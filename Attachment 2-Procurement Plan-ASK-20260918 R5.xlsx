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esktop\Weekly Report Meeting\Week 26\"/>
    </mc:Choice>
  </mc:AlternateContent>
  <xr:revisionPtr revIDLastSave="0" documentId="13_ncr:1_{9F99F15E-2BF3-464F-AAEF-3C250E6C2EE6}" xr6:coauthVersionLast="47" xr6:coauthVersionMax="47" xr10:uidLastSave="{00000000-0000-0000-0000-000000000000}"/>
  <bookViews>
    <workbookView xWindow="43080" yWindow="-120" windowWidth="29040" windowHeight="15720" xr2:uid="{00000000-000D-0000-FFFF-FFFF00000000}"/>
  </bookViews>
  <sheets>
    <sheet name="PSR Overall Cycle" sheetId="3" r:id="rId1"/>
    <sheet name="frmASKCons_0820" sheetId="10" r:id="rId2"/>
    <sheet name="Sheet1" sheetId="8" r:id="rId3"/>
    <sheet name="P6" sheetId="7" state="hidden" r:id="rId4"/>
    <sheet name="Before Award" sheetId="1" state="hidden" r:id="rId5"/>
    <sheet name="After Award" sheetId="2" state="hidden" r:id="rId6"/>
    <sheet name="Thai Holidays" sheetId="5" r:id="rId7"/>
    <sheet name="China Holidays" sheetId="6" r:id="rId8"/>
    <sheet name="Sheet2" sheetId="9"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c">#N/A</definedName>
    <definedName name="\i">#N/A</definedName>
    <definedName name="\z">#N/A</definedName>
    <definedName name="________Sh7" localSheetId="7" hidden="1">{#N/A,#N/A,FALSE,"Vessel1 1";#N/A,#N/A,FALSE,"Vessel1 2";#N/A,#N/A,FALSE,"Vessel1 3";#N/A,#N/A,FALSE,"Vessel1 4";#N/A,#N/A,FALSE,"Vessel1 5";#N/A,#N/A,FALSE,"Vessel1 6";#N/A,#N/A,FALSE,"Vessel1 7";#N/A,#N/A,FALSE,"Vessel1 8";#N/A,#N/A,FALSE,"Vessel1 9";#N/A,#N/A,FALSE,"Vessel1 10";#N/A,#N/A,FALSE,"Vessel1 11"}</definedName>
    <definedName name="________Sh7" hidden="1">{#N/A,#N/A,FALSE,"Vessel1 1";#N/A,#N/A,FALSE,"Vessel1 2";#N/A,#N/A,FALSE,"Vessel1 3";#N/A,#N/A,FALSE,"Vessel1 4";#N/A,#N/A,FALSE,"Vessel1 5";#N/A,#N/A,FALSE,"Vessel1 6";#N/A,#N/A,FALSE,"Vessel1 7";#N/A,#N/A,FALSE,"Vessel1 8";#N/A,#N/A,FALSE,"Vessel1 9";#N/A,#N/A,FALSE,"Vessel1 10";#N/A,#N/A,FALSE,"Vessel1 11"}</definedName>
    <definedName name="_______Sh7" localSheetId="7" hidden="1">{#N/A,#N/A,FALSE,"Vessel1 1";#N/A,#N/A,FALSE,"Vessel1 2";#N/A,#N/A,FALSE,"Vessel1 3";#N/A,#N/A,FALSE,"Vessel1 4";#N/A,#N/A,FALSE,"Vessel1 5";#N/A,#N/A,FALSE,"Vessel1 6";#N/A,#N/A,FALSE,"Vessel1 7";#N/A,#N/A,FALSE,"Vessel1 8";#N/A,#N/A,FALSE,"Vessel1 9";#N/A,#N/A,FALSE,"Vessel1 10";#N/A,#N/A,FALSE,"Vessel1 11"}</definedName>
    <definedName name="_______Sh7" hidden="1">{#N/A,#N/A,FALSE,"Vessel1 1";#N/A,#N/A,FALSE,"Vessel1 2";#N/A,#N/A,FALSE,"Vessel1 3";#N/A,#N/A,FALSE,"Vessel1 4";#N/A,#N/A,FALSE,"Vessel1 5";#N/A,#N/A,FALSE,"Vessel1 6";#N/A,#N/A,FALSE,"Vessel1 7";#N/A,#N/A,FALSE,"Vessel1 8";#N/A,#N/A,FALSE,"Vessel1 9";#N/A,#N/A,FALSE,"Vessel1 10";#N/A,#N/A,FALSE,"Vessel1 11"}</definedName>
    <definedName name="_____Sh7" localSheetId="7" hidden="1">{#N/A,#N/A,FALSE,"Vessel1 1";#N/A,#N/A,FALSE,"Vessel1 2";#N/A,#N/A,FALSE,"Vessel1 3";#N/A,#N/A,FALSE,"Vessel1 4";#N/A,#N/A,FALSE,"Vessel1 5";#N/A,#N/A,FALSE,"Vessel1 6";#N/A,#N/A,FALSE,"Vessel1 7";#N/A,#N/A,FALSE,"Vessel1 8";#N/A,#N/A,FALSE,"Vessel1 9";#N/A,#N/A,FALSE,"Vessel1 10";#N/A,#N/A,FALSE,"Vessel1 11"}</definedName>
    <definedName name="_____Sh7" hidden="1">{#N/A,#N/A,FALSE,"Vessel1 1";#N/A,#N/A,FALSE,"Vessel1 2";#N/A,#N/A,FALSE,"Vessel1 3";#N/A,#N/A,FALSE,"Vessel1 4";#N/A,#N/A,FALSE,"Vessel1 5";#N/A,#N/A,FALSE,"Vessel1 6";#N/A,#N/A,FALSE,"Vessel1 7";#N/A,#N/A,FALSE,"Vessel1 8";#N/A,#N/A,FALSE,"Vessel1 9";#N/A,#N/A,FALSE,"Vessel1 10";#N/A,#N/A,FALSE,"Vessel1 11"}</definedName>
    <definedName name="___Sh7" localSheetId="7" hidden="1">{#N/A,#N/A,FALSE,"Vessel1 1";#N/A,#N/A,FALSE,"Vessel1 2";#N/A,#N/A,FALSE,"Vessel1 3";#N/A,#N/A,FALSE,"Vessel1 4";#N/A,#N/A,FALSE,"Vessel1 5";#N/A,#N/A,FALSE,"Vessel1 6";#N/A,#N/A,FALSE,"Vessel1 7";#N/A,#N/A,FALSE,"Vessel1 8";#N/A,#N/A,FALSE,"Vessel1 9";#N/A,#N/A,FALSE,"Vessel1 10";#N/A,#N/A,FALSE,"Vessel1 11"}</definedName>
    <definedName name="___Sh7" hidden="1">{#N/A,#N/A,FALSE,"Vessel1 1";#N/A,#N/A,FALSE,"Vessel1 2";#N/A,#N/A,FALSE,"Vessel1 3";#N/A,#N/A,FALSE,"Vessel1 4";#N/A,#N/A,FALSE,"Vessel1 5";#N/A,#N/A,FALSE,"Vessel1 6";#N/A,#N/A,FALSE,"Vessel1 7";#N/A,#N/A,FALSE,"Vessel1 8";#N/A,#N/A,FALSE,"Vessel1 9";#N/A,#N/A,FALSE,"Vessel1 10";#N/A,#N/A,FALSE,"Vessel1 11"}</definedName>
    <definedName name="__123Graph_A" hidden="1">[1]List!#REF!</definedName>
    <definedName name="__123Graph_AABSKVA" hidden="1">'[2]2695 Intercross STEAM Load Bal.'!#REF!</definedName>
    <definedName name="__123Graph_AABSKW" hidden="1">'[3]Consumer List and Load B'!#REF!</definedName>
    <definedName name="__123Graph_AMIDKW" hidden="1">'[3]Consumer List and Load B'!#REF!</definedName>
    <definedName name="__123Graph_ANCF" hidden="1">'[4]Cashflow Analysis'!#REF!</definedName>
    <definedName name="__123Graph_ASIMKVA" hidden="1">'[2]2695 Intercross STEAM Load Bal.'!#REF!</definedName>
    <definedName name="__123Graph_ASIMKW" hidden="1">'[3]Consumer List and Load B'!#REF!</definedName>
    <definedName name="__123Graph_B" hidden="1">[1]List!#REF!</definedName>
    <definedName name="__123Graph_BABSKVA" hidden="1">'[3]Consumer List and Load B'!#REF!</definedName>
    <definedName name="__123Graph_BABSKW" hidden="1">'[3]Consumer List and Load B'!#REF!</definedName>
    <definedName name="__123Graph_BNCF" hidden="1">'[4]Cashflow Analysis'!#REF!</definedName>
    <definedName name="__123Graph_BPERFORMANCE" hidden="1">[5]BQMPALOC!#REF!</definedName>
    <definedName name="__123Graph_BSIMKVA" hidden="1">'[3]Consumer List and Load B'!#REF!</definedName>
    <definedName name="__123Graph_BSIMKW" hidden="1">'[3]Consumer List and Load B'!#REF!</definedName>
    <definedName name="__123Graph_C" hidden="1">[1]List!#REF!</definedName>
    <definedName name="__123Graph_D" hidden="1">[1]List!#REF!</definedName>
    <definedName name="__123Graph_E" hidden="1">[1]List!#REF!</definedName>
    <definedName name="__123Graph_X" hidden="1">'[6]Cashflow Analysis'!$E$63:$BL$63</definedName>
    <definedName name="__123Graph_XABSKVA" hidden="1">'[3]Consumer List and Load B'!#REF!</definedName>
    <definedName name="__123Graph_XABSKW" hidden="1">'[3]Consumer List and Load B'!#REF!</definedName>
    <definedName name="__123Graph_XMIDKW" hidden="1">'[3]Consumer List and Load B'!#REF!</definedName>
    <definedName name="__123Graph_XNCF" hidden="1">'[6]Cashflow Analysis'!$E$63:$BL$63</definedName>
    <definedName name="__123Graph_XSIMKVA" hidden="1">'[3]Consumer List and Load B'!#REF!</definedName>
    <definedName name="__123Graph_XSIMKW" hidden="1">'[3]Consumer List and Load B'!#REF!</definedName>
    <definedName name="__material_he_tubes_alternative">#REF!</definedName>
    <definedName name="__sf400">'[7]Pull-Down Menus'!$J$2486:$J$2491</definedName>
    <definedName name="__sf404">'[7]Pull-Down Menus'!$J$699:$J$701</definedName>
    <definedName name="_1__123Graph_ACONTRAC._OIL" hidden="1">'[4]Cashflow Analysis'!#REF!</definedName>
    <definedName name="_1_0_0_F" hidden="1">'[8]#REF'!#REF!</definedName>
    <definedName name="_1F" hidden="1">'[9]CAB.XLS'!#REF!</definedName>
    <definedName name="_2__123Graph_BCONTRAC._OIL" hidden="1">'[4]Cashflow Analysis'!#REF!</definedName>
    <definedName name="_3__123Graph_CCONTRAC._OIL" hidden="1">'[4]Cashflow Analysis'!#REF!</definedName>
    <definedName name="_4__123Graph_DCONTRAC._OIL" hidden="1">'[4]Cashflow Analysis'!#REF!</definedName>
    <definedName name="_5__123Graph_XCONTRAC._OIL" hidden="1">'[6]Cashflow Analysis'!$E$63:$BL$63</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bal11">[10]bal11!$B$1:$AV$66</definedName>
    <definedName name="_bal12">[10]bal12!$B$1:$AU$66</definedName>
    <definedName name="_bal6">[10]bal6!$B$1:$CN$66</definedName>
    <definedName name="_DESIGN_MAT_SHELL">#REF!</definedName>
    <definedName name="_DESIGN_MAT_TUBES">#REF!</definedName>
    <definedName name="_DESIGN_TEMP_MAX_1">#REF!</definedName>
    <definedName name="_DESIGN_TEMP_MAX_2">#REF!</definedName>
    <definedName name="_DESIGN_TEMP_MIN_1">#REF!</definedName>
    <definedName name="_DESIGN_TEMP_MIN_2">#REF!</definedName>
    <definedName name="_DIMENSIONS_BOT">#REF!</definedName>
    <definedName name="_DIMENSIONS_MID">#REF!</definedName>
    <definedName name="_DIMENSIONS_PIPE_SHELL">#REF!</definedName>
    <definedName name="_DIMENSIONS_PIPE_TUBE">#REF!</definedName>
    <definedName name="_DIMENSIONS_TOP_MAIN">#REF!</definedName>
    <definedName name="_din24420">#REF!</definedName>
    <definedName name="_din28005">#REF!</definedName>
    <definedName name="_din28006">#REF!</definedName>
    <definedName name="_din28007">#REF!</definedName>
    <definedName name="_din28008">#REF!</definedName>
    <definedName name="_din28015">#REF!</definedName>
    <definedName name="_din28017">#REF!</definedName>
    <definedName name="_din28083">#REF!</definedName>
    <definedName name="_din28084">#REF!</definedName>
    <definedName name="_din28105">#REF!</definedName>
    <definedName name="_din28161">#REF!</definedName>
    <definedName name="_din28182">#REF!</definedName>
    <definedName name="_din4119">#REF!</definedName>
    <definedName name="_doc_foundation_plan_loads_digital">#REF!</definedName>
    <definedName name="_doc_foundation_plan_loads_paper">#REF!</definedName>
    <definedName name="_doc_foundation_plan_loads_week">#REF!</definedName>
    <definedName name="_Fill" hidden="1">#REF!</definedName>
    <definedName name="_xlnm._FilterDatabase" localSheetId="4" hidden="1">'Before Award'!$A$16:$BK$247</definedName>
    <definedName name="_xlnm._FilterDatabase" localSheetId="7" hidden="1">'China Holidays'!$A$1:$I$80</definedName>
    <definedName name="_xlnm._FilterDatabase" localSheetId="0" hidden="1">'PSR Overall Cycle'!$A$16:$AR$312</definedName>
    <definedName name="_xlnm._FilterDatabase" localSheetId="6" hidden="1">'Thai Holidays'!$A$1:$I$47</definedName>
    <definedName name="_xlnm._FilterDatabase" hidden="1">'[11]PROCPLAN-TOTAL'!#REF!</definedName>
    <definedName name="_installed_area_per_unit">#REF!</definedName>
    <definedName name="_Jos2">#REF!</definedName>
    <definedName name="_Key1" hidden="1">#REF!</definedName>
    <definedName name="_Key2" hidden="1">#REF!</definedName>
    <definedName name="_mat1">#REF!</definedName>
    <definedName name="_mat2">#REF!</definedName>
    <definedName name="_mat3">#REF!</definedName>
    <definedName name="_mat4">#REF!</definedName>
    <definedName name="_material_he_tubes">#REF!</definedName>
    <definedName name="_MatInverse_In" hidden="1">#REF!</definedName>
    <definedName name="_mc230">#REF!</definedName>
    <definedName name="_mc240">#REF!</definedName>
    <definedName name="_mc245">#REF!</definedName>
    <definedName name="_mc250">#REF!</definedName>
    <definedName name="_mc251">#REF!</definedName>
    <definedName name="_mc252">#REF!</definedName>
    <definedName name="_mc253">#REF!</definedName>
    <definedName name="_mc254">#REF!</definedName>
    <definedName name="_mc255">#REF!</definedName>
    <definedName name="_mc260">#REF!</definedName>
    <definedName name="_mc310">#REF!</definedName>
    <definedName name="_mc311">#REF!</definedName>
    <definedName name="_mc335">#REF!</definedName>
    <definedName name="_mc336">#REF!</definedName>
    <definedName name="_mc337">#REF!</definedName>
    <definedName name="_mc338">#REF!</definedName>
    <definedName name="_mc339">#REF!</definedName>
    <definedName name="_mc340">#REF!</definedName>
    <definedName name="_mc341">#REF!</definedName>
    <definedName name="_mc342">#REF!</definedName>
    <definedName name="_mc343">#REF!</definedName>
    <definedName name="_mc344">#REF!</definedName>
    <definedName name="_md_bracket_support_enabled">'[12]P. 5'!#REF!</definedName>
    <definedName name="_md_checkbox_notice2">'[12]P. 6'!#REF!</definedName>
    <definedName name="_md_guide_support_enabled">'[12]P. 5'!#REF!</definedName>
    <definedName name="_md_saddles_enabled">'[12]P. 5'!#REF!</definedName>
    <definedName name="_md_saddles_value">'[12]P. 5'!#REF!</definedName>
    <definedName name="_md_skirt_enabled">'[12]P. 5'!#REF!</definedName>
    <definedName name="_md_struct_steel_support_legs_enabled">'[12]P. 5'!#REF!</definedName>
    <definedName name="_md_support_ring_enabled">'[12]P. 5'!#REF!</definedName>
    <definedName name="_md_support_ring_value">'[12]P. 5'!#REF!</definedName>
    <definedName name="_md_tubular_support_value">'[12]P. 5'!#REF!</definedName>
    <definedName name="_md_vendor_enabled">'[12]P. 5'!#REF!</definedName>
    <definedName name="_Order1" hidden="1">255</definedName>
    <definedName name="_Order2" hidden="1">255</definedName>
    <definedName name="_Parse_Out" hidden="1">#REF!</definedName>
    <definedName name="_Regression_Int" hidden="1">1</definedName>
    <definedName name="_sf300">#REF!</definedName>
    <definedName name="_sf400">#REF!</definedName>
    <definedName name="_sf401">#REF!</definedName>
    <definedName name="_sf404">#REF!</definedName>
    <definedName name="_sf450">#REF!</definedName>
    <definedName name="_Sh7" localSheetId="7" hidden="1">{#N/A,#N/A,FALSE,"Vessel1 1";#N/A,#N/A,FALSE,"Vessel1 2";#N/A,#N/A,FALSE,"Vessel1 3";#N/A,#N/A,FALSE,"Vessel1 4";#N/A,#N/A,FALSE,"Vessel1 5";#N/A,#N/A,FALSE,"Vessel1 6";#N/A,#N/A,FALSE,"Vessel1 7";#N/A,#N/A,FALSE,"Vessel1 8";#N/A,#N/A,FALSE,"Vessel1 9";#N/A,#N/A,FALSE,"Vessel1 10";#N/A,#N/A,FALSE,"Vessel1 11"}</definedName>
    <definedName name="_Sh7" hidden="1">{#N/A,#N/A,FALSE,"Vessel1 1";#N/A,#N/A,FALSE,"Vessel1 2";#N/A,#N/A,FALSE,"Vessel1 3";#N/A,#N/A,FALSE,"Vessel1 4";#N/A,#N/A,FALSE,"Vessel1 5";#N/A,#N/A,FALSE,"Vessel1 6";#N/A,#N/A,FALSE,"Vessel1 7";#N/A,#N/A,FALSE,"Vessel1 8";#N/A,#N/A,FALSE,"Vessel1 9";#N/A,#N/A,FALSE,"Vessel1 10";#N/A,#N/A,FALSE,"Vessel1 11"}</definedName>
    <definedName name="_shell_side_p_max">#REF!</definedName>
    <definedName name="_shell_side_p_min">#REF!</definedName>
    <definedName name="_sliding_plates_scope_delivery">'[12]P. 6'!#REF!</definedName>
    <definedName name="_Sort" hidden="1">#REF!</definedName>
    <definedName name="_Table1_In1" hidden="1">#REF!</definedName>
    <definedName name="_Table2_In1" hidden="1">#REF!</definedName>
    <definedName name="_TL3">'[13]2.0-A4'!#REF!</definedName>
    <definedName name="_tube_side_p_max">#REF!</definedName>
    <definedName name="_tube_side_p_min">#REF!</definedName>
    <definedName name="_tubes_he_diameter">#REF!</definedName>
    <definedName name="_tubes_he_length">#REF!</definedName>
    <definedName name="_vol1">#REF!</definedName>
    <definedName name="A">#N/A</definedName>
    <definedName name="aa">#REF!</definedName>
    <definedName name="aaaa" hidden="1">#REF!</definedName>
    <definedName name="AAAAA" localSheetId="7" hidden="1">{#N/A,#N/A,FALSE,"Ejector 1";#N/A,#N/A,FALSE,"Ejector 2"}</definedName>
    <definedName name="AAAAA" hidden="1">{#N/A,#N/A,FALSE,"Ejector 1";#N/A,#N/A,FALSE,"Ejector 2"}</definedName>
    <definedName name="abcd" localSheetId="7" hidden="1">{"'장비'!$A$3:$M$12"}</definedName>
    <definedName name="abcd" hidden="1">{"'장비'!$A$3:$M$12"}</definedName>
    <definedName name="access">#REF!</definedName>
    <definedName name="Access_Button" hidden="1">"PCDA_Commercial_evaluation__Iss_D3__Liste"</definedName>
    <definedName name="AccessDatabase" hidden="1">"Q:\2122\5922\EMR\INSTRUM\BESCHAFF\411 PCDA\Angebotsvergleich\PCDA.mdb"</definedName>
    <definedName name="ad" hidden="1">[1]List!#REF!</definedName>
    <definedName name="adfad" localSheetId="7" hidden="1">{#N/A,#N/A,FALSE,"cover";#N/A,#N/A,FALSE,"page_1";#N/A,#N/A,FALSE,"page_2";#N/A,#N/A,FALSE,"page_3";#N/A,#N/A,FALSE,"page_4"}</definedName>
    <definedName name="adfad" hidden="1">{#N/A,#N/A,FALSE,"cover";#N/A,#N/A,FALSE,"page_1";#N/A,#N/A,FALSE,"page_2";#N/A,#N/A,FALSE,"page_3";#N/A,#N/A,FALSE,"page_4"}</definedName>
    <definedName name="aggregationstate">#REF!</definedName>
    <definedName name="agibolts">#REF!</definedName>
    <definedName name="agiboltsmat">#REF!</definedName>
    <definedName name="agidesign">#REF!</definedName>
    <definedName name="agigasketmat">#REF!</definedName>
    <definedName name="agigasketmatagitatorunit">#REF!</definedName>
    <definedName name="agigaskettype">#REF!</definedName>
    <definedName name="agigaskettypeagitatorunit">#REF!</definedName>
    <definedName name="agitatordrive">#REF!</definedName>
    <definedName name="agitatordrivespec">#REF!</definedName>
    <definedName name="agitatorflange">#REF!</definedName>
    <definedName name="agitatortype">#REF!</definedName>
    <definedName name="agiwallthick">#REF!</definedName>
    <definedName name="airflow">#REF!</definedName>
    <definedName name="airquality">#REF!</definedName>
    <definedName name="amit" localSheetId="7" hidden="1">{"Cost Summary",#N/A,FALSE,"B";"Cost Detail 1",#N/A,FALSE,"C";"Cost Detail 2",#N/A,FALSE,"C"}</definedName>
    <definedName name="amit" hidden="1">{"Cost Summary",#N/A,FALSE,"B";"Cost Detail 1",#N/A,FALSE,"C";"Cost Detail 2",#N/A,FALSE,"C"}</definedName>
    <definedName name="anchorboltmat">#REF!</definedName>
    <definedName name="antivoba">#REF!</definedName>
    <definedName name="area">#REF!</definedName>
    <definedName name="areaload">#REF!</definedName>
    <definedName name="arrangement">#REF!</definedName>
    <definedName name="AS" localSheetId="7" hidden="1">{#N/A,#N/A,FALSE,"Ejector 1";#N/A,#N/A,FALSE,"Ejector 2"}</definedName>
    <definedName name="AS" hidden="1">{#N/A,#N/A,FALSE,"Ejector 1";#N/A,#N/A,FALSE,"Ejector 2"}</definedName>
    <definedName name="assemblydimensions">#REF!</definedName>
    <definedName name="authority">#REF!</definedName>
    <definedName name="authorityaircooler">#REF!</definedName>
    <definedName name="AUX_PI_PL_LIST">#REF!</definedName>
    <definedName name="B">[14]SV!#REF!</definedName>
    <definedName name="baffletype">#REF!</definedName>
    <definedName name="balancequalitygrade">#REF!</definedName>
    <definedName name="baseline">#REF!</definedName>
    <definedName name="baselineagreement">#REF!</definedName>
    <definedName name="baselinecompetencecenter">#REF!</definedName>
    <definedName name="baselineinspectionemail">#REF!</definedName>
    <definedName name="baselinetubes">#REF!</definedName>
    <definedName name="BBBBB" localSheetId="7" hidden="1">{#N/A,#N/A,FALSE,"Ejector 1";#N/A,#N/A,FALSE,"Ejector 2"}</definedName>
    <definedName name="BBBBB" hidden="1">{#N/A,#N/A,FALSE,"Ejector 1";#N/A,#N/A,FALSE,"Ejector 2"}</definedName>
    <definedName name="bearing">#REF!</definedName>
    <definedName name="bearingrotor">#REF!</definedName>
    <definedName name="beltdrivetype">#REF!</definedName>
    <definedName name="bgv">#REF!</definedName>
    <definedName name="bladepitch">#REF!</definedName>
    <definedName name="bodyfl">#REF!</definedName>
    <definedName name="Boiling">#REF!</definedName>
    <definedName name="boltmat">#REF!</definedName>
    <definedName name="bolts">#REF!</definedName>
    <definedName name="boltsize">#REF!</definedName>
    <definedName name="boltsmountingflange">#REF!</definedName>
    <definedName name="bottomdesignstandard">#REF!</definedName>
    <definedName name="bottomslope">#REF!</definedName>
    <definedName name="bottomwelding">#REF!</definedName>
    <definedName name="bracket">#REF!</definedName>
    <definedName name="breakup" localSheetId="7" hidden="1">{"'Sheet1'!$L$16"}</definedName>
    <definedName name="breakup" hidden="1">{"'Sheet1'!$L$16"}</definedName>
    <definedName name="bridging">[15]Unit!$E$4:$E$7</definedName>
    <definedName name="bubble">#REF!</definedName>
    <definedName name="bubblepressure">#REF!</definedName>
    <definedName name="bufferfluid">#REF!</definedName>
    <definedName name="bufferfluidproperties">#REF!</definedName>
    <definedName name="buffervesselmat1">#REF!</definedName>
    <definedName name="buffervesselmat2">#REF!</definedName>
    <definedName name="C_">[14]SV!#REF!</definedName>
    <definedName name="CABLE_SCHEDULE">'[9]#REF'!$A$1:$BP$4565</definedName>
    <definedName name="CABLE_SIZE">#REF!</definedName>
    <definedName name="CBLTYPE">#N/A</definedName>
    <definedName name="CBWorkbookPriority" hidden="1">-1411612577</definedName>
    <definedName name="CC" localSheetId="7" hidden="1">{#N/A,#N/A,TRUE,"COVER";#N/A,#N/A,TRUE,"CONTENTS";#N/A,#N/A,TRUE,"CALC SHEET FOR MMA AND PET";#N/A,#N/A,TRUE,"LOAD LIST FOR MMA AND PET"}</definedName>
    <definedName name="CC" hidden="1">{#N/A,#N/A,TRUE,"COVER";#N/A,#N/A,TRUE,"CONTENTS";#N/A,#N/A,TRUE,"CALC SHEET FOR MMA AND PET";#N/A,#N/A,TRUE,"LOAD LIST FOR MMA AND PET"}</definedName>
    <definedName name="CC_Graph1">"グラフ 52"</definedName>
    <definedName name="CCCC" localSheetId="7" hidden="1">{#N/A,#N/A,FALSE,"Ejector 1";#N/A,#N/A,FALSE,"Ejector 2"}</definedName>
    <definedName name="CCCC" hidden="1">{#N/A,#N/A,FALSE,"Ejector 1";#N/A,#N/A,FALSE,"Ejector 2"}</definedName>
    <definedName name="CERT">#N/A</definedName>
    <definedName name="certificateaddress">#REF!</definedName>
    <definedName name="certifiedwelder">#REF!</definedName>
    <definedName name="certifiedwelderagitatorunit">#REF!</definedName>
    <definedName name="chimney">#REF!</definedName>
    <definedName name="chlorid">#REF!</definedName>
    <definedName name="chloridtank">#REF!</definedName>
    <definedName name="choice1">#REF!</definedName>
    <definedName name="choice2">#REF!</definedName>
    <definedName name="ChoixSys">[16]Parameters!$A$30:$A$32</definedName>
    <definedName name="circulationpump">#REF!</definedName>
    <definedName name="circumspeed">#REF!</definedName>
    <definedName name="circumveloc">#REF!</definedName>
    <definedName name="cladding">#REF!</definedName>
    <definedName name="cladmat">#REF!</definedName>
    <definedName name="classification">#REF!</definedName>
    <definedName name="cleansyscontrol">#REF!</definedName>
    <definedName name="cleansystype">#REF!</definedName>
    <definedName name="clearancetotankshell">#REF!</definedName>
    <definedName name="closure">#REF!</definedName>
    <definedName name="coildiam">#REF!</definedName>
    <definedName name="completecs">#REF!</definedName>
    <definedName name="completess">#REF!</definedName>
    <definedName name="compressionring">#REF!</definedName>
    <definedName name="concentration">#REF!</definedName>
    <definedName name="CONSTRUCTION">#REF!</definedName>
    <definedName name="CONSUMER_DAT_AB">#N/A</definedName>
    <definedName name="CONSUMER_DAT_BL">#N/A</definedName>
    <definedName name="CONSUMER_DAT_CR">#N/A</definedName>
    <definedName name="CONSUMER_DAT_DB">#REF!</definedName>
    <definedName name="CONSUMER_DAT_DF">#N/A</definedName>
    <definedName name="CONSUMER_DAT_EN">#N/A</definedName>
    <definedName name="CONSUMER_DAT_MA">#N/A</definedName>
    <definedName name="contactaddress">#REF!</definedName>
    <definedName name="CONTACTOR">[17]contactor!$A$5:$J$37</definedName>
    <definedName name="coolingbufferfluid">#REF!</definedName>
    <definedName name="copyright">#REF!</definedName>
    <definedName name="corrosion">#REF!</definedName>
    <definedName name="corrosion1">#REF!</definedName>
    <definedName name="COSQ">#REF!</definedName>
    <definedName name="COSQLR">#REF!</definedName>
    <definedName name="coupling">#REF!</definedName>
    <definedName name="covering">#REF!</definedName>
    <definedName name="_xlnm.Criteria">#REF!</definedName>
    <definedName name="criticalspeed">#REF!</definedName>
    <definedName name="CV" localSheetId="7" hidden="1">{#N/A,#N/A,FALSE,"Vessel1 1";#N/A,#N/A,FALSE,"Vessel1 2";#N/A,#N/A,FALSE,"Vessel1 3";#N/A,#N/A,FALSE,"Vessel1 4";#N/A,#N/A,FALSE,"Vessel1 5";#N/A,#N/A,FALSE,"Vessel1 6";#N/A,#N/A,FALSE,"Vessel1 7";#N/A,#N/A,FALSE,"Vessel1 8";#N/A,#N/A,FALSE,"Vessel1 9";#N/A,#N/A,FALSE,"Vessel1 10";#N/A,#N/A,FALSE,"Vessel1 11"}</definedName>
    <definedName name="CV" hidden="1">{#N/A,#N/A,FALSE,"Vessel1 1";#N/A,#N/A,FALSE,"Vessel1 2";#N/A,#N/A,FALSE,"Vessel1 3";#N/A,#N/A,FALSE,"Vessel1 4";#N/A,#N/A,FALSE,"Vessel1 5";#N/A,#N/A,FALSE,"Vessel1 6";#N/A,#N/A,FALSE,"Vessel1 7";#N/A,#N/A,FALSE,"Vessel1 8";#N/A,#N/A,FALSE,"Vessel1 9";#N/A,#N/A,FALSE,"Vessel1 10";#N/A,#N/A,FALSE,"Vessel1 11"}</definedName>
    <definedName name="CW_PIPE_PN_LIST">#REF!</definedName>
    <definedName name="D">[14]SV!#REF!</definedName>
    <definedName name="Data">#REF!</definedName>
    <definedName name="_xlnm.Database">#REF!</definedName>
    <definedName name="Database_MI">#REF!</definedName>
    <definedName name="DATE">#REF!</definedName>
    <definedName name="date_révision">[16]Parameters!$AL$8</definedName>
    <definedName name="davit">#REF!</definedName>
    <definedName name="ddd" localSheetId="7" hidden="1">{#N/A,#N/A,FALSE,"Vessel1 1";#N/A,#N/A,FALSE,"Vessel1 2";#N/A,#N/A,FALSE,"Vessel1 3";#N/A,#N/A,FALSE,"Vessel1 4";#N/A,#N/A,FALSE,"Vessel1 5";#N/A,#N/A,FALSE,"Vessel1 6";#N/A,#N/A,FALSE,"Vessel1 7";#N/A,#N/A,FALSE,"Vessel1 8";#N/A,#N/A,FALSE,"Vessel1 9";#N/A,#N/A,FALSE,"Vessel1 10";#N/A,#N/A,FALSE,"Vessel1 11"}</definedName>
    <definedName name="ddd" hidden="1">{#N/A,#N/A,FALSE,"Vessel1 1";#N/A,#N/A,FALSE,"Vessel1 2";#N/A,#N/A,FALSE,"Vessel1 3";#N/A,#N/A,FALSE,"Vessel1 4";#N/A,#N/A,FALSE,"Vessel1 5";#N/A,#N/A,FALSE,"Vessel1 6";#N/A,#N/A,FALSE,"Vessel1 7";#N/A,#N/A,FALSE,"Vessel1 8";#N/A,#N/A,FALSE,"Vessel1 9";#N/A,#N/A,FALSE,"Vessel1 10";#N/A,#N/A,FALSE,"Vessel1 11"}</definedName>
    <definedName name="Débit">'[18]Liste Récept'!$F$15:$F$31</definedName>
    <definedName name="del" localSheetId="7" hidden="1">{#N/A,#N/A,FALSE,"B-Rated fire doors"}</definedName>
    <definedName name="del" hidden="1">{#N/A,#N/A,FALSE,"B-Rated fire doors"}</definedName>
    <definedName name="density">#REF!</definedName>
    <definedName name="departmentcode">#REF!</definedName>
    <definedName name="DESCRA">#REF!</definedName>
    <definedName name="DESCRB">#REF!</definedName>
    <definedName name="designcode">#REF!</definedName>
    <definedName name="designcodeaircooler">#REF!</definedName>
    <definedName name="designcodeheatexchanger">#REF!</definedName>
    <definedName name="designcodeplateexchanger">#REF!</definedName>
    <definedName name="designcodespiralexchanger">#REF!</definedName>
    <definedName name="designcodetank">#REF!</definedName>
    <definedName name="designcodetower">#REF!</definedName>
    <definedName name="designreqplateexchanger">#REF!</definedName>
    <definedName name="designreqspiralexchanger">#REF!</definedName>
    <definedName name="df" localSheetId="7" hidden="1">{#N/A,#N/A,TRUE,"COVER";#N/A,#N/A,TRUE,"CONTENTS";#N/A,#N/A,TRUE,"CALC SHEET FOR MMA AND PET";#N/A,#N/A,TRUE,"LOAD LIST FOR MMA AND PET"}</definedName>
    <definedName name="df" hidden="1">{#N/A,#N/A,TRUE,"COVER";#N/A,#N/A,TRUE,"CONTENTS";#N/A,#N/A,TRUE,"CALC SHEET FOR MMA AND PET";#N/A,#N/A,TRUE,"LOAD LIST FOR MMA AND PET"}</definedName>
    <definedName name="dfd" hidden="1">'[8]#REF'!#REF!</definedName>
    <definedName name="dfsag" localSheetId="7" hidden="1">{#N/A,#N/A,FALSE,"COVER";#N/A,#N/A,FALSE,"CONTENTS";#N/A,#N/A,FALSE,"CALC SHEET FOR MMA AND PET DOL";#N/A,#N/A,FALSE,"LOAD LIST FOR MMA AND PET DOL"}</definedName>
    <definedName name="dfsag" hidden="1">{#N/A,#N/A,FALSE,"COVER";#N/A,#N/A,FALSE,"CONTENTS";#N/A,#N/A,FALSE,"CALC SHEET FOR MMA AND PET DOL";#N/A,#N/A,FALSE,"LOAD LIST FOR MMA AND PET DOL"}</definedName>
    <definedName name="dghjdxj" localSheetId="7" hidden="1">{#N/A,#N/A,FALSE,"cover";#N/A,#N/A,FALSE,"page_1";#N/A,#N/A,FALSE,"page_2";#N/A,#N/A,FALSE,"page_3";#N/A,#N/A,FALSE,"page_4"}</definedName>
    <definedName name="dghjdxj" hidden="1">{#N/A,#N/A,FALSE,"cover";#N/A,#N/A,FALSE,"page_1";#N/A,#N/A,FALSE,"page_2";#N/A,#N/A,FALSE,"page_3";#N/A,#N/A,FALSE,"page_4"}</definedName>
    <definedName name="din28005_28008">#REF!</definedName>
    <definedName name="din28005_28008_iso13920">#REF!</definedName>
    <definedName name="din28017_1">#REF!</definedName>
    <definedName name="din28017_2">#REF!</definedName>
    <definedName name="din28017_3">#REF!</definedName>
    <definedName name="din28017_4">#REF!</definedName>
    <definedName name="din28081_1">#REF!</definedName>
    <definedName name="din28081_2">#REF!</definedName>
    <definedName name="dippipesupport">#REF!</definedName>
    <definedName name="directiveex">#REF!</definedName>
    <definedName name="DISCH_POSIT_LIST">#REF!</definedName>
    <definedName name="display">#REF!</definedName>
    <definedName name="Dissolved_water_in_WS_outlet_D1220">[19]Data!$E$31</definedName>
    <definedName name="Dissolved_water_in_WS_outlet_E1250">[19]Data!$E$32</definedName>
    <definedName name="DME_BeforeCloseCompleted" hidden="1">[20]XDO_HIDDEN!#REF!</definedName>
    <definedName name="DME_Dirty" hidden="1">[20]XDO_HIDDEN!#REF!</definedName>
    <definedName name="DME_LocalFile" hidden="1">"True"</definedName>
    <definedName name="DME_ODMALinks1" hidden="1">"::ODMA\DME-MSE\HGS-43444=C:\DOCUME~1\sk\LOCALS~1\Temp\Dme\HGS-43444.xls"</definedName>
    <definedName name="DME_ODMALinks2" hidden="1">"::ODMA\DME-MSE\HGS-39952=C:\DOCUME~1\bha\LOCALS~1\Temp\Dme\HGS-39952.xls"</definedName>
    <definedName name="DME_ODMALinks3" hidden="1">"::ODMA\DME-MSE\HGS-59436=C:\DOCUME~1\sk\LOCALS~1\Temp\Dme\HGS-59436.xls"</definedName>
    <definedName name="DME_ODMALinks4" hidden="1">"::ODMA\DME-MSE\HGS-57294=C:\DOCUME~1\sk\LOCALS~1\Temp\Dme\HGS-57294(2).xls"</definedName>
    <definedName name="DME_ODMALinks5" hidden="1">"::ODMA\DME-MSE\HGS-58308=C:\DOCUME~1\sk\LOCALS~1\Temp\Dme\DME58308.xls"</definedName>
    <definedName name="DME_ODMALinks6" hidden="1">"::ODMA\DME-MSE\HGS-50279=C:\DOCUME~1\sk\LOCALS~1\Temp\Dme\HGS-50279.xls"</definedName>
    <definedName name="DME_ODMALinks7" hidden="1">"::ODMA\DME-MSE\HGS-94737=C:\DOCUME~1\sk\LOCALS~1\Temp\Dme\HGS-94737.xls"</definedName>
    <definedName name="DME_ODMALinksCount" hidden="1">"6"</definedName>
    <definedName name="DNEW" hidden="1">'[11]PROCPLAN-TOTAL'!#REF!</definedName>
    <definedName name="doublebottom">#REF!</definedName>
    <definedName name="drawing">'[9]#REF'!$A$2:$A$80</definedName>
    <definedName name="drawingexamination">#REF!</definedName>
    <definedName name="drive">#REF!</definedName>
    <definedName name="driveagitatorunit">#REF!</definedName>
    <definedName name="driveposition">#REF!</definedName>
    <definedName name="drivescope">#REF!</definedName>
    <definedName name="DWPRICE" hidden="1">[21]Quantity!#REF!</definedName>
    <definedName name="dynvisco">#REF!</definedName>
    <definedName name="earthquake">#REF!</definedName>
    <definedName name="earthquaketank">#REF!</definedName>
    <definedName name="EEPC3">'[13]2.0-A4'!#REF!</definedName>
    <definedName name="EFF">#REF!</definedName>
    <definedName name="eniso4287">#REF!</definedName>
    <definedName name="esmc211_1">#REF!</definedName>
    <definedName name="esmc211_2">#REF!</definedName>
    <definedName name="EV__LASTREFTIME__" hidden="1">39890.5126388889</definedName>
    <definedName name="EV__LASTREFTIME___1" hidden="1">39742.5442013889</definedName>
    <definedName name="expanjoint">#REF!</definedName>
    <definedName name="expediting">#REF!</definedName>
    <definedName name="exproof">#REF!</definedName>
    <definedName name="exprotect">#REF!</definedName>
    <definedName name="extension">#REF!</definedName>
    <definedName name="_xlnm.Extract">[22]P!#REF!</definedName>
    <definedName name="exzone">#REF!</definedName>
    <definedName name="F1_CR">#N/A</definedName>
    <definedName name="F2_CR">#N/A</definedName>
    <definedName name="F3_CR">#N/A</definedName>
    <definedName name="F4_CR">#N/A</definedName>
    <definedName name="F5_CR">#N/A</definedName>
    <definedName name="F6_CR">#N/A</definedName>
    <definedName name="F7_CR">#N/A</definedName>
    <definedName name="fadsf" localSheetId="7" hidden="1">{#N/A,#N/A,TRUE,"COVER";#N/A,#N/A,TRUE,"CONTENTS";#N/A,#N/A,TRUE,"CALC SHEET FOR MMA AND PET";#N/A,#N/A,TRUE,"LOAD LIST FOR MMA AND PET"}</definedName>
    <definedName name="fadsf" hidden="1">{#N/A,#N/A,TRUE,"COVER";#N/A,#N/A,TRUE,"CONTENTS";#N/A,#N/A,TRUE,"CALC SHEET FOR MMA AND PET";#N/A,#N/A,TRUE,"LOAD LIST FOR MMA AND PET"}</definedName>
    <definedName name="fanblademat">#REF!</definedName>
    <definedName name="fancontrol">#REF!</definedName>
    <definedName name="fatiguestrength">#REF!</definedName>
    <definedName name="FDRTYPE">#REF!</definedName>
    <definedName name="fff" localSheetId="7" hidden="1">{#N/A,#N/A,FALSE,"cover";#N/A,#N/A,FALSE,"page_1";#N/A,#N/A,FALSE,"page_2";#N/A,#N/A,FALSE,"page_3";#N/A,#N/A,FALSE,"page_4"}</definedName>
    <definedName name="fff" hidden="1">{#N/A,#N/A,FALSE,"cover";#N/A,#N/A,FALSE,"page_1";#N/A,#N/A,FALSE,"page_2";#N/A,#N/A,FALSE,"page_3";#N/A,#N/A,FALSE,"page_4"}</definedName>
    <definedName name="fffff" hidden="1">'[23]Page 5 of 7'!#REF!</definedName>
    <definedName name="fg" hidden="1">#REF!</definedName>
    <definedName name="fillt" hidden="1">#REF!</definedName>
    <definedName name="filterelement">#REF!</definedName>
    <definedName name="filterinstall">#REF!</definedName>
    <definedName name="filterremoval">#REF!</definedName>
    <definedName name="find_cable_length_differences">'[9]#REF'!$A$1:$C$134</definedName>
    <definedName name="finsmat">#REF!</definedName>
    <definedName name="flangeface">#REF!</definedName>
    <definedName name="flangestd">#REF!</definedName>
    <definedName name="flangetype">#REF!</definedName>
    <definedName name="FLC">#REF!</definedName>
    <definedName name="flowdirect1">#REF!</definedName>
    <definedName name="flowdirect2">#REF!</definedName>
    <definedName name="flowindicator">#REF!</definedName>
    <definedName name="flowpattern">#REF!</definedName>
    <definedName name="fluid1">#REF!</definedName>
    <definedName name="fluidf">#REF!</definedName>
    <definedName name="fluidfiltered">#REF!</definedName>
    <definedName name="fluidstate">[15]Unit!$D$4:$D$12</definedName>
    <definedName name="format1">#REF!</definedName>
    <definedName name="format2">#REF!</definedName>
    <definedName name="fouling">#REF!</definedName>
    <definedName name="foundationtolerance">#REF!</definedName>
    <definedName name="Free_water_in_WS_outlet_D1220">[19]Data!$E$30</definedName>
    <definedName name="freeflowarea">#REF!</definedName>
    <definedName name="FUSE">#REF!</definedName>
    <definedName name="galvanizingbolts">#REF!</definedName>
    <definedName name="galvanizingplatform">#REF!</definedName>
    <definedName name="gasketfix">#REF!</definedName>
    <definedName name="gasketmat">#REF!</definedName>
    <definedName name="gasketplates">#REF!</definedName>
    <definedName name="gaskettype">#REF!</definedName>
    <definedName name="gb" localSheetId="7" hidden="1">{#N/A,#N/A,FALSE,"Vessel1 1";#N/A,#N/A,FALSE,"Vessel1 2";#N/A,#N/A,FALSE,"Vessel1 3";#N/A,#N/A,FALSE,"Vessel1 4";#N/A,#N/A,FALSE,"Vessel1 5";#N/A,#N/A,FALSE,"Vessel1 6";#N/A,#N/A,FALSE,"Vessel1 7";#N/A,#N/A,FALSE,"Vessel1 8";#N/A,#N/A,FALSE,"Vessel1 9";#N/A,#N/A,FALSE,"Vessel1 10";#N/A,#N/A,FALSE,"Vessel1 11"}</definedName>
    <definedName name="gb" hidden="1">{#N/A,#N/A,FALSE,"Vessel1 1";#N/A,#N/A,FALSE,"Vessel1 2";#N/A,#N/A,FALSE,"Vessel1 3";#N/A,#N/A,FALSE,"Vessel1 4";#N/A,#N/A,FALSE,"Vessel1 5";#N/A,#N/A,FALSE,"Vessel1 6";#N/A,#N/A,FALSE,"Vessel1 7";#N/A,#N/A,FALSE,"Vessel1 8";#N/A,#N/A,FALSE,"Vessel1 9";#N/A,#N/A,FALSE,"Vessel1 10";#N/A,#N/A,FALSE,"Vessel1 11"}</definedName>
    <definedName name="gearequipment">#REF!</definedName>
    <definedName name="gearsuppliers">#REF!</definedName>
    <definedName name="geartype">#REF!</definedName>
    <definedName name="generalspec">#REF!</definedName>
    <definedName name="generalspec2">#REF!</definedName>
    <definedName name="generalspecagitatorunit">#REF!</definedName>
    <definedName name="generalspecaircooler">#REF!</definedName>
    <definedName name="generalspecexchanger">#REF!</definedName>
    <definedName name="generalspecpacking">#REF!</definedName>
    <definedName name="generalspecplateexchanger">#REF!</definedName>
    <definedName name="generalspectank">#REF!</definedName>
    <definedName name="generalspectrays">#REF!</definedName>
    <definedName name="ghfhf" localSheetId="7" hidden="1">{#N/A,#N/A,FALSE,"cover";#N/A,#N/A,FALSE,"page_1";#N/A,#N/A,FALSE,"page_2";#N/A,#N/A,FALSE,"page_3";#N/A,#N/A,FALSE,"page_4"}</definedName>
    <definedName name="ghfhf" hidden="1">{#N/A,#N/A,FALSE,"cover";#N/A,#N/A,FALSE,"page_1";#N/A,#N/A,FALSE,"page_2";#N/A,#N/A,FALSE,"page_3";#N/A,#N/A,FALSE,"page_4"}</definedName>
    <definedName name="glasslining">#REF!</definedName>
    <definedName name="glassliningtest">#REF!</definedName>
    <definedName name="grindarea">#REF!</definedName>
    <definedName name="grindareaagitatorunit">#REF!</definedName>
    <definedName name="ground">#REF!</definedName>
    <definedName name="GROUP1">[14]SV!$B$8:$O$50</definedName>
    <definedName name="GROUP2">[14]SV!#REF!</definedName>
    <definedName name="GROUP3">[14]SV!#REF!</definedName>
    <definedName name="GROUP4">[14]SV!#REF!</definedName>
    <definedName name="GROUP5">[14]SV!#REF!</definedName>
    <definedName name="gsg" localSheetId="7" hidden="1">{#N/A,#N/A,FALSE,"Pumps 1";#N/A,#N/A,FALSE,"Pumps 2";#N/A,#N/A,FALSE,"Pumps 3";#N/A,#N/A,FALSE,"Pumps 4";#N/A,#N/A,FALSE,"Pumps 5";#N/A,#N/A,FALSE,"Pumps 6"}</definedName>
    <definedName name="gsg" hidden="1">{#N/A,#N/A,FALSE,"Pumps 1";#N/A,#N/A,FALSE,"Pumps 2";#N/A,#N/A,FALSE,"Pumps 3";#N/A,#N/A,FALSE,"Pumps 4";#N/A,#N/A,FALSE,"Pumps 5";#N/A,#N/A,FALSE,"Pumps 6"}</definedName>
    <definedName name="guideline">#REF!</definedName>
    <definedName name="H" hidden="1">'[8]#REF'!#REF!</definedName>
    <definedName name="H3PO4_concentration">[19]Data!$E$19</definedName>
    <definedName name="handrefillpump">#REF!</definedName>
    <definedName name="hardness">#REF!</definedName>
    <definedName name="header">#REF!</definedName>
    <definedName name="headtype">#REF!</definedName>
    <definedName name="heatcapacity">#REF!</definedName>
    <definedName name="heatcool">#REF!</definedName>
    <definedName name="heatcooltank">#REF!</definedName>
    <definedName name="heatduty">#REF!</definedName>
    <definedName name="heatingfluid">#REF!</definedName>
    <definedName name="heattrans">#REF!</definedName>
    <definedName name="helium">#REF!</definedName>
    <definedName name="hgh" localSheetId="7" hidden="1">{#N/A,#N/A,FALSE,"cover";#N/A,#N/A,FALSE,"page_1";#N/A,#N/A,FALSE,"page_2";#N/A,#N/A,FALSE,"page_3";#N/A,#N/A,FALSE,"page_4"}</definedName>
    <definedName name="hgh" hidden="1">{#N/A,#N/A,FALSE,"cover";#N/A,#N/A,FALSE,"page_1";#N/A,#N/A,FALSE,"page_2";#N/A,#N/A,FALSE,"page_3";#N/A,#N/A,FALSE,"page_4"}</definedName>
    <definedName name="HHH" localSheetId="7" hidden="1">{#N/A,#N/A,FALSE,"Vessel1 1";#N/A,#N/A,FALSE,"Vessel1 2";#N/A,#N/A,FALSE,"Vessel1 3";#N/A,#N/A,FALSE,"Vessel1 4";#N/A,#N/A,FALSE,"Vessel1 5";#N/A,#N/A,FALSE,"Vessel1 6";#N/A,#N/A,FALSE,"Vessel1 7";#N/A,#N/A,FALSE,"Vessel1 8";#N/A,#N/A,FALSE,"Vessel1 9";#N/A,#N/A,FALSE,"Vessel1 10";#N/A,#N/A,FALSE,"Vessel1 11"}</definedName>
    <definedName name="HHH" hidden="1">{#N/A,#N/A,FALSE,"Vessel1 1";#N/A,#N/A,FALSE,"Vessel1 2";#N/A,#N/A,FALSE,"Vessel1 3";#N/A,#N/A,FALSE,"Vessel1 4";#N/A,#N/A,FALSE,"Vessel1 5";#N/A,#N/A,FALSE,"Vessel1 6";#N/A,#N/A,FALSE,"Vessel1 7";#N/A,#N/A,FALSE,"Vessel1 8";#N/A,#N/A,FALSE,"Vessel1 9";#N/A,#N/A,FALSE,"Vessel1 10";#N/A,#N/A,FALSE,"Vessel1 11"}</definedName>
    <definedName name="hhhjhj" localSheetId="7" hidden="1">{#N/A,#N/A,FALSE,"cover";#N/A,#N/A,FALSE,"page_1";#N/A,#N/A,FALSE,"page_2";#N/A,#N/A,FALSE,"page_3";#N/A,#N/A,FALSE,"page_4"}</definedName>
    <definedName name="hhhjhj" hidden="1">{#N/A,#N/A,FALSE,"cover";#N/A,#N/A,FALSE,"page_1";#N/A,#N/A,FALSE,"page_2";#N/A,#N/A,FALSE,"page_3";#N/A,#N/A,FALSE,"page_4"}</definedName>
    <definedName name="hjjk" localSheetId="7" hidden="1">{#N/A,#N/A,FALSE,"cover";#N/A,#N/A,FALSE,"page_1";#N/A,#N/A,FALSE,"page_2";#N/A,#N/A,FALSE,"page_3";#N/A,#N/A,FALSE,"page_4"}</definedName>
    <definedName name="hjjk" hidden="1">{#N/A,#N/A,FALSE,"cover";#N/A,#N/A,FALSE,"page_1";#N/A,#N/A,FALSE,"page_2";#N/A,#N/A,FALSE,"page_3";#N/A,#N/A,FALSE,"page_4"}</definedName>
    <definedName name="HOOK_UP">#REF!</definedName>
    <definedName name="HTML_CodePage" hidden="1">949</definedName>
    <definedName name="HTML_Control" localSheetId="7" hidden="1">{"'장비'!$A$3:$M$12"}</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4" hidden="1">TRUE</definedName>
    <definedName name="HTML_OS" hidden="1">0</definedName>
    <definedName name="HTML_PathFile" hidden="1">"C:\My Documents\MyHTML.htm"</definedName>
    <definedName name="HTML_Title" hidden="1">"가산동미라보"</definedName>
    <definedName name="HTML1_1" hidden="1">"[RDS00701.xls]Sheet1!$A$1:$J$68"</definedName>
    <definedName name="HTML1_10" hidden="1">""</definedName>
    <definedName name="HTML1_11" hidden="1">1</definedName>
    <definedName name="HTML1_12" hidden="1">"C:\My Documents\FERD_ST\R_MECHAN\RCR00102\DATAARK\RDS007\MyHTML.htm"</definedName>
    <definedName name="HTML1_2" hidden="1">1</definedName>
    <definedName name="HTML1_3" hidden="1">"RDS00701"</definedName>
    <definedName name="HTML1_4" hidden="1">"Sheet1"</definedName>
    <definedName name="HTML1_5" hidden="1">""</definedName>
    <definedName name="HTML1_6" hidden="1">-4146</definedName>
    <definedName name="HTML1_7" hidden="1">-4146</definedName>
    <definedName name="HTML1_8" hidden="1">"30.04.96"</definedName>
    <definedName name="HTML1_9" hidden="1">"NTS"</definedName>
    <definedName name="HTMLCount" hidden="1">1</definedName>
    <definedName name="huy" localSheetId="7" hidden="1">{"'Sheet1'!$L$16"}</definedName>
    <definedName name="huy" hidden="1">{"'Sheet1'!$L$16"}</definedName>
    <definedName name="i" localSheetId="7" hidden="1">{#N/A,#N/A,FALSE,"cover";#N/A,#N/A,FALSE,"page_1";#N/A,#N/A,FALSE,"page_2";#N/A,#N/A,FALSE,"page_3";#N/A,#N/A,FALSE,"page_4"}</definedName>
    <definedName name="i" hidden="1">{#N/A,#N/A,FALSE,"cover";#N/A,#N/A,FALSE,"page_1";#N/A,#N/A,FALSE,"page_2";#N/A,#N/A,FALSE,"page_3";#N/A,#N/A,FALSE,"page_4"}</definedName>
    <definedName name="impingeprotec">#REF!</definedName>
    <definedName name="importancefactor">#REF!</definedName>
    <definedName name="incomers">'[9]#REF'!$A$6:$O$77</definedName>
    <definedName name="independenceshaft">#REF!</definedName>
    <definedName name="inspectcode">#REF!</definedName>
    <definedName name="inspectcodeaircooler">#REF!</definedName>
    <definedName name="inspectcodeheatexchanger">#REF!</definedName>
    <definedName name="inspectcodeplateexchanger">#REF!</definedName>
    <definedName name="inspectcodespiralexchanger">#REF!</definedName>
    <definedName name="inspectcodetank">#REF!</definedName>
    <definedName name="inspectcodetower">#REF!</definedName>
    <definedName name="INSTALL_AUTRE">[16]Other!$H:$H</definedName>
    <definedName name="INSTALL_CHO">[16]Vessels!$H:$H</definedName>
    <definedName name="INSTALL_TOU">[16]Rotating!$H:$H</definedName>
    <definedName name="installationmixingelement">#REF!</definedName>
    <definedName name="insulcollar">#REF!</definedName>
    <definedName name="insulcollartank">#REF!</definedName>
    <definedName name="insuldiscs">#REF!</definedName>
    <definedName name="insuldiscstank">#REF!</definedName>
    <definedName name="insulsupp">#REF!</definedName>
    <definedName name="insultype">#REF!</definedName>
    <definedName name="integraltesting">#REF!</definedName>
    <definedName name="InterlockPP">#REF!</definedName>
    <definedName name="intracs" localSheetId="7" hidden="1">{"cost",#N/A,FALSE,"B";"Sum",#N/A,FALSE,"C";"Sal1",#N/A,FALSE,"D";"Sal2",#N/A,FALSE,"D";"Mob",#N/A,FALSE,"E";"Eqpcst1",#N/A,FALSE,"F";"Eqpcst2",#N/A,FALSE,"F";"Eqpcst3",#N/A,FALSE,"F";"Est1",#N/A,FALSE,"G";"Est2",#N/A,FALSE,"G";"Fin",#N/A,FALSE,"H";"EqpCal",#N/A,FALSE,"I";"ManCal1",#N/A,FALSE,"J";"ManCal2",#N/A,FALSE,"J";"Consm",#N/A,FALSE,"L";"B O",#N/A,FALSE,"M";"S C",#N/A,FALSE,"N"}</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JLUcheck">'[9]#REF'!$A$1:$F$1872</definedName>
    <definedName name="jointprep1">#REF!</definedName>
    <definedName name="jointprep2">#REF!</definedName>
    <definedName name="jointprepagitatorunit">#REF!</definedName>
    <definedName name="JOS">#REF!</definedName>
    <definedName name="JOSLUYENDIJK">#REF!</definedName>
    <definedName name="kjhkjh" localSheetId="7" hidden="1">{#N/A,#N/A,FALSE,"cover";#N/A,#N/A,FALSE,"page_1";#N/A,#N/A,FALSE,"page_2";#N/A,#N/A,FALSE,"page_3";#N/A,#N/A,FALSE,"page_4"}</definedName>
    <definedName name="kjhkjh" hidden="1">{#N/A,#N/A,FALSE,"cover";#N/A,#N/A,FALSE,"page_1";#N/A,#N/A,FALSE,"page_2";#N/A,#N/A,FALSE,"page_3";#N/A,#N/A,FALSE,"page_4"}</definedName>
    <definedName name="kkk" hidden="1">#REF!</definedName>
    <definedName name="L" localSheetId="7" hidden="1">{#N/A,#N/A,FALSE,"Vessel1 1";#N/A,#N/A,FALSE,"Vessel1 2";#N/A,#N/A,FALSE,"Vessel1 3";#N/A,#N/A,FALSE,"Vessel1 4";#N/A,#N/A,FALSE,"Vessel1 5";#N/A,#N/A,FALSE,"Vessel1 6";#N/A,#N/A,FALSE,"Vessel1 7";#N/A,#N/A,FALSE,"Vessel1 8";#N/A,#N/A,FALSE,"Vessel1 9";#N/A,#N/A,FALSE,"Vessel1 10";#N/A,#N/A,FALSE,"Vessel1 11"}</definedName>
    <definedName name="L" hidden="1">{#N/A,#N/A,FALSE,"Vessel1 1";#N/A,#N/A,FALSE,"Vessel1 2";#N/A,#N/A,FALSE,"Vessel1 3";#N/A,#N/A,FALSE,"Vessel1 4";#N/A,#N/A,FALSE,"Vessel1 5";#N/A,#N/A,FALSE,"Vessel1 6";#N/A,#N/A,FALSE,"Vessel1 7";#N/A,#N/A,FALSE,"Vessel1 8";#N/A,#N/A,FALSE,"Vessel1 9";#N/A,#N/A,FALSE,"Vessel1 10";#N/A,#N/A,FALSE,"Vessel1 11"}</definedName>
    <definedName name="language">#REF!</definedName>
    <definedName name="lanternspec">#REF!</definedName>
    <definedName name="latentheat">#REF!</definedName>
    <definedName name="leakage">#REF!</definedName>
    <definedName name="LENGTH">#REF!</definedName>
    <definedName name="length1">#REF!</definedName>
    <definedName name="length2">#REF!</definedName>
    <definedName name="length3">#REF!</definedName>
    <definedName name="length4">#REF!</definedName>
    <definedName name="length5">#REF!</definedName>
    <definedName name="letterheight1">#REF!</definedName>
    <definedName name="letterheight2">#REF!</definedName>
    <definedName name="levelindicator">#REF!</definedName>
    <definedName name="lipsealtype">#REF!</definedName>
    <definedName name="liquidpenetrant">#REF!</definedName>
    <definedName name="LLLLLLLLLLLLLL" localSheetId="7" hidden="1">{#N/A,#N/A,FALSE,"Ejector 1";#N/A,#N/A,FALSE,"Ejector 2"}</definedName>
    <definedName name="LLLLLLLLLLLLLL" hidden="1">{#N/A,#N/A,FALSE,"Ejector 1";#N/A,#N/A,FALSE,"Ejector 2"}</definedName>
    <definedName name="LM_SteamConfig" hidden="1">'[24]ProSteam Config'!$A$8</definedName>
    <definedName name="LOAD">#REF!</definedName>
    <definedName name="load1">#REF!</definedName>
    <definedName name="load2">#REF!</definedName>
    <definedName name="loadcycles">#REF!</definedName>
    <definedName name="loadtank1">#REF!</definedName>
    <definedName name="loadtank2">#REF!</definedName>
    <definedName name="loadtank3">#REF!</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uvers">#REF!</definedName>
    <definedName name="LRC">#REF!</definedName>
    <definedName name="machinerydirective">#REF!</definedName>
    <definedName name="machinerydirective2">#REF!</definedName>
    <definedName name="magneticparticle">#REF!</definedName>
    <definedName name="MANPOWER2" localSheetId="7" hidden="1">{"Total Indirect Manpower",#N/A,FALSE,"J";"Total Direct Manpower",#N/A,FALSE,"J";"Direct Structural Manpower",#N/A,FALSE,"J";"Direct Mechanical Manpower",#N/A,FALSE,"J";"Direct Piping Manpower",#N/A,FALSE,"J";"Direct Tanks Manpower",#N/A,FALSE,"J";"Direct ElecInstrSS Manpower",#N/A,FALSE,"J"}</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ssflow1">#REF!</definedName>
    <definedName name="massflow2">#REF!</definedName>
    <definedName name="massflow3">#REF!</definedName>
    <definedName name="matcode">#REF!</definedName>
    <definedName name="matcodeaircooler">#REF!</definedName>
    <definedName name="matcodeplateexchanger">#REF!</definedName>
    <definedName name="matcodespiralexchanger">#REF!</definedName>
    <definedName name="matcodetank">#REF!</definedName>
    <definedName name="maxdeflect">#REF!</definedName>
    <definedName name="mc245tr">#REF!</definedName>
    <definedName name="mc254tank">#REF!</definedName>
    <definedName name="mechanicsealarrange">#REF!</definedName>
    <definedName name="mechanicsealmanufac">#REF!</definedName>
    <definedName name="mechanicsealstandard">#REF!</definedName>
    <definedName name="mechanicsealtype">#REF!</definedName>
    <definedName name="mediumremoved">#REF!</definedName>
    <definedName name="MELTTIME">#REF!</definedName>
    <definedName name="Methodology3" localSheetId="7" hidden="1">{#N/A,#N/A,FALSE,"cover";#N/A,#N/A,FALSE,"page_1";#N/A,#N/A,FALSE,"page_2";#N/A,#N/A,FALSE,"page_3";#N/A,#N/A,FALSE,"page_4"}</definedName>
    <definedName name="Methodology3" hidden="1">{#N/A,#N/A,FALSE,"cover";#N/A,#N/A,FALSE,"page_1";#N/A,#N/A,FALSE,"page_2";#N/A,#N/A,FALSE,"page_3";#N/A,#N/A,FALSE,"page_4"}</definedName>
    <definedName name="minfinpitch">#REF!</definedName>
    <definedName name="minplatethick">#REF!</definedName>
    <definedName name="minplatethickness">#REF!</definedName>
    <definedName name="minrequi1">#REF!</definedName>
    <definedName name="minrequi2">#REF!</definedName>
    <definedName name="minrequi3">#REF!</definedName>
    <definedName name="minwallthick">#REF!</definedName>
    <definedName name="minwallthickexchanger">#REF!</definedName>
    <definedName name="mixerinstallation">#REF!</definedName>
    <definedName name="mixertype">#REF!</definedName>
    <definedName name="mixingelements">#REF!</definedName>
    <definedName name="mixingnozzledesign">#REF!</definedName>
    <definedName name="mixingnozzleinstall">#REF!</definedName>
    <definedName name="mixingtask">#REF!</definedName>
    <definedName name="module" hidden="1">'[11]PROCPLAN-TOTAL'!#REF!</definedName>
    <definedName name="motor">#REF!</definedName>
    <definedName name="mounting">#REF!</definedName>
    <definedName name="mountingflange">#REF!</definedName>
    <definedName name="mountingflangescope">#REF!</definedName>
    <definedName name="mpas___°C">#N/A</definedName>
    <definedName name="nameplatedata">#REF!</definedName>
    <definedName name="ncbcb" localSheetId="7" hidden="1">{#N/A,#N/A,FALSE,"cover";#N/A,#N/A,FALSE,"page_1";#N/A,#N/A,FALSE,"page_2";#N/A,#N/A,FALSE,"page_3";#N/A,#N/A,FALSE,"page_4"}</definedName>
    <definedName name="ncbcb" hidden="1">{#N/A,#N/A,FALSE,"cover";#N/A,#N/A,FALSE,"page_1";#N/A,#N/A,FALSE,"page_2";#N/A,#N/A,FALSE,"page_3";#N/A,#N/A,FALSE,"page_4"}</definedName>
    <definedName name="NNN" localSheetId="7" hidden="1">{#N/A,#N/A,FALSE,"Ejector 1";#N/A,#N/A,FALSE,"Ejector 2"}</definedName>
    <definedName name="NNN" hidden="1">{#N/A,#N/A,FALSE,"Ejector 1";#N/A,#N/A,FALSE,"Ejector 2"}</definedName>
    <definedName name="NomMenu_Liste">[16]Parameters!$B$35</definedName>
    <definedName name="normconcentration">#REF!</definedName>
    <definedName name="notifiedbody">#REF!</definedName>
    <definedName name="nozzle1">#REF!</definedName>
    <definedName name="nozzle2">#REF!</definedName>
    <definedName name="nozzleelement">#REF!</definedName>
    <definedName name="nozzlelength">#REF!</definedName>
    <definedName name="nozzleloc">#REF!</definedName>
    <definedName name="nozzleprimsec">#REF!</definedName>
    <definedName name="nps">#REF!</definedName>
    <definedName name="npsagitatorunit">#REF!</definedName>
    <definedName name="NumListe">[16]Parameters!$AL$6</definedName>
    <definedName name="ODH" hidden="1">[25]산근!#REF!</definedName>
    <definedName name="opening">#REF!</definedName>
    <definedName name="openingagitatorunit">#REF!</definedName>
    <definedName name="OPERATION">#REF!</definedName>
    <definedName name="operatmode">#REF!</definedName>
    <definedName name="Organic_cycle_flow_rate">'[26]C201 RevB Design'!$B$2</definedName>
    <definedName name="organiccoat">#REF!</definedName>
    <definedName name="organiccoatingtest">#REF!</definedName>
    <definedName name="organiclining">#REF!</definedName>
    <definedName name="organicliningtype">#REF!</definedName>
    <definedName name="otherapplicablerules">#REF!</definedName>
    <definedName name="page" hidden="1">'[11]PROCPLAN-TOTAL'!#REF!</definedName>
    <definedName name="PAGE1">[14]SV!$B$8:$O$50</definedName>
    <definedName name="PAGE10">[14]SV!#REF!</definedName>
    <definedName name="PAGE11">[14]SV!#REF!</definedName>
    <definedName name="PAGE12">[14]SV!#REF!</definedName>
    <definedName name="PAGE13">[14]SV!#REF!</definedName>
    <definedName name="PAGE14">[14]SV!#REF!</definedName>
    <definedName name="PAGE15">[14]SV!#REF!</definedName>
    <definedName name="PAGE16">[14]SV!#REF!</definedName>
    <definedName name="PAGE17">[14]SV!#REF!</definedName>
    <definedName name="PAGE18">[14]SV!#REF!</definedName>
    <definedName name="PAGE19">[14]SV!#REF!</definedName>
    <definedName name="PAGE2">[14]SV!#REF!</definedName>
    <definedName name="PAGE20">[14]SV!#REF!</definedName>
    <definedName name="PAGE21">[14]SV!#REF!</definedName>
    <definedName name="PAGE22">[14]SV!#REF!</definedName>
    <definedName name="PAGE23">[14]SV!#REF!</definedName>
    <definedName name="PAGE24">[14]SV!#REF!</definedName>
    <definedName name="PAGE25">[14]SV!#REF!</definedName>
    <definedName name="PAGE26">[14]SV!#REF!</definedName>
    <definedName name="PAGE27">[14]SV!#REF!</definedName>
    <definedName name="PAGE28">[14]SV!#REF!</definedName>
    <definedName name="PAGE29">[14]SV!#REF!</definedName>
    <definedName name="PAGE3">[14]SV!#REF!</definedName>
    <definedName name="PAGE30">[14]SV!#REF!</definedName>
    <definedName name="PAGE31">[14]SV!#REF!</definedName>
    <definedName name="PAGE32">[14]SV!#REF!</definedName>
    <definedName name="PAGE33">[14]SV!#REF!</definedName>
    <definedName name="PAGE34">[14]SV!#REF!</definedName>
    <definedName name="PAGE36">[14]SV!#REF!</definedName>
    <definedName name="PAGE37">[14]SV!#REF!</definedName>
    <definedName name="PAGE38">[14]SV!#REF!</definedName>
    <definedName name="PAGE39">[14]SV!#REF!</definedName>
    <definedName name="PAGE4">[14]SV!#REF!</definedName>
    <definedName name="PAGE40">[14]SV!#REF!</definedName>
    <definedName name="PAGE41">[14]SV!#REF!</definedName>
    <definedName name="PAGE42">[14]SV!#REF!</definedName>
    <definedName name="PAGE43">[14]SV!#REF!</definedName>
    <definedName name="PAGE44">[14]SV!#REF!</definedName>
    <definedName name="PAGE45">[14]SV!#REF!</definedName>
    <definedName name="PAGE46">[14]SV!#REF!</definedName>
    <definedName name="PAGE47">[14]SV!#REF!</definedName>
    <definedName name="PAGE48">[14]SV!#REF!</definedName>
    <definedName name="PAGE49">[14]SV!#REF!</definedName>
    <definedName name="PAGE5">[14]SV!#REF!</definedName>
    <definedName name="PAGE50">[14]SV!#REF!</definedName>
    <definedName name="PAGE6">[14]SV!#REF!</definedName>
    <definedName name="PAGE7">[14]SV!#REF!</definedName>
    <definedName name="PAGE8">[14]SV!#REF!</definedName>
    <definedName name="PAGE9">[14]SV!#REF!</definedName>
    <definedName name="Pal_Workbook_GUID" hidden="1">"1CM6GDAYHQNFEXWP2WH7TBEI"</definedName>
    <definedName name="PANEL_">#REF!</definedName>
    <definedName name="PARTI_DB">#N/A</definedName>
    <definedName name="PARTII_DB">#N/A</definedName>
    <definedName name="partsize">#REF!</definedName>
    <definedName name="passpartition">#REF!</definedName>
    <definedName name="ped">#REF!</definedName>
    <definedName name="performer">#REF!</definedName>
    <definedName name="phonenumber">#REF!</definedName>
    <definedName name="pipesupport">#REF!</definedName>
    <definedName name="Piping" hidden="1">'[11]PROCPLAN-TOTAL'!#REF!</definedName>
    <definedName name="pipingbuffersystemmat">#REF!</definedName>
    <definedName name="pivotframe">#REF!</definedName>
    <definedName name="pl" localSheetId="7"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atemat">#REF!</definedName>
    <definedName name="platetype">#REF!</definedName>
    <definedName name="platform">#REF!</definedName>
    <definedName name="platformassembly">#REF!</definedName>
    <definedName name="platformmat">#REF!</definedName>
    <definedName name="platformshipment">#REF!</definedName>
    <definedName name="Pmoteur">'[18]Liste Récept'!$L$15:$L$31</definedName>
    <definedName name="POLES">#REF!</definedName>
    <definedName name="power">#REF!</definedName>
    <definedName name="power1">#REF!</definedName>
    <definedName name="pressdrop1">#REF!</definedName>
    <definedName name="pressdrop2">#REF!</definedName>
    <definedName name="pressure">#REF!</definedName>
    <definedName name="pressuregasconnection">#REF!</definedName>
    <definedName name="pressuregauge">#REF!</definedName>
    <definedName name="pressurerating">#REF!</definedName>
    <definedName name="pressureretainingunit">#REF!</definedName>
    <definedName name="primercs">#REF!</definedName>
    <definedName name="primerss">#REF!</definedName>
    <definedName name="_xlnm.Print_Area" localSheetId="4">'Before Award'!$A$1:$AK$247</definedName>
    <definedName name="_xlnm.Print_Area" localSheetId="7">'China Holidays'!$A$1:$B$82</definedName>
    <definedName name="_xlnm.Print_Area" localSheetId="0">'PSR Overall Cycle'!$A$3:$AR$318</definedName>
    <definedName name="_xlnm.Print_Area" localSheetId="6">'Thai Holidays'!$A$1:$F$63</definedName>
    <definedName name="_xlnm.Print_Titles" localSheetId="0">'PSR Overall Cycle'!$16:$16</definedName>
    <definedName name="Print_Titles_MI">[14]SV!$A$2:$IV$7</definedName>
    <definedName name="procurement" localSheetId="7" hidden="1">{"Total Indirect Manpower",#N/A,FALSE,"J";"Total Direct Manpower",#N/A,FALSE,"J";"Direct Structural Manpower",#N/A,FALSE,"J";"Direct Mechanical Manpower",#N/A,FALSE,"J";"Direct Piping Manpower",#N/A,FALSE,"J";"Direct Tanks Manpower",#N/A,FALSE,"J";"Direct ElecInstrSS Manpower",#N/A,FALSE,"J"}</definedName>
    <definedName name="procurement" hidden="1">{"Total Indirect Manpower",#N/A,FALSE,"J";"Total Direct Manpower",#N/A,FALSE,"J";"Direct Structural Manpower",#N/A,FALSE,"J";"Direct Mechanical Manpower",#N/A,FALSE,"J";"Direct Piping Manpower",#N/A,FALSE,"J";"Direct Tanks Manpower",#N/A,FALSE,"J";"Direct ElecInstrSS Manpower",#N/A,FALSE,"J"}</definedName>
    <definedName name="project">#REF!</definedName>
    <definedName name="PROTCLASS">#REF!</definedName>
    <definedName name="qq" hidden="1">'[11]PROCPLAN-TOTAL'!#REF!</definedName>
    <definedName name="qrq" localSheetId="7"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rq"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ualitylevel1">#REF!</definedName>
    <definedName name="qualitylevel2">#REF!</definedName>
    <definedName name="qw" localSheetId="7" hidden="1">{"'장비'!$A$3:$M$12"}</definedName>
    <definedName name="qw" hidden="1">{"'장비'!$A$3:$M$12"}</definedName>
    <definedName name="RA">'[27]Pipe Calc'!$A$11:$BI$46</definedName>
    <definedName name="railing">#REF!</definedName>
    <definedName name="railingheight">#REF!</definedName>
    <definedName name="rainskirt">#REF!</definedName>
    <definedName name="range2">'[28]CAB.XLS'!#REF!</definedName>
    <definedName name="RATING">#REF!</definedName>
    <definedName name="RB_30">"ピクチャ 29"</definedName>
    <definedName name="RB_45">"ピクチャ 31"</definedName>
    <definedName name="RB_60">"ピクチャ 32"</definedName>
    <definedName name="RB_90">"ピクチャ 30"</definedName>
    <definedName name="RB_B">"楕円 26"</definedName>
    <definedName name="RB_C">"楕円 28"</definedName>
    <definedName name="RB_NO">"楕円 14"</definedName>
    <definedName name="RB_R">"楕円 24"</definedName>
    <definedName name="RB_YES">"楕円 16"</definedName>
    <definedName name="readyforshipmentemail">#REF!</definedName>
    <definedName name="readyforshipmentfax">#REF!</definedName>
    <definedName name="Rec_30">"四角形 38"</definedName>
    <definedName name="Rec_45">"四角形 41"</definedName>
    <definedName name="Rec_60">"四角形 39"</definedName>
    <definedName name="Rec_90">"四角形 40"</definedName>
    <definedName name="REC_NO">#N/A</definedName>
    <definedName name="recipient">#REF!</definedName>
    <definedName name="regulation">[15]Unit!$F$4:$F$13</definedName>
    <definedName name="REMARKS">#REF!</definedName>
    <definedName name="RESTART">#REF!</definedName>
    <definedName name="retainerdesign">#REF!</definedName>
    <definedName name="REV">#REF!</definedName>
    <definedName name="révision">[16]Parameters!$AL$7</definedName>
    <definedName name="revolution">#REF!</definedName>
    <definedName name="risk_phrase">[15]Unit!$G$4:$G$22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TRUE</definedName>
    <definedName name="RiskUseDifferentSeedForEachSim" hidden="1">FALSE</definedName>
    <definedName name="RiskUseFixedSeed" hidden="1">FALSE</definedName>
    <definedName name="RiskUseMultipleCPUs" hidden="1">TRUE</definedName>
    <definedName name="RO">#REF!</definedName>
    <definedName name="roofslope">#REF!</definedName>
    <definedName name="roofsupportingdesign">#REF!</definedName>
    <definedName name="roofsupportingposition">#REF!</definedName>
    <definedName name="rooftype">#REF!</definedName>
    <definedName name="roofwelding">#REF!</definedName>
    <definedName name="rotation">#REF!</definedName>
    <definedName name="rotorshape">#REF!</definedName>
    <definedName name="rotortype">#REF!</definedName>
    <definedName name="roughness">#REF!</definedName>
    <definedName name="roughtype">#REF!</definedName>
    <definedName name="rr" localSheetId="7" hidden="1">{#N/A,#N/A,FALSE,"COVER";#N/A,#N/A,FALSE,"CONTENTS";#N/A,#N/A,FALSE,"CALC SHEET FOR MMA AND PET DOL";#N/A,#N/A,FALSE,"LOAD LIST FOR MMA AND PET DOL"}</definedName>
    <definedName name="rr" hidden="1">{#N/A,#N/A,FALSE,"COVER";#N/A,#N/A,FALSE,"CONTENTS";#N/A,#N/A,FALSE,"CALC SHEET FOR MMA AND PET DOL";#N/A,#N/A,FALSE,"LOAD LIST FOR MMA AND PET DOL"}</definedName>
    <definedName name="rrr" localSheetId="7" hidden="1">{#N/A,#N/A,FALSE,"COVER";#N/A,#N/A,FALSE,"CONTENTS";#N/A,#N/A,FALSE,"CALC SHEET FOR MMA AND PET DOL";#N/A,#N/A,FALSE,"LOAD LIST FOR MMA AND PET DOL"}</definedName>
    <definedName name="rrr" hidden="1">{#N/A,#N/A,FALSE,"COVER";#N/A,#N/A,FALSE,"CONTENTS";#N/A,#N/A,FALSE,"CALC SHEET FOR MMA AND PET DOL";#N/A,#N/A,FALSE,"LOAD LIST FOR MMA AND PET DOL"}</definedName>
    <definedName name="rt" localSheetId="7" hidden="1">{#N/A,#N/A,TRUE,"COVER";#N/A,#N/A,TRUE,"CONTENTS";#N/A,#N/A,TRUE,"CALC SHEET FOR MMA AND PET";#N/A,#N/A,TRUE,"LOAD LIST FOR MMA AND PET"}</definedName>
    <definedName name="rt" hidden="1">{#N/A,#N/A,TRUE,"COVER";#N/A,#N/A,TRUE,"CONTENTS";#N/A,#N/A,TRUE,"CALC SHEET FOR MMA AND PET";#N/A,#N/A,TRUE,"LOAD LIST FOR MMA AND PET"}</definedName>
    <definedName name="rtduy" hidden="1">[5]BQMPALOC!#REF!</definedName>
    <definedName name="RUA">'[27]Pipe Calc'!$AF$1:$BI$2</definedName>
    <definedName name="rustproofing">#REF!</definedName>
    <definedName name="rwr" localSheetId="7"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rwr"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saddles_enabled">'[12]P. 5'!#REF!</definedName>
    <definedName name="SAPBEXdnldView" hidden="1">"3ZMJLLIT5ZT9ACAOXDQNBDLBJ"</definedName>
    <definedName name="SAPBEXsysID" hidden="1">"PB6"</definedName>
    <definedName name="SD">#REF!</definedName>
    <definedName name="SDC">'[9]#REF'!$B$2:$B$80</definedName>
    <definedName name="sdf" hidden="1">#REF!</definedName>
    <definedName name="sdfds" hidden="1">#REF!</definedName>
    <definedName name="SEAL_PI_PL_LIST">#REF!</definedName>
    <definedName name="sealface">#REF!</definedName>
    <definedName name="sealingtapemat">#REF!</definedName>
    <definedName name="sealmat">#REF!</definedName>
    <definedName name="seamlesstubecoat">#REF!</definedName>
    <definedName name="seamlesstubecs">#REF!</definedName>
    <definedName name="seamlesstubess">#REF!</definedName>
    <definedName name="SECOURS_TOU">[16]Rotating!$J:$J</definedName>
    <definedName name="sencount" hidden="1">1</definedName>
    <definedName name="SERVICE_TOU">[16]Rotating!$I:$I</definedName>
    <definedName name="servicefactor">#REF!</definedName>
    <definedName name="shaftdesign">#REF!</definedName>
    <definedName name="shaftend">#REF!</definedName>
    <definedName name="shaftring">#REF!</definedName>
    <definedName name="shaftseal">#REF!</definedName>
    <definedName name="shaftsealing">#REF!</definedName>
    <definedName name="shaftsealscope">#REF!</definedName>
    <definedName name="ship">"H907"</definedName>
    <definedName name="Shipping" localSheetId="7"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ppingaddress">#REF!</definedName>
    <definedName name="sightglass">#REF!</definedName>
    <definedName name="slett" hidden="1">'[3]Consumer List and Load B'!#REF!</definedName>
    <definedName name="soilground">#REF!</definedName>
    <definedName name="solidproperty">#REF!</definedName>
    <definedName name="solubility">#REF!</definedName>
    <definedName name="soundpower">#REF!</definedName>
    <definedName name="springmat">#REF!</definedName>
    <definedName name="SSS" localSheetId="7" hidden="1">{#N/A,#N/A,FALSE,"Vessel1 1";#N/A,#N/A,FALSE,"Vessel1 2";#N/A,#N/A,FALSE,"Vessel1 3";#N/A,#N/A,FALSE,"Vessel1 4";#N/A,#N/A,FALSE,"Vessel1 5";#N/A,#N/A,FALSE,"Vessel1 6";#N/A,#N/A,FALSE,"Vessel1 7";#N/A,#N/A,FALSE,"Vessel1 8";#N/A,#N/A,FALSE,"Vessel1 9";#N/A,#N/A,FALSE,"Vessel1 10";#N/A,#N/A,FALSE,"Vessel1 11"}</definedName>
    <definedName name="SSS" hidden="1">{#N/A,#N/A,FALSE,"Vessel1 1";#N/A,#N/A,FALSE,"Vessel1 2";#N/A,#N/A,FALSE,"Vessel1 3";#N/A,#N/A,FALSE,"Vessel1 4";#N/A,#N/A,FALSE,"Vessel1 5";#N/A,#N/A,FALSE,"Vessel1 6";#N/A,#N/A,FALSE,"Vessel1 7";#N/A,#N/A,FALSE,"Vessel1 8";#N/A,#N/A,FALSE,"Vessel1 9";#N/A,#N/A,FALSE,"Vessel1 10";#N/A,#N/A,FALSE,"Vessel1 11"}</definedName>
    <definedName name="SSSSS" hidden="1">'[29]M 11'!#REF!</definedName>
    <definedName name="sstreatment">#REF!</definedName>
    <definedName name="sstreatmenttype">#REF!</definedName>
    <definedName name="stamp">#REF!</definedName>
    <definedName name="STARTTIME">#REF!</definedName>
    <definedName name="staticheight">#REF!</definedName>
    <definedName name="STATUS">#REF!</definedName>
    <definedName name="STATUT_AUTRE">[16]Other!$L:$L</definedName>
    <definedName name="STATUT_CHO">[16]Vessels!$L:$L</definedName>
    <definedName name="STATUT_TOU">[16]Rotating!$L:$L</definedName>
    <definedName name="strain">#REF!</definedName>
    <definedName name="strength">#REF!</definedName>
    <definedName name="SUCT_FACE_LIST">#REF!</definedName>
    <definedName name="SUCT_POSIT_LIST">#REF!</definedName>
    <definedName name="supplier">#REF!</definedName>
    <definedName name="supply1">#REF!</definedName>
    <definedName name="supply2">#REF!</definedName>
    <definedName name="supportgratedesigncode">#REF!</definedName>
    <definedName name="supportgrateflatness">#REF!</definedName>
    <definedName name="supportgratemat">#REF!</definedName>
    <definedName name="surface">#REF!</definedName>
    <definedName name="surfacequality">#REF!</definedName>
    <definedName name="surfacetension">#REF!</definedName>
    <definedName name="SWBRD">#REF!</definedName>
    <definedName name="swk" hidden="1">'[30]Page 1'!#REF!</definedName>
    <definedName name="T">#REF!</definedName>
    <definedName name="tabel2">'[28]CAB.XLS'!#REF!</definedName>
    <definedName name="Table_moteur">'[31]Motor list'!$B$5:$C$44</definedName>
    <definedName name="TAGNO">#REF!</definedName>
    <definedName name="tata" localSheetId="7" hidden="1">{"AH36 MTO BOM - Landscape",#N/A,TRUE,"MTO BOM Summary Data - AH36";"EH36 MTO BOM - Landscape",#N/A,TRUE,"MTO BOM Summary Data - EH36";"MTO Plt - Landscape",#N/A,TRUE,"MTO Plt";"MTO Pipe - Portrait",#N/A,TRUE,"MTO Pipe"}</definedName>
    <definedName name="tata" hidden="1">{"AH36 MTO BOM - Landscape",#N/A,TRUE,"MTO BOM Summary Data - AH36";"EH36 MTO BOM - Landscape",#N/A,TRUE,"MTO BOM Summary Data - EH36";"MTO Plt - Landscape",#N/A,TRUE,"MTO Plt";"MTO Pipe - Portrait",#N/A,TRUE,"MTO Pipe"}</definedName>
    <definedName name="temp">#REF!</definedName>
    <definedName name="temperature">[15]Unit!$C$4:$C$9</definedName>
    <definedName name="temporaneo" localSheetId="7" hidden="1">{#N/A,#N/A,FALSE,"1 SUMM";#N/A,#N/A,FALSE,"4 FACIL"}</definedName>
    <definedName name="temporaneo" hidden="1">{#N/A,#N/A,FALSE,"1 SUMM";#N/A,#N/A,FALSE,"4 FACIL"}</definedName>
    <definedName name="TEST" localSheetId="7" hidden="1">{#N/A,#N/A,FALSE,"Ejector 1";#N/A,#N/A,FALSE,"Ejector 2"}</definedName>
    <definedName name="TEST" hidden="1">{#N/A,#N/A,FALSE,"Ejector 1";#N/A,#N/A,FALSE,"Ejector 2"}</definedName>
    <definedName name="testweld">#REF!</definedName>
    <definedName name="TG">[32]L!#REF!</definedName>
    <definedName name="thermconduct">#REF!</definedName>
    <definedName name="TITLE">[14]SV!$B$1:$O$7</definedName>
    <definedName name="toleranceplateexchanger">#REF!</definedName>
    <definedName name="tolerancespiralexchanger">#REF!</definedName>
    <definedName name="TOPBORDER">[14]SV!$B$2:$O$7</definedName>
    <definedName name="topcompletecs">#REF!</definedName>
    <definedName name="topcompletess">#REF!</definedName>
    <definedName name="transrate">#REF!</definedName>
    <definedName name="traydeflect">#REF!</definedName>
    <definedName name="trays">#REF!</definedName>
    <definedName name="traythickcs">#REF!</definedName>
    <definedName name="traythickss">#REF!</definedName>
    <definedName name="treadsurface">#REF!</definedName>
    <definedName name="tubebundle">#REF!</definedName>
    <definedName name="tubejoint">#REF!</definedName>
    <definedName name="tubejointbundle">#REF!</definedName>
    <definedName name="tubetype">#REF!</definedName>
    <definedName name="tubular_support_enabled">'[12]P. 5'!#REF!</definedName>
    <definedName name="type">#REF!</definedName>
    <definedName name="typearra">#REF!</definedName>
    <definedName name="typedraft">#REF!</definedName>
    <definedName name="u" hidden="1">'[11]PROCPLAN-TOTAL'!#REF!</definedName>
    <definedName name="UNI_AA_VERSION" hidden="1">"322.3.0"</definedName>
    <definedName name="UNI_FILT_OFFSPEC" hidden="1">2</definedName>
    <definedName name="UNI_FILT_ONSPEC" hidden="1">1</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loadingpoint">#REF!</definedName>
    <definedName name="us">#REF!</definedName>
    <definedName name="User_Language">#REF!</definedName>
    <definedName name="User_Level">#REF!</definedName>
    <definedName name="User_Region">#REF!</definedName>
    <definedName name="User_Site_AP">#REF!</definedName>
    <definedName name="User_Site_EU">#REF!</definedName>
    <definedName name="User_Site_NA">#REF!</definedName>
    <definedName name="User_Status">#REF!</definedName>
    <definedName name="user_status_de">#REF!</definedName>
    <definedName name="user_status_en">#REF!</definedName>
    <definedName name="User_TDS_Type">#REF!</definedName>
    <definedName name="User_Type">#REF!</definedName>
    <definedName name="uu" localSheetId="7" hidden="1">{#N/A,#N/A,TRUE,"COVER";#N/A,#N/A,TRUE,"CONTENTS";#N/A,#N/A,TRUE,"CALC SHEET FOR MMA AND PET";#N/A,#N/A,TRUE,"LOAD LIST FOR MMA AND PET"}</definedName>
    <definedName name="uu" hidden="1">{#N/A,#N/A,TRUE,"COVER";#N/A,#N/A,TRUE,"CONTENTS";#N/A,#N/A,TRUE,"CALC SHEET FOR MMA AND PET";#N/A,#N/A,TRUE,"LOAD LIST FOR MMA AND PET"}</definedName>
    <definedName name="vbnc" localSheetId="7" hidden="1">{#N/A,#N/A,FALSE,"cover";#N/A,#N/A,FALSE,"page_1";#N/A,#N/A,FALSE,"page_2";#N/A,#N/A,FALSE,"page_3";#N/A,#N/A,FALSE,"page_4"}</definedName>
    <definedName name="vbnc" hidden="1">{#N/A,#N/A,FALSE,"cover";#N/A,#N/A,FALSE,"page_1";#N/A,#N/A,FALSE,"page_2";#N/A,#N/A,FALSE,"page_3";#N/A,#N/A,FALSE,"page_4"}</definedName>
    <definedName name="VITAL">#REF!</definedName>
    <definedName name="VK" localSheetId="7" hidden="1">{#N/A,#N/A,FALSE,"Vessel1 1";#N/A,#N/A,FALSE,"Vessel1 2";#N/A,#N/A,FALSE,"Vessel1 3";#N/A,#N/A,FALSE,"Vessel1 4";#N/A,#N/A,FALSE,"Vessel1 5";#N/A,#N/A,FALSE,"Vessel1 6";#N/A,#N/A,FALSE,"Vessel1 7";#N/A,#N/A,FALSE,"Vessel1 8";#N/A,#N/A,FALSE,"Vessel1 9";#N/A,#N/A,FALSE,"Vessel1 10";#N/A,#N/A,FALSE,"Vessel1 11"}</definedName>
    <definedName name="VK" hidden="1">{#N/A,#N/A,FALSE,"Vessel1 1";#N/A,#N/A,FALSE,"Vessel1 2";#N/A,#N/A,FALSE,"Vessel1 3";#N/A,#N/A,FALSE,"Vessel1 4";#N/A,#N/A,FALSE,"Vessel1 5";#N/A,#N/A,FALSE,"Vessel1 6";#N/A,#N/A,FALSE,"Vessel1 7";#N/A,#N/A,FALSE,"Vessel1 8";#N/A,#N/A,FALSE,"Vessel1 9";#N/A,#N/A,FALSE,"Vessel1 10";#N/A,#N/A,FALSE,"Vessel1 11"}</definedName>
    <definedName name="vol">#REF!</definedName>
    <definedName name="volflow">#REF!</definedName>
    <definedName name="volmassflow">#REF!</definedName>
    <definedName name="VOLT">#REF!</definedName>
    <definedName name="voltagesupply">#REF!</definedName>
    <definedName name="volume">#REF!</definedName>
    <definedName name="vz" localSheetId="7"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vz"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w" hidden="1">#REF!</definedName>
    <definedName name="washer">#REF!</definedName>
    <definedName name="waterhazardclass">#REF!</definedName>
    <definedName name="weight">#REF!</definedName>
    <definedName name="weldedtubess">#REF!</definedName>
    <definedName name="weldedtubesscoat">#REF!</definedName>
    <definedName name="weldfactor">#REF!</definedName>
    <definedName name="windload">#REF!</definedName>
    <definedName name="windloadtank">#REF!</definedName>
    <definedName name="wiperelementsmat">#REF!</definedName>
    <definedName name="wpq">#REF!</definedName>
    <definedName name="wrn.A." localSheetId="7" hidden="1">{#N/A,#N/A,FALSE,"Pumps 1";#N/A,#N/A,FALSE,"Pumps 2";#N/A,#N/A,FALSE,"Pumps 3";#N/A,#N/A,FALSE,"Pumps 4";#N/A,#N/A,FALSE,"Pumps 5";#N/A,#N/A,FALSE,"Pumps 6"}</definedName>
    <definedName name="wrn.A." hidden="1">{#N/A,#N/A,FALSE,"Pumps 1";#N/A,#N/A,FALSE,"Pumps 2";#N/A,#N/A,FALSE,"Pumps 3";#N/A,#N/A,FALSE,"Pumps 4";#N/A,#N/A,FALSE,"Pumps 5";#N/A,#N/A,FALSE,"Pumps 6"}</definedName>
    <definedName name="wrn.AUTOTR." localSheetId="7" hidden="1">{#N/A,#N/A,TRUE,"COVER";#N/A,#N/A,TRUE,"CONTENTS";#N/A,#N/A,TRUE,"CALC SHEET FOR MMA AND PET";#N/A,#N/A,TRUE,"LOAD LIST FOR MMA AND PET"}</definedName>
    <definedName name="wrn.AUTOTR." hidden="1">{#N/A,#N/A,TRUE,"COVER";#N/A,#N/A,TRUE,"CONTENTS";#N/A,#N/A,TRUE,"CALC SHEET FOR MMA AND PET";#N/A,#N/A,TRUE,"LOAD LIST FOR MMA AND PET"}</definedName>
    <definedName name="wrn.BOM._.OPTI._.6000._.ALT._.2." localSheetId="7" hidden="1">{"AH36 MTO BOM - Landscape",#N/A,TRUE,"MTO BOM Summary Data - AH36";"EH36 MTO BOM - Landscape",#N/A,TRUE,"MTO BOM Summary Data - EH36";"MTO Plt - Landscape",#N/A,TRUE,"MTO Plt";"MTO Pipe - Portrait",#N/A,TRUE,"MTO Pipe"}</definedName>
    <definedName name="wrn.BOM._.OPTI._.6000._.ALT._.2." hidden="1">{"AH36 MTO BOM - Landscape",#N/A,TRUE,"MTO BOM Summary Data - AH36";"EH36 MTO BOM - Landscape",#N/A,TRUE,"MTO BOM Summary Data - EH36";"MTO Plt - Landscape",#N/A,TRUE,"MTO Plt";"MTO Pipe - Portrait",#N/A,TRUE,"MTO Pipe"}</definedName>
    <definedName name="wrn.calculation._.sheets" localSheetId="7" hidden="1">{#N/A,#N/A,FALSE,"cover";#N/A,#N/A,FALSE,"page_1";#N/A,#N/A,FALSE,"page_2";#N/A,#N/A,FALSE,"page_3";#N/A,#N/A,FALSE,"page_4"}</definedName>
    <definedName name="wrn.calculation._.sheets" hidden="1">{#N/A,#N/A,FALSE,"cover";#N/A,#N/A,FALSE,"page_1";#N/A,#N/A,FALSE,"page_2";#N/A,#N/A,FALSE,"page_3";#N/A,#N/A,FALSE,"page_4"}</definedName>
    <definedName name="wrn.Calulation._.Sheets." localSheetId="7" hidden="1">{#N/A,#N/A,FALSE,"cover";#N/A,#N/A,FALSE,"page_1";#N/A,#N/A,FALSE,"page_2";#N/A,#N/A,FALSE,"page_3";#N/A,#N/A,FALSE,"page_4"}</definedName>
    <definedName name="wrn.Calulation._.Sheets." hidden="1">{#N/A,#N/A,FALSE,"cover";#N/A,#N/A,FALSE,"page_1";#N/A,#N/A,FALSE,"page_2";#N/A,#N/A,FALSE,"page_3";#N/A,#N/A,FALSE,"page_4"}</definedName>
    <definedName name="wrn.Complete._.Cost._.Sheet." localSheetId="7"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st._.Summary." localSheetId="7" hidden="1">{"Cost Summary",#N/A,FALSE,"B";"Cost Detail 1",#N/A,FALSE,"C";"Cost Detail 2",#N/A,FALSE,"C"}</definedName>
    <definedName name="wrn.Cost._.Summary." hidden="1">{"Cost Summary",#N/A,FALSE,"B";"Cost Detail 1",#N/A,FALSE,"C";"Cost Detail 2",#N/A,FALSE,"C"}</definedName>
    <definedName name="wrn.costprint." localSheetId="7"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7"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OL." localSheetId="7" hidden="1">{#N/A,#N/A,FALSE,"COVER";#N/A,#N/A,FALSE,"CONTENTS";#N/A,#N/A,FALSE,"CALC SHEET FOR MMA AND PET DOL";#N/A,#N/A,FALSE,"LOAD LIST FOR MMA AND PET DOL"}</definedName>
    <definedName name="wrn.DOL." hidden="1">{#N/A,#N/A,FALSE,"COVER";#N/A,#N/A,FALSE,"CONTENTS";#N/A,#N/A,FALSE,"CALC SHEET FOR MMA AND PET DOL";#N/A,#N/A,FALSE,"LOAD LIST FOR MMA AND PET DOL"}</definedName>
    <definedName name="wrn.Equip._.List." localSheetId="7" hidden="1">{#N/A,#N/A,FALSE,"COVER";#N/A,#N/A,FALSE,"CPPEQUIP"}</definedName>
    <definedName name="wrn.Equip._.List." hidden="1">{#N/A,#N/A,FALSE,"COVER";#N/A,#N/A,FALSE,"CPPEQUIP"}</definedName>
    <definedName name="wrn.Equipment._.List." localSheetId="7" hidden="1">{#N/A,#N/A,FALSE,"Sheet2";#N/A,#N/A,FALSE,"Sheet1"}</definedName>
    <definedName name="wrn.Equipment._.List." hidden="1">{#N/A,#N/A,FALSE,"Sheet2";#N/A,#N/A,FALSE,"Sheet1"}</definedName>
    <definedName name="wrn.Extended._.Equipment._.List." localSheetId="7" hidden="1">{#N/A,#N/A,FALSE,"Sheet2";#N/A,#N/A,FALSE,"Sheet1 (2)";#N/A,#N/A,FALSE,"Sheet1 (3)";#N/A,#N/A,FALSE,"Sheet1 (4)";#N/A,#N/A,FALSE,"Sheet1 (5)";#N/A,#N/A,FALSE,"Sheet1 (6)";#N/A,#N/A,FALSE,"Sheet1 (7)";#N/A,#N/A,FALSE,"Sheet1 (8)";#N/A,#N/A,FALSE,"Sheet1 (9)";#N/A,#N/A,FALSE,"Sheet1 (10)"}</definedName>
    <definedName name="wrn.Extended._.Equipment._.List." hidden="1">{#N/A,#N/A,FALSE,"Sheet2";#N/A,#N/A,FALSE,"Sheet1 (2)";#N/A,#N/A,FALSE,"Sheet1 (3)";#N/A,#N/A,FALSE,"Sheet1 (4)";#N/A,#N/A,FALSE,"Sheet1 (5)";#N/A,#N/A,FALSE,"Sheet1 (6)";#N/A,#N/A,FALSE,"Sheet1 (7)";#N/A,#N/A,FALSE,"Sheet1 (8)";#N/A,#N/A,FALSE,"Sheet1 (9)";#N/A,#N/A,FALSE,"Sheet1 (10)"}</definedName>
    <definedName name="wrn.full." localSheetId="7"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Manpower._.Details." localSheetId="7"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Printing." localSheetId="7"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Requisition." localSheetId="7" hidden="1">{#N/A,#N/A,FALSE,"INT.TRANSMIT ";#N/A,#N/A,FALSE,"SCOPE";#N/A,#N/A,FALSE,"General notes";#N/A,#N/A,FALSE,"Manufacturing &amp;Inspection";#N/A,#N/A,FALSE,"Shipping";#N/A,#N/A,FALSE,"VDR-301 (3)";#N/A,#N/A,FALSE,"Instruct. Handling Vdr Docs (4)";#N/A,#N/A,FALSE,"Quality Dossier (5)";#N/A,#N/A,FALSE,"IOM (6)"}</definedName>
    <definedName name="wrn.Requisition." hidden="1">{#N/A,#N/A,FALSE,"INT.TRANSMIT ";#N/A,#N/A,FALSE,"SCOPE";#N/A,#N/A,FALSE,"General notes";#N/A,#N/A,FALSE,"Manufacturing &amp;Inspection";#N/A,#N/A,FALSE,"Shipping";#N/A,#N/A,FALSE,"VDR-301 (3)";#N/A,#N/A,FALSE,"Instruct. Handling Vdr Docs (4)";#N/A,#N/A,FALSE,"Quality Dossier (5)";#N/A,#N/A,FALSE,"IOM (6)"}</definedName>
    <definedName name="wrn.Sensitivity._.Pack._.Add._.Equity." localSheetId="7" hidden="1">{"Sens: Input",#N/A,FALSE,"Input parameters";"Sens: Cash Con",#N/A,FALSE,"Input parameters";"Sens: P&amp;L Con",#N/A,FALSE,"Input parameters"}</definedName>
    <definedName name="wrn.Sensitivity._.Pack._.Add._.Equity." hidden="1">{"Sens: Input",#N/A,FALSE,"Input parameters";"Sens: Cash Con",#N/A,FALSE,"Input parameters";"Sens: P&amp;L Con",#N/A,FALSE,"Input parameters"}</definedName>
    <definedName name="wrn.Sensitivity._.Pack._.All." localSheetId="7"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All."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FX._.Rate." localSheetId="7"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FX._.Rate."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Interest._.Rate." localSheetId="7" hidden="1">{"Sens: Input",#N/A,FALSE,"Input parameters";"Sens: P&amp;L Con",#N/A,FALSE,"Input parameters";"Sens: Cash Con",#N/A,FALSE,"Input parameters";"Sens: Cash Harry",#N/A,FALSE,"Input parameters"}</definedName>
    <definedName name="wrn.Sensitivity._.Pack._.Interest._.Rate." hidden="1">{"Sens: Input",#N/A,FALSE,"Input parameters";"Sens: P&amp;L Con",#N/A,FALSE,"Input parameters";"Sens: Cash Con",#N/A,FALSE,"Input parameters";"Sens: Cash Harry",#N/A,FALSE,"Input parameters"}</definedName>
    <definedName name="wrn.Sensitivity._.Pack._.Oil._.Price." localSheetId="7" hidden="1">{"Sens: Input",#N/A,FALSE,"Input parameters";"Sens: P&amp;L Con",#N/A,FALSE,"Input parameters";"Sens: Cash Con",#N/A,FALSE,"Input parameters";"Sens: Sales",#N/A,FALSE,"Input parameters";"Sens: Swap",#N/A,FALSE,"Input parameters"}</definedName>
    <definedName name="wrn.Sensitivity._.Pack._.Oil._.Price." hidden="1">{"Sens: Input",#N/A,FALSE,"Input parameters";"Sens: P&amp;L Con",#N/A,FALSE,"Input parameters";"Sens: Cash Con",#N/A,FALSE,"Input parameters";"Sens: Sales",#N/A,FALSE,"Input parameters";"Sens: Swap",#N/A,FALSE,"Input parameters"}</definedName>
    <definedName name="wrn.Sensitivity._.Pack._.Opex." localSheetId="7" hidden="1">{"Sens: Input",#N/A,FALSE,"Input parameters";"Sens: P&amp;L Con",#N/A,FALSE,"Input parameters";"Sens: Cash Con",#N/A,FALSE,"Input parameters";"Sens: Opex",#N/A,FALSE,"Input parameters"}</definedName>
    <definedName name="wrn.Sensitivity._.Pack._.Opex." hidden="1">{"Sens: Input",#N/A,FALSE,"Input parameters";"Sens: P&amp;L Con",#N/A,FALSE,"Input parameters";"Sens: Cash Con",#N/A,FALSE,"Input parameters";"Sens: Opex",#N/A,FALSE,"Input parameters"}</definedName>
    <definedName name="wrn.Sensitivity._.Pack._.Prod._.Delay." localSheetId="7" hidden="1">{"Sens: Input",#N/A,FALSE,"Input parameters";"Sens: P&amp;L Con",#N/A,FALSE,"Input parameters";"Sens: Cash Con",#N/A,FALSE,"Input parameters";"Sens: Prod",#N/A,FALSE,"Input parameters";"Sens: Opex",#N/A,FALSE,"Input parameters";"Sens: Sales",#N/A,FALSE,"Input parameters"}</definedName>
    <definedName name="wrn.Sensitivity._.Pack._.Prod._.Delay." hidden="1">{"Sens: Input",#N/A,FALSE,"Input parameters";"Sens: P&amp;L Con",#N/A,FALSE,"Input parameters";"Sens: Cash Con",#N/A,FALSE,"Input parameters";"Sens: Prod",#N/A,FALSE,"Input parameters";"Sens: Opex",#N/A,FALSE,"Input parameters";"Sens: Sales",#N/A,FALSE,"Input parameters"}</definedName>
    <definedName name="wrn.Sensitivity._.Pack._.Production." localSheetId="7" hidden="1">{"Sens: Input",#N/A,FALSE,"Input parameters";"Sens: P&amp;L Con",#N/A,FALSE,"Input parameters";"Sens: Cash Con",#N/A,FALSE,"Input parameters";"Sens: Prod",#N/A,FALSE,"Input parameters"}</definedName>
    <definedName name="wrn.Sensitivity._.Pack._.Production." hidden="1">{"Sens: Input",#N/A,FALSE,"Input parameters";"Sens: P&amp;L Con",#N/A,FALSE,"Input parameters";"Sens: Cash Con",#N/A,FALSE,"Input parameters";"Sens: Prod",#N/A,FALSE,"Input parameters"}</definedName>
    <definedName name="wrn.Sensitivity._.Pack._.Saltfltby._.Reserves." localSheetId="7"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ensitivity._.Pack._.Saltfltby._.Reserves."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intesi." localSheetId="7" hidden="1">{#N/A,#N/A,FALSE,"1 SUMM";#N/A,#N/A,FALSE,"4 FACIL"}</definedName>
    <definedName name="wrn.sintesi." hidden="1">{#N/A,#N/A,FALSE,"1 SUMM";#N/A,#N/A,FALSE,"4 FACIL"}</definedName>
    <definedName name="wrn.TO._.HITACHI." localSheetId="7" hidden="1">{#N/A,#N/A,FALSE,"B-Rated fire doors"}</definedName>
    <definedName name="wrn.TO._.HITACHI." hidden="1">{#N/A,#N/A,FALSE,"B-Rated fire doors"}</definedName>
    <definedName name="x" localSheetId="7" hidden="1">{"Sens: Input",#N/A,FALSE,"Input parameters";"Sens: P&amp;L Con",#N/A,FALSE,"Input parameters";"Sens: Cash Con",#N/A,FALSE,"Input parameters";"Sens: Cash Harry",#N/A,FALSE,"Input parameters"}</definedName>
    <definedName name="x" hidden="1">{"Sens: Input",#N/A,FALSE,"Input parameters";"Sens: P&amp;L Con",#N/A,FALSE,"Input parameters";"Sens: Cash Con",#N/A,FALSE,"Input parameters";"Sens: Cash Harry",#N/A,FALSE,"Input parameters"}</definedName>
    <definedName name="xray">#REF!</definedName>
    <definedName name="xv" localSheetId="7" hidden="1">{#N/A,#N/A,FALSE,"cover";#N/A,#N/A,FALSE,"page_1";#N/A,#N/A,FALSE,"page_2";#N/A,#N/A,FALSE,"page_3";#N/A,#N/A,FALSE,"page_4"}</definedName>
    <definedName name="xv" hidden="1">{#N/A,#N/A,FALSE,"cover";#N/A,#N/A,FALSE,"page_1";#N/A,#N/A,FALSE,"page_2";#N/A,#N/A,FALSE,"page_3";#N/A,#N/A,FALSE,"page_4"}</definedName>
    <definedName name="xx" localSheetId="7" hidden="1">{#N/A,#N/A,FALSE,"Vessel1 1";#N/A,#N/A,FALSE,"Vessel1 2";#N/A,#N/A,FALSE,"Vessel1 3";#N/A,#N/A,FALSE,"Vessel1 4";#N/A,#N/A,FALSE,"Vessel1 5";#N/A,#N/A,FALSE,"Vessel1 6";#N/A,#N/A,FALSE,"Vessel1 7";#N/A,#N/A,FALSE,"Vessel1 8";#N/A,#N/A,FALSE,"Vessel1 9";#N/A,#N/A,FALSE,"Vessel1 10";#N/A,#N/A,FALSE,"Vessel1 11"}</definedName>
    <definedName name="xx" hidden="1">{#N/A,#N/A,FALSE,"Vessel1 1";#N/A,#N/A,FALSE,"Vessel1 2";#N/A,#N/A,FALSE,"Vessel1 3";#N/A,#N/A,FALSE,"Vessel1 4";#N/A,#N/A,FALSE,"Vessel1 5";#N/A,#N/A,FALSE,"Vessel1 6";#N/A,#N/A,FALSE,"Vessel1 7";#N/A,#N/A,FALSE,"Vessel1 8";#N/A,#N/A,FALSE,"Vessel1 9";#N/A,#N/A,FALSE,"Vessel1 10";#N/A,#N/A,FALSE,"Vessel1 11"}</definedName>
    <definedName name="xxx" localSheetId="7" hidden="1">{#N/A,#N/A,FALSE,"Vessel1 1";#N/A,#N/A,FALSE,"Vessel1 2";#N/A,#N/A,FALSE,"Vessel1 3";#N/A,#N/A,FALSE,"Vessel1 4";#N/A,#N/A,FALSE,"Vessel1 5";#N/A,#N/A,FALSE,"Vessel1 6";#N/A,#N/A,FALSE,"Vessel1 7";#N/A,#N/A,FALSE,"Vessel1 8";#N/A,#N/A,FALSE,"Vessel1 9";#N/A,#N/A,FALSE,"Vessel1 10";#N/A,#N/A,FALSE,"Vessel1 11"}</definedName>
    <definedName name="xxx" hidden="1">{#N/A,#N/A,FALSE,"Vessel1 1";#N/A,#N/A,FALSE,"Vessel1 2";#N/A,#N/A,FALSE,"Vessel1 3";#N/A,#N/A,FALSE,"Vessel1 4";#N/A,#N/A,FALSE,"Vessel1 5";#N/A,#N/A,FALSE,"Vessel1 6";#N/A,#N/A,FALSE,"Vessel1 7";#N/A,#N/A,FALSE,"Vessel1 8";#N/A,#N/A,FALSE,"Vessel1 9";#N/A,#N/A,FALSE,"Vessel1 10";#N/A,#N/A,FALSE,"Vessel1 11"}</definedName>
    <definedName name="xza" localSheetId="7"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xza"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yellowchromate">#REF!</definedName>
    <definedName name="zone">#REF!</definedName>
    <definedName name="zz" hidden="1">'[11]PROCPLAN-TOTAL'!#REF!</definedName>
    <definedName name="zzz" hidden="1">'[33]M 11'!#REF!</definedName>
    <definedName name="zzzz" localSheetId="7" hidden="1">{#N/A,#N/A,FALSE,"cover";#N/A,#N/A,FALSE,"page_1";#N/A,#N/A,FALSE,"page_2";#N/A,#N/A,FALSE,"page_3";#N/A,#N/A,FALSE,"page_4"}</definedName>
    <definedName name="zzzz" hidden="1">{#N/A,#N/A,FALSE,"cover";#N/A,#N/A,FALSE,"page_1";#N/A,#N/A,FALSE,"page_2";#N/A,#N/A,FALSE,"page_3";#N/A,#N/A,FALSE,"page_4"}</definedName>
    <definedName name="zzzzz" localSheetId="7" hidden="1">{#N/A,#N/A,FALSE,"cover";#N/A,#N/A,FALSE,"page_1";#N/A,#N/A,FALSE,"page_2";#N/A,#N/A,FALSE,"page_3";#N/A,#N/A,FALSE,"page_4"}</definedName>
    <definedName name="zzzzz" hidden="1">{#N/A,#N/A,FALSE,"cover";#N/A,#N/A,FALSE,"page_1";#N/A,#N/A,FALSE,"page_2";#N/A,#N/A,FALSE,"page_3";#N/A,#N/A,FALSE,"page_4"}</definedName>
    <definedName name="zzzzzz" localSheetId="7" hidden="1">{#N/A,#N/A,FALSE,"cover";#N/A,#N/A,FALSE,"page_1";#N/A,#N/A,FALSE,"page_2";#N/A,#N/A,FALSE,"page_3";#N/A,#N/A,FALSE,"page_4"}</definedName>
    <definedName name="zzzzzz" hidden="1">{#N/A,#N/A,FALSE,"cover";#N/A,#N/A,FALSE,"page_1";#N/A,#N/A,FALSE,"page_2";#N/A,#N/A,FALSE,"page_3";#N/A,#N/A,FALSE,"page_4"}</definedName>
    <definedName name="견적갑지무" localSheetId="7" hidden="1">{"'장비'!$A$3:$M$12"}</definedName>
    <definedName name="견적갑지무" hidden="1">{"'장비'!$A$3:$M$12"}</definedName>
    <definedName name="견적조건" hidden="1">[34]산근!#REF!</definedName>
    <definedName name="부대공사"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28" i="3" l="1"/>
  <c r="U101" i="3"/>
  <c r="V101" i="3"/>
  <c r="AV300" i="2"/>
  <c r="AU300" i="2"/>
  <c r="AT300" i="2"/>
  <c r="AS300" i="2"/>
  <c r="AR300" i="2"/>
  <c r="AQ300" i="2"/>
  <c r="AP300" i="2"/>
  <c r="AO300" i="2"/>
  <c r="AN300" i="2"/>
  <c r="AM300" i="2"/>
  <c r="I300" i="2"/>
  <c r="F300" i="2"/>
  <c r="E300" i="2"/>
  <c r="AV299" i="2"/>
  <c r="AU299" i="2"/>
  <c r="AT299" i="2"/>
  <c r="AS299" i="2"/>
  <c r="AR299" i="2"/>
  <c r="AQ299" i="2"/>
  <c r="AP299" i="2"/>
  <c r="AO299" i="2"/>
  <c r="AN299" i="2"/>
  <c r="AM299" i="2"/>
  <c r="AB299" i="2"/>
  <c r="AA299" i="2"/>
  <c r="Z299" i="2"/>
  <c r="Y299" i="2"/>
  <c r="X299" i="2"/>
  <c r="W299" i="2"/>
  <c r="V299" i="2"/>
  <c r="U299" i="2"/>
  <c r="T299" i="2"/>
  <c r="S299" i="2"/>
  <c r="L299" i="2"/>
  <c r="I299" i="2"/>
  <c r="F299" i="2"/>
  <c r="E299" i="2"/>
  <c r="AV298" i="2"/>
  <c r="AU298" i="2"/>
  <c r="AT298" i="2"/>
  <c r="AS298" i="2"/>
  <c r="AR298" i="2"/>
  <c r="AQ298" i="2"/>
  <c r="AP298" i="2"/>
  <c r="AO298" i="2"/>
  <c r="AN298" i="2"/>
  <c r="AM298" i="2"/>
  <c r="AJ298" i="2"/>
  <c r="AF298" i="2"/>
  <c r="AB298" i="2"/>
  <c r="AA298" i="2"/>
  <c r="Z298" i="2"/>
  <c r="Y298" i="2"/>
  <c r="X298" i="2"/>
  <c r="W298" i="2"/>
  <c r="V298" i="2"/>
  <c r="U298" i="2"/>
  <c r="T298" i="2"/>
  <c r="S298" i="2"/>
  <c r="K298" i="2"/>
  <c r="A298" i="2"/>
  <c r="AV297" i="2"/>
  <c r="AU297" i="2"/>
  <c r="AT297" i="2"/>
  <c r="AS297" i="2"/>
  <c r="AR297" i="2"/>
  <c r="AQ297" i="2"/>
  <c r="AP297" i="2"/>
  <c r="AO297" i="2"/>
  <c r="AN297" i="2"/>
  <c r="AM297" i="2"/>
  <c r="I297" i="2"/>
  <c r="H297" i="2"/>
  <c r="F297" i="2"/>
  <c r="E297" i="2"/>
  <c r="D297" i="2"/>
  <c r="AV296" i="2"/>
  <c r="AU296" i="2"/>
  <c r="AT296" i="2"/>
  <c r="AS296" i="2"/>
  <c r="AR296" i="2"/>
  <c r="AQ296" i="2"/>
  <c r="AP296" i="2"/>
  <c r="AO296" i="2"/>
  <c r="AN296" i="2"/>
  <c r="AM296" i="2"/>
  <c r="AB296" i="2"/>
  <c r="AA296" i="2"/>
  <c r="Z296" i="2"/>
  <c r="Y296" i="2"/>
  <c r="X296" i="2"/>
  <c r="W296" i="2"/>
  <c r="V296" i="2"/>
  <c r="U296" i="2"/>
  <c r="T296" i="2"/>
  <c r="S296" i="2"/>
  <c r="L296" i="2"/>
  <c r="I296" i="2"/>
  <c r="H296" i="2"/>
  <c r="F296" i="2"/>
  <c r="E296" i="2"/>
  <c r="D296" i="2"/>
  <c r="AV295" i="2"/>
  <c r="AU295" i="2"/>
  <c r="AT295" i="2"/>
  <c r="AS295" i="2"/>
  <c r="AR295" i="2"/>
  <c r="AQ295" i="2"/>
  <c r="AP295" i="2"/>
  <c r="AO295" i="2"/>
  <c r="AN295" i="2"/>
  <c r="AM295" i="2"/>
  <c r="AJ295" i="2"/>
  <c r="AF295" i="2"/>
  <c r="AB295" i="2"/>
  <c r="AA295" i="2"/>
  <c r="Z295" i="2"/>
  <c r="Y295" i="2"/>
  <c r="X295" i="2"/>
  <c r="W295" i="2"/>
  <c r="V295" i="2"/>
  <c r="U295" i="2"/>
  <c r="T295" i="2"/>
  <c r="S295" i="2"/>
  <c r="K295" i="2"/>
  <c r="A295" i="2"/>
  <c r="AV294" i="2"/>
  <c r="AU294" i="2"/>
  <c r="AT294" i="2"/>
  <c r="AS294" i="2"/>
  <c r="AR294" i="2"/>
  <c r="AQ294" i="2"/>
  <c r="AP294" i="2"/>
  <c r="AO294" i="2"/>
  <c r="AN294" i="2"/>
  <c r="AM294" i="2"/>
  <c r="I294" i="2"/>
  <c r="H294" i="2"/>
  <c r="F294" i="2"/>
  <c r="E294" i="2"/>
  <c r="D294" i="2"/>
  <c r="AV293" i="2"/>
  <c r="AU293" i="2"/>
  <c r="AT293" i="2"/>
  <c r="AS293" i="2"/>
  <c r="AR293" i="2"/>
  <c r="AQ293" i="2"/>
  <c r="AP293" i="2"/>
  <c r="AO293" i="2"/>
  <c r="AN293" i="2"/>
  <c r="AM293" i="2"/>
  <c r="AB293" i="2"/>
  <c r="AA293" i="2"/>
  <c r="Z293" i="2"/>
  <c r="Y293" i="2"/>
  <c r="X293" i="2"/>
  <c r="W293" i="2"/>
  <c r="V293" i="2"/>
  <c r="U293" i="2"/>
  <c r="T293" i="2"/>
  <c r="S293" i="2"/>
  <c r="L293" i="2"/>
  <c r="I293" i="2"/>
  <c r="H293" i="2"/>
  <c r="F293" i="2"/>
  <c r="E293" i="2"/>
  <c r="D293" i="2"/>
  <c r="AV292" i="2"/>
  <c r="AU292" i="2"/>
  <c r="AT292" i="2"/>
  <c r="AS292" i="2"/>
  <c r="AR292" i="2"/>
  <c r="AQ292" i="2"/>
  <c r="AP292" i="2"/>
  <c r="AO292" i="2"/>
  <c r="AN292" i="2"/>
  <c r="AM292" i="2"/>
  <c r="AJ292" i="2"/>
  <c r="AF292" i="2"/>
  <c r="AB292" i="2"/>
  <c r="AA292" i="2"/>
  <c r="Z292" i="2"/>
  <c r="Y292" i="2"/>
  <c r="X292" i="2"/>
  <c r="W292" i="2"/>
  <c r="V292" i="2"/>
  <c r="U292" i="2"/>
  <c r="T292" i="2"/>
  <c r="S292" i="2"/>
  <c r="K292" i="2"/>
  <c r="A292" i="2"/>
  <c r="AV291" i="2"/>
  <c r="AU291" i="2"/>
  <c r="AT291" i="2"/>
  <c r="AS291" i="2"/>
  <c r="AR291" i="2"/>
  <c r="AQ291" i="2"/>
  <c r="AP291" i="2"/>
  <c r="AO291" i="2"/>
  <c r="AN291" i="2"/>
  <c r="AM291" i="2"/>
  <c r="I291" i="2"/>
  <c r="H291" i="2"/>
  <c r="F291" i="2"/>
  <c r="E291" i="2"/>
  <c r="D291" i="2"/>
  <c r="AV290" i="2"/>
  <c r="AU290" i="2"/>
  <c r="AT290" i="2"/>
  <c r="AS290" i="2"/>
  <c r="AR290" i="2"/>
  <c r="AQ290" i="2"/>
  <c r="AP290" i="2"/>
  <c r="AO290" i="2"/>
  <c r="AN290" i="2"/>
  <c r="AM290" i="2"/>
  <c r="AB290" i="2"/>
  <c r="AA290" i="2"/>
  <c r="Z290" i="2"/>
  <c r="Y290" i="2"/>
  <c r="X290" i="2"/>
  <c r="W290" i="2"/>
  <c r="V290" i="2"/>
  <c r="U290" i="2"/>
  <c r="T290" i="2"/>
  <c r="S290" i="2"/>
  <c r="L290" i="2"/>
  <c r="I290" i="2"/>
  <c r="H290" i="2"/>
  <c r="F290" i="2"/>
  <c r="E290" i="2"/>
  <c r="D290" i="2"/>
  <c r="AV289" i="2"/>
  <c r="AU289" i="2"/>
  <c r="AT289" i="2"/>
  <c r="AS289" i="2"/>
  <c r="AR289" i="2"/>
  <c r="AQ289" i="2"/>
  <c r="AP289" i="2"/>
  <c r="AO289" i="2"/>
  <c r="AN289" i="2"/>
  <c r="AM289" i="2"/>
  <c r="AJ289" i="2"/>
  <c r="AF289" i="2"/>
  <c r="AB289" i="2"/>
  <c r="AA289" i="2"/>
  <c r="Z289" i="2"/>
  <c r="Y289" i="2"/>
  <c r="X289" i="2"/>
  <c r="W289" i="2"/>
  <c r="V289" i="2"/>
  <c r="U289" i="2"/>
  <c r="T289" i="2"/>
  <c r="S289" i="2"/>
  <c r="K289" i="2"/>
  <c r="A289" i="2"/>
  <c r="AV288" i="2"/>
  <c r="AU288" i="2"/>
  <c r="AT288" i="2"/>
  <c r="AS288" i="2"/>
  <c r="AR288" i="2"/>
  <c r="AQ288" i="2"/>
  <c r="AP288" i="2"/>
  <c r="AO288" i="2"/>
  <c r="AN288" i="2"/>
  <c r="AM288" i="2"/>
  <c r="I288" i="2"/>
  <c r="H288" i="2"/>
  <c r="F288" i="2"/>
  <c r="E288" i="2"/>
  <c r="D288" i="2"/>
  <c r="AV287" i="2"/>
  <c r="AU287" i="2"/>
  <c r="AT287" i="2"/>
  <c r="AS287" i="2"/>
  <c r="AR287" i="2"/>
  <c r="AQ287" i="2"/>
  <c r="AP287" i="2"/>
  <c r="AO287" i="2"/>
  <c r="AN287" i="2"/>
  <c r="AM287" i="2"/>
  <c r="AB287" i="2"/>
  <c r="AA287" i="2"/>
  <c r="Z287" i="2"/>
  <c r="Y287" i="2"/>
  <c r="X287" i="2"/>
  <c r="W287" i="2"/>
  <c r="V287" i="2"/>
  <c r="U287" i="2"/>
  <c r="T287" i="2"/>
  <c r="S287" i="2"/>
  <c r="L287" i="2"/>
  <c r="I287" i="2"/>
  <c r="H287" i="2"/>
  <c r="F287" i="2"/>
  <c r="E287" i="2"/>
  <c r="D287" i="2"/>
  <c r="AV286" i="2"/>
  <c r="AU286" i="2"/>
  <c r="AT286" i="2"/>
  <c r="AS286" i="2"/>
  <c r="AR286" i="2"/>
  <c r="AQ286" i="2"/>
  <c r="AP286" i="2"/>
  <c r="AO286" i="2"/>
  <c r="AN286" i="2"/>
  <c r="AM286" i="2"/>
  <c r="AJ286" i="2"/>
  <c r="AF286" i="2"/>
  <c r="AB286" i="2"/>
  <c r="AA286" i="2"/>
  <c r="Z286" i="2"/>
  <c r="Y286" i="2"/>
  <c r="X286" i="2"/>
  <c r="W286" i="2"/>
  <c r="V286" i="2"/>
  <c r="U286" i="2"/>
  <c r="T286" i="2"/>
  <c r="S286" i="2"/>
  <c r="K286" i="2"/>
  <c r="A286" i="2"/>
  <c r="AV285" i="2"/>
  <c r="AU285" i="2"/>
  <c r="AT285" i="2"/>
  <c r="AS285" i="2"/>
  <c r="AR285" i="2"/>
  <c r="AQ285" i="2"/>
  <c r="AP285" i="2"/>
  <c r="AO285" i="2"/>
  <c r="AN285" i="2"/>
  <c r="AM285" i="2"/>
  <c r="I285" i="2"/>
  <c r="H285" i="2"/>
  <c r="F285" i="2"/>
  <c r="E285" i="2"/>
  <c r="D285" i="2"/>
  <c r="AV284" i="2"/>
  <c r="AU284" i="2"/>
  <c r="AT284" i="2"/>
  <c r="AS284" i="2"/>
  <c r="AR284" i="2"/>
  <c r="AQ284" i="2"/>
  <c r="AP284" i="2"/>
  <c r="AO284" i="2"/>
  <c r="AN284" i="2"/>
  <c r="AM284" i="2"/>
  <c r="AB284" i="2"/>
  <c r="AA284" i="2"/>
  <c r="Z284" i="2"/>
  <c r="Y284" i="2"/>
  <c r="X284" i="2"/>
  <c r="W284" i="2"/>
  <c r="V284" i="2"/>
  <c r="U284" i="2"/>
  <c r="T284" i="2"/>
  <c r="S284" i="2"/>
  <c r="L284" i="2"/>
  <c r="I284" i="2"/>
  <c r="H284" i="2"/>
  <c r="F284" i="2"/>
  <c r="E284" i="2"/>
  <c r="D284" i="2"/>
  <c r="AV283" i="2"/>
  <c r="AU283" i="2"/>
  <c r="AT283" i="2"/>
  <c r="AS283" i="2"/>
  <c r="AR283" i="2"/>
  <c r="AQ283" i="2"/>
  <c r="AP283" i="2"/>
  <c r="AO283" i="2"/>
  <c r="AN283" i="2"/>
  <c r="AM283" i="2"/>
  <c r="AJ283" i="2"/>
  <c r="AF283" i="2"/>
  <c r="AB283" i="2"/>
  <c r="AA283" i="2"/>
  <c r="Z283" i="2"/>
  <c r="Y283" i="2"/>
  <c r="X283" i="2"/>
  <c r="W283" i="2"/>
  <c r="V283" i="2"/>
  <c r="U283" i="2"/>
  <c r="T283" i="2"/>
  <c r="S283" i="2"/>
  <c r="K283" i="2"/>
  <c r="A283" i="2"/>
  <c r="AV282" i="2"/>
  <c r="AU282" i="2"/>
  <c r="AT282" i="2"/>
  <c r="AS282" i="2"/>
  <c r="AR282" i="2"/>
  <c r="AQ282" i="2"/>
  <c r="AP282" i="2"/>
  <c r="AO282" i="2"/>
  <c r="AN282" i="2"/>
  <c r="AM282" i="2"/>
  <c r="I282" i="2"/>
  <c r="H282" i="2"/>
  <c r="F282" i="2"/>
  <c r="E282" i="2"/>
  <c r="D282" i="2"/>
  <c r="AV281" i="2"/>
  <c r="AU281" i="2"/>
  <c r="AT281" i="2"/>
  <c r="AS281" i="2"/>
  <c r="AR281" i="2"/>
  <c r="AQ281" i="2"/>
  <c r="AP281" i="2"/>
  <c r="AO281" i="2"/>
  <c r="AN281" i="2"/>
  <c r="AM281" i="2"/>
  <c r="AB281" i="2"/>
  <c r="AA281" i="2"/>
  <c r="Z281" i="2"/>
  <c r="Y281" i="2"/>
  <c r="X281" i="2"/>
  <c r="W281" i="2"/>
  <c r="V281" i="2"/>
  <c r="U281" i="2"/>
  <c r="T281" i="2"/>
  <c r="S281" i="2"/>
  <c r="L281" i="2"/>
  <c r="I281" i="2"/>
  <c r="H281" i="2"/>
  <c r="F281" i="2"/>
  <c r="E281" i="2"/>
  <c r="D281" i="2"/>
  <c r="AV280" i="2"/>
  <c r="AU280" i="2"/>
  <c r="AT280" i="2"/>
  <c r="AS280" i="2"/>
  <c r="AR280" i="2"/>
  <c r="AQ280" i="2"/>
  <c r="AP280" i="2"/>
  <c r="AO280" i="2"/>
  <c r="AN280" i="2"/>
  <c r="AM280" i="2"/>
  <c r="AJ280" i="2"/>
  <c r="AF280" i="2"/>
  <c r="AB280" i="2"/>
  <c r="AA280" i="2"/>
  <c r="Z280" i="2"/>
  <c r="Y280" i="2"/>
  <c r="X280" i="2"/>
  <c r="W280" i="2"/>
  <c r="V280" i="2"/>
  <c r="U280" i="2"/>
  <c r="T280" i="2"/>
  <c r="S280" i="2"/>
  <c r="K280" i="2"/>
  <c r="A280" i="2"/>
  <c r="AV279" i="2"/>
  <c r="AU279" i="2"/>
  <c r="AT279" i="2"/>
  <c r="AS279" i="2"/>
  <c r="AR279" i="2"/>
  <c r="AQ279" i="2"/>
  <c r="AP279" i="2"/>
  <c r="AO279" i="2"/>
  <c r="AN279" i="2"/>
  <c r="AM279" i="2"/>
  <c r="I279" i="2"/>
  <c r="H279" i="2"/>
  <c r="F279" i="2"/>
  <c r="E279" i="2"/>
  <c r="D279" i="2"/>
  <c r="AV278" i="2"/>
  <c r="AU278" i="2"/>
  <c r="AT278" i="2"/>
  <c r="AS278" i="2"/>
  <c r="AR278" i="2"/>
  <c r="AQ278" i="2"/>
  <c r="AP278" i="2"/>
  <c r="AO278" i="2"/>
  <c r="AN278" i="2"/>
  <c r="AM278" i="2"/>
  <c r="AB278" i="2"/>
  <c r="AA278" i="2"/>
  <c r="Z278" i="2"/>
  <c r="Y278" i="2"/>
  <c r="X278" i="2"/>
  <c r="W278" i="2"/>
  <c r="V278" i="2"/>
  <c r="U278" i="2"/>
  <c r="T278" i="2"/>
  <c r="S278" i="2"/>
  <c r="L278" i="2"/>
  <c r="I278" i="2"/>
  <c r="H278" i="2"/>
  <c r="F278" i="2"/>
  <c r="E278" i="2"/>
  <c r="D278" i="2"/>
  <c r="AV277" i="2"/>
  <c r="AU277" i="2"/>
  <c r="AT277" i="2"/>
  <c r="AS277" i="2"/>
  <c r="AR277" i="2"/>
  <c r="AQ277" i="2"/>
  <c r="AP277" i="2"/>
  <c r="AO277" i="2"/>
  <c r="AN277" i="2"/>
  <c r="AM277" i="2"/>
  <c r="AJ277" i="2"/>
  <c r="AF277" i="2"/>
  <c r="AB277" i="2"/>
  <c r="AA277" i="2"/>
  <c r="Z277" i="2"/>
  <c r="Y277" i="2"/>
  <c r="X277" i="2"/>
  <c r="W277" i="2"/>
  <c r="V277" i="2"/>
  <c r="U277" i="2"/>
  <c r="T277" i="2"/>
  <c r="S277" i="2"/>
  <c r="K277" i="2"/>
  <c r="A277" i="2"/>
  <c r="AV276" i="2"/>
  <c r="AU276" i="2"/>
  <c r="AT276" i="2"/>
  <c r="AS276" i="2"/>
  <c r="AR276" i="2"/>
  <c r="AQ276" i="2"/>
  <c r="AP276" i="2"/>
  <c r="AO276" i="2"/>
  <c r="AN276" i="2"/>
  <c r="AM276" i="2"/>
  <c r="I276" i="2"/>
  <c r="H276" i="2"/>
  <c r="F276" i="2"/>
  <c r="E276" i="2"/>
  <c r="D276" i="2"/>
  <c r="AV275" i="2"/>
  <c r="AU275" i="2"/>
  <c r="AT275" i="2"/>
  <c r="AS275" i="2"/>
  <c r="AR275" i="2"/>
  <c r="AQ275" i="2"/>
  <c r="AP275" i="2"/>
  <c r="AO275" i="2"/>
  <c r="AN275" i="2"/>
  <c r="AM275" i="2"/>
  <c r="AB275" i="2"/>
  <c r="AA275" i="2"/>
  <c r="Z275" i="2"/>
  <c r="Y275" i="2"/>
  <c r="X275" i="2"/>
  <c r="W275" i="2"/>
  <c r="V275" i="2"/>
  <c r="U275" i="2"/>
  <c r="T275" i="2"/>
  <c r="S275" i="2"/>
  <c r="L275" i="2"/>
  <c r="I275" i="2"/>
  <c r="H275" i="2"/>
  <c r="F275" i="2"/>
  <c r="E275" i="2"/>
  <c r="D275" i="2"/>
  <c r="AV274" i="2"/>
  <c r="AU274" i="2"/>
  <c r="AT274" i="2"/>
  <c r="AS274" i="2"/>
  <c r="AR274" i="2"/>
  <c r="AQ274" i="2"/>
  <c r="AP274" i="2"/>
  <c r="AO274" i="2"/>
  <c r="AN274" i="2"/>
  <c r="AM274" i="2"/>
  <c r="AJ274" i="2"/>
  <c r="AF274" i="2"/>
  <c r="AB274" i="2"/>
  <c r="AA274" i="2"/>
  <c r="Z274" i="2"/>
  <c r="Y274" i="2"/>
  <c r="X274" i="2"/>
  <c r="W274" i="2"/>
  <c r="V274" i="2"/>
  <c r="U274" i="2"/>
  <c r="T274" i="2"/>
  <c r="S274" i="2"/>
  <c r="K274" i="2"/>
  <c r="A274" i="2"/>
  <c r="AV273" i="2"/>
  <c r="AU273" i="2"/>
  <c r="AT273" i="2"/>
  <c r="AS273" i="2"/>
  <c r="AR273" i="2"/>
  <c r="AQ273" i="2"/>
  <c r="AP273" i="2"/>
  <c r="AO273" i="2"/>
  <c r="AN273" i="2"/>
  <c r="AM273" i="2"/>
  <c r="I273" i="2"/>
  <c r="H273" i="2"/>
  <c r="F273" i="2"/>
  <c r="E273" i="2"/>
  <c r="D273" i="2"/>
  <c r="AV272" i="2"/>
  <c r="AU272" i="2"/>
  <c r="AT272" i="2"/>
  <c r="AS272" i="2"/>
  <c r="AR272" i="2"/>
  <c r="AQ272" i="2"/>
  <c r="AP272" i="2"/>
  <c r="AO272" i="2"/>
  <c r="AN272" i="2"/>
  <c r="AM272" i="2"/>
  <c r="AB272" i="2"/>
  <c r="AA272" i="2"/>
  <c r="Z272" i="2"/>
  <c r="Y272" i="2"/>
  <c r="X272" i="2"/>
  <c r="W272" i="2"/>
  <c r="V272" i="2"/>
  <c r="U272" i="2"/>
  <c r="T272" i="2"/>
  <c r="S272" i="2"/>
  <c r="L272" i="2"/>
  <c r="I272" i="2"/>
  <c r="H272" i="2"/>
  <c r="F272" i="2"/>
  <c r="E272" i="2"/>
  <c r="D272" i="2"/>
  <c r="AV271" i="2"/>
  <c r="AU271" i="2"/>
  <c r="AT271" i="2"/>
  <c r="AS271" i="2"/>
  <c r="AR271" i="2"/>
  <c r="AQ271" i="2"/>
  <c r="AP271" i="2"/>
  <c r="AO271" i="2"/>
  <c r="AN271" i="2"/>
  <c r="AM271" i="2"/>
  <c r="AJ271" i="2"/>
  <c r="AF271" i="2"/>
  <c r="AB271" i="2"/>
  <c r="AA271" i="2"/>
  <c r="Z271" i="2"/>
  <c r="Y271" i="2"/>
  <c r="X271" i="2"/>
  <c r="W271" i="2"/>
  <c r="V271" i="2"/>
  <c r="U271" i="2"/>
  <c r="T271" i="2"/>
  <c r="S271" i="2"/>
  <c r="K271" i="2"/>
  <c r="A271" i="2"/>
  <c r="AV270" i="2"/>
  <c r="AU270" i="2"/>
  <c r="AT270" i="2"/>
  <c r="AS270" i="2"/>
  <c r="AR270" i="2"/>
  <c r="AQ270" i="2"/>
  <c r="AP270" i="2"/>
  <c r="AO270" i="2"/>
  <c r="AN270" i="2"/>
  <c r="AM270" i="2"/>
  <c r="I270" i="2"/>
  <c r="H270" i="2"/>
  <c r="F270" i="2"/>
  <c r="E270" i="2"/>
  <c r="D270" i="2"/>
  <c r="AV269" i="2"/>
  <c r="AU269" i="2"/>
  <c r="AT269" i="2"/>
  <c r="AS269" i="2"/>
  <c r="AR269" i="2"/>
  <c r="AQ269" i="2"/>
  <c r="AP269" i="2"/>
  <c r="AO269" i="2"/>
  <c r="AN269" i="2"/>
  <c r="AM269" i="2"/>
  <c r="AB269" i="2"/>
  <c r="AA269" i="2"/>
  <c r="Z269" i="2"/>
  <c r="Y269" i="2"/>
  <c r="X269" i="2"/>
  <c r="W269" i="2"/>
  <c r="V269" i="2"/>
  <c r="U269" i="2"/>
  <c r="T269" i="2"/>
  <c r="S269" i="2"/>
  <c r="L269" i="2"/>
  <c r="I269" i="2"/>
  <c r="H269" i="2"/>
  <c r="F269" i="2"/>
  <c r="E269" i="2"/>
  <c r="D269" i="2"/>
  <c r="AV268" i="2"/>
  <c r="AU268" i="2"/>
  <c r="AT268" i="2"/>
  <c r="AS268" i="2"/>
  <c r="AR268" i="2"/>
  <c r="AQ268" i="2"/>
  <c r="AP268" i="2"/>
  <c r="AO268" i="2"/>
  <c r="AN268" i="2"/>
  <c r="AM268" i="2"/>
  <c r="AJ268" i="2"/>
  <c r="AF268" i="2"/>
  <c r="AB268" i="2"/>
  <c r="AA268" i="2"/>
  <c r="Z268" i="2"/>
  <c r="Y268" i="2"/>
  <c r="X268" i="2"/>
  <c r="W268" i="2"/>
  <c r="V268" i="2"/>
  <c r="U268" i="2"/>
  <c r="T268" i="2"/>
  <c r="S268" i="2"/>
  <c r="K268" i="2"/>
  <c r="A268" i="2"/>
  <c r="AV267" i="2"/>
  <c r="AU267" i="2"/>
  <c r="AT267" i="2"/>
  <c r="AS267" i="2"/>
  <c r="AR267" i="2"/>
  <c r="AQ267" i="2"/>
  <c r="AP267" i="2"/>
  <c r="AO267" i="2"/>
  <c r="AN267" i="2"/>
  <c r="AM267" i="2"/>
  <c r="I267" i="2"/>
  <c r="H267" i="2"/>
  <c r="F267" i="2"/>
  <c r="E267" i="2"/>
  <c r="D267" i="2"/>
  <c r="AV266" i="2"/>
  <c r="AU266" i="2"/>
  <c r="AT266" i="2"/>
  <c r="AS266" i="2"/>
  <c r="AR266" i="2"/>
  <c r="AQ266" i="2"/>
  <c r="AP266" i="2"/>
  <c r="AO266" i="2"/>
  <c r="AN266" i="2"/>
  <c r="AM266" i="2"/>
  <c r="AB266" i="2"/>
  <c r="AA266" i="2"/>
  <c r="Z266" i="2"/>
  <c r="Y266" i="2"/>
  <c r="X266" i="2"/>
  <c r="W266" i="2"/>
  <c r="V266" i="2"/>
  <c r="U266" i="2"/>
  <c r="T266" i="2"/>
  <c r="S266" i="2"/>
  <c r="L266" i="2"/>
  <c r="I266" i="2"/>
  <c r="H266" i="2"/>
  <c r="F266" i="2"/>
  <c r="E266" i="2"/>
  <c r="D266" i="2"/>
  <c r="AV265" i="2"/>
  <c r="AU265" i="2"/>
  <c r="AT265" i="2"/>
  <c r="AS265" i="2"/>
  <c r="AR265" i="2"/>
  <c r="AQ265" i="2"/>
  <c r="AP265" i="2"/>
  <c r="AO265" i="2"/>
  <c r="AN265" i="2"/>
  <c r="AM265" i="2"/>
  <c r="AJ265" i="2"/>
  <c r="AF265" i="2"/>
  <c r="AB265" i="2"/>
  <c r="AA265" i="2"/>
  <c r="Z265" i="2"/>
  <c r="Y265" i="2"/>
  <c r="X265" i="2"/>
  <c r="W265" i="2"/>
  <c r="V265" i="2"/>
  <c r="U265" i="2"/>
  <c r="T265" i="2"/>
  <c r="S265" i="2"/>
  <c r="K265" i="2"/>
  <c r="A265" i="2"/>
  <c r="AV264" i="2"/>
  <c r="AU264" i="2"/>
  <c r="AT264" i="2"/>
  <c r="AS264" i="2"/>
  <c r="AR264" i="2"/>
  <c r="AQ264" i="2"/>
  <c r="AP264" i="2"/>
  <c r="AO264" i="2"/>
  <c r="AN264" i="2"/>
  <c r="AM264" i="2"/>
  <c r="I264" i="2"/>
  <c r="H264" i="2"/>
  <c r="F264" i="2"/>
  <c r="E264" i="2"/>
  <c r="D264" i="2"/>
  <c r="AV263" i="2"/>
  <c r="AU263" i="2"/>
  <c r="AT263" i="2"/>
  <c r="AS263" i="2"/>
  <c r="AR263" i="2"/>
  <c r="AQ263" i="2"/>
  <c r="AP263" i="2"/>
  <c r="AO263" i="2"/>
  <c r="AN263" i="2"/>
  <c r="AM263" i="2"/>
  <c r="AB263" i="2"/>
  <c r="AA263" i="2"/>
  <c r="Z263" i="2"/>
  <c r="Y263" i="2"/>
  <c r="X263" i="2"/>
  <c r="W263" i="2"/>
  <c r="V263" i="2"/>
  <c r="U263" i="2"/>
  <c r="T263" i="2"/>
  <c r="S263" i="2"/>
  <c r="L263" i="2"/>
  <c r="I263" i="2"/>
  <c r="H263" i="2"/>
  <c r="F263" i="2"/>
  <c r="E263" i="2"/>
  <c r="D263" i="2"/>
  <c r="AV262" i="2"/>
  <c r="AU262" i="2"/>
  <c r="AT262" i="2"/>
  <c r="AS262" i="2"/>
  <c r="AR262" i="2"/>
  <c r="AQ262" i="2"/>
  <c r="AP262" i="2"/>
  <c r="AO262" i="2"/>
  <c r="AN262" i="2"/>
  <c r="AM262" i="2"/>
  <c r="AJ262" i="2"/>
  <c r="AF262" i="2"/>
  <c r="AB262" i="2"/>
  <c r="AA262" i="2"/>
  <c r="Z262" i="2"/>
  <c r="Y262" i="2"/>
  <c r="X262" i="2"/>
  <c r="W262" i="2"/>
  <c r="V262" i="2"/>
  <c r="U262" i="2"/>
  <c r="T262" i="2"/>
  <c r="S262" i="2"/>
  <c r="K262" i="2"/>
  <c r="A262" i="2"/>
  <c r="AV261" i="2"/>
  <c r="AU261" i="2"/>
  <c r="AT261" i="2"/>
  <c r="AS261" i="2"/>
  <c r="AR261" i="2"/>
  <c r="AQ261" i="2"/>
  <c r="AP261" i="2"/>
  <c r="AO261" i="2"/>
  <c r="AN261" i="2"/>
  <c r="AM261" i="2"/>
  <c r="I261" i="2"/>
  <c r="H261" i="2"/>
  <c r="F261" i="2"/>
  <c r="E261" i="2"/>
  <c r="D261" i="2"/>
  <c r="AV260" i="2"/>
  <c r="AU260" i="2"/>
  <c r="AT260" i="2"/>
  <c r="AS260" i="2"/>
  <c r="AR260" i="2"/>
  <c r="AQ260" i="2"/>
  <c r="AP260" i="2"/>
  <c r="AO260" i="2"/>
  <c r="AN260" i="2"/>
  <c r="AM260" i="2"/>
  <c r="AB260" i="2"/>
  <c r="AA260" i="2"/>
  <c r="Z260" i="2"/>
  <c r="Y260" i="2"/>
  <c r="X260" i="2"/>
  <c r="W260" i="2"/>
  <c r="V260" i="2"/>
  <c r="U260" i="2"/>
  <c r="T260" i="2"/>
  <c r="S260" i="2"/>
  <c r="L260" i="2"/>
  <c r="I260" i="2"/>
  <c r="H260" i="2"/>
  <c r="F260" i="2"/>
  <c r="E260" i="2"/>
  <c r="D260" i="2"/>
  <c r="AV259" i="2"/>
  <c r="AU259" i="2"/>
  <c r="AT259" i="2"/>
  <c r="AS259" i="2"/>
  <c r="AR259" i="2"/>
  <c r="AQ259" i="2"/>
  <c r="AP259" i="2"/>
  <c r="AO259" i="2"/>
  <c r="AN259" i="2"/>
  <c r="AM259" i="2"/>
  <c r="AJ259" i="2"/>
  <c r="AF259" i="2"/>
  <c r="AB259" i="2"/>
  <c r="AA259" i="2"/>
  <c r="Z259" i="2"/>
  <c r="Y259" i="2"/>
  <c r="X259" i="2"/>
  <c r="W259" i="2"/>
  <c r="V259" i="2"/>
  <c r="U259" i="2"/>
  <c r="T259" i="2"/>
  <c r="S259" i="2"/>
  <c r="K259" i="2"/>
  <c r="A259" i="2"/>
  <c r="AV258" i="2"/>
  <c r="AU258" i="2"/>
  <c r="AT258" i="2"/>
  <c r="AS258" i="2"/>
  <c r="AR258" i="2"/>
  <c r="AQ258" i="2"/>
  <c r="AP258" i="2"/>
  <c r="AO258" i="2"/>
  <c r="AN258" i="2"/>
  <c r="AM258" i="2"/>
  <c r="I258" i="2"/>
  <c r="H258" i="2"/>
  <c r="F258" i="2"/>
  <c r="E258" i="2"/>
  <c r="D258" i="2"/>
  <c r="AV257" i="2"/>
  <c r="AU257" i="2"/>
  <c r="AT257" i="2"/>
  <c r="AS257" i="2"/>
  <c r="AR257" i="2"/>
  <c r="AQ257" i="2"/>
  <c r="AP257" i="2"/>
  <c r="AO257" i="2"/>
  <c r="AN257" i="2"/>
  <c r="AM257" i="2"/>
  <c r="AB257" i="2"/>
  <c r="AA257" i="2"/>
  <c r="Z257" i="2"/>
  <c r="Y257" i="2"/>
  <c r="X257" i="2"/>
  <c r="W257" i="2"/>
  <c r="V257" i="2"/>
  <c r="U257" i="2"/>
  <c r="T257" i="2"/>
  <c r="S257" i="2"/>
  <c r="L257" i="2"/>
  <c r="I257" i="2"/>
  <c r="H257" i="2"/>
  <c r="F257" i="2"/>
  <c r="E257" i="2"/>
  <c r="D257" i="2"/>
  <c r="AV256" i="2"/>
  <c r="AU256" i="2"/>
  <c r="AT256" i="2"/>
  <c r="AS256" i="2"/>
  <c r="AR256" i="2"/>
  <c r="AQ256" i="2"/>
  <c r="AP256" i="2"/>
  <c r="AO256" i="2"/>
  <c r="AN256" i="2"/>
  <c r="AM256" i="2"/>
  <c r="AJ256" i="2"/>
  <c r="AF256" i="2"/>
  <c r="AB256" i="2"/>
  <c r="AA256" i="2"/>
  <c r="Z256" i="2"/>
  <c r="Y256" i="2"/>
  <c r="X256" i="2"/>
  <c r="W256" i="2"/>
  <c r="V256" i="2"/>
  <c r="U256" i="2"/>
  <c r="T256" i="2"/>
  <c r="S256" i="2"/>
  <c r="K256" i="2"/>
  <c r="A256" i="2"/>
  <c r="AV255" i="2"/>
  <c r="AU255" i="2"/>
  <c r="AT255" i="2"/>
  <c r="AS255" i="2"/>
  <c r="AR255" i="2"/>
  <c r="AQ255" i="2"/>
  <c r="AP255" i="2"/>
  <c r="AO255" i="2"/>
  <c r="AN255" i="2"/>
  <c r="AM255" i="2"/>
  <c r="I255" i="2"/>
  <c r="H255" i="2"/>
  <c r="F255" i="2"/>
  <c r="E255" i="2"/>
  <c r="D255" i="2"/>
  <c r="AV254" i="2"/>
  <c r="AU254" i="2"/>
  <c r="AT254" i="2"/>
  <c r="AS254" i="2"/>
  <c r="AR254" i="2"/>
  <c r="AQ254" i="2"/>
  <c r="AP254" i="2"/>
  <c r="AO254" i="2"/>
  <c r="AN254" i="2"/>
  <c r="AM254" i="2"/>
  <c r="AB254" i="2"/>
  <c r="AA254" i="2"/>
  <c r="Z254" i="2"/>
  <c r="Y254" i="2"/>
  <c r="X254" i="2"/>
  <c r="W254" i="2"/>
  <c r="V254" i="2"/>
  <c r="U254" i="2"/>
  <c r="T254" i="2"/>
  <c r="S254" i="2"/>
  <c r="L254" i="2"/>
  <c r="I254" i="2"/>
  <c r="H254" i="2"/>
  <c r="F254" i="2"/>
  <c r="E254" i="2"/>
  <c r="D254" i="2"/>
  <c r="AV253" i="2"/>
  <c r="AU253" i="2"/>
  <c r="AT253" i="2"/>
  <c r="AS253" i="2"/>
  <c r="AR253" i="2"/>
  <c r="AQ253" i="2"/>
  <c r="AP253" i="2"/>
  <c r="AO253" i="2"/>
  <c r="AN253" i="2"/>
  <c r="AM253" i="2"/>
  <c r="AJ253" i="2"/>
  <c r="AF253" i="2"/>
  <c r="AB253" i="2"/>
  <c r="AA253" i="2"/>
  <c r="Z253" i="2"/>
  <c r="Y253" i="2"/>
  <c r="X253" i="2"/>
  <c r="W253" i="2"/>
  <c r="V253" i="2"/>
  <c r="U253" i="2"/>
  <c r="T253" i="2"/>
  <c r="S253" i="2"/>
  <c r="K253" i="2"/>
  <c r="A253" i="2"/>
  <c r="AV252" i="2"/>
  <c r="AU252" i="2"/>
  <c r="AT252" i="2"/>
  <c r="AS252" i="2"/>
  <c r="AR252" i="2"/>
  <c r="AQ252" i="2"/>
  <c r="AP252" i="2"/>
  <c r="AO252" i="2"/>
  <c r="AN252" i="2"/>
  <c r="AM252" i="2"/>
  <c r="I252" i="2"/>
  <c r="H252" i="2"/>
  <c r="F252" i="2"/>
  <c r="E252" i="2"/>
  <c r="D252" i="2"/>
  <c r="AV251" i="2"/>
  <c r="AU251" i="2"/>
  <c r="AT251" i="2"/>
  <c r="AS251" i="2"/>
  <c r="AR251" i="2"/>
  <c r="AQ251" i="2"/>
  <c r="AP251" i="2"/>
  <c r="AO251" i="2"/>
  <c r="AN251" i="2"/>
  <c r="AM251" i="2"/>
  <c r="AB251" i="2"/>
  <c r="AA251" i="2"/>
  <c r="Z251" i="2"/>
  <c r="Y251" i="2"/>
  <c r="X251" i="2"/>
  <c r="W251" i="2"/>
  <c r="V251" i="2"/>
  <c r="U251" i="2"/>
  <c r="T251" i="2"/>
  <c r="S251" i="2"/>
  <c r="L251" i="2"/>
  <c r="I251" i="2"/>
  <c r="H251" i="2"/>
  <c r="F251" i="2"/>
  <c r="E251" i="2"/>
  <c r="D251" i="2"/>
  <c r="AV250" i="2"/>
  <c r="AU250" i="2"/>
  <c r="AT250" i="2"/>
  <c r="AS250" i="2"/>
  <c r="AR250" i="2"/>
  <c r="AQ250" i="2"/>
  <c r="AP250" i="2"/>
  <c r="AO250" i="2"/>
  <c r="AN250" i="2"/>
  <c r="AM250" i="2"/>
  <c r="AJ250" i="2"/>
  <c r="AF250" i="2"/>
  <c r="AB250" i="2"/>
  <c r="AA250" i="2"/>
  <c r="Z250" i="2"/>
  <c r="Y250" i="2"/>
  <c r="X250" i="2"/>
  <c r="W250" i="2"/>
  <c r="V250" i="2"/>
  <c r="U250" i="2"/>
  <c r="T250" i="2"/>
  <c r="S250" i="2"/>
  <c r="K250" i="2"/>
  <c r="A250" i="2"/>
  <c r="AV249" i="2"/>
  <c r="AU249" i="2"/>
  <c r="AT249" i="2"/>
  <c r="AS249" i="2"/>
  <c r="AR249" i="2"/>
  <c r="AQ249" i="2"/>
  <c r="AP249" i="2"/>
  <c r="AO249" i="2"/>
  <c r="AN249" i="2"/>
  <c r="AM249" i="2"/>
  <c r="I249" i="2"/>
  <c r="H249" i="2"/>
  <c r="F249" i="2"/>
  <c r="E249" i="2"/>
  <c r="D249" i="2"/>
  <c r="AV248" i="2"/>
  <c r="AU248" i="2"/>
  <c r="AT248" i="2"/>
  <c r="AS248" i="2"/>
  <c r="AR248" i="2"/>
  <c r="AQ248" i="2"/>
  <c r="AP248" i="2"/>
  <c r="AO248" i="2"/>
  <c r="AN248" i="2"/>
  <c r="AM248" i="2"/>
  <c r="AB248" i="2"/>
  <c r="AA248" i="2"/>
  <c r="Z248" i="2"/>
  <c r="Y248" i="2"/>
  <c r="X248" i="2"/>
  <c r="W248" i="2"/>
  <c r="V248" i="2"/>
  <c r="U248" i="2"/>
  <c r="T248" i="2"/>
  <c r="S248" i="2"/>
  <c r="L248" i="2"/>
  <c r="I248" i="2"/>
  <c r="H248" i="2"/>
  <c r="F248" i="2"/>
  <c r="E248" i="2"/>
  <c r="D248" i="2"/>
  <c r="AV247" i="2"/>
  <c r="AU247" i="2"/>
  <c r="AT247" i="2"/>
  <c r="AS247" i="2"/>
  <c r="AR247" i="2"/>
  <c r="AQ247" i="2"/>
  <c r="AP247" i="2"/>
  <c r="AO247" i="2"/>
  <c r="AN247" i="2"/>
  <c r="AM247" i="2"/>
  <c r="AJ247" i="2"/>
  <c r="AF247" i="2"/>
  <c r="AB247" i="2"/>
  <c r="AA247" i="2"/>
  <c r="Z247" i="2"/>
  <c r="Y247" i="2"/>
  <c r="X247" i="2"/>
  <c r="W247" i="2"/>
  <c r="V247" i="2"/>
  <c r="U247" i="2"/>
  <c r="T247" i="2"/>
  <c r="S247" i="2"/>
  <c r="K247" i="2"/>
  <c r="A247" i="2"/>
  <c r="AV246" i="2"/>
  <c r="AU246" i="2"/>
  <c r="AT246" i="2"/>
  <c r="AS246" i="2"/>
  <c r="AR246" i="2"/>
  <c r="AQ246" i="2"/>
  <c r="AP246" i="2"/>
  <c r="AO246" i="2"/>
  <c r="AN246" i="2"/>
  <c r="AM246" i="2"/>
  <c r="I246" i="2"/>
  <c r="H246" i="2"/>
  <c r="F246" i="2"/>
  <c r="E246" i="2"/>
  <c r="D246" i="2"/>
  <c r="AV245" i="2"/>
  <c r="AU245" i="2"/>
  <c r="AT245" i="2"/>
  <c r="AS245" i="2"/>
  <c r="AR245" i="2"/>
  <c r="AQ245" i="2"/>
  <c r="AP245" i="2"/>
  <c r="AO245" i="2"/>
  <c r="AN245" i="2"/>
  <c r="AM245" i="2"/>
  <c r="AB245" i="2"/>
  <c r="AA245" i="2"/>
  <c r="Z245" i="2"/>
  <c r="Y245" i="2"/>
  <c r="X245" i="2"/>
  <c r="W245" i="2"/>
  <c r="V245" i="2"/>
  <c r="U245" i="2"/>
  <c r="T245" i="2"/>
  <c r="S245" i="2"/>
  <c r="L245" i="2"/>
  <c r="I245" i="2"/>
  <c r="H245" i="2"/>
  <c r="F245" i="2"/>
  <c r="E245" i="2"/>
  <c r="D245" i="2"/>
  <c r="AV244" i="2"/>
  <c r="AU244" i="2"/>
  <c r="AT244" i="2"/>
  <c r="AS244" i="2"/>
  <c r="AR244" i="2"/>
  <c r="AQ244" i="2"/>
  <c r="AP244" i="2"/>
  <c r="AO244" i="2"/>
  <c r="AN244" i="2"/>
  <c r="AM244" i="2"/>
  <c r="AJ244" i="2"/>
  <c r="AF244" i="2"/>
  <c r="AB244" i="2"/>
  <c r="AA244" i="2"/>
  <c r="Z244" i="2"/>
  <c r="Y244" i="2"/>
  <c r="X244" i="2"/>
  <c r="W244" i="2"/>
  <c r="V244" i="2"/>
  <c r="U244" i="2"/>
  <c r="T244" i="2"/>
  <c r="S244" i="2"/>
  <c r="K244" i="2"/>
  <c r="A244" i="2"/>
  <c r="AV243" i="2"/>
  <c r="AU243" i="2"/>
  <c r="AT243" i="2"/>
  <c r="AS243" i="2"/>
  <c r="AR243" i="2"/>
  <c r="AQ243" i="2"/>
  <c r="AP243" i="2"/>
  <c r="AO243" i="2"/>
  <c r="AN243" i="2"/>
  <c r="AM243" i="2"/>
  <c r="I243" i="2"/>
  <c r="H243" i="2"/>
  <c r="F243" i="2"/>
  <c r="E243" i="2"/>
  <c r="D243" i="2"/>
  <c r="AV242" i="2"/>
  <c r="AU242" i="2"/>
  <c r="AT242" i="2"/>
  <c r="AS242" i="2"/>
  <c r="AR242" i="2"/>
  <c r="AQ242" i="2"/>
  <c r="AP242" i="2"/>
  <c r="AO242" i="2"/>
  <c r="AN242" i="2"/>
  <c r="AM242" i="2"/>
  <c r="AB242" i="2"/>
  <c r="AA242" i="2"/>
  <c r="Z242" i="2"/>
  <c r="Y242" i="2"/>
  <c r="X242" i="2"/>
  <c r="W242" i="2"/>
  <c r="V242" i="2"/>
  <c r="U242" i="2"/>
  <c r="T242" i="2"/>
  <c r="S242" i="2"/>
  <c r="L242" i="2"/>
  <c r="I242" i="2"/>
  <c r="H242" i="2"/>
  <c r="F242" i="2"/>
  <c r="E242" i="2"/>
  <c r="D242" i="2"/>
  <c r="AV241" i="2"/>
  <c r="AU241" i="2"/>
  <c r="AT241" i="2"/>
  <c r="AS241" i="2"/>
  <c r="AR241" i="2"/>
  <c r="AQ241" i="2"/>
  <c r="AP241" i="2"/>
  <c r="AO241" i="2"/>
  <c r="AN241" i="2"/>
  <c r="AM241" i="2"/>
  <c r="AJ241" i="2"/>
  <c r="AF241" i="2"/>
  <c r="AB241" i="2"/>
  <c r="AA241" i="2"/>
  <c r="Z241" i="2"/>
  <c r="Y241" i="2"/>
  <c r="X241" i="2"/>
  <c r="W241" i="2"/>
  <c r="V241" i="2"/>
  <c r="U241" i="2"/>
  <c r="T241" i="2"/>
  <c r="S241" i="2"/>
  <c r="K241" i="2"/>
  <c r="A241" i="2"/>
  <c r="AV240" i="2"/>
  <c r="AU240" i="2"/>
  <c r="AT240" i="2"/>
  <c r="AS240" i="2"/>
  <c r="AR240" i="2"/>
  <c r="AQ240" i="2"/>
  <c r="AP240" i="2"/>
  <c r="AO240" i="2"/>
  <c r="AN240" i="2"/>
  <c r="AM240" i="2"/>
  <c r="I240" i="2"/>
  <c r="H240" i="2"/>
  <c r="F240" i="2"/>
  <c r="E240" i="2"/>
  <c r="D240" i="2"/>
  <c r="AV239" i="2"/>
  <c r="AU239" i="2"/>
  <c r="AT239" i="2"/>
  <c r="AS239" i="2"/>
  <c r="AR239" i="2"/>
  <c r="AQ239" i="2"/>
  <c r="AP239" i="2"/>
  <c r="AO239" i="2"/>
  <c r="AN239" i="2"/>
  <c r="AM239" i="2"/>
  <c r="AB239" i="2"/>
  <c r="AA239" i="2"/>
  <c r="Z239" i="2"/>
  <c r="Y239" i="2"/>
  <c r="X239" i="2"/>
  <c r="W239" i="2"/>
  <c r="V239" i="2"/>
  <c r="U239" i="2"/>
  <c r="T239" i="2"/>
  <c r="S239" i="2"/>
  <c r="L239" i="2"/>
  <c r="I239" i="2"/>
  <c r="H239" i="2"/>
  <c r="F239" i="2"/>
  <c r="E239" i="2"/>
  <c r="D239" i="2"/>
  <c r="AV238" i="2"/>
  <c r="AU238" i="2"/>
  <c r="AT238" i="2"/>
  <c r="AS238" i="2"/>
  <c r="AR238" i="2"/>
  <c r="AQ238" i="2"/>
  <c r="AP238" i="2"/>
  <c r="AO238" i="2"/>
  <c r="AN238" i="2"/>
  <c r="AM238" i="2"/>
  <c r="AJ238" i="2"/>
  <c r="AF238" i="2"/>
  <c r="AB238" i="2"/>
  <c r="AA238" i="2"/>
  <c r="Z238" i="2"/>
  <c r="Y238" i="2"/>
  <c r="X238" i="2"/>
  <c r="W238" i="2"/>
  <c r="V238" i="2"/>
  <c r="U238" i="2"/>
  <c r="T238" i="2"/>
  <c r="S238" i="2"/>
  <c r="K238" i="2"/>
  <c r="A238" i="2"/>
  <c r="AV237" i="2"/>
  <c r="AU237" i="2"/>
  <c r="AT237" i="2"/>
  <c r="AS237" i="2"/>
  <c r="AR237" i="2"/>
  <c r="AQ237" i="2"/>
  <c r="AP237" i="2"/>
  <c r="AO237" i="2"/>
  <c r="AN237" i="2"/>
  <c r="AM237" i="2"/>
  <c r="I237" i="2"/>
  <c r="H237" i="2"/>
  <c r="F237" i="2"/>
  <c r="E237" i="2"/>
  <c r="D237" i="2"/>
  <c r="AV236" i="2"/>
  <c r="AU236" i="2"/>
  <c r="AT236" i="2"/>
  <c r="AS236" i="2"/>
  <c r="AR236" i="2"/>
  <c r="AQ236" i="2"/>
  <c r="AP236" i="2"/>
  <c r="AO236" i="2"/>
  <c r="AN236" i="2"/>
  <c r="AM236" i="2"/>
  <c r="AB236" i="2"/>
  <c r="AA236" i="2"/>
  <c r="Z236" i="2"/>
  <c r="Y236" i="2"/>
  <c r="X236" i="2"/>
  <c r="W236" i="2"/>
  <c r="V236" i="2"/>
  <c r="U236" i="2"/>
  <c r="T236" i="2"/>
  <c r="S236" i="2"/>
  <c r="L236" i="2"/>
  <c r="I236" i="2"/>
  <c r="H236" i="2"/>
  <c r="F236" i="2"/>
  <c r="E236" i="2"/>
  <c r="D236" i="2"/>
  <c r="AV235" i="2"/>
  <c r="AU235" i="2"/>
  <c r="AT235" i="2"/>
  <c r="AS235" i="2"/>
  <c r="AR235" i="2"/>
  <c r="AQ235" i="2"/>
  <c r="AP235" i="2"/>
  <c r="AO235" i="2"/>
  <c r="AN235" i="2"/>
  <c r="AM235" i="2"/>
  <c r="AJ235" i="2"/>
  <c r="AF235" i="2"/>
  <c r="AB235" i="2"/>
  <c r="AA235" i="2"/>
  <c r="Z235" i="2"/>
  <c r="Y235" i="2"/>
  <c r="X235" i="2"/>
  <c r="W235" i="2"/>
  <c r="V235" i="2"/>
  <c r="U235" i="2"/>
  <c r="T235" i="2"/>
  <c r="S235" i="2"/>
  <c r="K235" i="2"/>
  <c r="A235" i="2"/>
  <c r="AV234" i="2"/>
  <c r="AU234" i="2"/>
  <c r="AT234" i="2"/>
  <c r="AS234" i="2"/>
  <c r="AR234" i="2"/>
  <c r="AQ234" i="2"/>
  <c r="AP234" i="2"/>
  <c r="AO234" i="2"/>
  <c r="AN234" i="2"/>
  <c r="AM234" i="2"/>
  <c r="I234" i="2"/>
  <c r="H234" i="2"/>
  <c r="F234" i="2"/>
  <c r="E234" i="2"/>
  <c r="D234" i="2"/>
  <c r="AV233" i="2"/>
  <c r="AU233" i="2"/>
  <c r="AT233" i="2"/>
  <c r="AS233" i="2"/>
  <c r="AR233" i="2"/>
  <c r="AQ233" i="2"/>
  <c r="AP233" i="2"/>
  <c r="AO233" i="2"/>
  <c r="AN233" i="2"/>
  <c r="AM233" i="2"/>
  <c r="AB233" i="2"/>
  <c r="AA233" i="2"/>
  <c r="Z233" i="2"/>
  <c r="Y233" i="2"/>
  <c r="X233" i="2"/>
  <c r="W233" i="2"/>
  <c r="V233" i="2"/>
  <c r="U233" i="2"/>
  <c r="T233" i="2"/>
  <c r="S233" i="2"/>
  <c r="L233" i="2"/>
  <c r="I233" i="2"/>
  <c r="H233" i="2"/>
  <c r="F233" i="2"/>
  <c r="E233" i="2"/>
  <c r="D233" i="2"/>
  <c r="AV232" i="2"/>
  <c r="AU232" i="2"/>
  <c r="AT232" i="2"/>
  <c r="AS232" i="2"/>
  <c r="AR232" i="2"/>
  <c r="AQ232" i="2"/>
  <c r="AP232" i="2"/>
  <c r="AO232" i="2"/>
  <c r="AN232" i="2"/>
  <c r="AM232" i="2"/>
  <c r="AJ232" i="2"/>
  <c r="AF232" i="2"/>
  <c r="AB232" i="2"/>
  <c r="AA232" i="2"/>
  <c r="Z232" i="2"/>
  <c r="Y232" i="2"/>
  <c r="X232" i="2"/>
  <c r="W232" i="2"/>
  <c r="V232" i="2"/>
  <c r="U232" i="2"/>
  <c r="T232" i="2"/>
  <c r="S232" i="2"/>
  <c r="K232" i="2"/>
  <c r="A232" i="2"/>
  <c r="AV231" i="2"/>
  <c r="AU231" i="2"/>
  <c r="AT231" i="2"/>
  <c r="AS231" i="2"/>
  <c r="AR231" i="2"/>
  <c r="AQ231" i="2"/>
  <c r="AP231" i="2"/>
  <c r="AO231" i="2"/>
  <c r="AN231" i="2"/>
  <c r="AM231" i="2"/>
  <c r="I231" i="2"/>
  <c r="H231" i="2"/>
  <c r="F231" i="2"/>
  <c r="E231" i="2"/>
  <c r="D231" i="2"/>
  <c r="AV230" i="2"/>
  <c r="AU230" i="2"/>
  <c r="AT230" i="2"/>
  <c r="AS230" i="2"/>
  <c r="AR230" i="2"/>
  <c r="AQ230" i="2"/>
  <c r="AP230" i="2"/>
  <c r="AO230" i="2"/>
  <c r="AN230" i="2"/>
  <c r="AM230" i="2"/>
  <c r="AB230" i="2"/>
  <c r="AA230" i="2"/>
  <c r="Z230" i="2"/>
  <c r="Y230" i="2"/>
  <c r="X230" i="2"/>
  <c r="W230" i="2"/>
  <c r="V230" i="2"/>
  <c r="U230" i="2"/>
  <c r="T230" i="2"/>
  <c r="S230" i="2"/>
  <c r="L230" i="2"/>
  <c r="I230" i="2"/>
  <c r="H230" i="2"/>
  <c r="F230" i="2"/>
  <c r="E230" i="2"/>
  <c r="D230" i="2"/>
  <c r="AV229" i="2"/>
  <c r="AU229" i="2"/>
  <c r="AT229" i="2"/>
  <c r="AS229" i="2"/>
  <c r="AR229" i="2"/>
  <c r="AQ229" i="2"/>
  <c r="AP229" i="2"/>
  <c r="AO229" i="2"/>
  <c r="AN229" i="2"/>
  <c r="AM229" i="2"/>
  <c r="AJ229" i="2"/>
  <c r="AF229" i="2"/>
  <c r="AB229" i="2"/>
  <c r="AA229" i="2"/>
  <c r="Z229" i="2"/>
  <c r="Y229" i="2"/>
  <c r="X229" i="2"/>
  <c r="W229" i="2"/>
  <c r="V229" i="2"/>
  <c r="U229" i="2"/>
  <c r="T229" i="2"/>
  <c r="S229" i="2"/>
  <c r="K229" i="2"/>
  <c r="A229" i="2"/>
  <c r="AV228" i="2"/>
  <c r="AU228" i="2"/>
  <c r="AT228" i="2"/>
  <c r="AS228" i="2"/>
  <c r="AR228" i="2"/>
  <c r="AQ228" i="2"/>
  <c r="AP228" i="2"/>
  <c r="AO228" i="2"/>
  <c r="AN228" i="2"/>
  <c r="AM228" i="2"/>
  <c r="I228" i="2"/>
  <c r="H228" i="2"/>
  <c r="F228" i="2"/>
  <c r="E228" i="2"/>
  <c r="D228" i="2"/>
  <c r="AV227" i="2"/>
  <c r="AU227" i="2"/>
  <c r="AT227" i="2"/>
  <c r="AS227" i="2"/>
  <c r="AR227" i="2"/>
  <c r="AQ227" i="2"/>
  <c r="AP227" i="2"/>
  <c r="AO227" i="2"/>
  <c r="AN227" i="2"/>
  <c r="AM227" i="2"/>
  <c r="AB227" i="2"/>
  <c r="AA227" i="2"/>
  <c r="Z227" i="2"/>
  <c r="Y227" i="2"/>
  <c r="X227" i="2"/>
  <c r="W227" i="2"/>
  <c r="V227" i="2"/>
  <c r="U227" i="2"/>
  <c r="T227" i="2"/>
  <c r="S227" i="2"/>
  <c r="L227" i="2"/>
  <c r="I227" i="2"/>
  <c r="H227" i="2"/>
  <c r="F227" i="2"/>
  <c r="E227" i="2"/>
  <c r="D227" i="2"/>
  <c r="AV226" i="2"/>
  <c r="AU226" i="2"/>
  <c r="AT226" i="2"/>
  <c r="AS226" i="2"/>
  <c r="AR226" i="2"/>
  <c r="AQ226" i="2"/>
  <c r="AP226" i="2"/>
  <c r="AO226" i="2"/>
  <c r="AN226" i="2"/>
  <c r="AM226" i="2"/>
  <c r="AJ226" i="2"/>
  <c r="AF226" i="2"/>
  <c r="AB226" i="2"/>
  <c r="AA226" i="2"/>
  <c r="Z226" i="2"/>
  <c r="Y226" i="2"/>
  <c r="X226" i="2"/>
  <c r="W226" i="2"/>
  <c r="V226" i="2"/>
  <c r="U226" i="2"/>
  <c r="T226" i="2"/>
  <c r="S226" i="2"/>
  <c r="K226" i="2"/>
  <c r="A226" i="2"/>
  <c r="AV225" i="2"/>
  <c r="AU225" i="2"/>
  <c r="AT225" i="2"/>
  <c r="AS225" i="2"/>
  <c r="AR225" i="2"/>
  <c r="AQ225" i="2"/>
  <c r="AP225" i="2"/>
  <c r="AO225" i="2"/>
  <c r="AN225" i="2"/>
  <c r="AM225" i="2"/>
  <c r="I225" i="2"/>
  <c r="H225" i="2"/>
  <c r="F225" i="2"/>
  <c r="E225" i="2"/>
  <c r="D225" i="2"/>
  <c r="AV224" i="2"/>
  <c r="AU224" i="2"/>
  <c r="AT224" i="2"/>
  <c r="AS224" i="2"/>
  <c r="AR224" i="2"/>
  <c r="AQ224" i="2"/>
  <c r="AP224" i="2"/>
  <c r="AO224" i="2"/>
  <c r="AN224" i="2"/>
  <c r="AM224" i="2"/>
  <c r="AB224" i="2"/>
  <c r="AA224" i="2"/>
  <c r="Z224" i="2"/>
  <c r="Y224" i="2"/>
  <c r="X224" i="2"/>
  <c r="W224" i="2"/>
  <c r="V224" i="2"/>
  <c r="U224" i="2"/>
  <c r="T224" i="2"/>
  <c r="S224" i="2"/>
  <c r="L224" i="2"/>
  <c r="I224" i="2"/>
  <c r="H224" i="2"/>
  <c r="F224" i="2"/>
  <c r="E224" i="2"/>
  <c r="D224" i="2"/>
  <c r="AV223" i="2"/>
  <c r="AU223" i="2"/>
  <c r="AT223" i="2"/>
  <c r="AS223" i="2"/>
  <c r="AR223" i="2"/>
  <c r="AQ223" i="2"/>
  <c r="AP223" i="2"/>
  <c r="AO223" i="2"/>
  <c r="AN223" i="2"/>
  <c r="AM223" i="2"/>
  <c r="AJ223" i="2"/>
  <c r="AF223" i="2"/>
  <c r="AB223" i="2"/>
  <c r="AA223" i="2"/>
  <c r="Z223" i="2"/>
  <c r="Y223" i="2"/>
  <c r="X223" i="2"/>
  <c r="W223" i="2"/>
  <c r="V223" i="2"/>
  <c r="U223" i="2"/>
  <c r="T223" i="2"/>
  <c r="S223" i="2"/>
  <c r="K223" i="2"/>
  <c r="A223" i="2"/>
  <c r="AV222" i="2"/>
  <c r="AU222" i="2"/>
  <c r="AT222" i="2"/>
  <c r="AS222" i="2"/>
  <c r="AR222" i="2"/>
  <c r="AQ222" i="2"/>
  <c r="AP222" i="2"/>
  <c r="AO222" i="2"/>
  <c r="AN222" i="2"/>
  <c r="AM222" i="2"/>
  <c r="I222" i="2"/>
  <c r="H222" i="2"/>
  <c r="F222" i="2"/>
  <c r="E222" i="2"/>
  <c r="D222" i="2"/>
  <c r="AV221" i="2"/>
  <c r="AU221" i="2"/>
  <c r="AT221" i="2"/>
  <c r="AS221" i="2"/>
  <c r="AR221" i="2"/>
  <c r="AQ221" i="2"/>
  <c r="AP221" i="2"/>
  <c r="AO221" i="2"/>
  <c r="AN221" i="2"/>
  <c r="AM221" i="2"/>
  <c r="AB221" i="2"/>
  <c r="AA221" i="2"/>
  <c r="Z221" i="2"/>
  <c r="Y221" i="2"/>
  <c r="X221" i="2"/>
  <c r="W221" i="2"/>
  <c r="V221" i="2"/>
  <c r="U221" i="2"/>
  <c r="T221" i="2"/>
  <c r="S221" i="2"/>
  <c r="L221" i="2"/>
  <c r="I221" i="2"/>
  <c r="H221" i="2"/>
  <c r="F221" i="2"/>
  <c r="E221" i="2"/>
  <c r="D221" i="2"/>
  <c r="AV220" i="2"/>
  <c r="AU220" i="2"/>
  <c r="AT220" i="2"/>
  <c r="AS220" i="2"/>
  <c r="AR220" i="2"/>
  <c r="AQ220" i="2"/>
  <c r="AP220" i="2"/>
  <c r="AO220" i="2"/>
  <c r="AN220" i="2"/>
  <c r="AM220" i="2"/>
  <c r="AJ220" i="2"/>
  <c r="AF220" i="2"/>
  <c r="AB220" i="2"/>
  <c r="AA220" i="2"/>
  <c r="Z220" i="2"/>
  <c r="Y220" i="2"/>
  <c r="X220" i="2"/>
  <c r="W220" i="2"/>
  <c r="V220" i="2"/>
  <c r="U220" i="2"/>
  <c r="T220" i="2"/>
  <c r="S220" i="2"/>
  <c r="K220" i="2"/>
  <c r="A220" i="2"/>
  <c r="AV219" i="2"/>
  <c r="AU219" i="2"/>
  <c r="AT219" i="2"/>
  <c r="AS219" i="2"/>
  <c r="AR219" i="2"/>
  <c r="AQ219" i="2"/>
  <c r="AP219" i="2"/>
  <c r="AO219" i="2"/>
  <c r="AN219" i="2"/>
  <c r="AM219" i="2"/>
  <c r="I219" i="2"/>
  <c r="H219" i="2"/>
  <c r="F219" i="2"/>
  <c r="E219" i="2"/>
  <c r="D219" i="2"/>
  <c r="AV218" i="2"/>
  <c r="AU218" i="2"/>
  <c r="AT218" i="2"/>
  <c r="AS218" i="2"/>
  <c r="AR218" i="2"/>
  <c r="AQ218" i="2"/>
  <c r="AP218" i="2"/>
  <c r="AO218" i="2"/>
  <c r="AN218" i="2"/>
  <c r="AM218" i="2"/>
  <c r="AB218" i="2"/>
  <c r="AA218" i="2"/>
  <c r="Z218" i="2"/>
  <c r="Y218" i="2"/>
  <c r="X218" i="2"/>
  <c r="W218" i="2"/>
  <c r="V218" i="2"/>
  <c r="U218" i="2"/>
  <c r="T218" i="2"/>
  <c r="S218" i="2"/>
  <c r="L218" i="2"/>
  <c r="I218" i="2"/>
  <c r="H218" i="2"/>
  <c r="F218" i="2"/>
  <c r="E218" i="2"/>
  <c r="D218" i="2"/>
  <c r="AV217" i="2"/>
  <c r="AU217" i="2"/>
  <c r="AT217" i="2"/>
  <c r="AS217" i="2"/>
  <c r="AR217" i="2"/>
  <c r="AQ217" i="2"/>
  <c r="AP217" i="2"/>
  <c r="AO217" i="2"/>
  <c r="AN217" i="2"/>
  <c r="AM217" i="2"/>
  <c r="AJ217" i="2"/>
  <c r="AF217" i="2"/>
  <c r="AB217" i="2"/>
  <c r="AA217" i="2"/>
  <c r="Z217" i="2"/>
  <c r="Y217" i="2"/>
  <c r="X217" i="2"/>
  <c r="W217" i="2"/>
  <c r="V217" i="2"/>
  <c r="U217" i="2"/>
  <c r="T217" i="2"/>
  <c r="S217" i="2"/>
  <c r="K217" i="2"/>
  <c r="A217" i="2"/>
  <c r="AV216" i="2"/>
  <c r="AU216" i="2"/>
  <c r="AT216" i="2"/>
  <c r="AS216" i="2"/>
  <c r="AR216" i="2"/>
  <c r="AQ216" i="2"/>
  <c r="AP216" i="2"/>
  <c r="AO216" i="2"/>
  <c r="AN216" i="2"/>
  <c r="AM216" i="2"/>
  <c r="I216" i="2"/>
  <c r="H216" i="2"/>
  <c r="F216" i="2"/>
  <c r="E216" i="2"/>
  <c r="D216" i="2"/>
  <c r="AV215" i="2"/>
  <c r="AU215" i="2"/>
  <c r="AT215" i="2"/>
  <c r="AS215" i="2"/>
  <c r="AR215" i="2"/>
  <c r="AQ215" i="2"/>
  <c r="AP215" i="2"/>
  <c r="AO215" i="2"/>
  <c r="AN215" i="2"/>
  <c r="AM215" i="2"/>
  <c r="AB215" i="2"/>
  <c r="AA215" i="2"/>
  <c r="Z215" i="2"/>
  <c r="Y215" i="2"/>
  <c r="X215" i="2"/>
  <c r="W215" i="2"/>
  <c r="V215" i="2"/>
  <c r="U215" i="2"/>
  <c r="T215" i="2"/>
  <c r="S215" i="2"/>
  <c r="L215" i="2"/>
  <c r="I215" i="2"/>
  <c r="H215" i="2"/>
  <c r="F215" i="2"/>
  <c r="E215" i="2"/>
  <c r="D215" i="2"/>
  <c r="AV214" i="2"/>
  <c r="AU214" i="2"/>
  <c r="AT214" i="2"/>
  <c r="AS214" i="2"/>
  <c r="AR214" i="2"/>
  <c r="AQ214" i="2"/>
  <c r="AP214" i="2"/>
  <c r="AO214" i="2"/>
  <c r="AN214" i="2"/>
  <c r="AM214" i="2"/>
  <c r="AJ214" i="2"/>
  <c r="AF214" i="2"/>
  <c r="AB214" i="2"/>
  <c r="AA214" i="2"/>
  <c r="Z214" i="2"/>
  <c r="Y214" i="2"/>
  <c r="X214" i="2"/>
  <c r="W214" i="2"/>
  <c r="V214" i="2"/>
  <c r="U214" i="2"/>
  <c r="T214" i="2"/>
  <c r="S214" i="2"/>
  <c r="K214" i="2"/>
  <c r="A214" i="2"/>
  <c r="AV213" i="2"/>
  <c r="AU213" i="2"/>
  <c r="AT213" i="2"/>
  <c r="AS213" i="2"/>
  <c r="AR213" i="2"/>
  <c r="AQ213" i="2"/>
  <c r="AP213" i="2"/>
  <c r="AO213" i="2"/>
  <c r="AN213" i="2"/>
  <c r="AM213" i="2"/>
  <c r="I213" i="2"/>
  <c r="H213" i="2"/>
  <c r="F213" i="2"/>
  <c r="E213" i="2"/>
  <c r="D213" i="2"/>
  <c r="AV212" i="2"/>
  <c r="AU212" i="2"/>
  <c r="AT212" i="2"/>
  <c r="AS212" i="2"/>
  <c r="AR212" i="2"/>
  <c r="AQ212" i="2"/>
  <c r="AP212" i="2"/>
  <c r="AO212" i="2"/>
  <c r="AN212" i="2"/>
  <c r="AM212" i="2"/>
  <c r="AB212" i="2"/>
  <c r="AA212" i="2"/>
  <c r="Z212" i="2"/>
  <c r="Y212" i="2"/>
  <c r="X212" i="2"/>
  <c r="W212" i="2"/>
  <c r="V212" i="2"/>
  <c r="U212" i="2"/>
  <c r="T212" i="2"/>
  <c r="S212" i="2"/>
  <c r="L212" i="2"/>
  <c r="I212" i="2"/>
  <c r="H212" i="2"/>
  <c r="F212" i="2"/>
  <c r="E212" i="2"/>
  <c r="D212" i="2"/>
  <c r="AV211" i="2"/>
  <c r="AU211" i="2"/>
  <c r="AT211" i="2"/>
  <c r="AS211" i="2"/>
  <c r="AR211" i="2"/>
  <c r="AQ211" i="2"/>
  <c r="AP211" i="2"/>
  <c r="AO211" i="2"/>
  <c r="AN211" i="2"/>
  <c r="AM211" i="2"/>
  <c r="AJ211" i="2"/>
  <c r="AF211" i="2"/>
  <c r="AB211" i="2"/>
  <c r="AA211" i="2"/>
  <c r="Z211" i="2"/>
  <c r="Y211" i="2"/>
  <c r="X211" i="2"/>
  <c r="W211" i="2"/>
  <c r="V211" i="2"/>
  <c r="U211" i="2"/>
  <c r="T211" i="2"/>
  <c r="S211" i="2"/>
  <c r="K211" i="2"/>
  <c r="A211" i="2"/>
  <c r="AV210" i="2"/>
  <c r="AU210" i="2"/>
  <c r="AT210" i="2"/>
  <c r="AS210" i="2"/>
  <c r="AR210" i="2"/>
  <c r="AQ210" i="2"/>
  <c r="AP210" i="2"/>
  <c r="AO210" i="2"/>
  <c r="AN210" i="2"/>
  <c r="AM210" i="2"/>
  <c r="I210" i="2"/>
  <c r="H210" i="2"/>
  <c r="F210" i="2"/>
  <c r="E210" i="2"/>
  <c r="D210" i="2"/>
  <c r="AV209" i="2"/>
  <c r="AU209" i="2"/>
  <c r="AT209" i="2"/>
  <c r="AS209" i="2"/>
  <c r="AR209" i="2"/>
  <c r="AQ209" i="2"/>
  <c r="AP209" i="2"/>
  <c r="AO209" i="2"/>
  <c r="AN209" i="2"/>
  <c r="AM209" i="2"/>
  <c r="AB209" i="2"/>
  <c r="AA209" i="2"/>
  <c r="Z209" i="2"/>
  <c r="Y209" i="2"/>
  <c r="X209" i="2"/>
  <c r="W209" i="2"/>
  <c r="V209" i="2"/>
  <c r="U209" i="2"/>
  <c r="T209" i="2"/>
  <c r="S209" i="2"/>
  <c r="L209" i="2"/>
  <c r="I209" i="2"/>
  <c r="H209" i="2"/>
  <c r="F209" i="2"/>
  <c r="E209" i="2"/>
  <c r="D209" i="2"/>
  <c r="AV208" i="2"/>
  <c r="AU208" i="2"/>
  <c r="AT208" i="2"/>
  <c r="AS208" i="2"/>
  <c r="AR208" i="2"/>
  <c r="AQ208" i="2"/>
  <c r="AP208" i="2"/>
  <c r="AO208" i="2"/>
  <c r="AN208" i="2"/>
  <c r="AM208" i="2"/>
  <c r="AJ208" i="2"/>
  <c r="AF208" i="2"/>
  <c r="AB208" i="2"/>
  <c r="AA208" i="2"/>
  <c r="Z208" i="2"/>
  <c r="Y208" i="2"/>
  <c r="X208" i="2"/>
  <c r="W208" i="2"/>
  <c r="V208" i="2"/>
  <c r="U208" i="2"/>
  <c r="T208" i="2"/>
  <c r="S208" i="2"/>
  <c r="K208" i="2"/>
  <c r="A208" i="2"/>
  <c r="AV207" i="2"/>
  <c r="AU207" i="2"/>
  <c r="AT207" i="2"/>
  <c r="AS207" i="2"/>
  <c r="AR207" i="2"/>
  <c r="AQ207" i="2"/>
  <c r="AP207" i="2"/>
  <c r="AO207" i="2"/>
  <c r="AN207" i="2"/>
  <c r="AM207" i="2"/>
  <c r="I207" i="2"/>
  <c r="H207" i="2"/>
  <c r="F207" i="2"/>
  <c r="E207" i="2"/>
  <c r="D207" i="2"/>
  <c r="AV206" i="2"/>
  <c r="AU206" i="2"/>
  <c r="AT206" i="2"/>
  <c r="AS206" i="2"/>
  <c r="AR206" i="2"/>
  <c r="AQ206" i="2"/>
  <c r="AP206" i="2"/>
  <c r="AO206" i="2"/>
  <c r="AN206" i="2"/>
  <c r="AM206" i="2"/>
  <c r="AB206" i="2"/>
  <c r="AA206" i="2"/>
  <c r="Z206" i="2"/>
  <c r="Y206" i="2"/>
  <c r="X206" i="2"/>
  <c r="W206" i="2"/>
  <c r="V206" i="2"/>
  <c r="U206" i="2"/>
  <c r="T206" i="2"/>
  <c r="S206" i="2"/>
  <c r="L206" i="2"/>
  <c r="I206" i="2"/>
  <c r="H206" i="2"/>
  <c r="F206" i="2"/>
  <c r="E206" i="2"/>
  <c r="D206" i="2"/>
  <c r="AV205" i="2"/>
  <c r="AU205" i="2"/>
  <c r="AT205" i="2"/>
  <c r="AS205" i="2"/>
  <c r="AR205" i="2"/>
  <c r="AQ205" i="2"/>
  <c r="AP205" i="2"/>
  <c r="AO205" i="2"/>
  <c r="AN205" i="2"/>
  <c r="AM205" i="2"/>
  <c r="AJ205" i="2"/>
  <c r="AF205" i="2"/>
  <c r="AB205" i="2"/>
  <c r="AA205" i="2"/>
  <c r="Z205" i="2"/>
  <c r="Y205" i="2"/>
  <c r="X205" i="2"/>
  <c r="W205" i="2"/>
  <c r="V205" i="2"/>
  <c r="U205" i="2"/>
  <c r="T205" i="2"/>
  <c r="S205" i="2"/>
  <c r="K205" i="2"/>
  <c r="A205" i="2"/>
  <c r="AV204" i="2"/>
  <c r="AU204" i="2"/>
  <c r="AT204" i="2"/>
  <c r="AS204" i="2"/>
  <c r="AR204" i="2"/>
  <c r="AQ204" i="2"/>
  <c r="AP204" i="2"/>
  <c r="AO204" i="2"/>
  <c r="AN204" i="2"/>
  <c r="AM204" i="2"/>
  <c r="I204" i="2"/>
  <c r="H204" i="2"/>
  <c r="F204" i="2"/>
  <c r="E204" i="2"/>
  <c r="D204" i="2"/>
  <c r="AV203" i="2"/>
  <c r="AU203" i="2"/>
  <c r="AT203" i="2"/>
  <c r="AS203" i="2"/>
  <c r="AR203" i="2"/>
  <c r="AQ203" i="2"/>
  <c r="AP203" i="2"/>
  <c r="AO203" i="2"/>
  <c r="AN203" i="2"/>
  <c r="AM203" i="2"/>
  <c r="AB203" i="2"/>
  <c r="AA203" i="2"/>
  <c r="Z203" i="2"/>
  <c r="Y203" i="2"/>
  <c r="X203" i="2"/>
  <c r="W203" i="2"/>
  <c r="V203" i="2"/>
  <c r="U203" i="2"/>
  <c r="T203" i="2"/>
  <c r="S203" i="2"/>
  <c r="L203" i="2"/>
  <c r="I203" i="2"/>
  <c r="H203" i="2"/>
  <c r="F203" i="2"/>
  <c r="E203" i="2"/>
  <c r="D203" i="2"/>
  <c r="AV202" i="2"/>
  <c r="AU202" i="2"/>
  <c r="AT202" i="2"/>
  <c r="AS202" i="2"/>
  <c r="AR202" i="2"/>
  <c r="AQ202" i="2"/>
  <c r="AP202" i="2"/>
  <c r="AO202" i="2"/>
  <c r="AN202" i="2"/>
  <c r="AM202" i="2"/>
  <c r="AJ202" i="2"/>
  <c r="AF202" i="2"/>
  <c r="AB202" i="2"/>
  <c r="AA202" i="2"/>
  <c r="Z202" i="2"/>
  <c r="Y202" i="2"/>
  <c r="X202" i="2"/>
  <c r="W202" i="2"/>
  <c r="V202" i="2"/>
  <c r="U202" i="2"/>
  <c r="T202" i="2"/>
  <c r="S202" i="2"/>
  <c r="K202" i="2"/>
  <c r="A202" i="2"/>
  <c r="AV201" i="2"/>
  <c r="AU201" i="2"/>
  <c r="AT201" i="2"/>
  <c r="AS201" i="2"/>
  <c r="AR201" i="2"/>
  <c r="AQ201" i="2"/>
  <c r="AP201" i="2"/>
  <c r="AO201" i="2"/>
  <c r="AN201" i="2"/>
  <c r="AM201" i="2"/>
  <c r="I201" i="2"/>
  <c r="H201" i="2"/>
  <c r="F201" i="2"/>
  <c r="E201" i="2"/>
  <c r="D201" i="2"/>
  <c r="AV200" i="2"/>
  <c r="AU200" i="2"/>
  <c r="AT200" i="2"/>
  <c r="AS200" i="2"/>
  <c r="AR200" i="2"/>
  <c r="AQ200" i="2"/>
  <c r="AP200" i="2"/>
  <c r="AO200" i="2"/>
  <c r="AN200" i="2"/>
  <c r="AM200" i="2"/>
  <c r="AB200" i="2"/>
  <c r="AA200" i="2"/>
  <c r="Z200" i="2"/>
  <c r="Y200" i="2"/>
  <c r="X200" i="2"/>
  <c r="W200" i="2"/>
  <c r="V200" i="2"/>
  <c r="U200" i="2"/>
  <c r="T200" i="2"/>
  <c r="S200" i="2"/>
  <c r="L200" i="2"/>
  <c r="I200" i="2"/>
  <c r="H200" i="2"/>
  <c r="F200" i="2"/>
  <c r="E200" i="2"/>
  <c r="D200" i="2"/>
  <c r="AV199" i="2"/>
  <c r="AU199" i="2"/>
  <c r="AT199" i="2"/>
  <c r="AS199" i="2"/>
  <c r="AR199" i="2"/>
  <c r="AQ199" i="2"/>
  <c r="AP199" i="2"/>
  <c r="AO199" i="2"/>
  <c r="AN199" i="2"/>
  <c r="AM199" i="2"/>
  <c r="AJ199" i="2"/>
  <c r="AF199" i="2"/>
  <c r="AB199" i="2"/>
  <c r="AA199" i="2"/>
  <c r="Z199" i="2"/>
  <c r="Y199" i="2"/>
  <c r="X199" i="2"/>
  <c r="W199" i="2"/>
  <c r="V199" i="2"/>
  <c r="U199" i="2"/>
  <c r="T199" i="2"/>
  <c r="S199" i="2"/>
  <c r="K199" i="2"/>
  <c r="A199" i="2"/>
  <c r="AV198" i="2"/>
  <c r="AU198" i="2"/>
  <c r="AT198" i="2"/>
  <c r="AS198" i="2"/>
  <c r="AR198" i="2"/>
  <c r="AQ198" i="2"/>
  <c r="AP198" i="2"/>
  <c r="AO198" i="2"/>
  <c r="AN198" i="2"/>
  <c r="AM198" i="2"/>
  <c r="I198" i="2"/>
  <c r="H198" i="2"/>
  <c r="F198" i="2"/>
  <c r="E198" i="2"/>
  <c r="D198" i="2"/>
  <c r="AV197" i="2"/>
  <c r="AU197" i="2"/>
  <c r="AT197" i="2"/>
  <c r="AS197" i="2"/>
  <c r="AR197" i="2"/>
  <c r="AQ197" i="2"/>
  <c r="AP197" i="2"/>
  <c r="AO197" i="2"/>
  <c r="AN197" i="2"/>
  <c r="AM197" i="2"/>
  <c r="AB197" i="2"/>
  <c r="AA197" i="2"/>
  <c r="Z197" i="2"/>
  <c r="Y197" i="2"/>
  <c r="X197" i="2"/>
  <c r="W197" i="2"/>
  <c r="V197" i="2"/>
  <c r="U197" i="2"/>
  <c r="T197" i="2"/>
  <c r="S197" i="2"/>
  <c r="L197" i="2"/>
  <c r="I197" i="2"/>
  <c r="H197" i="2"/>
  <c r="F197" i="2"/>
  <c r="E197" i="2"/>
  <c r="D197" i="2"/>
  <c r="AV196" i="2"/>
  <c r="AU196" i="2"/>
  <c r="AT196" i="2"/>
  <c r="AS196" i="2"/>
  <c r="AR196" i="2"/>
  <c r="AQ196" i="2"/>
  <c r="AP196" i="2"/>
  <c r="AO196" i="2"/>
  <c r="AN196" i="2"/>
  <c r="AM196" i="2"/>
  <c r="AJ196" i="2"/>
  <c r="AF196" i="2"/>
  <c r="AB196" i="2"/>
  <c r="AA196" i="2"/>
  <c r="Z196" i="2"/>
  <c r="Y196" i="2"/>
  <c r="X196" i="2"/>
  <c r="W196" i="2"/>
  <c r="V196" i="2"/>
  <c r="U196" i="2"/>
  <c r="T196" i="2"/>
  <c r="S196" i="2"/>
  <c r="K196" i="2"/>
  <c r="A196" i="2"/>
  <c r="AV195" i="2"/>
  <c r="AU195" i="2"/>
  <c r="AT195" i="2"/>
  <c r="AS195" i="2"/>
  <c r="AR195" i="2"/>
  <c r="AQ195" i="2"/>
  <c r="AP195" i="2"/>
  <c r="AO195" i="2"/>
  <c r="AN195" i="2"/>
  <c r="AM195" i="2"/>
  <c r="I195" i="2"/>
  <c r="H195" i="2"/>
  <c r="F195" i="2"/>
  <c r="E195" i="2"/>
  <c r="D195" i="2"/>
  <c r="AV194" i="2"/>
  <c r="AU194" i="2"/>
  <c r="AT194" i="2"/>
  <c r="AS194" i="2"/>
  <c r="AR194" i="2"/>
  <c r="AQ194" i="2"/>
  <c r="AP194" i="2"/>
  <c r="AO194" i="2"/>
  <c r="AN194" i="2"/>
  <c r="AM194" i="2"/>
  <c r="AB194" i="2"/>
  <c r="AA194" i="2"/>
  <c r="Z194" i="2"/>
  <c r="Y194" i="2"/>
  <c r="X194" i="2"/>
  <c r="W194" i="2"/>
  <c r="V194" i="2"/>
  <c r="U194" i="2"/>
  <c r="T194" i="2"/>
  <c r="S194" i="2"/>
  <c r="L194" i="2"/>
  <c r="I194" i="2"/>
  <c r="H194" i="2"/>
  <c r="F194" i="2"/>
  <c r="E194" i="2"/>
  <c r="D194" i="2"/>
  <c r="AV193" i="2"/>
  <c r="AU193" i="2"/>
  <c r="AT193" i="2"/>
  <c r="AS193" i="2"/>
  <c r="AR193" i="2"/>
  <c r="AQ193" i="2"/>
  <c r="AP193" i="2"/>
  <c r="AO193" i="2"/>
  <c r="AN193" i="2"/>
  <c r="AM193" i="2"/>
  <c r="AJ193" i="2"/>
  <c r="AF193" i="2"/>
  <c r="AB193" i="2"/>
  <c r="AA193" i="2"/>
  <c r="Z193" i="2"/>
  <c r="Y193" i="2"/>
  <c r="X193" i="2"/>
  <c r="W193" i="2"/>
  <c r="V193" i="2"/>
  <c r="U193" i="2"/>
  <c r="T193" i="2"/>
  <c r="S193" i="2"/>
  <c r="K193" i="2"/>
  <c r="A193" i="2"/>
  <c r="AV192" i="2"/>
  <c r="AU192" i="2"/>
  <c r="AT192" i="2"/>
  <c r="AS192" i="2"/>
  <c r="AR192" i="2"/>
  <c r="AQ192" i="2"/>
  <c r="AP192" i="2"/>
  <c r="AO192" i="2"/>
  <c r="AN192" i="2"/>
  <c r="AM192" i="2"/>
  <c r="I192" i="2"/>
  <c r="H192" i="2"/>
  <c r="F192" i="2"/>
  <c r="E192" i="2"/>
  <c r="D192" i="2"/>
  <c r="AV191" i="2"/>
  <c r="AU191" i="2"/>
  <c r="AT191" i="2"/>
  <c r="AS191" i="2"/>
  <c r="AR191" i="2"/>
  <c r="AQ191" i="2"/>
  <c r="AP191" i="2"/>
  <c r="AO191" i="2"/>
  <c r="AN191" i="2"/>
  <c r="AM191" i="2"/>
  <c r="AB191" i="2"/>
  <c r="AA191" i="2"/>
  <c r="Z191" i="2"/>
  <c r="Y191" i="2"/>
  <c r="X191" i="2"/>
  <c r="W191" i="2"/>
  <c r="V191" i="2"/>
  <c r="U191" i="2"/>
  <c r="T191" i="2"/>
  <c r="S191" i="2"/>
  <c r="L191" i="2"/>
  <c r="I191" i="2"/>
  <c r="H191" i="2"/>
  <c r="F191" i="2"/>
  <c r="E191" i="2"/>
  <c r="D191" i="2"/>
  <c r="AV190" i="2"/>
  <c r="AU190" i="2"/>
  <c r="AT190" i="2"/>
  <c r="AS190" i="2"/>
  <c r="AR190" i="2"/>
  <c r="AQ190" i="2"/>
  <c r="AP190" i="2"/>
  <c r="AO190" i="2"/>
  <c r="AN190" i="2"/>
  <c r="AM190" i="2"/>
  <c r="AJ190" i="2"/>
  <c r="AF190" i="2"/>
  <c r="AB190" i="2"/>
  <c r="AA190" i="2"/>
  <c r="Z190" i="2"/>
  <c r="Y190" i="2"/>
  <c r="X190" i="2"/>
  <c r="W190" i="2"/>
  <c r="V190" i="2"/>
  <c r="U190" i="2"/>
  <c r="T190" i="2"/>
  <c r="S190" i="2"/>
  <c r="K190" i="2"/>
  <c r="A190" i="2"/>
  <c r="AV189" i="2"/>
  <c r="AU189" i="2"/>
  <c r="AT189" i="2"/>
  <c r="AS189" i="2"/>
  <c r="AR189" i="2"/>
  <c r="AQ189" i="2"/>
  <c r="AP189" i="2"/>
  <c r="AO189" i="2"/>
  <c r="AN189" i="2"/>
  <c r="AM189" i="2"/>
  <c r="I189" i="2"/>
  <c r="H189" i="2"/>
  <c r="F189" i="2"/>
  <c r="E189" i="2"/>
  <c r="D189" i="2"/>
  <c r="AV188" i="2"/>
  <c r="AU188" i="2"/>
  <c r="AT188" i="2"/>
  <c r="AS188" i="2"/>
  <c r="AR188" i="2"/>
  <c r="AQ188" i="2"/>
  <c r="AP188" i="2"/>
  <c r="AO188" i="2"/>
  <c r="AN188" i="2"/>
  <c r="AM188" i="2"/>
  <c r="AB188" i="2"/>
  <c r="AA188" i="2"/>
  <c r="Z188" i="2"/>
  <c r="Y188" i="2"/>
  <c r="X188" i="2"/>
  <c r="W188" i="2"/>
  <c r="V188" i="2"/>
  <c r="U188" i="2"/>
  <c r="T188" i="2"/>
  <c r="S188" i="2"/>
  <c r="L188" i="2"/>
  <c r="I188" i="2"/>
  <c r="H188" i="2"/>
  <c r="F188" i="2"/>
  <c r="E188" i="2"/>
  <c r="D188" i="2"/>
  <c r="AV187" i="2"/>
  <c r="AU187" i="2"/>
  <c r="AT187" i="2"/>
  <c r="AS187" i="2"/>
  <c r="AR187" i="2"/>
  <c r="AQ187" i="2"/>
  <c r="AP187" i="2"/>
  <c r="AO187" i="2"/>
  <c r="AN187" i="2"/>
  <c r="AM187" i="2"/>
  <c r="AJ187" i="2"/>
  <c r="AF187" i="2"/>
  <c r="AB187" i="2"/>
  <c r="AA187" i="2"/>
  <c r="Z187" i="2"/>
  <c r="Y187" i="2"/>
  <c r="X187" i="2"/>
  <c r="W187" i="2"/>
  <c r="V187" i="2"/>
  <c r="U187" i="2"/>
  <c r="T187" i="2"/>
  <c r="S187" i="2"/>
  <c r="K187" i="2"/>
  <c r="A187" i="2"/>
  <c r="AV186" i="2"/>
  <c r="AU186" i="2"/>
  <c r="AT186" i="2"/>
  <c r="AS186" i="2"/>
  <c r="AR186" i="2"/>
  <c r="AQ186" i="2"/>
  <c r="AP186" i="2"/>
  <c r="AO186" i="2"/>
  <c r="AN186" i="2"/>
  <c r="AM186" i="2"/>
  <c r="I186" i="2"/>
  <c r="H186" i="2"/>
  <c r="F186" i="2"/>
  <c r="E186" i="2"/>
  <c r="D186" i="2"/>
  <c r="AV185" i="2"/>
  <c r="AU185" i="2"/>
  <c r="AT185" i="2"/>
  <c r="AS185" i="2"/>
  <c r="AR185" i="2"/>
  <c r="AQ185" i="2"/>
  <c r="AP185" i="2"/>
  <c r="AO185" i="2"/>
  <c r="AN185" i="2"/>
  <c r="AM185" i="2"/>
  <c r="AB185" i="2"/>
  <c r="AA185" i="2"/>
  <c r="Z185" i="2"/>
  <c r="Y185" i="2"/>
  <c r="X185" i="2"/>
  <c r="W185" i="2"/>
  <c r="V185" i="2"/>
  <c r="U185" i="2"/>
  <c r="T185" i="2"/>
  <c r="S185" i="2"/>
  <c r="L185" i="2"/>
  <c r="I185" i="2"/>
  <c r="H185" i="2"/>
  <c r="F185" i="2"/>
  <c r="E185" i="2"/>
  <c r="D185" i="2"/>
  <c r="AV184" i="2"/>
  <c r="AU184" i="2"/>
  <c r="AT184" i="2"/>
  <c r="AS184" i="2"/>
  <c r="AR184" i="2"/>
  <c r="AQ184" i="2"/>
  <c r="AP184" i="2"/>
  <c r="AO184" i="2"/>
  <c r="AN184" i="2"/>
  <c r="AM184" i="2"/>
  <c r="AJ184" i="2"/>
  <c r="AF184" i="2"/>
  <c r="AB184" i="2"/>
  <c r="AA184" i="2"/>
  <c r="Z184" i="2"/>
  <c r="Y184" i="2"/>
  <c r="X184" i="2"/>
  <c r="W184" i="2"/>
  <c r="V184" i="2"/>
  <c r="U184" i="2"/>
  <c r="T184" i="2"/>
  <c r="S184" i="2"/>
  <c r="K184" i="2"/>
  <c r="A184" i="2"/>
  <c r="AV183" i="2"/>
  <c r="AU183" i="2"/>
  <c r="AT183" i="2"/>
  <c r="AS183" i="2"/>
  <c r="AR183" i="2"/>
  <c r="AQ183" i="2"/>
  <c r="AP183" i="2"/>
  <c r="AO183" i="2"/>
  <c r="AN183" i="2"/>
  <c r="AM183" i="2"/>
  <c r="I183" i="2"/>
  <c r="H183" i="2"/>
  <c r="F183" i="2"/>
  <c r="E183" i="2"/>
  <c r="D183" i="2"/>
  <c r="AV182" i="2"/>
  <c r="AU182" i="2"/>
  <c r="AT182" i="2"/>
  <c r="AS182" i="2"/>
  <c r="AR182" i="2"/>
  <c r="AQ182" i="2"/>
  <c r="AP182" i="2"/>
  <c r="AO182" i="2"/>
  <c r="AN182" i="2"/>
  <c r="AM182" i="2"/>
  <c r="AB182" i="2"/>
  <c r="AA182" i="2"/>
  <c r="Z182" i="2"/>
  <c r="Y182" i="2"/>
  <c r="X182" i="2"/>
  <c r="W182" i="2"/>
  <c r="V182" i="2"/>
  <c r="U182" i="2"/>
  <c r="T182" i="2"/>
  <c r="S182" i="2"/>
  <c r="L182" i="2"/>
  <c r="I182" i="2"/>
  <c r="H182" i="2"/>
  <c r="F182" i="2"/>
  <c r="E182" i="2"/>
  <c r="D182" i="2"/>
  <c r="AV181" i="2"/>
  <c r="AU181" i="2"/>
  <c r="AT181" i="2"/>
  <c r="AS181" i="2"/>
  <c r="AR181" i="2"/>
  <c r="AQ181" i="2"/>
  <c r="AP181" i="2"/>
  <c r="AO181" i="2"/>
  <c r="AN181" i="2"/>
  <c r="AM181" i="2"/>
  <c r="AJ181" i="2"/>
  <c r="AF181" i="2"/>
  <c r="AB181" i="2"/>
  <c r="AA181" i="2"/>
  <c r="Z181" i="2"/>
  <c r="Y181" i="2"/>
  <c r="X181" i="2"/>
  <c r="W181" i="2"/>
  <c r="V181" i="2"/>
  <c r="U181" i="2"/>
  <c r="T181" i="2"/>
  <c r="S181" i="2"/>
  <c r="K181" i="2"/>
  <c r="A181" i="2"/>
  <c r="AV180" i="2"/>
  <c r="AU180" i="2"/>
  <c r="AT180" i="2"/>
  <c r="AS180" i="2"/>
  <c r="AR180" i="2"/>
  <c r="AQ180" i="2"/>
  <c r="AP180" i="2"/>
  <c r="AO180" i="2"/>
  <c r="AN180" i="2"/>
  <c r="AM180" i="2"/>
  <c r="I180" i="2"/>
  <c r="H180" i="2"/>
  <c r="F180" i="2"/>
  <c r="E180" i="2"/>
  <c r="D180" i="2"/>
  <c r="AV179" i="2"/>
  <c r="AU179" i="2"/>
  <c r="AT179" i="2"/>
  <c r="AS179" i="2"/>
  <c r="AR179" i="2"/>
  <c r="AQ179" i="2"/>
  <c r="AP179" i="2"/>
  <c r="AO179" i="2"/>
  <c r="AN179" i="2"/>
  <c r="AM179" i="2"/>
  <c r="AB179" i="2"/>
  <c r="AA179" i="2"/>
  <c r="Z179" i="2"/>
  <c r="Y179" i="2"/>
  <c r="X179" i="2"/>
  <c r="W179" i="2"/>
  <c r="V179" i="2"/>
  <c r="U179" i="2"/>
  <c r="T179" i="2"/>
  <c r="S179" i="2"/>
  <c r="L179" i="2"/>
  <c r="I179" i="2"/>
  <c r="H179" i="2"/>
  <c r="F179" i="2"/>
  <c r="E179" i="2"/>
  <c r="D179" i="2"/>
  <c r="AV178" i="2"/>
  <c r="AU178" i="2"/>
  <c r="AT178" i="2"/>
  <c r="AS178" i="2"/>
  <c r="AR178" i="2"/>
  <c r="AQ178" i="2"/>
  <c r="AP178" i="2"/>
  <c r="AO178" i="2"/>
  <c r="AN178" i="2"/>
  <c r="AM178" i="2"/>
  <c r="AJ178" i="2"/>
  <c r="AF178" i="2"/>
  <c r="AB178" i="2"/>
  <c r="W178" i="2"/>
  <c r="U178" i="2"/>
  <c r="T178" i="2"/>
  <c r="S178" i="2"/>
  <c r="R178" i="2"/>
  <c r="K178" i="2"/>
  <c r="A178" i="2"/>
  <c r="AV177" i="2"/>
  <c r="AU177" i="2"/>
  <c r="AT177" i="2"/>
  <c r="AS177" i="2"/>
  <c r="AR177" i="2"/>
  <c r="AQ177" i="2"/>
  <c r="AP177" i="2"/>
  <c r="AO177" i="2"/>
  <c r="AN177" i="2"/>
  <c r="AM177" i="2"/>
  <c r="I177" i="2"/>
  <c r="H177" i="2"/>
  <c r="F177" i="2"/>
  <c r="E177" i="2"/>
  <c r="D177" i="2"/>
  <c r="AV176" i="2"/>
  <c r="AU176" i="2"/>
  <c r="AT176" i="2"/>
  <c r="AS176" i="2"/>
  <c r="AR176" i="2"/>
  <c r="AQ176" i="2"/>
  <c r="AP176" i="2"/>
  <c r="AO176" i="2"/>
  <c r="AN176" i="2"/>
  <c r="AM176" i="2"/>
  <c r="AB176" i="2"/>
  <c r="AA176" i="2"/>
  <c r="Z176" i="2"/>
  <c r="Y176" i="2"/>
  <c r="X176" i="2"/>
  <c r="W176" i="2"/>
  <c r="V176" i="2"/>
  <c r="U176" i="2"/>
  <c r="T176" i="2"/>
  <c r="S176" i="2"/>
  <c r="L176" i="2"/>
  <c r="I176" i="2"/>
  <c r="H176" i="2"/>
  <c r="F176" i="2"/>
  <c r="E176" i="2"/>
  <c r="D176" i="2"/>
  <c r="AV175" i="2"/>
  <c r="AU175" i="2"/>
  <c r="AT175" i="2"/>
  <c r="AS175" i="2"/>
  <c r="AR175" i="2"/>
  <c r="AQ175" i="2"/>
  <c r="AP175" i="2"/>
  <c r="AO175" i="2"/>
  <c r="AN175" i="2"/>
  <c r="AM175" i="2"/>
  <c r="AJ175" i="2"/>
  <c r="AG175" i="2"/>
  <c r="AF175" i="2"/>
  <c r="AE175" i="2"/>
  <c r="AB175" i="2"/>
  <c r="W175" i="2"/>
  <c r="U175" i="2"/>
  <c r="T175" i="2"/>
  <c r="S175" i="2"/>
  <c r="R175" i="2"/>
  <c r="K175" i="2"/>
  <c r="F175" i="2"/>
  <c r="A175" i="2"/>
  <c r="AV174" i="2"/>
  <c r="AU174" i="2"/>
  <c r="AT174" i="2"/>
  <c r="AS174" i="2"/>
  <c r="AR174" i="2"/>
  <c r="AQ174" i="2"/>
  <c r="AP174" i="2"/>
  <c r="AO174" i="2"/>
  <c r="AN174" i="2"/>
  <c r="AM174" i="2"/>
  <c r="I174" i="2"/>
  <c r="H174" i="2"/>
  <c r="F174" i="2"/>
  <c r="E174" i="2"/>
  <c r="D174" i="2"/>
  <c r="AV173" i="2"/>
  <c r="AU173" i="2"/>
  <c r="AT173" i="2"/>
  <c r="AS173" i="2"/>
  <c r="AR173" i="2"/>
  <c r="AQ173" i="2"/>
  <c r="AP173" i="2"/>
  <c r="AO173" i="2"/>
  <c r="AN173" i="2"/>
  <c r="AM173" i="2"/>
  <c r="AB173" i="2"/>
  <c r="AA173" i="2"/>
  <c r="Z173" i="2"/>
  <c r="Y173" i="2"/>
  <c r="X173" i="2"/>
  <c r="W173" i="2"/>
  <c r="V173" i="2"/>
  <c r="U173" i="2"/>
  <c r="T173" i="2"/>
  <c r="S173" i="2"/>
  <c r="L173" i="2"/>
  <c r="I173" i="2"/>
  <c r="H173" i="2"/>
  <c r="F173" i="2"/>
  <c r="E173" i="2"/>
  <c r="D173" i="2"/>
  <c r="AV172" i="2"/>
  <c r="AU172" i="2"/>
  <c r="AT172" i="2"/>
  <c r="AS172" i="2"/>
  <c r="AR172" i="2"/>
  <c r="AQ172" i="2"/>
  <c r="AP172" i="2"/>
  <c r="AO172" i="2"/>
  <c r="AN172" i="2"/>
  <c r="AM172" i="2"/>
  <c r="AJ172" i="2"/>
  <c r="AG172" i="2"/>
  <c r="AF172" i="2"/>
  <c r="AE172" i="2"/>
  <c r="AB172" i="2"/>
  <c r="W172" i="2"/>
  <c r="U172" i="2"/>
  <c r="T172" i="2"/>
  <c r="S172" i="2"/>
  <c r="R172" i="2"/>
  <c r="K172" i="2"/>
  <c r="F172" i="2"/>
  <c r="A172" i="2"/>
  <c r="AV171" i="2"/>
  <c r="AU171" i="2"/>
  <c r="AT171" i="2"/>
  <c r="AS171" i="2"/>
  <c r="AR171" i="2"/>
  <c r="AQ171" i="2"/>
  <c r="AP171" i="2"/>
  <c r="AO171" i="2"/>
  <c r="AN171" i="2"/>
  <c r="AM171" i="2"/>
  <c r="I171" i="2"/>
  <c r="H171" i="2"/>
  <c r="F171" i="2"/>
  <c r="E171" i="2"/>
  <c r="D171" i="2"/>
  <c r="AV170" i="2"/>
  <c r="AU170" i="2"/>
  <c r="AT170" i="2"/>
  <c r="AS170" i="2"/>
  <c r="AR170" i="2"/>
  <c r="AQ170" i="2"/>
  <c r="AP170" i="2"/>
  <c r="AO170" i="2"/>
  <c r="AN170" i="2"/>
  <c r="AM170" i="2"/>
  <c r="AB170" i="2"/>
  <c r="AA170" i="2"/>
  <c r="Z170" i="2"/>
  <c r="Y170" i="2"/>
  <c r="X170" i="2"/>
  <c r="W170" i="2"/>
  <c r="V170" i="2"/>
  <c r="U170" i="2"/>
  <c r="T170" i="2"/>
  <c r="S170" i="2"/>
  <c r="L170" i="2"/>
  <c r="I170" i="2"/>
  <c r="H170" i="2"/>
  <c r="F170" i="2"/>
  <c r="E170" i="2"/>
  <c r="D170" i="2"/>
  <c r="AV169" i="2"/>
  <c r="AU169" i="2"/>
  <c r="AT169" i="2"/>
  <c r="AS169" i="2"/>
  <c r="AR169" i="2"/>
  <c r="AQ169" i="2"/>
  <c r="AP169" i="2"/>
  <c r="AO169" i="2"/>
  <c r="AN169" i="2"/>
  <c r="AM169" i="2"/>
  <c r="AJ169" i="2"/>
  <c r="AG169" i="2"/>
  <c r="AF169" i="2"/>
  <c r="AB169" i="2"/>
  <c r="W169" i="2"/>
  <c r="U169" i="2"/>
  <c r="T169" i="2"/>
  <c r="S169" i="2"/>
  <c r="R169" i="2"/>
  <c r="K169" i="2"/>
  <c r="F169" i="2"/>
  <c r="A169" i="2"/>
  <c r="AV168" i="2"/>
  <c r="AU168" i="2"/>
  <c r="AT168" i="2"/>
  <c r="AS168" i="2"/>
  <c r="AR168" i="2"/>
  <c r="AQ168" i="2"/>
  <c r="AP168" i="2"/>
  <c r="AO168" i="2"/>
  <c r="AN168" i="2"/>
  <c r="AM168" i="2"/>
  <c r="I168" i="2"/>
  <c r="H168" i="2"/>
  <c r="F168" i="2"/>
  <c r="E168" i="2"/>
  <c r="D168" i="2"/>
  <c r="AV167" i="2"/>
  <c r="AU167" i="2"/>
  <c r="AT167" i="2"/>
  <c r="AS167" i="2"/>
  <c r="AR167" i="2"/>
  <c r="AQ167" i="2"/>
  <c r="AP167" i="2"/>
  <c r="AO167" i="2"/>
  <c r="AN167" i="2"/>
  <c r="AM167" i="2"/>
  <c r="AB167" i="2"/>
  <c r="AA167" i="2"/>
  <c r="Z167" i="2"/>
  <c r="Y167" i="2"/>
  <c r="X167" i="2"/>
  <c r="W167" i="2"/>
  <c r="V167" i="2"/>
  <c r="U167" i="2"/>
  <c r="T167" i="2"/>
  <c r="S167" i="2"/>
  <c r="L167" i="2"/>
  <c r="I167" i="2"/>
  <c r="H167" i="2"/>
  <c r="F167" i="2"/>
  <c r="E167" i="2"/>
  <c r="D167" i="2"/>
  <c r="AV166" i="2"/>
  <c r="AU166" i="2"/>
  <c r="AT166" i="2"/>
  <c r="AS166" i="2"/>
  <c r="AR166" i="2"/>
  <c r="AQ166" i="2"/>
  <c r="AP166" i="2"/>
  <c r="AO166" i="2"/>
  <c r="AN166" i="2"/>
  <c r="AM166" i="2"/>
  <c r="AJ166" i="2"/>
  <c r="AG166" i="2"/>
  <c r="AF166" i="2"/>
  <c r="AB166" i="2"/>
  <c r="W166" i="2"/>
  <c r="U166" i="2"/>
  <c r="T166" i="2"/>
  <c r="S166" i="2"/>
  <c r="R166" i="2"/>
  <c r="K166" i="2"/>
  <c r="A166" i="2"/>
  <c r="AV165" i="2"/>
  <c r="AU165" i="2"/>
  <c r="AT165" i="2"/>
  <c r="AS165" i="2"/>
  <c r="AR165" i="2"/>
  <c r="AQ165" i="2"/>
  <c r="AP165" i="2"/>
  <c r="AO165" i="2"/>
  <c r="AN165" i="2"/>
  <c r="AM165" i="2"/>
  <c r="I165" i="2"/>
  <c r="H165" i="2"/>
  <c r="F165" i="2"/>
  <c r="E165" i="2"/>
  <c r="D165" i="2"/>
  <c r="AV164" i="2"/>
  <c r="AU164" i="2"/>
  <c r="AT164" i="2"/>
  <c r="AS164" i="2"/>
  <c r="AR164" i="2"/>
  <c r="AQ164" i="2"/>
  <c r="AP164" i="2"/>
  <c r="AO164" i="2"/>
  <c r="AN164" i="2"/>
  <c r="AM164" i="2"/>
  <c r="AB164" i="2"/>
  <c r="AA164" i="2"/>
  <c r="Z164" i="2"/>
  <c r="Y164" i="2"/>
  <c r="X164" i="2"/>
  <c r="W164" i="2"/>
  <c r="V164" i="2"/>
  <c r="U164" i="2"/>
  <c r="T164" i="2"/>
  <c r="S164" i="2"/>
  <c r="L164" i="2"/>
  <c r="I164" i="2"/>
  <c r="H164" i="2"/>
  <c r="F164" i="2"/>
  <c r="E164" i="2"/>
  <c r="AV163" i="2"/>
  <c r="AU163" i="2"/>
  <c r="AT163" i="2"/>
  <c r="AS163" i="2"/>
  <c r="AR163" i="2"/>
  <c r="AQ163" i="2"/>
  <c r="AP163" i="2"/>
  <c r="AO163" i="2"/>
  <c r="AN163" i="2"/>
  <c r="AM163" i="2"/>
  <c r="AJ163" i="2"/>
  <c r="AG163" i="2"/>
  <c r="AF163" i="2"/>
  <c r="AB163" i="2"/>
  <c r="W163" i="2"/>
  <c r="U163" i="2"/>
  <c r="T163" i="2"/>
  <c r="S163" i="2"/>
  <c r="R163" i="2"/>
  <c r="K163" i="2"/>
  <c r="A163" i="2"/>
  <c r="AV162" i="2"/>
  <c r="AU162" i="2"/>
  <c r="AT162" i="2"/>
  <c r="AS162" i="2"/>
  <c r="AR162" i="2"/>
  <c r="AQ162" i="2"/>
  <c r="AP162" i="2"/>
  <c r="AO162" i="2"/>
  <c r="AN162" i="2"/>
  <c r="AM162" i="2"/>
  <c r="I162" i="2"/>
  <c r="H162" i="2"/>
  <c r="F162" i="2"/>
  <c r="E162" i="2"/>
  <c r="D162" i="2"/>
  <c r="AV161" i="2"/>
  <c r="AU161" i="2"/>
  <c r="AT161" i="2"/>
  <c r="AS161" i="2"/>
  <c r="AR161" i="2"/>
  <c r="AQ161" i="2"/>
  <c r="AP161" i="2"/>
  <c r="AO161" i="2"/>
  <c r="AN161" i="2"/>
  <c r="AM161" i="2"/>
  <c r="AB161" i="2"/>
  <c r="AA161" i="2"/>
  <c r="Z161" i="2"/>
  <c r="Y161" i="2"/>
  <c r="X161" i="2"/>
  <c r="W161" i="2"/>
  <c r="V161" i="2"/>
  <c r="U161" i="2"/>
  <c r="T161" i="2"/>
  <c r="S161" i="2"/>
  <c r="L161" i="2"/>
  <c r="I161" i="2"/>
  <c r="H161" i="2"/>
  <c r="F161" i="2"/>
  <c r="E161" i="2"/>
  <c r="D161" i="2"/>
  <c r="AV160" i="2"/>
  <c r="AU160" i="2"/>
  <c r="AT160" i="2"/>
  <c r="AS160" i="2"/>
  <c r="AR160" i="2"/>
  <c r="AQ160" i="2"/>
  <c r="AP160" i="2"/>
  <c r="AO160" i="2"/>
  <c r="AN160" i="2"/>
  <c r="AM160" i="2"/>
  <c r="AJ160" i="2"/>
  <c r="AG160" i="2"/>
  <c r="AF160" i="2"/>
  <c r="AB160" i="2"/>
  <c r="W160" i="2"/>
  <c r="U160" i="2"/>
  <c r="T160" i="2"/>
  <c r="S160" i="2"/>
  <c r="R160" i="2"/>
  <c r="K160" i="2"/>
  <c r="A160" i="2"/>
  <c r="AV159" i="2"/>
  <c r="AU159" i="2"/>
  <c r="AT159" i="2"/>
  <c r="AS159" i="2"/>
  <c r="AR159" i="2"/>
  <c r="AQ159" i="2"/>
  <c r="AP159" i="2"/>
  <c r="AO159" i="2"/>
  <c r="AN159" i="2"/>
  <c r="AM159" i="2"/>
  <c r="I159" i="2"/>
  <c r="H159" i="2"/>
  <c r="F159" i="2"/>
  <c r="E159" i="2"/>
  <c r="D159" i="2"/>
  <c r="AV158" i="2"/>
  <c r="AU158" i="2"/>
  <c r="AT158" i="2"/>
  <c r="AS158" i="2"/>
  <c r="AR158" i="2"/>
  <c r="AQ158" i="2"/>
  <c r="AP158" i="2"/>
  <c r="AO158" i="2"/>
  <c r="AN158" i="2"/>
  <c r="AM158" i="2"/>
  <c r="AB158" i="2"/>
  <c r="AA158" i="2"/>
  <c r="Z158" i="2"/>
  <c r="Y158" i="2"/>
  <c r="X158" i="2"/>
  <c r="W158" i="2"/>
  <c r="V158" i="2"/>
  <c r="U158" i="2"/>
  <c r="T158" i="2"/>
  <c r="S158" i="2"/>
  <c r="L158" i="2"/>
  <c r="I158" i="2"/>
  <c r="H158" i="2"/>
  <c r="F158" i="2"/>
  <c r="E158" i="2"/>
  <c r="D158" i="2"/>
  <c r="AV157" i="2"/>
  <c r="AU157" i="2"/>
  <c r="AT157" i="2"/>
  <c r="AS157" i="2"/>
  <c r="AR157" i="2"/>
  <c r="AQ157" i="2"/>
  <c r="AP157" i="2"/>
  <c r="AO157" i="2"/>
  <c r="AN157" i="2"/>
  <c r="AM157" i="2"/>
  <c r="AJ157" i="2"/>
  <c r="AG157" i="2"/>
  <c r="AF157" i="2"/>
  <c r="AB157" i="2"/>
  <c r="W157" i="2"/>
  <c r="U157" i="2"/>
  <c r="T157" i="2"/>
  <c r="S157" i="2"/>
  <c r="R157" i="2"/>
  <c r="K157" i="2"/>
  <c r="A157" i="2"/>
  <c r="AV156" i="2"/>
  <c r="AU156" i="2"/>
  <c r="AT156" i="2"/>
  <c r="AS156" i="2"/>
  <c r="AR156" i="2"/>
  <c r="AQ156" i="2"/>
  <c r="AP156" i="2"/>
  <c r="AO156" i="2"/>
  <c r="AN156" i="2"/>
  <c r="AM156" i="2"/>
  <c r="I156" i="2"/>
  <c r="H156" i="2"/>
  <c r="F156" i="2"/>
  <c r="E156" i="2"/>
  <c r="D156" i="2"/>
  <c r="AV155" i="2"/>
  <c r="AU155" i="2"/>
  <c r="AT155" i="2"/>
  <c r="AS155" i="2"/>
  <c r="AR155" i="2"/>
  <c r="AQ155" i="2"/>
  <c r="AP155" i="2"/>
  <c r="AO155" i="2"/>
  <c r="AN155" i="2"/>
  <c r="AM155" i="2"/>
  <c r="AB155" i="2"/>
  <c r="AA155" i="2"/>
  <c r="Z155" i="2"/>
  <c r="Y155" i="2"/>
  <c r="X155" i="2"/>
  <c r="W155" i="2"/>
  <c r="V155" i="2"/>
  <c r="U155" i="2"/>
  <c r="T155" i="2"/>
  <c r="S155" i="2"/>
  <c r="L155" i="2"/>
  <c r="I155" i="2"/>
  <c r="H155" i="2"/>
  <c r="F155" i="2"/>
  <c r="E155" i="2"/>
  <c r="D155" i="2"/>
  <c r="AV154" i="2"/>
  <c r="AU154" i="2"/>
  <c r="AT154" i="2"/>
  <c r="AS154" i="2"/>
  <c r="AR154" i="2"/>
  <c r="AQ154" i="2"/>
  <c r="AP154" i="2"/>
  <c r="AO154" i="2"/>
  <c r="AN154" i="2"/>
  <c r="AM154" i="2"/>
  <c r="AJ154" i="2"/>
  <c r="AG154" i="2"/>
  <c r="AF154" i="2"/>
  <c r="AB154" i="2"/>
  <c r="W154" i="2"/>
  <c r="U154" i="2"/>
  <c r="T154" i="2"/>
  <c r="S154" i="2"/>
  <c r="R154" i="2"/>
  <c r="K154" i="2"/>
  <c r="A154" i="2"/>
  <c r="AV153" i="2"/>
  <c r="AU153" i="2"/>
  <c r="AT153" i="2"/>
  <c r="AS153" i="2"/>
  <c r="AR153" i="2"/>
  <c r="AQ153" i="2"/>
  <c r="AP153" i="2"/>
  <c r="AO153" i="2"/>
  <c r="AN153" i="2"/>
  <c r="AM153" i="2"/>
  <c r="I153" i="2"/>
  <c r="H153" i="2"/>
  <c r="F153" i="2"/>
  <c r="E153" i="2"/>
  <c r="D153" i="2"/>
  <c r="AV152" i="2"/>
  <c r="AU152" i="2"/>
  <c r="AT152" i="2"/>
  <c r="AS152" i="2"/>
  <c r="AR152" i="2"/>
  <c r="AQ152" i="2"/>
  <c r="AP152" i="2"/>
  <c r="AO152" i="2"/>
  <c r="AN152" i="2"/>
  <c r="AM152" i="2"/>
  <c r="AB152" i="2"/>
  <c r="AA152" i="2"/>
  <c r="Z152" i="2"/>
  <c r="Y152" i="2"/>
  <c r="X152" i="2"/>
  <c r="W152" i="2"/>
  <c r="V152" i="2"/>
  <c r="U152" i="2"/>
  <c r="T152" i="2"/>
  <c r="S152" i="2"/>
  <c r="L152" i="2"/>
  <c r="I152" i="2"/>
  <c r="H152" i="2"/>
  <c r="F152" i="2"/>
  <c r="E152" i="2"/>
  <c r="D152" i="2"/>
  <c r="AV151" i="2"/>
  <c r="AU151" i="2"/>
  <c r="AT151" i="2"/>
  <c r="AS151" i="2"/>
  <c r="AR151" i="2"/>
  <c r="AQ151" i="2"/>
  <c r="AP151" i="2"/>
  <c r="AO151" i="2"/>
  <c r="AN151" i="2"/>
  <c r="AM151" i="2"/>
  <c r="AJ151" i="2"/>
  <c r="AG151" i="2"/>
  <c r="AF151" i="2"/>
  <c r="AB151" i="2"/>
  <c r="W151" i="2"/>
  <c r="U151" i="2"/>
  <c r="T151" i="2"/>
  <c r="S151" i="2"/>
  <c r="R151" i="2"/>
  <c r="K151" i="2"/>
  <c r="A151" i="2"/>
  <c r="AV150" i="2"/>
  <c r="AU150" i="2"/>
  <c r="AT150" i="2"/>
  <c r="AS150" i="2"/>
  <c r="AR150" i="2"/>
  <c r="AQ150" i="2"/>
  <c r="AP150" i="2"/>
  <c r="AO150" i="2"/>
  <c r="AN150" i="2"/>
  <c r="AM150" i="2"/>
  <c r="I150" i="2"/>
  <c r="H150" i="2"/>
  <c r="F150" i="2"/>
  <c r="E150" i="2"/>
  <c r="D150" i="2"/>
  <c r="AV149" i="2"/>
  <c r="AU149" i="2"/>
  <c r="AT149" i="2"/>
  <c r="AS149" i="2"/>
  <c r="AR149" i="2"/>
  <c r="AQ149" i="2"/>
  <c r="AP149" i="2"/>
  <c r="AO149" i="2"/>
  <c r="AN149" i="2"/>
  <c r="AM149" i="2"/>
  <c r="AB149" i="2"/>
  <c r="AA149" i="2"/>
  <c r="Z149" i="2"/>
  <c r="Y149" i="2"/>
  <c r="X149" i="2"/>
  <c r="W149" i="2"/>
  <c r="V149" i="2"/>
  <c r="U149" i="2"/>
  <c r="T149" i="2"/>
  <c r="S149" i="2"/>
  <c r="L149" i="2"/>
  <c r="I149" i="2"/>
  <c r="F149" i="2"/>
  <c r="E149" i="2"/>
  <c r="D149" i="2"/>
  <c r="AV148" i="2"/>
  <c r="AU148" i="2"/>
  <c r="AT148" i="2"/>
  <c r="AS148" i="2"/>
  <c r="AR148" i="2"/>
  <c r="AQ148" i="2"/>
  <c r="AP148" i="2"/>
  <c r="AO148" i="2"/>
  <c r="AN148" i="2"/>
  <c r="AM148" i="2"/>
  <c r="AJ148" i="2"/>
  <c r="AG148" i="2"/>
  <c r="AF148" i="2"/>
  <c r="AE148" i="2"/>
  <c r="AB148" i="2"/>
  <c r="W148" i="2"/>
  <c r="U148" i="2"/>
  <c r="T148" i="2"/>
  <c r="S148" i="2"/>
  <c r="R148" i="2"/>
  <c r="K148" i="2"/>
  <c r="A148" i="2"/>
  <c r="AV147" i="2"/>
  <c r="AU147" i="2"/>
  <c r="AT147" i="2"/>
  <c r="AS147" i="2"/>
  <c r="AR147" i="2"/>
  <c r="AQ147" i="2"/>
  <c r="AP147" i="2"/>
  <c r="AO147" i="2"/>
  <c r="AN147" i="2"/>
  <c r="AM147" i="2"/>
  <c r="I147" i="2"/>
  <c r="H147" i="2"/>
  <c r="F147" i="2"/>
  <c r="E147" i="2"/>
  <c r="D147" i="2"/>
  <c r="AV146" i="2"/>
  <c r="AU146" i="2"/>
  <c r="AT146" i="2"/>
  <c r="AS146" i="2"/>
  <c r="AR146" i="2"/>
  <c r="AQ146" i="2"/>
  <c r="AP146" i="2"/>
  <c r="AO146" i="2"/>
  <c r="AN146" i="2"/>
  <c r="AM146" i="2"/>
  <c r="AB146" i="2"/>
  <c r="AA146" i="2"/>
  <c r="Z146" i="2"/>
  <c r="Y146" i="2"/>
  <c r="X146" i="2"/>
  <c r="W146" i="2"/>
  <c r="V146" i="2"/>
  <c r="U146" i="2"/>
  <c r="T146" i="2"/>
  <c r="S146" i="2"/>
  <c r="L146" i="2"/>
  <c r="I146" i="2"/>
  <c r="H146" i="2"/>
  <c r="F146" i="2"/>
  <c r="E146" i="2"/>
  <c r="D146" i="2"/>
  <c r="AV145" i="2"/>
  <c r="AU145" i="2"/>
  <c r="AT145" i="2"/>
  <c r="AS145" i="2"/>
  <c r="AR145" i="2"/>
  <c r="AQ145" i="2"/>
  <c r="AP145" i="2"/>
  <c r="AO145" i="2"/>
  <c r="AN145" i="2"/>
  <c r="AM145" i="2"/>
  <c r="AJ145" i="2"/>
  <c r="AG145" i="2"/>
  <c r="AF145" i="2"/>
  <c r="AB145" i="2"/>
  <c r="W145" i="2"/>
  <c r="U145" i="2"/>
  <c r="T145" i="2"/>
  <c r="S145" i="2"/>
  <c r="R145" i="2"/>
  <c r="K145" i="2"/>
  <c r="A145" i="2"/>
  <c r="AV144" i="2"/>
  <c r="AU144" i="2"/>
  <c r="AT144" i="2"/>
  <c r="AS144" i="2"/>
  <c r="AR144" i="2"/>
  <c r="AQ144" i="2"/>
  <c r="AP144" i="2"/>
  <c r="AO144" i="2"/>
  <c r="AN144" i="2"/>
  <c r="AM144" i="2"/>
  <c r="I144" i="2"/>
  <c r="H144" i="2"/>
  <c r="F144" i="2"/>
  <c r="E144" i="2"/>
  <c r="D144" i="2"/>
  <c r="AV143" i="2"/>
  <c r="AU143" i="2"/>
  <c r="AT143" i="2"/>
  <c r="AS143" i="2"/>
  <c r="AR143" i="2"/>
  <c r="AQ143" i="2"/>
  <c r="AP143" i="2"/>
  <c r="AO143" i="2"/>
  <c r="AN143" i="2"/>
  <c r="AM143" i="2"/>
  <c r="AB143" i="2"/>
  <c r="AA143" i="2"/>
  <c r="Z143" i="2"/>
  <c r="Y143" i="2"/>
  <c r="X143" i="2"/>
  <c r="W143" i="2"/>
  <c r="V143" i="2"/>
  <c r="U143" i="2"/>
  <c r="T143" i="2"/>
  <c r="S143" i="2"/>
  <c r="L143" i="2"/>
  <c r="I143" i="2"/>
  <c r="H143" i="2"/>
  <c r="F143" i="2"/>
  <c r="E143" i="2"/>
  <c r="D143" i="2"/>
  <c r="AV142" i="2"/>
  <c r="AU142" i="2"/>
  <c r="AT142" i="2"/>
  <c r="AS142" i="2"/>
  <c r="AR142" i="2"/>
  <c r="AQ142" i="2"/>
  <c r="AP142" i="2"/>
  <c r="AO142" i="2"/>
  <c r="AN142" i="2"/>
  <c r="AM142" i="2"/>
  <c r="AJ142" i="2"/>
  <c r="AG142" i="2"/>
  <c r="AF142" i="2"/>
  <c r="AE142" i="2"/>
  <c r="AB142" i="2"/>
  <c r="W142" i="2"/>
  <c r="U142" i="2"/>
  <c r="T142" i="2"/>
  <c r="S142" i="2"/>
  <c r="R142" i="2"/>
  <c r="K142" i="2"/>
  <c r="A142" i="2"/>
  <c r="AV141" i="2"/>
  <c r="AU141" i="2"/>
  <c r="AT141" i="2"/>
  <c r="AS141" i="2"/>
  <c r="AR141" i="2"/>
  <c r="AQ141" i="2"/>
  <c r="AP141" i="2"/>
  <c r="AO141" i="2"/>
  <c r="AN141" i="2"/>
  <c r="AM141" i="2"/>
  <c r="I141" i="2"/>
  <c r="H141" i="2"/>
  <c r="F141" i="2"/>
  <c r="E141" i="2"/>
  <c r="D141" i="2"/>
  <c r="AV140" i="2"/>
  <c r="AU140" i="2"/>
  <c r="AT140" i="2"/>
  <c r="AS140" i="2"/>
  <c r="AR140" i="2"/>
  <c r="AQ140" i="2"/>
  <c r="AP140" i="2"/>
  <c r="AO140" i="2"/>
  <c r="AN140" i="2"/>
  <c r="AM140" i="2"/>
  <c r="AB140" i="2"/>
  <c r="AA140" i="2"/>
  <c r="Z140" i="2"/>
  <c r="Y140" i="2"/>
  <c r="X140" i="2"/>
  <c r="W140" i="2"/>
  <c r="V140" i="2"/>
  <c r="U140" i="2"/>
  <c r="T140" i="2"/>
  <c r="S140" i="2"/>
  <c r="L140" i="2"/>
  <c r="I140" i="2"/>
  <c r="H140" i="2"/>
  <c r="F140" i="2"/>
  <c r="E140" i="2"/>
  <c r="D140" i="2"/>
  <c r="AV139" i="2"/>
  <c r="AU139" i="2"/>
  <c r="AT139" i="2"/>
  <c r="AS139" i="2"/>
  <c r="AR139" i="2"/>
  <c r="AQ139" i="2"/>
  <c r="AP139" i="2"/>
  <c r="AO139" i="2"/>
  <c r="AN139" i="2"/>
  <c r="AM139" i="2"/>
  <c r="AJ139" i="2"/>
  <c r="AG139" i="2"/>
  <c r="AF139" i="2"/>
  <c r="AB139" i="2"/>
  <c r="W139" i="2"/>
  <c r="U139" i="2"/>
  <c r="T139" i="2"/>
  <c r="S139" i="2"/>
  <c r="R139" i="2"/>
  <c r="K139" i="2"/>
  <c r="A139" i="2"/>
  <c r="AV138" i="2"/>
  <c r="AU138" i="2"/>
  <c r="AT138" i="2"/>
  <c r="AS138" i="2"/>
  <c r="AR138" i="2"/>
  <c r="AQ138" i="2"/>
  <c r="AP138" i="2"/>
  <c r="AO138" i="2"/>
  <c r="AN138" i="2"/>
  <c r="AM138" i="2"/>
  <c r="I138" i="2"/>
  <c r="H138" i="2"/>
  <c r="F138" i="2"/>
  <c r="E138" i="2"/>
  <c r="D138" i="2"/>
  <c r="AV137" i="2"/>
  <c r="AU137" i="2"/>
  <c r="AT137" i="2"/>
  <c r="AS137" i="2"/>
  <c r="AR137" i="2"/>
  <c r="AQ137" i="2"/>
  <c r="AP137" i="2"/>
  <c r="AO137" i="2"/>
  <c r="AN137" i="2"/>
  <c r="AM137" i="2"/>
  <c r="AB137" i="2"/>
  <c r="AA137" i="2"/>
  <c r="Z137" i="2"/>
  <c r="Y137" i="2"/>
  <c r="X137" i="2"/>
  <c r="W137" i="2"/>
  <c r="V137" i="2"/>
  <c r="U137" i="2"/>
  <c r="T137" i="2"/>
  <c r="S137" i="2"/>
  <c r="L137" i="2"/>
  <c r="I137" i="2"/>
  <c r="H137" i="2"/>
  <c r="F137" i="2"/>
  <c r="E137" i="2"/>
  <c r="D137" i="2"/>
  <c r="AV136" i="2"/>
  <c r="AU136" i="2"/>
  <c r="AT136" i="2"/>
  <c r="AS136" i="2"/>
  <c r="AR136" i="2"/>
  <c r="AQ136" i="2"/>
  <c r="AP136" i="2"/>
  <c r="AO136" i="2"/>
  <c r="AN136" i="2"/>
  <c r="AM136" i="2"/>
  <c r="AJ136" i="2"/>
  <c r="AG136" i="2"/>
  <c r="AF136" i="2"/>
  <c r="AB136" i="2"/>
  <c r="W136" i="2"/>
  <c r="U136" i="2"/>
  <c r="T136" i="2"/>
  <c r="S136" i="2"/>
  <c r="R136" i="2"/>
  <c r="K136" i="2"/>
  <c r="A136" i="2"/>
  <c r="AV135" i="2"/>
  <c r="AU135" i="2"/>
  <c r="AT135" i="2"/>
  <c r="AS135" i="2"/>
  <c r="AR135" i="2"/>
  <c r="AQ135" i="2"/>
  <c r="AP135" i="2"/>
  <c r="AO135" i="2"/>
  <c r="AN135" i="2"/>
  <c r="AM135" i="2"/>
  <c r="I135" i="2"/>
  <c r="H135" i="2"/>
  <c r="F135" i="2"/>
  <c r="E135" i="2"/>
  <c r="D135" i="2"/>
  <c r="AV134" i="2"/>
  <c r="AU134" i="2"/>
  <c r="AT134" i="2"/>
  <c r="AS134" i="2"/>
  <c r="AR134" i="2"/>
  <c r="AQ134" i="2"/>
  <c r="AP134" i="2"/>
  <c r="AO134" i="2"/>
  <c r="AN134" i="2"/>
  <c r="AM134" i="2"/>
  <c r="AB134" i="2"/>
  <c r="AA134" i="2"/>
  <c r="Z134" i="2"/>
  <c r="Y134" i="2"/>
  <c r="X134" i="2"/>
  <c r="W134" i="2"/>
  <c r="V134" i="2"/>
  <c r="U134" i="2"/>
  <c r="T134" i="2"/>
  <c r="S134" i="2"/>
  <c r="L134" i="2"/>
  <c r="I134" i="2"/>
  <c r="H134" i="2"/>
  <c r="F134" i="2"/>
  <c r="E134" i="2"/>
  <c r="D134" i="2"/>
  <c r="AV133" i="2"/>
  <c r="AU133" i="2"/>
  <c r="AT133" i="2"/>
  <c r="AS133" i="2"/>
  <c r="AR133" i="2"/>
  <c r="AQ133" i="2"/>
  <c r="AP133" i="2"/>
  <c r="AO133" i="2"/>
  <c r="AN133" i="2"/>
  <c r="AM133" i="2"/>
  <c r="AJ133" i="2"/>
  <c r="AG133" i="2"/>
  <c r="AF133" i="2"/>
  <c r="AE133" i="2"/>
  <c r="AB133" i="2"/>
  <c r="W133" i="2"/>
  <c r="U133" i="2"/>
  <c r="T133" i="2"/>
  <c r="S133" i="2"/>
  <c r="R133" i="2"/>
  <c r="K133" i="2"/>
  <c r="A133" i="2"/>
  <c r="AV132" i="2"/>
  <c r="AU132" i="2"/>
  <c r="AT132" i="2"/>
  <c r="AS132" i="2"/>
  <c r="AR132" i="2"/>
  <c r="AQ132" i="2"/>
  <c r="AP132" i="2"/>
  <c r="AO132" i="2"/>
  <c r="AN132" i="2"/>
  <c r="AM132" i="2"/>
  <c r="I132" i="2"/>
  <c r="H132" i="2"/>
  <c r="F132" i="2"/>
  <c r="E132" i="2"/>
  <c r="D132" i="2"/>
  <c r="AV131" i="2"/>
  <c r="AU131" i="2"/>
  <c r="AT131" i="2"/>
  <c r="AS131" i="2"/>
  <c r="AR131" i="2"/>
  <c r="AQ131" i="2"/>
  <c r="AP131" i="2"/>
  <c r="AO131" i="2"/>
  <c r="AN131" i="2"/>
  <c r="AM131" i="2"/>
  <c r="AB131" i="2"/>
  <c r="AA131" i="2"/>
  <c r="Z131" i="2"/>
  <c r="Y131" i="2"/>
  <c r="X131" i="2"/>
  <c r="W131" i="2"/>
  <c r="V131" i="2"/>
  <c r="U131" i="2"/>
  <c r="T131" i="2"/>
  <c r="S131" i="2"/>
  <c r="L131" i="2"/>
  <c r="I131" i="2"/>
  <c r="H131" i="2"/>
  <c r="F131" i="2"/>
  <c r="E131" i="2"/>
  <c r="D131" i="2"/>
  <c r="AV130" i="2"/>
  <c r="AU130" i="2"/>
  <c r="AT130" i="2"/>
  <c r="AS130" i="2"/>
  <c r="AR130" i="2"/>
  <c r="AQ130" i="2"/>
  <c r="AP130" i="2"/>
  <c r="AO130" i="2"/>
  <c r="AN130" i="2"/>
  <c r="AM130" i="2"/>
  <c r="AJ130" i="2"/>
  <c r="AG130" i="2"/>
  <c r="AF130" i="2"/>
  <c r="AE130" i="2"/>
  <c r="AB130" i="2"/>
  <c r="W130" i="2"/>
  <c r="U130" i="2"/>
  <c r="T130" i="2"/>
  <c r="S130" i="2"/>
  <c r="R130" i="2"/>
  <c r="K130" i="2"/>
  <c r="A130" i="2"/>
  <c r="AV129" i="2"/>
  <c r="AU129" i="2"/>
  <c r="AT129" i="2"/>
  <c r="AS129" i="2"/>
  <c r="AR129" i="2"/>
  <c r="AQ129" i="2"/>
  <c r="AP129" i="2"/>
  <c r="AO129" i="2"/>
  <c r="AN129" i="2"/>
  <c r="AM129" i="2"/>
  <c r="I129" i="2"/>
  <c r="H129" i="2"/>
  <c r="F129" i="2"/>
  <c r="E129" i="2"/>
  <c r="D129" i="2"/>
  <c r="AV128" i="2"/>
  <c r="AU128" i="2"/>
  <c r="AT128" i="2"/>
  <c r="AS128" i="2"/>
  <c r="AR128" i="2"/>
  <c r="AQ128" i="2"/>
  <c r="AP128" i="2"/>
  <c r="AO128" i="2"/>
  <c r="AN128" i="2"/>
  <c r="AM128" i="2"/>
  <c r="AB128" i="2"/>
  <c r="AA128" i="2"/>
  <c r="Z128" i="2"/>
  <c r="Y128" i="2"/>
  <c r="X128" i="2"/>
  <c r="W128" i="2"/>
  <c r="V128" i="2"/>
  <c r="U128" i="2"/>
  <c r="T128" i="2"/>
  <c r="S128" i="2"/>
  <c r="L128" i="2"/>
  <c r="I128" i="2"/>
  <c r="H128" i="2"/>
  <c r="F128" i="2"/>
  <c r="E128" i="2"/>
  <c r="D128" i="2"/>
  <c r="AV127" i="2"/>
  <c r="AU127" i="2"/>
  <c r="AT127" i="2"/>
  <c r="AS127" i="2"/>
  <c r="AR127" i="2"/>
  <c r="AQ127" i="2"/>
  <c r="AP127" i="2"/>
  <c r="AO127" i="2"/>
  <c r="AN127" i="2"/>
  <c r="AM127" i="2"/>
  <c r="AJ127" i="2"/>
  <c r="AG127" i="2"/>
  <c r="AF127" i="2"/>
  <c r="AE127" i="2"/>
  <c r="AB127" i="2"/>
  <c r="W127" i="2"/>
  <c r="U127" i="2"/>
  <c r="T127" i="2"/>
  <c r="S127" i="2"/>
  <c r="R127" i="2"/>
  <c r="K127" i="2"/>
  <c r="A127" i="2"/>
  <c r="AV126" i="2"/>
  <c r="AU126" i="2"/>
  <c r="AT126" i="2"/>
  <c r="AS126" i="2"/>
  <c r="AR126" i="2"/>
  <c r="AQ126" i="2"/>
  <c r="AP126" i="2"/>
  <c r="AO126" i="2"/>
  <c r="AN126" i="2"/>
  <c r="AM126" i="2"/>
  <c r="I126" i="2"/>
  <c r="H126" i="2"/>
  <c r="F126" i="2"/>
  <c r="E126" i="2"/>
  <c r="D126" i="2"/>
  <c r="AV125" i="2"/>
  <c r="AU125" i="2"/>
  <c r="AT125" i="2"/>
  <c r="AS125" i="2"/>
  <c r="AR125" i="2"/>
  <c r="AQ125" i="2"/>
  <c r="AP125" i="2"/>
  <c r="AO125" i="2"/>
  <c r="AN125" i="2"/>
  <c r="AM125" i="2"/>
  <c r="AB125" i="2"/>
  <c r="AA125" i="2"/>
  <c r="Z125" i="2"/>
  <c r="Y125" i="2"/>
  <c r="X125" i="2"/>
  <c r="W125" i="2"/>
  <c r="V125" i="2"/>
  <c r="U125" i="2"/>
  <c r="T125" i="2"/>
  <c r="S125" i="2"/>
  <c r="L125" i="2"/>
  <c r="I125" i="2"/>
  <c r="H125" i="2"/>
  <c r="F125" i="2"/>
  <c r="E125" i="2"/>
  <c r="D125" i="2"/>
  <c r="AV124" i="2"/>
  <c r="AU124" i="2"/>
  <c r="AT124" i="2"/>
  <c r="AS124" i="2"/>
  <c r="AR124" i="2"/>
  <c r="AQ124" i="2"/>
  <c r="AP124" i="2"/>
  <c r="AO124" i="2"/>
  <c r="AN124" i="2"/>
  <c r="AM124" i="2"/>
  <c r="AJ124" i="2"/>
  <c r="AG124" i="2"/>
  <c r="AF124" i="2"/>
  <c r="AE124" i="2"/>
  <c r="AB124" i="2"/>
  <c r="W124" i="2"/>
  <c r="U124" i="2"/>
  <c r="T124" i="2"/>
  <c r="S124" i="2"/>
  <c r="R124" i="2"/>
  <c r="K124" i="2"/>
  <c r="A124" i="2"/>
  <c r="AV123" i="2"/>
  <c r="AU123" i="2"/>
  <c r="AT123" i="2"/>
  <c r="AS123" i="2"/>
  <c r="AR123" i="2"/>
  <c r="AQ123" i="2"/>
  <c r="AP123" i="2"/>
  <c r="AO123" i="2"/>
  <c r="AN123" i="2"/>
  <c r="AM123" i="2"/>
  <c r="I123" i="2"/>
  <c r="H123" i="2"/>
  <c r="F123" i="2"/>
  <c r="E123" i="2"/>
  <c r="D123" i="2"/>
  <c r="AV122" i="2"/>
  <c r="AU122" i="2"/>
  <c r="AT122" i="2"/>
  <c r="AS122" i="2"/>
  <c r="AR122" i="2"/>
  <c r="AQ122" i="2"/>
  <c r="AP122" i="2"/>
  <c r="AO122" i="2"/>
  <c r="AN122" i="2"/>
  <c r="AM122" i="2"/>
  <c r="AB122" i="2"/>
  <c r="AA122" i="2"/>
  <c r="Z122" i="2"/>
  <c r="Y122" i="2"/>
  <c r="X122" i="2"/>
  <c r="W122" i="2"/>
  <c r="V122" i="2"/>
  <c r="U122" i="2"/>
  <c r="T122" i="2"/>
  <c r="S122" i="2"/>
  <c r="L122" i="2"/>
  <c r="I122" i="2"/>
  <c r="H122" i="2"/>
  <c r="F122" i="2"/>
  <c r="E122" i="2"/>
  <c r="D122" i="2"/>
  <c r="AV121" i="2"/>
  <c r="AU121" i="2"/>
  <c r="AT121" i="2"/>
  <c r="AS121" i="2"/>
  <c r="AR121" i="2"/>
  <c r="AQ121" i="2"/>
  <c r="AP121" i="2"/>
  <c r="AO121" i="2"/>
  <c r="AN121" i="2"/>
  <c r="AM121" i="2"/>
  <c r="AJ121" i="2"/>
  <c r="AG121" i="2"/>
  <c r="AF121" i="2"/>
  <c r="AB121" i="2"/>
  <c r="W121" i="2"/>
  <c r="U121" i="2"/>
  <c r="T121" i="2"/>
  <c r="S121" i="2"/>
  <c r="R121" i="2"/>
  <c r="K121" i="2"/>
  <c r="A121" i="2"/>
  <c r="AV120" i="2"/>
  <c r="AU120" i="2"/>
  <c r="AT120" i="2"/>
  <c r="AS120" i="2"/>
  <c r="AR120" i="2"/>
  <c r="AQ120" i="2"/>
  <c r="AP120" i="2"/>
  <c r="AO120" i="2"/>
  <c r="AN120" i="2"/>
  <c r="AM120" i="2"/>
  <c r="I120" i="2"/>
  <c r="H120" i="2"/>
  <c r="F120" i="2"/>
  <c r="E120" i="2"/>
  <c r="D120" i="2"/>
  <c r="AV119" i="2"/>
  <c r="AU119" i="2"/>
  <c r="AT119" i="2"/>
  <c r="AS119" i="2"/>
  <c r="AR119" i="2"/>
  <c r="AQ119" i="2"/>
  <c r="AP119" i="2"/>
  <c r="AO119" i="2"/>
  <c r="AN119" i="2"/>
  <c r="AM119" i="2"/>
  <c r="AB119" i="2"/>
  <c r="AA119" i="2"/>
  <c r="Z119" i="2"/>
  <c r="Y119" i="2"/>
  <c r="X119" i="2"/>
  <c r="W119" i="2"/>
  <c r="V119" i="2"/>
  <c r="U119" i="2"/>
  <c r="T119" i="2"/>
  <c r="S119" i="2"/>
  <c r="L119" i="2"/>
  <c r="I119" i="2"/>
  <c r="H119" i="2"/>
  <c r="F119" i="2"/>
  <c r="E119" i="2"/>
  <c r="D119" i="2"/>
  <c r="AV118" i="2"/>
  <c r="AU118" i="2"/>
  <c r="AT118" i="2"/>
  <c r="AS118" i="2"/>
  <c r="AR118" i="2"/>
  <c r="AQ118" i="2"/>
  <c r="AP118" i="2"/>
  <c r="AO118" i="2"/>
  <c r="AN118" i="2"/>
  <c r="AM118" i="2"/>
  <c r="AJ118" i="2"/>
  <c r="AG118" i="2"/>
  <c r="AF118" i="2"/>
  <c r="AE118" i="2"/>
  <c r="AB118" i="2"/>
  <c r="W118" i="2"/>
  <c r="U118" i="2"/>
  <c r="T118" i="2"/>
  <c r="S118" i="2"/>
  <c r="R118" i="2"/>
  <c r="K118" i="2"/>
  <c r="A118" i="2"/>
  <c r="AV117" i="2"/>
  <c r="AU117" i="2"/>
  <c r="AT117" i="2"/>
  <c r="AS117" i="2"/>
  <c r="AR117" i="2"/>
  <c r="AQ117" i="2"/>
  <c r="AP117" i="2"/>
  <c r="AO117" i="2"/>
  <c r="AN117" i="2"/>
  <c r="AM117" i="2"/>
  <c r="I117" i="2"/>
  <c r="H117" i="2"/>
  <c r="F117" i="2"/>
  <c r="E117" i="2"/>
  <c r="D117" i="2"/>
  <c r="AV116" i="2"/>
  <c r="AU116" i="2"/>
  <c r="AT116" i="2"/>
  <c r="AS116" i="2"/>
  <c r="AR116" i="2"/>
  <c r="AQ116" i="2"/>
  <c r="AP116" i="2"/>
  <c r="AO116" i="2"/>
  <c r="AN116" i="2"/>
  <c r="AM116" i="2"/>
  <c r="AB116" i="2"/>
  <c r="AA116" i="2"/>
  <c r="Z116" i="2"/>
  <c r="Y116" i="2"/>
  <c r="X116" i="2"/>
  <c r="W116" i="2"/>
  <c r="V116" i="2"/>
  <c r="U116" i="2"/>
  <c r="T116" i="2"/>
  <c r="S116" i="2"/>
  <c r="L116" i="2"/>
  <c r="I116" i="2"/>
  <c r="H116" i="2"/>
  <c r="F116" i="2"/>
  <c r="E116" i="2"/>
  <c r="D116" i="2"/>
  <c r="AV115" i="2"/>
  <c r="AU115" i="2"/>
  <c r="AT115" i="2"/>
  <c r="AS115" i="2"/>
  <c r="AR115" i="2"/>
  <c r="AQ115" i="2"/>
  <c r="AP115" i="2"/>
  <c r="AO115" i="2"/>
  <c r="AN115" i="2"/>
  <c r="AM115" i="2"/>
  <c r="AJ115" i="2"/>
  <c r="AG115" i="2"/>
  <c r="AF115" i="2"/>
  <c r="AB115" i="2"/>
  <c r="W115" i="2"/>
  <c r="U115" i="2"/>
  <c r="T115" i="2"/>
  <c r="S115" i="2"/>
  <c r="R115" i="2"/>
  <c r="K115" i="2"/>
  <c r="A115" i="2"/>
  <c r="AV114" i="2"/>
  <c r="AU114" i="2"/>
  <c r="AT114" i="2"/>
  <c r="AS114" i="2"/>
  <c r="AR114" i="2"/>
  <c r="AQ114" i="2"/>
  <c r="AP114" i="2"/>
  <c r="AO114" i="2"/>
  <c r="AN114" i="2"/>
  <c r="AM114" i="2"/>
  <c r="I114" i="2"/>
  <c r="H114" i="2"/>
  <c r="F114" i="2"/>
  <c r="E114" i="2"/>
  <c r="D114" i="2"/>
  <c r="AV113" i="2"/>
  <c r="AU113" i="2"/>
  <c r="AT113" i="2"/>
  <c r="AS113" i="2"/>
  <c r="AR113" i="2"/>
  <c r="AQ113" i="2"/>
  <c r="AP113" i="2"/>
  <c r="AO113" i="2"/>
  <c r="AN113" i="2"/>
  <c r="AM113" i="2"/>
  <c r="AB113" i="2"/>
  <c r="AA113" i="2"/>
  <c r="Z113" i="2"/>
  <c r="Y113" i="2"/>
  <c r="X113" i="2"/>
  <c r="W113" i="2"/>
  <c r="V113" i="2"/>
  <c r="U113" i="2"/>
  <c r="T113" i="2"/>
  <c r="S113" i="2"/>
  <c r="L113" i="2"/>
  <c r="I113" i="2"/>
  <c r="H113" i="2"/>
  <c r="F113" i="2"/>
  <c r="E113" i="2"/>
  <c r="D113" i="2"/>
  <c r="AV112" i="2"/>
  <c r="AU112" i="2"/>
  <c r="AT112" i="2"/>
  <c r="AS112" i="2"/>
  <c r="AR112" i="2"/>
  <c r="AQ112" i="2"/>
  <c r="AP112" i="2"/>
  <c r="AO112" i="2"/>
  <c r="AN112" i="2"/>
  <c r="AM112" i="2"/>
  <c r="AJ112" i="2"/>
  <c r="AG112" i="2"/>
  <c r="AF112" i="2"/>
  <c r="AE112" i="2"/>
  <c r="AB112" i="2"/>
  <c r="W112" i="2"/>
  <c r="U112" i="2"/>
  <c r="T112" i="2"/>
  <c r="S112" i="2"/>
  <c r="R112" i="2"/>
  <c r="K112" i="2"/>
  <c r="A112" i="2"/>
  <c r="AV111" i="2"/>
  <c r="AU111" i="2"/>
  <c r="AT111" i="2"/>
  <c r="AS111" i="2"/>
  <c r="AR111" i="2"/>
  <c r="AQ111" i="2"/>
  <c r="AP111" i="2"/>
  <c r="AO111" i="2"/>
  <c r="AN111" i="2"/>
  <c r="AM111" i="2"/>
  <c r="I111" i="2"/>
  <c r="H111" i="2"/>
  <c r="F111" i="2"/>
  <c r="E111" i="2"/>
  <c r="D111" i="2"/>
  <c r="AV110" i="2"/>
  <c r="AU110" i="2"/>
  <c r="AT110" i="2"/>
  <c r="AS110" i="2"/>
  <c r="AR110" i="2"/>
  <c r="AQ110" i="2"/>
  <c r="AP110" i="2"/>
  <c r="AO110" i="2"/>
  <c r="AN110" i="2"/>
  <c r="AM110" i="2"/>
  <c r="AB110" i="2"/>
  <c r="AA110" i="2"/>
  <c r="Z110" i="2"/>
  <c r="Y110" i="2"/>
  <c r="X110" i="2"/>
  <c r="W110" i="2"/>
  <c r="V110" i="2"/>
  <c r="U110" i="2"/>
  <c r="T110" i="2"/>
  <c r="S110" i="2"/>
  <c r="L110" i="2"/>
  <c r="I110" i="2"/>
  <c r="H110" i="2"/>
  <c r="F110" i="2"/>
  <c r="E110" i="2"/>
  <c r="D110" i="2"/>
  <c r="AV109" i="2"/>
  <c r="AU109" i="2"/>
  <c r="AT109" i="2"/>
  <c r="AS109" i="2"/>
  <c r="AR109" i="2"/>
  <c r="AQ109" i="2"/>
  <c r="AP109" i="2"/>
  <c r="AO109" i="2"/>
  <c r="AN109" i="2"/>
  <c r="AM109" i="2"/>
  <c r="AJ109" i="2"/>
  <c r="AG109" i="2"/>
  <c r="AF109" i="2"/>
  <c r="AE109" i="2"/>
  <c r="AB109" i="2"/>
  <c r="W109" i="2"/>
  <c r="U109" i="2"/>
  <c r="T109" i="2"/>
  <c r="S109" i="2"/>
  <c r="R109" i="2"/>
  <c r="K109" i="2"/>
  <c r="A109" i="2"/>
  <c r="AV108" i="2"/>
  <c r="AU108" i="2"/>
  <c r="AT108" i="2"/>
  <c r="AS108" i="2"/>
  <c r="AR108" i="2"/>
  <c r="AQ108" i="2"/>
  <c r="AP108" i="2"/>
  <c r="AO108" i="2"/>
  <c r="AN108" i="2"/>
  <c r="AM108" i="2"/>
  <c r="I108" i="2"/>
  <c r="H108" i="2"/>
  <c r="F108" i="2"/>
  <c r="E108" i="2"/>
  <c r="D108" i="2"/>
  <c r="AV107" i="2"/>
  <c r="AU107" i="2"/>
  <c r="AT107" i="2"/>
  <c r="AS107" i="2"/>
  <c r="AR107" i="2"/>
  <c r="AQ107" i="2"/>
  <c r="AP107" i="2"/>
  <c r="AO107" i="2"/>
  <c r="AN107" i="2"/>
  <c r="AM107" i="2"/>
  <c r="AB107" i="2"/>
  <c r="AA107" i="2"/>
  <c r="Z107" i="2"/>
  <c r="Y107" i="2"/>
  <c r="X107" i="2"/>
  <c r="W107" i="2"/>
  <c r="V107" i="2"/>
  <c r="U107" i="2"/>
  <c r="T107" i="2"/>
  <c r="S107" i="2"/>
  <c r="L107" i="2"/>
  <c r="I107" i="2"/>
  <c r="H107" i="2"/>
  <c r="F107" i="2"/>
  <c r="E107" i="2"/>
  <c r="D107" i="2"/>
  <c r="AV106" i="2"/>
  <c r="AU106" i="2"/>
  <c r="AT106" i="2"/>
  <c r="AS106" i="2"/>
  <c r="AR106" i="2"/>
  <c r="AQ106" i="2"/>
  <c r="AP106" i="2"/>
  <c r="AO106" i="2"/>
  <c r="AN106" i="2"/>
  <c r="AM106" i="2"/>
  <c r="AJ106" i="2"/>
  <c r="AG106" i="2"/>
  <c r="AF106" i="2"/>
  <c r="AE106" i="2"/>
  <c r="AB106" i="2"/>
  <c r="W106" i="2"/>
  <c r="U106" i="2"/>
  <c r="T106" i="2"/>
  <c r="S106" i="2"/>
  <c r="R106" i="2"/>
  <c r="K106" i="2"/>
  <c r="A106" i="2"/>
  <c r="AV105" i="2"/>
  <c r="AU105" i="2"/>
  <c r="AT105" i="2"/>
  <c r="AS105" i="2"/>
  <c r="AR105" i="2"/>
  <c r="AQ105" i="2"/>
  <c r="AP105" i="2"/>
  <c r="AO105" i="2"/>
  <c r="AN105" i="2"/>
  <c r="AM105" i="2"/>
  <c r="I105" i="2"/>
  <c r="H105" i="2"/>
  <c r="F105" i="2"/>
  <c r="E105" i="2"/>
  <c r="D105" i="2"/>
  <c r="AV104" i="2"/>
  <c r="AU104" i="2"/>
  <c r="AT104" i="2"/>
  <c r="AS104" i="2"/>
  <c r="AR104" i="2"/>
  <c r="AQ104" i="2"/>
  <c r="AP104" i="2"/>
  <c r="AO104" i="2"/>
  <c r="AN104" i="2"/>
  <c r="AM104" i="2"/>
  <c r="AB104" i="2"/>
  <c r="AA104" i="2"/>
  <c r="Z104" i="2"/>
  <c r="Y104" i="2"/>
  <c r="X104" i="2"/>
  <c r="W104" i="2"/>
  <c r="V104" i="2"/>
  <c r="U104" i="2"/>
  <c r="T104" i="2"/>
  <c r="S104" i="2"/>
  <c r="L104" i="2"/>
  <c r="I104" i="2"/>
  <c r="H104" i="2"/>
  <c r="F104" i="2"/>
  <c r="E104" i="2"/>
  <c r="D104" i="2"/>
  <c r="AV103" i="2"/>
  <c r="AU103" i="2"/>
  <c r="AT103" i="2"/>
  <c r="AS103" i="2"/>
  <c r="AR103" i="2"/>
  <c r="AQ103" i="2"/>
  <c r="AP103" i="2"/>
  <c r="AO103" i="2"/>
  <c r="AN103" i="2"/>
  <c r="AM103" i="2"/>
  <c r="AJ103" i="2"/>
  <c r="AG103" i="2"/>
  <c r="AF103" i="2"/>
  <c r="AE103" i="2"/>
  <c r="AB103" i="2"/>
  <c r="W103" i="2"/>
  <c r="U103" i="2"/>
  <c r="T103" i="2"/>
  <c r="S103" i="2"/>
  <c r="R103" i="2"/>
  <c r="K103" i="2"/>
  <c r="A103" i="2"/>
  <c r="AV102" i="2"/>
  <c r="AU102" i="2"/>
  <c r="AT102" i="2"/>
  <c r="AS102" i="2"/>
  <c r="AR102" i="2"/>
  <c r="AQ102" i="2"/>
  <c r="AP102" i="2"/>
  <c r="AO102" i="2"/>
  <c r="AN102" i="2"/>
  <c r="AM102" i="2"/>
  <c r="I102" i="2"/>
  <c r="H102" i="2"/>
  <c r="F102" i="2"/>
  <c r="E102" i="2"/>
  <c r="D102" i="2"/>
  <c r="AV101" i="2"/>
  <c r="AU101" i="2"/>
  <c r="AT101" i="2"/>
  <c r="AS101" i="2"/>
  <c r="AR101" i="2"/>
  <c r="AQ101" i="2"/>
  <c r="AP101" i="2"/>
  <c r="AO101" i="2"/>
  <c r="AN101" i="2"/>
  <c r="AM101" i="2"/>
  <c r="AB101" i="2"/>
  <c r="AA101" i="2"/>
  <c r="Z101" i="2"/>
  <c r="Y101" i="2"/>
  <c r="X101" i="2"/>
  <c r="W101" i="2"/>
  <c r="V101" i="2"/>
  <c r="U101" i="2"/>
  <c r="T101" i="2"/>
  <c r="S101" i="2"/>
  <c r="L101" i="2"/>
  <c r="I101" i="2"/>
  <c r="H101" i="2"/>
  <c r="F101" i="2"/>
  <c r="E101" i="2"/>
  <c r="D101" i="2"/>
  <c r="AV100" i="2"/>
  <c r="AU100" i="2"/>
  <c r="AT100" i="2"/>
  <c r="AS100" i="2"/>
  <c r="AR100" i="2"/>
  <c r="AQ100" i="2"/>
  <c r="AP100" i="2"/>
  <c r="AO100" i="2"/>
  <c r="AN100" i="2"/>
  <c r="AM100" i="2"/>
  <c r="AJ100" i="2"/>
  <c r="AG100" i="2"/>
  <c r="AF100" i="2"/>
  <c r="AE100" i="2"/>
  <c r="AB100" i="2"/>
  <c r="W100" i="2"/>
  <c r="U100" i="2"/>
  <c r="T100" i="2"/>
  <c r="S100" i="2"/>
  <c r="R100" i="2"/>
  <c r="K100" i="2"/>
  <c r="A100" i="2"/>
  <c r="AV99" i="2"/>
  <c r="AU99" i="2"/>
  <c r="AT99" i="2"/>
  <c r="AS99" i="2"/>
  <c r="AR99" i="2"/>
  <c r="AQ99" i="2"/>
  <c r="AP99" i="2"/>
  <c r="AO99" i="2"/>
  <c r="AN99" i="2"/>
  <c r="AM99" i="2"/>
  <c r="I99" i="2"/>
  <c r="H99" i="2"/>
  <c r="F99" i="2"/>
  <c r="E99" i="2"/>
  <c r="D99" i="2"/>
  <c r="AV98" i="2"/>
  <c r="AU98" i="2"/>
  <c r="AT98" i="2"/>
  <c r="AS98" i="2"/>
  <c r="AR98" i="2"/>
  <c r="AQ98" i="2"/>
  <c r="AP98" i="2"/>
  <c r="AO98" i="2"/>
  <c r="AN98" i="2"/>
  <c r="AM98" i="2"/>
  <c r="AB98" i="2"/>
  <c r="AA98" i="2"/>
  <c r="Z98" i="2"/>
  <c r="Y98" i="2"/>
  <c r="X98" i="2"/>
  <c r="W98" i="2"/>
  <c r="V98" i="2"/>
  <c r="U98" i="2"/>
  <c r="T98" i="2"/>
  <c r="S98" i="2"/>
  <c r="L98" i="2"/>
  <c r="I98" i="2"/>
  <c r="H98" i="2"/>
  <c r="F98" i="2"/>
  <c r="E98" i="2"/>
  <c r="D98" i="2"/>
  <c r="AV97" i="2"/>
  <c r="AU97" i="2"/>
  <c r="AT97" i="2"/>
  <c r="AS97" i="2"/>
  <c r="AR97" i="2"/>
  <c r="AQ97" i="2"/>
  <c r="AP97" i="2"/>
  <c r="AO97" i="2"/>
  <c r="AN97" i="2"/>
  <c r="AM97" i="2"/>
  <c r="AJ97" i="2"/>
  <c r="AG97" i="2"/>
  <c r="AF97" i="2"/>
  <c r="AE97" i="2"/>
  <c r="AB97" i="2"/>
  <c r="W97" i="2"/>
  <c r="U97" i="2"/>
  <c r="T97" i="2"/>
  <c r="S97" i="2"/>
  <c r="R97" i="2"/>
  <c r="K97" i="2"/>
  <c r="A97" i="2"/>
  <c r="AV96" i="2"/>
  <c r="AU96" i="2"/>
  <c r="AT96" i="2"/>
  <c r="AS96" i="2"/>
  <c r="AR96" i="2"/>
  <c r="AQ96" i="2"/>
  <c r="AP96" i="2"/>
  <c r="AO96" i="2"/>
  <c r="AN96" i="2"/>
  <c r="AM96" i="2"/>
  <c r="I96" i="2"/>
  <c r="H96" i="2"/>
  <c r="F96" i="2"/>
  <c r="E96" i="2"/>
  <c r="D96" i="2"/>
  <c r="AV95" i="2"/>
  <c r="AU95" i="2"/>
  <c r="AT95" i="2"/>
  <c r="AS95" i="2"/>
  <c r="AR95" i="2"/>
  <c r="AQ95" i="2"/>
  <c r="AP95" i="2"/>
  <c r="AO95" i="2"/>
  <c r="AN95" i="2"/>
  <c r="AM95" i="2"/>
  <c r="AB95" i="2"/>
  <c r="AA95" i="2"/>
  <c r="Z95" i="2"/>
  <c r="Y95" i="2"/>
  <c r="X95" i="2"/>
  <c r="W95" i="2"/>
  <c r="V95" i="2"/>
  <c r="U95" i="2"/>
  <c r="T95" i="2"/>
  <c r="S95" i="2"/>
  <c r="L95" i="2"/>
  <c r="I95" i="2"/>
  <c r="H95" i="2"/>
  <c r="F95" i="2"/>
  <c r="E95" i="2"/>
  <c r="D95" i="2"/>
  <c r="AV94" i="2"/>
  <c r="AU94" i="2"/>
  <c r="AT94" i="2"/>
  <c r="AS94" i="2"/>
  <c r="AR94" i="2"/>
  <c r="AQ94" i="2"/>
  <c r="AP94" i="2"/>
  <c r="AO94" i="2"/>
  <c r="AN94" i="2"/>
  <c r="AM94" i="2"/>
  <c r="AJ94" i="2"/>
  <c r="AG94" i="2"/>
  <c r="AF94" i="2"/>
  <c r="AE94" i="2"/>
  <c r="AB94" i="2"/>
  <c r="W94" i="2"/>
  <c r="U94" i="2"/>
  <c r="T94" i="2"/>
  <c r="S94" i="2"/>
  <c r="R94" i="2"/>
  <c r="K94" i="2"/>
  <c r="A94" i="2"/>
  <c r="AV93" i="2"/>
  <c r="AU93" i="2"/>
  <c r="AT93" i="2"/>
  <c r="AS93" i="2"/>
  <c r="AR93" i="2"/>
  <c r="AQ93" i="2"/>
  <c r="AP93" i="2"/>
  <c r="AO93" i="2"/>
  <c r="AN93" i="2"/>
  <c r="AM93" i="2"/>
  <c r="I93" i="2"/>
  <c r="H93" i="2"/>
  <c r="F93" i="2"/>
  <c r="E93" i="2"/>
  <c r="D93" i="2"/>
  <c r="AV92" i="2"/>
  <c r="AU92" i="2"/>
  <c r="AT92" i="2"/>
  <c r="AS92" i="2"/>
  <c r="AR92" i="2"/>
  <c r="AQ92" i="2"/>
  <c r="AP92" i="2"/>
  <c r="AO92" i="2"/>
  <c r="AN92" i="2"/>
  <c r="AM92" i="2"/>
  <c r="AB92" i="2"/>
  <c r="AA92" i="2"/>
  <c r="Z92" i="2"/>
  <c r="Y92" i="2"/>
  <c r="X92" i="2"/>
  <c r="W92" i="2"/>
  <c r="V92" i="2"/>
  <c r="U92" i="2"/>
  <c r="T92" i="2"/>
  <c r="S92" i="2"/>
  <c r="L92" i="2"/>
  <c r="I92" i="2"/>
  <c r="H92" i="2"/>
  <c r="F92" i="2"/>
  <c r="E92" i="2"/>
  <c r="D92" i="2"/>
  <c r="AV91" i="2"/>
  <c r="AU91" i="2"/>
  <c r="AT91" i="2"/>
  <c r="AS91" i="2"/>
  <c r="AR91" i="2"/>
  <c r="AQ91" i="2"/>
  <c r="AP91" i="2"/>
  <c r="AO91" i="2"/>
  <c r="AN91" i="2"/>
  <c r="AM91" i="2"/>
  <c r="AJ91" i="2"/>
  <c r="AG91" i="2"/>
  <c r="AF91" i="2"/>
  <c r="AB91" i="2"/>
  <c r="W91" i="2"/>
  <c r="U91" i="2"/>
  <c r="T91" i="2"/>
  <c r="S91" i="2"/>
  <c r="R91" i="2"/>
  <c r="K91" i="2"/>
  <c r="A91" i="2"/>
  <c r="AV90" i="2"/>
  <c r="AU90" i="2"/>
  <c r="AT90" i="2"/>
  <c r="AS90" i="2"/>
  <c r="AR90" i="2"/>
  <c r="AQ90" i="2"/>
  <c r="AP90" i="2"/>
  <c r="AO90" i="2"/>
  <c r="AN90" i="2"/>
  <c r="AM90" i="2"/>
  <c r="I90" i="2"/>
  <c r="H90" i="2"/>
  <c r="F90" i="2"/>
  <c r="E90" i="2"/>
  <c r="D90" i="2"/>
  <c r="BB89" i="2" a="1"/>
  <c r="AV89" i="2"/>
  <c r="AU89" i="2"/>
  <c r="AT89" i="2"/>
  <c r="AS89" i="2"/>
  <c r="AR89" i="2"/>
  <c r="AQ89" i="2"/>
  <c r="AP89" i="2"/>
  <c r="AO89" i="2"/>
  <c r="AN89" i="2"/>
  <c r="AM89" i="2"/>
  <c r="AB89" i="2"/>
  <c r="AA89" i="2"/>
  <c r="Z89" i="2"/>
  <c r="Y89" i="2"/>
  <c r="X89" i="2"/>
  <c r="W89" i="2"/>
  <c r="V89" i="2"/>
  <c r="U89" i="2"/>
  <c r="T89" i="2"/>
  <c r="S89" i="2"/>
  <c r="L89" i="2"/>
  <c r="I89" i="2"/>
  <c r="H89" i="2"/>
  <c r="F89" i="2"/>
  <c r="E89" i="2"/>
  <c r="D89" i="2"/>
  <c r="AV88" i="2"/>
  <c r="AU88" i="2"/>
  <c r="AT88" i="2"/>
  <c r="AS88" i="2"/>
  <c r="AR88" i="2"/>
  <c r="AQ88" i="2"/>
  <c r="AP88" i="2"/>
  <c r="AO88" i="2"/>
  <c r="AN88" i="2"/>
  <c r="AM88" i="2"/>
  <c r="AJ88" i="2"/>
  <c r="AG88" i="2"/>
  <c r="AF88" i="2"/>
  <c r="AB88" i="2"/>
  <c r="W88" i="2"/>
  <c r="U88" i="2"/>
  <c r="T88" i="2"/>
  <c r="S88" i="2"/>
  <c r="R88" i="2"/>
  <c r="K88" i="2"/>
  <c r="A88" i="2"/>
  <c r="AV87" i="2"/>
  <c r="AU87" i="2"/>
  <c r="AT87" i="2"/>
  <c r="AS87" i="2"/>
  <c r="AR87" i="2"/>
  <c r="AQ87" i="2"/>
  <c r="AP87" i="2"/>
  <c r="AO87" i="2"/>
  <c r="AN87" i="2"/>
  <c r="AM87" i="2"/>
  <c r="I87" i="2"/>
  <c r="H87" i="2"/>
  <c r="F87" i="2"/>
  <c r="E87" i="2"/>
  <c r="D87" i="2"/>
  <c r="AV86" i="2"/>
  <c r="AU86" i="2"/>
  <c r="AT86" i="2"/>
  <c r="AS86" i="2"/>
  <c r="AR86" i="2"/>
  <c r="AQ86" i="2"/>
  <c r="AP86" i="2"/>
  <c r="AO86" i="2"/>
  <c r="AN86" i="2"/>
  <c r="AM86" i="2"/>
  <c r="AB86" i="2"/>
  <c r="AA86" i="2"/>
  <c r="Z86" i="2"/>
  <c r="Y86" i="2"/>
  <c r="X86" i="2"/>
  <c r="W86" i="2"/>
  <c r="V86" i="2"/>
  <c r="U86" i="2"/>
  <c r="T86" i="2"/>
  <c r="S86" i="2"/>
  <c r="L86" i="2"/>
  <c r="I86" i="2"/>
  <c r="H86" i="2"/>
  <c r="F86" i="2"/>
  <c r="E86" i="2"/>
  <c r="D86" i="2"/>
  <c r="AV85" i="2"/>
  <c r="AU85" i="2"/>
  <c r="AT85" i="2"/>
  <c r="AS85" i="2"/>
  <c r="AR85" i="2"/>
  <c r="AQ85" i="2"/>
  <c r="AP85" i="2"/>
  <c r="AO85" i="2"/>
  <c r="AN85" i="2"/>
  <c r="AM85" i="2"/>
  <c r="AJ85" i="2"/>
  <c r="AG85" i="2"/>
  <c r="AF85" i="2"/>
  <c r="AB85" i="2"/>
  <c r="W85" i="2"/>
  <c r="U85" i="2"/>
  <c r="T85" i="2"/>
  <c r="S85" i="2"/>
  <c r="R85" i="2"/>
  <c r="K85" i="2"/>
  <c r="A85" i="2"/>
  <c r="AV84" i="2"/>
  <c r="AU84" i="2"/>
  <c r="AT84" i="2"/>
  <c r="AS84" i="2"/>
  <c r="AR84" i="2"/>
  <c r="AQ84" i="2"/>
  <c r="AP84" i="2"/>
  <c r="AO84" i="2"/>
  <c r="AN84" i="2"/>
  <c r="AM84" i="2"/>
  <c r="I84" i="2"/>
  <c r="H84" i="2"/>
  <c r="F84" i="2"/>
  <c r="E84" i="2"/>
  <c r="D84" i="2"/>
  <c r="AV83" i="2"/>
  <c r="AU83" i="2"/>
  <c r="AT83" i="2"/>
  <c r="AS83" i="2"/>
  <c r="AR83" i="2"/>
  <c r="AQ83" i="2"/>
  <c r="AP83" i="2"/>
  <c r="AO83" i="2"/>
  <c r="AN83" i="2"/>
  <c r="AM83" i="2"/>
  <c r="AB83" i="2"/>
  <c r="AA83" i="2"/>
  <c r="Z83" i="2"/>
  <c r="Y83" i="2"/>
  <c r="X83" i="2"/>
  <c r="W83" i="2"/>
  <c r="V83" i="2"/>
  <c r="U83" i="2"/>
  <c r="T83" i="2"/>
  <c r="S83" i="2"/>
  <c r="L83" i="2"/>
  <c r="I83" i="2"/>
  <c r="H83" i="2"/>
  <c r="F83" i="2"/>
  <c r="E83" i="2"/>
  <c r="D83" i="2"/>
  <c r="AV82" i="2"/>
  <c r="AU82" i="2"/>
  <c r="AT82" i="2"/>
  <c r="AS82" i="2"/>
  <c r="AR82" i="2"/>
  <c r="AQ82" i="2"/>
  <c r="AP82" i="2"/>
  <c r="AO82" i="2"/>
  <c r="AN82" i="2"/>
  <c r="AM82" i="2"/>
  <c r="AJ82" i="2"/>
  <c r="AG82" i="2"/>
  <c r="AF82" i="2"/>
  <c r="AB82" i="2"/>
  <c r="W82" i="2"/>
  <c r="U82" i="2"/>
  <c r="T82" i="2"/>
  <c r="S82" i="2"/>
  <c r="R82" i="2"/>
  <c r="K82" i="2"/>
  <c r="F82" i="2"/>
  <c r="A82" i="2"/>
  <c r="AV81" i="2"/>
  <c r="AU81" i="2"/>
  <c r="AT81" i="2"/>
  <c r="AS81" i="2"/>
  <c r="AR81" i="2"/>
  <c r="AQ81" i="2"/>
  <c r="AP81" i="2"/>
  <c r="AO81" i="2"/>
  <c r="AN81" i="2"/>
  <c r="AM81" i="2"/>
  <c r="I81" i="2"/>
  <c r="H81" i="2"/>
  <c r="F81" i="2"/>
  <c r="E81" i="2"/>
  <c r="D81" i="2"/>
  <c r="AV80" i="2"/>
  <c r="AU80" i="2"/>
  <c r="AT80" i="2"/>
  <c r="AS80" i="2"/>
  <c r="AR80" i="2"/>
  <c r="AQ80" i="2"/>
  <c r="AP80" i="2"/>
  <c r="AO80" i="2"/>
  <c r="AN80" i="2"/>
  <c r="AM80" i="2"/>
  <c r="AB80" i="2"/>
  <c r="AA80" i="2"/>
  <c r="Z80" i="2"/>
  <c r="Y80" i="2"/>
  <c r="X80" i="2"/>
  <c r="W80" i="2"/>
  <c r="V80" i="2"/>
  <c r="U80" i="2"/>
  <c r="T80" i="2"/>
  <c r="S80" i="2"/>
  <c r="L80" i="2"/>
  <c r="I80" i="2"/>
  <c r="H80" i="2"/>
  <c r="F80" i="2"/>
  <c r="E80" i="2"/>
  <c r="D80" i="2"/>
  <c r="AV79" i="2"/>
  <c r="AU79" i="2"/>
  <c r="AT79" i="2"/>
  <c r="AS79" i="2"/>
  <c r="AR79" i="2"/>
  <c r="AQ79" i="2"/>
  <c r="AP79" i="2"/>
  <c r="AO79" i="2"/>
  <c r="AN79" i="2"/>
  <c r="AM79" i="2"/>
  <c r="AJ79" i="2"/>
  <c r="AG79" i="2"/>
  <c r="AF79" i="2"/>
  <c r="AE79" i="2"/>
  <c r="AB79" i="2"/>
  <c r="W79" i="2"/>
  <c r="U79" i="2"/>
  <c r="T79" i="2"/>
  <c r="S79" i="2"/>
  <c r="R79" i="2"/>
  <c r="K79" i="2"/>
  <c r="A79" i="2"/>
  <c r="AV78" i="2"/>
  <c r="AU78" i="2"/>
  <c r="AT78" i="2"/>
  <c r="AS78" i="2"/>
  <c r="AR78" i="2"/>
  <c r="AQ78" i="2"/>
  <c r="AP78" i="2"/>
  <c r="AO78" i="2"/>
  <c r="AN78" i="2"/>
  <c r="AM78" i="2"/>
  <c r="I78" i="2"/>
  <c r="H78" i="2"/>
  <c r="F78" i="2"/>
  <c r="E78" i="2"/>
  <c r="D78" i="2"/>
  <c r="AV77" i="2"/>
  <c r="AU77" i="2"/>
  <c r="AT77" i="2"/>
  <c r="AS77" i="2"/>
  <c r="AR77" i="2"/>
  <c r="AQ77" i="2"/>
  <c r="AP77" i="2"/>
  <c r="AO77" i="2"/>
  <c r="AN77" i="2"/>
  <c r="AM77" i="2"/>
  <c r="AB77" i="2"/>
  <c r="AA77" i="2"/>
  <c r="Z77" i="2"/>
  <c r="Y77" i="2"/>
  <c r="X77" i="2"/>
  <c r="W77" i="2"/>
  <c r="V77" i="2"/>
  <c r="U77" i="2"/>
  <c r="T77" i="2"/>
  <c r="S77" i="2"/>
  <c r="L77" i="2"/>
  <c r="I77" i="2"/>
  <c r="H77" i="2"/>
  <c r="F77" i="2"/>
  <c r="E77" i="2"/>
  <c r="D77" i="2"/>
  <c r="AV76" i="2"/>
  <c r="AU76" i="2"/>
  <c r="AT76" i="2"/>
  <c r="AS76" i="2"/>
  <c r="AR76" i="2"/>
  <c r="AQ76" i="2"/>
  <c r="AP76" i="2"/>
  <c r="AO76" i="2"/>
  <c r="AN76" i="2"/>
  <c r="AM76" i="2"/>
  <c r="AJ76" i="2"/>
  <c r="AG76" i="2"/>
  <c r="AF76" i="2"/>
  <c r="AE76" i="2"/>
  <c r="AB76" i="2"/>
  <c r="W76" i="2"/>
  <c r="U76" i="2"/>
  <c r="T76" i="2"/>
  <c r="S76" i="2"/>
  <c r="R76" i="2"/>
  <c r="K76" i="2"/>
  <c r="A76" i="2"/>
  <c r="AV75" i="2"/>
  <c r="AU75" i="2"/>
  <c r="AT75" i="2"/>
  <c r="AS75" i="2"/>
  <c r="AR75" i="2"/>
  <c r="AQ75" i="2"/>
  <c r="AP75" i="2"/>
  <c r="AO75" i="2"/>
  <c r="AN75" i="2"/>
  <c r="AM75" i="2"/>
  <c r="I75" i="2"/>
  <c r="H75" i="2"/>
  <c r="F75" i="2"/>
  <c r="E75" i="2"/>
  <c r="D75" i="2"/>
  <c r="AV74" i="2"/>
  <c r="AU74" i="2"/>
  <c r="AT74" i="2"/>
  <c r="AS74" i="2"/>
  <c r="AR74" i="2"/>
  <c r="AQ74" i="2"/>
  <c r="AP74" i="2"/>
  <c r="AO74" i="2"/>
  <c r="AN74" i="2"/>
  <c r="AM74" i="2"/>
  <c r="AB74" i="2"/>
  <c r="AA74" i="2"/>
  <c r="Z74" i="2"/>
  <c r="Y74" i="2"/>
  <c r="X74" i="2"/>
  <c r="W74" i="2"/>
  <c r="V74" i="2"/>
  <c r="U74" i="2"/>
  <c r="T74" i="2"/>
  <c r="S74" i="2"/>
  <c r="L74" i="2"/>
  <c r="I74" i="2"/>
  <c r="H74" i="2"/>
  <c r="F74" i="2"/>
  <c r="E74" i="2"/>
  <c r="D74" i="2"/>
  <c r="AV73" i="2"/>
  <c r="AU73" i="2"/>
  <c r="AT73" i="2"/>
  <c r="AS73" i="2"/>
  <c r="AR73" i="2"/>
  <c r="AQ73" i="2"/>
  <c r="AP73" i="2"/>
  <c r="AO73" i="2"/>
  <c r="AN73" i="2"/>
  <c r="AM73" i="2"/>
  <c r="AJ73" i="2"/>
  <c r="AG73" i="2"/>
  <c r="AF73" i="2"/>
  <c r="AB73" i="2"/>
  <c r="W73" i="2"/>
  <c r="U73" i="2"/>
  <c r="T73" i="2"/>
  <c r="S73" i="2"/>
  <c r="R73" i="2"/>
  <c r="K73" i="2"/>
  <c r="A73" i="2"/>
  <c r="AV72" i="2"/>
  <c r="AU72" i="2"/>
  <c r="AT72" i="2"/>
  <c r="AS72" i="2"/>
  <c r="AR72" i="2"/>
  <c r="AQ72" i="2"/>
  <c r="AP72" i="2"/>
  <c r="AO72" i="2"/>
  <c r="AN72" i="2"/>
  <c r="AM72" i="2"/>
  <c r="I72" i="2"/>
  <c r="H72" i="2"/>
  <c r="F72" i="2"/>
  <c r="E72" i="2"/>
  <c r="D72" i="2"/>
  <c r="AV71" i="2"/>
  <c r="AU71" i="2"/>
  <c r="AT71" i="2"/>
  <c r="AS71" i="2"/>
  <c r="AR71" i="2"/>
  <c r="AQ71" i="2"/>
  <c r="AP71" i="2"/>
  <c r="AO71" i="2"/>
  <c r="AN71" i="2"/>
  <c r="AM71" i="2"/>
  <c r="AB71" i="2"/>
  <c r="AA71" i="2"/>
  <c r="Z71" i="2"/>
  <c r="Y71" i="2"/>
  <c r="X71" i="2"/>
  <c r="W71" i="2"/>
  <c r="V71" i="2"/>
  <c r="U71" i="2"/>
  <c r="T71" i="2"/>
  <c r="S71" i="2"/>
  <c r="L71" i="2"/>
  <c r="I71" i="2"/>
  <c r="H71" i="2"/>
  <c r="F71" i="2"/>
  <c r="E71" i="2"/>
  <c r="D71" i="2"/>
  <c r="AV70" i="2"/>
  <c r="AU70" i="2"/>
  <c r="AT70" i="2"/>
  <c r="AS70" i="2"/>
  <c r="AR70" i="2"/>
  <c r="AQ70" i="2"/>
  <c r="AP70" i="2"/>
  <c r="AO70" i="2"/>
  <c r="AN70" i="2"/>
  <c r="AM70" i="2"/>
  <c r="AJ70" i="2"/>
  <c r="AG70" i="2"/>
  <c r="AF70" i="2"/>
  <c r="AB70" i="2"/>
  <c r="W70" i="2"/>
  <c r="U70" i="2"/>
  <c r="T70" i="2"/>
  <c r="S70" i="2"/>
  <c r="R70" i="2"/>
  <c r="K70" i="2"/>
  <c r="A70" i="2"/>
  <c r="AV69" i="2"/>
  <c r="AU69" i="2"/>
  <c r="AT69" i="2"/>
  <c r="AS69" i="2"/>
  <c r="AR69" i="2"/>
  <c r="AQ69" i="2"/>
  <c r="AP69" i="2"/>
  <c r="AO69" i="2"/>
  <c r="AN69" i="2"/>
  <c r="AM69" i="2"/>
  <c r="I69" i="2"/>
  <c r="H69" i="2"/>
  <c r="F69" i="2"/>
  <c r="E69" i="2"/>
  <c r="D69" i="2"/>
  <c r="AV68" i="2"/>
  <c r="AU68" i="2"/>
  <c r="AT68" i="2"/>
  <c r="AS68" i="2"/>
  <c r="AR68" i="2"/>
  <c r="AQ68" i="2"/>
  <c r="AP68" i="2"/>
  <c r="AO68" i="2"/>
  <c r="AN68" i="2"/>
  <c r="AM68" i="2"/>
  <c r="AB68" i="2"/>
  <c r="AA68" i="2"/>
  <c r="Z68" i="2"/>
  <c r="Y68" i="2"/>
  <c r="X68" i="2"/>
  <c r="W68" i="2"/>
  <c r="V68" i="2"/>
  <c r="U68" i="2"/>
  <c r="T68" i="2"/>
  <c r="S68" i="2"/>
  <c r="R68" i="2"/>
  <c r="L68" i="2"/>
  <c r="I68" i="2"/>
  <c r="H68" i="2"/>
  <c r="F68" i="2"/>
  <c r="E68" i="2"/>
  <c r="D68" i="2"/>
  <c r="AV67" i="2"/>
  <c r="AU67" i="2"/>
  <c r="AT67" i="2"/>
  <c r="AS67" i="2"/>
  <c r="AR67" i="2"/>
  <c r="AQ67" i="2"/>
  <c r="AP67" i="2"/>
  <c r="AO67" i="2"/>
  <c r="AN67" i="2"/>
  <c r="AM67" i="2"/>
  <c r="AJ67" i="2"/>
  <c r="AG67" i="2"/>
  <c r="AF67" i="2"/>
  <c r="AE67" i="2"/>
  <c r="AB67" i="2"/>
  <c r="W67" i="2"/>
  <c r="U67" i="2"/>
  <c r="T67" i="2"/>
  <c r="S67" i="2"/>
  <c r="R67" i="2"/>
  <c r="K67" i="2"/>
  <c r="A67" i="2"/>
  <c r="AV66" i="2"/>
  <c r="AU66" i="2"/>
  <c r="AT66" i="2"/>
  <c r="AS66" i="2"/>
  <c r="AR66" i="2"/>
  <c r="AQ66" i="2"/>
  <c r="AP66" i="2"/>
  <c r="AO66" i="2"/>
  <c r="AN66" i="2"/>
  <c r="AM66" i="2"/>
  <c r="I66" i="2"/>
  <c r="H66" i="2"/>
  <c r="F66" i="2"/>
  <c r="E66" i="2"/>
  <c r="D66" i="2"/>
  <c r="AV65" i="2"/>
  <c r="AU65" i="2"/>
  <c r="AT65" i="2"/>
  <c r="AS65" i="2"/>
  <c r="AR65" i="2"/>
  <c r="AQ65" i="2"/>
  <c r="AP65" i="2"/>
  <c r="AO65" i="2"/>
  <c r="AN65" i="2"/>
  <c r="AM65" i="2"/>
  <c r="AB65" i="2"/>
  <c r="AA65" i="2"/>
  <c r="Z65" i="2"/>
  <c r="Y65" i="2"/>
  <c r="X65" i="2"/>
  <c r="W65" i="2"/>
  <c r="V65" i="2"/>
  <c r="U65" i="2"/>
  <c r="T65" i="2"/>
  <c r="S65" i="2"/>
  <c r="R65" i="2"/>
  <c r="L65" i="2"/>
  <c r="I65" i="2"/>
  <c r="H65" i="2"/>
  <c r="F65" i="2"/>
  <c r="E65" i="2"/>
  <c r="D65" i="2"/>
  <c r="AV64" i="2"/>
  <c r="AU64" i="2"/>
  <c r="AT64" i="2"/>
  <c r="AS64" i="2"/>
  <c r="AR64" i="2"/>
  <c r="AQ64" i="2"/>
  <c r="AP64" i="2"/>
  <c r="AO64" i="2"/>
  <c r="AN64" i="2"/>
  <c r="AM64" i="2"/>
  <c r="AJ64" i="2"/>
  <c r="AG64" i="2"/>
  <c r="AF64" i="2"/>
  <c r="AB64" i="2"/>
  <c r="W64" i="2"/>
  <c r="U64" i="2"/>
  <c r="T64" i="2"/>
  <c r="S64" i="2"/>
  <c r="R64" i="2"/>
  <c r="K64" i="2"/>
  <c r="A64" i="2"/>
  <c r="AV63" i="2"/>
  <c r="AU63" i="2"/>
  <c r="AT63" i="2"/>
  <c r="AS63" i="2"/>
  <c r="AR63" i="2"/>
  <c r="AQ63" i="2"/>
  <c r="AP63" i="2"/>
  <c r="AO63" i="2"/>
  <c r="AN63" i="2"/>
  <c r="AM63" i="2"/>
  <c r="I63" i="2"/>
  <c r="H63" i="2"/>
  <c r="F63" i="2"/>
  <c r="E63" i="2"/>
  <c r="D63" i="2"/>
  <c r="AV62" i="2"/>
  <c r="AU62" i="2"/>
  <c r="AT62" i="2"/>
  <c r="AS62" i="2"/>
  <c r="AR62" i="2"/>
  <c r="AQ62" i="2"/>
  <c r="AP62" i="2"/>
  <c r="AO62" i="2"/>
  <c r="AN62" i="2"/>
  <c r="AM62" i="2"/>
  <c r="AB62" i="2"/>
  <c r="AA62" i="2"/>
  <c r="Z62" i="2"/>
  <c r="Y62" i="2"/>
  <c r="X62" i="2"/>
  <c r="W62" i="2"/>
  <c r="V62" i="2"/>
  <c r="U62" i="2"/>
  <c r="T62" i="2"/>
  <c r="S62" i="2"/>
  <c r="R62" i="2"/>
  <c r="L62" i="2"/>
  <c r="I62" i="2"/>
  <c r="H62" i="2"/>
  <c r="F62" i="2"/>
  <c r="E62" i="2"/>
  <c r="D62" i="2"/>
  <c r="AV61" i="2"/>
  <c r="AU61" i="2"/>
  <c r="AT61" i="2"/>
  <c r="AS61" i="2"/>
  <c r="AR61" i="2"/>
  <c r="AQ61" i="2"/>
  <c r="AP61" i="2"/>
  <c r="AO61" i="2"/>
  <c r="AN61" i="2"/>
  <c r="AM61" i="2"/>
  <c r="AJ61" i="2"/>
  <c r="AG61" i="2"/>
  <c r="AF61" i="2"/>
  <c r="AE61" i="2"/>
  <c r="AB61" i="2"/>
  <c r="W61" i="2"/>
  <c r="U61" i="2"/>
  <c r="T61" i="2"/>
  <c r="S61" i="2"/>
  <c r="R61" i="2"/>
  <c r="K61" i="2"/>
  <c r="F61" i="2"/>
  <c r="A61" i="2"/>
  <c r="AV60" i="2"/>
  <c r="AU60" i="2"/>
  <c r="AT60" i="2"/>
  <c r="AS60" i="2"/>
  <c r="AR60" i="2"/>
  <c r="AQ60" i="2"/>
  <c r="AP60" i="2"/>
  <c r="AO60" i="2"/>
  <c r="AN60" i="2"/>
  <c r="AM60" i="2"/>
  <c r="I60" i="2"/>
  <c r="H60" i="2"/>
  <c r="F60" i="2"/>
  <c r="E60" i="2"/>
  <c r="D60" i="2"/>
  <c r="AV59" i="2"/>
  <c r="AU59" i="2"/>
  <c r="AT59" i="2"/>
  <c r="AS59" i="2"/>
  <c r="AR59" i="2"/>
  <c r="AQ59" i="2"/>
  <c r="AP59" i="2"/>
  <c r="AO59" i="2"/>
  <c r="AN59" i="2"/>
  <c r="AM59" i="2"/>
  <c r="AB59" i="2"/>
  <c r="AA59" i="2"/>
  <c r="Z59" i="2"/>
  <c r="Y59" i="2"/>
  <c r="X59" i="2"/>
  <c r="W59" i="2"/>
  <c r="V59" i="2"/>
  <c r="U59" i="2"/>
  <c r="T59" i="2"/>
  <c r="S59" i="2"/>
  <c r="R59" i="2"/>
  <c r="L59" i="2"/>
  <c r="I59" i="2"/>
  <c r="H59" i="2"/>
  <c r="F59" i="2"/>
  <c r="E59" i="2"/>
  <c r="D59" i="2"/>
  <c r="AV58" i="2"/>
  <c r="AU58" i="2"/>
  <c r="AT58" i="2"/>
  <c r="AS58" i="2"/>
  <c r="AR58" i="2"/>
  <c r="AQ58" i="2"/>
  <c r="AP58" i="2"/>
  <c r="AO58" i="2"/>
  <c r="AN58" i="2"/>
  <c r="AM58" i="2"/>
  <c r="AJ58" i="2"/>
  <c r="AG58" i="2"/>
  <c r="AF58" i="2"/>
  <c r="AE58" i="2"/>
  <c r="AB58" i="2"/>
  <c r="W58" i="2"/>
  <c r="U58" i="2"/>
  <c r="T58" i="2"/>
  <c r="S58" i="2"/>
  <c r="R58" i="2"/>
  <c r="K58" i="2"/>
  <c r="A58" i="2"/>
  <c r="AV57" i="2"/>
  <c r="AU57" i="2"/>
  <c r="AT57" i="2"/>
  <c r="AS57" i="2"/>
  <c r="AR57" i="2"/>
  <c r="AQ57" i="2"/>
  <c r="AP57" i="2"/>
  <c r="AO57" i="2"/>
  <c r="AN57" i="2"/>
  <c r="AM57" i="2"/>
  <c r="I57" i="2"/>
  <c r="H57" i="2"/>
  <c r="F57" i="2"/>
  <c r="E57" i="2"/>
  <c r="D57" i="2"/>
  <c r="AV56" i="2"/>
  <c r="AU56" i="2"/>
  <c r="AT56" i="2"/>
  <c r="AS56" i="2"/>
  <c r="AR56" i="2"/>
  <c r="AQ56" i="2"/>
  <c r="AP56" i="2"/>
  <c r="AO56" i="2"/>
  <c r="AN56" i="2"/>
  <c r="AM56" i="2"/>
  <c r="AB56" i="2"/>
  <c r="AA56" i="2"/>
  <c r="Z56" i="2"/>
  <c r="Y56" i="2"/>
  <c r="X56" i="2"/>
  <c r="W56" i="2"/>
  <c r="V56" i="2"/>
  <c r="U56" i="2"/>
  <c r="T56" i="2"/>
  <c r="S56" i="2"/>
  <c r="R56" i="2"/>
  <c r="L56" i="2"/>
  <c r="I56" i="2"/>
  <c r="H56" i="2"/>
  <c r="F56" i="2"/>
  <c r="E56" i="2"/>
  <c r="D56" i="2"/>
  <c r="AV55" i="2"/>
  <c r="AU55" i="2"/>
  <c r="AT55" i="2"/>
  <c r="AS55" i="2"/>
  <c r="AR55" i="2"/>
  <c r="AQ55" i="2"/>
  <c r="AP55" i="2"/>
  <c r="AO55" i="2"/>
  <c r="AN55" i="2"/>
  <c r="AM55" i="2"/>
  <c r="AJ55" i="2"/>
  <c r="AG55" i="2"/>
  <c r="AF55" i="2"/>
  <c r="AE55" i="2"/>
  <c r="AB55" i="2"/>
  <c r="W55" i="2"/>
  <c r="U55" i="2"/>
  <c r="T55" i="2"/>
  <c r="S55" i="2"/>
  <c r="R55" i="2"/>
  <c r="K55" i="2"/>
  <c r="A55" i="2"/>
  <c r="AV54" i="2"/>
  <c r="AU54" i="2"/>
  <c r="AT54" i="2"/>
  <c r="AS54" i="2"/>
  <c r="AR54" i="2"/>
  <c r="AQ54" i="2"/>
  <c r="AP54" i="2"/>
  <c r="AO54" i="2"/>
  <c r="AN54" i="2"/>
  <c r="AM54" i="2"/>
  <c r="I54" i="2"/>
  <c r="H54" i="2"/>
  <c r="F54" i="2"/>
  <c r="E54" i="2"/>
  <c r="D54" i="2"/>
  <c r="AV53" i="2"/>
  <c r="AU53" i="2"/>
  <c r="AT53" i="2"/>
  <c r="AS53" i="2"/>
  <c r="AR53" i="2"/>
  <c r="AQ53" i="2"/>
  <c r="AP53" i="2"/>
  <c r="AO53" i="2"/>
  <c r="AN53" i="2"/>
  <c r="AM53" i="2"/>
  <c r="AB53" i="2"/>
  <c r="AA53" i="2"/>
  <c r="Z53" i="2"/>
  <c r="Y53" i="2"/>
  <c r="X53" i="2"/>
  <c r="W53" i="2"/>
  <c r="V53" i="2"/>
  <c r="U53" i="2"/>
  <c r="T53" i="2"/>
  <c r="S53" i="2"/>
  <c r="R53" i="2"/>
  <c r="L53" i="2"/>
  <c r="I53" i="2"/>
  <c r="H53" i="2"/>
  <c r="F53" i="2"/>
  <c r="E53" i="2"/>
  <c r="D53" i="2"/>
  <c r="AV52" i="2"/>
  <c r="AU52" i="2"/>
  <c r="AT52" i="2"/>
  <c r="AS52" i="2"/>
  <c r="AR52" i="2"/>
  <c r="AQ52" i="2"/>
  <c r="AP52" i="2"/>
  <c r="AO52" i="2"/>
  <c r="AN52" i="2"/>
  <c r="AM52" i="2"/>
  <c r="AJ52" i="2"/>
  <c r="AG52" i="2"/>
  <c r="AF52" i="2"/>
  <c r="AE52" i="2"/>
  <c r="AB52" i="2"/>
  <c r="W52" i="2"/>
  <c r="U52" i="2"/>
  <c r="T52" i="2"/>
  <c r="S52" i="2"/>
  <c r="R52" i="2"/>
  <c r="K52" i="2"/>
  <c r="A52" i="2"/>
  <c r="AV51" i="2"/>
  <c r="AU51" i="2"/>
  <c r="AT51" i="2"/>
  <c r="AS51" i="2"/>
  <c r="AR51" i="2"/>
  <c r="AQ51" i="2"/>
  <c r="AP51" i="2"/>
  <c r="AO51" i="2"/>
  <c r="AN51" i="2"/>
  <c r="AM51" i="2"/>
  <c r="I51" i="2"/>
  <c r="H51" i="2"/>
  <c r="F51" i="2"/>
  <c r="E51" i="2"/>
  <c r="D51" i="2"/>
  <c r="AV50" i="2"/>
  <c r="AU50" i="2"/>
  <c r="AT50" i="2"/>
  <c r="AS50" i="2"/>
  <c r="AR50" i="2"/>
  <c r="AQ50" i="2"/>
  <c r="AP50" i="2"/>
  <c r="AO50" i="2"/>
  <c r="AN50" i="2"/>
  <c r="AM50" i="2"/>
  <c r="AB50" i="2"/>
  <c r="AA50" i="2"/>
  <c r="Z50" i="2"/>
  <c r="Y50" i="2"/>
  <c r="X50" i="2"/>
  <c r="W50" i="2"/>
  <c r="V50" i="2"/>
  <c r="U50" i="2"/>
  <c r="T50" i="2"/>
  <c r="S50" i="2"/>
  <c r="R50" i="2"/>
  <c r="L50" i="2"/>
  <c r="I50" i="2"/>
  <c r="H50" i="2"/>
  <c r="F50" i="2"/>
  <c r="E50" i="2"/>
  <c r="D50" i="2"/>
  <c r="AV49" i="2"/>
  <c r="AU49" i="2"/>
  <c r="AT49" i="2"/>
  <c r="AS49" i="2"/>
  <c r="AR49" i="2"/>
  <c r="AQ49" i="2"/>
  <c r="AP49" i="2"/>
  <c r="AO49" i="2"/>
  <c r="AN49" i="2"/>
  <c r="AM49" i="2"/>
  <c r="AJ49" i="2"/>
  <c r="AG49" i="2"/>
  <c r="AF49" i="2"/>
  <c r="AE49" i="2"/>
  <c r="AB49" i="2"/>
  <c r="W49" i="2"/>
  <c r="U49" i="2"/>
  <c r="T49" i="2"/>
  <c r="S49" i="2"/>
  <c r="R49" i="2"/>
  <c r="K49" i="2"/>
  <c r="F49" i="2"/>
  <c r="A49" i="2"/>
  <c r="AV48" i="2"/>
  <c r="AU48" i="2"/>
  <c r="AT48" i="2"/>
  <c r="AS48" i="2"/>
  <c r="AR48" i="2"/>
  <c r="AQ48" i="2"/>
  <c r="AP48" i="2"/>
  <c r="AO48" i="2"/>
  <c r="AN48" i="2"/>
  <c r="AM48" i="2"/>
  <c r="I48" i="2"/>
  <c r="H48" i="2"/>
  <c r="F48" i="2"/>
  <c r="E48" i="2"/>
  <c r="D48" i="2"/>
  <c r="AV47" i="2"/>
  <c r="AU47" i="2"/>
  <c r="AT47" i="2"/>
  <c r="AS47" i="2"/>
  <c r="AR47" i="2"/>
  <c r="AQ47" i="2"/>
  <c r="AP47" i="2"/>
  <c r="AO47" i="2"/>
  <c r="AN47" i="2"/>
  <c r="AM47" i="2"/>
  <c r="AB47" i="2"/>
  <c r="AA47" i="2"/>
  <c r="Z47" i="2"/>
  <c r="Y47" i="2"/>
  <c r="X47" i="2"/>
  <c r="W47" i="2"/>
  <c r="V47" i="2"/>
  <c r="U47" i="2"/>
  <c r="T47" i="2"/>
  <c r="S47" i="2"/>
  <c r="R47" i="2"/>
  <c r="L47" i="2"/>
  <c r="I47" i="2"/>
  <c r="H47" i="2"/>
  <c r="F47" i="2"/>
  <c r="E47" i="2"/>
  <c r="D47" i="2"/>
  <c r="AV46" i="2"/>
  <c r="AU46" i="2"/>
  <c r="AT46" i="2"/>
  <c r="AS46" i="2"/>
  <c r="AR46" i="2"/>
  <c r="AQ46" i="2"/>
  <c r="AP46" i="2"/>
  <c r="AO46" i="2"/>
  <c r="AN46" i="2"/>
  <c r="AM46" i="2"/>
  <c r="AJ46" i="2"/>
  <c r="AG46" i="2"/>
  <c r="AF46" i="2"/>
  <c r="AB46" i="2"/>
  <c r="W46" i="2"/>
  <c r="U46" i="2"/>
  <c r="T46" i="2"/>
  <c r="S46" i="2"/>
  <c r="R46" i="2"/>
  <c r="K46" i="2"/>
  <c r="F46" i="2"/>
  <c r="A46" i="2"/>
  <c r="AV45" i="2"/>
  <c r="AU45" i="2"/>
  <c r="AT45" i="2"/>
  <c r="AS45" i="2"/>
  <c r="AR45" i="2"/>
  <c r="AQ45" i="2"/>
  <c r="AP45" i="2"/>
  <c r="AO45" i="2"/>
  <c r="AN45" i="2"/>
  <c r="AM45" i="2"/>
  <c r="I45" i="2"/>
  <c r="H45" i="2"/>
  <c r="F45" i="2"/>
  <c r="E45" i="2"/>
  <c r="D45" i="2"/>
  <c r="AV44" i="2"/>
  <c r="AU44" i="2"/>
  <c r="AT44" i="2"/>
  <c r="AS44" i="2"/>
  <c r="AR44" i="2"/>
  <c r="AQ44" i="2"/>
  <c r="AP44" i="2"/>
  <c r="AO44" i="2"/>
  <c r="AN44" i="2"/>
  <c r="AM44" i="2"/>
  <c r="AB44" i="2"/>
  <c r="AA44" i="2"/>
  <c r="Z44" i="2"/>
  <c r="Y44" i="2"/>
  <c r="X44" i="2"/>
  <c r="W44" i="2"/>
  <c r="V44" i="2"/>
  <c r="U44" i="2"/>
  <c r="T44" i="2"/>
  <c r="S44" i="2"/>
  <c r="R44" i="2"/>
  <c r="L44" i="2"/>
  <c r="I44" i="2"/>
  <c r="H44" i="2"/>
  <c r="F44" i="2"/>
  <c r="E44" i="2"/>
  <c r="D44" i="2"/>
  <c r="AV43" i="2"/>
  <c r="AU43" i="2"/>
  <c r="AT43" i="2"/>
  <c r="AS43" i="2"/>
  <c r="AR43" i="2"/>
  <c r="AQ43" i="2"/>
  <c r="AP43" i="2"/>
  <c r="AO43" i="2"/>
  <c r="AN43" i="2"/>
  <c r="AM43" i="2"/>
  <c r="AJ43" i="2"/>
  <c r="AG43" i="2"/>
  <c r="AF43" i="2"/>
  <c r="AB43" i="2"/>
  <c r="W43" i="2"/>
  <c r="U43" i="2"/>
  <c r="T43" i="2"/>
  <c r="S43" i="2"/>
  <c r="R43" i="2"/>
  <c r="K43" i="2"/>
  <c r="F43" i="2"/>
  <c r="A43" i="2"/>
  <c r="AV42" i="2"/>
  <c r="AU42" i="2"/>
  <c r="AT42" i="2"/>
  <c r="AS42" i="2"/>
  <c r="AR42" i="2"/>
  <c r="AQ42" i="2"/>
  <c r="AP42" i="2"/>
  <c r="AO42" i="2"/>
  <c r="AN42" i="2"/>
  <c r="AM42" i="2"/>
  <c r="I42" i="2"/>
  <c r="H42" i="2"/>
  <c r="F42" i="2"/>
  <c r="E42" i="2"/>
  <c r="D42" i="2"/>
  <c r="AV41" i="2"/>
  <c r="AU41" i="2"/>
  <c r="AT41" i="2"/>
  <c r="AS41" i="2"/>
  <c r="AR41" i="2"/>
  <c r="AQ41" i="2"/>
  <c r="AP41" i="2"/>
  <c r="AO41" i="2"/>
  <c r="AN41" i="2"/>
  <c r="AM41" i="2"/>
  <c r="AB41" i="2"/>
  <c r="AA41" i="2"/>
  <c r="Z41" i="2"/>
  <c r="Y41" i="2"/>
  <c r="X41" i="2"/>
  <c r="W41" i="2"/>
  <c r="V41" i="2"/>
  <c r="U41" i="2"/>
  <c r="T41" i="2"/>
  <c r="S41" i="2"/>
  <c r="R41" i="2"/>
  <c r="L41" i="2"/>
  <c r="I41" i="2"/>
  <c r="H41" i="2"/>
  <c r="F41" i="2"/>
  <c r="E41" i="2"/>
  <c r="D41" i="2"/>
  <c r="AV40" i="2"/>
  <c r="AU40" i="2"/>
  <c r="AT40" i="2"/>
  <c r="AS40" i="2"/>
  <c r="AR40" i="2"/>
  <c r="AQ40" i="2"/>
  <c r="AP40" i="2"/>
  <c r="AO40" i="2"/>
  <c r="AN40" i="2"/>
  <c r="AM40" i="2"/>
  <c r="AJ40" i="2"/>
  <c r="AG40" i="2"/>
  <c r="AF40" i="2"/>
  <c r="AB40" i="2"/>
  <c r="W40" i="2"/>
  <c r="U40" i="2"/>
  <c r="T40" i="2"/>
  <c r="S40" i="2"/>
  <c r="R40" i="2"/>
  <c r="K40" i="2"/>
  <c r="A40" i="2"/>
  <c r="AV39" i="2"/>
  <c r="AU39" i="2"/>
  <c r="AT39" i="2"/>
  <c r="AS39" i="2"/>
  <c r="AR39" i="2"/>
  <c r="AQ39" i="2"/>
  <c r="AP39" i="2"/>
  <c r="AO39" i="2"/>
  <c r="AN39" i="2"/>
  <c r="AM39" i="2"/>
  <c r="I39" i="2"/>
  <c r="H39" i="2"/>
  <c r="F39" i="2"/>
  <c r="E39" i="2"/>
  <c r="D39" i="2"/>
  <c r="AV38" i="2"/>
  <c r="AU38" i="2"/>
  <c r="AT38" i="2"/>
  <c r="AS38" i="2"/>
  <c r="AR38" i="2"/>
  <c r="AQ38" i="2"/>
  <c r="AP38" i="2"/>
  <c r="AO38" i="2"/>
  <c r="AN38" i="2"/>
  <c r="AM38" i="2"/>
  <c r="AB38" i="2"/>
  <c r="AA38" i="2"/>
  <c r="Z38" i="2"/>
  <c r="Y38" i="2"/>
  <c r="X38" i="2"/>
  <c r="W38" i="2"/>
  <c r="V38" i="2"/>
  <c r="U38" i="2"/>
  <c r="T38" i="2"/>
  <c r="S38" i="2"/>
  <c r="R38" i="2"/>
  <c r="L38" i="2"/>
  <c r="I38" i="2"/>
  <c r="H38" i="2"/>
  <c r="F38" i="2"/>
  <c r="E38" i="2"/>
  <c r="D38" i="2"/>
  <c r="AV37" i="2"/>
  <c r="AU37" i="2"/>
  <c r="AT37" i="2"/>
  <c r="AS37" i="2"/>
  <c r="AR37" i="2"/>
  <c r="AQ37" i="2"/>
  <c r="AP37" i="2"/>
  <c r="AO37" i="2"/>
  <c r="AN37" i="2"/>
  <c r="AM37" i="2"/>
  <c r="AJ37" i="2"/>
  <c r="AG37" i="2"/>
  <c r="AF37" i="2"/>
  <c r="AB37" i="2"/>
  <c r="W37" i="2"/>
  <c r="U37" i="2"/>
  <c r="T37" i="2"/>
  <c r="S37" i="2"/>
  <c r="R37" i="2"/>
  <c r="K37" i="2"/>
  <c r="F37" i="2"/>
  <c r="A37" i="2"/>
  <c r="AV36" i="2"/>
  <c r="AU36" i="2"/>
  <c r="AT36" i="2"/>
  <c r="AS36" i="2"/>
  <c r="AR36" i="2"/>
  <c r="AQ36" i="2"/>
  <c r="AP36" i="2"/>
  <c r="AO36" i="2"/>
  <c r="AN36" i="2"/>
  <c r="AM36" i="2"/>
  <c r="I36" i="2"/>
  <c r="H36" i="2"/>
  <c r="F36" i="2"/>
  <c r="E36" i="2"/>
  <c r="D36" i="2"/>
  <c r="AV35" i="2"/>
  <c r="AU35" i="2"/>
  <c r="AT35" i="2"/>
  <c r="AS35" i="2"/>
  <c r="AR35" i="2"/>
  <c r="AQ35" i="2"/>
  <c r="AP35" i="2"/>
  <c r="AO35" i="2"/>
  <c r="AN35" i="2"/>
  <c r="AM35" i="2"/>
  <c r="AB35" i="2"/>
  <c r="AA35" i="2"/>
  <c r="Z35" i="2"/>
  <c r="Y35" i="2"/>
  <c r="X35" i="2"/>
  <c r="W35" i="2"/>
  <c r="V35" i="2"/>
  <c r="U35" i="2"/>
  <c r="T35" i="2"/>
  <c r="S35" i="2"/>
  <c r="R35" i="2"/>
  <c r="L35" i="2"/>
  <c r="I35" i="2"/>
  <c r="H35" i="2"/>
  <c r="F35" i="2"/>
  <c r="E35" i="2"/>
  <c r="D35" i="2"/>
  <c r="AV34" i="2"/>
  <c r="AU34" i="2"/>
  <c r="AT34" i="2"/>
  <c r="AS34" i="2"/>
  <c r="AR34" i="2"/>
  <c r="AQ34" i="2"/>
  <c r="AP34" i="2"/>
  <c r="AO34" i="2"/>
  <c r="AN34" i="2"/>
  <c r="AM34" i="2"/>
  <c r="AJ34" i="2"/>
  <c r="AG34" i="2"/>
  <c r="AF34" i="2"/>
  <c r="AB34" i="2"/>
  <c r="W34" i="2"/>
  <c r="U34" i="2"/>
  <c r="T34" i="2"/>
  <c r="S34" i="2"/>
  <c r="R34" i="2"/>
  <c r="K34" i="2"/>
  <c r="F34" i="2"/>
  <c r="A34" i="2"/>
  <c r="AV33" i="2"/>
  <c r="AU33" i="2"/>
  <c r="AT33" i="2"/>
  <c r="AS33" i="2"/>
  <c r="AR33" i="2"/>
  <c r="AQ33" i="2"/>
  <c r="AP33" i="2"/>
  <c r="AO33" i="2"/>
  <c r="AN33" i="2"/>
  <c r="AM33" i="2"/>
  <c r="I33" i="2"/>
  <c r="H33" i="2"/>
  <c r="F33" i="2"/>
  <c r="E33" i="2"/>
  <c r="D33" i="2"/>
  <c r="AV32" i="2"/>
  <c r="AU32" i="2"/>
  <c r="AT32" i="2"/>
  <c r="AS32" i="2"/>
  <c r="AR32" i="2"/>
  <c r="AQ32" i="2"/>
  <c r="AP32" i="2"/>
  <c r="AO32" i="2"/>
  <c r="AN32" i="2"/>
  <c r="AM32" i="2"/>
  <c r="AB32" i="2"/>
  <c r="AA32" i="2"/>
  <c r="Z32" i="2"/>
  <c r="Y32" i="2"/>
  <c r="X32" i="2"/>
  <c r="W32" i="2"/>
  <c r="V32" i="2"/>
  <c r="U32" i="2"/>
  <c r="T32" i="2"/>
  <c r="S32" i="2"/>
  <c r="R32" i="2"/>
  <c r="L32" i="2"/>
  <c r="I32" i="2"/>
  <c r="H32" i="2"/>
  <c r="F32" i="2"/>
  <c r="E32" i="2"/>
  <c r="D32" i="2"/>
  <c r="AV31" i="2"/>
  <c r="AU31" i="2"/>
  <c r="AT31" i="2"/>
  <c r="AS31" i="2"/>
  <c r="AR31" i="2"/>
  <c r="AQ31" i="2"/>
  <c r="AP31" i="2"/>
  <c r="AO31" i="2"/>
  <c r="AN31" i="2"/>
  <c r="AM31" i="2"/>
  <c r="AJ31" i="2"/>
  <c r="AG31" i="2"/>
  <c r="AF31" i="2"/>
  <c r="AB31" i="2"/>
  <c r="W31" i="2"/>
  <c r="U31" i="2"/>
  <c r="T31" i="2"/>
  <c r="S31" i="2"/>
  <c r="R31" i="2"/>
  <c r="K31" i="2"/>
  <c r="F31" i="2"/>
  <c r="A31" i="2"/>
  <c r="AV30" i="2"/>
  <c r="AU30" i="2"/>
  <c r="AT30" i="2"/>
  <c r="AS30" i="2"/>
  <c r="AR30" i="2"/>
  <c r="AQ30" i="2"/>
  <c r="AP30" i="2"/>
  <c r="AO30" i="2"/>
  <c r="AN30" i="2"/>
  <c r="AM30" i="2"/>
  <c r="I30" i="2"/>
  <c r="H30" i="2"/>
  <c r="F30" i="2"/>
  <c r="E30" i="2"/>
  <c r="D30" i="2"/>
  <c r="AV29" i="2"/>
  <c r="AU29" i="2"/>
  <c r="AT29" i="2"/>
  <c r="AS29" i="2"/>
  <c r="AR29" i="2"/>
  <c r="AQ29" i="2"/>
  <c r="AP29" i="2"/>
  <c r="AO29" i="2"/>
  <c r="AN29" i="2"/>
  <c r="AM29" i="2"/>
  <c r="AB29" i="2"/>
  <c r="AA29" i="2"/>
  <c r="Z29" i="2"/>
  <c r="Y29" i="2"/>
  <c r="X29" i="2"/>
  <c r="W29" i="2"/>
  <c r="V29" i="2"/>
  <c r="U29" i="2"/>
  <c r="T29" i="2"/>
  <c r="S29" i="2"/>
  <c r="R29" i="2"/>
  <c r="L29" i="2"/>
  <c r="I29" i="2"/>
  <c r="H29" i="2"/>
  <c r="F29" i="2"/>
  <c r="E29" i="2"/>
  <c r="D29" i="2"/>
  <c r="AV28" i="2"/>
  <c r="AU28" i="2"/>
  <c r="AT28" i="2"/>
  <c r="AS28" i="2"/>
  <c r="AR28" i="2"/>
  <c r="AQ28" i="2"/>
  <c r="AP28" i="2"/>
  <c r="AO28" i="2"/>
  <c r="AN28" i="2"/>
  <c r="AM28" i="2"/>
  <c r="AJ28" i="2"/>
  <c r="AG28" i="2"/>
  <c r="AF28" i="2"/>
  <c r="AE28" i="2"/>
  <c r="AB28" i="2"/>
  <c r="W28" i="2"/>
  <c r="U28" i="2"/>
  <c r="T28" i="2"/>
  <c r="S28" i="2"/>
  <c r="R28" i="2"/>
  <c r="K28" i="2"/>
  <c r="A28" i="2"/>
  <c r="AV27" i="2"/>
  <c r="AU27" i="2"/>
  <c r="AT27" i="2"/>
  <c r="AS27" i="2"/>
  <c r="AR27" i="2"/>
  <c r="AQ27" i="2"/>
  <c r="AP27" i="2"/>
  <c r="AO27" i="2"/>
  <c r="AN27" i="2"/>
  <c r="AM27" i="2"/>
  <c r="I27" i="2"/>
  <c r="H27" i="2"/>
  <c r="F27" i="2"/>
  <c r="E27" i="2"/>
  <c r="D27" i="2"/>
  <c r="AV26" i="2"/>
  <c r="AU26" i="2"/>
  <c r="AT26" i="2"/>
  <c r="AS26" i="2"/>
  <c r="AR26" i="2"/>
  <c r="AQ26" i="2"/>
  <c r="AP26" i="2"/>
  <c r="AO26" i="2"/>
  <c r="AN26" i="2"/>
  <c r="AM26" i="2"/>
  <c r="AB26" i="2"/>
  <c r="AA26" i="2"/>
  <c r="Z26" i="2"/>
  <c r="Y26" i="2"/>
  <c r="X26" i="2"/>
  <c r="W26" i="2"/>
  <c r="V26" i="2"/>
  <c r="U26" i="2"/>
  <c r="T26" i="2"/>
  <c r="S26" i="2"/>
  <c r="R26" i="2"/>
  <c r="L26" i="2"/>
  <c r="I26" i="2"/>
  <c r="H26" i="2"/>
  <c r="F26" i="2"/>
  <c r="E26" i="2"/>
  <c r="D26" i="2"/>
  <c r="AV25" i="2"/>
  <c r="AU25" i="2"/>
  <c r="AT25" i="2"/>
  <c r="AS25" i="2"/>
  <c r="AR25" i="2"/>
  <c r="AQ25" i="2"/>
  <c r="AP25" i="2"/>
  <c r="AO25" i="2"/>
  <c r="AN25" i="2"/>
  <c r="AM25" i="2"/>
  <c r="AJ25" i="2"/>
  <c r="AG25" i="2"/>
  <c r="AF25" i="2"/>
  <c r="AE25" i="2"/>
  <c r="AB25" i="2"/>
  <c r="W25" i="2"/>
  <c r="U25" i="2"/>
  <c r="T25" i="2"/>
  <c r="S25" i="2"/>
  <c r="R25" i="2"/>
  <c r="K25" i="2"/>
  <c r="A25" i="2"/>
  <c r="AV24" i="2"/>
  <c r="AU24" i="2"/>
  <c r="AT24" i="2"/>
  <c r="AS24" i="2"/>
  <c r="AR24" i="2"/>
  <c r="AQ24" i="2"/>
  <c r="AP24" i="2"/>
  <c r="AO24" i="2"/>
  <c r="AN24" i="2"/>
  <c r="AM24" i="2"/>
  <c r="I24" i="2"/>
  <c r="H24" i="2"/>
  <c r="F24" i="2"/>
  <c r="E24" i="2"/>
  <c r="D24" i="2"/>
  <c r="AV23" i="2"/>
  <c r="AU23" i="2"/>
  <c r="AT23" i="2"/>
  <c r="AS23" i="2"/>
  <c r="AR23" i="2"/>
  <c r="AQ23" i="2"/>
  <c r="AP23" i="2"/>
  <c r="AO23" i="2"/>
  <c r="AN23" i="2"/>
  <c r="AM23" i="2"/>
  <c r="AB23" i="2"/>
  <c r="AA23" i="2"/>
  <c r="Z23" i="2"/>
  <c r="Y23" i="2"/>
  <c r="X23" i="2"/>
  <c r="W23" i="2"/>
  <c r="V23" i="2"/>
  <c r="U23" i="2"/>
  <c r="T23" i="2"/>
  <c r="S23" i="2"/>
  <c r="R23" i="2"/>
  <c r="L23" i="2"/>
  <c r="I23" i="2"/>
  <c r="H23" i="2"/>
  <c r="F23" i="2"/>
  <c r="E23" i="2"/>
  <c r="D23" i="2"/>
  <c r="AV22" i="2"/>
  <c r="AU22" i="2"/>
  <c r="AT22" i="2"/>
  <c r="AS22" i="2"/>
  <c r="AR22" i="2"/>
  <c r="AQ22" i="2"/>
  <c r="AP22" i="2"/>
  <c r="AO22" i="2"/>
  <c r="AN22" i="2"/>
  <c r="AM22" i="2"/>
  <c r="AJ22" i="2"/>
  <c r="AG22" i="2"/>
  <c r="AF22" i="2"/>
  <c r="AB22" i="2"/>
  <c r="W22" i="2"/>
  <c r="U22" i="2"/>
  <c r="T22" i="2"/>
  <c r="S22" i="2"/>
  <c r="R22" i="2"/>
  <c r="K22" i="2"/>
  <c r="A22" i="2"/>
  <c r="AV21" i="2"/>
  <c r="AU21" i="2"/>
  <c r="AT21" i="2"/>
  <c r="AS21" i="2"/>
  <c r="AR21" i="2"/>
  <c r="AQ21" i="2"/>
  <c r="AP21" i="2"/>
  <c r="AO21" i="2"/>
  <c r="AN21" i="2"/>
  <c r="AM21" i="2"/>
  <c r="I21" i="2"/>
  <c r="H21" i="2"/>
  <c r="F21" i="2"/>
  <c r="E21" i="2"/>
  <c r="D21" i="2"/>
  <c r="AV20" i="2"/>
  <c r="AU20" i="2"/>
  <c r="AT20" i="2"/>
  <c r="AS20" i="2"/>
  <c r="AR20" i="2"/>
  <c r="AQ20" i="2"/>
  <c r="AP20" i="2"/>
  <c r="AO20" i="2"/>
  <c r="AN20" i="2"/>
  <c r="AM20" i="2"/>
  <c r="AB20" i="2"/>
  <c r="AA20" i="2"/>
  <c r="Z20" i="2"/>
  <c r="Y20" i="2"/>
  <c r="X20" i="2"/>
  <c r="W20" i="2"/>
  <c r="V20" i="2"/>
  <c r="U20" i="2"/>
  <c r="T20" i="2"/>
  <c r="S20" i="2"/>
  <c r="R20" i="2"/>
  <c r="L20" i="2"/>
  <c r="I20" i="2"/>
  <c r="H20" i="2"/>
  <c r="F20" i="2"/>
  <c r="E20" i="2"/>
  <c r="D20" i="2"/>
  <c r="AV19" i="2"/>
  <c r="AU19" i="2"/>
  <c r="AT19" i="2"/>
  <c r="AS19" i="2"/>
  <c r="AR19" i="2"/>
  <c r="AQ19" i="2"/>
  <c r="AP19" i="2"/>
  <c r="AO19" i="2"/>
  <c r="AN19" i="2"/>
  <c r="AM19" i="2"/>
  <c r="AJ19" i="2"/>
  <c r="AG19" i="2"/>
  <c r="AF19" i="2"/>
  <c r="AB19" i="2"/>
  <c r="W19" i="2"/>
  <c r="U19" i="2"/>
  <c r="T19" i="2"/>
  <c r="S19" i="2"/>
  <c r="R19" i="2"/>
  <c r="K19" i="2"/>
  <c r="F19" i="2"/>
  <c r="A19" i="2"/>
  <c r="AV18" i="2"/>
  <c r="AU18" i="2"/>
  <c r="AT18" i="2"/>
  <c r="AS18" i="2"/>
  <c r="AR18" i="2"/>
  <c r="AQ18" i="2"/>
  <c r="AP18" i="2"/>
  <c r="AO18" i="2"/>
  <c r="AN18" i="2"/>
  <c r="AM18" i="2"/>
  <c r="I18" i="2"/>
  <c r="H18" i="2"/>
  <c r="F18" i="2"/>
  <c r="E18" i="2"/>
  <c r="D18" i="2"/>
  <c r="AV17" i="2"/>
  <c r="AU17" i="2"/>
  <c r="AT17" i="2"/>
  <c r="AS17" i="2"/>
  <c r="AR17" i="2"/>
  <c r="AQ17" i="2"/>
  <c r="AP17" i="2"/>
  <c r="AO17" i="2"/>
  <c r="AN17" i="2"/>
  <c r="AM17" i="2"/>
  <c r="AB17" i="2"/>
  <c r="AA17" i="2"/>
  <c r="Z17" i="2"/>
  <c r="Y17" i="2"/>
  <c r="X17" i="2"/>
  <c r="W17" i="2"/>
  <c r="V17" i="2"/>
  <c r="U17" i="2"/>
  <c r="T17" i="2"/>
  <c r="S17" i="2"/>
  <c r="R17" i="2"/>
  <c r="L17" i="2"/>
  <c r="I17" i="2"/>
  <c r="H17" i="2"/>
  <c r="F17" i="2"/>
  <c r="E17" i="2"/>
  <c r="D17" i="2"/>
  <c r="AV16" i="2"/>
  <c r="AU16" i="2"/>
  <c r="AT16" i="2"/>
  <c r="AS16" i="2"/>
  <c r="AR16" i="2"/>
  <c r="AQ16" i="2"/>
  <c r="AP16" i="2"/>
  <c r="AO16" i="2"/>
  <c r="AN16" i="2"/>
  <c r="AM16" i="2"/>
  <c r="AJ16" i="2"/>
  <c r="AG16" i="2"/>
  <c r="AF16" i="2"/>
  <c r="AB16" i="2"/>
  <c r="W16" i="2"/>
  <c r="U16" i="2"/>
  <c r="T16" i="2"/>
  <c r="S16" i="2"/>
  <c r="R16" i="2"/>
  <c r="K16" i="2"/>
  <c r="A16" i="2"/>
  <c r="AV15" i="2"/>
  <c r="AU15" i="2"/>
  <c r="AT15" i="2"/>
  <c r="AS15" i="2"/>
  <c r="AR15" i="2"/>
  <c r="AQ15" i="2"/>
  <c r="AP15" i="2"/>
  <c r="AO15" i="2"/>
  <c r="AN15" i="2"/>
  <c r="AM15" i="2"/>
  <c r="I15" i="2"/>
  <c r="H15" i="2"/>
  <c r="F15" i="2"/>
  <c r="E15" i="2"/>
  <c r="D15" i="2"/>
  <c r="AV14" i="2"/>
  <c r="AU14" i="2"/>
  <c r="AT14" i="2"/>
  <c r="AS14" i="2"/>
  <c r="AR14" i="2"/>
  <c r="AQ14" i="2"/>
  <c r="AP14" i="2"/>
  <c r="AO14" i="2"/>
  <c r="AN14" i="2"/>
  <c r="AM14" i="2"/>
  <c r="AB14" i="2"/>
  <c r="AA14" i="2"/>
  <c r="Z14" i="2"/>
  <c r="Y14" i="2"/>
  <c r="X14" i="2"/>
  <c r="W14" i="2"/>
  <c r="V14" i="2"/>
  <c r="U14" i="2"/>
  <c r="T14" i="2"/>
  <c r="S14" i="2"/>
  <c r="R14" i="2"/>
  <c r="L14" i="2"/>
  <c r="I14" i="2"/>
  <c r="H14" i="2"/>
  <c r="F14" i="2"/>
  <c r="E14" i="2"/>
  <c r="D14" i="2"/>
  <c r="AV13" i="2"/>
  <c r="AU13" i="2"/>
  <c r="AT13" i="2"/>
  <c r="AS13" i="2"/>
  <c r="AR13" i="2"/>
  <c r="AQ13" i="2"/>
  <c r="AP13" i="2"/>
  <c r="AO13" i="2"/>
  <c r="AN13" i="2"/>
  <c r="AM13" i="2"/>
  <c r="AJ13" i="2"/>
  <c r="AG13" i="2"/>
  <c r="AF13" i="2"/>
  <c r="AB13" i="2"/>
  <c r="W13" i="2"/>
  <c r="U13" i="2"/>
  <c r="T13" i="2"/>
  <c r="S13" i="2"/>
  <c r="R13" i="2"/>
  <c r="K13" i="2"/>
  <c r="A13" i="2"/>
  <c r="AV12" i="2"/>
  <c r="AU12" i="2"/>
  <c r="AT12" i="2"/>
  <c r="AS12" i="2"/>
  <c r="AR12" i="2"/>
  <c r="AQ12" i="2"/>
  <c r="AP12" i="2"/>
  <c r="AO12" i="2"/>
  <c r="AN12" i="2"/>
  <c r="AM12" i="2"/>
  <c r="I12" i="2"/>
  <c r="H12" i="2"/>
  <c r="F12" i="2"/>
  <c r="E12" i="2"/>
  <c r="D12" i="2"/>
  <c r="AV11" i="2"/>
  <c r="AU11" i="2"/>
  <c r="AT11" i="2"/>
  <c r="AS11" i="2"/>
  <c r="AR11" i="2"/>
  <c r="AQ11" i="2"/>
  <c r="AP11" i="2"/>
  <c r="AO11" i="2"/>
  <c r="AN11" i="2"/>
  <c r="AM11" i="2"/>
  <c r="AB11" i="2"/>
  <c r="AA11" i="2"/>
  <c r="Z11" i="2"/>
  <c r="Y11" i="2"/>
  <c r="X11" i="2"/>
  <c r="W11" i="2"/>
  <c r="T11" i="2"/>
  <c r="S11" i="2"/>
  <c r="R11" i="2"/>
  <c r="L11" i="2"/>
  <c r="I11" i="2"/>
  <c r="H11" i="2"/>
  <c r="F11" i="2"/>
  <c r="E11" i="2"/>
  <c r="D11" i="2"/>
  <c r="BB10" i="2" a="1"/>
  <c r="AV10" i="2"/>
  <c r="AU10" i="2"/>
  <c r="AT10" i="2"/>
  <c r="AS10" i="2"/>
  <c r="AR10" i="2"/>
  <c r="AQ10" i="2"/>
  <c r="AP10" i="2"/>
  <c r="AO10" i="2"/>
  <c r="AN10" i="2"/>
  <c r="AM10" i="2"/>
  <c r="AJ10" i="2"/>
  <c r="AG10" i="2"/>
  <c r="AF10" i="2"/>
  <c r="AB10" i="2"/>
  <c r="W10" i="2"/>
  <c r="U10" i="2"/>
  <c r="T10" i="2"/>
  <c r="S10" i="2"/>
  <c r="R10" i="2"/>
  <c r="K10" i="2"/>
  <c r="F10" i="2"/>
  <c r="BB8" i="2"/>
  <c r="AW6" i="2"/>
  <c r="M5" i="2"/>
  <c r="AL247" i="1"/>
  <c r="AK247" i="1"/>
  <c r="AJ247" i="1"/>
  <c r="AI247" i="1"/>
  <c r="AH247" i="1"/>
  <c r="AG247" i="1"/>
  <c r="AF247" i="1"/>
  <c r="AE247" i="1"/>
  <c r="AD247" i="1"/>
  <c r="AC247" i="1"/>
  <c r="I247" i="1"/>
  <c r="G247" i="1"/>
  <c r="F247" i="1"/>
  <c r="AR246" i="1"/>
  <c r="AQ246" i="1"/>
  <c r="AP246" i="1"/>
  <c r="AL246" i="1"/>
  <c r="AK246" i="1"/>
  <c r="AJ246" i="1"/>
  <c r="AI246" i="1"/>
  <c r="AH246" i="1"/>
  <c r="AG246" i="1"/>
  <c r="AF246" i="1"/>
  <c r="AE246" i="1"/>
  <c r="AD246" i="1"/>
  <c r="AC246" i="1"/>
  <c r="X246" i="1"/>
  <c r="V246" i="1"/>
  <c r="U246" i="1"/>
  <c r="T246" i="1"/>
  <c r="S246" i="1"/>
  <c r="R246" i="1"/>
  <c r="O246" i="1"/>
  <c r="N246" i="1"/>
  <c r="M246" i="1"/>
  <c r="L246" i="1"/>
  <c r="K246" i="1"/>
  <c r="I246" i="1"/>
  <c r="G246" i="1"/>
  <c r="F246" i="1"/>
  <c r="AR245" i="1"/>
  <c r="AQ245" i="1"/>
  <c r="AP245" i="1"/>
  <c r="AL245" i="1"/>
  <c r="AK245" i="1"/>
  <c r="AJ245" i="1"/>
  <c r="AI245" i="1"/>
  <c r="AH245" i="1"/>
  <c r="AG245" i="1"/>
  <c r="AF245" i="1"/>
  <c r="AE245" i="1"/>
  <c r="AD245" i="1"/>
  <c r="AC245" i="1"/>
  <c r="AB245" i="1"/>
  <c r="X245" i="1"/>
  <c r="W245" i="1"/>
  <c r="V245" i="1"/>
  <c r="U245" i="1"/>
  <c r="T245" i="1"/>
  <c r="S245" i="1"/>
  <c r="R245" i="1"/>
  <c r="P245" i="1"/>
  <c r="O245" i="1"/>
  <c r="N245" i="1"/>
  <c r="M245" i="1"/>
  <c r="L245" i="1"/>
  <c r="K245" i="1"/>
  <c r="AL244" i="1"/>
  <c r="AK244" i="1"/>
  <c r="AJ244" i="1"/>
  <c r="AI244" i="1"/>
  <c r="AH244" i="1"/>
  <c r="AG244" i="1"/>
  <c r="AF244" i="1"/>
  <c r="AE244" i="1"/>
  <c r="AD244" i="1"/>
  <c r="AC244" i="1"/>
  <c r="I244" i="1"/>
  <c r="G244" i="1"/>
  <c r="F244" i="1"/>
  <c r="AR243" i="1"/>
  <c r="AQ243" i="1"/>
  <c r="AP243" i="1"/>
  <c r="AL243" i="1"/>
  <c r="AK243" i="1"/>
  <c r="AJ243" i="1"/>
  <c r="AI243" i="1"/>
  <c r="AH243" i="1"/>
  <c r="AG243" i="1"/>
  <c r="AF243" i="1"/>
  <c r="AE243" i="1"/>
  <c r="AD243" i="1"/>
  <c r="AC243" i="1"/>
  <c r="X243" i="1"/>
  <c r="V243" i="1"/>
  <c r="U243" i="1"/>
  <c r="T243" i="1"/>
  <c r="S243" i="1"/>
  <c r="R243" i="1"/>
  <c r="O243" i="1"/>
  <c r="N243" i="1"/>
  <c r="M243" i="1"/>
  <c r="L243" i="1"/>
  <c r="K243" i="1"/>
  <c r="I243" i="1"/>
  <c r="G243" i="1"/>
  <c r="F243" i="1"/>
  <c r="AR242" i="1"/>
  <c r="AQ242" i="1"/>
  <c r="AP242" i="1"/>
  <c r="AL242" i="1"/>
  <c r="AK242" i="1"/>
  <c r="AJ242" i="1"/>
  <c r="AI242" i="1"/>
  <c r="AH242" i="1"/>
  <c r="AG242" i="1"/>
  <c r="AF242" i="1"/>
  <c r="AE242" i="1"/>
  <c r="AD242" i="1"/>
  <c r="AC242" i="1"/>
  <c r="AB242" i="1"/>
  <c r="X242" i="1"/>
  <c r="W242" i="1"/>
  <c r="V242" i="1"/>
  <c r="U242" i="1"/>
  <c r="T242" i="1"/>
  <c r="S242" i="1"/>
  <c r="R242" i="1"/>
  <c r="P242" i="1"/>
  <c r="O242" i="1"/>
  <c r="N242" i="1"/>
  <c r="M242" i="1"/>
  <c r="L242" i="1"/>
  <c r="K242" i="1"/>
  <c r="AL241" i="1"/>
  <c r="AK241" i="1"/>
  <c r="AJ241" i="1"/>
  <c r="AI241" i="1"/>
  <c r="AH241" i="1"/>
  <c r="AG241" i="1"/>
  <c r="AF241" i="1"/>
  <c r="AE241" i="1"/>
  <c r="AD241" i="1"/>
  <c r="AC241" i="1"/>
  <c r="I241" i="1"/>
  <c r="G241" i="1"/>
  <c r="F241" i="1"/>
  <c r="AR240" i="1"/>
  <c r="AQ240" i="1"/>
  <c r="AP240" i="1"/>
  <c r="AL240" i="1"/>
  <c r="AK240" i="1"/>
  <c r="AJ240" i="1"/>
  <c r="AI240" i="1"/>
  <c r="AH240" i="1"/>
  <c r="AG240" i="1"/>
  <c r="AF240" i="1"/>
  <c r="AE240" i="1"/>
  <c r="AD240" i="1"/>
  <c r="AC240" i="1"/>
  <c r="X240" i="1"/>
  <c r="V240" i="1"/>
  <c r="U240" i="1"/>
  <c r="T240" i="1"/>
  <c r="S240" i="1"/>
  <c r="R240" i="1"/>
  <c r="O240" i="1"/>
  <c r="N240" i="1"/>
  <c r="M240" i="1"/>
  <c r="L240" i="1"/>
  <c r="K240" i="1"/>
  <c r="I240" i="1"/>
  <c r="G240" i="1"/>
  <c r="F240" i="1"/>
  <c r="AR239" i="1"/>
  <c r="AQ239" i="1"/>
  <c r="AP239" i="1"/>
  <c r="AL239" i="1"/>
  <c r="AK239" i="1"/>
  <c r="AJ239" i="1"/>
  <c r="AI239" i="1"/>
  <c r="AH239" i="1"/>
  <c r="AG239" i="1"/>
  <c r="AF239" i="1"/>
  <c r="AE239" i="1"/>
  <c r="AD239" i="1"/>
  <c r="AC239" i="1"/>
  <c r="AB239" i="1"/>
  <c r="X239" i="1"/>
  <c r="W239" i="1"/>
  <c r="V239" i="1"/>
  <c r="U239" i="1"/>
  <c r="T239" i="1"/>
  <c r="S239" i="1"/>
  <c r="R239" i="1"/>
  <c r="P239" i="1"/>
  <c r="O239" i="1"/>
  <c r="N239" i="1"/>
  <c r="M239" i="1"/>
  <c r="L239" i="1"/>
  <c r="K239" i="1"/>
  <c r="AL238" i="1"/>
  <c r="AK238" i="1"/>
  <c r="AJ238" i="1"/>
  <c r="AI238" i="1"/>
  <c r="AH238" i="1"/>
  <c r="AG238" i="1"/>
  <c r="AF238" i="1"/>
  <c r="AE238" i="1"/>
  <c r="AD238" i="1"/>
  <c r="AC238" i="1"/>
  <c r="I238" i="1"/>
  <c r="G238" i="1"/>
  <c r="F238" i="1"/>
  <c r="AR237" i="1"/>
  <c r="AQ237" i="1"/>
  <c r="AP237" i="1"/>
  <c r="AL237" i="1"/>
  <c r="AK237" i="1"/>
  <c r="AJ237" i="1"/>
  <c r="AI237" i="1"/>
  <c r="AH237" i="1"/>
  <c r="AG237" i="1"/>
  <c r="AF237" i="1"/>
  <c r="AE237" i="1"/>
  <c r="AD237" i="1"/>
  <c r="AC237" i="1"/>
  <c r="X237" i="1"/>
  <c r="V237" i="1"/>
  <c r="U237" i="1"/>
  <c r="T237" i="1"/>
  <c r="S237" i="1"/>
  <c r="R237" i="1"/>
  <c r="O237" i="1"/>
  <c r="N237" i="1"/>
  <c r="M237" i="1"/>
  <c r="L237" i="1"/>
  <c r="K237" i="1"/>
  <c r="I237" i="1"/>
  <c r="G237" i="1"/>
  <c r="F237" i="1"/>
  <c r="AR236" i="1"/>
  <c r="AQ236" i="1"/>
  <c r="AP236" i="1"/>
  <c r="AL236" i="1"/>
  <c r="AK236" i="1"/>
  <c r="AJ236" i="1"/>
  <c r="AI236" i="1"/>
  <c r="AH236" i="1"/>
  <c r="AG236" i="1"/>
  <c r="AF236" i="1"/>
  <c r="AE236" i="1"/>
  <c r="AD236" i="1"/>
  <c r="AC236" i="1"/>
  <c r="AB236" i="1"/>
  <c r="X236" i="1"/>
  <c r="W236" i="1"/>
  <c r="V236" i="1"/>
  <c r="U236" i="1"/>
  <c r="T236" i="1"/>
  <c r="S236" i="1"/>
  <c r="R236" i="1"/>
  <c r="P236" i="1"/>
  <c r="O236" i="1"/>
  <c r="N236" i="1"/>
  <c r="M236" i="1"/>
  <c r="L236" i="1"/>
  <c r="K236" i="1"/>
  <c r="AL235" i="1"/>
  <c r="AK235" i="1"/>
  <c r="AJ235" i="1"/>
  <c r="AI235" i="1"/>
  <c r="AH235" i="1"/>
  <c r="AG235" i="1"/>
  <c r="AF235" i="1"/>
  <c r="AE235" i="1"/>
  <c r="AD235" i="1"/>
  <c r="AC235" i="1"/>
  <c r="I235" i="1"/>
  <c r="G235" i="1"/>
  <c r="F235" i="1"/>
  <c r="AR234" i="1"/>
  <c r="AQ234" i="1"/>
  <c r="AP234" i="1"/>
  <c r="AL234" i="1"/>
  <c r="AK234" i="1"/>
  <c r="AJ234" i="1"/>
  <c r="AI234" i="1"/>
  <c r="AH234" i="1"/>
  <c r="AG234" i="1"/>
  <c r="AF234" i="1"/>
  <c r="AE234" i="1"/>
  <c r="AD234" i="1"/>
  <c r="AC234" i="1"/>
  <c r="X234" i="1"/>
  <c r="V234" i="1"/>
  <c r="U234" i="1"/>
  <c r="T234" i="1"/>
  <c r="S234" i="1"/>
  <c r="R234" i="1"/>
  <c r="O234" i="1"/>
  <c r="N234" i="1"/>
  <c r="M234" i="1"/>
  <c r="L234" i="1"/>
  <c r="K234" i="1"/>
  <c r="I234" i="1"/>
  <c r="G234" i="1"/>
  <c r="F234" i="1"/>
  <c r="AR233" i="1"/>
  <c r="AQ233" i="1"/>
  <c r="AP233" i="1"/>
  <c r="AL233" i="1"/>
  <c r="AK233" i="1"/>
  <c r="AJ233" i="1"/>
  <c r="AI233" i="1"/>
  <c r="AH233" i="1"/>
  <c r="AG233" i="1"/>
  <c r="AF233" i="1"/>
  <c r="AE233" i="1"/>
  <c r="AD233" i="1"/>
  <c r="AC233" i="1"/>
  <c r="AB233" i="1"/>
  <c r="X233" i="1"/>
  <c r="W233" i="1"/>
  <c r="V233" i="1"/>
  <c r="U233" i="1"/>
  <c r="T233" i="1"/>
  <c r="S233" i="1"/>
  <c r="R233" i="1"/>
  <c r="P233" i="1"/>
  <c r="O233" i="1"/>
  <c r="N233" i="1"/>
  <c r="M233" i="1"/>
  <c r="L233" i="1"/>
  <c r="K233" i="1"/>
  <c r="AL232" i="1"/>
  <c r="AK232" i="1"/>
  <c r="AJ232" i="1"/>
  <c r="AI232" i="1"/>
  <c r="AH232" i="1"/>
  <c r="AG232" i="1"/>
  <c r="AF232" i="1"/>
  <c r="AE232" i="1"/>
  <c r="AD232" i="1"/>
  <c r="AC232" i="1"/>
  <c r="I232" i="1"/>
  <c r="G232" i="1"/>
  <c r="F232" i="1"/>
  <c r="AR231" i="1"/>
  <c r="AQ231" i="1"/>
  <c r="AP231" i="1"/>
  <c r="AL231" i="1"/>
  <c r="AK231" i="1"/>
  <c r="AJ231" i="1"/>
  <c r="AI231" i="1"/>
  <c r="AH231" i="1"/>
  <c r="AG231" i="1"/>
  <c r="AF231" i="1"/>
  <c r="AE231" i="1"/>
  <c r="AD231" i="1"/>
  <c r="AC231" i="1"/>
  <c r="X231" i="1"/>
  <c r="V231" i="1"/>
  <c r="U231" i="1"/>
  <c r="T231" i="1"/>
  <c r="S231" i="1"/>
  <c r="R231" i="1"/>
  <c r="O231" i="1"/>
  <c r="N231" i="1"/>
  <c r="M231" i="1"/>
  <c r="L231" i="1"/>
  <c r="K231" i="1"/>
  <c r="I231" i="1"/>
  <c r="G231" i="1"/>
  <c r="F231" i="1"/>
  <c r="AR230" i="1"/>
  <c r="AQ230" i="1"/>
  <c r="AP230" i="1"/>
  <c r="AL230" i="1"/>
  <c r="AK230" i="1"/>
  <c r="AJ230" i="1"/>
  <c r="AI230" i="1"/>
  <c r="AH230" i="1"/>
  <c r="AG230" i="1"/>
  <c r="AF230" i="1"/>
  <c r="AE230" i="1"/>
  <c r="AD230" i="1"/>
  <c r="AC230" i="1"/>
  <c r="AB230" i="1"/>
  <c r="X230" i="1"/>
  <c r="W230" i="1"/>
  <c r="V230" i="1"/>
  <c r="U230" i="1"/>
  <c r="T230" i="1"/>
  <c r="S230" i="1"/>
  <c r="R230" i="1"/>
  <c r="P230" i="1"/>
  <c r="O230" i="1"/>
  <c r="N230" i="1"/>
  <c r="M230" i="1"/>
  <c r="L230" i="1"/>
  <c r="K230" i="1"/>
  <c r="AL229" i="1"/>
  <c r="AK229" i="1"/>
  <c r="AJ229" i="1"/>
  <c r="AI229" i="1"/>
  <c r="AH229" i="1"/>
  <c r="AG229" i="1"/>
  <c r="AF229" i="1"/>
  <c r="AE229" i="1"/>
  <c r="AD229" i="1"/>
  <c r="AC229" i="1"/>
  <c r="I229" i="1"/>
  <c r="G229" i="1"/>
  <c r="F229" i="1"/>
  <c r="AR228" i="1"/>
  <c r="AQ228" i="1"/>
  <c r="AP228" i="1"/>
  <c r="AL228" i="1"/>
  <c r="AK228" i="1"/>
  <c r="AJ228" i="1"/>
  <c r="AI228" i="1"/>
  <c r="AH228" i="1"/>
  <c r="AG228" i="1"/>
  <c r="AF228" i="1"/>
  <c r="AE228" i="1"/>
  <c r="AD228" i="1"/>
  <c r="AC228" i="1"/>
  <c r="X228" i="1"/>
  <c r="V228" i="1"/>
  <c r="U228" i="1"/>
  <c r="T228" i="1"/>
  <c r="S228" i="1"/>
  <c r="R228" i="1"/>
  <c r="O228" i="1"/>
  <c r="N228" i="1"/>
  <c r="M228" i="1"/>
  <c r="L228" i="1"/>
  <c r="K228" i="1"/>
  <c r="I228" i="1"/>
  <c r="G228" i="1"/>
  <c r="F228" i="1"/>
  <c r="AR227" i="1"/>
  <c r="AQ227" i="1"/>
  <c r="AP227" i="1"/>
  <c r="AL227" i="1"/>
  <c r="AK227" i="1"/>
  <c r="AJ227" i="1"/>
  <c r="AI227" i="1"/>
  <c r="AH227" i="1"/>
  <c r="AG227" i="1"/>
  <c r="AF227" i="1"/>
  <c r="AE227" i="1"/>
  <c r="AD227" i="1"/>
  <c r="AC227" i="1"/>
  <c r="AB227" i="1"/>
  <c r="X227" i="1"/>
  <c r="W227" i="1"/>
  <c r="V227" i="1"/>
  <c r="U227" i="1"/>
  <c r="T227" i="1"/>
  <c r="S227" i="1"/>
  <c r="R227" i="1"/>
  <c r="P227" i="1"/>
  <c r="O227" i="1"/>
  <c r="N227" i="1"/>
  <c r="M227" i="1"/>
  <c r="L227" i="1"/>
  <c r="K227" i="1"/>
  <c r="AL226" i="1"/>
  <c r="AK226" i="1"/>
  <c r="AJ226" i="1"/>
  <c r="AI226" i="1"/>
  <c r="AH226" i="1"/>
  <c r="AG226" i="1"/>
  <c r="AF226" i="1"/>
  <c r="AE226" i="1"/>
  <c r="AD226" i="1"/>
  <c r="AC226" i="1"/>
  <c r="I226" i="1"/>
  <c r="G226" i="1"/>
  <c r="F226" i="1"/>
  <c r="AR225" i="1"/>
  <c r="AQ225" i="1"/>
  <c r="AP225" i="1"/>
  <c r="AL225" i="1"/>
  <c r="AK225" i="1"/>
  <c r="AJ225" i="1"/>
  <c r="AI225" i="1"/>
  <c r="AH225" i="1"/>
  <c r="AG225" i="1"/>
  <c r="AF225" i="1"/>
  <c r="AE225" i="1"/>
  <c r="AD225" i="1"/>
  <c r="AC225" i="1"/>
  <c r="X225" i="1"/>
  <c r="V225" i="1"/>
  <c r="U225" i="1"/>
  <c r="T225" i="1"/>
  <c r="S225" i="1"/>
  <c r="R225" i="1"/>
  <c r="O225" i="1"/>
  <c r="N225" i="1"/>
  <c r="M225" i="1"/>
  <c r="L225" i="1"/>
  <c r="K225" i="1"/>
  <c r="I225" i="1"/>
  <c r="G225" i="1"/>
  <c r="F225" i="1"/>
  <c r="AR224" i="1"/>
  <c r="AQ224" i="1"/>
  <c r="AP224" i="1"/>
  <c r="AL224" i="1"/>
  <c r="AK224" i="1"/>
  <c r="AJ224" i="1"/>
  <c r="AI224" i="1"/>
  <c r="AH224" i="1"/>
  <c r="AG224" i="1"/>
  <c r="AF224" i="1"/>
  <c r="AE224" i="1"/>
  <c r="AD224" i="1"/>
  <c r="AC224" i="1"/>
  <c r="AB224" i="1"/>
  <c r="X224" i="1"/>
  <c r="W224" i="1"/>
  <c r="V224" i="1"/>
  <c r="U224" i="1"/>
  <c r="T224" i="1"/>
  <c r="S224" i="1"/>
  <c r="R224" i="1"/>
  <c r="P224" i="1"/>
  <c r="O224" i="1"/>
  <c r="N224" i="1"/>
  <c r="M224" i="1"/>
  <c r="L224" i="1"/>
  <c r="K224" i="1"/>
  <c r="AL223" i="1"/>
  <c r="AK223" i="1"/>
  <c r="AJ223" i="1"/>
  <c r="AI223" i="1"/>
  <c r="AH223" i="1"/>
  <c r="AG223" i="1"/>
  <c r="AF223" i="1"/>
  <c r="AE223" i="1"/>
  <c r="AD223" i="1"/>
  <c r="AC223" i="1"/>
  <c r="I223" i="1"/>
  <c r="G223" i="1"/>
  <c r="F223" i="1"/>
  <c r="AR222" i="1"/>
  <c r="AQ222" i="1"/>
  <c r="AP222" i="1"/>
  <c r="AL222" i="1"/>
  <c r="AK222" i="1"/>
  <c r="AJ222" i="1"/>
  <c r="AI222" i="1"/>
  <c r="AH222" i="1"/>
  <c r="AG222" i="1"/>
  <c r="AF222" i="1"/>
  <c r="AE222" i="1"/>
  <c r="AD222" i="1"/>
  <c r="AC222" i="1"/>
  <c r="X222" i="1"/>
  <c r="V222" i="1"/>
  <c r="U222" i="1"/>
  <c r="T222" i="1"/>
  <c r="S222" i="1"/>
  <c r="R222" i="1"/>
  <c r="O222" i="1"/>
  <c r="N222" i="1"/>
  <c r="M222" i="1"/>
  <c r="L222" i="1"/>
  <c r="K222" i="1"/>
  <c r="I222" i="1"/>
  <c r="G222" i="1"/>
  <c r="F222" i="1"/>
  <c r="AR221" i="1"/>
  <c r="AQ221" i="1"/>
  <c r="AP221" i="1"/>
  <c r="AL221" i="1"/>
  <c r="AK221" i="1"/>
  <c r="AJ221" i="1"/>
  <c r="AI221" i="1"/>
  <c r="AH221" i="1"/>
  <c r="AG221" i="1"/>
  <c r="AF221" i="1"/>
  <c r="AE221" i="1"/>
  <c r="AD221" i="1"/>
  <c r="AC221" i="1"/>
  <c r="AB221" i="1"/>
  <c r="X221" i="1"/>
  <c r="W221" i="1"/>
  <c r="V221" i="1"/>
  <c r="U221" i="1"/>
  <c r="T221" i="1"/>
  <c r="S221" i="1"/>
  <c r="R221" i="1"/>
  <c r="P221" i="1"/>
  <c r="O221" i="1"/>
  <c r="N221" i="1"/>
  <c r="M221" i="1"/>
  <c r="L221" i="1"/>
  <c r="K221" i="1"/>
  <c r="AL220" i="1"/>
  <c r="AK220" i="1"/>
  <c r="AJ220" i="1"/>
  <c r="AI220" i="1"/>
  <c r="AH220" i="1"/>
  <c r="AG220" i="1"/>
  <c r="AF220" i="1"/>
  <c r="AE220" i="1"/>
  <c r="AD220" i="1"/>
  <c r="AC220" i="1"/>
  <c r="I220" i="1"/>
  <c r="G220" i="1"/>
  <c r="F220" i="1"/>
  <c r="AR219" i="1"/>
  <c r="AQ219" i="1"/>
  <c r="AP219" i="1"/>
  <c r="AL219" i="1"/>
  <c r="AK219" i="1"/>
  <c r="AJ219" i="1"/>
  <c r="AI219" i="1"/>
  <c r="AH219" i="1"/>
  <c r="AG219" i="1"/>
  <c r="AF219" i="1"/>
  <c r="AE219" i="1"/>
  <c r="AD219" i="1"/>
  <c r="AC219" i="1"/>
  <c r="X219" i="1"/>
  <c r="V219" i="1"/>
  <c r="U219" i="1"/>
  <c r="T219" i="1"/>
  <c r="S219" i="1"/>
  <c r="R219" i="1"/>
  <c r="O219" i="1"/>
  <c r="N219" i="1"/>
  <c r="M219" i="1"/>
  <c r="L219" i="1"/>
  <c r="K219" i="1"/>
  <c r="I219" i="1"/>
  <c r="G219" i="1"/>
  <c r="F219" i="1"/>
  <c r="AR218" i="1"/>
  <c r="AQ218" i="1"/>
  <c r="AP218" i="1"/>
  <c r="AL218" i="1"/>
  <c r="AK218" i="1"/>
  <c r="AJ218" i="1"/>
  <c r="AI218" i="1"/>
  <c r="AH218" i="1"/>
  <c r="AG218" i="1"/>
  <c r="AF218" i="1"/>
  <c r="AE218" i="1"/>
  <c r="AD218" i="1"/>
  <c r="AC218" i="1"/>
  <c r="AB218" i="1"/>
  <c r="X218" i="1"/>
  <c r="W218" i="1"/>
  <c r="V218" i="1"/>
  <c r="U218" i="1"/>
  <c r="T218" i="1"/>
  <c r="S218" i="1"/>
  <c r="R218" i="1"/>
  <c r="P218" i="1"/>
  <c r="O218" i="1"/>
  <c r="N218" i="1"/>
  <c r="M218" i="1"/>
  <c r="L218" i="1"/>
  <c r="K218" i="1"/>
  <c r="AL217" i="1"/>
  <c r="AK217" i="1"/>
  <c r="AJ217" i="1"/>
  <c r="AI217" i="1"/>
  <c r="AH217" i="1"/>
  <c r="AG217" i="1"/>
  <c r="AF217" i="1"/>
  <c r="AE217" i="1"/>
  <c r="AD217" i="1"/>
  <c r="AC217" i="1"/>
  <c r="I217" i="1"/>
  <c r="G217" i="1"/>
  <c r="F217" i="1"/>
  <c r="AR216" i="1"/>
  <c r="AQ216" i="1"/>
  <c r="AP216" i="1"/>
  <c r="AL216" i="1"/>
  <c r="AK216" i="1"/>
  <c r="AJ216" i="1"/>
  <c r="AI216" i="1"/>
  <c r="AH216" i="1"/>
  <c r="AG216" i="1"/>
  <c r="AF216" i="1"/>
  <c r="AE216" i="1"/>
  <c r="AD216" i="1"/>
  <c r="AC216" i="1"/>
  <c r="X216" i="1"/>
  <c r="V216" i="1"/>
  <c r="U216" i="1"/>
  <c r="T216" i="1"/>
  <c r="S216" i="1"/>
  <c r="R216" i="1"/>
  <c r="O216" i="1"/>
  <c r="N216" i="1"/>
  <c r="M216" i="1"/>
  <c r="L216" i="1"/>
  <c r="K216" i="1"/>
  <c r="I216" i="1"/>
  <c r="G216" i="1"/>
  <c r="F216" i="1"/>
  <c r="AR215" i="1"/>
  <c r="AQ215" i="1"/>
  <c r="AP215" i="1"/>
  <c r="AL215" i="1"/>
  <c r="AK215" i="1"/>
  <c r="AJ215" i="1"/>
  <c r="AI215" i="1"/>
  <c r="AH215" i="1"/>
  <c r="AG215" i="1"/>
  <c r="AF215" i="1"/>
  <c r="AE215" i="1"/>
  <c r="AD215" i="1"/>
  <c r="AC215" i="1"/>
  <c r="AB215" i="1"/>
  <c r="X215" i="1"/>
  <c r="W215" i="1"/>
  <c r="V215" i="1"/>
  <c r="U215" i="1"/>
  <c r="T215" i="1"/>
  <c r="S215" i="1"/>
  <c r="R215" i="1"/>
  <c r="P215" i="1"/>
  <c r="O215" i="1"/>
  <c r="N215" i="1"/>
  <c r="M215" i="1"/>
  <c r="L215" i="1"/>
  <c r="K215" i="1"/>
  <c r="AL214" i="1"/>
  <c r="AK214" i="1"/>
  <c r="AJ214" i="1"/>
  <c r="AI214" i="1"/>
  <c r="AH214" i="1"/>
  <c r="AG214" i="1"/>
  <c r="AF214" i="1"/>
  <c r="AE214" i="1"/>
  <c r="AD214" i="1"/>
  <c r="AC214" i="1"/>
  <c r="I214" i="1"/>
  <c r="G214" i="1"/>
  <c r="F214" i="1"/>
  <c r="AR213" i="1"/>
  <c r="AQ213" i="1"/>
  <c r="AP213" i="1"/>
  <c r="AL213" i="1"/>
  <c r="AK213" i="1"/>
  <c r="AJ213" i="1"/>
  <c r="AI213" i="1"/>
  <c r="AH213" i="1"/>
  <c r="AG213" i="1"/>
  <c r="AF213" i="1"/>
  <c r="AE213" i="1"/>
  <c r="AD213" i="1"/>
  <c r="AC213" i="1"/>
  <c r="X213" i="1"/>
  <c r="V213" i="1"/>
  <c r="U213" i="1"/>
  <c r="T213" i="1"/>
  <c r="S213" i="1"/>
  <c r="R213" i="1"/>
  <c r="O213" i="1"/>
  <c r="N213" i="1"/>
  <c r="M213" i="1"/>
  <c r="L213" i="1"/>
  <c r="K213" i="1"/>
  <c r="I213" i="1"/>
  <c r="G213" i="1"/>
  <c r="F213" i="1"/>
  <c r="AR212" i="1"/>
  <c r="AQ212" i="1"/>
  <c r="AP212" i="1"/>
  <c r="AL212" i="1"/>
  <c r="AK212" i="1"/>
  <c r="AJ212" i="1"/>
  <c r="AI212" i="1"/>
  <c r="AH212" i="1"/>
  <c r="AG212" i="1"/>
  <c r="AF212" i="1"/>
  <c r="AE212" i="1"/>
  <c r="AD212" i="1"/>
  <c r="AC212" i="1"/>
  <c r="AB212" i="1"/>
  <c r="X212" i="1"/>
  <c r="W212" i="1"/>
  <c r="V212" i="1"/>
  <c r="U212" i="1"/>
  <c r="T212" i="1"/>
  <c r="S212" i="1"/>
  <c r="R212" i="1"/>
  <c r="P212" i="1"/>
  <c r="O212" i="1"/>
  <c r="N212" i="1"/>
  <c r="M212" i="1"/>
  <c r="L212" i="1"/>
  <c r="K212" i="1"/>
  <c r="I211" i="1"/>
  <c r="G211" i="1"/>
  <c r="X210" i="1"/>
  <c r="V210" i="1"/>
  <c r="U210" i="1"/>
  <c r="T210" i="1"/>
  <c r="S210" i="1"/>
  <c r="R210" i="1"/>
  <c r="O210" i="1"/>
  <c r="N210" i="1"/>
  <c r="M210" i="1"/>
  <c r="L210" i="1"/>
  <c r="K210" i="1"/>
  <c r="I210" i="1"/>
  <c r="G210" i="1"/>
  <c r="AB209" i="1"/>
  <c r="Y209" i="1"/>
  <c r="X209" i="1"/>
  <c r="W209" i="1"/>
  <c r="V209" i="1"/>
  <c r="U209" i="1"/>
  <c r="T209" i="1"/>
  <c r="S209" i="1"/>
  <c r="R209" i="1"/>
  <c r="P209" i="1"/>
  <c r="O209" i="1"/>
  <c r="N209" i="1"/>
  <c r="M209" i="1"/>
  <c r="L209" i="1"/>
  <c r="K209" i="1"/>
  <c r="I209" i="1"/>
  <c r="G209" i="1"/>
  <c r="I208" i="1"/>
  <c r="G208" i="1"/>
  <c r="X207" i="1"/>
  <c r="V207" i="1"/>
  <c r="U207" i="1"/>
  <c r="T207" i="1"/>
  <c r="S207" i="1"/>
  <c r="R207" i="1"/>
  <c r="O207" i="1"/>
  <c r="N207" i="1"/>
  <c r="M207" i="1"/>
  <c r="L207" i="1"/>
  <c r="K207" i="1"/>
  <c r="I207" i="1"/>
  <c r="G207" i="1"/>
  <c r="AB206" i="1"/>
  <c r="X206" i="1"/>
  <c r="W206" i="1"/>
  <c r="V206" i="1"/>
  <c r="U206" i="1"/>
  <c r="T206" i="1"/>
  <c r="S206" i="1"/>
  <c r="R206" i="1"/>
  <c r="P206" i="1"/>
  <c r="O206" i="1"/>
  <c r="N206" i="1"/>
  <c r="M206" i="1"/>
  <c r="L206" i="1"/>
  <c r="K206" i="1"/>
  <c r="I206" i="1"/>
  <c r="G206" i="1"/>
  <c r="I205" i="1"/>
  <c r="G205" i="1"/>
  <c r="X204" i="1"/>
  <c r="V204" i="1"/>
  <c r="U204" i="1"/>
  <c r="T204" i="1"/>
  <c r="S204" i="1"/>
  <c r="R204" i="1"/>
  <c r="O204" i="1"/>
  <c r="N204" i="1"/>
  <c r="M204" i="1"/>
  <c r="L204" i="1"/>
  <c r="K204" i="1"/>
  <c r="I204" i="1"/>
  <c r="G204" i="1"/>
  <c r="AB203" i="1"/>
  <c r="Y203" i="1"/>
  <c r="X203" i="1"/>
  <c r="W203" i="1"/>
  <c r="V203" i="1"/>
  <c r="U203" i="1"/>
  <c r="T203" i="1"/>
  <c r="S203" i="1"/>
  <c r="R203" i="1"/>
  <c r="P203" i="1"/>
  <c r="O203" i="1"/>
  <c r="N203" i="1"/>
  <c r="M203" i="1"/>
  <c r="L203" i="1"/>
  <c r="K203" i="1"/>
  <c r="I203" i="1"/>
  <c r="G203" i="1"/>
  <c r="I202" i="1"/>
  <c r="G202" i="1"/>
  <c r="X201" i="1"/>
  <c r="V201" i="1"/>
  <c r="U201" i="1"/>
  <c r="T201" i="1"/>
  <c r="S201" i="1"/>
  <c r="R201" i="1"/>
  <c r="O201" i="1"/>
  <c r="N201" i="1"/>
  <c r="M201" i="1"/>
  <c r="L201" i="1"/>
  <c r="K201" i="1"/>
  <c r="I201" i="1"/>
  <c r="G201" i="1"/>
  <c r="AB200" i="1"/>
  <c r="Y200" i="1"/>
  <c r="X200" i="1"/>
  <c r="W200" i="1"/>
  <c r="V200" i="1"/>
  <c r="U200" i="1"/>
  <c r="T200" i="1"/>
  <c r="S200" i="1"/>
  <c r="R200" i="1"/>
  <c r="P200" i="1"/>
  <c r="O200" i="1"/>
  <c r="N200" i="1"/>
  <c r="M200" i="1"/>
  <c r="L200" i="1"/>
  <c r="K200" i="1"/>
  <c r="I200" i="1"/>
  <c r="G200" i="1"/>
  <c r="I199" i="1"/>
  <c r="G199" i="1"/>
  <c r="X198" i="1"/>
  <c r="V198" i="1"/>
  <c r="U198" i="1"/>
  <c r="T198" i="1"/>
  <c r="S198" i="1"/>
  <c r="R198" i="1"/>
  <c r="O198" i="1"/>
  <c r="N198" i="1"/>
  <c r="M198" i="1"/>
  <c r="L198" i="1"/>
  <c r="K198" i="1"/>
  <c r="I198" i="1"/>
  <c r="G198" i="1"/>
  <c r="AB197" i="1"/>
  <c r="Y197" i="1"/>
  <c r="X197" i="1"/>
  <c r="W197" i="1"/>
  <c r="V197" i="1"/>
  <c r="U197" i="1"/>
  <c r="T197" i="1"/>
  <c r="S197" i="1"/>
  <c r="R197" i="1"/>
  <c r="P197" i="1"/>
  <c r="O197" i="1"/>
  <c r="N197" i="1"/>
  <c r="M197" i="1"/>
  <c r="L197" i="1"/>
  <c r="K197" i="1"/>
  <c r="I197" i="1"/>
  <c r="G197" i="1"/>
  <c r="I196" i="1"/>
  <c r="G196" i="1"/>
  <c r="X195" i="1"/>
  <c r="V195" i="1"/>
  <c r="U195" i="1"/>
  <c r="T195" i="1"/>
  <c r="S195" i="1"/>
  <c r="R195" i="1"/>
  <c r="O195" i="1"/>
  <c r="N195" i="1"/>
  <c r="M195" i="1"/>
  <c r="L195" i="1"/>
  <c r="K195" i="1"/>
  <c r="I195" i="1"/>
  <c r="G195" i="1"/>
  <c r="AU194" i="1"/>
  <c r="AB194" i="1"/>
  <c r="X194" i="1"/>
  <c r="W194" i="1"/>
  <c r="V194" i="1"/>
  <c r="U194" i="1"/>
  <c r="T194" i="1"/>
  <c r="S194" i="1"/>
  <c r="R194" i="1"/>
  <c r="P194" i="1"/>
  <c r="O194" i="1"/>
  <c r="N194" i="1"/>
  <c r="M194" i="1"/>
  <c r="L194" i="1"/>
  <c r="K194" i="1"/>
  <c r="I194" i="1"/>
  <c r="G194" i="1"/>
  <c r="I193" i="1"/>
  <c r="G193" i="1"/>
  <c r="X192" i="1"/>
  <c r="V192" i="1"/>
  <c r="U192" i="1"/>
  <c r="T192" i="1"/>
  <c r="S192" i="1"/>
  <c r="R192" i="1"/>
  <c r="O192" i="1"/>
  <c r="N192" i="1"/>
  <c r="M192" i="1"/>
  <c r="L192" i="1"/>
  <c r="K192" i="1"/>
  <c r="I192" i="1"/>
  <c r="G192" i="1"/>
  <c r="AB191" i="1"/>
  <c r="Y191" i="1"/>
  <c r="X191" i="1"/>
  <c r="W191" i="1"/>
  <c r="V191" i="1"/>
  <c r="U191" i="1"/>
  <c r="T191" i="1"/>
  <c r="S191" i="1"/>
  <c r="R191" i="1"/>
  <c r="P191" i="1"/>
  <c r="O191" i="1"/>
  <c r="N191" i="1"/>
  <c r="M191" i="1"/>
  <c r="L191" i="1"/>
  <c r="K191" i="1"/>
  <c r="I191" i="1"/>
  <c r="G191" i="1"/>
  <c r="I190" i="1"/>
  <c r="G190" i="1"/>
  <c r="X189" i="1"/>
  <c r="V189" i="1"/>
  <c r="U189" i="1"/>
  <c r="T189" i="1"/>
  <c r="S189" i="1"/>
  <c r="R189" i="1"/>
  <c r="O189" i="1"/>
  <c r="N189" i="1"/>
  <c r="M189" i="1"/>
  <c r="L189" i="1"/>
  <c r="K189" i="1"/>
  <c r="I189" i="1"/>
  <c r="G189" i="1"/>
  <c r="AB188" i="1"/>
  <c r="X188" i="1"/>
  <c r="W188" i="1"/>
  <c r="V188" i="1"/>
  <c r="U188" i="1"/>
  <c r="T188" i="1"/>
  <c r="S188" i="1"/>
  <c r="R188" i="1"/>
  <c r="P188" i="1"/>
  <c r="O188" i="1"/>
  <c r="N188" i="1"/>
  <c r="M188" i="1"/>
  <c r="L188" i="1"/>
  <c r="K188" i="1"/>
  <c r="I188" i="1"/>
  <c r="G188" i="1"/>
  <c r="I187" i="1"/>
  <c r="G187" i="1"/>
  <c r="X186" i="1"/>
  <c r="V186" i="1"/>
  <c r="U186" i="1"/>
  <c r="T186" i="1"/>
  <c r="S186" i="1"/>
  <c r="R186" i="1"/>
  <c r="O186" i="1"/>
  <c r="N186" i="1"/>
  <c r="M186" i="1"/>
  <c r="L186" i="1"/>
  <c r="K186" i="1"/>
  <c r="I186" i="1"/>
  <c r="G186" i="1"/>
  <c r="AB185" i="1"/>
  <c r="X185" i="1"/>
  <c r="W185" i="1"/>
  <c r="V185" i="1"/>
  <c r="U185" i="1"/>
  <c r="T185" i="1"/>
  <c r="S185" i="1"/>
  <c r="R185" i="1"/>
  <c r="P185" i="1"/>
  <c r="O185" i="1"/>
  <c r="N185" i="1"/>
  <c r="M185" i="1"/>
  <c r="L185" i="1"/>
  <c r="K185" i="1"/>
  <c r="I185" i="1"/>
  <c r="G185" i="1"/>
  <c r="AL184" i="1"/>
  <c r="AK184" i="1"/>
  <c r="AJ184" i="1"/>
  <c r="AI184" i="1"/>
  <c r="AH184" i="1"/>
  <c r="AG184" i="1"/>
  <c r="AF184" i="1"/>
  <c r="AE184" i="1"/>
  <c r="AD184" i="1"/>
  <c r="AC184" i="1"/>
  <c r="I184" i="1"/>
  <c r="G184" i="1"/>
  <c r="AR183" i="1"/>
  <c r="AQ183" i="1"/>
  <c r="AP183" i="1"/>
  <c r="AL183" i="1"/>
  <c r="AK183" i="1"/>
  <c r="AJ183" i="1"/>
  <c r="AI183" i="1"/>
  <c r="AH183" i="1"/>
  <c r="AG183" i="1"/>
  <c r="AF183" i="1"/>
  <c r="AE183" i="1"/>
  <c r="AD183" i="1"/>
  <c r="AC183" i="1"/>
  <c r="X183" i="1"/>
  <c r="V183" i="1"/>
  <c r="U183" i="1"/>
  <c r="T183" i="1"/>
  <c r="S183" i="1"/>
  <c r="R183" i="1"/>
  <c r="O183" i="1"/>
  <c r="N183" i="1"/>
  <c r="M183" i="1"/>
  <c r="L183" i="1"/>
  <c r="K183" i="1"/>
  <c r="I183" i="1"/>
  <c r="G183" i="1"/>
  <c r="AR182" i="1"/>
  <c r="AQ182" i="1"/>
  <c r="AP182" i="1"/>
  <c r="AL182" i="1"/>
  <c r="AK182" i="1"/>
  <c r="AJ182" i="1"/>
  <c r="AI182" i="1"/>
  <c r="AH182" i="1"/>
  <c r="AG182" i="1"/>
  <c r="AF182" i="1"/>
  <c r="AE182" i="1"/>
  <c r="AD182" i="1"/>
  <c r="AC182" i="1"/>
  <c r="AB182" i="1"/>
  <c r="Y182" i="1"/>
  <c r="X182" i="1"/>
  <c r="W182" i="1"/>
  <c r="V182" i="1"/>
  <c r="U182" i="1"/>
  <c r="T182" i="1"/>
  <c r="S182" i="1"/>
  <c r="R182" i="1"/>
  <c r="P182" i="1"/>
  <c r="O182" i="1"/>
  <c r="N182" i="1"/>
  <c r="M182" i="1"/>
  <c r="L182" i="1"/>
  <c r="K182" i="1"/>
  <c r="G182" i="1"/>
  <c r="AL181" i="1"/>
  <c r="AK181" i="1"/>
  <c r="AJ181" i="1"/>
  <c r="AI181" i="1"/>
  <c r="AH181" i="1"/>
  <c r="AG181" i="1"/>
  <c r="AF181" i="1"/>
  <c r="AE181" i="1"/>
  <c r="AD181" i="1"/>
  <c r="AC181" i="1"/>
  <c r="I181" i="1"/>
  <c r="G181" i="1"/>
  <c r="AR180" i="1"/>
  <c r="AQ180" i="1"/>
  <c r="AP180" i="1"/>
  <c r="AL180" i="1"/>
  <c r="AK180" i="1"/>
  <c r="AJ180" i="1"/>
  <c r="AI180" i="1"/>
  <c r="AH180" i="1"/>
  <c r="AG180" i="1"/>
  <c r="AF180" i="1"/>
  <c r="AE180" i="1"/>
  <c r="AD180" i="1"/>
  <c r="AC180" i="1"/>
  <c r="X180" i="1"/>
  <c r="V180" i="1"/>
  <c r="U180" i="1"/>
  <c r="T180" i="1"/>
  <c r="S180" i="1"/>
  <c r="R180" i="1"/>
  <c r="O180" i="1"/>
  <c r="N180" i="1"/>
  <c r="M180" i="1"/>
  <c r="L180" i="1"/>
  <c r="K180" i="1"/>
  <c r="I180" i="1"/>
  <c r="G180" i="1"/>
  <c r="AR179" i="1"/>
  <c r="AQ179" i="1"/>
  <c r="AP179" i="1"/>
  <c r="AL179" i="1"/>
  <c r="AK179" i="1"/>
  <c r="AJ179" i="1"/>
  <c r="AI179" i="1"/>
  <c r="AH179" i="1"/>
  <c r="AG179" i="1"/>
  <c r="AF179" i="1"/>
  <c r="AE179" i="1"/>
  <c r="AD179" i="1"/>
  <c r="AC179" i="1"/>
  <c r="AB179" i="1"/>
  <c r="X179" i="1"/>
  <c r="W179" i="1"/>
  <c r="V179" i="1"/>
  <c r="U179" i="1"/>
  <c r="T179" i="1"/>
  <c r="S179" i="1"/>
  <c r="R179" i="1"/>
  <c r="P179" i="1"/>
  <c r="O179" i="1"/>
  <c r="N179" i="1"/>
  <c r="M179" i="1"/>
  <c r="L179" i="1"/>
  <c r="K179" i="1"/>
  <c r="G179" i="1"/>
  <c r="AL178" i="1"/>
  <c r="AK178" i="1"/>
  <c r="AJ178" i="1"/>
  <c r="AI178" i="1"/>
  <c r="AH178" i="1"/>
  <c r="AG178" i="1"/>
  <c r="AF178" i="1"/>
  <c r="AE178" i="1"/>
  <c r="AD178" i="1"/>
  <c r="AC178" i="1"/>
  <c r="I178" i="1"/>
  <c r="G178" i="1"/>
  <c r="AR177" i="1"/>
  <c r="AQ177" i="1"/>
  <c r="AP177" i="1"/>
  <c r="AL177" i="1"/>
  <c r="AK177" i="1"/>
  <c r="AJ177" i="1"/>
  <c r="AI177" i="1"/>
  <c r="AH177" i="1"/>
  <c r="AG177" i="1"/>
  <c r="AF177" i="1"/>
  <c r="AE177" i="1"/>
  <c r="AD177" i="1"/>
  <c r="AC177" i="1"/>
  <c r="X177" i="1"/>
  <c r="V177" i="1"/>
  <c r="U177" i="1"/>
  <c r="T177" i="1"/>
  <c r="S177" i="1"/>
  <c r="R177" i="1"/>
  <c r="O177" i="1"/>
  <c r="N177" i="1"/>
  <c r="M177" i="1"/>
  <c r="L177" i="1"/>
  <c r="K177" i="1"/>
  <c r="I177" i="1"/>
  <c r="G177" i="1"/>
  <c r="AR176" i="1"/>
  <c r="AQ176" i="1"/>
  <c r="AP176" i="1"/>
  <c r="AL176" i="1"/>
  <c r="AK176" i="1"/>
  <c r="AJ176" i="1"/>
  <c r="AI176" i="1"/>
  <c r="AH176" i="1"/>
  <c r="AG176" i="1"/>
  <c r="AF176" i="1"/>
  <c r="AE176" i="1"/>
  <c r="AD176" i="1"/>
  <c r="AC176" i="1"/>
  <c r="AB176" i="1"/>
  <c r="X176" i="1"/>
  <c r="W176" i="1"/>
  <c r="V176" i="1"/>
  <c r="U176" i="1"/>
  <c r="T176" i="1"/>
  <c r="S176" i="1"/>
  <c r="R176" i="1"/>
  <c r="P176" i="1"/>
  <c r="O176" i="1"/>
  <c r="N176" i="1"/>
  <c r="M176" i="1"/>
  <c r="L176" i="1"/>
  <c r="K176" i="1"/>
  <c r="G176" i="1"/>
  <c r="AL175" i="1"/>
  <c r="AK175" i="1"/>
  <c r="AJ175" i="1"/>
  <c r="AI175" i="1"/>
  <c r="AH175" i="1"/>
  <c r="AG175" i="1"/>
  <c r="AF175" i="1"/>
  <c r="AE175" i="1"/>
  <c r="AD175" i="1"/>
  <c r="AC175" i="1"/>
  <c r="I175" i="1"/>
  <c r="G175" i="1"/>
  <c r="F175" i="1"/>
  <c r="D175" i="1"/>
  <c r="C175" i="1"/>
  <c r="AR174" i="1"/>
  <c r="AQ174" i="1"/>
  <c r="AP174" i="1"/>
  <c r="AL174" i="1"/>
  <c r="AK174" i="1"/>
  <c r="AJ174" i="1"/>
  <c r="AI174" i="1"/>
  <c r="AH174" i="1"/>
  <c r="AG174" i="1"/>
  <c r="AF174" i="1"/>
  <c r="AE174" i="1"/>
  <c r="AD174" i="1"/>
  <c r="AC174" i="1"/>
  <c r="X174" i="1"/>
  <c r="V174" i="1"/>
  <c r="U174" i="1"/>
  <c r="T174" i="1"/>
  <c r="S174" i="1"/>
  <c r="R174" i="1"/>
  <c r="O174" i="1"/>
  <c r="N174" i="1"/>
  <c r="M174" i="1"/>
  <c r="L174" i="1"/>
  <c r="K174" i="1"/>
  <c r="I174" i="1"/>
  <c r="G174" i="1"/>
  <c r="F174" i="1"/>
  <c r="D174" i="1"/>
  <c r="C174" i="1"/>
  <c r="AR173" i="1"/>
  <c r="AQ173" i="1"/>
  <c r="AP173" i="1"/>
  <c r="AL173" i="1"/>
  <c r="AK173" i="1"/>
  <c r="AJ173" i="1"/>
  <c r="AI173" i="1"/>
  <c r="AH173" i="1"/>
  <c r="AG173" i="1"/>
  <c r="AF173" i="1"/>
  <c r="AE173" i="1"/>
  <c r="AD173" i="1"/>
  <c r="AC173" i="1"/>
  <c r="AB173" i="1"/>
  <c r="X173" i="1"/>
  <c r="W173" i="1"/>
  <c r="V173" i="1"/>
  <c r="U173" i="1"/>
  <c r="T173" i="1"/>
  <c r="S173" i="1"/>
  <c r="R173" i="1"/>
  <c r="P173" i="1"/>
  <c r="O173" i="1"/>
  <c r="N173" i="1"/>
  <c r="M173" i="1"/>
  <c r="L173" i="1"/>
  <c r="K173" i="1"/>
  <c r="A173" i="1"/>
  <c r="AL172" i="1"/>
  <c r="AK172" i="1"/>
  <c r="AJ172" i="1"/>
  <c r="AI172" i="1"/>
  <c r="AH172" i="1"/>
  <c r="AG172" i="1"/>
  <c r="AF172" i="1"/>
  <c r="AE172" i="1"/>
  <c r="AD172" i="1"/>
  <c r="AC172" i="1"/>
  <c r="I172" i="1"/>
  <c r="G172" i="1"/>
  <c r="F172" i="1"/>
  <c r="D172" i="1"/>
  <c r="C172" i="1"/>
  <c r="AR171" i="1"/>
  <c r="AQ171" i="1"/>
  <c r="AP171" i="1"/>
  <c r="AL171" i="1"/>
  <c r="AK171" i="1"/>
  <c r="AJ171" i="1"/>
  <c r="AI171" i="1"/>
  <c r="AH171" i="1"/>
  <c r="AG171" i="1"/>
  <c r="AF171" i="1"/>
  <c r="AE171" i="1"/>
  <c r="AD171" i="1"/>
  <c r="AC171" i="1"/>
  <c r="X171" i="1"/>
  <c r="V171" i="1"/>
  <c r="U171" i="1"/>
  <c r="T171" i="1"/>
  <c r="S171" i="1"/>
  <c r="R171" i="1"/>
  <c r="O171" i="1"/>
  <c r="N171" i="1"/>
  <c r="M171" i="1"/>
  <c r="L171" i="1"/>
  <c r="K171" i="1"/>
  <c r="I171" i="1"/>
  <c r="G171" i="1"/>
  <c r="F171" i="1"/>
  <c r="D171" i="1"/>
  <c r="C171" i="1"/>
  <c r="AR170" i="1"/>
  <c r="AQ170" i="1"/>
  <c r="AP170" i="1"/>
  <c r="AL170" i="1"/>
  <c r="AK170" i="1"/>
  <c r="AJ170" i="1"/>
  <c r="AI170" i="1"/>
  <c r="AH170" i="1"/>
  <c r="AG170" i="1"/>
  <c r="AF170" i="1"/>
  <c r="AE170" i="1"/>
  <c r="AD170" i="1"/>
  <c r="AC170" i="1"/>
  <c r="AB170" i="1"/>
  <c r="X170" i="1"/>
  <c r="W170" i="1"/>
  <c r="V170" i="1"/>
  <c r="U170" i="1"/>
  <c r="T170" i="1"/>
  <c r="S170" i="1"/>
  <c r="R170" i="1"/>
  <c r="P170" i="1"/>
  <c r="O170" i="1"/>
  <c r="N170" i="1"/>
  <c r="M170" i="1"/>
  <c r="L170" i="1"/>
  <c r="K170" i="1"/>
  <c r="A170" i="1"/>
  <c r="AL169" i="1"/>
  <c r="AK169" i="1"/>
  <c r="AJ169" i="1"/>
  <c r="AI169" i="1"/>
  <c r="AH169" i="1"/>
  <c r="AG169" i="1"/>
  <c r="AF169" i="1"/>
  <c r="AE169" i="1"/>
  <c r="AD169" i="1"/>
  <c r="AC169" i="1"/>
  <c r="I169" i="1"/>
  <c r="G169" i="1"/>
  <c r="F169" i="1"/>
  <c r="D169" i="1"/>
  <c r="C169" i="1"/>
  <c r="AR168" i="1"/>
  <c r="AQ168" i="1"/>
  <c r="AP168" i="1"/>
  <c r="AL168" i="1"/>
  <c r="AK168" i="1"/>
  <c r="AJ168" i="1"/>
  <c r="AI168" i="1"/>
  <c r="AH168" i="1"/>
  <c r="AG168" i="1"/>
  <c r="AF168" i="1"/>
  <c r="AE168" i="1"/>
  <c r="AD168" i="1"/>
  <c r="AC168" i="1"/>
  <c r="X168" i="1"/>
  <c r="V168" i="1"/>
  <c r="U168" i="1"/>
  <c r="T168" i="1"/>
  <c r="S168" i="1"/>
  <c r="R168" i="1"/>
  <c r="O168" i="1"/>
  <c r="N168" i="1"/>
  <c r="M168" i="1"/>
  <c r="L168" i="1"/>
  <c r="K168" i="1"/>
  <c r="I168" i="1"/>
  <c r="G168" i="1"/>
  <c r="F168" i="1"/>
  <c r="D168" i="1"/>
  <c r="C168" i="1"/>
  <c r="AR167" i="1"/>
  <c r="AQ167" i="1"/>
  <c r="AP167" i="1"/>
  <c r="AL167" i="1"/>
  <c r="AK167" i="1"/>
  <c r="AJ167" i="1"/>
  <c r="AI167" i="1"/>
  <c r="AH167" i="1"/>
  <c r="AG167" i="1"/>
  <c r="AF167" i="1"/>
  <c r="AE167" i="1"/>
  <c r="AD167" i="1"/>
  <c r="AC167" i="1"/>
  <c r="AB167" i="1"/>
  <c r="X167" i="1"/>
  <c r="W167" i="1"/>
  <c r="V167" i="1"/>
  <c r="U167" i="1"/>
  <c r="T167" i="1"/>
  <c r="S167" i="1"/>
  <c r="R167" i="1"/>
  <c r="P167" i="1"/>
  <c r="O167" i="1"/>
  <c r="N167" i="1"/>
  <c r="M167" i="1"/>
  <c r="L167" i="1"/>
  <c r="K167" i="1"/>
  <c r="A167" i="1"/>
  <c r="AL166" i="1"/>
  <c r="AK166" i="1"/>
  <c r="AJ166" i="1"/>
  <c r="AI166" i="1"/>
  <c r="AH166" i="1"/>
  <c r="AG166" i="1"/>
  <c r="AF166" i="1"/>
  <c r="AE166" i="1"/>
  <c r="AD166" i="1"/>
  <c r="AC166" i="1"/>
  <c r="I166" i="1"/>
  <c r="G166" i="1"/>
  <c r="F166" i="1"/>
  <c r="D166" i="1"/>
  <c r="C166" i="1"/>
  <c r="AR165" i="1"/>
  <c r="AQ165" i="1"/>
  <c r="AP165" i="1"/>
  <c r="AL165" i="1"/>
  <c r="AK165" i="1"/>
  <c r="AJ165" i="1"/>
  <c r="AI165" i="1"/>
  <c r="AH165" i="1"/>
  <c r="AG165" i="1"/>
  <c r="AF165" i="1"/>
  <c r="AE165" i="1"/>
  <c r="AD165" i="1"/>
  <c r="AC165" i="1"/>
  <c r="X165" i="1"/>
  <c r="V165" i="1"/>
  <c r="U165" i="1"/>
  <c r="T165" i="1"/>
  <c r="S165" i="1"/>
  <c r="R165" i="1"/>
  <c r="O165" i="1"/>
  <c r="N165" i="1"/>
  <c r="M165" i="1"/>
  <c r="L165" i="1"/>
  <c r="K165" i="1"/>
  <c r="I165" i="1"/>
  <c r="G165" i="1"/>
  <c r="F165" i="1"/>
  <c r="D165" i="1"/>
  <c r="C165" i="1"/>
  <c r="AR164" i="1"/>
  <c r="AQ164" i="1"/>
  <c r="AP164" i="1"/>
  <c r="AL164" i="1"/>
  <c r="AK164" i="1"/>
  <c r="AJ164" i="1"/>
  <c r="AI164" i="1"/>
  <c r="AH164" i="1"/>
  <c r="AG164" i="1"/>
  <c r="AF164" i="1"/>
  <c r="AE164" i="1"/>
  <c r="AD164" i="1"/>
  <c r="AC164" i="1"/>
  <c r="AB164" i="1"/>
  <c r="X164" i="1"/>
  <c r="W164" i="1"/>
  <c r="V164" i="1"/>
  <c r="U164" i="1"/>
  <c r="T164" i="1"/>
  <c r="S164" i="1"/>
  <c r="R164" i="1"/>
  <c r="P164" i="1"/>
  <c r="O164" i="1"/>
  <c r="N164" i="1"/>
  <c r="M164" i="1"/>
  <c r="L164" i="1"/>
  <c r="K164" i="1"/>
  <c r="A164" i="1"/>
  <c r="AL163" i="1"/>
  <c r="AK163" i="1"/>
  <c r="AJ163" i="1"/>
  <c r="AI163" i="1"/>
  <c r="AH163" i="1"/>
  <c r="AG163" i="1"/>
  <c r="AF163" i="1"/>
  <c r="AE163" i="1"/>
  <c r="AD163" i="1"/>
  <c r="AC163" i="1"/>
  <c r="I163" i="1"/>
  <c r="G163" i="1"/>
  <c r="F163" i="1"/>
  <c r="D163" i="1"/>
  <c r="C163" i="1"/>
  <c r="AR162" i="1"/>
  <c r="AQ162" i="1"/>
  <c r="AP162" i="1"/>
  <c r="AL162" i="1"/>
  <c r="AK162" i="1"/>
  <c r="AJ162" i="1"/>
  <c r="AI162" i="1"/>
  <c r="AH162" i="1"/>
  <c r="AG162" i="1"/>
  <c r="AF162" i="1"/>
  <c r="AE162" i="1"/>
  <c r="AD162" i="1"/>
  <c r="AC162" i="1"/>
  <c r="X162" i="1"/>
  <c r="V162" i="1"/>
  <c r="U162" i="1"/>
  <c r="T162" i="1"/>
  <c r="S162" i="1"/>
  <c r="R162" i="1"/>
  <c r="O162" i="1"/>
  <c r="N162" i="1"/>
  <c r="M162" i="1"/>
  <c r="L162" i="1"/>
  <c r="K162" i="1"/>
  <c r="I162" i="1"/>
  <c r="G162" i="1"/>
  <c r="F162" i="1"/>
  <c r="D162" i="1"/>
  <c r="C162" i="1"/>
  <c r="AR161" i="1"/>
  <c r="AQ161" i="1"/>
  <c r="AP161" i="1"/>
  <c r="AL161" i="1"/>
  <c r="AK161" i="1"/>
  <c r="AJ161" i="1"/>
  <c r="AI161" i="1"/>
  <c r="AH161" i="1"/>
  <c r="AG161" i="1"/>
  <c r="AF161" i="1"/>
  <c r="AE161" i="1"/>
  <c r="AD161" i="1"/>
  <c r="AC161" i="1"/>
  <c r="AB161" i="1"/>
  <c r="X161" i="1"/>
  <c r="W161" i="1"/>
  <c r="V161" i="1"/>
  <c r="U161" i="1"/>
  <c r="T161" i="1"/>
  <c r="S161" i="1"/>
  <c r="R161" i="1"/>
  <c r="P161" i="1"/>
  <c r="O161" i="1"/>
  <c r="N161" i="1"/>
  <c r="M161" i="1"/>
  <c r="L161" i="1"/>
  <c r="K161" i="1"/>
  <c r="A161" i="1"/>
  <c r="AL160" i="1"/>
  <c r="AK160" i="1"/>
  <c r="AJ160" i="1"/>
  <c r="AI160" i="1"/>
  <c r="AH160" i="1"/>
  <c r="AG160" i="1"/>
  <c r="AF160" i="1"/>
  <c r="AE160" i="1"/>
  <c r="AD160" i="1"/>
  <c r="AC160" i="1"/>
  <c r="I160" i="1"/>
  <c r="G160" i="1"/>
  <c r="F160" i="1"/>
  <c r="D160" i="1"/>
  <c r="C160" i="1"/>
  <c r="AR159" i="1"/>
  <c r="AQ159" i="1"/>
  <c r="AP159" i="1"/>
  <c r="AL159" i="1"/>
  <c r="AK159" i="1"/>
  <c r="AJ159" i="1"/>
  <c r="AI159" i="1"/>
  <c r="AH159" i="1"/>
  <c r="AG159" i="1"/>
  <c r="AF159" i="1"/>
  <c r="AE159" i="1"/>
  <c r="AD159" i="1"/>
  <c r="AC159" i="1"/>
  <c r="X159" i="1"/>
  <c r="V159" i="1"/>
  <c r="U159" i="1"/>
  <c r="T159" i="1"/>
  <c r="S159" i="1"/>
  <c r="R159" i="1"/>
  <c r="O159" i="1"/>
  <c r="N159" i="1"/>
  <c r="M159" i="1"/>
  <c r="L159" i="1"/>
  <c r="K159" i="1"/>
  <c r="I159" i="1"/>
  <c r="G159" i="1"/>
  <c r="F159" i="1"/>
  <c r="D159" i="1"/>
  <c r="C159" i="1"/>
  <c r="AR158" i="1"/>
  <c r="AQ158" i="1"/>
  <c r="AP158" i="1"/>
  <c r="AL158" i="1"/>
  <c r="AK158" i="1"/>
  <c r="AJ158" i="1"/>
  <c r="AI158" i="1"/>
  <c r="AH158" i="1"/>
  <c r="AG158" i="1"/>
  <c r="AF158" i="1"/>
  <c r="AE158" i="1"/>
  <c r="AD158" i="1"/>
  <c r="AC158" i="1"/>
  <c r="AB158" i="1"/>
  <c r="X158" i="1"/>
  <c r="W158" i="1"/>
  <c r="V158" i="1"/>
  <c r="U158" i="1"/>
  <c r="T158" i="1"/>
  <c r="S158" i="1"/>
  <c r="R158" i="1"/>
  <c r="P158" i="1"/>
  <c r="O158" i="1"/>
  <c r="N158" i="1"/>
  <c r="M158" i="1"/>
  <c r="L158" i="1"/>
  <c r="K158" i="1"/>
  <c r="A158" i="1"/>
  <c r="AL157" i="1"/>
  <c r="AK157" i="1"/>
  <c r="AJ157" i="1"/>
  <c r="AI157" i="1"/>
  <c r="AH157" i="1"/>
  <c r="AG157" i="1"/>
  <c r="AF157" i="1"/>
  <c r="AE157" i="1"/>
  <c r="AD157" i="1"/>
  <c r="AC157" i="1"/>
  <c r="I157" i="1"/>
  <c r="G157" i="1"/>
  <c r="F157" i="1"/>
  <c r="D157" i="1"/>
  <c r="C157" i="1"/>
  <c r="AR156" i="1"/>
  <c r="AQ156" i="1"/>
  <c r="AP156" i="1"/>
  <c r="AL156" i="1"/>
  <c r="AK156" i="1"/>
  <c r="AJ156" i="1"/>
  <c r="AI156" i="1"/>
  <c r="AH156" i="1"/>
  <c r="AG156" i="1"/>
  <c r="AF156" i="1"/>
  <c r="AE156" i="1"/>
  <c r="AD156" i="1"/>
  <c r="AC156" i="1"/>
  <c r="X156" i="1"/>
  <c r="V156" i="1"/>
  <c r="U156" i="1"/>
  <c r="T156" i="1"/>
  <c r="S156" i="1"/>
  <c r="R156" i="1"/>
  <c r="O156" i="1"/>
  <c r="N156" i="1"/>
  <c r="M156" i="1"/>
  <c r="L156" i="1"/>
  <c r="K156" i="1"/>
  <c r="I156" i="1"/>
  <c r="G156" i="1"/>
  <c r="F156" i="1"/>
  <c r="C156" i="1"/>
  <c r="AR155" i="1"/>
  <c r="AQ155" i="1"/>
  <c r="AP155" i="1"/>
  <c r="AL155" i="1"/>
  <c r="AK155" i="1"/>
  <c r="AJ155" i="1"/>
  <c r="AI155" i="1"/>
  <c r="AH155" i="1"/>
  <c r="AG155" i="1"/>
  <c r="AF155" i="1"/>
  <c r="AE155" i="1"/>
  <c r="AD155" i="1"/>
  <c r="AC155" i="1"/>
  <c r="AB155" i="1"/>
  <c r="Y155" i="1"/>
  <c r="X155" i="1"/>
  <c r="W155" i="1"/>
  <c r="V155" i="1"/>
  <c r="U155" i="1"/>
  <c r="T155" i="1"/>
  <c r="S155" i="1"/>
  <c r="R155" i="1"/>
  <c r="P155" i="1"/>
  <c r="O155" i="1"/>
  <c r="N155" i="1"/>
  <c r="M155" i="1"/>
  <c r="L155" i="1"/>
  <c r="K155" i="1"/>
  <c r="A155" i="1"/>
  <c r="AL154" i="1"/>
  <c r="AK154" i="1"/>
  <c r="AJ154" i="1"/>
  <c r="AI154" i="1"/>
  <c r="AH154" i="1"/>
  <c r="AG154" i="1"/>
  <c r="AF154" i="1"/>
  <c r="AE154" i="1"/>
  <c r="AD154" i="1"/>
  <c r="AC154" i="1"/>
  <c r="I154" i="1"/>
  <c r="G154" i="1"/>
  <c r="F154" i="1"/>
  <c r="D154" i="1"/>
  <c r="C154" i="1"/>
  <c r="AR153" i="1"/>
  <c r="AQ153" i="1"/>
  <c r="AP153" i="1"/>
  <c r="AL153" i="1"/>
  <c r="AK153" i="1"/>
  <c r="AJ153" i="1"/>
  <c r="AI153" i="1"/>
  <c r="AH153" i="1"/>
  <c r="AG153" i="1"/>
  <c r="AF153" i="1"/>
  <c r="AE153" i="1"/>
  <c r="AD153" i="1"/>
  <c r="AC153" i="1"/>
  <c r="X153" i="1"/>
  <c r="V153" i="1"/>
  <c r="U153" i="1"/>
  <c r="T153" i="1"/>
  <c r="S153" i="1"/>
  <c r="R153" i="1"/>
  <c r="O153" i="1"/>
  <c r="N153" i="1"/>
  <c r="M153" i="1"/>
  <c r="L153" i="1"/>
  <c r="K153" i="1"/>
  <c r="I153" i="1"/>
  <c r="G153" i="1"/>
  <c r="F153" i="1"/>
  <c r="D153" i="1"/>
  <c r="C153" i="1"/>
  <c r="AR152" i="1"/>
  <c r="AQ152" i="1"/>
  <c r="AP152" i="1"/>
  <c r="AL152" i="1"/>
  <c r="AK152" i="1"/>
  <c r="AJ152" i="1"/>
  <c r="AI152" i="1"/>
  <c r="AH152" i="1"/>
  <c r="AG152" i="1"/>
  <c r="AF152" i="1"/>
  <c r="AE152" i="1"/>
  <c r="AD152" i="1"/>
  <c r="AC152" i="1"/>
  <c r="AB152" i="1"/>
  <c r="X152" i="1"/>
  <c r="W152" i="1"/>
  <c r="V152" i="1"/>
  <c r="U152" i="1"/>
  <c r="T152" i="1"/>
  <c r="S152" i="1"/>
  <c r="R152" i="1"/>
  <c r="P152" i="1"/>
  <c r="O152" i="1"/>
  <c r="N152" i="1"/>
  <c r="M152" i="1"/>
  <c r="L152" i="1"/>
  <c r="K152" i="1"/>
  <c r="A152" i="1"/>
  <c r="AL151" i="1"/>
  <c r="AK151" i="1"/>
  <c r="AJ151" i="1"/>
  <c r="AI151" i="1"/>
  <c r="AH151" i="1"/>
  <c r="AG151" i="1"/>
  <c r="AF151" i="1"/>
  <c r="AE151" i="1"/>
  <c r="AD151" i="1"/>
  <c r="AC151" i="1"/>
  <c r="I151" i="1"/>
  <c r="G151" i="1"/>
  <c r="F151" i="1"/>
  <c r="D151" i="1"/>
  <c r="C151" i="1"/>
  <c r="AR150" i="1"/>
  <c r="AQ150" i="1"/>
  <c r="AP150" i="1"/>
  <c r="AL150" i="1"/>
  <c r="AK150" i="1"/>
  <c r="AJ150" i="1"/>
  <c r="AI150" i="1"/>
  <c r="AH150" i="1"/>
  <c r="AG150" i="1"/>
  <c r="AF150" i="1"/>
  <c r="AE150" i="1"/>
  <c r="AD150" i="1"/>
  <c r="AC150" i="1"/>
  <c r="X150" i="1"/>
  <c r="V150" i="1"/>
  <c r="U150" i="1"/>
  <c r="T150" i="1"/>
  <c r="S150" i="1"/>
  <c r="R150" i="1"/>
  <c r="O150" i="1"/>
  <c r="N150" i="1"/>
  <c r="M150" i="1"/>
  <c r="L150" i="1"/>
  <c r="K150" i="1"/>
  <c r="I150" i="1"/>
  <c r="G150" i="1"/>
  <c r="F150" i="1"/>
  <c r="D150" i="1"/>
  <c r="C150" i="1"/>
  <c r="AR149" i="1"/>
  <c r="AQ149" i="1"/>
  <c r="AP149" i="1"/>
  <c r="AL149" i="1"/>
  <c r="AK149" i="1"/>
  <c r="AJ149" i="1"/>
  <c r="AI149" i="1"/>
  <c r="AH149" i="1"/>
  <c r="AG149" i="1"/>
  <c r="AF149" i="1"/>
  <c r="AE149" i="1"/>
  <c r="AD149" i="1"/>
  <c r="AC149" i="1"/>
  <c r="AB149" i="1"/>
  <c r="Y149" i="1"/>
  <c r="X149" i="1"/>
  <c r="W149" i="1"/>
  <c r="V149" i="1"/>
  <c r="U149" i="1"/>
  <c r="T149" i="1"/>
  <c r="S149" i="1"/>
  <c r="R149" i="1"/>
  <c r="P149" i="1"/>
  <c r="O149" i="1"/>
  <c r="N149" i="1"/>
  <c r="M149" i="1"/>
  <c r="L149" i="1"/>
  <c r="K149" i="1"/>
  <c r="A149" i="1"/>
  <c r="AL148" i="1"/>
  <c r="AK148" i="1"/>
  <c r="AJ148" i="1"/>
  <c r="AI148" i="1"/>
  <c r="AH148" i="1"/>
  <c r="AG148" i="1"/>
  <c r="AF148" i="1"/>
  <c r="AE148" i="1"/>
  <c r="AD148" i="1"/>
  <c r="AC148" i="1"/>
  <c r="I148" i="1"/>
  <c r="G148" i="1"/>
  <c r="F148" i="1"/>
  <c r="D148" i="1"/>
  <c r="C148" i="1"/>
  <c r="AR147" i="1"/>
  <c r="AQ147" i="1"/>
  <c r="AP147" i="1"/>
  <c r="AL147" i="1"/>
  <c r="AK147" i="1"/>
  <c r="AJ147" i="1"/>
  <c r="AI147" i="1"/>
  <c r="AH147" i="1"/>
  <c r="AG147" i="1"/>
  <c r="AF147" i="1"/>
  <c r="AE147" i="1"/>
  <c r="AD147" i="1"/>
  <c r="AC147" i="1"/>
  <c r="X147" i="1"/>
  <c r="V147" i="1"/>
  <c r="U147" i="1"/>
  <c r="T147" i="1"/>
  <c r="S147" i="1"/>
  <c r="R147" i="1"/>
  <c r="O147" i="1"/>
  <c r="N147" i="1"/>
  <c r="M147" i="1"/>
  <c r="L147" i="1"/>
  <c r="K147" i="1"/>
  <c r="I147" i="1"/>
  <c r="G147" i="1"/>
  <c r="F147" i="1"/>
  <c r="D147" i="1"/>
  <c r="C147" i="1"/>
  <c r="AR146" i="1"/>
  <c r="AQ146" i="1"/>
  <c r="AP146" i="1"/>
  <c r="AL146" i="1"/>
  <c r="AK146" i="1"/>
  <c r="AJ146" i="1"/>
  <c r="AI146" i="1"/>
  <c r="AH146" i="1"/>
  <c r="AG146" i="1"/>
  <c r="AF146" i="1"/>
  <c r="AE146" i="1"/>
  <c r="AD146" i="1"/>
  <c r="AC146" i="1"/>
  <c r="AB146" i="1"/>
  <c r="X146" i="1"/>
  <c r="W146" i="1"/>
  <c r="V146" i="1"/>
  <c r="U146" i="1"/>
  <c r="T146" i="1"/>
  <c r="S146" i="1"/>
  <c r="R146" i="1"/>
  <c r="P146" i="1"/>
  <c r="O146" i="1"/>
  <c r="N146" i="1"/>
  <c r="M146" i="1"/>
  <c r="L146" i="1"/>
  <c r="K146" i="1"/>
  <c r="A146" i="1"/>
  <c r="AL145" i="1"/>
  <c r="AK145" i="1"/>
  <c r="AJ145" i="1"/>
  <c r="AI145" i="1"/>
  <c r="AH145" i="1"/>
  <c r="AG145" i="1"/>
  <c r="AF145" i="1"/>
  <c r="AE145" i="1"/>
  <c r="AD145" i="1"/>
  <c r="AC145" i="1"/>
  <c r="I145" i="1"/>
  <c r="G145" i="1"/>
  <c r="F145" i="1"/>
  <c r="D145" i="1"/>
  <c r="C145" i="1"/>
  <c r="AR144" i="1"/>
  <c r="AQ144" i="1"/>
  <c r="AP144" i="1"/>
  <c r="AL144" i="1"/>
  <c r="AK144" i="1"/>
  <c r="AJ144" i="1"/>
  <c r="AI144" i="1"/>
  <c r="AH144" i="1"/>
  <c r="AG144" i="1"/>
  <c r="AF144" i="1"/>
  <c r="AE144" i="1"/>
  <c r="AD144" i="1"/>
  <c r="AC144" i="1"/>
  <c r="X144" i="1"/>
  <c r="V144" i="1"/>
  <c r="U144" i="1"/>
  <c r="T144" i="1"/>
  <c r="S144" i="1"/>
  <c r="R144" i="1"/>
  <c r="O144" i="1"/>
  <c r="N144" i="1"/>
  <c r="M144" i="1"/>
  <c r="L144" i="1"/>
  <c r="K144" i="1"/>
  <c r="I144" i="1"/>
  <c r="G144" i="1"/>
  <c r="F144" i="1"/>
  <c r="D144" i="1"/>
  <c r="C144" i="1"/>
  <c r="AR143" i="1"/>
  <c r="AQ143" i="1"/>
  <c r="AP143" i="1"/>
  <c r="AL143" i="1"/>
  <c r="AK143" i="1"/>
  <c r="AJ143" i="1"/>
  <c r="AI143" i="1"/>
  <c r="AH143" i="1"/>
  <c r="AG143" i="1"/>
  <c r="AF143" i="1"/>
  <c r="AE143" i="1"/>
  <c r="AD143" i="1"/>
  <c r="AC143" i="1"/>
  <c r="AB143" i="1"/>
  <c r="X143" i="1"/>
  <c r="W143" i="1"/>
  <c r="V143" i="1"/>
  <c r="U143" i="1"/>
  <c r="T143" i="1"/>
  <c r="S143" i="1"/>
  <c r="R143" i="1"/>
  <c r="P143" i="1"/>
  <c r="O143" i="1"/>
  <c r="N143" i="1"/>
  <c r="M143" i="1"/>
  <c r="L143" i="1"/>
  <c r="K143" i="1"/>
  <c r="A143" i="1"/>
  <c r="AL142" i="1"/>
  <c r="AK142" i="1"/>
  <c r="AJ142" i="1"/>
  <c r="AI142" i="1"/>
  <c r="AH142" i="1"/>
  <c r="AG142" i="1"/>
  <c r="AF142" i="1"/>
  <c r="AE142" i="1"/>
  <c r="AD142" i="1"/>
  <c r="AC142" i="1"/>
  <c r="I142" i="1"/>
  <c r="G142" i="1"/>
  <c r="F142" i="1"/>
  <c r="D142" i="1"/>
  <c r="C142" i="1"/>
  <c r="AR141" i="1"/>
  <c r="AQ141" i="1"/>
  <c r="AP141" i="1"/>
  <c r="AL141" i="1"/>
  <c r="AK141" i="1"/>
  <c r="AJ141" i="1"/>
  <c r="AI141" i="1"/>
  <c r="AH141" i="1"/>
  <c r="AG141" i="1"/>
  <c r="AF141" i="1"/>
  <c r="AE141" i="1"/>
  <c r="AD141" i="1"/>
  <c r="AC141" i="1"/>
  <c r="X141" i="1"/>
  <c r="V141" i="1"/>
  <c r="U141" i="1"/>
  <c r="T141" i="1"/>
  <c r="S141" i="1"/>
  <c r="R141" i="1"/>
  <c r="O141" i="1"/>
  <c r="N141" i="1"/>
  <c r="M141" i="1"/>
  <c r="L141" i="1"/>
  <c r="K141" i="1"/>
  <c r="I141" i="1"/>
  <c r="G141" i="1"/>
  <c r="F141" i="1"/>
  <c r="D141" i="1"/>
  <c r="C141" i="1"/>
  <c r="AR140" i="1"/>
  <c r="AQ140" i="1"/>
  <c r="AP140" i="1"/>
  <c r="AL140" i="1"/>
  <c r="AK140" i="1"/>
  <c r="AJ140" i="1"/>
  <c r="AI140" i="1"/>
  <c r="AH140" i="1"/>
  <c r="AG140" i="1"/>
  <c r="AF140" i="1"/>
  <c r="AE140" i="1"/>
  <c r="AD140" i="1"/>
  <c r="AC140" i="1"/>
  <c r="AB140" i="1"/>
  <c r="Y140" i="1"/>
  <c r="X140" i="1"/>
  <c r="W140" i="1"/>
  <c r="V140" i="1"/>
  <c r="U140" i="1"/>
  <c r="T140" i="1"/>
  <c r="S140" i="1"/>
  <c r="R140" i="1"/>
  <c r="P140" i="1"/>
  <c r="O140" i="1"/>
  <c r="N140" i="1"/>
  <c r="M140" i="1"/>
  <c r="L140" i="1"/>
  <c r="K140" i="1"/>
  <c r="A140" i="1"/>
  <c r="AL139" i="1"/>
  <c r="AK139" i="1"/>
  <c r="AJ139" i="1"/>
  <c r="AI139" i="1"/>
  <c r="AH139" i="1"/>
  <c r="AG139" i="1"/>
  <c r="AF139" i="1"/>
  <c r="AE139" i="1"/>
  <c r="AD139" i="1"/>
  <c r="AC139" i="1"/>
  <c r="I139" i="1"/>
  <c r="G139" i="1"/>
  <c r="F139" i="1"/>
  <c r="D139" i="1"/>
  <c r="C139" i="1"/>
  <c r="AR138" i="1"/>
  <c r="AQ138" i="1"/>
  <c r="AP138" i="1"/>
  <c r="AL138" i="1"/>
  <c r="AK138" i="1"/>
  <c r="AJ138" i="1"/>
  <c r="AI138" i="1"/>
  <c r="AH138" i="1"/>
  <c r="AG138" i="1"/>
  <c r="AF138" i="1"/>
  <c r="AE138" i="1"/>
  <c r="AD138" i="1"/>
  <c r="AC138" i="1"/>
  <c r="X138" i="1"/>
  <c r="V138" i="1"/>
  <c r="U138" i="1"/>
  <c r="T138" i="1"/>
  <c r="S138" i="1"/>
  <c r="R138" i="1"/>
  <c r="O138" i="1"/>
  <c r="N138" i="1"/>
  <c r="M138" i="1"/>
  <c r="L138" i="1"/>
  <c r="K138" i="1"/>
  <c r="I138" i="1"/>
  <c r="G138" i="1"/>
  <c r="F138" i="1"/>
  <c r="D138" i="1"/>
  <c r="C138" i="1"/>
  <c r="AR137" i="1"/>
  <c r="AQ137" i="1"/>
  <c r="AP137" i="1"/>
  <c r="AL137" i="1"/>
  <c r="AK137" i="1"/>
  <c r="AJ137" i="1"/>
  <c r="AI137" i="1"/>
  <c r="AH137" i="1"/>
  <c r="AG137" i="1"/>
  <c r="AF137" i="1"/>
  <c r="AE137" i="1"/>
  <c r="AD137" i="1"/>
  <c r="AC137" i="1"/>
  <c r="AB137" i="1"/>
  <c r="Y137" i="1"/>
  <c r="X137" i="1"/>
  <c r="W137" i="1"/>
  <c r="V137" i="1"/>
  <c r="U137" i="1"/>
  <c r="T137" i="1"/>
  <c r="S137" i="1"/>
  <c r="R137" i="1"/>
  <c r="P137" i="1"/>
  <c r="O137" i="1"/>
  <c r="N137" i="1"/>
  <c r="M137" i="1"/>
  <c r="L137" i="1"/>
  <c r="K137" i="1"/>
  <c r="A137" i="1"/>
  <c r="AL136" i="1"/>
  <c r="AK136" i="1"/>
  <c r="AJ136" i="1"/>
  <c r="AI136" i="1"/>
  <c r="AH136" i="1"/>
  <c r="AG136" i="1"/>
  <c r="AF136" i="1"/>
  <c r="AE136" i="1"/>
  <c r="AD136" i="1"/>
  <c r="AC136" i="1"/>
  <c r="I136" i="1"/>
  <c r="G136" i="1"/>
  <c r="F136" i="1"/>
  <c r="D136" i="1"/>
  <c r="C136" i="1"/>
  <c r="AR135" i="1"/>
  <c r="AQ135" i="1"/>
  <c r="AP135" i="1"/>
  <c r="AL135" i="1"/>
  <c r="AK135" i="1"/>
  <c r="AJ135" i="1"/>
  <c r="AI135" i="1"/>
  <c r="AH135" i="1"/>
  <c r="AG135" i="1"/>
  <c r="AF135" i="1"/>
  <c r="AE135" i="1"/>
  <c r="AD135" i="1"/>
  <c r="AC135" i="1"/>
  <c r="X135" i="1"/>
  <c r="V135" i="1"/>
  <c r="U135" i="1"/>
  <c r="T135" i="1"/>
  <c r="S135" i="1"/>
  <c r="R135" i="1"/>
  <c r="O135" i="1"/>
  <c r="N135" i="1"/>
  <c r="M135" i="1"/>
  <c r="L135" i="1"/>
  <c r="K135" i="1"/>
  <c r="I135" i="1"/>
  <c r="G135" i="1"/>
  <c r="F135" i="1"/>
  <c r="D135" i="1"/>
  <c r="C135" i="1"/>
  <c r="AR134" i="1"/>
  <c r="AQ134" i="1"/>
  <c r="AP134" i="1"/>
  <c r="AL134" i="1"/>
  <c r="AK134" i="1"/>
  <c r="AJ134" i="1"/>
  <c r="AI134" i="1"/>
  <c r="AH134" i="1"/>
  <c r="AG134" i="1"/>
  <c r="AF134" i="1"/>
  <c r="AE134" i="1"/>
  <c r="AD134" i="1"/>
  <c r="AC134" i="1"/>
  <c r="AB134" i="1"/>
  <c r="Y134" i="1"/>
  <c r="X134" i="1"/>
  <c r="W134" i="1"/>
  <c r="V134" i="1"/>
  <c r="U134" i="1"/>
  <c r="T134" i="1"/>
  <c r="S134" i="1"/>
  <c r="R134" i="1"/>
  <c r="P134" i="1"/>
  <c r="O134" i="1"/>
  <c r="N134" i="1"/>
  <c r="M134" i="1"/>
  <c r="L134" i="1"/>
  <c r="K134" i="1"/>
  <c r="A134" i="1"/>
  <c r="AL133" i="1"/>
  <c r="AK133" i="1"/>
  <c r="AJ133" i="1"/>
  <c r="AI133" i="1"/>
  <c r="AH133" i="1"/>
  <c r="AG133" i="1"/>
  <c r="AF133" i="1"/>
  <c r="AE133" i="1"/>
  <c r="AD133" i="1"/>
  <c r="AC133" i="1"/>
  <c r="I133" i="1"/>
  <c r="G133" i="1"/>
  <c r="F133" i="1"/>
  <c r="D133" i="1"/>
  <c r="C133" i="1"/>
  <c r="AR132" i="1"/>
  <c r="AQ132" i="1"/>
  <c r="AP132" i="1"/>
  <c r="AL132" i="1"/>
  <c r="AK132" i="1"/>
  <c r="AJ132" i="1"/>
  <c r="AI132" i="1"/>
  <c r="AH132" i="1"/>
  <c r="AG132" i="1"/>
  <c r="AF132" i="1"/>
  <c r="AE132" i="1"/>
  <c r="AD132" i="1"/>
  <c r="AC132" i="1"/>
  <c r="X132" i="1"/>
  <c r="V132" i="1"/>
  <c r="U132" i="1"/>
  <c r="T132" i="1"/>
  <c r="S132" i="1"/>
  <c r="R132" i="1"/>
  <c r="O132" i="1"/>
  <c r="N132" i="1"/>
  <c r="M132" i="1"/>
  <c r="L132" i="1"/>
  <c r="K132" i="1"/>
  <c r="I132" i="1"/>
  <c r="G132" i="1"/>
  <c r="F132" i="1"/>
  <c r="D132" i="1"/>
  <c r="C132" i="1"/>
  <c r="AR131" i="1"/>
  <c r="AQ131" i="1"/>
  <c r="AP131" i="1"/>
  <c r="AL131" i="1"/>
  <c r="AK131" i="1"/>
  <c r="AJ131" i="1"/>
  <c r="AI131" i="1"/>
  <c r="AH131" i="1"/>
  <c r="AG131" i="1"/>
  <c r="AF131" i="1"/>
  <c r="AE131" i="1"/>
  <c r="AD131" i="1"/>
  <c r="AC131" i="1"/>
  <c r="AB131" i="1"/>
  <c r="Y131" i="1"/>
  <c r="X131" i="1"/>
  <c r="W131" i="1"/>
  <c r="V131" i="1"/>
  <c r="U131" i="1"/>
  <c r="T131" i="1"/>
  <c r="S131" i="1"/>
  <c r="R131" i="1"/>
  <c r="P131" i="1"/>
  <c r="O131" i="1"/>
  <c r="N131" i="1"/>
  <c r="M131" i="1"/>
  <c r="L131" i="1"/>
  <c r="K131" i="1"/>
  <c r="A131" i="1"/>
  <c r="AL130" i="1"/>
  <c r="AK130" i="1"/>
  <c r="AJ130" i="1"/>
  <c r="AI130" i="1"/>
  <c r="AH130" i="1"/>
  <c r="AG130" i="1"/>
  <c r="AF130" i="1"/>
  <c r="AE130" i="1"/>
  <c r="AD130" i="1"/>
  <c r="AC130" i="1"/>
  <c r="I130" i="1"/>
  <c r="G130" i="1"/>
  <c r="F130" i="1"/>
  <c r="D130" i="1"/>
  <c r="C130" i="1"/>
  <c r="AR129" i="1"/>
  <c r="AQ129" i="1"/>
  <c r="AP129" i="1"/>
  <c r="AL129" i="1"/>
  <c r="AK129" i="1"/>
  <c r="AJ129" i="1"/>
  <c r="AI129" i="1"/>
  <c r="AH129" i="1"/>
  <c r="AG129" i="1"/>
  <c r="AF129" i="1"/>
  <c r="AE129" i="1"/>
  <c r="AD129" i="1"/>
  <c r="AC129" i="1"/>
  <c r="X129" i="1"/>
  <c r="V129" i="1"/>
  <c r="U129" i="1"/>
  <c r="T129" i="1"/>
  <c r="S129" i="1"/>
  <c r="R129" i="1"/>
  <c r="O129" i="1"/>
  <c r="N129" i="1"/>
  <c r="M129" i="1"/>
  <c r="L129" i="1"/>
  <c r="K129" i="1"/>
  <c r="I129" i="1"/>
  <c r="G129" i="1"/>
  <c r="F129" i="1"/>
  <c r="D129" i="1"/>
  <c r="C129" i="1"/>
  <c r="AR128" i="1"/>
  <c r="AQ128" i="1"/>
  <c r="AP128" i="1"/>
  <c r="AL128" i="1"/>
  <c r="AK128" i="1"/>
  <c r="AJ128" i="1"/>
  <c r="AI128" i="1"/>
  <c r="AH128" i="1"/>
  <c r="AG128" i="1"/>
  <c r="AF128" i="1"/>
  <c r="AE128" i="1"/>
  <c r="AD128" i="1"/>
  <c r="AC128" i="1"/>
  <c r="AB128" i="1"/>
  <c r="X128" i="1"/>
  <c r="W128" i="1"/>
  <c r="V128" i="1"/>
  <c r="U128" i="1"/>
  <c r="T128" i="1"/>
  <c r="S128" i="1"/>
  <c r="R128" i="1"/>
  <c r="P128" i="1"/>
  <c r="O128" i="1"/>
  <c r="N128" i="1"/>
  <c r="M128" i="1"/>
  <c r="L128" i="1"/>
  <c r="K128" i="1"/>
  <c r="A128" i="1"/>
  <c r="AL127" i="1"/>
  <c r="AK127" i="1"/>
  <c r="AJ127" i="1"/>
  <c r="AI127" i="1"/>
  <c r="AH127" i="1"/>
  <c r="AG127" i="1"/>
  <c r="AF127" i="1"/>
  <c r="AE127" i="1"/>
  <c r="AD127" i="1"/>
  <c r="AC127" i="1"/>
  <c r="I127" i="1"/>
  <c r="G127" i="1"/>
  <c r="F127" i="1"/>
  <c r="D127" i="1"/>
  <c r="C127" i="1"/>
  <c r="AR126" i="1"/>
  <c r="AQ126" i="1"/>
  <c r="AP126" i="1"/>
  <c r="AL126" i="1"/>
  <c r="AK126" i="1"/>
  <c r="AJ126" i="1"/>
  <c r="AI126" i="1"/>
  <c r="AH126" i="1"/>
  <c r="AG126" i="1"/>
  <c r="AF126" i="1"/>
  <c r="AE126" i="1"/>
  <c r="AD126" i="1"/>
  <c r="AC126" i="1"/>
  <c r="X126" i="1"/>
  <c r="V126" i="1"/>
  <c r="U126" i="1"/>
  <c r="T126" i="1"/>
  <c r="S126" i="1"/>
  <c r="R126" i="1"/>
  <c r="O126" i="1"/>
  <c r="N126" i="1"/>
  <c r="M126" i="1"/>
  <c r="L126" i="1"/>
  <c r="K126" i="1"/>
  <c r="I126" i="1"/>
  <c r="G126" i="1"/>
  <c r="F126" i="1"/>
  <c r="D126" i="1"/>
  <c r="C126" i="1"/>
  <c r="AR125" i="1"/>
  <c r="AQ125" i="1"/>
  <c r="AP125" i="1"/>
  <c r="AL125" i="1"/>
  <c r="AK125" i="1"/>
  <c r="AJ125" i="1"/>
  <c r="AI125" i="1"/>
  <c r="AH125" i="1"/>
  <c r="AG125" i="1"/>
  <c r="AF125" i="1"/>
  <c r="AE125" i="1"/>
  <c r="AD125" i="1"/>
  <c r="AC125" i="1"/>
  <c r="AB125" i="1"/>
  <c r="Y125" i="1"/>
  <c r="X125" i="1"/>
  <c r="W125" i="1"/>
  <c r="V125" i="1"/>
  <c r="U125" i="1"/>
  <c r="T125" i="1"/>
  <c r="S125" i="1"/>
  <c r="R125" i="1"/>
  <c r="P125" i="1"/>
  <c r="O125" i="1"/>
  <c r="N125" i="1"/>
  <c r="M125" i="1"/>
  <c r="L125" i="1"/>
  <c r="K125" i="1"/>
  <c r="A125" i="1"/>
  <c r="AL124" i="1"/>
  <c r="AK124" i="1"/>
  <c r="AJ124" i="1"/>
  <c r="AI124" i="1"/>
  <c r="AH124" i="1"/>
  <c r="AG124" i="1"/>
  <c r="AF124" i="1"/>
  <c r="AE124" i="1"/>
  <c r="AD124" i="1"/>
  <c r="AC124" i="1"/>
  <c r="I124" i="1"/>
  <c r="G124" i="1"/>
  <c r="F124" i="1"/>
  <c r="D124" i="1"/>
  <c r="C124" i="1"/>
  <c r="AR123" i="1"/>
  <c r="AQ123" i="1"/>
  <c r="AP123" i="1"/>
  <c r="AL123" i="1"/>
  <c r="AK123" i="1"/>
  <c r="AJ123" i="1"/>
  <c r="AI123" i="1"/>
  <c r="AH123" i="1"/>
  <c r="AG123" i="1"/>
  <c r="AF123" i="1"/>
  <c r="AE123" i="1"/>
  <c r="AD123" i="1"/>
  <c r="AC123" i="1"/>
  <c r="X123" i="1"/>
  <c r="V123" i="1"/>
  <c r="U123" i="1"/>
  <c r="T123" i="1"/>
  <c r="S123" i="1"/>
  <c r="R123" i="1"/>
  <c r="O123" i="1"/>
  <c r="N123" i="1"/>
  <c r="M123" i="1"/>
  <c r="L123" i="1"/>
  <c r="K123" i="1"/>
  <c r="I123" i="1"/>
  <c r="G123" i="1"/>
  <c r="F123" i="1"/>
  <c r="D123" i="1"/>
  <c r="C123" i="1"/>
  <c r="AR122" i="1"/>
  <c r="AQ122" i="1"/>
  <c r="AP122" i="1"/>
  <c r="AL122" i="1"/>
  <c r="AK122" i="1"/>
  <c r="AJ122" i="1"/>
  <c r="AI122" i="1"/>
  <c r="AH122" i="1"/>
  <c r="AG122" i="1"/>
  <c r="AF122" i="1"/>
  <c r="AE122" i="1"/>
  <c r="AD122" i="1"/>
  <c r="AC122" i="1"/>
  <c r="AB122" i="1"/>
  <c r="X122" i="1"/>
  <c r="W122" i="1"/>
  <c r="V122" i="1"/>
  <c r="U122" i="1"/>
  <c r="T122" i="1"/>
  <c r="S122" i="1"/>
  <c r="R122" i="1"/>
  <c r="P122" i="1"/>
  <c r="O122" i="1"/>
  <c r="N122" i="1"/>
  <c r="M122" i="1"/>
  <c r="L122" i="1"/>
  <c r="K122" i="1"/>
  <c r="A122" i="1"/>
  <c r="AL121" i="1"/>
  <c r="AK121" i="1"/>
  <c r="AJ121" i="1"/>
  <c r="AI121" i="1"/>
  <c r="AH121" i="1"/>
  <c r="AG121" i="1"/>
  <c r="AF121" i="1"/>
  <c r="AE121" i="1"/>
  <c r="AD121" i="1"/>
  <c r="AC121" i="1"/>
  <c r="I121" i="1"/>
  <c r="G121" i="1"/>
  <c r="F121" i="1"/>
  <c r="D121" i="1"/>
  <c r="C121" i="1"/>
  <c r="AR120" i="1"/>
  <c r="AQ120" i="1"/>
  <c r="AP120" i="1"/>
  <c r="AL120" i="1"/>
  <c r="AK120" i="1"/>
  <c r="AJ120" i="1"/>
  <c r="AI120" i="1"/>
  <c r="AH120" i="1"/>
  <c r="AG120" i="1"/>
  <c r="AF120" i="1"/>
  <c r="AE120" i="1"/>
  <c r="AD120" i="1"/>
  <c r="AC120" i="1"/>
  <c r="X120" i="1"/>
  <c r="V120" i="1"/>
  <c r="U120" i="1"/>
  <c r="T120" i="1"/>
  <c r="S120" i="1"/>
  <c r="R120" i="1"/>
  <c r="O120" i="1"/>
  <c r="N120" i="1"/>
  <c r="M120" i="1"/>
  <c r="L120" i="1"/>
  <c r="K120" i="1"/>
  <c r="I120" i="1"/>
  <c r="G120" i="1"/>
  <c r="F120" i="1"/>
  <c r="D120" i="1"/>
  <c r="C120" i="1"/>
  <c r="AR119" i="1"/>
  <c r="AQ119" i="1"/>
  <c r="AP119" i="1"/>
  <c r="AL119" i="1"/>
  <c r="AK119" i="1"/>
  <c r="AJ119" i="1"/>
  <c r="AI119" i="1"/>
  <c r="AH119" i="1"/>
  <c r="AG119" i="1"/>
  <c r="AF119" i="1"/>
  <c r="AE119" i="1"/>
  <c r="AD119" i="1"/>
  <c r="AC119" i="1"/>
  <c r="AB119" i="1"/>
  <c r="Y119" i="1"/>
  <c r="X119" i="1"/>
  <c r="W119" i="1"/>
  <c r="V119" i="1"/>
  <c r="U119" i="1"/>
  <c r="T119" i="1"/>
  <c r="S119" i="1"/>
  <c r="R119" i="1"/>
  <c r="P119" i="1"/>
  <c r="O119" i="1"/>
  <c r="N119" i="1"/>
  <c r="M119" i="1"/>
  <c r="L119" i="1"/>
  <c r="K119" i="1"/>
  <c r="A119" i="1"/>
  <c r="AL118" i="1"/>
  <c r="AK118" i="1"/>
  <c r="AJ118" i="1"/>
  <c r="AI118" i="1"/>
  <c r="AH118" i="1"/>
  <c r="AG118" i="1"/>
  <c r="AF118" i="1"/>
  <c r="AE118" i="1"/>
  <c r="AD118" i="1"/>
  <c r="AC118" i="1"/>
  <c r="I118" i="1"/>
  <c r="G118" i="1"/>
  <c r="F118" i="1"/>
  <c r="D118" i="1"/>
  <c r="C118" i="1"/>
  <c r="AR117" i="1"/>
  <c r="AQ117" i="1"/>
  <c r="AP117" i="1"/>
  <c r="AL117" i="1"/>
  <c r="AK117" i="1"/>
  <c r="AJ117" i="1"/>
  <c r="AI117" i="1"/>
  <c r="AH117" i="1"/>
  <c r="AG117" i="1"/>
  <c r="AF117" i="1"/>
  <c r="AE117" i="1"/>
  <c r="AD117" i="1"/>
  <c r="AC117" i="1"/>
  <c r="X117" i="1"/>
  <c r="V117" i="1"/>
  <c r="U117" i="1"/>
  <c r="T117" i="1"/>
  <c r="S117" i="1"/>
  <c r="R117" i="1"/>
  <c r="O117" i="1"/>
  <c r="N117" i="1"/>
  <c r="M117" i="1"/>
  <c r="L117" i="1"/>
  <c r="K117" i="1"/>
  <c r="I117" i="1"/>
  <c r="G117" i="1"/>
  <c r="F117" i="1"/>
  <c r="D117" i="1"/>
  <c r="C117" i="1"/>
  <c r="AR116" i="1"/>
  <c r="AQ116" i="1"/>
  <c r="AP116" i="1"/>
  <c r="AL116" i="1"/>
  <c r="AK116" i="1"/>
  <c r="AJ116" i="1"/>
  <c r="AI116" i="1"/>
  <c r="AH116" i="1"/>
  <c r="AG116" i="1"/>
  <c r="AF116" i="1"/>
  <c r="AE116" i="1"/>
  <c r="AD116" i="1"/>
  <c r="AC116" i="1"/>
  <c r="AB116" i="1"/>
  <c r="Y116" i="1"/>
  <c r="X116" i="1"/>
  <c r="W116" i="1"/>
  <c r="V116" i="1"/>
  <c r="U116" i="1"/>
  <c r="T116" i="1"/>
  <c r="S116" i="1"/>
  <c r="R116" i="1"/>
  <c r="P116" i="1"/>
  <c r="O116" i="1"/>
  <c r="N116" i="1"/>
  <c r="M116" i="1"/>
  <c r="L116" i="1"/>
  <c r="K116" i="1"/>
  <c r="A116" i="1"/>
  <c r="AL115" i="1"/>
  <c r="AK115" i="1"/>
  <c r="AJ115" i="1"/>
  <c r="AI115" i="1"/>
  <c r="AH115" i="1"/>
  <c r="AG115" i="1"/>
  <c r="AF115" i="1"/>
  <c r="AE115" i="1"/>
  <c r="AD115" i="1"/>
  <c r="AC115" i="1"/>
  <c r="I115" i="1"/>
  <c r="G115" i="1"/>
  <c r="F115" i="1"/>
  <c r="D115" i="1"/>
  <c r="C115" i="1"/>
  <c r="AR114" i="1"/>
  <c r="AQ114" i="1"/>
  <c r="AP114" i="1"/>
  <c r="AL114" i="1"/>
  <c r="AK114" i="1"/>
  <c r="AJ114" i="1"/>
  <c r="AI114" i="1"/>
  <c r="AH114" i="1"/>
  <c r="AG114" i="1"/>
  <c r="AF114" i="1"/>
  <c r="AE114" i="1"/>
  <c r="AD114" i="1"/>
  <c r="AC114" i="1"/>
  <c r="X114" i="1"/>
  <c r="V114" i="1"/>
  <c r="U114" i="1"/>
  <c r="T114" i="1"/>
  <c r="S114" i="1"/>
  <c r="R114" i="1"/>
  <c r="O114" i="1"/>
  <c r="N114" i="1"/>
  <c r="M114" i="1"/>
  <c r="L114" i="1"/>
  <c r="K114" i="1"/>
  <c r="I114" i="1"/>
  <c r="G114" i="1"/>
  <c r="F114" i="1"/>
  <c r="D114" i="1"/>
  <c r="C114" i="1"/>
  <c r="AR113" i="1"/>
  <c r="AQ113" i="1"/>
  <c r="AP113" i="1"/>
  <c r="AL113" i="1"/>
  <c r="AK113" i="1"/>
  <c r="AJ113" i="1"/>
  <c r="AI113" i="1"/>
  <c r="AH113" i="1"/>
  <c r="AG113" i="1"/>
  <c r="AF113" i="1"/>
  <c r="AE113" i="1"/>
  <c r="AD113" i="1"/>
  <c r="AC113" i="1"/>
  <c r="AB113" i="1"/>
  <c r="Y113" i="1"/>
  <c r="X113" i="1"/>
  <c r="W113" i="1"/>
  <c r="V113" i="1"/>
  <c r="U113" i="1"/>
  <c r="T113" i="1"/>
  <c r="S113" i="1"/>
  <c r="R113" i="1"/>
  <c r="P113" i="1"/>
  <c r="O113" i="1"/>
  <c r="N113" i="1"/>
  <c r="M113" i="1"/>
  <c r="L113" i="1"/>
  <c r="K113" i="1"/>
  <c r="A113" i="1"/>
  <c r="AL112" i="1"/>
  <c r="AK112" i="1"/>
  <c r="AJ112" i="1"/>
  <c r="AI112" i="1"/>
  <c r="AH112" i="1"/>
  <c r="AG112" i="1"/>
  <c r="AF112" i="1"/>
  <c r="AE112" i="1"/>
  <c r="AD112" i="1"/>
  <c r="AC112" i="1"/>
  <c r="I112" i="1"/>
  <c r="G112" i="1"/>
  <c r="F112" i="1"/>
  <c r="D112" i="1"/>
  <c r="C112" i="1"/>
  <c r="AR111" i="1"/>
  <c r="AQ111" i="1"/>
  <c r="AP111" i="1"/>
  <c r="AL111" i="1"/>
  <c r="AK111" i="1"/>
  <c r="AJ111" i="1"/>
  <c r="AI111" i="1"/>
  <c r="AH111" i="1"/>
  <c r="AG111" i="1"/>
  <c r="AF111" i="1"/>
  <c r="AE111" i="1"/>
  <c r="AD111" i="1"/>
  <c r="AC111" i="1"/>
  <c r="X111" i="1"/>
  <c r="V111" i="1"/>
  <c r="U111" i="1"/>
  <c r="T111" i="1"/>
  <c r="S111" i="1"/>
  <c r="R111" i="1"/>
  <c r="O111" i="1"/>
  <c r="N111" i="1"/>
  <c r="M111" i="1"/>
  <c r="L111" i="1"/>
  <c r="K111" i="1"/>
  <c r="I111" i="1"/>
  <c r="G111" i="1"/>
  <c r="F111" i="1"/>
  <c r="D111" i="1"/>
  <c r="C111" i="1"/>
  <c r="AR110" i="1"/>
  <c r="AQ110" i="1"/>
  <c r="AP110" i="1"/>
  <c r="AL110" i="1"/>
  <c r="AK110" i="1"/>
  <c r="AJ110" i="1"/>
  <c r="AI110" i="1"/>
  <c r="AH110" i="1"/>
  <c r="AG110" i="1"/>
  <c r="AF110" i="1"/>
  <c r="AE110" i="1"/>
  <c r="AD110" i="1"/>
  <c r="AC110" i="1"/>
  <c r="AB110" i="1"/>
  <c r="Y110" i="1"/>
  <c r="X110" i="1"/>
  <c r="W110" i="1"/>
  <c r="V110" i="1"/>
  <c r="U110" i="1"/>
  <c r="T110" i="1"/>
  <c r="S110" i="1"/>
  <c r="R110" i="1"/>
  <c r="P110" i="1"/>
  <c r="O110" i="1"/>
  <c r="N110" i="1"/>
  <c r="M110" i="1"/>
  <c r="L110" i="1"/>
  <c r="K110" i="1"/>
  <c r="A110" i="1"/>
  <c r="AL109" i="1"/>
  <c r="AK109" i="1"/>
  <c r="AJ109" i="1"/>
  <c r="AI109" i="1"/>
  <c r="AH109" i="1"/>
  <c r="AG109" i="1"/>
  <c r="AF109" i="1"/>
  <c r="AE109" i="1"/>
  <c r="AD109" i="1"/>
  <c r="AC109" i="1"/>
  <c r="I109" i="1"/>
  <c r="G109" i="1"/>
  <c r="F109" i="1"/>
  <c r="D109" i="1"/>
  <c r="C109" i="1"/>
  <c r="AR108" i="1"/>
  <c r="AQ108" i="1"/>
  <c r="AP108" i="1"/>
  <c r="AL108" i="1"/>
  <c r="AK108" i="1"/>
  <c r="AJ108" i="1"/>
  <c r="AI108" i="1"/>
  <c r="AH108" i="1"/>
  <c r="AG108" i="1"/>
  <c r="AF108" i="1"/>
  <c r="AE108" i="1"/>
  <c r="AD108" i="1"/>
  <c r="AC108" i="1"/>
  <c r="X108" i="1"/>
  <c r="V108" i="1"/>
  <c r="U108" i="1"/>
  <c r="T108" i="1"/>
  <c r="S108" i="1"/>
  <c r="R108" i="1"/>
  <c r="O108" i="1"/>
  <c r="N108" i="1"/>
  <c r="M108" i="1"/>
  <c r="L108" i="1"/>
  <c r="K108" i="1"/>
  <c r="I108" i="1"/>
  <c r="G108" i="1"/>
  <c r="F108" i="1"/>
  <c r="D108" i="1"/>
  <c r="C108" i="1"/>
  <c r="AR107" i="1"/>
  <c r="AQ107" i="1"/>
  <c r="AP107" i="1"/>
  <c r="AL107" i="1"/>
  <c r="AK107" i="1"/>
  <c r="AJ107" i="1"/>
  <c r="AI107" i="1"/>
  <c r="AH107" i="1"/>
  <c r="AG107" i="1"/>
  <c r="AF107" i="1"/>
  <c r="AE107" i="1"/>
  <c r="AD107" i="1"/>
  <c r="AC107" i="1"/>
  <c r="AB107" i="1"/>
  <c r="Y107" i="1"/>
  <c r="X107" i="1"/>
  <c r="W107" i="1"/>
  <c r="V107" i="1"/>
  <c r="U107" i="1"/>
  <c r="T107" i="1"/>
  <c r="S107" i="1"/>
  <c r="R107" i="1"/>
  <c r="P107" i="1"/>
  <c r="O107" i="1"/>
  <c r="N107" i="1"/>
  <c r="M107" i="1"/>
  <c r="L107" i="1"/>
  <c r="K107" i="1"/>
  <c r="A107" i="1"/>
  <c r="AL106" i="1"/>
  <c r="AK106" i="1"/>
  <c r="AJ106" i="1"/>
  <c r="AI106" i="1"/>
  <c r="AH106" i="1"/>
  <c r="AG106" i="1"/>
  <c r="AF106" i="1"/>
  <c r="AE106" i="1"/>
  <c r="AD106" i="1"/>
  <c r="AC106" i="1"/>
  <c r="I106" i="1"/>
  <c r="G106" i="1"/>
  <c r="F106" i="1"/>
  <c r="D106" i="1"/>
  <c r="C106" i="1"/>
  <c r="AR105" i="1"/>
  <c r="AQ105" i="1"/>
  <c r="AP105" i="1"/>
  <c r="AL105" i="1"/>
  <c r="AK105" i="1"/>
  <c r="AJ105" i="1"/>
  <c r="AI105" i="1"/>
  <c r="AH105" i="1"/>
  <c r="AG105" i="1"/>
  <c r="AF105" i="1"/>
  <c r="AE105" i="1"/>
  <c r="AD105" i="1"/>
  <c r="AC105" i="1"/>
  <c r="X105" i="1"/>
  <c r="V105" i="1"/>
  <c r="U105" i="1"/>
  <c r="T105" i="1"/>
  <c r="S105" i="1"/>
  <c r="R105" i="1"/>
  <c r="O105" i="1"/>
  <c r="N105" i="1"/>
  <c r="M105" i="1"/>
  <c r="L105" i="1"/>
  <c r="K105" i="1"/>
  <c r="I105" i="1"/>
  <c r="G105" i="1"/>
  <c r="F105" i="1"/>
  <c r="D105" i="1"/>
  <c r="C105" i="1"/>
  <c r="AR104" i="1"/>
  <c r="AQ104" i="1"/>
  <c r="AP104" i="1"/>
  <c r="AL104" i="1"/>
  <c r="AK104" i="1"/>
  <c r="AJ104" i="1"/>
  <c r="AI104" i="1"/>
  <c r="AH104" i="1"/>
  <c r="AG104" i="1"/>
  <c r="AF104" i="1"/>
  <c r="AE104" i="1"/>
  <c r="AD104" i="1"/>
  <c r="AC104" i="1"/>
  <c r="AB104" i="1"/>
  <c r="Y104" i="1"/>
  <c r="X104" i="1"/>
  <c r="W104" i="1"/>
  <c r="V104" i="1"/>
  <c r="U104" i="1"/>
  <c r="T104" i="1"/>
  <c r="S104" i="1"/>
  <c r="R104" i="1"/>
  <c r="P104" i="1"/>
  <c r="O104" i="1"/>
  <c r="N104" i="1"/>
  <c r="M104" i="1"/>
  <c r="L104" i="1"/>
  <c r="K104" i="1"/>
  <c r="A104" i="1"/>
  <c r="AL103" i="1"/>
  <c r="AK103" i="1"/>
  <c r="AJ103" i="1"/>
  <c r="AI103" i="1"/>
  <c r="AH103" i="1"/>
  <c r="AG103" i="1"/>
  <c r="AF103" i="1"/>
  <c r="AE103" i="1"/>
  <c r="AD103" i="1"/>
  <c r="AC103" i="1"/>
  <c r="I103" i="1"/>
  <c r="G103" i="1"/>
  <c r="F103" i="1"/>
  <c r="D103" i="1"/>
  <c r="C103" i="1"/>
  <c r="AR102" i="1"/>
  <c r="AQ102" i="1"/>
  <c r="AP102" i="1"/>
  <c r="AL102" i="1"/>
  <c r="AK102" i="1"/>
  <c r="AJ102" i="1"/>
  <c r="AI102" i="1"/>
  <c r="AH102" i="1"/>
  <c r="AG102" i="1"/>
  <c r="AF102" i="1"/>
  <c r="AE102" i="1"/>
  <c r="AD102" i="1"/>
  <c r="AC102" i="1"/>
  <c r="X102" i="1"/>
  <c r="V102" i="1"/>
  <c r="U102" i="1"/>
  <c r="T102" i="1"/>
  <c r="S102" i="1"/>
  <c r="R102" i="1"/>
  <c r="O102" i="1"/>
  <c r="N102" i="1"/>
  <c r="M102" i="1"/>
  <c r="L102" i="1"/>
  <c r="K102" i="1"/>
  <c r="I102" i="1"/>
  <c r="G102" i="1"/>
  <c r="F102" i="1"/>
  <c r="D102" i="1"/>
  <c r="C102" i="1"/>
  <c r="AR101" i="1"/>
  <c r="AQ101" i="1"/>
  <c r="AP101" i="1"/>
  <c r="AL101" i="1"/>
  <c r="AK101" i="1"/>
  <c r="AJ101" i="1"/>
  <c r="AI101" i="1"/>
  <c r="AH101" i="1"/>
  <c r="AG101" i="1"/>
  <c r="AF101" i="1"/>
  <c r="AE101" i="1"/>
  <c r="AD101" i="1"/>
  <c r="AC101" i="1"/>
  <c r="AB101" i="1"/>
  <c r="Y101" i="1"/>
  <c r="X101" i="1"/>
  <c r="W101" i="1"/>
  <c r="V101" i="1"/>
  <c r="U101" i="1"/>
  <c r="T101" i="1"/>
  <c r="S101" i="1"/>
  <c r="R101" i="1"/>
  <c r="P101" i="1"/>
  <c r="O101" i="1"/>
  <c r="N101" i="1"/>
  <c r="M101" i="1"/>
  <c r="L101" i="1"/>
  <c r="K101" i="1"/>
  <c r="A101" i="1"/>
  <c r="AL100" i="1"/>
  <c r="AK100" i="1"/>
  <c r="AJ100" i="1"/>
  <c r="AI100" i="1"/>
  <c r="AH100" i="1"/>
  <c r="AG100" i="1"/>
  <c r="AF100" i="1"/>
  <c r="AE100" i="1"/>
  <c r="AD100" i="1"/>
  <c r="AC100" i="1"/>
  <c r="I100" i="1"/>
  <c r="G100" i="1"/>
  <c r="F100" i="1"/>
  <c r="D100" i="1"/>
  <c r="C100" i="1"/>
  <c r="AR99" i="1"/>
  <c r="AQ99" i="1"/>
  <c r="AP99" i="1"/>
  <c r="AL99" i="1"/>
  <c r="AK99" i="1"/>
  <c r="AJ99" i="1"/>
  <c r="AI99" i="1"/>
  <c r="AH99" i="1"/>
  <c r="AG99" i="1"/>
  <c r="AF99" i="1"/>
  <c r="AE99" i="1"/>
  <c r="AD99" i="1"/>
  <c r="AC99" i="1"/>
  <c r="X99" i="1"/>
  <c r="V99" i="1"/>
  <c r="U99" i="1"/>
  <c r="T99" i="1"/>
  <c r="S99" i="1"/>
  <c r="R99" i="1"/>
  <c r="O99" i="1"/>
  <c r="N99" i="1"/>
  <c r="M99" i="1"/>
  <c r="L99" i="1"/>
  <c r="K99" i="1"/>
  <c r="I99" i="1"/>
  <c r="G99" i="1"/>
  <c r="F99" i="1"/>
  <c r="D99" i="1"/>
  <c r="C99" i="1"/>
  <c r="AR98" i="1"/>
  <c r="AQ98" i="1"/>
  <c r="AP98" i="1"/>
  <c r="AL98" i="1"/>
  <c r="AK98" i="1"/>
  <c r="AJ98" i="1"/>
  <c r="AI98" i="1"/>
  <c r="AH98" i="1"/>
  <c r="AG98" i="1"/>
  <c r="AF98" i="1"/>
  <c r="AE98" i="1"/>
  <c r="AD98" i="1"/>
  <c r="AC98" i="1"/>
  <c r="AB98" i="1"/>
  <c r="X98" i="1"/>
  <c r="W98" i="1"/>
  <c r="V98" i="1"/>
  <c r="U98" i="1"/>
  <c r="T98" i="1"/>
  <c r="S98" i="1"/>
  <c r="R98" i="1"/>
  <c r="P98" i="1"/>
  <c r="O98" i="1"/>
  <c r="N98" i="1"/>
  <c r="M98" i="1"/>
  <c r="L98" i="1"/>
  <c r="K98" i="1"/>
  <c r="A98" i="1"/>
  <c r="AL97" i="1"/>
  <c r="AK97" i="1"/>
  <c r="AJ97" i="1"/>
  <c r="AI97" i="1"/>
  <c r="AH97" i="1"/>
  <c r="AG97" i="1"/>
  <c r="AF97" i="1"/>
  <c r="AE97" i="1"/>
  <c r="AD97" i="1"/>
  <c r="AC97" i="1"/>
  <c r="I97" i="1"/>
  <c r="G97" i="1"/>
  <c r="F97" i="1"/>
  <c r="D97" i="1"/>
  <c r="C97" i="1"/>
  <c r="AW96" i="1" a="1"/>
  <c r="AR96" i="1"/>
  <c r="AQ96" i="1"/>
  <c r="AP96" i="1"/>
  <c r="AL96" i="1"/>
  <c r="AK96" i="1"/>
  <c r="AJ96" i="1"/>
  <c r="AI96" i="1"/>
  <c r="AH96" i="1"/>
  <c r="AG96" i="1"/>
  <c r="AF96" i="1"/>
  <c r="AE96" i="1"/>
  <c r="AD96" i="1"/>
  <c r="AC96" i="1"/>
  <c r="X96" i="1"/>
  <c r="V96" i="1"/>
  <c r="U96" i="1"/>
  <c r="T96" i="1"/>
  <c r="S96" i="1"/>
  <c r="R96" i="1"/>
  <c r="O96" i="1"/>
  <c r="N96" i="1"/>
  <c r="M96" i="1"/>
  <c r="L96" i="1"/>
  <c r="K96" i="1"/>
  <c r="I96" i="1"/>
  <c r="G96" i="1"/>
  <c r="F96" i="1"/>
  <c r="D96" i="1"/>
  <c r="C96" i="1"/>
  <c r="AR95" i="1"/>
  <c r="AQ95" i="1"/>
  <c r="AP95" i="1"/>
  <c r="AL95" i="1"/>
  <c r="AK95" i="1"/>
  <c r="AJ95" i="1"/>
  <c r="AI95" i="1"/>
  <c r="AH95" i="1"/>
  <c r="AG95" i="1"/>
  <c r="AF95" i="1"/>
  <c r="AE95" i="1"/>
  <c r="AD95" i="1"/>
  <c r="AC95" i="1"/>
  <c r="AB95" i="1"/>
  <c r="X95" i="1"/>
  <c r="W95" i="1"/>
  <c r="V95" i="1"/>
  <c r="U95" i="1"/>
  <c r="T95" i="1"/>
  <c r="S95" i="1"/>
  <c r="R95" i="1"/>
  <c r="P95" i="1"/>
  <c r="O95" i="1"/>
  <c r="N95" i="1"/>
  <c r="M95" i="1"/>
  <c r="L95" i="1"/>
  <c r="K95" i="1"/>
  <c r="A95" i="1"/>
  <c r="AL94" i="1"/>
  <c r="AK94" i="1"/>
  <c r="AJ94" i="1"/>
  <c r="AI94" i="1"/>
  <c r="AH94" i="1"/>
  <c r="AG94" i="1"/>
  <c r="AF94" i="1"/>
  <c r="AE94" i="1"/>
  <c r="AD94" i="1"/>
  <c r="AC94" i="1"/>
  <c r="I94" i="1"/>
  <c r="G94" i="1"/>
  <c r="F94" i="1"/>
  <c r="D94" i="1"/>
  <c r="C94" i="1"/>
  <c r="AR93" i="1"/>
  <c r="AQ93" i="1"/>
  <c r="AP93" i="1"/>
  <c r="AL93" i="1"/>
  <c r="AK93" i="1"/>
  <c r="AJ93" i="1"/>
  <c r="AI93" i="1"/>
  <c r="AH93" i="1"/>
  <c r="AG93" i="1"/>
  <c r="AF93" i="1"/>
  <c r="AE93" i="1"/>
  <c r="AD93" i="1"/>
  <c r="AC93" i="1"/>
  <c r="X93" i="1"/>
  <c r="V93" i="1"/>
  <c r="U93" i="1"/>
  <c r="T93" i="1"/>
  <c r="S93" i="1"/>
  <c r="R93" i="1"/>
  <c r="O93" i="1"/>
  <c r="N93" i="1"/>
  <c r="M93" i="1"/>
  <c r="L93" i="1"/>
  <c r="K93" i="1"/>
  <c r="I93" i="1"/>
  <c r="G93" i="1"/>
  <c r="F93" i="1"/>
  <c r="D93" i="1"/>
  <c r="C93" i="1"/>
  <c r="AR92" i="1"/>
  <c r="AQ92" i="1"/>
  <c r="AP92" i="1"/>
  <c r="AL92" i="1"/>
  <c r="AK92" i="1"/>
  <c r="AJ92" i="1"/>
  <c r="AI92" i="1"/>
  <c r="AH92" i="1"/>
  <c r="AG92" i="1"/>
  <c r="AF92" i="1"/>
  <c r="AE92" i="1"/>
  <c r="AD92" i="1"/>
  <c r="AC92" i="1"/>
  <c r="AB92" i="1"/>
  <c r="X92" i="1"/>
  <c r="W92" i="1"/>
  <c r="V92" i="1"/>
  <c r="U92" i="1"/>
  <c r="T92" i="1"/>
  <c r="S92" i="1"/>
  <c r="R92" i="1"/>
  <c r="P92" i="1"/>
  <c r="O92" i="1"/>
  <c r="N92" i="1"/>
  <c r="M92" i="1"/>
  <c r="L92" i="1"/>
  <c r="K92" i="1"/>
  <c r="A92" i="1"/>
  <c r="AL91" i="1"/>
  <c r="AK91" i="1"/>
  <c r="AJ91" i="1"/>
  <c r="AI91" i="1"/>
  <c r="AH91" i="1"/>
  <c r="AG91" i="1"/>
  <c r="AF91" i="1"/>
  <c r="AE91" i="1"/>
  <c r="AD91" i="1"/>
  <c r="AC91" i="1"/>
  <c r="I91" i="1"/>
  <c r="G91" i="1"/>
  <c r="F91" i="1"/>
  <c r="D91" i="1"/>
  <c r="C91" i="1"/>
  <c r="AR90" i="1"/>
  <c r="AQ90" i="1"/>
  <c r="AP90" i="1"/>
  <c r="AL90" i="1"/>
  <c r="AK90" i="1"/>
  <c r="AJ90" i="1"/>
  <c r="AI90" i="1"/>
  <c r="AH90" i="1"/>
  <c r="AG90" i="1"/>
  <c r="AF90" i="1"/>
  <c r="AE90" i="1"/>
  <c r="AD90" i="1"/>
  <c r="AC90" i="1"/>
  <c r="X90" i="1"/>
  <c r="V90" i="1"/>
  <c r="U90" i="1"/>
  <c r="T90" i="1"/>
  <c r="S90" i="1"/>
  <c r="R90" i="1"/>
  <c r="O90" i="1"/>
  <c r="N90" i="1"/>
  <c r="M90" i="1"/>
  <c r="L90" i="1"/>
  <c r="K90" i="1"/>
  <c r="I90" i="1"/>
  <c r="G90" i="1"/>
  <c r="F90" i="1"/>
  <c r="D90" i="1"/>
  <c r="C90" i="1"/>
  <c r="AR89" i="1"/>
  <c r="AQ89" i="1"/>
  <c r="AP89" i="1"/>
  <c r="AL89" i="1"/>
  <c r="AK89" i="1"/>
  <c r="AJ89" i="1"/>
  <c r="AI89" i="1"/>
  <c r="AH89" i="1"/>
  <c r="AG89" i="1"/>
  <c r="AF89" i="1"/>
  <c r="AE89" i="1"/>
  <c r="AD89" i="1"/>
  <c r="AC89" i="1"/>
  <c r="AB89" i="1"/>
  <c r="X89" i="1"/>
  <c r="W89" i="1"/>
  <c r="V89" i="1"/>
  <c r="U89" i="1"/>
  <c r="T89" i="1"/>
  <c r="S89" i="1"/>
  <c r="R89" i="1"/>
  <c r="P89" i="1"/>
  <c r="O89" i="1"/>
  <c r="N89" i="1"/>
  <c r="M89" i="1"/>
  <c r="L89" i="1"/>
  <c r="K89" i="1"/>
  <c r="G89" i="1"/>
  <c r="A89" i="1"/>
  <c r="AL88" i="1"/>
  <c r="AK88" i="1"/>
  <c r="AJ88" i="1"/>
  <c r="AI88" i="1"/>
  <c r="AH88" i="1"/>
  <c r="AG88" i="1"/>
  <c r="AF88" i="1"/>
  <c r="AE88" i="1"/>
  <c r="AD88" i="1"/>
  <c r="AC88" i="1"/>
  <c r="I88" i="1"/>
  <c r="G88" i="1"/>
  <c r="F88" i="1"/>
  <c r="D88" i="1"/>
  <c r="C88" i="1"/>
  <c r="AR87" i="1"/>
  <c r="AQ87" i="1"/>
  <c r="AP87" i="1"/>
  <c r="AL87" i="1"/>
  <c r="AK87" i="1"/>
  <c r="AJ87" i="1"/>
  <c r="AI87" i="1"/>
  <c r="AH87" i="1"/>
  <c r="AG87" i="1"/>
  <c r="AF87" i="1"/>
  <c r="AE87" i="1"/>
  <c r="AD87" i="1"/>
  <c r="AC87" i="1"/>
  <c r="X87" i="1"/>
  <c r="V87" i="1"/>
  <c r="U87" i="1"/>
  <c r="T87" i="1"/>
  <c r="S87" i="1"/>
  <c r="R87" i="1"/>
  <c r="O87" i="1"/>
  <c r="N87" i="1"/>
  <c r="M87" i="1"/>
  <c r="L87" i="1"/>
  <c r="K87" i="1"/>
  <c r="I87" i="1"/>
  <c r="G87" i="1"/>
  <c r="F87" i="1"/>
  <c r="D87" i="1"/>
  <c r="C87" i="1"/>
  <c r="AR86" i="1"/>
  <c r="AQ86" i="1"/>
  <c r="AP86" i="1"/>
  <c r="AL86" i="1"/>
  <c r="AK86" i="1"/>
  <c r="AJ86" i="1"/>
  <c r="AI86" i="1"/>
  <c r="AH86" i="1"/>
  <c r="AG86" i="1"/>
  <c r="AF86" i="1"/>
  <c r="AE86" i="1"/>
  <c r="AD86" i="1"/>
  <c r="AC86" i="1"/>
  <c r="AB86" i="1"/>
  <c r="Y86" i="1"/>
  <c r="X86" i="1"/>
  <c r="W86" i="1"/>
  <c r="V86" i="1"/>
  <c r="U86" i="1"/>
  <c r="T86" i="1"/>
  <c r="S86" i="1"/>
  <c r="R86" i="1"/>
  <c r="P86" i="1"/>
  <c r="O86" i="1"/>
  <c r="N86" i="1"/>
  <c r="M86" i="1"/>
  <c r="L86" i="1"/>
  <c r="K86" i="1"/>
  <c r="A86" i="1"/>
  <c r="AL85" i="1"/>
  <c r="AK85" i="1"/>
  <c r="AJ85" i="1"/>
  <c r="AI85" i="1"/>
  <c r="AH85" i="1"/>
  <c r="AG85" i="1"/>
  <c r="AF85" i="1"/>
  <c r="AE85" i="1"/>
  <c r="AD85" i="1"/>
  <c r="AC85" i="1"/>
  <c r="I85" i="1"/>
  <c r="G85" i="1"/>
  <c r="F85" i="1"/>
  <c r="D85" i="1"/>
  <c r="C85" i="1"/>
  <c r="AR84" i="1"/>
  <c r="AQ84" i="1"/>
  <c r="AP84" i="1"/>
  <c r="AL84" i="1"/>
  <c r="AK84" i="1"/>
  <c r="AJ84" i="1"/>
  <c r="AI84" i="1"/>
  <c r="AH84" i="1"/>
  <c r="AG84" i="1"/>
  <c r="AF84" i="1"/>
  <c r="AE84" i="1"/>
  <c r="AD84" i="1"/>
  <c r="AC84" i="1"/>
  <c r="X84" i="1"/>
  <c r="V84" i="1"/>
  <c r="U84" i="1"/>
  <c r="T84" i="1"/>
  <c r="S84" i="1"/>
  <c r="R84" i="1"/>
  <c r="O84" i="1"/>
  <c r="N84" i="1"/>
  <c r="M84" i="1"/>
  <c r="L84" i="1"/>
  <c r="K84" i="1"/>
  <c r="I84" i="1"/>
  <c r="G84" i="1"/>
  <c r="F84" i="1"/>
  <c r="D84" i="1"/>
  <c r="C84" i="1"/>
  <c r="AR83" i="1"/>
  <c r="AQ83" i="1"/>
  <c r="AP83" i="1"/>
  <c r="AL83" i="1"/>
  <c r="AK83" i="1"/>
  <c r="AJ83" i="1"/>
  <c r="AI83" i="1"/>
  <c r="AH83" i="1"/>
  <c r="AG83" i="1"/>
  <c r="AF83" i="1"/>
  <c r="AE83" i="1"/>
  <c r="AD83" i="1"/>
  <c r="AC83" i="1"/>
  <c r="AB83" i="1"/>
  <c r="Y83" i="1"/>
  <c r="X83" i="1"/>
  <c r="W83" i="1"/>
  <c r="V83" i="1"/>
  <c r="U83" i="1"/>
  <c r="T83" i="1"/>
  <c r="S83" i="1"/>
  <c r="R83" i="1"/>
  <c r="P83" i="1"/>
  <c r="O83" i="1"/>
  <c r="N83" i="1"/>
  <c r="M83" i="1"/>
  <c r="L83" i="1"/>
  <c r="K83" i="1"/>
  <c r="A83" i="1"/>
  <c r="AL82" i="1"/>
  <c r="AK82" i="1"/>
  <c r="AJ82" i="1"/>
  <c r="AI82" i="1"/>
  <c r="AH82" i="1"/>
  <c r="AG82" i="1"/>
  <c r="AF82" i="1"/>
  <c r="AE82" i="1"/>
  <c r="AD82" i="1"/>
  <c r="AC82" i="1"/>
  <c r="I82" i="1"/>
  <c r="G82" i="1"/>
  <c r="F82" i="1"/>
  <c r="D82" i="1"/>
  <c r="C82" i="1"/>
  <c r="AR81" i="1"/>
  <c r="AQ81" i="1"/>
  <c r="AP81" i="1"/>
  <c r="AL81" i="1"/>
  <c r="AK81" i="1"/>
  <c r="AJ81" i="1"/>
  <c r="AI81" i="1"/>
  <c r="AH81" i="1"/>
  <c r="AG81" i="1"/>
  <c r="AF81" i="1"/>
  <c r="AE81" i="1"/>
  <c r="AD81" i="1"/>
  <c r="AC81" i="1"/>
  <c r="X81" i="1"/>
  <c r="V81" i="1"/>
  <c r="U81" i="1"/>
  <c r="T81" i="1"/>
  <c r="S81" i="1"/>
  <c r="R81" i="1"/>
  <c r="O81" i="1"/>
  <c r="N81" i="1"/>
  <c r="M81" i="1"/>
  <c r="L81" i="1"/>
  <c r="K81" i="1"/>
  <c r="I81" i="1"/>
  <c r="G81" i="1"/>
  <c r="F81" i="1"/>
  <c r="D81" i="1"/>
  <c r="C81" i="1"/>
  <c r="AR80" i="1"/>
  <c r="AQ80" i="1"/>
  <c r="AP80" i="1"/>
  <c r="AL80" i="1"/>
  <c r="AK80" i="1"/>
  <c r="AJ80" i="1"/>
  <c r="AI80" i="1"/>
  <c r="AH80" i="1"/>
  <c r="AG80" i="1"/>
  <c r="AF80" i="1"/>
  <c r="AE80" i="1"/>
  <c r="AD80" i="1"/>
  <c r="AC80" i="1"/>
  <c r="AB80" i="1"/>
  <c r="X80" i="1"/>
  <c r="W80" i="1"/>
  <c r="V80" i="1"/>
  <c r="U80" i="1"/>
  <c r="T80" i="1"/>
  <c r="S80" i="1"/>
  <c r="R80" i="1"/>
  <c r="P80" i="1"/>
  <c r="O80" i="1"/>
  <c r="N80" i="1"/>
  <c r="M80" i="1"/>
  <c r="L80" i="1"/>
  <c r="K80" i="1"/>
  <c r="A80" i="1"/>
  <c r="AL79" i="1"/>
  <c r="AK79" i="1"/>
  <c r="AJ79" i="1"/>
  <c r="AI79" i="1"/>
  <c r="AH79" i="1"/>
  <c r="AG79" i="1"/>
  <c r="AF79" i="1"/>
  <c r="AE79" i="1"/>
  <c r="AD79" i="1"/>
  <c r="AC79" i="1"/>
  <c r="I79" i="1"/>
  <c r="G79" i="1"/>
  <c r="F79" i="1"/>
  <c r="D79" i="1"/>
  <c r="C79" i="1"/>
  <c r="AR78" i="1"/>
  <c r="AQ78" i="1"/>
  <c r="AP78" i="1"/>
  <c r="AL78" i="1"/>
  <c r="AK78" i="1"/>
  <c r="AJ78" i="1"/>
  <c r="AI78" i="1"/>
  <c r="AH78" i="1"/>
  <c r="AG78" i="1"/>
  <c r="AF78" i="1"/>
  <c r="AE78" i="1"/>
  <c r="AD78" i="1"/>
  <c r="AC78" i="1"/>
  <c r="X78" i="1"/>
  <c r="V78" i="1"/>
  <c r="U78" i="1"/>
  <c r="T78" i="1"/>
  <c r="S78" i="1"/>
  <c r="R78" i="1"/>
  <c r="O78" i="1"/>
  <c r="N78" i="1"/>
  <c r="M78" i="1"/>
  <c r="L78" i="1"/>
  <c r="K78" i="1"/>
  <c r="I78" i="1"/>
  <c r="G78" i="1"/>
  <c r="F78" i="1"/>
  <c r="D78" i="1"/>
  <c r="C78" i="1"/>
  <c r="AR77" i="1"/>
  <c r="AQ77" i="1"/>
  <c r="AP77" i="1"/>
  <c r="AL77" i="1"/>
  <c r="AK77" i="1"/>
  <c r="AJ77" i="1"/>
  <c r="AI77" i="1"/>
  <c r="AH77" i="1"/>
  <c r="AG77" i="1"/>
  <c r="AF77" i="1"/>
  <c r="AE77" i="1"/>
  <c r="AD77" i="1"/>
  <c r="AC77" i="1"/>
  <c r="AB77" i="1"/>
  <c r="X77" i="1"/>
  <c r="W77" i="1"/>
  <c r="V77" i="1"/>
  <c r="U77" i="1"/>
  <c r="T77" i="1"/>
  <c r="S77" i="1"/>
  <c r="R77" i="1"/>
  <c r="P77" i="1"/>
  <c r="O77" i="1"/>
  <c r="N77" i="1"/>
  <c r="M77" i="1"/>
  <c r="L77" i="1"/>
  <c r="K77" i="1"/>
  <c r="A77" i="1"/>
  <c r="AL76" i="1"/>
  <c r="AK76" i="1"/>
  <c r="AJ76" i="1"/>
  <c r="AI76" i="1"/>
  <c r="AH76" i="1"/>
  <c r="AG76" i="1"/>
  <c r="AF76" i="1"/>
  <c r="AE76" i="1"/>
  <c r="AD76" i="1"/>
  <c r="AC76" i="1"/>
  <c r="I76" i="1"/>
  <c r="G76" i="1"/>
  <c r="D76" i="1"/>
  <c r="C76" i="1"/>
  <c r="AR75" i="1"/>
  <c r="AQ75" i="1"/>
  <c r="AP75" i="1"/>
  <c r="AL75" i="1"/>
  <c r="AK75" i="1"/>
  <c r="AJ75" i="1"/>
  <c r="AI75" i="1"/>
  <c r="AH75" i="1"/>
  <c r="AG75" i="1"/>
  <c r="AF75" i="1"/>
  <c r="AE75" i="1"/>
  <c r="AD75" i="1"/>
  <c r="AC75" i="1"/>
  <c r="X75" i="1"/>
  <c r="V75" i="1"/>
  <c r="U75" i="1"/>
  <c r="T75" i="1"/>
  <c r="S75" i="1"/>
  <c r="R75" i="1"/>
  <c r="O75" i="1"/>
  <c r="N75" i="1"/>
  <c r="M75" i="1"/>
  <c r="L75" i="1"/>
  <c r="K75" i="1"/>
  <c r="I75" i="1"/>
  <c r="G75" i="1"/>
  <c r="D75" i="1"/>
  <c r="C75" i="1"/>
  <c r="AR74" i="1"/>
  <c r="AQ74" i="1"/>
  <c r="AP74" i="1"/>
  <c r="AL74" i="1"/>
  <c r="AK74" i="1"/>
  <c r="AJ74" i="1"/>
  <c r="AI74" i="1"/>
  <c r="AH74" i="1"/>
  <c r="AG74" i="1"/>
  <c r="AF74" i="1"/>
  <c r="AE74" i="1"/>
  <c r="AD74" i="1"/>
  <c r="AC74" i="1"/>
  <c r="AB74" i="1"/>
  <c r="Y74" i="1"/>
  <c r="X74" i="1"/>
  <c r="W74" i="1"/>
  <c r="V74" i="1"/>
  <c r="U74" i="1"/>
  <c r="T74" i="1"/>
  <c r="S74" i="1"/>
  <c r="R74" i="1"/>
  <c r="P74" i="1"/>
  <c r="O74" i="1"/>
  <c r="N74" i="1"/>
  <c r="M74" i="1"/>
  <c r="L74" i="1"/>
  <c r="K74" i="1"/>
  <c r="A74" i="1"/>
  <c r="AL73" i="1"/>
  <c r="AK73" i="1"/>
  <c r="AJ73" i="1"/>
  <c r="AI73" i="1"/>
  <c r="AH73" i="1"/>
  <c r="AG73" i="1"/>
  <c r="AF73" i="1"/>
  <c r="AE73" i="1"/>
  <c r="AD73" i="1"/>
  <c r="AC73" i="1"/>
  <c r="I73" i="1"/>
  <c r="G73" i="1"/>
  <c r="D73" i="1"/>
  <c r="C73" i="1"/>
  <c r="AR72" i="1"/>
  <c r="AQ72" i="1"/>
  <c r="AP72" i="1"/>
  <c r="AL72" i="1"/>
  <c r="AK72" i="1"/>
  <c r="AJ72" i="1"/>
  <c r="AI72" i="1"/>
  <c r="AH72" i="1"/>
  <c r="AG72" i="1"/>
  <c r="AF72" i="1"/>
  <c r="AE72" i="1"/>
  <c r="AD72" i="1"/>
  <c r="AC72" i="1"/>
  <c r="X72" i="1"/>
  <c r="V72" i="1"/>
  <c r="U72" i="1"/>
  <c r="T72" i="1"/>
  <c r="S72" i="1"/>
  <c r="R72" i="1"/>
  <c r="O72" i="1"/>
  <c r="N72" i="1"/>
  <c r="M72" i="1"/>
  <c r="L72" i="1"/>
  <c r="K72" i="1"/>
  <c r="I72" i="1"/>
  <c r="G72" i="1"/>
  <c r="D72" i="1"/>
  <c r="C72" i="1"/>
  <c r="AR71" i="1"/>
  <c r="AQ71" i="1"/>
  <c r="AP71" i="1"/>
  <c r="AO71" i="1"/>
  <c r="AL71" i="1"/>
  <c r="AK71" i="1"/>
  <c r="AJ71" i="1"/>
  <c r="AI71" i="1"/>
  <c r="AH71" i="1"/>
  <c r="AG71" i="1"/>
  <c r="AF71" i="1"/>
  <c r="AE71" i="1"/>
  <c r="AD71" i="1"/>
  <c r="AC71" i="1"/>
  <c r="AB71" i="1"/>
  <c r="X71" i="1"/>
  <c r="W71" i="1"/>
  <c r="V71" i="1"/>
  <c r="U71" i="1"/>
  <c r="T71" i="1"/>
  <c r="S71" i="1"/>
  <c r="R71" i="1"/>
  <c r="P71" i="1"/>
  <c r="O71" i="1"/>
  <c r="N71" i="1"/>
  <c r="M71" i="1"/>
  <c r="L71" i="1"/>
  <c r="K71" i="1"/>
  <c r="A71" i="1"/>
  <c r="AO70" i="1"/>
  <c r="AL70" i="1"/>
  <c r="AK70" i="1"/>
  <c r="AJ70" i="1"/>
  <c r="AI70" i="1"/>
  <c r="AH70" i="1"/>
  <c r="AG70" i="1"/>
  <c r="AF70" i="1"/>
  <c r="AE70" i="1"/>
  <c r="AD70" i="1"/>
  <c r="AC70" i="1"/>
  <c r="I70" i="1"/>
  <c r="G70" i="1"/>
  <c r="D70" i="1"/>
  <c r="C70" i="1"/>
  <c r="AR69" i="1"/>
  <c r="AQ69" i="1"/>
  <c r="AP69" i="1"/>
  <c r="AO69" i="1"/>
  <c r="AL69" i="1"/>
  <c r="AK69" i="1"/>
  <c r="AJ69" i="1"/>
  <c r="AI69" i="1"/>
  <c r="AH69" i="1"/>
  <c r="AG69" i="1"/>
  <c r="AF69" i="1"/>
  <c r="AE69" i="1"/>
  <c r="AD69" i="1"/>
  <c r="AC69" i="1"/>
  <c r="X69" i="1"/>
  <c r="V69" i="1"/>
  <c r="U69" i="1"/>
  <c r="T69" i="1"/>
  <c r="S69" i="1"/>
  <c r="R69" i="1"/>
  <c r="O69" i="1"/>
  <c r="N69" i="1"/>
  <c r="M69" i="1"/>
  <c r="L69" i="1"/>
  <c r="K69" i="1"/>
  <c r="I69" i="1"/>
  <c r="G69" i="1"/>
  <c r="D69" i="1"/>
  <c r="C69" i="1"/>
  <c r="AR68" i="1"/>
  <c r="AQ68" i="1"/>
  <c r="AP68" i="1"/>
  <c r="AO68" i="1"/>
  <c r="AL68" i="1"/>
  <c r="AK68" i="1"/>
  <c r="AJ68" i="1"/>
  <c r="AI68" i="1"/>
  <c r="AH68" i="1"/>
  <c r="AG68" i="1"/>
  <c r="AF68" i="1"/>
  <c r="AE68" i="1"/>
  <c r="AD68" i="1"/>
  <c r="AC68" i="1"/>
  <c r="AB68" i="1"/>
  <c r="Y68" i="1"/>
  <c r="X68" i="1"/>
  <c r="W68" i="1"/>
  <c r="V68" i="1"/>
  <c r="U68" i="1"/>
  <c r="T68" i="1"/>
  <c r="S68" i="1"/>
  <c r="R68" i="1"/>
  <c r="P68" i="1"/>
  <c r="O68" i="1"/>
  <c r="N68" i="1"/>
  <c r="M68" i="1"/>
  <c r="L68" i="1"/>
  <c r="K68" i="1"/>
  <c r="G68" i="1"/>
  <c r="A68" i="1"/>
  <c r="AO67" i="1"/>
  <c r="AL67" i="1"/>
  <c r="AK67" i="1"/>
  <c r="AJ67" i="1"/>
  <c r="AI67" i="1"/>
  <c r="AH67" i="1"/>
  <c r="AG67" i="1"/>
  <c r="AF67" i="1"/>
  <c r="AE67" i="1"/>
  <c r="AD67" i="1"/>
  <c r="AC67" i="1"/>
  <c r="I67" i="1"/>
  <c r="G67" i="1"/>
  <c r="D67" i="1"/>
  <c r="C67" i="1"/>
  <c r="AR66" i="1"/>
  <c r="AQ66" i="1"/>
  <c r="AP66" i="1"/>
  <c r="AO66" i="1"/>
  <c r="AL66" i="1"/>
  <c r="AK66" i="1"/>
  <c r="AJ66" i="1"/>
  <c r="AI66" i="1"/>
  <c r="AH66" i="1"/>
  <c r="AG66" i="1"/>
  <c r="AF66" i="1"/>
  <c r="AE66" i="1"/>
  <c r="AD66" i="1"/>
  <c r="AC66" i="1"/>
  <c r="X66" i="1"/>
  <c r="V66" i="1"/>
  <c r="U66" i="1"/>
  <c r="T66" i="1"/>
  <c r="S66" i="1"/>
  <c r="R66" i="1"/>
  <c r="O66" i="1"/>
  <c r="N66" i="1"/>
  <c r="M66" i="1"/>
  <c r="L66" i="1"/>
  <c r="K66" i="1"/>
  <c r="I66" i="1"/>
  <c r="G66" i="1"/>
  <c r="D66" i="1"/>
  <c r="C66" i="1"/>
  <c r="AR65" i="1"/>
  <c r="AQ65" i="1"/>
  <c r="AP65" i="1"/>
  <c r="AO65" i="1"/>
  <c r="AL65" i="1"/>
  <c r="AK65" i="1"/>
  <c r="AJ65" i="1"/>
  <c r="AI65" i="1"/>
  <c r="AH65" i="1"/>
  <c r="AG65" i="1"/>
  <c r="AF65" i="1"/>
  <c r="AE65" i="1"/>
  <c r="AD65" i="1"/>
  <c r="AC65" i="1"/>
  <c r="AB65" i="1"/>
  <c r="Y65" i="1"/>
  <c r="X65" i="1"/>
  <c r="W65" i="1"/>
  <c r="V65" i="1"/>
  <c r="U65" i="1"/>
  <c r="T65" i="1"/>
  <c r="S65" i="1"/>
  <c r="R65" i="1"/>
  <c r="P65" i="1"/>
  <c r="O65" i="1"/>
  <c r="N65" i="1"/>
  <c r="M65" i="1"/>
  <c r="L65" i="1"/>
  <c r="K65" i="1"/>
  <c r="A65" i="1"/>
  <c r="AO64" i="1"/>
  <c r="AL64" i="1"/>
  <c r="AK64" i="1"/>
  <c r="AJ64" i="1"/>
  <c r="AI64" i="1"/>
  <c r="AH64" i="1"/>
  <c r="AG64" i="1"/>
  <c r="AF64" i="1"/>
  <c r="AE64" i="1"/>
  <c r="AD64" i="1"/>
  <c r="AC64" i="1"/>
  <c r="I64" i="1"/>
  <c r="G64" i="1"/>
  <c r="D64" i="1"/>
  <c r="C64" i="1"/>
  <c r="AR63" i="1"/>
  <c r="AQ63" i="1"/>
  <c r="AP63" i="1"/>
  <c r="AO63" i="1"/>
  <c r="AL63" i="1"/>
  <c r="AK63" i="1"/>
  <c r="AJ63" i="1"/>
  <c r="AI63" i="1"/>
  <c r="AH63" i="1"/>
  <c r="AG63" i="1"/>
  <c r="AF63" i="1"/>
  <c r="AE63" i="1"/>
  <c r="AD63" i="1"/>
  <c r="AC63" i="1"/>
  <c r="X63" i="1"/>
  <c r="V63" i="1"/>
  <c r="U63" i="1"/>
  <c r="T63" i="1"/>
  <c r="S63" i="1"/>
  <c r="R63" i="1"/>
  <c r="O63" i="1"/>
  <c r="N63" i="1"/>
  <c r="M63" i="1"/>
  <c r="L63" i="1"/>
  <c r="K63" i="1"/>
  <c r="I63" i="1"/>
  <c r="G63" i="1"/>
  <c r="D63" i="1"/>
  <c r="C63" i="1"/>
  <c r="AR62" i="1"/>
  <c r="AQ62" i="1"/>
  <c r="AP62" i="1"/>
  <c r="AO62" i="1"/>
  <c r="AL62" i="1"/>
  <c r="AK62" i="1"/>
  <c r="AJ62" i="1"/>
  <c r="AI62" i="1"/>
  <c r="AH62" i="1"/>
  <c r="AG62" i="1"/>
  <c r="AF62" i="1"/>
  <c r="AE62" i="1"/>
  <c r="AD62" i="1"/>
  <c r="AC62" i="1"/>
  <c r="AB62" i="1"/>
  <c r="Y62" i="1"/>
  <c r="X62" i="1"/>
  <c r="W62" i="1"/>
  <c r="V62" i="1"/>
  <c r="U62" i="1"/>
  <c r="T62" i="1"/>
  <c r="S62" i="1"/>
  <c r="R62" i="1"/>
  <c r="P62" i="1"/>
  <c r="O62" i="1"/>
  <c r="N62" i="1"/>
  <c r="M62" i="1"/>
  <c r="L62" i="1"/>
  <c r="K62" i="1"/>
  <c r="A62" i="1"/>
  <c r="AO61" i="1"/>
  <c r="AL61" i="1"/>
  <c r="AK61" i="1"/>
  <c r="AJ61" i="1"/>
  <c r="AI61" i="1"/>
  <c r="AH61" i="1"/>
  <c r="AG61" i="1"/>
  <c r="AF61" i="1"/>
  <c r="AE61" i="1"/>
  <c r="AD61" i="1"/>
  <c r="AC61" i="1"/>
  <c r="I61" i="1"/>
  <c r="G61" i="1"/>
  <c r="D61" i="1"/>
  <c r="C61" i="1"/>
  <c r="AR60" i="1"/>
  <c r="AQ60" i="1"/>
  <c r="AP60" i="1"/>
  <c r="AO60" i="1"/>
  <c r="AL60" i="1"/>
  <c r="AK60" i="1"/>
  <c r="AJ60" i="1"/>
  <c r="AI60" i="1"/>
  <c r="AH60" i="1"/>
  <c r="AG60" i="1"/>
  <c r="AF60" i="1"/>
  <c r="AE60" i="1"/>
  <c r="AD60" i="1"/>
  <c r="AC60" i="1"/>
  <c r="X60" i="1"/>
  <c r="V60" i="1"/>
  <c r="U60" i="1"/>
  <c r="T60" i="1"/>
  <c r="S60" i="1"/>
  <c r="R60" i="1"/>
  <c r="O60" i="1"/>
  <c r="N60" i="1"/>
  <c r="M60" i="1"/>
  <c r="L60" i="1"/>
  <c r="K60" i="1"/>
  <c r="I60" i="1"/>
  <c r="G60" i="1"/>
  <c r="D60" i="1"/>
  <c r="C60" i="1"/>
  <c r="AR59" i="1"/>
  <c r="AQ59" i="1"/>
  <c r="AP59" i="1"/>
  <c r="AO59" i="1"/>
  <c r="AL59" i="1"/>
  <c r="AK59" i="1"/>
  <c r="AJ59" i="1"/>
  <c r="AI59" i="1"/>
  <c r="AH59" i="1"/>
  <c r="AG59" i="1"/>
  <c r="AF59" i="1"/>
  <c r="AE59" i="1"/>
  <c r="AD59" i="1"/>
  <c r="AC59" i="1"/>
  <c r="AB59" i="1"/>
  <c r="Y59" i="1"/>
  <c r="X59" i="1"/>
  <c r="W59" i="1"/>
  <c r="V59" i="1"/>
  <c r="U59" i="1"/>
  <c r="T59" i="1"/>
  <c r="S59" i="1"/>
  <c r="R59" i="1"/>
  <c r="P59" i="1"/>
  <c r="O59" i="1"/>
  <c r="N59" i="1"/>
  <c r="M59" i="1"/>
  <c r="L59" i="1"/>
  <c r="K59" i="1"/>
  <c r="A59" i="1"/>
  <c r="AO58" i="1"/>
  <c r="AL58" i="1"/>
  <c r="AK58" i="1"/>
  <c r="AJ58" i="1"/>
  <c r="AI58" i="1"/>
  <c r="AH58" i="1"/>
  <c r="AG58" i="1"/>
  <c r="AF58" i="1"/>
  <c r="AE58" i="1"/>
  <c r="AD58" i="1"/>
  <c r="AC58" i="1"/>
  <c r="I58" i="1"/>
  <c r="G58" i="1"/>
  <c r="D58" i="1"/>
  <c r="C58" i="1"/>
  <c r="AR57" i="1"/>
  <c r="AQ57" i="1"/>
  <c r="AP57" i="1"/>
  <c r="AO57" i="1"/>
  <c r="AL57" i="1"/>
  <c r="AK57" i="1"/>
  <c r="AJ57" i="1"/>
  <c r="AI57" i="1"/>
  <c r="AH57" i="1"/>
  <c r="AG57" i="1"/>
  <c r="AF57" i="1"/>
  <c r="AE57" i="1"/>
  <c r="AD57" i="1"/>
  <c r="AC57" i="1"/>
  <c r="X57" i="1"/>
  <c r="V57" i="1"/>
  <c r="U57" i="1"/>
  <c r="T57" i="1"/>
  <c r="S57" i="1"/>
  <c r="R57" i="1"/>
  <c r="O57" i="1"/>
  <c r="N57" i="1"/>
  <c r="M57" i="1"/>
  <c r="L57" i="1"/>
  <c r="K57" i="1"/>
  <c r="I57" i="1"/>
  <c r="G57" i="1"/>
  <c r="D57" i="1"/>
  <c r="C57" i="1"/>
  <c r="AR56" i="1"/>
  <c r="AQ56" i="1"/>
  <c r="AP56" i="1"/>
  <c r="AO56" i="1"/>
  <c r="AL56" i="1"/>
  <c r="AK56" i="1"/>
  <c r="AJ56" i="1"/>
  <c r="AI56" i="1"/>
  <c r="AH56" i="1"/>
  <c r="AG56" i="1"/>
  <c r="AF56" i="1"/>
  <c r="AE56" i="1"/>
  <c r="AD56" i="1"/>
  <c r="AC56" i="1"/>
  <c r="AB56" i="1"/>
  <c r="Y56" i="1"/>
  <c r="X56" i="1"/>
  <c r="W56" i="1"/>
  <c r="V56" i="1"/>
  <c r="U56" i="1"/>
  <c r="T56" i="1"/>
  <c r="S56" i="1"/>
  <c r="R56" i="1"/>
  <c r="P56" i="1"/>
  <c r="O56" i="1"/>
  <c r="N56" i="1"/>
  <c r="M56" i="1"/>
  <c r="L56" i="1"/>
  <c r="K56" i="1"/>
  <c r="G56" i="1"/>
  <c r="A56" i="1"/>
  <c r="AO55" i="1"/>
  <c r="AL55" i="1"/>
  <c r="AK55" i="1"/>
  <c r="AJ55" i="1"/>
  <c r="AI55" i="1"/>
  <c r="AH55" i="1"/>
  <c r="AG55" i="1"/>
  <c r="AF55" i="1"/>
  <c r="AE55" i="1"/>
  <c r="AD55" i="1"/>
  <c r="AC55" i="1"/>
  <c r="I55" i="1"/>
  <c r="G55" i="1"/>
  <c r="D55" i="1"/>
  <c r="C55" i="1"/>
  <c r="AO54" i="1"/>
  <c r="AL54" i="1"/>
  <c r="AK54" i="1"/>
  <c r="AJ54" i="1"/>
  <c r="AI54" i="1"/>
  <c r="AH54" i="1"/>
  <c r="AG54" i="1"/>
  <c r="AF54" i="1"/>
  <c r="AE54" i="1"/>
  <c r="AD54" i="1"/>
  <c r="AC54" i="1"/>
  <c r="I54" i="1"/>
  <c r="G54" i="1"/>
  <c r="D54" i="1"/>
  <c r="C54" i="1"/>
  <c r="AO53" i="1"/>
  <c r="AL53" i="1"/>
  <c r="AK53" i="1"/>
  <c r="AJ53" i="1"/>
  <c r="AI53" i="1"/>
  <c r="AH53" i="1"/>
  <c r="AG53" i="1"/>
  <c r="AF53" i="1"/>
  <c r="AE53" i="1"/>
  <c r="AD53" i="1"/>
  <c r="AC53" i="1"/>
  <c r="AB53" i="1"/>
  <c r="Y53" i="1"/>
  <c r="P53" i="1"/>
  <c r="G53" i="1"/>
  <c r="A53" i="1"/>
  <c r="AO52" i="1"/>
  <c r="AL52" i="1"/>
  <c r="AK52" i="1"/>
  <c r="AJ52" i="1"/>
  <c r="AI52" i="1"/>
  <c r="AH52" i="1"/>
  <c r="AG52" i="1"/>
  <c r="AF52" i="1"/>
  <c r="AE52" i="1"/>
  <c r="AD52" i="1"/>
  <c r="AC52" i="1"/>
  <c r="I52" i="1"/>
  <c r="G52" i="1"/>
  <c r="D52" i="1"/>
  <c r="C52" i="1"/>
  <c r="AO51" i="1"/>
  <c r="AL51" i="1"/>
  <c r="AK51" i="1"/>
  <c r="AJ51" i="1"/>
  <c r="AI51" i="1"/>
  <c r="AH51" i="1"/>
  <c r="AG51" i="1"/>
  <c r="AF51" i="1"/>
  <c r="AE51" i="1"/>
  <c r="AD51" i="1"/>
  <c r="AC51" i="1"/>
  <c r="I51" i="1"/>
  <c r="G51" i="1"/>
  <c r="D51" i="1"/>
  <c r="C51" i="1"/>
  <c r="AO50" i="1"/>
  <c r="AL50" i="1"/>
  <c r="AK50" i="1"/>
  <c r="AJ50" i="1"/>
  <c r="AI50" i="1"/>
  <c r="AH50" i="1"/>
  <c r="AG50" i="1"/>
  <c r="AF50" i="1"/>
  <c r="AE50" i="1"/>
  <c r="AD50" i="1"/>
  <c r="AC50" i="1"/>
  <c r="AB50" i="1"/>
  <c r="Y50" i="1"/>
  <c r="P50" i="1"/>
  <c r="G50" i="1"/>
  <c r="A50" i="1"/>
  <c r="AO49" i="1"/>
  <c r="AL49" i="1"/>
  <c r="AK49" i="1"/>
  <c r="AJ49" i="1"/>
  <c r="AI49" i="1"/>
  <c r="AH49" i="1"/>
  <c r="AG49" i="1"/>
  <c r="AF49" i="1"/>
  <c r="AE49" i="1"/>
  <c r="AD49" i="1"/>
  <c r="AC49" i="1"/>
  <c r="I49" i="1"/>
  <c r="G49" i="1"/>
  <c r="D49" i="1"/>
  <c r="C49" i="1"/>
  <c r="AO48" i="1"/>
  <c r="AL48" i="1"/>
  <c r="AK48" i="1"/>
  <c r="AJ48" i="1"/>
  <c r="AI48" i="1"/>
  <c r="AH48" i="1"/>
  <c r="AG48" i="1"/>
  <c r="AF48" i="1"/>
  <c r="AE48" i="1"/>
  <c r="AD48" i="1"/>
  <c r="AC48" i="1"/>
  <c r="I48" i="1"/>
  <c r="G48" i="1"/>
  <c r="D48" i="1"/>
  <c r="C48" i="1"/>
  <c r="AO47" i="1"/>
  <c r="AL47" i="1"/>
  <c r="AK47" i="1"/>
  <c r="AJ47" i="1"/>
  <c r="AI47" i="1"/>
  <c r="AH47" i="1"/>
  <c r="AG47" i="1"/>
  <c r="AF47" i="1"/>
  <c r="AE47" i="1"/>
  <c r="AD47" i="1"/>
  <c r="AC47" i="1"/>
  <c r="AB47" i="1"/>
  <c r="Y47" i="1"/>
  <c r="P47" i="1"/>
  <c r="A47" i="1"/>
  <c r="AO46" i="1"/>
  <c r="AL46" i="1"/>
  <c r="AK46" i="1"/>
  <c r="AJ46" i="1"/>
  <c r="AI46" i="1"/>
  <c r="AH46" i="1"/>
  <c r="AG46" i="1"/>
  <c r="AF46" i="1"/>
  <c r="AE46" i="1"/>
  <c r="AD46" i="1"/>
  <c r="AC46" i="1"/>
  <c r="I46" i="1"/>
  <c r="G46" i="1"/>
  <c r="D46" i="1"/>
  <c r="C46" i="1"/>
  <c r="AO45" i="1"/>
  <c r="AL45" i="1"/>
  <c r="AK45" i="1"/>
  <c r="AJ45" i="1"/>
  <c r="AI45" i="1"/>
  <c r="AH45" i="1"/>
  <c r="AG45" i="1"/>
  <c r="AF45" i="1"/>
  <c r="AE45" i="1"/>
  <c r="AD45" i="1"/>
  <c r="AC45" i="1"/>
  <c r="I45" i="1"/>
  <c r="G45" i="1"/>
  <c r="D45" i="1"/>
  <c r="C45" i="1"/>
  <c r="AO44" i="1"/>
  <c r="AL44" i="1"/>
  <c r="AK44" i="1"/>
  <c r="AJ44" i="1"/>
  <c r="AI44" i="1"/>
  <c r="AH44" i="1"/>
  <c r="AG44" i="1"/>
  <c r="AF44" i="1"/>
  <c r="AE44" i="1"/>
  <c r="AD44" i="1"/>
  <c r="AC44" i="1"/>
  <c r="AB44" i="1"/>
  <c r="Y44" i="1"/>
  <c r="P44" i="1"/>
  <c r="G44" i="1"/>
  <c r="A44" i="1"/>
  <c r="AO43" i="1"/>
  <c r="AL43" i="1"/>
  <c r="AK43" i="1"/>
  <c r="AJ43" i="1"/>
  <c r="AI43" i="1"/>
  <c r="AH43" i="1"/>
  <c r="AG43" i="1"/>
  <c r="AF43" i="1"/>
  <c r="AE43" i="1"/>
  <c r="AD43" i="1"/>
  <c r="AC43" i="1"/>
  <c r="I43" i="1"/>
  <c r="G43" i="1"/>
  <c r="D43" i="1"/>
  <c r="C43" i="1"/>
  <c r="AO42" i="1"/>
  <c r="AL42" i="1"/>
  <c r="AK42" i="1"/>
  <c r="AJ42" i="1"/>
  <c r="AI42" i="1"/>
  <c r="AH42" i="1"/>
  <c r="AG42" i="1"/>
  <c r="AF42" i="1"/>
  <c r="AE42" i="1"/>
  <c r="AD42" i="1"/>
  <c r="AC42" i="1"/>
  <c r="I42" i="1"/>
  <c r="G42" i="1"/>
  <c r="D42" i="1"/>
  <c r="C42" i="1"/>
  <c r="AO41" i="1"/>
  <c r="AL41" i="1"/>
  <c r="AK41" i="1"/>
  <c r="AJ41" i="1"/>
  <c r="AI41" i="1"/>
  <c r="AH41" i="1"/>
  <c r="AG41" i="1"/>
  <c r="AF41" i="1"/>
  <c r="AE41" i="1"/>
  <c r="AD41" i="1"/>
  <c r="AC41" i="1"/>
  <c r="AB41" i="1"/>
  <c r="Y41" i="1"/>
  <c r="P41" i="1"/>
  <c r="G41" i="1"/>
  <c r="A41" i="1"/>
  <c r="AO40" i="1"/>
  <c r="AL40" i="1"/>
  <c r="AK40" i="1"/>
  <c r="AJ40" i="1"/>
  <c r="AI40" i="1"/>
  <c r="AH40" i="1"/>
  <c r="AG40" i="1"/>
  <c r="AF40" i="1"/>
  <c r="AE40" i="1"/>
  <c r="AD40" i="1"/>
  <c r="AC40" i="1"/>
  <c r="I40" i="1"/>
  <c r="G40" i="1"/>
  <c r="D40" i="1"/>
  <c r="C40" i="1"/>
  <c r="AO39" i="1"/>
  <c r="AL39" i="1"/>
  <c r="AK39" i="1"/>
  <c r="AJ39" i="1"/>
  <c r="AI39" i="1"/>
  <c r="AH39" i="1"/>
  <c r="AG39" i="1"/>
  <c r="AF39" i="1"/>
  <c r="AE39" i="1"/>
  <c r="AD39" i="1"/>
  <c r="AC39" i="1"/>
  <c r="I39" i="1"/>
  <c r="G39" i="1"/>
  <c r="D39" i="1"/>
  <c r="C39" i="1"/>
  <c r="AO38" i="1"/>
  <c r="AL38" i="1"/>
  <c r="AK38" i="1"/>
  <c r="AJ38" i="1"/>
  <c r="AI38" i="1"/>
  <c r="AH38" i="1"/>
  <c r="AG38" i="1"/>
  <c r="AF38" i="1"/>
  <c r="AE38" i="1"/>
  <c r="AD38" i="1"/>
  <c r="AC38" i="1"/>
  <c r="AB38" i="1"/>
  <c r="Y38" i="1"/>
  <c r="P38" i="1"/>
  <c r="G38" i="1"/>
  <c r="A38" i="1"/>
  <c r="AO37" i="1"/>
  <c r="AL37" i="1"/>
  <c r="AK37" i="1"/>
  <c r="AJ37" i="1"/>
  <c r="AI37" i="1"/>
  <c r="AH37" i="1"/>
  <c r="AG37" i="1"/>
  <c r="AF37" i="1"/>
  <c r="AE37" i="1"/>
  <c r="AD37" i="1"/>
  <c r="AC37" i="1"/>
  <c r="I37" i="1"/>
  <c r="G37" i="1"/>
  <c r="D37" i="1"/>
  <c r="C37" i="1"/>
  <c r="AR36" i="1"/>
  <c r="AQ36" i="1"/>
  <c r="AP36" i="1"/>
  <c r="AO36" i="1"/>
  <c r="AL36" i="1"/>
  <c r="AK36" i="1"/>
  <c r="AJ36" i="1"/>
  <c r="AI36" i="1"/>
  <c r="AH36" i="1"/>
  <c r="AG36" i="1"/>
  <c r="AF36" i="1"/>
  <c r="AE36" i="1"/>
  <c r="AD36" i="1"/>
  <c r="AC36" i="1"/>
  <c r="X36" i="1"/>
  <c r="V36" i="1"/>
  <c r="U36" i="1"/>
  <c r="T36" i="1"/>
  <c r="S36" i="1"/>
  <c r="R36" i="1"/>
  <c r="O36" i="1"/>
  <c r="N36" i="1"/>
  <c r="M36" i="1"/>
  <c r="L36" i="1"/>
  <c r="K36" i="1"/>
  <c r="I36" i="1"/>
  <c r="G36" i="1"/>
  <c r="D36" i="1"/>
  <c r="C36" i="1"/>
  <c r="AR35" i="1"/>
  <c r="AQ35" i="1"/>
  <c r="AP35" i="1"/>
  <c r="AO35" i="1"/>
  <c r="AL35" i="1"/>
  <c r="AK35" i="1"/>
  <c r="AJ35" i="1"/>
  <c r="AI35" i="1"/>
  <c r="AH35" i="1"/>
  <c r="AG35" i="1"/>
  <c r="AF35" i="1"/>
  <c r="AE35" i="1"/>
  <c r="AD35" i="1"/>
  <c r="AC35" i="1"/>
  <c r="AB35" i="1"/>
  <c r="Y35" i="1"/>
  <c r="X35" i="1"/>
  <c r="W35" i="1"/>
  <c r="V35" i="1"/>
  <c r="U35" i="1"/>
  <c r="T35" i="1"/>
  <c r="S35" i="1"/>
  <c r="R35" i="1"/>
  <c r="P35" i="1"/>
  <c r="O35" i="1"/>
  <c r="N35" i="1"/>
  <c r="M35" i="1"/>
  <c r="L35" i="1"/>
  <c r="K35" i="1"/>
  <c r="A35" i="1"/>
  <c r="AO34" i="1"/>
  <c r="AL34" i="1"/>
  <c r="AK34" i="1"/>
  <c r="AJ34" i="1"/>
  <c r="AI34" i="1"/>
  <c r="AH34" i="1"/>
  <c r="AG34" i="1"/>
  <c r="AF34" i="1"/>
  <c r="AE34" i="1"/>
  <c r="AD34" i="1"/>
  <c r="AC34" i="1"/>
  <c r="I34" i="1"/>
  <c r="G34" i="1"/>
  <c r="C34" i="1"/>
  <c r="AR33" i="1"/>
  <c r="AQ33" i="1"/>
  <c r="AP33" i="1"/>
  <c r="AO33" i="1"/>
  <c r="AL33" i="1"/>
  <c r="AK33" i="1"/>
  <c r="AJ33" i="1"/>
  <c r="AI33" i="1"/>
  <c r="AH33" i="1"/>
  <c r="AG33" i="1"/>
  <c r="AF33" i="1"/>
  <c r="AE33" i="1"/>
  <c r="AD33" i="1"/>
  <c r="AC33" i="1"/>
  <c r="X33" i="1"/>
  <c r="V33" i="1"/>
  <c r="U33" i="1"/>
  <c r="T33" i="1"/>
  <c r="S33" i="1"/>
  <c r="R33" i="1"/>
  <c r="O33" i="1"/>
  <c r="N33" i="1"/>
  <c r="M33" i="1"/>
  <c r="L33" i="1"/>
  <c r="K33" i="1"/>
  <c r="I33" i="1"/>
  <c r="G33" i="1"/>
  <c r="C33" i="1"/>
  <c r="AR32" i="1"/>
  <c r="AQ32" i="1"/>
  <c r="AP32" i="1"/>
  <c r="AO32" i="1"/>
  <c r="AL32" i="1"/>
  <c r="AK32" i="1"/>
  <c r="AJ32" i="1"/>
  <c r="AI32" i="1"/>
  <c r="AH32" i="1"/>
  <c r="AG32" i="1"/>
  <c r="AF32" i="1"/>
  <c r="AE32" i="1"/>
  <c r="AD32" i="1"/>
  <c r="AC32" i="1"/>
  <c r="AB32" i="1"/>
  <c r="Y32" i="1"/>
  <c r="X32" i="1"/>
  <c r="W32" i="1"/>
  <c r="V32" i="1"/>
  <c r="U32" i="1"/>
  <c r="T32" i="1"/>
  <c r="S32" i="1"/>
  <c r="R32" i="1"/>
  <c r="P32" i="1"/>
  <c r="O32" i="1"/>
  <c r="N32" i="1"/>
  <c r="M32" i="1"/>
  <c r="L32" i="1"/>
  <c r="K32" i="1"/>
  <c r="A32" i="1"/>
  <c r="AO31" i="1"/>
  <c r="AL31" i="1"/>
  <c r="AK31" i="1"/>
  <c r="AJ31" i="1"/>
  <c r="AI31" i="1"/>
  <c r="AH31" i="1"/>
  <c r="AG31" i="1"/>
  <c r="AF31" i="1"/>
  <c r="AE31" i="1"/>
  <c r="AD31" i="1"/>
  <c r="AC31" i="1"/>
  <c r="I31" i="1"/>
  <c r="G31" i="1"/>
  <c r="F31" i="1"/>
  <c r="D31" i="1"/>
  <c r="C31" i="1"/>
  <c r="AO30" i="1"/>
  <c r="AL30" i="1"/>
  <c r="AK30" i="1"/>
  <c r="AJ30" i="1"/>
  <c r="AI30" i="1"/>
  <c r="AH30" i="1"/>
  <c r="AG30" i="1"/>
  <c r="AF30" i="1"/>
  <c r="AE30" i="1"/>
  <c r="AD30" i="1"/>
  <c r="AC30" i="1"/>
  <c r="I30" i="1"/>
  <c r="G30" i="1"/>
  <c r="F30" i="1"/>
  <c r="D30" i="1"/>
  <c r="C30" i="1"/>
  <c r="AO29" i="1"/>
  <c r="AL29" i="1"/>
  <c r="AK29" i="1"/>
  <c r="AJ29" i="1"/>
  <c r="AI29" i="1"/>
  <c r="AH29" i="1"/>
  <c r="AG29" i="1"/>
  <c r="AF29" i="1"/>
  <c r="AE29" i="1"/>
  <c r="AD29" i="1"/>
  <c r="AC29" i="1"/>
  <c r="AB29" i="1"/>
  <c r="Y29" i="1"/>
  <c r="P29" i="1"/>
  <c r="A29" i="1"/>
  <c r="AO28" i="1"/>
  <c r="AL28" i="1"/>
  <c r="AK28" i="1"/>
  <c r="AJ28" i="1"/>
  <c r="AI28" i="1"/>
  <c r="AH28" i="1"/>
  <c r="AG28" i="1"/>
  <c r="AF28" i="1"/>
  <c r="AE28" i="1"/>
  <c r="AD28" i="1"/>
  <c r="AC28" i="1"/>
  <c r="I28" i="1"/>
  <c r="G28" i="1"/>
  <c r="D28" i="1"/>
  <c r="C28" i="1"/>
  <c r="AO27" i="1"/>
  <c r="AL27" i="1"/>
  <c r="AK27" i="1"/>
  <c r="AJ27" i="1"/>
  <c r="AI27" i="1"/>
  <c r="AH27" i="1"/>
  <c r="AG27" i="1"/>
  <c r="AF27" i="1"/>
  <c r="AE27" i="1"/>
  <c r="AD27" i="1"/>
  <c r="AC27" i="1"/>
  <c r="I27" i="1"/>
  <c r="G27" i="1"/>
  <c r="D27" i="1"/>
  <c r="C27" i="1"/>
  <c r="AO26" i="1"/>
  <c r="AL26" i="1"/>
  <c r="AK26" i="1"/>
  <c r="AJ26" i="1"/>
  <c r="AI26" i="1"/>
  <c r="AH26" i="1"/>
  <c r="AG26" i="1"/>
  <c r="AF26" i="1"/>
  <c r="AE26" i="1"/>
  <c r="AD26" i="1"/>
  <c r="AC26" i="1"/>
  <c r="AB26" i="1"/>
  <c r="Y26" i="1"/>
  <c r="P26" i="1"/>
  <c r="G26" i="1"/>
  <c r="A26" i="1"/>
  <c r="AO25" i="1"/>
  <c r="AL25" i="1"/>
  <c r="AK25" i="1"/>
  <c r="AJ25" i="1"/>
  <c r="AI25" i="1"/>
  <c r="AH25" i="1"/>
  <c r="AG25" i="1"/>
  <c r="AF25" i="1"/>
  <c r="AE25" i="1"/>
  <c r="AD25" i="1"/>
  <c r="AC25" i="1"/>
  <c r="I25" i="1"/>
  <c r="G25" i="1"/>
  <c r="D25" i="1"/>
  <c r="C25" i="1"/>
  <c r="AR24" i="1"/>
  <c r="AQ24" i="1"/>
  <c r="AP24" i="1"/>
  <c r="AO24" i="1"/>
  <c r="AL24" i="1"/>
  <c r="AK24" i="1"/>
  <c r="AJ24" i="1"/>
  <c r="AI24" i="1"/>
  <c r="AH24" i="1"/>
  <c r="AG24" i="1"/>
  <c r="AF24" i="1"/>
  <c r="AE24" i="1"/>
  <c r="AD24" i="1"/>
  <c r="AC24" i="1"/>
  <c r="X24" i="1"/>
  <c r="V24" i="1"/>
  <c r="U24" i="1"/>
  <c r="T24" i="1"/>
  <c r="S24" i="1"/>
  <c r="R24" i="1"/>
  <c r="O24" i="1"/>
  <c r="N24" i="1"/>
  <c r="M24" i="1"/>
  <c r="L24" i="1"/>
  <c r="K24" i="1"/>
  <c r="I24" i="1"/>
  <c r="G24" i="1"/>
  <c r="D24" i="1"/>
  <c r="C24" i="1"/>
  <c r="AR23" i="1"/>
  <c r="AQ23" i="1"/>
  <c r="AP23" i="1"/>
  <c r="AO23" i="1"/>
  <c r="AL23" i="1"/>
  <c r="AK23" i="1"/>
  <c r="AJ23" i="1"/>
  <c r="AI23" i="1"/>
  <c r="AH23" i="1"/>
  <c r="AG23" i="1"/>
  <c r="AF23" i="1"/>
  <c r="AE23" i="1"/>
  <c r="AD23" i="1"/>
  <c r="AC23" i="1"/>
  <c r="AB23" i="1"/>
  <c r="X23" i="1"/>
  <c r="W23" i="1"/>
  <c r="V23" i="1"/>
  <c r="U23" i="1"/>
  <c r="T23" i="1"/>
  <c r="S23" i="1"/>
  <c r="R23" i="1"/>
  <c r="P23" i="1"/>
  <c r="O23" i="1"/>
  <c r="N23" i="1"/>
  <c r="M23" i="1"/>
  <c r="L23" i="1"/>
  <c r="K23" i="1"/>
  <c r="A23" i="1"/>
  <c r="AO22" i="1"/>
  <c r="AL22" i="1"/>
  <c r="AK22" i="1"/>
  <c r="AJ22" i="1"/>
  <c r="AI22" i="1"/>
  <c r="AH22" i="1"/>
  <c r="AG22" i="1"/>
  <c r="AF22" i="1"/>
  <c r="AE22" i="1"/>
  <c r="AD22" i="1"/>
  <c r="AC22" i="1"/>
  <c r="I22" i="1"/>
  <c r="G22" i="1"/>
  <c r="D22" i="1"/>
  <c r="C22" i="1"/>
  <c r="AR21" i="1"/>
  <c r="AQ21" i="1"/>
  <c r="AP21" i="1"/>
  <c r="AO21" i="1"/>
  <c r="AL21" i="1"/>
  <c r="AK21" i="1"/>
  <c r="AJ21" i="1"/>
  <c r="AI21" i="1"/>
  <c r="AH21" i="1"/>
  <c r="AG21" i="1"/>
  <c r="AF21" i="1"/>
  <c r="AE21" i="1"/>
  <c r="AD21" i="1"/>
  <c r="AC21" i="1"/>
  <c r="X21" i="1"/>
  <c r="V21" i="1"/>
  <c r="U21" i="1"/>
  <c r="T21" i="1"/>
  <c r="S21" i="1"/>
  <c r="R21" i="1"/>
  <c r="O21" i="1"/>
  <c r="N21" i="1"/>
  <c r="M21" i="1"/>
  <c r="L21" i="1"/>
  <c r="K21" i="1"/>
  <c r="I21" i="1"/>
  <c r="G21" i="1"/>
  <c r="D21" i="1"/>
  <c r="C21" i="1"/>
  <c r="AR20" i="1"/>
  <c r="AQ20" i="1"/>
  <c r="AP20" i="1"/>
  <c r="AO20" i="1"/>
  <c r="AL20" i="1"/>
  <c r="AK20" i="1"/>
  <c r="AJ20" i="1"/>
  <c r="AI20" i="1"/>
  <c r="AH20" i="1"/>
  <c r="AG20" i="1"/>
  <c r="AF20" i="1"/>
  <c r="AE20" i="1"/>
  <c r="AD20" i="1"/>
  <c r="AC20" i="1"/>
  <c r="AB20" i="1"/>
  <c r="X20" i="1"/>
  <c r="W20" i="1"/>
  <c r="V20" i="1"/>
  <c r="U20" i="1"/>
  <c r="T20" i="1"/>
  <c r="S20" i="1"/>
  <c r="R20" i="1"/>
  <c r="P20" i="1"/>
  <c r="O20" i="1"/>
  <c r="N20" i="1"/>
  <c r="M20" i="1"/>
  <c r="L20" i="1"/>
  <c r="K20" i="1"/>
  <c r="A20" i="1"/>
  <c r="AO19" i="1"/>
  <c r="AL19" i="1"/>
  <c r="AK19" i="1"/>
  <c r="AJ19" i="1"/>
  <c r="AI19" i="1"/>
  <c r="AH19" i="1"/>
  <c r="AG19" i="1"/>
  <c r="AF19" i="1"/>
  <c r="AE19" i="1"/>
  <c r="AD19" i="1"/>
  <c r="AC19" i="1"/>
  <c r="I19" i="1"/>
  <c r="D19" i="1"/>
  <c r="C19" i="1"/>
  <c r="AR18" i="1"/>
  <c r="AQ18" i="1"/>
  <c r="AP18" i="1"/>
  <c r="AO18" i="1"/>
  <c r="AL18" i="1"/>
  <c r="AK18" i="1"/>
  <c r="AJ18" i="1"/>
  <c r="AI18" i="1"/>
  <c r="AH18" i="1"/>
  <c r="AG18" i="1"/>
  <c r="AF18" i="1"/>
  <c r="AE18" i="1"/>
  <c r="AD18" i="1"/>
  <c r="AC18" i="1"/>
  <c r="X18" i="1"/>
  <c r="V18" i="1"/>
  <c r="U18" i="1"/>
  <c r="T18" i="1"/>
  <c r="S18" i="1"/>
  <c r="R18" i="1"/>
  <c r="O18" i="1"/>
  <c r="N18" i="1"/>
  <c r="M18" i="1"/>
  <c r="L18" i="1"/>
  <c r="K18" i="1"/>
  <c r="I18" i="1"/>
  <c r="D18" i="1"/>
  <c r="C18" i="1"/>
  <c r="AW17" i="1" a="1"/>
  <c r="AR17" i="1"/>
  <c r="AQ17" i="1"/>
  <c r="AP17" i="1"/>
  <c r="AO17" i="1"/>
  <c r="AL17" i="1"/>
  <c r="AK17" i="1"/>
  <c r="AJ17" i="1"/>
  <c r="AI17" i="1"/>
  <c r="AH17" i="1"/>
  <c r="AG17" i="1"/>
  <c r="AF17" i="1"/>
  <c r="AE17" i="1"/>
  <c r="AD17" i="1"/>
  <c r="AC17" i="1"/>
  <c r="AB17" i="1"/>
  <c r="X17" i="1"/>
  <c r="W17" i="1"/>
  <c r="V17" i="1"/>
  <c r="U17" i="1"/>
  <c r="T17" i="1"/>
  <c r="S17" i="1"/>
  <c r="R17" i="1"/>
  <c r="P17" i="1"/>
  <c r="O17" i="1"/>
  <c r="N17" i="1"/>
  <c r="M17" i="1"/>
  <c r="L17" i="1"/>
  <c r="K17" i="1"/>
  <c r="G17" i="1"/>
  <c r="AM16" i="1"/>
  <c r="W15" i="1"/>
  <c r="W14" i="1"/>
  <c r="W13" i="1"/>
  <c r="W12" i="1"/>
  <c r="M265" i="10"/>
  <c r="N264" i="10"/>
  <c r="M264" i="10"/>
  <c r="L264" i="10"/>
  <c r="N263" i="10"/>
  <c r="M263" i="10"/>
  <c r="L263" i="10"/>
  <c r="N262" i="10"/>
  <c r="M262" i="10"/>
  <c r="L262" i="10"/>
  <c r="M261" i="10"/>
  <c r="N260" i="10"/>
  <c r="M260" i="10"/>
  <c r="L260" i="10"/>
  <c r="N259" i="10"/>
  <c r="M259" i="10"/>
  <c r="L259" i="10"/>
  <c r="N258" i="10"/>
  <c r="M258" i="10"/>
  <c r="L258" i="10"/>
  <c r="AX253" i="10"/>
  <c r="AW253" i="10"/>
  <c r="AV253" i="10"/>
  <c r="AU253" i="10"/>
  <c r="AT253" i="10"/>
  <c r="AS253" i="10"/>
  <c r="N253" i="10"/>
  <c r="M253" i="10"/>
  <c r="L253" i="10"/>
  <c r="G253" i="10"/>
  <c r="AX252" i="10"/>
  <c r="AW252" i="10"/>
  <c r="AV252" i="10"/>
  <c r="AU252" i="10"/>
  <c r="AT252" i="10"/>
  <c r="AS252" i="10"/>
  <c r="N252" i="10"/>
  <c r="M252" i="10"/>
  <c r="L252" i="10"/>
  <c r="AX251" i="10"/>
  <c r="AW251" i="10"/>
  <c r="AV251" i="10"/>
  <c r="AU251" i="10"/>
  <c r="AT251" i="10"/>
  <c r="AS251" i="10"/>
  <c r="N251" i="10"/>
  <c r="M251" i="10"/>
  <c r="L251" i="10"/>
  <c r="AX250" i="10"/>
  <c r="AW250" i="10"/>
  <c r="AV250" i="10"/>
  <c r="AU250" i="10"/>
  <c r="AT250" i="10"/>
  <c r="AS250" i="10"/>
  <c r="N250" i="10"/>
  <c r="M250" i="10"/>
  <c r="L250" i="10"/>
  <c r="AX249" i="10"/>
  <c r="AW249" i="10"/>
  <c r="AV249" i="10"/>
  <c r="AU249" i="10"/>
  <c r="AT249" i="10"/>
  <c r="AS249" i="10"/>
  <c r="N249" i="10"/>
  <c r="M249" i="10"/>
  <c r="L249" i="10"/>
  <c r="AX248" i="10"/>
  <c r="AW248" i="10"/>
  <c r="AV248" i="10"/>
  <c r="AU248" i="10"/>
  <c r="AT248" i="10"/>
  <c r="AS248" i="10"/>
  <c r="AI248" i="10"/>
  <c r="AH248" i="10"/>
  <c r="AG248" i="10"/>
  <c r="Y248" i="10"/>
  <c r="X248" i="10"/>
  <c r="N248" i="10"/>
  <c r="M248" i="10"/>
  <c r="L248" i="10"/>
  <c r="AW247" i="10"/>
  <c r="AV247" i="10"/>
  <c r="AU247" i="10"/>
  <c r="AT247" i="10"/>
  <c r="AS247" i="10"/>
  <c r="N247" i="10"/>
  <c r="M247" i="10"/>
  <c r="L247" i="10"/>
  <c r="AX246" i="10"/>
  <c r="AW246" i="10"/>
  <c r="AV246" i="10"/>
  <c r="AU246" i="10"/>
  <c r="AT246" i="10"/>
  <c r="AS246" i="10"/>
  <c r="N246" i="10"/>
  <c r="M246" i="10"/>
  <c r="L246" i="10"/>
  <c r="G246" i="10"/>
  <c r="AX245" i="10"/>
  <c r="AW245" i="10"/>
  <c r="AV245" i="10"/>
  <c r="AU245" i="10"/>
  <c r="AT245" i="10"/>
  <c r="AS245" i="10"/>
  <c r="N245" i="10"/>
  <c r="M245" i="10"/>
  <c r="L245" i="10"/>
  <c r="AX244" i="10"/>
  <c r="AW244" i="10"/>
  <c r="AV244" i="10"/>
  <c r="AU244" i="10"/>
  <c r="AT244" i="10"/>
  <c r="AS244" i="10"/>
  <c r="N244" i="10"/>
  <c r="M244" i="10"/>
  <c r="L244" i="10"/>
  <c r="AX243" i="10"/>
  <c r="AW243" i="10"/>
  <c r="AV243" i="10"/>
  <c r="AU243" i="10"/>
  <c r="AT243" i="10"/>
  <c r="AS243" i="10"/>
  <c r="N243" i="10"/>
  <c r="M243" i="10"/>
  <c r="L243" i="10"/>
  <c r="AX242" i="10"/>
  <c r="AW242" i="10"/>
  <c r="AV242" i="10"/>
  <c r="AU242" i="10"/>
  <c r="AT242" i="10"/>
  <c r="AS242" i="10"/>
  <c r="N242" i="10"/>
  <c r="M242" i="10"/>
  <c r="L242" i="10"/>
  <c r="AX241" i="10"/>
  <c r="AW241" i="10"/>
  <c r="AV241" i="10"/>
  <c r="AU241" i="10"/>
  <c r="AT241" i="10"/>
  <c r="AS241" i="10"/>
  <c r="AI241" i="10"/>
  <c r="AH241" i="10"/>
  <c r="AG241" i="10"/>
  <c r="Y241" i="10"/>
  <c r="X241" i="10"/>
  <c r="N241" i="10"/>
  <c r="M241" i="10"/>
  <c r="L241" i="10"/>
  <c r="AW240" i="10"/>
  <c r="AV240" i="10"/>
  <c r="AU240" i="10"/>
  <c r="AT240" i="10"/>
  <c r="AS240" i="10"/>
  <c r="N240" i="10"/>
  <c r="M240" i="10"/>
  <c r="L240" i="10"/>
  <c r="AX236" i="10"/>
  <c r="AW236" i="10"/>
  <c r="AV236" i="10"/>
  <c r="AU236" i="10"/>
  <c r="AT236" i="10"/>
  <c r="AS236" i="10"/>
  <c r="N236" i="10"/>
  <c r="M236" i="10"/>
  <c r="L236" i="10"/>
  <c r="G236" i="10"/>
  <c r="AX235" i="10"/>
  <c r="AW235" i="10"/>
  <c r="AV235" i="10"/>
  <c r="AU235" i="10"/>
  <c r="AT235" i="10"/>
  <c r="AS235" i="10"/>
  <c r="N235" i="10"/>
  <c r="M235" i="10"/>
  <c r="L235" i="10"/>
  <c r="G235" i="10"/>
  <c r="AX234" i="10"/>
  <c r="AW234" i="10"/>
  <c r="AV234" i="10"/>
  <c r="AU234" i="10"/>
  <c r="AT234" i="10"/>
  <c r="AS234" i="10"/>
  <c r="N234" i="10"/>
  <c r="M234" i="10"/>
  <c r="L234" i="10"/>
  <c r="G234" i="10"/>
  <c r="AX233" i="10"/>
  <c r="AW233" i="10"/>
  <c r="AV233" i="10"/>
  <c r="AU233" i="10"/>
  <c r="AT233" i="10"/>
  <c r="AS233" i="10"/>
  <c r="N233" i="10"/>
  <c r="M233" i="10"/>
  <c r="L233" i="10"/>
  <c r="G233" i="10"/>
  <c r="AX232" i="10"/>
  <c r="AW232" i="10"/>
  <c r="AV232" i="10"/>
  <c r="AU232" i="10"/>
  <c r="AT232" i="10"/>
  <c r="AS232" i="10"/>
  <c r="N232" i="10"/>
  <c r="M232" i="10"/>
  <c r="L232" i="10"/>
  <c r="G232" i="10"/>
  <c r="AX231" i="10"/>
  <c r="AW231" i="10"/>
  <c r="AV231" i="10"/>
  <c r="AU231" i="10"/>
  <c r="AT231" i="10"/>
  <c r="AS231" i="10"/>
  <c r="N231" i="10"/>
  <c r="M231" i="10"/>
  <c r="L231" i="10"/>
  <c r="G231" i="10"/>
  <c r="AX230" i="10"/>
  <c r="AW230" i="10"/>
  <c r="AV230" i="10"/>
  <c r="AU230" i="10"/>
  <c r="AT230" i="10"/>
  <c r="AS230" i="10"/>
  <c r="N230" i="10"/>
  <c r="M230" i="10"/>
  <c r="L230" i="10"/>
  <c r="AX229" i="10"/>
  <c r="AW229" i="10"/>
  <c r="AV229" i="10"/>
  <c r="AU229" i="10"/>
  <c r="AT229" i="10"/>
  <c r="AS229" i="10"/>
  <c r="N229" i="10"/>
  <c r="M229" i="10"/>
  <c r="L229" i="10"/>
  <c r="AX228" i="10"/>
  <c r="AW228" i="10"/>
  <c r="AV228" i="10"/>
  <c r="AU228" i="10"/>
  <c r="AT228" i="10"/>
  <c r="AS228" i="10"/>
  <c r="AI228" i="10"/>
  <c r="AH228" i="10"/>
  <c r="AG228" i="10"/>
  <c r="Y228" i="10"/>
  <c r="X228" i="10"/>
  <c r="N228" i="10"/>
  <c r="M228" i="10"/>
  <c r="L228" i="10"/>
  <c r="AW227" i="10"/>
  <c r="AV227" i="10"/>
  <c r="AU227" i="10"/>
  <c r="AT227" i="10"/>
  <c r="AS227" i="10"/>
  <c r="N227" i="10"/>
  <c r="M227" i="10"/>
  <c r="L227" i="10"/>
  <c r="AX226" i="10"/>
  <c r="AW226" i="10"/>
  <c r="AV226" i="10"/>
  <c r="AU226" i="10"/>
  <c r="AT226" i="10"/>
  <c r="AS226" i="10"/>
  <c r="N226" i="10"/>
  <c r="M226" i="10"/>
  <c r="L226" i="10"/>
  <c r="G226" i="10"/>
  <c r="AX225" i="10"/>
  <c r="AW225" i="10"/>
  <c r="AV225" i="10"/>
  <c r="AU225" i="10"/>
  <c r="AT225" i="10"/>
  <c r="AS225" i="10"/>
  <c r="N225" i="10"/>
  <c r="M225" i="10"/>
  <c r="L225" i="10"/>
  <c r="G225" i="10"/>
  <c r="AX224" i="10"/>
  <c r="AW224" i="10"/>
  <c r="AV224" i="10"/>
  <c r="AU224" i="10"/>
  <c r="AT224" i="10"/>
  <c r="AS224" i="10"/>
  <c r="N224" i="10"/>
  <c r="M224" i="10"/>
  <c r="L224" i="10"/>
  <c r="G224" i="10"/>
  <c r="AX223" i="10"/>
  <c r="AW223" i="10"/>
  <c r="AV223" i="10"/>
  <c r="AU223" i="10"/>
  <c r="AT223" i="10"/>
  <c r="AS223" i="10"/>
  <c r="N223" i="10"/>
  <c r="M223" i="10"/>
  <c r="L223" i="10"/>
  <c r="G223" i="10"/>
  <c r="AX222" i="10"/>
  <c r="AW222" i="10"/>
  <c r="AV222" i="10"/>
  <c r="AU222" i="10"/>
  <c r="AT222" i="10"/>
  <c r="AS222" i="10"/>
  <c r="N222" i="10"/>
  <c r="M222" i="10"/>
  <c r="L222" i="10"/>
  <c r="G222" i="10"/>
  <c r="AX221" i="10"/>
  <c r="AW221" i="10"/>
  <c r="AV221" i="10"/>
  <c r="AU221" i="10"/>
  <c r="AT221" i="10"/>
  <c r="AS221" i="10"/>
  <c r="N221" i="10"/>
  <c r="M221" i="10"/>
  <c r="L221" i="10"/>
  <c r="G221" i="10"/>
  <c r="AX220" i="10"/>
  <c r="AW220" i="10"/>
  <c r="AV220" i="10"/>
  <c r="AU220" i="10"/>
  <c r="AT220" i="10"/>
  <c r="AS220" i="10"/>
  <c r="N220" i="10"/>
  <c r="M220" i="10"/>
  <c r="L220" i="10"/>
  <c r="G220" i="10"/>
  <c r="AX219" i="10"/>
  <c r="AW219" i="10"/>
  <c r="AV219" i="10"/>
  <c r="AU219" i="10"/>
  <c r="AT219" i="10"/>
  <c r="AS219" i="10"/>
  <c r="N219" i="10"/>
  <c r="M219" i="10"/>
  <c r="L219" i="10"/>
  <c r="G219" i="10"/>
  <c r="AX218" i="10"/>
  <c r="AW218" i="10"/>
  <c r="AV218" i="10"/>
  <c r="AU218" i="10"/>
  <c r="AT218" i="10"/>
  <c r="AS218" i="10"/>
  <c r="AI218" i="10"/>
  <c r="AH218" i="10"/>
  <c r="AG218" i="10"/>
  <c r="Y218" i="10"/>
  <c r="X218" i="10"/>
  <c r="N218" i="10"/>
  <c r="M218" i="10"/>
  <c r="L218" i="10"/>
  <c r="AW217" i="10"/>
  <c r="AV217" i="10"/>
  <c r="AU217" i="10"/>
  <c r="AT217" i="10"/>
  <c r="AS217" i="10"/>
  <c r="N217" i="10"/>
  <c r="M217" i="10"/>
  <c r="L217" i="10"/>
  <c r="AX212" i="10"/>
  <c r="AW212" i="10"/>
  <c r="AV212" i="10"/>
  <c r="AU212" i="10"/>
  <c r="AT212" i="10"/>
  <c r="AS212" i="10"/>
  <c r="N212" i="10"/>
  <c r="M212" i="10"/>
  <c r="L212" i="10"/>
  <c r="G212" i="10"/>
  <c r="AX211" i="10"/>
  <c r="AW211" i="10"/>
  <c r="AV211" i="10"/>
  <c r="AU211" i="10"/>
  <c r="AT211" i="10"/>
  <c r="AS211" i="10"/>
  <c r="N211" i="10"/>
  <c r="M211" i="10"/>
  <c r="L211" i="10"/>
  <c r="G211" i="10"/>
  <c r="AX210" i="10"/>
  <c r="AW210" i="10"/>
  <c r="AV210" i="10"/>
  <c r="AU210" i="10"/>
  <c r="AT210" i="10"/>
  <c r="AS210" i="10"/>
  <c r="N210" i="10"/>
  <c r="M210" i="10"/>
  <c r="L210" i="10"/>
  <c r="G210" i="10"/>
  <c r="AX209" i="10"/>
  <c r="AW209" i="10"/>
  <c r="AV209" i="10"/>
  <c r="AU209" i="10"/>
  <c r="AT209" i="10"/>
  <c r="AS209" i="10"/>
  <c r="N209" i="10"/>
  <c r="M209" i="10"/>
  <c r="L209" i="10"/>
  <c r="G209" i="10"/>
  <c r="AX208" i="10"/>
  <c r="AW208" i="10"/>
  <c r="AV208" i="10"/>
  <c r="AU208" i="10"/>
  <c r="AT208" i="10"/>
  <c r="AS208" i="10"/>
  <c r="N208" i="10"/>
  <c r="M208" i="10"/>
  <c r="L208" i="10"/>
  <c r="G208" i="10"/>
  <c r="AX207" i="10"/>
  <c r="AW207" i="10"/>
  <c r="AV207" i="10"/>
  <c r="AU207" i="10"/>
  <c r="AT207" i="10"/>
  <c r="AS207" i="10"/>
  <c r="N207" i="10"/>
  <c r="M207" i="10"/>
  <c r="L207" i="10"/>
  <c r="G207" i="10"/>
  <c r="AX206" i="10"/>
  <c r="AW206" i="10"/>
  <c r="AV206" i="10"/>
  <c r="AU206" i="10"/>
  <c r="AT206" i="10"/>
  <c r="AS206" i="10"/>
  <c r="N206" i="10"/>
  <c r="M206" i="10"/>
  <c r="L206" i="10"/>
  <c r="G206" i="10"/>
  <c r="AX205" i="10"/>
  <c r="AW205" i="10"/>
  <c r="AV205" i="10"/>
  <c r="AU205" i="10"/>
  <c r="AT205" i="10"/>
  <c r="AS205" i="10"/>
  <c r="N205" i="10"/>
  <c r="M205" i="10"/>
  <c r="L205" i="10"/>
  <c r="G205" i="10"/>
  <c r="AX204" i="10"/>
  <c r="AW204" i="10"/>
  <c r="AV204" i="10"/>
  <c r="AU204" i="10"/>
  <c r="AT204" i="10"/>
  <c r="AS204" i="10"/>
  <c r="AI204" i="10"/>
  <c r="AH204" i="10"/>
  <c r="AG204" i="10"/>
  <c r="Y204" i="10"/>
  <c r="X204" i="10"/>
  <c r="N204" i="10"/>
  <c r="M204" i="10"/>
  <c r="L204" i="10"/>
  <c r="AW203" i="10"/>
  <c r="AV203" i="10"/>
  <c r="AU203" i="10"/>
  <c r="AT203" i="10"/>
  <c r="AS203" i="10"/>
  <c r="N203" i="10"/>
  <c r="M203" i="10"/>
  <c r="L203" i="10"/>
  <c r="AX202" i="10"/>
  <c r="AW202" i="10"/>
  <c r="AV202" i="10"/>
  <c r="AU202" i="10"/>
  <c r="AT202" i="10"/>
  <c r="AS202" i="10"/>
  <c r="N202" i="10"/>
  <c r="M202" i="10"/>
  <c r="L202" i="10"/>
  <c r="G202" i="10"/>
  <c r="AX201" i="10"/>
  <c r="AW201" i="10"/>
  <c r="AV201" i="10"/>
  <c r="AU201" i="10"/>
  <c r="AT201" i="10"/>
  <c r="AS201" i="10"/>
  <c r="N201" i="10"/>
  <c r="M201" i="10"/>
  <c r="L201" i="10"/>
  <c r="G201" i="10"/>
  <c r="AX200" i="10"/>
  <c r="AW200" i="10"/>
  <c r="AV200" i="10"/>
  <c r="AU200" i="10"/>
  <c r="AT200" i="10"/>
  <c r="AS200" i="10"/>
  <c r="N200" i="10"/>
  <c r="M200" i="10"/>
  <c r="L200" i="10"/>
  <c r="AX199" i="10"/>
  <c r="AW199" i="10"/>
  <c r="AV199" i="10"/>
  <c r="AU199" i="10"/>
  <c r="AT199" i="10"/>
  <c r="AS199" i="10"/>
  <c r="N199" i="10"/>
  <c r="M199" i="10"/>
  <c r="L199" i="10"/>
  <c r="G199" i="10"/>
  <c r="AX198" i="10"/>
  <c r="AW198" i="10"/>
  <c r="AV198" i="10"/>
  <c r="AU198" i="10"/>
  <c r="AT198" i="10"/>
  <c r="AS198" i="10"/>
  <c r="N198" i="10"/>
  <c r="M198" i="10"/>
  <c r="L198" i="10"/>
  <c r="AX197" i="10"/>
  <c r="AW197" i="10"/>
  <c r="AV197" i="10"/>
  <c r="AU197" i="10"/>
  <c r="AT197" i="10"/>
  <c r="AS197" i="10"/>
  <c r="N197" i="10"/>
  <c r="M197" i="10"/>
  <c r="L197" i="10"/>
  <c r="AX196" i="10"/>
  <c r="AW196" i="10"/>
  <c r="AV196" i="10"/>
  <c r="AU196" i="10"/>
  <c r="AT196" i="10"/>
  <c r="AS196" i="10"/>
  <c r="N196" i="10"/>
  <c r="M196" i="10"/>
  <c r="L196" i="10"/>
  <c r="G196" i="10"/>
  <c r="AX195" i="10"/>
  <c r="AW195" i="10"/>
  <c r="AV195" i="10"/>
  <c r="AU195" i="10"/>
  <c r="AT195" i="10"/>
  <c r="AS195" i="10"/>
  <c r="N195" i="10"/>
  <c r="M195" i="10"/>
  <c r="L195" i="10"/>
  <c r="AX194" i="10"/>
  <c r="AW194" i="10"/>
  <c r="AV194" i="10"/>
  <c r="AU194" i="10"/>
  <c r="AT194" i="10"/>
  <c r="AS194" i="10"/>
  <c r="AI194" i="10"/>
  <c r="AH194" i="10"/>
  <c r="AG194" i="10"/>
  <c r="Y194" i="10"/>
  <c r="X194" i="10"/>
  <c r="N194" i="10"/>
  <c r="M194" i="10"/>
  <c r="L194" i="10"/>
  <c r="AW193" i="10"/>
  <c r="AV193" i="10"/>
  <c r="AU193" i="10"/>
  <c r="AT193" i="10"/>
  <c r="AS193" i="10"/>
  <c r="N193" i="10"/>
  <c r="M193" i="10"/>
  <c r="L193" i="10"/>
  <c r="AW188" i="10"/>
  <c r="AV188" i="10"/>
  <c r="AU188" i="10"/>
  <c r="AT188" i="10"/>
  <c r="AS188" i="10"/>
  <c r="N188" i="10"/>
  <c r="M188" i="10"/>
  <c r="L188" i="10"/>
  <c r="G188" i="10"/>
  <c r="AW187" i="10"/>
  <c r="AV187" i="10"/>
  <c r="AU187" i="10"/>
  <c r="AT187" i="10"/>
  <c r="AS187" i="10"/>
  <c r="N187" i="10"/>
  <c r="M187" i="10"/>
  <c r="L187" i="10"/>
  <c r="G187" i="10"/>
  <c r="AW186" i="10"/>
  <c r="AV186" i="10"/>
  <c r="AU186" i="10"/>
  <c r="AT186" i="10"/>
  <c r="AS186" i="10"/>
  <c r="N186" i="10"/>
  <c r="M186" i="10"/>
  <c r="L186" i="10"/>
  <c r="G186" i="10"/>
  <c r="AW185" i="10"/>
  <c r="AV185" i="10"/>
  <c r="AU185" i="10"/>
  <c r="AT185" i="10"/>
  <c r="AS185" i="10"/>
  <c r="N185" i="10"/>
  <c r="M185" i="10"/>
  <c r="L185" i="10"/>
  <c r="G185" i="10"/>
  <c r="AW184" i="10"/>
  <c r="AV184" i="10"/>
  <c r="AU184" i="10"/>
  <c r="AT184" i="10"/>
  <c r="AS184" i="10"/>
  <c r="N184" i="10"/>
  <c r="M184" i="10"/>
  <c r="L184" i="10"/>
  <c r="G184" i="10"/>
  <c r="AW183" i="10"/>
  <c r="AV183" i="10"/>
  <c r="AU183" i="10"/>
  <c r="AT183" i="10"/>
  <c r="AS183" i="10"/>
  <c r="N183" i="10"/>
  <c r="M183" i="10"/>
  <c r="L183" i="10"/>
  <c r="AW182" i="10"/>
  <c r="AV182" i="10"/>
  <c r="AU182" i="10"/>
  <c r="AT182" i="10"/>
  <c r="AS182" i="10"/>
  <c r="N182" i="10"/>
  <c r="M182" i="10"/>
  <c r="L182" i="10"/>
  <c r="AW181" i="10"/>
  <c r="AV181" i="10"/>
  <c r="AU181" i="10"/>
  <c r="AT181" i="10"/>
  <c r="AS181" i="10"/>
  <c r="N181" i="10"/>
  <c r="M181" i="10"/>
  <c r="L181" i="10"/>
  <c r="AW180" i="10"/>
  <c r="AV180" i="10"/>
  <c r="AU180" i="10"/>
  <c r="AT180" i="10"/>
  <c r="AS180" i="10"/>
  <c r="N180" i="10"/>
  <c r="M180" i="10"/>
  <c r="L180" i="10"/>
  <c r="AW179" i="10"/>
  <c r="AV179" i="10"/>
  <c r="AU179" i="10"/>
  <c r="AT179" i="10"/>
  <c r="AS179" i="10"/>
  <c r="N179" i="10"/>
  <c r="M179" i="10"/>
  <c r="L179" i="10"/>
  <c r="AW178" i="10"/>
  <c r="AV178" i="10"/>
  <c r="AU178" i="10"/>
  <c r="AT178" i="10"/>
  <c r="AS178" i="10"/>
  <c r="N178" i="10"/>
  <c r="M178" i="10"/>
  <c r="L178" i="10"/>
  <c r="G178" i="10"/>
  <c r="AW177" i="10"/>
  <c r="AV177" i="10"/>
  <c r="AU177" i="10"/>
  <c r="AT177" i="10"/>
  <c r="AS177" i="10"/>
  <c r="N177" i="10"/>
  <c r="M177" i="10"/>
  <c r="L177" i="10"/>
  <c r="G177" i="10"/>
  <c r="AW176" i="10"/>
  <c r="AV176" i="10"/>
  <c r="AU176" i="10"/>
  <c r="AT176" i="10"/>
  <c r="AS176" i="10"/>
  <c r="N176" i="10"/>
  <c r="M176" i="10"/>
  <c r="L176" i="10"/>
  <c r="AW175" i="10"/>
  <c r="AV175" i="10"/>
  <c r="AU175" i="10"/>
  <c r="AT175" i="10"/>
  <c r="AS175" i="10"/>
  <c r="N175" i="10"/>
  <c r="M175" i="10"/>
  <c r="L175" i="10"/>
  <c r="AW174" i="10"/>
  <c r="AV174" i="10"/>
  <c r="AU174" i="10"/>
  <c r="AT174" i="10"/>
  <c r="AS174" i="10"/>
  <c r="N174" i="10"/>
  <c r="M174" i="10"/>
  <c r="L174" i="10"/>
  <c r="G174" i="10"/>
  <c r="AW173" i="10"/>
  <c r="AV173" i="10"/>
  <c r="AU173" i="10"/>
  <c r="AT173" i="10"/>
  <c r="AS173" i="10"/>
  <c r="N173" i="10"/>
  <c r="M173" i="10"/>
  <c r="L173" i="10"/>
  <c r="AW172" i="10"/>
  <c r="AV172" i="10"/>
  <c r="AU172" i="10"/>
  <c r="AT172" i="10"/>
  <c r="AS172" i="10"/>
  <c r="N172" i="10"/>
  <c r="M172" i="10"/>
  <c r="L172" i="10"/>
  <c r="AW171" i="10"/>
  <c r="AV171" i="10"/>
  <c r="AU171" i="10"/>
  <c r="AT171" i="10"/>
  <c r="AS171" i="10"/>
  <c r="N171" i="10"/>
  <c r="M171" i="10"/>
  <c r="L171" i="10"/>
  <c r="G171" i="10"/>
  <c r="AW170" i="10"/>
  <c r="AV170" i="10"/>
  <c r="AU170" i="10"/>
  <c r="AT170" i="10"/>
  <c r="AS170" i="10"/>
  <c r="N170" i="10"/>
  <c r="M170" i="10"/>
  <c r="L170" i="10"/>
  <c r="G170" i="10"/>
  <c r="AW169" i="10"/>
  <c r="AV169" i="10"/>
  <c r="AU169" i="10"/>
  <c r="AT169" i="10"/>
  <c r="AS169" i="10"/>
  <c r="N169" i="10"/>
  <c r="M169" i="10"/>
  <c r="L169" i="10"/>
  <c r="AW168" i="10"/>
  <c r="AV168" i="10"/>
  <c r="AU168" i="10"/>
  <c r="AT168" i="10"/>
  <c r="AS168" i="10"/>
  <c r="N168" i="10"/>
  <c r="M168" i="10"/>
  <c r="L168" i="10"/>
  <c r="G168" i="10"/>
  <c r="AW167" i="10"/>
  <c r="AV167" i="10"/>
  <c r="AU167" i="10"/>
  <c r="AT167" i="10"/>
  <c r="AS167" i="10"/>
  <c r="N167" i="10"/>
  <c r="M167" i="10"/>
  <c r="L167" i="10"/>
  <c r="G167" i="10"/>
  <c r="AW166" i="10"/>
  <c r="AV166" i="10"/>
  <c r="AU166" i="10"/>
  <c r="AT166" i="10"/>
  <c r="AS166" i="10"/>
  <c r="N166" i="10"/>
  <c r="M166" i="10"/>
  <c r="L166" i="10"/>
  <c r="AW165" i="10"/>
  <c r="AV165" i="10"/>
  <c r="AU165" i="10"/>
  <c r="AT165" i="10"/>
  <c r="AS165" i="10"/>
  <c r="N165" i="10"/>
  <c r="M165" i="10"/>
  <c r="L165" i="10"/>
  <c r="G165" i="10"/>
  <c r="AW164" i="10"/>
  <c r="AV164" i="10"/>
  <c r="AU164" i="10"/>
  <c r="AT164" i="10"/>
  <c r="AS164" i="10"/>
  <c r="N164" i="10"/>
  <c r="M164" i="10"/>
  <c r="L164" i="10"/>
  <c r="AW163" i="10"/>
  <c r="AV163" i="10"/>
  <c r="AU163" i="10"/>
  <c r="AT163" i="10"/>
  <c r="AS163" i="10"/>
  <c r="N163" i="10"/>
  <c r="M163" i="10"/>
  <c r="L163" i="10"/>
  <c r="G163" i="10"/>
  <c r="AW162" i="10"/>
  <c r="AV162" i="10"/>
  <c r="AU162" i="10"/>
  <c r="AT162" i="10"/>
  <c r="AS162" i="10"/>
  <c r="N162" i="10"/>
  <c r="M162" i="10"/>
  <c r="L162" i="10"/>
  <c r="G162" i="10"/>
  <c r="AW161" i="10"/>
  <c r="AV161" i="10"/>
  <c r="AU161" i="10"/>
  <c r="AT161" i="10"/>
  <c r="AS161" i="10"/>
  <c r="N161" i="10"/>
  <c r="M161" i="10"/>
  <c r="L161" i="10"/>
  <c r="G161" i="10"/>
  <c r="AW160" i="10"/>
  <c r="AV160" i="10"/>
  <c r="AU160" i="10"/>
  <c r="AT160" i="10"/>
  <c r="AS160" i="10"/>
  <c r="N160" i="10"/>
  <c r="M160" i="10"/>
  <c r="L160" i="10"/>
  <c r="G160" i="10"/>
  <c r="AW159" i="10"/>
  <c r="AV159" i="10"/>
  <c r="AU159" i="10"/>
  <c r="AT159" i="10"/>
  <c r="AS159" i="10"/>
  <c r="N159" i="10"/>
  <c r="M159" i="10"/>
  <c r="L159" i="10"/>
  <c r="G159" i="10"/>
  <c r="AW158" i="10"/>
  <c r="AV158" i="10"/>
  <c r="AU158" i="10"/>
  <c r="AT158" i="10"/>
  <c r="AS158" i="10"/>
  <c r="N158" i="10"/>
  <c r="M158" i="10"/>
  <c r="L158" i="10"/>
  <c r="G158" i="10"/>
  <c r="AW157" i="10"/>
  <c r="AV157" i="10"/>
  <c r="AU157" i="10"/>
  <c r="AT157" i="10"/>
  <c r="AS157" i="10"/>
  <c r="N157" i="10"/>
  <c r="M157" i="10"/>
  <c r="L157" i="10"/>
  <c r="G157" i="10"/>
  <c r="AW156" i="10"/>
  <c r="AV156" i="10"/>
  <c r="AU156" i="10"/>
  <c r="AT156" i="10"/>
  <c r="AS156" i="10"/>
  <c r="N156" i="10"/>
  <c r="M156" i="10"/>
  <c r="L156" i="10"/>
  <c r="G156" i="10"/>
  <c r="AW155" i="10"/>
  <c r="AV155" i="10"/>
  <c r="AU155" i="10"/>
  <c r="AT155" i="10"/>
  <c r="AS155" i="10"/>
  <c r="N155" i="10"/>
  <c r="M155" i="10"/>
  <c r="L155" i="10"/>
  <c r="N151" i="10"/>
  <c r="M151" i="10"/>
  <c r="L151" i="10"/>
  <c r="AI150" i="10"/>
  <c r="AH150" i="10"/>
  <c r="AG150" i="10"/>
  <c r="N150" i="10"/>
  <c r="M150" i="10"/>
  <c r="L150" i="10"/>
  <c r="N149" i="10"/>
  <c r="M149" i="10"/>
  <c r="L149" i="10"/>
  <c r="AX148" i="10"/>
  <c r="AW148" i="10"/>
  <c r="AV148" i="10"/>
  <c r="AU148" i="10"/>
  <c r="AT148" i="10"/>
  <c r="AS148" i="10"/>
  <c r="AI148" i="10"/>
  <c r="AH148" i="10"/>
  <c r="AG148" i="10"/>
  <c r="Z148" i="10"/>
  <c r="Y148" i="10"/>
  <c r="X148" i="10"/>
  <c r="N148" i="10"/>
  <c r="M148" i="10"/>
  <c r="L148" i="10"/>
  <c r="AX147" i="10"/>
  <c r="AW147" i="10"/>
  <c r="AV147" i="10"/>
  <c r="AU147" i="10"/>
  <c r="AT147" i="10"/>
  <c r="AS147" i="10"/>
  <c r="AI147" i="10"/>
  <c r="AH147" i="10"/>
  <c r="AG147" i="10"/>
  <c r="Z147" i="10"/>
  <c r="Y147" i="10"/>
  <c r="X147" i="10"/>
  <c r="N147" i="10"/>
  <c r="M147" i="10"/>
  <c r="L147" i="10"/>
  <c r="AW146" i="10"/>
  <c r="AV146" i="10"/>
  <c r="AU146" i="10"/>
  <c r="AT146" i="10"/>
  <c r="AS146" i="10"/>
  <c r="AI146" i="10"/>
  <c r="AH146" i="10"/>
  <c r="AG146" i="10"/>
  <c r="Z146" i="10"/>
  <c r="Y146" i="10"/>
  <c r="X146" i="10"/>
  <c r="N146" i="10"/>
  <c r="M146" i="10"/>
  <c r="L146" i="10"/>
  <c r="N145" i="10"/>
  <c r="M145" i="10"/>
  <c r="L145" i="10"/>
  <c r="AI144" i="10"/>
  <c r="AH144" i="10"/>
  <c r="AG144" i="10"/>
  <c r="N144" i="10"/>
  <c r="M144" i="10"/>
  <c r="L144" i="10"/>
  <c r="N143" i="10"/>
  <c r="M143" i="10"/>
  <c r="L143" i="10"/>
  <c r="AX142" i="10"/>
  <c r="AW142" i="10"/>
  <c r="AV142" i="10"/>
  <c r="AU142" i="10"/>
  <c r="AT142" i="10"/>
  <c r="AS142" i="10"/>
  <c r="AI142" i="10"/>
  <c r="AH142" i="10"/>
  <c r="AG142" i="10"/>
  <c r="Z142" i="10"/>
  <c r="Y142" i="10"/>
  <c r="X142" i="10"/>
  <c r="N142" i="10"/>
  <c r="M142" i="10"/>
  <c r="L142" i="10"/>
  <c r="G142" i="10"/>
  <c r="AX141" i="10"/>
  <c r="AW141" i="10"/>
  <c r="AV141" i="10"/>
  <c r="AU141" i="10"/>
  <c r="AT141" i="10"/>
  <c r="AS141" i="10"/>
  <c r="AI141" i="10"/>
  <c r="AH141" i="10"/>
  <c r="AG141" i="10"/>
  <c r="Z141" i="10"/>
  <c r="Y141" i="10"/>
  <c r="X141" i="10"/>
  <c r="N141" i="10"/>
  <c r="M141" i="10"/>
  <c r="L141" i="10"/>
  <c r="G141" i="10"/>
  <c r="AW140" i="10"/>
  <c r="AV140" i="10"/>
  <c r="AU140" i="10"/>
  <c r="AT140" i="10"/>
  <c r="AS140" i="10"/>
  <c r="AI140" i="10"/>
  <c r="AH140" i="10"/>
  <c r="AG140" i="10"/>
  <c r="Z140" i="10"/>
  <c r="Y140" i="10"/>
  <c r="X140" i="10"/>
  <c r="N140" i="10"/>
  <c r="M140" i="10"/>
  <c r="L140" i="10"/>
  <c r="AX135" i="10"/>
  <c r="AW135" i="10"/>
  <c r="AV135" i="10"/>
  <c r="AU135" i="10"/>
  <c r="AT135" i="10"/>
  <c r="AS135" i="10"/>
  <c r="AI135" i="10"/>
  <c r="AH135" i="10"/>
  <c r="AG135" i="10"/>
  <c r="Y135" i="10"/>
  <c r="X135" i="10"/>
  <c r="M135" i="10"/>
  <c r="L135" i="10"/>
  <c r="K135" i="10"/>
  <c r="AX134" i="10"/>
  <c r="AW134" i="10"/>
  <c r="AV134" i="10"/>
  <c r="AU134" i="10"/>
  <c r="AT134" i="10"/>
  <c r="AS134" i="10"/>
  <c r="AI134" i="10"/>
  <c r="AH134" i="10"/>
  <c r="AG134" i="10"/>
  <c r="Y134" i="10"/>
  <c r="X134" i="10"/>
  <c r="N134" i="10"/>
  <c r="M134" i="10"/>
  <c r="L134" i="10"/>
  <c r="K134" i="10"/>
  <c r="AX133" i="10"/>
  <c r="AW133" i="10"/>
  <c r="AV133" i="10"/>
  <c r="AU133" i="10"/>
  <c r="AT133" i="10"/>
  <c r="AS133" i="10"/>
  <c r="AI133" i="10"/>
  <c r="AH133" i="10"/>
  <c r="AG133" i="10"/>
  <c r="Y133" i="10"/>
  <c r="X133" i="10"/>
  <c r="N133" i="10"/>
  <c r="M133" i="10"/>
  <c r="L133" i="10"/>
  <c r="K133" i="10"/>
  <c r="AX132" i="10"/>
  <c r="AW132" i="10"/>
  <c r="AV132" i="10"/>
  <c r="AU132" i="10"/>
  <c r="AT132" i="10"/>
  <c r="AS132" i="10"/>
  <c r="AI132" i="10"/>
  <c r="AH132" i="10"/>
  <c r="AG132" i="10"/>
  <c r="Y132" i="10"/>
  <c r="X132" i="10"/>
  <c r="N132" i="10"/>
  <c r="M132" i="10"/>
  <c r="L132" i="10"/>
  <c r="K132" i="10"/>
  <c r="AX131" i="10"/>
  <c r="AW131" i="10"/>
  <c r="AV131" i="10"/>
  <c r="AU131" i="10"/>
  <c r="AT131" i="10"/>
  <c r="AS131" i="10"/>
  <c r="AI131" i="10"/>
  <c r="AH131" i="10"/>
  <c r="AG131" i="10"/>
  <c r="Y131" i="10"/>
  <c r="X131" i="10"/>
  <c r="N131" i="10"/>
  <c r="M131" i="10"/>
  <c r="L131" i="10"/>
  <c r="K131" i="10"/>
  <c r="AX130" i="10"/>
  <c r="AW130" i="10"/>
  <c r="AV130" i="10"/>
  <c r="AU130" i="10"/>
  <c r="AT130" i="10"/>
  <c r="AS130" i="10"/>
  <c r="N130" i="10"/>
  <c r="M130" i="10"/>
  <c r="L130" i="10"/>
  <c r="AX129" i="10"/>
  <c r="AW129" i="10"/>
  <c r="AV129" i="10"/>
  <c r="AU129" i="10"/>
  <c r="AT129" i="10"/>
  <c r="AS129" i="10"/>
  <c r="AI129" i="10"/>
  <c r="AH129" i="10"/>
  <c r="AG129" i="10"/>
  <c r="AC129" i="10"/>
  <c r="AB129" i="10"/>
  <c r="AA129" i="10"/>
  <c r="AX128" i="10"/>
  <c r="AW128" i="10"/>
  <c r="AV128" i="10"/>
  <c r="AU128" i="10"/>
  <c r="AT128" i="10"/>
  <c r="AS128" i="10"/>
  <c r="AI128" i="10"/>
  <c r="AH128" i="10"/>
  <c r="AG128" i="10"/>
  <c r="AC128" i="10"/>
  <c r="AB128" i="10"/>
  <c r="AA128" i="10"/>
  <c r="Z128" i="10"/>
  <c r="Y128" i="10"/>
  <c r="X128" i="10"/>
  <c r="N128" i="10"/>
  <c r="M128" i="10"/>
  <c r="L128" i="10"/>
  <c r="K128" i="10"/>
  <c r="AX127" i="10"/>
  <c r="AW127" i="10"/>
  <c r="AV127" i="10"/>
  <c r="AU127" i="10"/>
  <c r="AT127" i="10"/>
  <c r="AS127" i="10"/>
  <c r="AI127" i="10"/>
  <c r="AH127" i="10"/>
  <c r="AG127" i="10"/>
  <c r="AC127" i="10"/>
  <c r="AB127" i="10"/>
  <c r="AA127" i="10"/>
  <c r="AX126" i="10"/>
  <c r="AW126" i="10"/>
  <c r="AV126" i="10"/>
  <c r="AU126" i="10"/>
  <c r="AT126" i="10"/>
  <c r="AS126" i="10"/>
  <c r="AI126" i="10"/>
  <c r="AH126" i="10"/>
  <c r="AG126" i="10"/>
  <c r="AC126" i="10"/>
  <c r="AB126" i="10"/>
  <c r="AA126" i="10"/>
  <c r="Z126" i="10"/>
  <c r="Y126" i="10"/>
  <c r="X126" i="10"/>
  <c r="N126" i="10"/>
  <c r="M126" i="10"/>
  <c r="L126" i="10"/>
  <c r="K126" i="10"/>
  <c r="AX125" i="10"/>
  <c r="AW125" i="10"/>
  <c r="AV125" i="10"/>
  <c r="AU125" i="10"/>
  <c r="AT125" i="10"/>
  <c r="AS125" i="10"/>
  <c r="AI125" i="10"/>
  <c r="AH125" i="10"/>
  <c r="AG125" i="10"/>
  <c r="AC125" i="10"/>
  <c r="AB125" i="10"/>
  <c r="AA125" i="10"/>
  <c r="AX124" i="10"/>
  <c r="AW124" i="10"/>
  <c r="AV124" i="10"/>
  <c r="AU124" i="10"/>
  <c r="AT124" i="10"/>
  <c r="AS124" i="10"/>
  <c r="AI124" i="10"/>
  <c r="AH124" i="10"/>
  <c r="AG124" i="10"/>
  <c r="AC124" i="10"/>
  <c r="AB124" i="10"/>
  <c r="AA124" i="10"/>
  <c r="Z124" i="10"/>
  <c r="Y124" i="10"/>
  <c r="X124" i="10"/>
  <c r="N124" i="10"/>
  <c r="M124" i="10"/>
  <c r="L124" i="10"/>
  <c r="K124" i="10"/>
  <c r="AX123" i="10"/>
  <c r="AW123" i="10"/>
  <c r="AV123" i="10"/>
  <c r="AU123" i="10"/>
  <c r="AT123" i="10"/>
  <c r="AS123" i="10"/>
  <c r="AI123" i="10"/>
  <c r="AH123" i="10"/>
  <c r="AG123" i="10"/>
  <c r="AC123" i="10"/>
  <c r="AB123" i="10"/>
  <c r="AA123" i="10"/>
  <c r="AX122" i="10"/>
  <c r="AW122" i="10"/>
  <c r="AV122" i="10"/>
  <c r="AU122" i="10"/>
  <c r="AT122" i="10"/>
  <c r="AS122" i="10"/>
  <c r="AI122" i="10"/>
  <c r="AH122" i="10"/>
  <c r="AG122" i="10"/>
  <c r="AC122" i="10"/>
  <c r="AB122" i="10"/>
  <c r="AA122" i="10"/>
  <c r="Z122" i="10"/>
  <c r="Y122" i="10"/>
  <c r="X122" i="10"/>
  <c r="N122" i="10"/>
  <c r="M122" i="10"/>
  <c r="L122" i="10"/>
  <c r="K122" i="10"/>
  <c r="AX121" i="10"/>
  <c r="AW121" i="10"/>
  <c r="AV121" i="10"/>
  <c r="AU121" i="10"/>
  <c r="AT121" i="10"/>
  <c r="AS121" i="10"/>
  <c r="AI121" i="10"/>
  <c r="AH121" i="10"/>
  <c r="AG121" i="10"/>
  <c r="AC121" i="10"/>
  <c r="AB121" i="10"/>
  <c r="AA121" i="10"/>
  <c r="AX120" i="10"/>
  <c r="AW120" i="10"/>
  <c r="AV120" i="10"/>
  <c r="AU120" i="10"/>
  <c r="AT120" i="10"/>
  <c r="AS120" i="10"/>
  <c r="AI120" i="10"/>
  <c r="AH120" i="10"/>
  <c r="AG120" i="10"/>
  <c r="AC120" i="10"/>
  <c r="AB120" i="10"/>
  <c r="AA120" i="10"/>
  <c r="Z120" i="10"/>
  <c r="Y120" i="10"/>
  <c r="X120" i="10"/>
  <c r="N120" i="10"/>
  <c r="M120" i="10"/>
  <c r="L120" i="10"/>
  <c r="K120" i="10"/>
  <c r="AX119" i="10"/>
  <c r="AW119" i="10"/>
  <c r="AV119" i="10"/>
  <c r="AU119" i="10"/>
  <c r="AT119" i="10"/>
  <c r="AS119" i="10"/>
  <c r="AO119" i="10"/>
  <c r="AN119" i="10"/>
  <c r="AM119" i="10"/>
  <c r="AI119" i="10"/>
  <c r="AH119" i="10"/>
  <c r="AG119" i="10"/>
  <c r="Z119" i="10"/>
  <c r="Y119" i="10"/>
  <c r="X119" i="10"/>
  <c r="N119" i="10"/>
  <c r="M119" i="10"/>
  <c r="L119" i="10"/>
  <c r="K119" i="10"/>
  <c r="AW118" i="10"/>
  <c r="AV118" i="10"/>
  <c r="AU118" i="10"/>
  <c r="AT118" i="10"/>
  <c r="AS118" i="10"/>
  <c r="AO118" i="10"/>
  <c r="AN118" i="10"/>
  <c r="AM118" i="10"/>
  <c r="AI118" i="10"/>
  <c r="AH118" i="10"/>
  <c r="AG118" i="10"/>
  <c r="AC118" i="10"/>
  <c r="AB118" i="10"/>
  <c r="AA118" i="10"/>
  <c r="Z118" i="10"/>
  <c r="Y118" i="10"/>
  <c r="X118" i="10"/>
  <c r="N118" i="10"/>
  <c r="M118" i="10"/>
  <c r="L118" i="10"/>
  <c r="AX117" i="10"/>
  <c r="AW117" i="10"/>
  <c r="AV117" i="10"/>
  <c r="AU117" i="10"/>
  <c r="AT117" i="10"/>
  <c r="AS117" i="10"/>
  <c r="AI117" i="10"/>
  <c r="AH117" i="10"/>
  <c r="AG117" i="10"/>
  <c r="Y117" i="10"/>
  <c r="X117" i="10"/>
  <c r="N117" i="10"/>
  <c r="M117" i="10"/>
  <c r="L117" i="10"/>
  <c r="K117" i="10"/>
  <c r="AX116" i="10"/>
  <c r="AW116" i="10"/>
  <c r="AV116" i="10"/>
  <c r="AU116" i="10"/>
  <c r="AT116" i="10"/>
  <c r="AS116" i="10"/>
  <c r="AI116" i="10"/>
  <c r="AH116" i="10"/>
  <c r="AG116" i="10"/>
  <c r="Y116" i="10"/>
  <c r="X116" i="10"/>
  <c r="N116" i="10"/>
  <c r="M116" i="10"/>
  <c r="L116" i="10"/>
  <c r="K116" i="10"/>
  <c r="AX115" i="10"/>
  <c r="AW115" i="10"/>
  <c r="AV115" i="10"/>
  <c r="AU115" i="10"/>
  <c r="AT115" i="10"/>
  <c r="AS115" i="10"/>
  <c r="AI115" i="10"/>
  <c r="AH115" i="10"/>
  <c r="AG115" i="10"/>
  <c r="Y115" i="10"/>
  <c r="X115" i="10"/>
  <c r="N115" i="10"/>
  <c r="M115" i="10"/>
  <c r="L115" i="10"/>
  <c r="K115" i="10"/>
  <c r="AX114" i="10"/>
  <c r="AW114" i="10"/>
  <c r="AV114" i="10"/>
  <c r="AU114" i="10"/>
  <c r="AT114" i="10"/>
  <c r="AS114" i="10"/>
  <c r="AI114" i="10"/>
  <c r="AH114" i="10"/>
  <c r="AG114" i="10"/>
  <c r="Y114" i="10"/>
  <c r="X114" i="10"/>
  <c r="N114" i="10"/>
  <c r="M114" i="10"/>
  <c r="L114" i="10"/>
  <c r="K114" i="10"/>
  <c r="AX113" i="10"/>
  <c r="AW113" i="10"/>
  <c r="AV113" i="10"/>
  <c r="AU113" i="10"/>
  <c r="AT113" i="10"/>
  <c r="AS113" i="10"/>
  <c r="AI113" i="10"/>
  <c r="AH113" i="10"/>
  <c r="AG113" i="10"/>
  <c r="Y113" i="10"/>
  <c r="X113" i="10"/>
  <c r="N113" i="10"/>
  <c r="M113" i="10"/>
  <c r="L113" i="10"/>
  <c r="K113" i="10"/>
  <c r="G113" i="10"/>
  <c r="AX112" i="10"/>
  <c r="AW112" i="10"/>
  <c r="AV112" i="10"/>
  <c r="AU112" i="10"/>
  <c r="AT112" i="10"/>
  <c r="AS112" i="10"/>
  <c r="N112" i="10"/>
  <c r="M112" i="10"/>
  <c r="L112" i="10"/>
  <c r="AX111" i="10"/>
  <c r="AW111" i="10"/>
  <c r="AV111" i="10"/>
  <c r="AU111" i="10"/>
  <c r="AT111" i="10"/>
  <c r="AS111" i="10"/>
  <c r="AI111" i="10"/>
  <c r="AH111" i="10"/>
  <c r="AG111" i="10"/>
  <c r="AC111" i="10"/>
  <c r="AB111" i="10"/>
  <c r="AA111" i="10"/>
  <c r="AX110" i="10"/>
  <c r="AW110" i="10"/>
  <c r="AV110" i="10"/>
  <c r="AU110" i="10"/>
  <c r="AT110" i="10"/>
  <c r="AS110" i="10"/>
  <c r="AI110" i="10"/>
  <c r="AH110" i="10"/>
  <c r="AG110" i="10"/>
  <c r="AC110" i="10"/>
  <c r="AB110" i="10"/>
  <c r="AA110" i="10"/>
  <c r="Z110" i="10"/>
  <c r="Y110" i="10"/>
  <c r="X110" i="10"/>
  <c r="N110" i="10"/>
  <c r="M110" i="10"/>
  <c r="L110" i="10"/>
  <c r="K110" i="10"/>
  <c r="AX109" i="10"/>
  <c r="AW109" i="10"/>
  <c r="AV109" i="10"/>
  <c r="AU109" i="10"/>
  <c r="AT109" i="10"/>
  <c r="AS109" i="10"/>
  <c r="AI109" i="10"/>
  <c r="AH109" i="10"/>
  <c r="AG109" i="10"/>
  <c r="AC109" i="10"/>
  <c r="AB109" i="10"/>
  <c r="AA109" i="10"/>
  <c r="AX108" i="10"/>
  <c r="AW108" i="10"/>
  <c r="AV108" i="10"/>
  <c r="AU108" i="10"/>
  <c r="AT108" i="10"/>
  <c r="AS108" i="10"/>
  <c r="AI108" i="10"/>
  <c r="AH108" i="10"/>
  <c r="AG108" i="10"/>
  <c r="AC108" i="10"/>
  <c r="AB108" i="10"/>
  <c r="AA108" i="10"/>
  <c r="Z108" i="10"/>
  <c r="Y108" i="10"/>
  <c r="X108" i="10"/>
  <c r="N108" i="10"/>
  <c r="M108" i="10"/>
  <c r="L108" i="10"/>
  <c r="K108" i="10"/>
  <c r="AX107" i="10"/>
  <c r="AW107" i="10"/>
  <c r="AV107" i="10"/>
  <c r="AU107" i="10"/>
  <c r="AT107" i="10"/>
  <c r="AS107" i="10"/>
  <c r="AI107" i="10"/>
  <c r="AH107" i="10"/>
  <c r="AG107" i="10"/>
  <c r="AC107" i="10"/>
  <c r="AB107" i="10"/>
  <c r="AA107" i="10"/>
  <c r="AX106" i="10"/>
  <c r="AW106" i="10"/>
  <c r="AV106" i="10"/>
  <c r="AU106" i="10"/>
  <c r="AT106" i="10"/>
  <c r="AS106" i="10"/>
  <c r="AI106" i="10"/>
  <c r="AH106" i="10"/>
  <c r="AG106" i="10"/>
  <c r="AC106" i="10"/>
  <c r="AB106" i="10"/>
  <c r="AA106" i="10"/>
  <c r="Z106" i="10"/>
  <c r="Y106" i="10"/>
  <c r="X106" i="10"/>
  <c r="N106" i="10"/>
  <c r="M106" i="10"/>
  <c r="L106" i="10"/>
  <c r="K106" i="10"/>
  <c r="G106" i="10"/>
  <c r="AX105" i="10"/>
  <c r="AW105" i="10"/>
  <c r="AV105" i="10"/>
  <c r="AU105" i="10"/>
  <c r="AT105" i="10"/>
  <c r="AS105" i="10"/>
  <c r="AI105" i="10"/>
  <c r="AH105" i="10"/>
  <c r="AG105" i="10"/>
  <c r="AC105" i="10"/>
  <c r="AB105" i="10"/>
  <c r="AA105" i="10"/>
  <c r="G105" i="10"/>
  <c r="AX104" i="10"/>
  <c r="AW104" i="10"/>
  <c r="AV104" i="10"/>
  <c r="AU104" i="10"/>
  <c r="AT104" i="10"/>
  <c r="AS104" i="10"/>
  <c r="AI104" i="10"/>
  <c r="AH104" i="10"/>
  <c r="AG104" i="10"/>
  <c r="AC104" i="10"/>
  <c r="AB104" i="10"/>
  <c r="AA104" i="10"/>
  <c r="Z104" i="10"/>
  <c r="Y104" i="10"/>
  <c r="X104" i="10"/>
  <c r="N104" i="10"/>
  <c r="M104" i="10"/>
  <c r="L104" i="10"/>
  <c r="K104" i="10"/>
  <c r="G104" i="10"/>
  <c r="AX103" i="10"/>
  <c r="AW103" i="10"/>
  <c r="AV103" i="10"/>
  <c r="AU103" i="10"/>
  <c r="AT103" i="10"/>
  <c r="AS103" i="10"/>
  <c r="AI103" i="10"/>
  <c r="AH103" i="10"/>
  <c r="AG103" i="10"/>
  <c r="AC103" i="10"/>
  <c r="AB103" i="10"/>
  <c r="AA103" i="10"/>
  <c r="AX102" i="10"/>
  <c r="AW102" i="10"/>
  <c r="AV102" i="10"/>
  <c r="AU102" i="10"/>
  <c r="AT102" i="10"/>
  <c r="AS102" i="10"/>
  <c r="AI102" i="10"/>
  <c r="AH102" i="10"/>
  <c r="AG102" i="10"/>
  <c r="AC102" i="10"/>
  <c r="AB102" i="10"/>
  <c r="AA102" i="10"/>
  <c r="Z102" i="10"/>
  <c r="Y102" i="10"/>
  <c r="X102" i="10"/>
  <c r="N102" i="10"/>
  <c r="M102" i="10"/>
  <c r="L102" i="10"/>
  <c r="K102" i="10"/>
  <c r="G102" i="10"/>
  <c r="AX101" i="10"/>
  <c r="AW101" i="10"/>
  <c r="AV101" i="10"/>
  <c r="AU101" i="10"/>
  <c r="AT101" i="10"/>
  <c r="AS101" i="10"/>
  <c r="AO101" i="10"/>
  <c r="AN101" i="10"/>
  <c r="AM101" i="10"/>
  <c r="AI101" i="10"/>
  <c r="AH101" i="10"/>
  <c r="AG101" i="10"/>
  <c r="Z101" i="10"/>
  <c r="Y101" i="10"/>
  <c r="X101" i="10"/>
  <c r="N101" i="10"/>
  <c r="M101" i="10"/>
  <c r="L101" i="10"/>
  <c r="K101" i="10"/>
  <c r="G101" i="10"/>
  <c r="AW100" i="10"/>
  <c r="AV100" i="10"/>
  <c r="AU100" i="10"/>
  <c r="AT100" i="10"/>
  <c r="AS100" i="10"/>
  <c r="AO100" i="10"/>
  <c r="AN100" i="10"/>
  <c r="AM100" i="10"/>
  <c r="AI100" i="10"/>
  <c r="AH100" i="10"/>
  <c r="AG100" i="10"/>
  <c r="AC100" i="10"/>
  <c r="AB100" i="10"/>
  <c r="AA100" i="10"/>
  <c r="Z100" i="10"/>
  <c r="Y100" i="10"/>
  <c r="X100" i="10"/>
  <c r="N100" i="10"/>
  <c r="M100" i="10"/>
  <c r="L100" i="10"/>
  <c r="M95" i="10"/>
  <c r="AX94" i="10"/>
  <c r="AW94" i="10"/>
  <c r="AV94" i="10"/>
  <c r="AU94" i="10"/>
  <c r="AT94" i="10"/>
  <c r="AS94" i="10"/>
  <c r="N94" i="10"/>
  <c r="M94" i="10"/>
  <c r="L94" i="10"/>
  <c r="N93" i="10"/>
  <c r="M93" i="10"/>
  <c r="L93" i="10"/>
  <c r="AX92" i="10"/>
  <c r="AW92" i="10"/>
  <c r="AV92" i="10"/>
  <c r="AU92" i="10"/>
  <c r="AT92" i="10"/>
  <c r="AS92" i="10"/>
  <c r="N92" i="10"/>
  <c r="M92" i="10"/>
  <c r="L92" i="10"/>
  <c r="AW91" i="10"/>
  <c r="AV91" i="10"/>
  <c r="AU91" i="10"/>
  <c r="AT91" i="10"/>
  <c r="AS91" i="10"/>
  <c r="N91" i="10"/>
  <c r="M91" i="10"/>
  <c r="L91" i="10"/>
  <c r="M90" i="10"/>
  <c r="AX89" i="10"/>
  <c r="AW89" i="10"/>
  <c r="AV89" i="10"/>
  <c r="AU89" i="10"/>
  <c r="AT89" i="10"/>
  <c r="AS89" i="10"/>
  <c r="N89" i="10"/>
  <c r="M89" i="10"/>
  <c r="L89" i="10"/>
  <c r="G89" i="10"/>
  <c r="N88" i="10"/>
  <c r="M88" i="10"/>
  <c r="L88" i="10"/>
  <c r="G88" i="10"/>
  <c r="AX87" i="10"/>
  <c r="AW87" i="10"/>
  <c r="AV87" i="10"/>
  <c r="AU87" i="10"/>
  <c r="AT87" i="10"/>
  <c r="AS87" i="10"/>
  <c r="N87" i="10"/>
  <c r="M87" i="10"/>
  <c r="L87" i="10"/>
  <c r="G87" i="10"/>
  <c r="AW86" i="10"/>
  <c r="AV86" i="10"/>
  <c r="AU86" i="10"/>
  <c r="AT86" i="10"/>
  <c r="AS86" i="10"/>
  <c r="N86" i="10"/>
  <c r="M86" i="10"/>
  <c r="L86" i="10"/>
  <c r="M82" i="10"/>
  <c r="N81" i="10"/>
  <c r="M81" i="10"/>
  <c r="L81" i="10"/>
  <c r="N80" i="10"/>
  <c r="M80" i="10"/>
  <c r="L80" i="10"/>
  <c r="N79" i="10"/>
  <c r="M79" i="10"/>
  <c r="L79" i="10"/>
  <c r="M78" i="10"/>
  <c r="N77" i="10"/>
  <c r="M77" i="10"/>
  <c r="L77" i="10"/>
  <c r="N76" i="10"/>
  <c r="M76" i="10"/>
  <c r="L76" i="10"/>
  <c r="N75" i="10"/>
  <c r="M75" i="10"/>
  <c r="L75" i="10"/>
  <c r="AX70" i="10"/>
  <c r="AW70" i="10"/>
  <c r="AV70" i="10"/>
  <c r="AU70" i="10"/>
  <c r="AT70" i="10"/>
  <c r="AS70" i="10"/>
  <c r="AC70" i="10"/>
  <c r="AB70" i="10"/>
  <c r="AA70" i="10"/>
  <c r="U70" i="10"/>
  <c r="AX69" i="10"/>
  <c r="AW69" i="10"/>
  <c r="AV69" i="10"/>
  <c r="AU69" i="10"/>
  <c r="AT69" i="10"/>
  <c r="AS69" i="10"/>
  <c r="AH69" i="10"/>
  <c r="AG69" i="10"/>
  <c r="U69" i="10"/>
  <c r="N69" i="10"/>
  <c r="M69" i="10"/>
  <c r="L69" i="10"/>
  <c r="AX68" i="10"/>
  <c r="AW68" i="10"/>
  <c r="AV68" i="10"/>
  <c r="AU68" i="10"/>
  <c r="AT68" i="10"/>
  <c r="AS68" i="10"/>
  <c r="AH68" i="10"/>
  <c r="AG68" i="10"/>
  <c r="AC68" i="10"/>
  <c r="AB68" i="10"/>
  <c r="AA68" i="10"/>
  <c r="U68" i="10"/>
  <c r="AX67" i="10"/>
  <c r="AW67" i="10"/>
  <c r="AV67" i="10"/>
  <c r="AU67" i="10"/>
  <c r="AT67" i="10"/>
  <c r="AS67" i="10"/>
  <c r="AI67" i="10"/>
  <c r="AH67" i="10"/>
  <c r="AG67" i="10"/>
  <c r="U67" i="10"/>
  <c r="N67" i="10"/>
  <c r="M67" i="10"/>
  <c r="L67" i="10"/>
  <c r="AX66" i="10"/>
  <c r="AW66" i="10"/>
  <c r="AV66" i="10"/>
  <c r="AU66" i="10"/>
  <c r="AT66" i="10"/>
  <c r="AS66" i="10"/>
  <c r="AI66" i="10"/>
  <c r="AH66" i="10"/>
  <c r="AG66" i="10"/>
  <c r="Z66" i="10"/>
  <c r="Y66" i="10"/>
  <c r="X66" i="10"/>
  <c r="U66" i="10"/>
  <c r="N66" i="10"/>
  <c r="M66" i="10"/>
  <c r="L66" i="10"/>
  <c r="AX65" i="10"/>
  <c r="AW65" i="10"/>
  <c r="AV65" i="10"/>
  <c r="AU65" i="10"/>
  <c r="AT65" i="10"/>
  <c r="AS65" i="10"/>
  <c r="AI65" i="10"/>
  <c r="AH65" i="10"/>
  <c r="AG65" i="10"/>
  <c r="U65" i="10"/>
  <c r="N65" i="10"/>
  <c r="M65" i="10"/>
  <c r="L65" i="10"/>
  <c r="G65" i="10"/>
  <c r="AX64" i="10"/>
  <c r="AW64" i="10"/>
  <c r="AV64" i="10"/>
  <c r="AU64" i="10"/>
  <c r="AT64" i="10"/>
  <c r="AS64" i="10"/>
  <c r="AI64" i="10"/>
  <c r="AH64" i="10"/>
  <c r="AG64" i="10"/>
  <c r="AC64" i="10"/>
  <c r="AB64" i="10"/>
  <c r="AA64" i="10"/>
  <c r="U64" i="10"/>
  <c r="AX63" i="10"/>
  <c r="AW63" i="10"/>
  <c r="AV63" i="10"/>
  <c r="AS63" i="10"/>
  <c r="AI63" i="10"/>
  <c r="AH63" i="10"/>
  <c r="AG63" i="10"/>
  <c r="Z63" i="10"/>
  <c r="Y63" i="10"/>
  <c r="X63" i="10"/>
  <c r="U63" i="10"/>
  <c r="N63" i="10"/>
  <c r="M63" i="10"/>
  <c r="L63" i="10"/>
  <c r="AX62" i="10"/>
  <c r="AW62" i="10"/>
  <c r="AV62" i="10"/>
  <c r="AU62" i="10"/>
  <c r="AT62" i="10"/>
  <c r="AS62" i="10"/>
  <c r="AI62" i="10"/>
  <c r="AH62" i="10"/>
  <c r="AG62" i="10"/>
  <c r="Z62" i="10"/>
  <c r="Y62" i="10"/>
  <c r="X62" i="10"/>
  <c r="U62" i="10"/>
  <c r="N62" i="10"/>
  <c r="M62" i="10"/>
  <c r="L62" i="10"/>
  <c r="AX61" i="10"/>
  <c r="AW61" i="10"/>
  <c r="AV61" i="10"/>
  <c r="AU61" i="10"/>
  <c r="AT61" i="10"/>
  <c r="AS61" i="10"/>
  <c r="AI61" i="10"/>
  <c r="AH61" i="10"/>
  <c r="AG61" i="10"/>
  <c r="AC61" i="10"/>
  <c r="AB61" i="10"/>
  <c r="AA61" i="10"/>
  <c r="U61" i="10"/>
  <c r="AX60" i="10"/>
  <c r="AW60" i="10"/>
  <c r="AV60" i="10"/>
  <c r="AU60" i="10"/>
  <c r="AT60" i="10"/>
  <c r="AS60" i="10"/>
  <c r="AI60" i="10"/>
  <c r="AH60" i="10"/>
  <c r="AG60" i="10"/>
  <c r="AC60" i="10"/>
  <c r="AB60" i="10"/>
  <c r="AA60" i="10"/>
  <c r="U60" i="10"/>
  <c r="AX59" i="10"/>
  <c r="AW59" i="10"/>
  <c r="AV59" i="10"/>
  <c r="AU59" i="10"/>
  <c r="AT59" i="10"/>
  <c r="AS59" i="10"/>
  <c r="AI59" i="10"/>
  <c r="AH59" i="10"/>
  <c r="AG59" i="10"/>
  <c r="U59" i="10"/>
  <c r="N59" i="10"/>
  <c r="M59" i="10"/>
  <c r="L59" i="10"/>
  <c r="AX58" i="10"/>
  <c r="AW58" i="10"/>
  <c r="AV58" i="10"/>
  <c r="AU58" i="10"/>
  <c r="AT58" i="10"/>
  <c r="AS58" i="10"/>
  <c r="AI58" i="10"/>
  <c r="AH58" i="10"/>
  <c r="AG58" i="10"/>
  <c r="AC58" i="10"/>
  <c r="AB58" i="10"/>
  <c r="AA58" i="10"/>
  <c r="U58" i="10"/>
  <c r="AX57" i="10"/>
  <c r="AW57" i="10"/>
  <c r="AV57" i="10"/>
  <c r="AU57" i="10"/>
  <c r="AT57" i="10"/>
  <c r="AS57" i="10"/>
  <c r="AI57" i="10"/>
  <c r="AH57" i="10"/>
  <c r="AG57" i="10"/>
  <c r="AC57" i="10"/>
  <c r="AB57" i="10"/>
  <c r="AA57" i="10"/>
  <c r="U57" i="10"/>
  <c r="AX56" i="10"/>
  <c r="AW56" i="10"/>
  <c r="AV56" i="10"/>
  <c r="AU56" i="10"/>
  <c r="AT56" i="10"/>
  <c r="AS56" i="10"/>
  <c r="AI56" i="10"/>
  <c r="AH56" i="10"/>
  <c r="AG56" i="10"/>
  <c r="AC56" i="10"/>
  <c r="AB56" i="10"/>
  <c r="AA56" i="10"/>
  <c r="U56" i="10"/>
  <c r="AX55" i="10"/>
  <c r="AW55" i="10"/>
  <c r="AV55" i="10"/>
  <c r="AU55" i="10"/>
  <c r="AT55" i="10"/>
  <c r="AS55" i="10"/>
  <c r="AI55" i="10"/>
  <c r="AH55" i="10"/>
  <c r="AG55" i="10"/>
  <c r="AC55" i="10"/>
  <c r="AB55" i="10"/>
  <c r="AA55" i="10"/>
  <c r="U55" i="10"/>
  <c r="AW54" i="10"/>
  <c r="AV54" i="10"/>
  <c r="AU54" i="10"/>
  <c r="AT54" i="10"/>
  <c r="AS54" i="10"/>
  <c r="AI54" i="10"/>
  <c r="AH54" i="10"/>
  <c r="AG54" i="10"/>
  <c r="AC54" i="10"/>
  <c r="AB54" i="10"/>
  <c r="AA54" i="10"/>
  <c r="Z54" i="10"/>
  <c r="Y54" i="10"/>
  <c r="X54" i="10"/>
  <c r="N54" i="10"/>
  <c r="M54" i="10"/>
  <c r="L54" i="10"/>
  <c r="AX53" i="10"/>
  <c r="AW53" i="10"/>
  <c r="AV53" i="10"/>
  <c r="AU53" i="10"/>
  <c r="AT53" i="10"/>
  <c r="AS53" i="10"/>
  <c r="AH53" i="10"/>
  <c r="AG53" i="10"/>
  <c r="U53" i="10"/>
  <c r="N53" i="10"/>
  <c r="M53" i="10"/>
  <c r="L53" i="10"/>
  <c r="AX52" i="10"/>
  <c r="AW52" i="10"/>
  <c r="AV52" i="10"/>
  <c r="AU52" i="10"/>
  <c r="AT52" i="10"/>
  <c r="AS52" i="10"/>
  <c r="AH52" i="10"/>
  <c r="AG52" i="10"/>
  <c r="AC52" i="10"/>
  <c r="AB52" i="10"/>
  <c r="AA52" i="10"/>
  <c r="U52" i="10"/>
  <c r="AX51" i="10"/>
  <c r="AW51" i="10"/>
  <c r="AV51" i="10"/>
  <c r="AU51" i="10"/>
  <c r="AT51" i="10"/>
  <c r="AS51" i="10"/>
  <c r="AC51" i="10"/>
  <c r="AB51" i="10"/>
  <c r="AA51" i="10"/>
  <c r="U51" i="10"/>
  <c r="G51" i="10"/>
  <c r="AX50" i="10"/>
  <c r="AW50" i="10"/>
  <c r="AV50" i="10"/>
  <c r="AU50" i="10"/>
  <c r="AT50" i="10"/>
  <c r="AS50" i="10"/>
  <c r="AI50" i="10"/>
  <c r="AH50" i="10"/>
  <c r="AG50" i="10"/>
  <c r="U50" i="10"/>
  <c r="N50" i="10"/>
  <c r="M50" i="10"/>
  <c r="L50" i="10"/>
  <c r="AX49" i="10"/>
  <c r="AW49" i="10"/>
  <c r="AV49" i="10"/>
  <c r="AU49" i="10"/>
  <c r="AT49" i="10"/>
  <c r="AS49" i="10"/>
  <c r="AI49" i="10"/>
  <c r="AH49" i="10"/>
  <c r="AG49" i="10"/>
  <c r="Z49" i="10"/>
  <c r="Y49" i="10"/>
  <c r="X49" i="10"/>
  <c r="U49" i="10"/>
  <c r="N49" i="10"/>
  <c r="M49" i="10"/>
  <c r="L49" i="10"/>
  <c r="AX48" i="10"/>
  <c r="AW48" i="10"/>
  <c r="AV48" i="10"/>
  <c r="AU48" i="10"/>
  <c r="AT48" i="10"/>
  <c r="AS48" i="10"/>
  <c r="AI48" i="10"/>
  <c r="AH48" i="10"/>
  <c r="AG48" i="10"/>
  <c r="U48" i="10"/>
  <c r="N48" i="10"/>
  <c r="M48" i="10"/>
  <c r="L48" i="10"/>
  <c r="AX47" i="10"/>
  <c r="AW47" i="10"/>
  <c r="AV47" i="10"/>
  <c r="AU47" i="10"/>
  <c r="AT47" i="10"/>
  <c r="AS47" i="10"/>
  <c r="AI47" i="10"/>
  <c r="AH47" i="10"/>
  <c r="AG47" i="10"/>
  <c r="AC47" i="10"/>
  <c r="AB47" i="10"/>
  <c r="AA47" i="10"/>
  <c r="U47" i="10"/>
  <c r="AX46" i="10"/>
  <c r="AW46" i="10"/>
  <c r="AV46" i="10"/>
  <c r="AS46" i="10"/>
  <c r="AI46" i="10"/>
  <c r="AH46" i="10"/>
  <c r="AG46" i="10"/>
  <c r="Z46" i="10"/>
  <c r="Y46" i="10"/>
  <c r="X46" i="10"/>
  <c r="U46" i="10"/>
  <c r="N46" i="10"/>
  <c r="M46" i="10"/>
  <c r="L46" i="10"/>
  <c r="AX45" i="10"/>
  <c r="AW45" i="10"/>
  <c r="AV45" i="10"/>
  <c r="AU45" i="10"/>
  <c r="AT45" i="10"/>
  <c r="AS45" i="10"/>
  <c r="AI45" i="10"/>
  <c r="AH45" i="10"/>
  <c r="AG45" i="10"/>
  <c r="Z45" i="10"/>
  <c r="Y45" i="10"/>
  <c r="X45" i="10"/>
  <c r="U45" i="10"/>
  <c r="N45" i="10"/>
  <c r="M45" i="10"/>
  <c r="L45" i="10"/>
  <c r="AX44" i="10"/>
  <c r="AW44" i="10"/>
  <c r="AV44" i="10"/>
  <c r="AU44" i="10"/>
  <c r="AT44" i="10"/>
  <c r="AS44" i="10"/>
  <c r="AI44" i="10"/>
  <c r="AH44" i="10"/>
  <c r="AG44" i="10"/>
  <c r="AC44" i="10"/>
  <c r="AB44" i="10"/>
  <c r="AA44" i="10"/>
  <c r="U44" i="10"/>
  <c r="AX43" i="10"/>
  <c r="AW43" i="10"/>
  <c r="AV43" i="10"/>
  <c r="AU43" i="10"/>
  <c r="AT43" i="10"/>
  <c r="AS43" i="10"/>
  <c r="AI43" i="10"/>
  <c r="AH43" i="10"/>
  <c r="AG43" i="10"/>
  <c r="AC43" i="10"/>
  <c r="AB43" i="10"/>
  <c r="AA43" i="10"/>
  <c r="U43" i="10"/>
  <c r="AX42" i="10"/>
  <c r="AW42" i="10"/>
  <c r="AV42" i="10"/>
  <c r="AU42" i="10"/>
  <c r="AT42" i="10"/>
  <c r="AS42" i="10"/>
  <c r="AI42" i="10"/>
  <c r="AH42" i="10"/>
  <c r="AG42" i="10"/>
  <c r="U42" i="10"/>
  <c r="N42" i="10"/>
  <c r="M42" i="10"/>
  <c r="L42" i="10"/>
  <c r="AX41" i="10"/>
  <c r="AW41" i="10"/>
  <c r="AV41" i="10"/>
  <c r="AU41" i="10"/>
  <c r="AT41" i="10"/>
  <c r="AS41" i="10"/>
  <c r="AI41" i="10"/>
  <c r="AH41" i="10"/>
  <c r="AG41" i="10"/>
  <c r="AC41" i="10"/>
  <c r="AB41" i="10"/>
  <c r="AA41" i="10"/>
  <c r="U41" i="10"/>
  <c r="AX40" i="10"/>
  <c r="AW40" i="10"/>
  <c r="AV40" i="10"/>
  <c r="AU40" i="10"/>
  <c r="AT40" i="10"/>
  <c r="AS40" i="10"/>
  <c r="AI40" i="10"/>
  <c r="AH40" i="10"/>
  <c r="AG40" i="10"/>
  <c r="AC40" i="10"/>
  <c r="AB40" i="10"/>
  <c r="AA40" i="10"/>
  <c r="U40" i="10"/>
  <c r="AX39" i="10"/>
  <c r="AW39" i="10"/>
  <c r="AV39" i="10"/>
  <c r="AU39" i="10"/>
  <c r="AT39" i="10"/>
  <c r="AS39" i="10"/>
  <c r="AI39" i="10"/>
  <c r="AH39" i="10"/>
  <c r="AG39" i="10"/>
  <c r="AC39" i="10"/>
  <c r="AB39" i="10"/>
  <c r="AA39" i="10"/>
  <c r="U39" i="10"/>
  <c r="AX38" i="10"/>
  <c r="AW38" i="10"/>
  <c r="AV38" i="10"/>
  <c r="AU38" i="10"/>
  <c r="AT38" i="10"/>
  <c r="AS38" i="10"/>
  <c r="AI38" i="10"/>
  <c r="AH38" i="10"/>
  <c r="AG38" i="10"/>
  <c r="AC38" i="10"/>
  <c r="AB38" i="10"/>
  <c r="AA38" i="10"/>
  <c r="U38" i="10"/>
  <c r="G38" i="10"/>
  <c r="AW37" i="10"/>
  <c r="AV37" i="10"/>
  <c r="AU37" i="10"/>
  <c r="AT37" i="10"/>
  <c r="AS37" i="10"/>
  <c r="AI37" i="10"/>
  <c r="AH37" i="10"/>
  <c r="AG37" i="10"/>
  <c r="AC37" i="10"/>
  <c r="AB37" i="10"/>
  <c r="AA37" i="10"/>
  <c r="Z37" i="10"/>
  <c r="Y37" i="10"/>
  <c r="X37" i="10"/>
  <c r="N37" i="10"/>
  <c r="M37" i="10"/>
  <c r="L37" i="10"/>
  <c r="AX32" i="10"/>
  <c r="AW32" i="10"/>
  <c r="AV32" i="10"/>
  <c r="AU32" i="10"/>
  <c r="AT32" i="10"/>
  <c r="AS32" i="10"/>
  <c r="AO32" i="10"/>
  <c r="AN32" i="10"/>
  <c r="AM32" i="10"/>
  <c r="AI32" i="10"/>
  <c r="AH32" i="10"/>
  <c r="AG32" i="10"/>
  <c r="AC32" i="10"/>
  <c r="AB32" i="10"/>
  <c r="AA32" i="10"/>
  <c r="Z32" i="10"/>
  <c r="Y32" i="10"/>
  <c r="X32" i="10"/>
  <c r="W32" i="10"/>
  <c r="V32" i="10"/>
  <c r="U32" i="10"/>
  <c r="T32" i="10"/>
  <c r="S32" i="10"/>
  <c r="R32" i="10"/>
  <c r="N32" i="10"/>
  <c r="M32" i="10"/>
  <c r="L32" i="10"/>
  <c r="K32" i="10"/>
  <c r="AX31" i="10"/>
  <c r="AW31" i="10"/>
  <c r="AV31" i="10"/>
  <c r="AU31" i="10"/>
  <c r="AT31" i="10"/>
  <c r="AS31" i="10"/>
  <c r="AO31" i="10"/>
  <c r="AN31" i="10"/>
  <c r="AM31" i="10"/>
  <c r="AI31" i="10"/>
  <c r="AH31" i="10"/>
  <c r="AG31" i="10"/>
  <c r="AC31" i="10"/>
  <c r="AB31" i="10"/>
  <c r="AA31" i="10"/>
  <c r="Z31" i="10"/>
  <c r="Y31" i="10"/>
  <c r="X31" i="10"/>
  <c r="W31" i="10"/>
  <c r="V31" i="10"/>
  <c r="U31" i="10"/>
  <c r="T31" i="10"/>
  <c r="S31" i="10"/>
  <c r="R31" i="10"/>
  <c r="N31" i="10"/>
  <c r="M31" i="10"/>
  <c r="L31" i="10"/>
  <c r="K31" i="10"/>
  <c r="AX30" i="10"/>
  <c r="AW30" i="10"/>
  <c r="AV30" i="10"/>
  <c r="AU30" i="10"/>
  <c r="AT30" i="10"/>
  <c r="AS30" i="10"/>
  <c r="AO30" i="10"/>
  <c r="AN30" i="10"/>
  <c r="AM30" i="10"/>
  <c r="AI30" i="10"/>
  <c r="AH30" i="10"/>
  <c r="AG30" i="10"/>
  <c r="AC30" i="10"/>
  <c r="AB30" i="10"/>
  <c r="AA30" i="10"/>
  <c r="Z30" i="10"/>
  <c r="Y30" i="10"/>
  <c r="X30" i="10"/>
  <c r="W30" i="10"/>
  <c r="V30" i="10"/>
  <c r="U30" i="10"/>
  <c r="T30" i="10"/>
  <c r="S30" i="10"/>
  <c r="R30" i="10"/>
  <c r="N30" i="10"/>
  <c r="M30" i="10"/>
  <c r="L30" i="10"/>
  <c r="K30" i="10"/>
  <c r="AX29" i="10"/>
  <c r="AW29" i="10"/>
  <c r="AV29" i="10"/>
  <c r="AU29" i="10"/>
  <c r="AT29" i="10"/>
  <c r="AS29" i="10"/>
  <c r="AO29" i="10"/>
  <c r="AN29" i="10"/>
  <c r="AM29" i="10"/>
  <c r="AI29" i="10"/>
  <c r="AH29" i="10"/>
  <c r="AG29" i="10"/>
  <c r="AC29" i="10"/>
  <c r="AB29" i="10"/>
  <c r="AA29" i="10"/>
  <c r="Z29" i="10"/>
  <c r="Y29" i="10"/>
  <c r="X29" i="10"/>
  <c r="W29" i="10"/>
  <c r="V29" i="10"/>
  <c r="U29" i="10"/>
  <c r="T29" i="10"/>
  <c r="S29" i="10"/>
  <c r="R29" i="10"/>
  <c r="N29" i="10"/>
  <c r="M29" i="10"/>
  <c r="L29" i="10"/>
  <c r="K29" i="10"/>
  <c r="AX28" i="10"/>
  <c r="AW28" i="10"/>
  <c r="AV28" i="10"/>
  <c r="AU28" i="10"/>
  <c r="AT28" i="10"/>
  <c r="AS28" i="10"/>
  <c r="AO28" i="10"/>
  <c r="AN28" i="10"/>
  <c r="AM28" i="10"/>
  <c r="AI28" i="10"/>
  <c r="AH28" i="10"/>
  <c r="AG28" i="10"/>
  <c r="AC28" i="10"/>
  <c r="AB28" i="10"/>
  <c r="AA28" i="10"/>
  <c r="Z28" i="10"/>
  <c r="Y28" i="10"/>
  <c r="X28" i="10"/>
  <c r="W28" i="10"/>
  <c r="V28" i="10"/>
  <c r="U28" i="10"/>
  <c r="T28" i="10"/>
  <c r="S28" i="10"/>
  <c r="R28" i="10"/>
  <c r="N28" i="10"/>
  <c r="M28" i="10"/>
  <c r="L28" i="10"/>
  <c r="K28" i="10"/>
  <c r="AX27" i="10"/>
  <c r="AW27" i="10"/>
  <c r="AV27" i="10"/>
  <c r="AU27" i="10"/>
  <c r="AT27" i="10"/>
  <c r="AS27" i="10"/>
  <c r="AO27" i="10"/>
  <c r="AN27" i="10"/>
  <c r="AM27" i="10"/>
  <c r="AI27" i="10"/>
  <c r="AH27" i="10"/>
  <c r="AG27" i="10"/>
  <c r="AC27" i="10"/>
  <c r="AB27" i="10"/>
  <c r="AA27" i="10"/>
  <c r="Z27" i="10"/>
  <c r="Y27" i="10"/>
  <c r="X27" i="10"/>
  <c r="W27" i="10"/>
  <c r="V27" i="10"/>
  <c r="U27" i="10"/>
  <c r="T27" i="10"/>
  <c r="S27" i="10"/>
  <c r="R27" i="10"/>
  <c r="N27" i="10"/>
  <c r="M27" i="10"/>
  <c r="L27" i="10"/>
  <c r="K27" i="10"/>
  <c r="AX26" i="10"/>
  <c r="AW26" i="10"/>
  <c r="AV26" i="10"/>
  <c r="AU26" i="10"/>
  <c r="AT26" i="10"/>
  <c r="AS26" i="10"/>
  <c r="AO26" i="10"/>
  <c r="AN26" i="10"/>
  <c r="AM26" i="10"/>
  <c r="AI26" i="10"/>
  <c r="AH26" i="10"/>
  <c r="AG26" i="10"/>
  <c r="AC26" i="10"/>
  <c r="AB26" i="10"/>
  <c r="AA26" i="10"/>
  <c r="Z26" i="10"/>
  <c r="Y26" i="10"/>
  <c r="X26" i="10"/>
  <c r="W26" i="10"/>
  <c r="V26" i="10"/>
  <c r="U26" i="10"/>
  <c r="T26" i="10"/>
  <c r="S26" i="10"/>
  <c r="R26" i="10"/>
  <c r="N26" i="10"/>
  <c r="M26" i="10"/>
  <c r="L26" i="10"/>
  <c r="K26" i="10"/>
  <c r="AX25" i="10"/>
  <c r="AW25" i="10"/>
  <c r="AV25" i="10"/>
  <c r="AU25" i="10"/>
  <c r="AT25" i="10"/>
  <c r="AS25" i="10"/>
  <c r="AO25" i="10"/>
  <c r="AN25" i="10"/>
  <c r="AM25" i="10"/>
  <c r="AI25" i="10"/>
  <c r="AH25" i="10"/>
  <c r="AG25" i="10"/>
  <c r="AC25" i="10"/>
  <c r="AB25" i="10"/>
  <c r="AA25" i="10"/>
  <c r="W25" i="10"/>
  <c r="V25" i="10"/>
  <c r="U25" i="10"/>
  <c r="T25" i="10"/>
  <c r="S25" i="10"/>
  <c r="R25" i="10"/>
  <c r="N25" i="10"/>
  <c r="M25" i="10"/>
  <c r="L25" i="10"/>
  <c r="K25" i="10"/>
  <c r="AX24" i="10"/>
  <c r="AW24" i="10"/>
  <c r="AV24" i="10"/>
  <c r="AU24" i="10"/>
  <c r="AT24" i="10"/>
  <c r="AS24" i="10"/>
  <c r="AO24" i="10"/>
  <c r="AN24" i="10"/>
  <c r="AM24" i="10"/>
  <c r="AI24" i="10"/>
  <c r="AH24" i="10"/>
  <c r="AG24" i="10"/>
  <c r="AC24" i="10"/>
  <c r="AB24" i="10"/>
  <c r="AA24" i="10"/>
  <c r="W24" i="10"/>
  <c r="V24" i="10"/>
  <c r="U24" i="10"/>
  <c r="T24" i="10"/>
  <c r="S24" i="10"/>
  <c r="R24" i="10"/>
  <c r="N24" i="10"/>
  <c r="M24" i="10"/>
  <c r="L24" i="10"/>
  <c r="K24" i="10"/>
  <c r="AX23" i="10"/>
  <c r="AW23" i="10"/>
  <c r="AV23" i="10"/>
  <c r="AU23" i="10"/>
  <c r="AT23" i="10"/>
  <c r="AS23" i="10"/>
  <c r="AO23" i="10"/>
  <c r="AN23" i="10"/>
  <c r="AM23" i="10"/>
  <c r="AI23" i="10"/>
  <c r="AH23" i="10"/>
  <c r="AG23" i="10"/>
  <c r="AC23" i="10"/>
  <c r="AB23" i="10"/>
  <c r="AA23" i="10"/>
  <c r="W23" i="10"/>
  <c r="V23" i="10"/>
  <c r="U23" i="10"/>
  <c r="T23" i="10"/>
  <c r="S23" i="10"/>
  <c r="R23" i="10"/>
  <c r="N23" i="10"/>
  <c r="M23" i="10"/>
  <c r="L23" i="10"/>
  <c r="K23" i="10"/>
  <c r="AX22" i="10"/>
  <c r="AW22" i="10"/>
  <c r="AV22" i="10"/>
  <c r="AU22" i="10"/>
  <c r="AT22" i="10"/>
  <c r="AS22" i="10"/>
  <c r="AO22" i="10"/>
  <c r="AN22" i="10"/>
  <c r="AM22" i="10"/>
  <c r="AI22" i="10"/>
  <c r="AH22" i="10"/>
  <c r="AG22" i="10"/>
  <c r="AC22" i="10"/>
  <c r="AB22" i="10"/>
  <c r="AA22" i="10"/>
  <c r="Z22" i="10"/>
  <c r="Y22" i="10"/>
  <c r="X22" i="10"/>
  <c r="W22" i="10"/>
  <c r="V22" i="10"/>
  <c r="U22" i="10"/>
  <c r="T22" i="10"/>
  <c r="S22" i="10"/>
  <c r="R22" i="10"/>
  <c r="N22" i="10"/>
  <c r="M22" i="10"/>
  <c r="L22" i="10"/>
  <c r="K22" i="10"/>
  <c r="AX21" i="10"/>
  <c r="AW21" i="10"/>
  <c r="AV21" i="10"/>
  <c r="AU21" i="10"/>
  <c r="AT21" i="10"/>
  <c r="AS21" i="10"/>
  <c r="AO21" i="10"/>
  <c r="AN21" i="10"/>
  <c r="AM21" i="10"/>
  <c r="AI21" i="10"/>
  <c r="AH21" i="10"/>
  <c r="AG21" i="10"/>
  <c r="AC21" i="10"/>
  <c r="AB21" i="10"/>
  <c r="AA21" i="10"/>
  <c r="W21" i="10"/>
  <c r="V21" i="10"/>
  <c r="U21" i="10"/>
  <c r="T21" i="10"/>
  <c r="S21" i="10"/>
  <c r="R21" i="10"/>
  <c r="N21" i="10"/>
  <c r="M21" i="10"/>
  <c r="L21" i="10"/>
  <c r="K21" i="10"/>
  <c r="AH20" i="10"/>
  <c r="AG20" i="10"/>
  <c r="N20" i="10"/>
  <c r="M20" i="10"/>
  <c r="L20" i="10"/>
  <c r="AW19" i="10"/>
  <c r="AV19" i="10"/>
  <c r="AU19" i="10"/>
  <c r="AT19" i="10"/>
  <c r="AS19" i="10"/>
  <c r="AO19" i="10"/>
  <c r="AN19" i="10"/>
  <c r="AM19" i="10"/>
  <c r="AI19" i="10"/>
  <c r="AH19" i="10"/>
  <c r="AG19" i="10"/>
  <c r="AC19" i="10"/>
  <c r="AB19" i="10"/>
  <c r="AA19" i="10"/>
  <c r="Z19" i="10"/>
  <c r="Y19" i="10"/>
  <c r="X19" i="10"/>
  <c r="N19" i="10"/>
  <c r="M19" i="10"/>
  <c r="L19" i="10"/>
  <c r="AX18" i="10"/>
  <c r="AW18" i="10"/>
  <c r="AV18" i="10"/>
  <c r="AU18" i="10"/>
  <c r="AT18" i="10"/>
  <c r="AS18" i="10"/>
  <c r="AO18" i="10"/>
  <c r="AN18" i="10"/>
  <c r="AM18" i="10"/>
  <c r="AI18" i="10"/>
  <c r="AH18" i="10"/>
  <c r="AG18" i="10"/>
  <c r="AC18" i="10"/>
  <c r="AB18" i="10"/>
  <c r="AA18" i="10"/>
  <c r="Z18" i="10"/>
  <c r="Y18" i="10"/>
  <c r="X18" i="10"/>
  <c r="W18" i="10"/>
  <c r="V18" i="10"/>
  <c r="U18" i="10"/>
  <c r="T18" i="10"/>
  <c r="S18" i="10"/>
  <c r="R18" i="10"/>
  <c r="N18" i="10"/>
  <c r="M18" i="10"/>
  <c r="L18" i="10"/>
  <c r="K18" i="10"/>
  <c r="AX17" i="10"/>
  <c r="AW17" i="10"/>
  <c r="AV17" i="10"/>
  <c r="AU17" i="10"/>
  <c r="AT17" i="10"/>
  <c r="AS17" i="10"/>
  <c r="AO17" i="10"/>
  <c r="AN17" i="10"/>
  <c r="AM17" i="10"/>
  <c r="AI17" i="10"/>
  <c r="AH17" i="10"/>
  <c r="AG17" i="10"/>
  <c r="AC17" i="10"/>
  <c r="AB17" i="10"/>
  <c r="AA17" i="10"/>
  <c r="Z17" i="10"/>
  <c r="Y17" i="10"/>
  <c r="X17" i="10"/>
  <c r="W17" i="10"/>
  <c r="V17" i="10"/>
  <c r="U17" i="10"/>
  <c r="T17" i="10"/>
  <c r="S17" i="10"/>
  <c r="R17" i="10"/>
  <c r="N17" i="10"/>
  <c r="M17" i="10"/>
  <c r="L17" i="10"/>
  <c r="K17" i="10"/>
  <c r="AX16" i="10"/>
  <c r="AW16" i="10"/>
  <c r="AV16" i="10"/>
  <c r="AU16" i="10"/>
  <c r="AT16" i="10"/>
  <c r="AS16" i="10"/>
  <c r="AO16" i="10"/>
  <c r="AN16" i="10"/>
  <c r="AM16" i="10"/>
  <c r="AI16" i="10"/>
  <c r="AH16" i="10"/>
  <c r="AG16" i="10"/>
  <c r="AC16" i="10"/>
  <c r="AB16" i="10"/>
  <c r="AA16" i="10"/>
  <c r="Z16" i="10"/>
  <c r="Y16" i="10"/>
  <c r="X16" i="10"/>
  <c r="W16" i="10"/>
  <c r="V16" i="10"/>
  <c r="U16" i="10"/>
  <c r="T16" i="10"/>
  <c r="S16" i="10"/>
  <c r="R16" i="10"/>
  <c r="N16" i="10"/>
  <c r="M16" i="10"/>
  <c r="L16" i="10"/>
  <c r="K16" i="10"/>
  <c r="AX15" i="10"/>
  <c r="AW15" i="10"/>
  <c r="AV15" i="10"/>
  <c r="AU15" i="10"/>
  <c r="AT15" i="10"/>
  <c r="AS15" i="10"/>
  <c r="AO15" i="10"/>
  <c r="AN15" i="10"/>
  <c r="AM15" i="10"/>
  <c r="AI15" i="10"/>
  <c r="AH15" i="10"/>
  <c r="AG15" i="10"/>
  <c r="AC15" i="10"/>
  <c r="AB15" i="10"/>
  <c r="AA15" i="10"/>
  <c r="Z15" i="10"/>
  <c r="Y15" i="10"/>
  <c r="X15" i="10"/>
  <c r="W15" i="10"/>
  <c r="V15" i="10"/>
  <c r="U15" i="10"/>
  <c r="T15" i="10"/>
  <c r="S15" i="10"/>
  <c r="R15" i="10"/>
  <c r="N15" i="10"/>
  <c r="M15" i="10"/>
  <c r="L15" i="10"/>
  <c r="K15" i="10"/>
  <c r="AX14" i="10"/>
  <c r="AW14" i="10"/>
  <c r="AV14" i="10"/>
  <c r="AU14" i="10"/>
  <c r="AT14" i="10"/>
  <c r="AS14" i="10"/>
  <c r="AO14" i="10"/>
  <c r="AN14" i="10"/>
  <c r="AM14" i="10"/>
  <c r="AI14" i="10"/>
  <c r="AH14" i="10"/>
  <c r="AG14" i="10"/>
  <c r="AC14" i="10"/>
  <c r="AB14" i="10"/>
  <c r="AA14" i="10"/>
  <c r="Z14" i="10"/>
  <c r="Y14" i="10"/>
  <c r="X14" i="10"/>
  <c r="W14" i="10"/>
  <c r="V14" i="10"/>
  <c r="U14" i="10"/>
  <c r="T14" i="10"/>
  <c r="S14" i="10"/>
  <c r="R14" i="10"/>
  <c r="N14" i="10"/>
  <c r="M14" i="10"/>
  <c r="L14" i="10"/>
  <c r="K14" i="10"/>
  <c r="AX13" i="10"/>
  <c r="AW13" i="10"/>
  <c r="AV13" i="10"/>
  <c r="AU13" i="10"/>
  <c r="AT13" i="10"/>
  <c r="AS13" i="10"/>
  <c r="AO13" i="10"/>
  <c r="AN13" i="10"/>
  <c r="AM13" i="10"/>
  <c r="AI13" i="10"/>
  <c r="AH13" i="10"/>
  <c r="AG13" i="10"/>
  <c r="AC13" i="10"/>
  <c r="AB13" i="10"/>
  <c r="AA13" i="10"/>
  <c r="Z13" i="10"/>
  <c r="Y13" i="10"/>
  <c r="X13" i="10"/>
  <c r="W13" i="10"/>
  <c r="V13" i="10"/>
  <c r="U13" i="10"/>
  <c r="T13" i="10"/>
  <c r="S13" i="10"/>
  <c r="R13" i="10"/>
  <c r="N13" i="10"/>
  <c r="M13" i="10"/>
  <c r="L13" i="10"/>
  <c r="K13" i="10"/>
  <c r="AX12" i="10"/>
  <c r="AW12" i="10"/>
  <c r="AV12" i="10"/>
  <c r="AU12" i="10"/>
  <c r="AT12" i="10"/>
  <c r="AS12" i="10"/>
  <c r="AO12" i="10"/>
  <c r="AN12" i="10"/>
  <c r="AM12" i="10"/>
  <c r="AI12" i="10"/>
  <c r="AH12" i="10"/>
  <c r="AG12" i="10"/>
  <c r="AC12" i="10"/>
  <c r="AB12" i="10"/>
  <c r="AA12" i="10"/>
  <c r="Z12" i="10"/>
  <c r="Y12" i="10"/>
  <c r="X12" i="10"/>
  <c r="W12" i="10"/>
  <c r="V12" i="10"/>
  <c r="U12" i="10"/>
  <c r="T12" i="10"/>
  <c r="S12" i="10"/>
  <c r="R12" i="10"/>
  <c r="N12" i="10"/>
  <c r="M12" i="10"/>
  <c r="L12" i="10"/>
  <c r="K12" i="10"/>
  <c r="AX11" i="10"/>
  <c r="AW11" i="10"/>
  <c r="AV11" i="10"/>
  <c r="AU11" i="10"/>
  <c r="AT11" i="10"/>
  <c r="AS11" i="10"/>
  <c r="AO11" i="10"/>
  <c r="AN11" i="10"/>
  <c r="AM11" i="10"/>
  <c r="AI11" i="10"/>
  <c r="AH11" i="10"/>
  <c r="AG11" i="10"/>
  <c r="AC11" i="10"/>
  <c r="AB11" i="10"/>
  <c r="AA11" i="10"/>
  <c r="W11" i="10"/>
  <c r="V11" i="10"/>
  <c r="U11" i="10"/>
  <c r="T11" i="10"/>
  <c r="S11" i="10"/>
  <c r="R11" i="10"/>
  <c r="N11" i="10"/>
  <c r="M11" i="10"/>
  <c r="L11" i="10"/>
  <c r="K11" i="10"/>
  <c r="AX10" i="10"/>
  <c r="AW10" i="10"/>
  <c r="AV10" i="10"/>
  <c r="AU10" i="10"/>
  <c r="AT10" i="10"/>
  <c r="AS10" i="10"/>
  <c r="AO10" i="10"/>
  <c r="AN10" i="10"/>
  <c r="AM10" i="10"/>
  <c r="AI10" i="10"/>
  <c r="AH10" i="10"/>
  <c r="AG10" i="10"/>
  <c r="AC10" i="10"/>
  <c r="AB10" i="10"/>
  <c r="AA10" i="10"/>
  <c r="W10" i="10"/>
  <c r="V10" i="10"/>
  <c r="U10" i="10"/>
  <c r="T10" i="10"/>
  <c r="S10" i="10"/>
  <c r="R10" i="10"/>
  <c r="N10" i="10"/>
  <c r="M10" i="10"/>
  <c r="L10" i="10"/>
  <c r="K10" i="10"/>
  <c r="AX9" i="10"/>
  <c r="AW9" i="10"/>
  <c r="AV9" i="10"/>
  <c r="AU9" i="10"/>
  <c r="AT9" i="10"/>
  <c r="AS9" i="10"/>
  <c r="AO9" i="10"/>
  <c r="AN9" i="10"/>
  <c r="AM9" i="10"/>
  <c r="AI9" i="10"/>
  <c r="AH9" i="10"/>
  <c r="AG9" i="10"/>
  <c r="AC9" i="10"/>
  <c r="AB9" i="10"/>
  <c r="AA9" i="10"/>
  <c r="W9" i="10"/>
  <c r="V9" i="10"/>
  <c r="U9" i="10"/>
  <c r="T9" i="10"/>
  <c r="S9" i="10"/>
  <c r="R9" i="10"/>
  <c r="N9" i="10"/>
  <c r="M9" i="10"/>
  <c r="L9" i="10"/>
  <c r="K9" i="10"/>
  <c r="G9" i="10"/>
  <c r="AX8" i="10"/>
  <c r="AW8" i="10"/>
  <c r="AV8" i="10"/>
  <c r="AU8" i="10"/>
  <c r="AT8" i="10"/>
  <c r="AS8" i="10"/>
  <c r="AO8" i="10"/>
  <c r="AN8" i="10"/>
  <c r="AM8" i="10"/>
  <c r="AI8" i="10"/>
  <c r="AH8" i="10"/>
  <c r="AG8" i="10"/>
  <c r="AC8" i="10"/>
  <c r="AB8" i="10"/>
  <c r="AA8" i="10"/>
  <c r="Z8" i="10"/>
  <c r="Y8" i="10"/>
  <c r="X8" i="10"/>
  <c r="W8" i="10"/>
  <c r="V8" i="10"/>
  <c r="U8" i="10"/>
  <c r="T8" i="10"/>
  <c r="S8" i="10"/>
  <c r="R8" i="10"/>
  <c r="N8" i="10"/>
  <c r="M8" i="10"/>
  <c r="L8" i="10"/>
  <c r="K8" i="10"/>
  <c r="G8" i="10"/>
  <c r="AX7" i="10"/>
  <c r="AW7" i="10"/>
  <c r="AV7" i="10"/>
  <c r="AU7" i="10"/>
  <c r="AT7" i="10"/>
  <c r="AS7" i="10"/>
  <c r="AO7" i="10"/>
  <c r="AN7" i="10"/>
  <c r="AM7" i="10"/>
  <c r="AI7" i="10"/>
  <c r="AH7" i="10"/>
  <c r="AG7" i="10"/>
  <c r="AC7" i="10"/>
  <c r="AB7" i="10"/>
  <c r="AA7" i="10"/>
  <c r="W7" i="10"/>
  <c r="V7" i="10"/>
  <c r="U7" i="10"/>
  <c r="T7" i="10"/>
  <c r="S7" i="10"/>
  <c r="R7" i="10"/>
  <c r="N7" i="10"/>
  <c r="M7" i="10"/>
  <c r="L7" i="10"/>
  <c r="K7" i="10"/>
  <c r="G7" i="10"/>
  <c r="AI6" i="10"/>
  <c r="AH6" i="10"/>
  <c r="AG6" i="10"/>
  <c r="N6" i="10"/>
  <c r="M6" i="10"/>
  <c r="L6" i="10"/>
  <c r="G6" i="10"/>
  <c r="AY5" i="10"/>
  <c r="AW5" i="10"/>
  <c r="AV5" i="10"/>
  <c r="AU5" i="10"/>
  <c r="AT5" i="10"/>
  <c r="AS5" i="10"/>
  <c r="AO5" i="10"/>
  <c r="AN5" i="10"/>
  <c r="AM5" i="10"/>
  <c r="AI5" i="10"/>
  <c r="AH5" i="10"/>
  <c r="AG5" i="10"/>
  <c r="AC5" i="10"/>
  <c r="AB5" i="10"/>
  <c r="AA5" i="10"/>
  <c r="Z5" i="10"/>
  <c r="Y5" i="10"/>
  <c r="X5" i="10"/>
  <c r="N5" i="10"/>
  <c r="M5" i="10"/>
  <c r="L5" i="10"/>
  <c r="AD312" i="3"/>
  <c r="S312" i="3"/>
  <c r="T312" i="3" s="1"/>
  <c r="R312" i="3"/>
  <c r="G312" i="3"/>
  <c r="AN311" i="3"/>
  <c r="AJ311" i="3"/>
  <c r="AI311" i="3"/>
  <c r="AH311" i="3"/>
  <c r="AF311" i="3"/>
  <c r="V311" i="3"/>
  <c r="G311" i="3"/>
  <c r="AL310" i="3"/>
  <c r="AM310" i="3" s="1"/>
  <c r="AD310" i="3"/>
  <c r="AE310" i="3" s="1"/>
  <c r="Z309" i="3"/>
  <c r="G309" i="3"/>
  <c r="AN308" i="3"/>
  <c r="AJ308" i="3"/>
  <c r="AI308" i="3"/>
  <c r="AH308" i="3"/>
  <c r="AF308" i="3"/>
  <c r="G308" i="3"/>
  <c r="AL307" i="3"/>
  <c r="AM307" i="3" s="1"/>
  <c r="AO307" i="3" s="1"/>
  <c r="AD307" i="3"/>
  <c r="AE307" i="3" s="1"/>
  <c r="AP306" i="3"/>
  <c r="R306" i="3"/>
  <c r="S306" i="3" s="1"/>
  <c r="T306" i="3" s="1"/>
  <c r="AP305" i="3"/>
  <c r="AM305" i="3"/>
  <c r="AN304" i="3"/>
  <c r="AL304" i="3"/>
  <c r="AM304" i="3" s="1"/>
  <c r="AO304" i="3" s="1"/>
  <c r="AD304" i="3"/>
  <c r="AE304" i="3" s="1"/>
  <c r="S303" i="3"/>
  <c r="AN302" i="3"/>
  <c r="AM302" i="3"/>
  <c r="V302" i="3"/>
  <c r="AN301" i="3"/>
  <c r="AL301" i="3"/>
  <c r="AM301" i="3" s="1"/>
  <c r="AO301" i="3" s="1"/>
  <c r="AN299" i="3"/>
  <c r="AN298" i="3" s="1"/>
  <c r="U299" i="3"/>
  <c r="V299" i="3" s="1"/>
  <c r="X299" i="3" s="1"/>
  <c r="AL298" i="3"/>
  <c r="AM298" i="3" s="1"/>
  <c r="AN296" i="3"/>
  <c r="AN295" i="3" s="1"/>
  <c r="AM296" i="3"/>
  <c r="V296" i="3"/>
  <c r="AL295" i="3"/>
  <c r="AM295" i="3" s="1"/>
  <c r="AN293" i="3"/>
  <c r="AM293" i="3"/>
  <c r="V293" i="3"/>
  <c r="AN292" i="3"/>
  <c r="AL292" i="3"/>
  <c r="AM292" i="3" s="1"/>
  <c r="AO292" i="3" s="1"/>
  <c r="AN290" i="3"/>
  <c r="AM290" i="3"/>
  <c r="V290" i="3"/>
  <c r="AN289" i="3"/>
  <c r="AL289" i="3"/>
  <c r="AM289" i="3" s="1"/>
  <c r="AO289" i="3" s="1"/>
  <c r="AN287" i="3"/>
  <c r="AM287" i="3"/>
  <c r="AN286" i="3"/>
  <c r="AL286" i="3"/>
  <c r="AM286" i="3" s="1"/>
  <c r="AO286" i="3" s="1"/>
  <c r="AN284" i="3"/>
  <c r="AM284" i="3"/>
  <c r="V284" i="3"/>
  <c r="AN283" i="3"/>
  <c r="AL283" i="3"/>
  <c r="AM283" i="3" s="1"/>
  <c r="AO283" i="3" s="1"/>
  <c r="AN281" i="3"/>
  <c r="AM281" i="3"/>
  <c r="V281" i="3"/>
  <c r="AN280" i="3"/>
  <c r="AL280" i="3"/>
  <c r="AM280" i="3" s="1"/>
  <c r="AO280" i="3" s="1"/>
  <c r="AN278" i="3"/>
  <c r="AM278" i="3"/>
  <c r="V278" i="3"/>
  <c r="AN277" i="3"/>
  <c r="AL277" i="3"/>
  <c r="AM277" i="3" s="1"/>
  <c r="AO277" i="3" s="1"/>
  <c r="AN275" i="3"/>
  <c r="AM275" i="3"/>
  <c r="AA275" i="3"/>
  <c r="AB275" i="3" s="1"/>
  <c r="AC275" i="3" s="1"/>
  <c r="AD275" i="3" s="1"/>
  <c r="AE275" i="3" s="1"/>
  <c r="AN274" i="3"/>
  <c r="AL274" i="3"/>
  <c r="AM274" i="3" s="1"/>
  <c r="AO274" i="3" s="1"/>
  <c r="AD274" i="3"/>
  <c r="AE274" i="3" s="1"/>
  <c r="R273" i="3"/>
  <c r="AN272" i="3"/>
  <c r="AN271" i="3" s="1"/>
  <c r="AM272" i="3"/>
  <c r="AL271" i="3"/>
  <c r="AM271" i="3" s="1"/>
  <c r="AO271" i="3" s="1"/>
  <c r="AN269" i="3"/>
  <c r="AM269" i="3"/>
  <c r="V269" i="3"/>
  <c r="AN268" i="3"/>
  <c r="AL268" i="3"/>
  <c r="AM268" i="3" s="1"/>
  <c r="AO268" i="3" s="1"/>
  <c r="R267" i="3"/>
  <c r="AN266" i="3"/>
  <c r="AM266" i="3"/>
  <c r="V266" i="3"/>
  <c r="AN265" i="3"/>
  <c r="AL265" i="3"/>
  <c r="AM265" i="3" s="1"/>
  <c r="AO265" i="3" s="1"/>
  <c r="R264" i="3"/>
  <c r="AN263" i="3"/>
  <c r="AM263" i="3"/>
  <c r="V263" i="3"/>
  <c r="AN262" i="3"/>
  <c r="AL262" i="3"/>
  <c r="AM262" i="3" s="1"/>
  <c r="AO262" i="3" s="1"/>
  <c r="R261" i="3"/>
  <c r="AN260" i="3"/>
  <c r="AM260" i="3"/>
  <c r="V260" i="3"/>
  <c r="AN259" i="3"/>
  <c r="AL259" i="3"/>
  <c r="AM259" i="3" s="1"/>
  <c r="AO259" i="3" s="1"/>
  <c r="R258" i="3"/>
  <c r="AN257" i="3"/>
  <c r="AN256" i="3" s="1"/>
  <c r="AM257" i="3"/>
  <c r="V257" i="3"/>
  <c r="AL256" i="3"/>
  <c r="AM256" i="3" s="1"/>
  <c r="AO256" i="3" s="1"/>
  <c r="R255" i="3"/>
  <c r="S255" i="3" s="1"/>
  <c r="AN254" i="3"/>
  <c r="AN253" i="3" s="1"/>
  <c r="AM254" i="3"/>
  <c r="V254" i="3"/>
  <c r="AL253" i="3"/>
  <c r="AM253" i="3" s="1"/>
  <c r="AO253" i="3" s="1"/>
  <c r="AC253" i="3"/>
  <c r="AD253" i="3" s="1"/>
  <c r="AE253" i="3" s="1"/>
  <c r="R252" i="3"/>
  <c r="S252" i="3" s="1"/>
  <c r="AN251" i="3"/>
  <c r="AM251" i="3"/>
  <c r="V251" i="3"/>
  <c r="AN250" i="3"/>
  <c r="AL250" i="3"/>
  <c r="AM250" i="3" s="1"/>
  <c r="AO250" i="3" s="1"/>
  <c r="R249" i="3"/>
  <c r="S249" i="3" s="1"/>
  <c r="AN248" i="3"/>
  <c r="AM248" i="3"/>
  <c r="V248" i="3"/>
  <c r="AN247" i="3"/>
  <c r="AL247" i="3"/>
  <c r="AM247" i="3" s="1"/>
  <c r="AO247" i="3" s="1"/>
  <c r="AN245" i="3"/>
  <c r="AM245" i="3"/>
  <c r="U245" i="3"/>
  <c r="V245" i="3" s="1"/>
  <c r="AN244" i="3"/>
  <c r="AL244" i="3"/>
  <c r="AM244" i="3" s="1"/>
  <c r="AO244" i="3" s="1"/>
  <c r="AD244" i="3"/>
  <c r="AE244" i="3" s="1"/>
  <c r="AN242" i="3"/>
  <c r="AM242" i="3"/>
  <c r="P242" i="3"/>
  <c r="Q242" i="3" s="1"/>
  <c r="R242" i="3" s="1"/>
  <c r="S242" i="3" s="1"/>
  <c r="T242" i="3" s="1"/>
  <c r="U242" i="3" s="1"/>
  <c r="V242" i="3" s="1"/>
  <c r="AN241" i="3"/>
  <c r="AL241" i="3"/>
  <c r="AM241" i="3" s="1"/>
  <c r="AO241" i="3" s="1"/>
  <c r="AC241" i="3"/>
  <c r="AD241" i="3" s="1"/>
  <c r="AE241" i="3" s="1"/>
  <c r="Q240" i="3"/>
  <c r="R240" i="3" s="1"/>
  <c r="S240" i="3" s="1"/>
  <c r="AN239" i="3"/>
  <c r="AN238" i="3" s="1"/>
  <c r="AM239" i="3"/>
  <c r="U239" i="3"/>
  <c r="V239" i="3" s="1"/>
  <c r="AL238" i="3"/>
  <c r="AM238" i="3" s="1"/>
  <c r="AO238" i="3" s="1"/>
  <c r="AD238" i="3"/>
  <c r="AE238" i="3" s="1"/>
  <c r="AN236" i="3"/>
  <c r="AM236" i="3"/>
  <c r="T236" i="3"/>
  <c r="U236" i="3" s="1"/>
  <c r="V236" i="3" s="1"/>
  <c r="AN235" i="3"/>
  <c r="AL235" i="3"/>
  <c r="AM235" i="3" s="1"/>
  <c r="AO235" i="3" s="1"/>
  <c r="AN233" i="3"/>
  <c r="AM233" i="3"/>
  <c r="U233" i="3"/>
  <c r="V233" i="3" s="1"/>
  <c r="AN232" i="3"/>
  <c r="AL232" i="3"/>
  <c r="AM232" i="3" s="1"/>
  <c r="AO232" i="3" s="1"/>
  <c r="AN230" i="3"/>
  <c r="AM230" i="3"/>
  <c r="AN229" i="3"/>
  <c r="AL229" i="3"/>
  <c r="AM229" i="3" s="1"/>
  <c r="AO229" i="3" s="1"/>
  <c r="AN227" i="3"/>
  <c r="AN226" i="3" s="1"/>
  <c r="AM227" i="3"/>
  <c r="AL226" i="3"/>
  <c r="AM226" i="3" s="1"/>
  <c r="AO226" i="3" s="1"/>
  <c r="R225" i="3"/>
  <c r="AN224" i="3"/>
  <c r="AM224" i="3"/>
  <c r="AL223" i="3"/>
  <c r="AM223" i="3" s="1"/>
  <c r="AN221" i="3"/>
  <c r="AN220" i="3" s="1"/>
  <c r="AM221" i="3"/>
  <c r="AL220" i="3"/>
  <c r="AM220" i="3" s="1"/>
  <c r="AO220" i="3" s="1"/>
  <c r="V219" i="3"/>
  <c r="R219" i="3"/>
  <c r="AN218" i="3"/>
  <c r="AM218" i="3"/>
  <c r="AN217" i="3"/>
  <c r="AL217" i="3"/>
  <c r="AM217" i="3" s="1"/>
  <c r="AO217" i="3" s="1"/>
  <c r="V216" i="3"/>
  <c r="R216" i="3"/>
  <c r="AN215" i="3"/>
  <c r="AM215" i="3"/>
  <c r="AL214" i="3"/>
  <c r="AM214" i="3" s="1"/>
  <c r="V213" i="3"/>
  <c r="T213" i="3"/>
  <c r="S213" i="3"/>
  <c r="R213" i="3"/>
  <c r="Q213" i="3"/>
  <c r="P213" i="3"/>
  <c r="AN212" i="3"/>
  <c r="AN211" i="3" s="1"/>
  <c r="AM212" i="3"/>
  <c r="AL211" i="3"/>
  <c r="AM211" i="3" s="1"/>
  <c r="V210" i="3"/>
  <c r="R210" i="3"/>
  <c r="AN209" i="3"/>
  <c r="AN208" i="3" s="1"/>
  <c r="AM209" i="3"/>
  <c r="AL208" i="3"/>
  <c r="AM208" i="3" s="1"/>
  <c r="S207" i="3"/>
  <c r="AN206" i="3"/>
  <c r="AM206" i="3"/>
  <c r="AL205" i="3"/>
  <c r="AM205" i="3" s="1"/>
  <c r="V204" i="3"/>
  <c r="T204" i="3"/>
  <c r="S204" i="3"/>
  <c r="R204" i="3"/>
  <c r="Q204" i="3"/>
  <c r="P204" i="3"/>
  <c r="AN203" i="3"/>
  <c r="AN202" i="3" s="1"/>
  <c r="AM203" i="3"/>
  <c r="AL202" i="3"/>
  <c r="AM202" i="3" s="1"/>
  <c r="AO202" i="3" s="1"/>
  <c r="AP201" i="3"/>
  <c r="AA201" i="3"/>
  <c r="G201" i="3"/>
  <c r="AP200" i="3"/>
  <c r="AN200" i="3"/>
  <c r="AM200" i="3"/>
  <c r="G200" i="3"/>
  <c r="AN199" i="3"/>
  <c r="AL199" i="3"/>
  <c r="AM199" i="3" s="1"/>
  <c r="AO199" i="3" s="1"/>
  <c r="AD199" i="3"/>
  <c r="AE199" i="3" s="1"/>
  <c r="AP198" i="3"/>
  <c r="G198" i="3"/>
  <c r="AP197" i="3"/>
  <c r="AN197" i="3"/>
  <c r="AM197" i="3"/>
  <c r="G197" i="3"/>
  <c r="AN196" i="3"/>
  <c r="AL196" i="3"/>
  <c r="AM196" i="3" s="1"/>
  <c r="AO196" i="3" s="1"/>
  <c r="AP195" i="3"/>
  <c r="AA195" i="3"/>
  <c r="R195" i="3"/>
  <c r="G195" i="3"/>
  <c r="AP194" i="3"/>
  <c r="AM194" i="3"/>
  <c r="G194" i="3"/>
  <c r="AN193" i="3"/>
  <c r="AL193" i="3"/>
  <c r="AM193" i="3" s="1"/>
  <c r="AO193" i="3" s="1"/>
  <c r="AD193" i="3"/>
  <c r="AE193" i="3" s="1"/>
  <c r="AJ192" i="3"/>
  <c r="AI192" i="3"/>
  <c r="AH192" i="3"/>
  <c r="AG192" i="3"/>
  <c r="AF192" i="3"/>
  <c r="AE192" i="3"/>
  <c r="AD192" i="3"/>
  <c r="AC192" i="3"/>
  <c r="AB192" i="3"/>
  <c r="Z192" i="3"/>
  <c r="Y192" i="3"/>
  <c r="X192" i="3"/>
  <c r="V192" i="3"/>
  <c r="G192" i="3"/>
  <c r="AN191" i="3"/>
  <c r="AO191" i="3" s="1"/>
  <c r="AJ191" i="3"/>
  <c r="AI191" i="3"/>
  <c r="AH191" i="3"/>
  <c r="AG191" i="3" s="1"/>
  <c r="AF191" i="3" s="1"/>
  <c r="AD191" i="3"/>
  <c r="AE191" i="3" s="1"/>
  <c r="AC191" i="3"/>
  <c r="G191" i="3"/>
  <c r="AN190" i="3"/>
  <c r="AL190" i="3"/>
  <c r="AM190" i="3" s="1"/>
  <c r="AO190" i="3" s="1"/>
  <c r="AP189" i="3"/>
  <c r="G189" i="3"/>
  <c r="AP188" i="3"/>
  <c r="AM188" i="3"/>
  <c r="G188" i="3"/>
  <c r="AN187" i="3"/>
  <c r="AL187" i="3"/>
  <c r="AM187" i="3" s="1"/>
  <c r="AO187" i="3" s="1"/>
  <c r="AD187" i="3"/>
  <c r="AE187" i="3" s="1"/>
  <c r="AP186" i="3"/>
  <c r="G186" i="3"/>
  <c r="AP185" i="3"/>
  <c r="AN185" i="3"/>
  <c r="AM185" i="3"/>
  <c r="AD185" i="3"/>
  <c r="AE185" i="3" s="1"/>
  <c r="G185" i="3"/>
  <c r="AN184" i="3"/>
  <c r="AL184" i="3"/>
  <c r="AM184" i="3" s="1"/>
  <c r="AO184" i="3" s="1"/>
  <c r="AD184" i="3"/>
  <c r="AE184" i="3" s="1"/>
  <c r="G183" i="3"/>
  <c r="AN182" i="3"/>
  <c r="AD182" i="3"/>
  <c r="AE182" i="3" s="1"/>
  <c r="AC182" i="3"/>
  <c r="T182" i="3"/>
  <c r="U182" i="3" s="1"/>
  <c r="V182" i="3" s="1"/>
  <c r="X182" i="3" s="1"/>
  <c r="P182" i="3"/>
  <c r="Q182" i="3" s="1"/>
  <c r="R182" i="3" s="1"/>
  <c r="S182" i="3" s="1"/>
  <c r="N182" i="3"/>
  <c r="G182" i="3"/>
  <c r="AN181" i="3"/>
  <c r="AL181" i="3"/>
  <c r="AM181" i="3" s="1"/>
  <c r="AO181" i="3" s="1"/>
  <c r="AD181" i="3"/>
  <c r="AE181" i="3" s="1"/>
  <c r="G180" i="3"/>
  <c r="AN179" i="3"/>
  <c r="AM179" i="3"/>
  <c r="AF179" i="3"/>
  <c r="AE179" i="3" s="1"/>
  <c r="AD179" i="3"/>
  <c r="AA179" i="3"/>
  <c r="V179" i="3"/>
  <c r="G179" i="3"/>
  <c r="AN178" i="3"/>
  <c r="AL178" i="3"/>
  <c r="AM178" i="3" s="1"/>
  <c r="AO178" i="3" s="1"/>
  <c r="AA177" i="3"/>
  <c r="AA192" i="3" s="1"/>
  <c r="W177" i="3"/>
  <c r="W192" i="3" s="1"/>
  <c r="R177" i="3"/>
  <c r="S177" i="3" s="1"/>
  <c r="T177" i="3" s="1"/>
  <c r="G177" i="3"/>
  <c r="AN176" i="3"/>
  <c r="AM176" i="3"/>
  <c r="AH176" i="3" s="1"/>
  <c r="AF176" i="3"/>
  <c r="AE176" i="3" s="1"/>
  <c r="AD176" i="3"/>
  <c r="G176" i="3"/>
  <c r="C176" i="3"/>
  <c r="AN175" i="3"/>
  <c r="AL175" i="3"/>
  <c r="AM175" i="3" s="1"/>
  <c r="AO175" i="3" s="1"/>
  <c r="AP174" i="3"/>
  <c r="AA174" i="3"/>
  <c r="Y174" i="3"/>
  <c r="AP173" i="3"/>
  <c r="AN173" i="3"/>
  <c r="AM173" i="3"/>
  <c r="AH173" i="3" s="1"/>
  <c r="AG173" i="3" s="1"/>
  <c r="AF173" i="3" s="1"/>
  <c r="AD173" i="3"/>
  <c r="AE173" i="3" s="1"/>
  <c r="AC173" i="3"/>
  <c r="AN172" i="3"/>
  <c r="AL172" i="3"/>
  <c r="AM172" i="3" s="1"/>
  <c r="AO172" i="3" s="1"/>
  <c r="AP171" i="3"/>
  <c r="AP170" i="3"/>
  <c r="AN170" i="3"/>
  <c r="AM170" i="3"/>
  <c r="AJ170" i="3"/>
  <c r="AN169" i="3"/>
  <c r="AL169" i="3"/>
  <c r="AM169" i="3" s="1"/>
  <c r="AO169" i="3" s="1"/>
  <c r="AA168" i="3"/>
  <c r="AN167" i="3"/>
  <c r="AL166" i="3"/>
  <c r="AM166" i="3" s="1"/>
  <c r="AO166" i="3" s="1"/>
  <c r="AA165" i="3"/>
  <c r="AN164" i="3"/>
  <c r="AL163" i="3"/>
  <c r="AM163" i="3" s="1"/>
  <c r="AA162" i="3"/>
  <c r="AN161" i="3"/>
  <c r="AD161" i="3"/>
  <c r="AC161" i="3" s="1"/>
  <c r="AB161" i="3" s="1"/>
  <c r="AL160" i="3"/>
  <c r="AM160" i="3" s="1"/>
  <c r="AO160" i="3" s="1"/>
  <c r="AA159" i="3"/>
  <c r="AN158" i="3"/>
  <c r="AD158" i="3"/>
  <c r="AB158" i="3" s="1"/>
  <c r="AC158" i="3" s="1"/>
  <c r="AL157" i="3"/>
  <c r="AM157" i="3" s="1"/>
  <c r="AO157" i="3" s="1"/>
  <c r="AA156" i="3"/>
  <c r="AN155" i="3"/>
  <c r="AD155" i="3"/>
  <c r="AB155" i="3" s="1"/>
  <c r="AC155" i="3" s="1"/>
  <c r="AL154" i="3"/>
  <c r="AM154" i="3" s="1"/>
  <c r="AO154" i="3" s="1"/>
  <c r="AA153" i="3"/>
  <c r="AN152" i="3"/>
  <c r="AD152" i="3"/>
  <c r="AB152" i="3" s="1"/>
  <c r="AC152" i="3" s="1"/>
  <c r="AL151" i="3"/>
  <c r="AM151" i="3" s="1"/>
  <c r="AO151" i="3" s="1"/>
  <c r="AA150" i="3"/>
  <c r="AN149" i="3"/>
  <c r="AB149" i="3"/>
  <c r="AL148" i="3"/>
  <c r="AM148" i="3" s="1"/>
  <c r="AN146" i="3"/>
  <c r="AN145" i="3" s="1"/>
  <c r="AM146" i="3"/>
  <c r="V146" i="3"/>
  <c r="AL145" i="3"/>
  <c r="AM145" i="3" s="1"/>
  <c r="AN143" i="3"/>
  <c r="AN142" i="3" s="1"/>
  <c r="AM143" i="3"/>
  <c r="V143" i="3"/>
  <c r="AL142" i="3"/>
  <c r="AM142" i="3" s="1"/>
  <c r="AO142" i="3" s="1"/>
  <c r="AN140" i="3"/>
  <c r="AM140" i="3"/>
  <c r="AO140" i="3" s="1"/>
  <c r="AN139" i="3"/>
  <c r="AL139" i="3"/>
  <c r="AM139" i="3" s="1"/>
  <c r="AO139" i="3" s="1"/>
  <c r="AD139" i="3"/>
  <c r="AE139" i="3" s="1"/>
  <c r="S138" i="3"/>
  <c r="AN137" i="3"/>
  <c r="AM137" i="3"/>
  <c r="V137" i="3"/>
  <c r="AL136" i="3"/>
  <c r="AM136" i="3" s="1"/>
  <c r="AO136" i="3" s="1"/>
  <c r="AD136" i="3"/>
  <c r="AE136" i="3" s="1"/>
  <c r="R135" i="3"/>
  <c r="AN134" i="3"/>
  <c r="AN133" i="3" s="1"/>
  <c r="AM134" i="3"/>
  <c r="V134" i="3"/>
  <c r="AL133" i="3"/>
  <c r="AM133" i="3" s="1"/>
  <c r="AO133" i="3" s="1"/>
  <c r="R132" i="3"/>
  <c r="AN131" i="3"/>
  <c r="AM131" i="3"/>
  <c r="V131" i="3"/>
  <c r="AN130" i="3"/>
  <c r="AL130" i="3"/>
  <c r="AM130" i="3" s="1"/>
  <c r="AO130" i="3" s="1"/>
  <c r="AN128" i="3"/>
  <c r="AM128" i="3"/>
  <c r="AN127" i="3"/>
  <c r="AL127" i="3"/>
  <c r="AM127" i="3" s="1"/>
  <c r="AO127" i="3" s="1"/>
  <c r="AN125" i="3"/>
  <c r="AM125" i="3"/>
  <c r="V125" i="3"/>
  <c r="AN124" i="3"/>
  <c r="AL124" i="3"/>
  <c r="AM124" i="3" s="1"/>
  <c r="AO124" i="3" s="1"/>
  <c r="AA123" i="3"/>
  <c r="AN122" i="3"/>
  <c r="AL121" i="3"/>
  <c r="AM121" i="3" s="1"/>
  <c r="AO121" i="3" s="1"/>
  <c r="R120" i="3"/>
  <c r="AN119" i="3"/>
  <c r="AM119" i="3"/>
  <c r="V119" i="3"/>
  <c r="AN118" i="3"/>
  <c r="AL118" i="3"/>
  <c r="AM118" i="3" s="1"/>
  <c r="AO118" i="3" s="1"/>
  <c r="AD118" i="3"/>
  <c r="AE118" i="3" s="1"/>
  <c r="AN116" i="3"/>
  <c r="AM116" i="3"/>
  <c r="V116" i="3"/>
  <c r="AN115" i="3"/>
  <c r="AL115" i="3"/>
  <c r="AM115" i="3" s="1"/>
  <c r="AO115" i="3" s="1"/>
  <c r="R114" i="3"/>
  <c r="AN113" i="3"/>
  <c r="AM113" i="3"/>
  <c r="V113" i="3"/>
  <c r="AN112" i="3"/>
  <c r="AL112" i="3"/>
  <c r="AM112" i="3" s="1"/>
  <c r="AO112" i="3" s="1"/>
  <c r="AD112" i="3"/>
  <c r="AE112" i="3" s="1"/>
  <c r="AN110" i="3"/>
  <c r="AM110" i="3"/>
  <c r="V110" i="3"/>
  <c r="AN109" i="3"/>
  <c r="AL109" i="3"/>
  <c r="AM109" i="3" s="1"/>
  <c r="AO109" i="3" s="1"/>
  <c r="R108" i="3"/>
  <c r="S108" i="3" s="1"/>
  <c r="AN107" i="3"/>
  <c r="AM107" i="3"/>
  <c r="U107" i="3"/>
  <c r="V107" i="3" s="1"/>
  <c r="AN106" i="3"/>
  <c r="AL106" i="3"/>
  <c r="AM106" i="3" s="1"/>
  <c r="AO106" i="3" s="1"/>
  <c r="S105" i="3"/>
  <c r="AN104" i="3"/>
  <c r="AM104" i="3"/>
  <c r="V104" i="3"/>
  <c r="AN103" i="3"/>
  <c r="AL103" i="3"/>
  <c r="AM103" i="3" s="1"/>
  <c r="AO103" i="3" s="1"/>
  <c r="R102" i="3"/>
  <c r="S102" i="3" s="1"/>
  <c r="AN101" i="3"/>
  <c r="AM101" i="3"/>
  <c r="AN100" i="3"/>
  <c r="AL100" i="3"/>
  <c r="AM100" i="3" s="1"/>
  <c r="AO100" i="3" s="1"/>
  <c r="R99" i="3"/>
  <c r="AN98" i="3"/>
  <c r="AM98" i="3"/>
  <c r="V98" i="3"/>
  <c r="AN97" i="3"/>
  <c r="AL97" i="3"/>
  <c r="AM97" i="3" s="1"/>
  <c r="AO97" i="3" s="1"/>
  <c r="AP96" i="3"/>
  <c r="AP95" i="3"/>
  <c r="AN95" i="3"/>
  <c r="AN94" i="3" s="1"/>
  <c r="AL94" i="3"/>
  <c r="AM94" i="3" s="1"/>
  <c r="R93" i="3"/>
  <c r="AN92" i="3"/>
  <c r="AM92" i="3"/>
  <c r="V92" i="3"/>
  <c r="AN91" i="3"/>
  <c r="AL91" i="3"/>
  <c r="AM91" i="3" s="1"/>
  <c r="AO91" i="3" s="1"/>
  <c r="AD91" i="3"/>
  <c r="AE91" i="3" s="1"/>
  <c r="AA90" i="3"/>
  <c r="T90" i="3"/>
  <c r="AN89" i="3"/>
  <c r="AL88" i="3"/>
  <c r="AM88" i="3" s="1"/>
  <c r="AP87" i="3"/>
  <c r="AA87" i="3"/>
  <c r="AP86" i="3"/>
  <c r="AN86" i="3"/>
  <c r="AO86" i="3" s="1"/>
  <c r="AN85" i="3"/>
  <c r="AL85" i="3"/>
  <c r="AM85" i="3" s="1"/>
  <c r="AO85" i="3" s="1"/>
  <c r="AP84" i="3"/>
  <c r="AA84" i="3"/>
  <c r="AP83" i="3"/>
  <c r="AN83" i="3"/>
  <c r="AO83" i="3" s="1"/>
  <c r="AN82" i="3"/>
  <c r="AL82" i="3"/>
  <c r="AM82" i="3" s="1"/>
  <c r="AO82" i="3" s="1"/>
  <c r="AP81" i="3"/>
  <c r="AA81" i="3"/>
  <c r="AP80" i="3"/>
  <c r="AN80" i="3"/>
  <c r="AL79" i="3"/>
  <c r="AM79" i="3" s="1"/>
  <c r="AO79" i="3" s="1"/>
  <c r="AA78" i="3"/>
  <c r="AN77" i="3"/>
  <c r="AO77" i="3" s="1"/>
  <c r="AK77" i="3"/>
  <c r="AJ77" i="3"/>
  <c r="AI77" i="3"/>
  <c r="AN76" i="3"/>
  <c r="AL76" i="3"/>
  <c r="AM76" i="3" s="1"/>
  <c r="AO76" i="3" s="1"/>
  <c r="AA75" i="3"/>
  <c r="AN74" i="3"/>
  <c r="AO74" i="3" s="1"/>
  <c r="AK74" i="3"/>
  <c r="AJ74" i="3"/>
  <c r="AI74" i="3"/>
  <c r="AN73" i="3"/>
  <c r="AL73" i="3"/>
  <c r="AM73" i="3" s="1"/>
  <c r="AO73" i="3" s="1"/>
  <c r="AP72" i="3"/>
  <c r="AA72" i="3"/>
  <c r="AP71" i="3"/>
  <c r="AN71" i="3"/>
  <c r="AL70" i="3"/>
  <c r="AM70" i="3" s="1"/>
  <c r="AD70" i="3"/>
  <c r="AE70" i="3" s="1"/>
  <c r="AP69" i="3"/>
  <c r="AA69" i="3"/>
  <c r="AP68" i="3"/>
  <c r="AN68" i="3"/>
  <c r="AL67" i="3"/>
  <c r="AM67" i="3" s="1"/>
  <c r="AD67" i="3"/>
  <c r="AE67" i="3" s="1"/>
  <c r="AP66" i="3"/>
  <c r="AA66" i="3"/>
  <c r="AP65" i="3"/>
  <c r="AN65" i="3"/>
  <c r="AL64" i="3"/>
  <c r="AM64" i="3" s="1"/>
  <c r="AD64" i="3"/>
  <c r="AE64" i="3" s="1"/>
  <c r="AP63" i="3"/>
  <c r="AA63" i="3"/>
  <c r="AP62" i="3"/>
  <c r="AN62" i="3"/>
  <c r="AL61" i="3"/>
  <c r="AM61" i="3" s="1"/>
  <c r="AO61" i="3" s="1"/>
  <c r="AD61" i="3"/>
  <c r="AE61" i="3" s="1"/>
  <c r="AN59" i="3"/>
  <c r="AN58" i="3" s="1"/>
  <c r="AL58" i="3"/>
  <c r="AM58" i="3" s="1"/>
  <c r="AD58" i="3"/>
  <c r="AE58" i="3" s="1"/>
  <c r="AN56" i="3"/>
  <c r="AL55" i="3"/>
  <c r="AM55" i="3" s="1"/>
  <c r="AO55" i="3" s="1"/>
  <c r="AP54" i="3"/>
  <c r="AP53" i="3"/>
  <c r="AN53" i="3"/>
  <c r="AL52" i="3"/>
  <c r="AM52" i="3" s="1"/>
  <c r="AO52" i="3" s="1"/>
  <c r="AN50" i="3"/>
  <c r="AL49" i="3"/>
  <c r="AM49" i="3" s="1"/>
  <c r="AO49" i="3" s="1"/>
  <c r="AP48" i="3"/>
  <c r="AP47" i="3"/>
  <c r="AN47" i="3"/>
  <c r="AN46" i="3" s="1"/>
  <c r="AL46" i="3"/>
  <c r="AM46" i="3" s="1"/>
  <c r="AN44" i="3"/>
  <c r="AL43" i="3"/>
  <c r="AM43" i="3" s="1"/>
  <c r="S42" i="3"/>
  <c r="R42" i="3"/>
  <c r="AN41" i="3"/>
  <c r="AL40" i="3"/>
  <c r="AH40" i="3"/>
  <c r="S39" i="3"/>
  <c r="R39" i="3"/>
  <c r="AN38" i="3"/>
  <c r="AL37" i="3"/>
  <c r="AH37" i="3"/>
  <c r="AP36" i="3"/>
  <c r="AP35" i="3"/>
  <c r="AN35" i="3"/>
  <c r="AL34" i="3"/>
  <c r="AM34" i="3" s="1"/>
  <c r="AO34" i="3" s="1"/>
  <c r="AA33" i="3"/>
  <c r="AN32" i="3"/>
  <c r="AN31" i="3" s="1"/>
  <c r="AM32" i="3"/>
  <c r="AO32" i="3" s="1"/>
  <c r="AL31" i="3"/>
  <c r="AM31" i="3" s="1"/>
  <c r="AO31" i="3" s="1"/>
  <c r="AP30" i="3"/>
  <c r="AP29" i="3"/>
  <c r="AN29" i="3"/>
  <c r="AL28" i="3"/>
  <c r="AM28" i="3" s="1"/>
  <c r="AO28" i="3" s="1"/>
  <c r="AA27" i="3"/>
  <c r="AN26" i="3"/>
  <c r="AL25" i="3"/>
  <c r="AM25" i="3" s="1"/>
  <c r="AO25" i="3" s="1"/>
  <c r="AO23" i="3"/>
  <c r="AN23" i="3"/>
  <c r="AN22" i="3" s="1"/>
  <c r="AL22" i="3"/>
  <c r="AM22" i="3" s="1"/>
  <c r="AO22" i="3" s="1"/>
  <c r="AP21" i="3"/>
  <c r="AA21" i="3"/>
  <c r="Q21" i="3"/>
  <c r="R21" i="3" s="1"/>
  <c r="S21" i="3" s="1"/>
  <c r="AP20" i="3"/>
  <c r="AN20" i="3"/>
  <c r="AO20" i="3" s="1"/>
  <c r="AN19" i="3"/>
  <c r="AL19" i="3"/>
  <c r="AM19" i="3" s="1"/>
  <c r="AO19" i="3" s="1"/>
  <c r="AO35" i="3" l="1"/>
  <c r="AN34" i="3"/>
  <c r="AO143" i="3"/>
  <c r="AO298" i="3"/>
  <c r="AO295" i="3"/>
  <c r="AO158" i="3"/>
  <c r="AN157" i="3"/>
  <c r="AO148" i="3"/>
  <c r="AO149" i="3"/>
  <c r="AN148" i="3"/>
  <c r="AO122" i="3"/>
  <c r="AN121" i="3"/>
  <c r="AO155" i="3"/>
  <c r="AN154" i="3"/>
  <c r="AO152" i="3"/>
  <c r="AN151" i="3"/>
  <c r="AO227" i="3"/>
  <c r="AO257" i="3"/>
  <c r="AO92" i="3"/>
  <c r="AO310" i="3"/>
  <c r="AO311" i="3"/>
  <c r="AN310" i="3"/>
  <c r="AO308" i="3"/>
  <c r="AN307" i="3"/>
  <c r="AO53" i="3"/>
  <c r="AN52" i="3"/>
  <c r="AO26" i="3"/>
  <c r="AN25" i="3"/>
  <c r="AO254" i="3"/>
  <c r="AO230" i="3"/>
  <c r="AO211" i="3"/>
  <c r="AO179" i="3"/>
  <c r="AO98" i="3"/>
  <c r="AO167" i="3"/>
  <c r="AN166" i="3"/>
  <c r="AO161" i="3"/>
  <c r="AN160" i="3"/>
  <c r="AO137" i="3"/>
  <c r="AN136" i="3"/>
  <c r="AN61" i="3"/>
  <c r="AO62" i="3"/>
  <c r="AN55" i="3"/>
  <c r="AO56" i="3"/>
  <c r="AN49" i="3"/>
  <c r="AO50" i="3"/>
  <c r="AM40" i="3"/>
  <c r="AI40" i="3"/>
  <c r="AN37" i="3"/>
  <c r="AO38" i="3"/>
  <c r="AO302" i="3"/>
  <c r="AO296" i="3"/>
  <c r="AO284" i="3"/>
  <c r="AO275" i="3"/>
  <c r="AO245" i="3"/>
  <c r="AO233" i="3"/>
  <c r="AO113" i="3"/>
  <c r="AO67" i="3"/>
  <c r="AO272" i="3"/>
  <c r="AO266" i="3"/>
  <c r="AO260" i="3"/>
  <c r="AO248" i="3"/>
  <c r="AO176" i="3"/>
  <c r="AO173" i="3"/>
  <c r="AO110" i="3"/>
  <c r="AO293" i="3"/>
  <c r="AO212" i="3"/>
  <c r="AO170" i="3"/>
  <c r="AO101" i="3"/>
  <c r="AO287" i="3"/>
  <c r="AO281" i="3"/>
  <c r="AO278" i="3"/>
  <c r="AO263" i="3"/>
  <c r="AO251" i="3"/>
  <c r="AO239" i="3"/>
  <c r="AO221" i="3"/>
  <c r="AO218" i="3"/>
  <c r="AO197" i="3"/>
  <c r="AO128" i="3"/>
  <c r="AO116" i="3"/>
  <c r="AO104" i="3"/>
  <c r="AO290" i="3"/>
  <c r="AO269" i="3"/>
  <c r="AO242" i="3"/>
  <c r="AO236" i="3"/>
  <c r="AO203" i="3"/>
  <c r="AO200" i="3"/>
  <c r="AO134" i="3"/>
  <c r="AO131" i="3"/>
  <c r="AO119" i="3"/>
  <c r="AO107" i="3"/>
  <c r="AO125" i="3"/>
  <c r="AO305" i="3"/>
  <c r="AI305" i="3"/>
  <c r="AJ305" i="3"/>
  <c r="AJ275" i="3"/>
  <c r="AI275" i="3"/>
  <c r="AH275" i="3"/>
  <c r="AG275" i="3" s="1"/>
  <c r="AF275" i="3" s="1"/>
  <c r="AJ179" i="3"/>
  <c r="AI179" i="3"/>
  <c r="AH179" i="3"/>
  <c r="AJ176" i="3"/>
  <c r="AI176" i="3"/>
  <c r="AN67" i="3"/>
  <c r="AO68" i="3"/>
  <c r="AN40" i="3"/>
  <c r="AO41" i="3"/>
  <c r="AO29" i="3"/>
  <c r="AN28" i="3"/>
  <c r="AN223" i="3"/>
  <c r="AO223" i="3"/>
  <c r="AO224" i="3"/>
  <c r="AO214" i="3"/>
  <c r="AN214" i="3"/>
  <c r="AO215" i="3"/>
  <c r="AO209" i="3"/>
  <c r="AO208" i="3"/>
  <c r="S225" i="3"/>
  <c r="S264" i="3"/>
  <c r="S216" i="3"/>
  <c r="S210" i="3"/>
  <c r="S273" i="3"/>
  <c r="S219" i="3"/>
  <c r="S261" i="3"/>
  <c r="S267" i="3"/>
  <c r="S270" i="3"/>
  <c r="T269" i="3" s="1"/>
  <c r="S258" i="3"/>
  <c r="AO206" i="3"/>
  <c r="AO205" i="3"/>
  <c r="AN205" i="3"/>
  <c r="AO194" i="3"/>
  <c r="AJ194" i="3"/>
  <c r="AO188" i="3"/>
  <c r="AI188" i="3"/>
  <c r="AH188" i="3"/>
  <c r="AG188" i="3" s="1"/>
  <c r="AF188" i="3" s="1"/>
  <c r="AJ188" i="3"/>
  <c r="AJ185" i="3"/>
  <c r="AI185" i="3"/>
  <c r="AH185" i="3"/>
  <c r="AG185" i="3" s="1"/>
  <c r="AF185" i="3" s="1"/>
  <c r="AO185" i="3"/>
  <c r="Z182" i="3"/>
  <c r="AA182" i="3" s="1"/>
  <c r="Y182" i="3"/>
  <c r="AM182" i="3"/>
  <c r="AJ173" i="3"/>
  <c r="AI173" i="3"/>
  <c r="AO164" i="3"/>
  <c r="AO163" i="3"/>
  <c r="AN163" i="3"/>
  <c r="AO146" i="3"/>
  <c r="AO145" i="3"/>
  <c r="AO94" i="3"/>
  <c r="AO95" i="3"/>
  <c r="AO88" i="3"/>
  <c r="AO89" i="3"/>
  <c r="AN88" i="3"/>
  <c r="AO80" i="3"/>
  <c r="AN79" i="3"/>
  <c r="AO71" i="3"/>
  <c r="AO70" i="3"/>
  <c r="AN70" i="3"/>
  <c r="AO64" i="3"/>
  <c r="AO65" i="3"/>
  <c r="AN64" i="3"/>
  <c r="AO58" i="3"/>
  <c r="AO59" i="3"/>
  <c r="AO47" i="3"/>
  <c r="AO46" i="3"/>
  <c r="AO43" i="3"/>
  <c r="AO44" i="3"/>
  <c r="AN43" i="3"/>
  <c r="AJ40" i="3"/>
  <c r="AO40" i="3"/>
  <c r="AM37" i="3"/>
  <c r="AI37" i="3"/>
  <c r="AW300" i="2"/>
  <c r="AW299" i="2"/>
  <c r="AW298" i="2"/>
  <c r="AW297" i="2"/>
  <c r="AW296" i="2"/>
  <c r="AW295" i="2"/>
  <c r="AW294" i="2"/>
  <c r="AW293" i="2"/>
  <c r="AW292" i="2"/>
  <c r="AW291" i="2"/>
  <c r="AW290" i="2"/>
  <c r="AW289" i="2"/>
  <c r="AW288" i="2"/>
  <c r="AW287" i="2"/>
  <c r="AW286" i="2"/>
  <c r="AW285" i="2"/>
  <c r="AW284" i="2"/>
  <c r="AW283" i="2"/>
  <c r="AW282" i="2"/>
  <c r="AW281" i="2"/>
  <c r="AW280" i="2"/>
  <c r="AW279" i="2"/>
  <c r="AW278" i="2"/>
  <c r="AW277" i="2"/>
  <c r="AW276" i="2"/>
  <c r="AW275" i="2"/>
  <c r="AW274" i="2"/>
  <c r="AW273" i="2"/>
  <c r="AW272" i="2"/>
  <c r="AW271" i="2"/>
  <c r="AW270" i="2"/>
  <c r="AW269" i="2"/>
  <c r="AW268" i="2"/>
  <c r="AW267" i="2"/>
  <c r="AW266" i="2"/>
  <c r="AW265" i="2"/>
  <c r="AW264" i="2"/>
  <c r="AW263" i="2"/>
  <c r="AW262" i="2"/>
  <c r="AW261" i="2"/>
  <c r="AW260" i="2"/>
  <c r="AW259" i="2"/>
  <c r="AW258" i="2"/>
  <c r="AW257" i="2"/>
  <c r="AW256" i="2"/>
  <c r="AW255" i="2"/>
  <c r="AW254" i="2"/>
  <c r="AW253" i="2"/>
  <c r="AW252" i="2"/>
  <c r="AW251" i="2"/>
  <c r="AW250" i="2"/>
  <c r="AW249" i="2"/>
  <c r="AW248" i="2"/>
  <c r="AW247" i="2"/>
  <c r="AW246" i="2"/>
  <c r="AW245" i="2"/>
  <c r="AW244" i="2"/>
  <c r="AW243" i="2"/>
  <c r="AW242" i="2"/>
  <c r="AW241" i="2"/>
  <c r="AW240" i="2"/>
  <c r="AW239" i="2"/>
  <c r="AW238" i="2"/>
  <c r="AW237" i="2"/>
  <c r="AW236" i="2"/>
  <c r="AW235" i="2"/>
  <c r="AW234" i="2"/>
  <c r="AW233" i="2"/>
  <c r="AW232" i="2"/>
  <c r="AW231" i="2"/>
  <c r="AW230" i="2"/>
  <c r="AW229" i="2"/>
  <c r="AW228" i="2"/>
  <c r="AW227" i="2"/>
  <c r="AW226" i="2"/>
  <c r="AW225" i="2"/>
  <c r="AW224" i="2"/>
  <c r="AW223" i="2"/>
  <c r="AW222" i="2"/>
  <c r="AW221" i="2"/>
  <c r="AW220" i="2"/>
  <c r="AW219" i="2"/>
  <c r="AW218" i="2"/>
  <c r="AW217" i="2"/>
  <c r="AW216" i="2"/>
  <c r="AW215" i="2"/>
  <c r="AM247" i="1"/>
  <c r="AM246" i="1"/>
  <c r="AM245" i="1"/>
  <c r="AM244" i="1"/>
  <c r="AM243" i="1"/>
  <c r="AM242" i="1"/>
  <c r="AM241" i="1"/>
  <c r="AM240" i="1"/>
  <c r="AM239" i="1"/>
  <c r="AM238" i="1"/>
  <c r="AM237" i="1"/>
  <c r="AM236" i="1"/>
  <c r="AM235" i="1"/>
  <c r="AM234" i="1"/>
  <c r="AM233" i="1"/>
  <c r="AM232" i="1"/>
  <c r="AM231" i="1"/>
  <c r="AM230" i="1"/>
  <c r="AM229" i="1"/>
  <c r="AM228" i="1"/>
  <c r="AM227" i="1"/>
  <c r="AM226" i="1"/>
  <c r="AM225" i="1"/>
  <c r="AM224" i="1"/>
  <c r="AM223" i="1"/>
  <c r="AM222" i="1"/>
  <c r="AM221" i="1"/>
  <c r="AM220" i="1"/>
  <c r="AM219" i="1"/>
  <c r="AM218" i="1"/>
  <c r="AM217" i="1"/>
  <c r="AM216" i="1"/>
  <c r="AM215" i="1"/>
  <c r="AM214" i="1"/>
  <c r="AM213" i="1"/>
  <c r="AM212" i="1"/>
  <c r="AM184" i="1"/>
  <c r="AM183" i="1"/>
  <c r="AM182" i="1"/>
  <c r="AM181" i="1"/>
  <c r="AM180" i="1"/>
  <c r="AM179" i="1"/>
  <c r="AM178" i="1"/>
  <c r="AM177" i="1"/>
  <c r="AM176" i="1"/>
  <c r="AM175" i="1"/>
  <c r="AM174" i="1"/>
  <c r="AM173" i="1"/>
  <c r="AM172" i="1"/>
  <c r="AM171" i="1"/>
  <c r="AM170" i="1"/>
  <c r="AM169" i="1"/>
  <c r="AM168" i="1"/>
  <c r="AM167" i="1"/>
  <c r="AM166" i="1"/>
  <c r="AM165" i="1"/>
  <c r="AM164" i="1"/>
  <c r="AM163" i="1"/>
  <c r="AM162" i="1"/>
  <c r="AM161" i="1"/>
  <c r="AM160" i="1"/>
  <c r="AM159" i="1"/>
  <c r="AM158" i="1"/>
  <c r="AM157" i="1"/>
  <c r="AM156" i="1"/>
  <c r="AM155" i="1"/>
  <c r="AM154" i="1"/>
  <c r="AM153" i="1"/>
  <c r="AM152" i="1"/>
  <c r="AM151" i="1"/>
  <c r="AM150" i="1"/>
  <c r="AM149" i="1"/>
  <c r="AM148" i="1"/>
  <c r="AM147" i="1"/>
  <c r="AM146" i="1"/>
  <c r="AM145" i="1"/>
  <c r="AM144" i="1"/>
  <c r="AM143" i="1"/>
  <c r="AM142" i="1"/>
  <c r="AM141" i="1"/>
  <c r="AM140" i="1"/>
  <c r="AM139" i="1"/>
  <c r="AM138" i="1"/>
  <c r="AM137" i="1"/>
  <c r="AM136" i="1"/>
  <c r="AM135" i="1"/>
  <c r="AM134" i="1"/>
  <c r="AM133" i="1"/>
  <c r="AM132" i="1"/>
  <c r="AM131" i="1"/>
  <c r="AM130" i="1"/>
  <c r="AM129" i="1"/>
  <c r="AM128" i="1"/>
  <c r="AM127" i="1"/>
  <c r="AM126" i="1"/>
  <c r="AM125" i="1"/>
  <c r="AM124" i="1"/>
  <c r="AM123" i="1"/>
  <c r="AM122" i="1"/>
  <c r="AM121" i="1"/>
  <c r="AM120" i="1"/>
  <c r="AM119" i="1"/>
  <c r="AM118" i="1"/>
  <c r="AM117" i="1"/>
  <c r="AM116" i="1"/>
  <c r="AM115" i="1"/>
  <c r="AM114" i="1"/>
  <c r="AM113" i="1"/>
  <c r="AM112" i="1"/>
  <c r="AM111" i="1"/>
  <c r="AM110" i="1"/>
  <c r="AM109" i="1"/>
  <c r="AM108" i="1"/>
  <c r="AM107" i="1"/>
  <c r="AM106" i="1"/>
  <c r="AM105" i="1"/>
  <c r="AM104" i="1"/>
  <c r="AM103" i="1"/>
  <c r="AM102" i="1"/>
  <c r="AM101" i="1"/>
  <c r="AM100" i="1"/>
  <c r="Y299" i="3"/>
  <c r="Z299" i="3" s="1"/>
  <c r="AA299" i="3" s="1"/>
  <c r="AB299" i="3" s="1"/>
  <c r="AC299" i="3" s="1"/>
  <c r="AD299" i="3" s="1"/>
  <c r="AE299" i="3" s="1"/>
  <c r="AM299" i="3"/>
  <c r="AW214" i="2"/>
  <c r="AW213" i="2"/>
  <c r="AW212" i="2"/>
  <c r="AW211" i="2"/>
  <c r="AW210" i="2"/>
  <c r="AW209" i="2"/>
  <c r="AW208" i="2"/>
  <c r="AW207" i="2"/>
  <c r="AW206" i="2"/>
  <c r="AW205" i="2"/>
  <c r="AW204" i="2"/>
  <c r="AW203" i="2"/>
  <c r="AW202" i="2"/>
  <c r="AW201" i="2"/>
  <c r="AW200" i="2"/>
  <c r="AW199" i="2"/>
  <c r="AW198" i="2"/>
  <c r="AW197" i="2"/>
  <c r="AW196" i="2"/>
  <c r="AW195" i="2"/>
  <c r="AW194" i="2"/>
  <c r="AW193" i="2"/>
  <c r="AW192" i="2"/>
  <c r="AW191" i="2"/>
  <c r="AW190" i="2"/>
  <c r="AW189" i="2"/>
  <c r="AW188" i="2"/>
  <c r="AW187" i="2"/>
  <c r="AW186" i="2"/>
  <c r="AW185" i="2"/>
  <c r="AW184" i="2"/>
  <c r="AW183" i="2"/>
  <c r="AW182" i="2"/>
  <c r="AW181" i="2"/>
  <c r="AW180" i="2"/>
  <c r="AW179" i="2"/>
  <c r="AW178" i="2"/>
  <c r="AW177" i="2"/>
  <c r="AW176" i="2"/>
  <c r="AW175" i="2"/>
  <c r="AW174" i="2"/>
  <c r="AW173" i="2"/>
  <c r="AW172" i="2"/>
  <c r="AW171" i="2"/>
  <c r="AW170" i="2"/>
  <c r="AW169" i="2"/>
  <c r="AW168" i="2"/>
  <c r="AW167" i="2"/>
  <c r="AW166" i="2"/>
  <c r="AW165" i="2"/>
  <c r="AW164" i="2"/>
  <c r="AW163" i="2"/>
  <c r="AW162" i="2"/>
  <c r="AW161" i="2"/>
  <c r="AW160" i="2"/>
  <c r="AW159" i="2"/>
  <c r="AW158" i="2"/>
  <c r="AW157" i="2"/>
  <c r="AW156" i="2"/>
  <c r="AW155" i="2"/>
  <c r="AW154" i="2"/>
  <c r="AW153" i="2"/>
  <c r="AW152" i="2"/>
  <c r="AW151" i="2"/>
  <c r="AW150" i="2"/>
  <c r="AW149" i="2"/>
  <c r="AW148" i="2"/>
  <c r="AW147" i="2"/>
  <c r="AW146" i="2"/>
  <c r="AW145" i="2"/>
  <c r="AW144" i="2"/>
  <c r="AW143" i="2"/>
  <c r="AW142" i="2"/>
  <c r="AW141" i="2"/>
  <c r="AW140" i="2"/>
  <c r="AW139" i="2"/>
  <c r="AW138" i="2"/>
  <c r="AW137" i="2"/>
  <c r="AW136" i="2"/>
  <c r="AW135" i="2"/>
  <c r="AW134" i="2"/>
  <c r="AW133" i="2"/>
  <c r="AW132" i="2"/>
  <c r="AW131" i="2"/>
  <c r="AW130" i="2"/>
  <c r="AW129" i="2"/>
  <c r="AW128" i="2"/>
  <c r="AW127" i="2"/>
  <c r="AW126" i="2"/>
  <c r="AW125" i="2"/>
  <c r="AW124" i="2"/>
  <c r="AW123" i="2"/>
  <c r="AW122" i="2"/>
  <c r="AW121" i="2"/>
  <c r="AW120" i="2"/>
  <c r="AW119" i="2"/>
  <c r="AW118" i="2"/>
  <c r="AW117" i="2"/>
  <c r="AW116" i="2"/>
  <c r="AW115" i="2"/>
  <c r="AW114" i="2"/>
  <c r="AW113" i="2"/>
  <c r="AW112" i="2"/>
  <c r="AW111" i="2"/>
  <c r="AW110" i="2"/>
  <c r="AW109" i="2"/>
  <c r="AW108" i="2"/>
  <c r="AW107" i="2"/>
  <c r="AW106" i="2"/>
  <c r="AW105" i="2"/>
  <c r="AW104" i="2"/>
  <c r="AW103" i="2"/>
  <c r="AW102" i="2"/>
  <c r="AW101" i="2"/>
  <c r="AW100" i="2"/>
  <c r="AW99" i="2"/>
  <c r="AW98" i="2"/>
  <c r="AW97" i="2"/>
  <c r="AW96" i="2"/>
  <c r="AW95" i="2"/>
  <c r="AW94" i="2"/>
  <c r="AW93" i="2"/>
  <c r="AW92" i="2"/>
  <c r="AW91" i="2"/>
  <c r="AW90" i="2"/>
  <c r="AW89" i="2"/>
  <c r="AW88" i="2"/>
  <c r="AW87" i="2"/>
  <c r="AW86" i="2"/>
  <c r="AW85" i="2"/>
  <c r="AW84" i="2"/>
  <c r="AW83" i="2"/>
  <c r="AW82" i="2"/>
  <c r="AW81" i="2"/>
  <c r="AW80" i="2"/>
  <c r="AW79" i="2"/>
  <c r="AW78" i="2"/>
  <c r="AW77" i="2"/>
  <c r="AW76" i="2"/>
  <c r="AW75" i="2"/>
  <c r="AW74" i="2"/>
  <c r="AW73" i="2"/>
  <c r="AW72" i="2"/>
  <c r="AW71" i="2"/>
  <c r="AW70" i="2"/>
  <c r="AW69" i="2"/>
  <c r="AW68" i="2"/>
  <c r="AW67" i="2"/>
  <c r="AW66" i="2"/>
  <c r="AW65" i="2"/>
  <c r="AW64" i="2"/>
  <c r="AW63" i="2"/>
  <c r="AW62" i="2"/>
  <c r="AW61" i="2"/>
  <c r="AW60" i="2"/>
  <c r="AW59" i="2"/>
  <c r="AW58" i="2"/>
  <c r="AW57" i="2"/>
  <c r="AW56" i="2"/>
  <c r="AW55" i="2"/>
  <c r="AW54" i="2"/>
  <c r="AW53" i="2"/>
  <c r="AW52" i="2"/>
  <c r="AW51" i="2"/>
  <c r="AW50" i="2"/>
  <c r="AW49" i="2"/>
  <c r="AW48" i="2"/>
  <c r="AW47" i="2"/>
  <c r="AW46" i="2"/>
  <c r="AW45" i="2"/>
  <c r="AW44" i="2"/>
  <c r="AW43" i="2"/>
  <c r="AW42" i="2"/>
  <c r="AW41" i="2"/>
  <c r="AW40" i="2"/>
  <c r="AW39" i="2"/>
  <c r="AW38" i="2"/>
  <c r="AW37" i="2"/>
  <c r="AW36" i="2"/>
  <c r="AW35" i="2"/>
  <c r="AW34" i="2"/>
  <c r="AW33" i="2"/>
  <c r="AW32" i="2"/>
  <c r="AW31" i="2"/>
  <c r="AW30" i="2"/>
  <c r="AW29" i="2"/>
  <c r="AW28" i="2"/>
  <c r="AW27" i="2"/>
  <c r="AW26" i="2"/>
  <c r="AW25" i="2"/>
  <c r="AW24" i="2"/>
  <c r="AW23" i="2"/>
  <c r="AW22" i="2"/>
  <c r="AW21" i="2"/>
  <c r="AW20" i="2"/>
  <c r="AW19" i="2"/>
  <c r="AW18" i="2"/>
  <c r="AW17" i="2"/>
  <c r="AW16" i="2"/>
  <c r="AW15" i="2"/>
  <c r="AW14" i="2"/>
  <c r="AW13" i="2"/>
  <c r="AW12" i="2"/>
  <c r="AW11" i="2"/>
  <c r="AW10" i="2"/>
  <c r="AM99" i="1"/>
  <c r="AM98" i="1"/>
  <c r="AM97" i="1"/>
  <c r="AM96" i="1"/>
  <c r="AM95" i="1"/>
  <c r="AM94" i="1"/>
  <c r="AM93" i="1"/>
  <c r="AM92" i="1"/>
  <c r="AM91" i="1"/>
  <c r="AM90" i="1"/>
  <c r="AM89" i="1"/>
  <c r="AM88" i="1"/>
  <c r="AM87" i="1"/>
  <c r="AM86" i="1"/>
  <c r="AM85" i="1"/>
  <c r="AM84" i="1"/>
  <c r="AM83" i="1"/>
  <c r="AM82" i="1"/>
  <c r="AM81" i="1"/>
  <c r="AM80" i="1"/>
  <c r="AM79" i="1"/>
  <c r="AM78" i="1"/>
  <c r="AM77" i="1"/>
  <c r="AM76" i="1"/>
  <c r="AM75" i="1"/>
  <c r="AM74" i="1"/>
  <c r="AM73" i="1"/>
  <c r="AM72" i="1"/>
  <c r="AM71" i="1"/>
  <c r="AM70" i="1"/>
  <c r="AM69" i="1"/>
  <c r="AM68" i="1"/>
  <c r="AM67" i="1"/>
  <c r="AM66" i="1"/>
  <c r="AM65" i="1"/>
  <c r="AM64" i="1"/>
  <c r="AM63" i="1"/>
  <c r="AM62" i="1"/>
  <c r="AM61" i="1"/>
  <c r="AM60" i="1"/>
  <c r="AM59" i="1"/>
  <c r="AM58" i="1"/>
  <c r="AM57" i="1"/>
  <c r="AM56" i="1"/>
  <c r="AM55" i="1"/>
  <c r="AM54" i="1"/>
  <c r="AM53" i="1"/>
  <c r="AM52" i="1"/>
  <c r="AM51" i="1"/>
  <c r="AM50" i="1"/>
  <c r="AM49" i="1"/>
  <c r="AM48" i="1"/>
  <c r="AM47" i="1"/>
  <c r="AM46" i="1"/>
  <c r="AM45" i="1"/>
  <c r="AM44" i="1"/>
  <c r="AM43" i="1"/>
  <c r="AM42" i="1"/>
  <c r="AM41" i="1"/>
  <c r="AM40" i="1"/>
  <c r="AM39" i="1"/>
  <c r="AM38" i="1"/>
  <c r="AM37" i="1"/>
  <c r="AM36" i="1"/>
  <c r="AM35" i="1"/>
  <c r="AM34" i="1"/>
  <c r="AM33" i="1"/>
  <c r="AM32" i="1"/>
  <c r="AM31" i="1"/>
  <c r="AM30" i="1"/>
  <c r="AM29" i="1"/>
  <c r="AM28" i="1"/>
  <c r="AM27" i="1"/>
  <c r="AM26" i="1"/>
  <c r="AM25" i="1"/>
  <c r="AM24" i="1"/>
  <c r="AM23" i="1"/>
  <c r="AM22" i="1"/>
  <c r="AM21" i="1"/>
  <c r="AM20" i="1"/>
  <c r="AM19" i="1"/>
  <c r="AM18" i="1"/>
  <c r="AM17" i="1"/>
  <c r="AO182" i="3" l="1"/>
  <c r="AH182" i="3"/>
  <c r="AG182" i="3" s="1"/>
  <c r="AF182" i="3" s="1"/>
  <c r="AI182" i="3"/>
  <c r="AJ182" i="3"/>
  <c r="AJ37" i="3"/>
  <c r="AO37" i="3"/>
  <c r="AO299" i="3"/>
  <c r="AH299" i="3"/>
  <c r="AG299" i="3" s="1"/>
  <c r="AF299" i="3" s="1"/>
  <c r="AI299" i="3"/>
  <c r="AJ29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AB53" authorId="0" shapeId="0" xr:uid="{00000000-0006-0000-0000-000001000000}">
      <text>
        <r>
          <rPr>
            <b/>
            <sz val="9"/>
            <rFont val="SimSun"/>
          </rPr>
          <t>Administrator:</t>
        </r>
        <r>
          <rPr>
            <sz val="9"/>
            <rFont val="SimSun"/>
          </rPr>
          <t xml:space="preserve">
Vendor Plan + 30days</t>
        </r>
      </text>
    </comment>
    <comment ref="AB56" authorId="0" shapeId="0" xr:uid="{00000000-0006-0000-0000-000002000000}">
      <text>
        <r>
          <rPr>
            <b/>
            <sz val="9"/>
            <rFont val="SimSun"/>
          </rPr>
          <t>Administrator:</t>
        </r>
        <r>
          <rPr>
            <sz val="9"/>
            <rFont val="SimSun"/>
          </rPr>
          <t xml:space="preserve">
Vendor Plan + 30days</t>
        </r>
      </text>
    </comment>
    <comment ref="AB59" authorId="0" shapeId="0" xr:uid="{00000000-0006-0000-0000-000003000000}">
      <text>
        <r>
          <rPr>
            <b/>
            <sz val="9"/>
            <rFont val="SimSun"/>
          </rPr>
          <t>Administrator:</t>
        </r>
        <r>
          <rPr>
            <sz val="9"/>
            <rFont val="SimSun"/>
          </rPr>
          <t xml:space="preserve">
Vendor Plan + 30days</t>
        </r>
      </text>
    </comment>
    <comment ref="AB161" authorId="0" shapeId="0" xr:uid="{00000000-0006-0000-0000-000004000000}">
      <text>
        <r>
          <rPr>
            <b/>
            <sz val="9"/>
            <rFont val="SimSun"/>
          </rPr>
          <t>Administrator:</t>
        </r>
        <r>
          <rPr>
            <sz val="9"/>
            <rFont val="SimSun"/>
          </rPr>
          <t xml:space="preserve">
Vendor Plan + 30days</t>
        </r>
      </text>
    </comment>
    <comment ref="AB164" authorId="0" shapeId="0" xr:uid="{00000000-0006-0000-0000-000005000000}">
      <text>
        <r>
          <rPr>
            <b/>
            <sz val="9"/>
            <rFont val="SimSun"/>
          </rPr>
          <t>Administrator:</t>
        </r>
        <r>
          <rPr>
            <sz val="9"/>
            <rFont val="SimSun"/>
          </rPr>
          <t xml:space="preserve">
Vendor Plan + 30days</t>
        </r>
      </text>
    </comment>
    <comment ref="AB167" authorId="0" shapeId="0" xr:uid="{00000000-0006-0000-0000-000006000000}">
      <text>
        <r>
          <rPr>
            <b/>
            <sz val="9"/>
            <rFont val="SimSun"/>
          </rPr>
          <t>Administrator:</t>
        </r>
        <r>
          <rPr>
            <sz val="9"/>
            <rFont val="SimSun"/>
          </rPr>
          <t xml:space="preserve">
Vendor Plan + 30days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<sst xmlns="http://schemas.openxmlformats.org/spreadsheetml/2006/main" count="14225" uniqueCount="5498">
  <si>
    <t>Note:</t>
  </si>
  <si>
    <t>1. All MR Issuance with Attached File to be used IFR version, some long lead item to be used FEED document as MR Issuance basis which listed in Remark</t>
  </si>
  <si>
    <t>2. In principle, Datasheet - IFA version shall be issued before TBE issuance as much as possible to avoid the big gap of changes.</t>
  </si>
  <si>
    <t>3.TBE- AFC and MR-AFC should be issued before PO issuance.</t>
  </si>
  <si>
    <t>4.For the Steel Structural, TJE will sign the frame agreement with alternative vendors firstly, once the MTO&amp;IFA drawing issuance, TJE will purchase order promptly</t>
  </si>
  <si>
    <t>5.The 3rd line of Each procuremnt package with "Proposal from TJE" in column N , has been aligned with GCME about date of MR issuance with atteched relative documents, then forward schedule in procurement and leadtime to ETA, this line is the basis for schedule developing.</t>
  </si>
  <si>
    <t>LA</t>
  </si>
  <si>
    <t>LB</t>
  </si>
  <si>
    <t>LC</t>
  </si>
  <si>
    <t>LD</t>
  </si>
  <si>
    <t xml:space="preserve">ZM167 PTTEPI ASK Procurement Plan </t>
  </si>
  <si>
    <t>No.</t>
  </si>
  <si>
    <t>RFQ No.</t>
  </si>
  <si>
    <t>Package Name</t>
  </si>
  <si>
    <t>Actual Lead Time</t>
  </si>
  <si>
    <t>Delivery Duration (Weeks)</t>
  </si>
  <si>
    <t>Deviation</t>
  </si>
  <si>
    <t>Total Weight</t>
  </si>
  <si>
    <t>CODE</t>
  </si>
  <si>
    <t>Discripline</t>
  </si>
  <si>
    <t>Long Lead Item (Y/N)</t>
  </si>
  <si>
    <t>Criticality Rating</t>
  </si>
  <si>
    <t>Priority Level</t>
  </si>
  <si>
    <t>Bidder List Approval</t>
  </si>
  <si>
    <t>MR  Issued</t>
  </si>
  <si>
    <t>MR Approved</t>
  </si>
  <si>
    <t>RFQ Issued</t>
  </si>
  <si>
    <t>RFQ Approved</t>
  </si>
  <si>
    <t>CFT Issuance</t>
  </si>
  <si>
    <t>Bid Closing Date</t>
  </si>
  <si>
    <t>TBE Issued</t>
  </si>
  <si>
    <t>TBE Approved</t>
  </si>
  <si>
    <t>LOA SIGN</t>
  </si>
  <si>
    <t xml:space="preserve">PO Issued </t>
  </si>
  <si>
    <t>Vendor Acknowledgement</t>
  </si>
  <si>
    <t>KOM</t>
  </si>
  <si>
    <t>VD Submission</t>
  </si>
  <si>
    <t>Approval of Key Vendor Documents</t>
  </si>
  <si>
    <t>Delivery of Major Materials</t>
  </si>
  <si>
    <t>PIM</t>
  </si>
  <si>
    <t>Start Production</t>
  </si>
  <si>
    <t>FAT</t>
  </si>
  <si>
    <t>Ready for Shipment</t>
  </si>
  <si>
    <t>Receipt at WORKSITE</t>
  </si>
  <si>
    <t>Punch List Clearance</t>
  </si>
  <si>
    <t>Approval of Final Documentation  (To be confirmed later)</t>
  </si>
  <si>
    <t>Lead Time</t>
  </si>
  <si>
    <t>ETA date</t>
  </si>
  <si>
    <t>ROS date</t>
  </si>
  <si>
    <t>Float</t>
  </si>
  <si>
    <t>Remark</t>
  </si>
  <si>
    <t>Remark2</t>
  </si>
  <si>
    <t>Matrix</t>
  </si>
  <si>
    <t>Installation</t>
  </si>
  <si>
    <t>Holiday</t>
  </si>
  <si>
    <t>China</t>
  </si>
  <si>
    <t>Thai</t>
  </si>
  <si>
    <t>RFQ-MEC-001</t>
  </si>
  <si>
    <t>Offshore Pedestal Crane</t>
  </si>
  <si>
    <t>Mechanical</t>
  </si>
  <si>
    <t>New Plan</t>
  </si>
  <si>
    <t>Long Lead</t>
  </si>
  <si>
    <t>WPA-01</t>
  </si>
  <si>
    <t>4-2.1</t>
  </si>
  <si>
    <t>Y</t>
  </si>
  <si>
    <t>Forecast</t>
  </si>
  <si>
    <t>WPA-02</t>
  </si>
  <si>
    <t>Actual</t>
  </si>
  <si>
    <t>UPO-0003</t>
  </si>
  <si>
    <t>Upper Deck</t>
  </si>
  <si>
    <t>RFQ-MEC-002</t>
  </si>
  <si>
    <t>Material Handling Equipment</t>
  </si>
  <si>
    <t>4-2.2</t>
  </si>
  <si>
    <t>N</t>
  </si>
  <si>
    <t>check Location</t>
  </si>
  <si>
    <t>UPO-0025</t>
  </si>
  <si>
    <t>RFQ-MEC-003</t>
  </si>
  <si>
    <t>Instrument Gas Filter Coalescer</t>
  </si>
  <si>
    <t>4-2.4</t>
  </si>
  <si>
    <t>UPO-0004</t>
  </si>
  <si>
    <t>Lower Deck</t>
  </si>
  <si>
    <t>RFQ-MEC-004</t>
  </si>
  <si>
    <t>TEST AND PRODUCTION SEPARATOR</t>
  </si>
  <si>
    <t>4-2.3</t>
  </si>
  <si>
    <t>RFQ-PIP-005</t>
  </si>
  <si>
    <t>QUICK OPENING CLOSURE</t>
  </si>
  <si>
    <t>Piping</t>
  </si>
  <si>
    <t>4-2.6</t>
  </si>
  <si>
    <t>UPO-0020</t>
  </si>
  <si>
    <t>RFQ-MEC-006</t>
  </si>
  <si>
    <t>CHEMICAL INJECTION PUMPS PACKAGE</t>
  </si>
  <si>
    <t>4-2.8</t>
  </si>
  <si>
    <r>
      <rPr>
        <sz val="10"/>
        <rFont val="Arial"/>
        <family val="2"/>
      </rPr>
      <t>UPO-0008</t>
    </r>
    <r>
      <rPr>
        <sz val="10"/>
        <rFont val="SimSun"/>
      </rPr>
      <t>，</t>
    </r>
    <r>
      <rPr>
        <sz val="10"/>
        <rFont val="Arial"/>
        <family val="2"/>
      </rPr>
      <t>RFQ-007 De-mulsifier / Water Clarifier Injection Pump &amp; RFQ-044 Flow switch combined with RFQ-006</t>
    </r>
  </si>
  <si>
    <t>RFQ-MEC-008</t>
  </si>
  <si>
    <t>DEOILER HYDRO CYCLONE PACKAGE</t>
  </si>
  <si>
    <t>NA</t>
  </si>
  <si>
    <t>4-2.10</t>
  </si>
  <si>
    <t>only  WPA02</t>
  </si>
  <si>
    <t>RFQ-MEC-009</t>
  </si>
  <si>
    <t>DEGASSER DRUM</t>
  </si>
  <si>
    <t>4-2.11</t>
  </si>
  <si>
    <t>RFQ-MEC-010</t>
  </si>
  <si>
    <t>Skim Tank Vessel</t>
  </si>
  <si>
    <t>4-2.13</t>
  </si>
  <si>
    <t>RFQ-MEC-011</t>
  </si>
  <si>
    <t>Closed Drain Sump Vessel</t>
  </si>
  <si>
    <t>4-2.12</t>
  </si>
  <si>
    <t>Sump Deck</t>
  </si>
  <si>
    <t>RFQ-MEC-013</t>
  </si>
  <si>
    <t>Storage Tank</t>
  </si>
  <si>
    <t>4-2.17</t>
  </si>
  <si>
    <t>Mezz &amp; Lower</t>
  </si>
  <si>
    <t>RFQ-MEC-014</t>
  </si>
  <si>
    <t>CLOSED DRAIN SUMP PUMP AND RECOVERY WATER PUMP PACKAGE</t>
  </si>
  <si>
    <t>4-2.21</t>
  </si>
  <si>
    <t>UPO-0010</t>
  </si>
  <si>
    <t>RFQ-MEC-015</t>
  </si>
  <si>
    <t>DIESEL TRANSFER PUMP PACKAGE</t>
  </si>
  <si>
    <t>4-2.23</t>
  </si>
  <si>
    <t>RFQ-MEC-016</t>
  </si>
  <si>
    <t>OPEN DRAIN CAISSON PUMP PACKAGE</t>
  </si>
  <si>
    <t>4-2.24</t>
  </si>
  <si>
    <t>RFQ-ELE-017</t>
  </si>
  <si>
    <t>AC/DC Distribution Board</t>
  </si>
  <si>
    <t>Electrical</t>
  </si>
  <si>
    <t>4-3.1</t>
  </si>
  <si>
    <t>UPO-0011</t>
  </si>
  <si>
    <t>RFQ-ELE-018</t>
  </si>
  <si>
    <t>Solar Power System</t>
  </si>
  <si>
    <t>4-3.3</t>
  </si>
  <si>
    <t>RFQ-ELE-019</t>
  </si>
  <si>
    <t>Navigation Aid System</t>
  </si>
  <si>
    <t>4-3.2</t>
  </si>
  <si>
    <t>RFQ-ELE-020</t>
  </si>
  <si>
    <t>External Battery Charger</t>
  </si>
  <si>
    <t>RFQ-INS-021</t>
  </si>
  <si>
    <t>Control Valve</t>
  </si>
  <si>
    <t>Instrument</t>
  </si>
  <si>
    <t>4-4.5</t>
  </si>
  <si>
    <t>installation during Reinstatement</t>
  </si>
  <si>
    <t>UPO-0030</t>
  </si>
  <si>
    <t>RFQ-INS-022</t>
  </si>
  <si>
    <t>Self Regulator Valve</t>
  </si>
  <si>
    <t>4-4.6</t>
  </si>
  <si>
    <t>RFQ-INS-023</t>
  </si>
  <si>
    <t>Actuated Choke Valve</t>
  </si>
  <si>
    <t>4-4.3</t>
  </si>
  <si>
    <t>UPO-0019</t>
  </si>
  <si>
    <t>RFQ-INS-024</t>
  </si>
  <si>
    <t>Actuated Ball Valve</t>
  </si>
  <si>
    <t>4-4.4</t>
  </si>
  <si>
    <t>UPO-0021</t>
  </si>
  <si>
    <t>RFQ-INS-025</t>
  </si>
  <si>
    <t>Actuated Compact Ball Valve</t>
  </si>
  <si>
    <t>RFQ-INS-026</t>
  </si>
  <si>
    <t>Safety Relief Valves</t>
  </si>
  <si>
    <t>4-4.7</t>
  </si>
  <si>
    <t>UPO-0028</t>
  </si>
  <si>
    <t>RFQ-INS-027</t>
  </si>
  <si>
    <t xml:space="preserve">Coriolis Flow Meters </t>
  </si>
  <si>
    <t>4-4.9</t>
  </si>
  <si>
    <t>RFQ-INS-028</t>
  </si>
  <si>
    <t>WELLHEAD CONTROL PANEL (WHCP)</t>
  </si>
  <si>
    <t>4-4.2</t>
  </si>
  <si>
    <t>UPO-0009</t>
  </si>
  <si>
    <t>RFQ-INS-029</t>
  </si>
  <si>
    <t>Pressure Gauge</t>
  </si>
  <si>
    <t>4-4.12</t>
  </si>
  <si>
    <t>RFQ-INS-030</t>
  </si>
  <si>
    <t>Pressure Transmitter</t>
  </si>
  <si>
    <t>RFQ-INS-031</t>
  </si>
  <si>
    <t>Temperature Gauge</t>
  </si>
  <si>
    <t>RFQ-INS-032</t>
  </si>
  <si>
    <t>Temperature Transmitter</t>
  </si>
  <si>
    <t>RFQ-INS-033</t>
  </si>
  <si>
    <t>Vortex Flow Meter</t>
  </si>
  <si>
    <t>4-4.10</t>
  </si>
  <si>
    <t>RFQ-INS-034</t>
  </si>
  <si>
    <t>LEVEL GAUGE AND TRANSMITTERS</t>
  </si>
  <si>
    <t>RFQ-INS-035</t>
  </si>
  <si>
    <t>Pig Signaller</t>
  </si>
  <si>
    <t>4-4.11</t>
  </si>
  <si>
    <t>RFQ-INS-036</t>
  </si>
  <si>
    <t>Restriction Orifice</t>
  </si>
  <si>
    <t>Rrestriction Orifice</t>
  </si>
  <si>
    <t>RFQ-INS-037</t>
  </si>
  <si>
    <t>PLC System</t>
  </si>
  <si>
    <t>4-4.1</t>
  </si>
  <si>
    <t>RFQ-INS-038</t>
  </si>
  <si>
    <t>Fire and Gas Detector</t>
  </si>
  <si>
    <t>4-4.20</t>
  </si>
  <si>
    <t>RFQ-INS-040</t>
  </si>
  <si>
    <t>Position Limit Switches</t>
  </si>
  <si>
    <t>4-4.14</t>
  </si>
  <si>
    <t>RFQ-INS-041</t>
  </si>
  <si>
    <t>Guided Wave Radar Level Transmitter</t>
  </si>
  <si>
    <t>RFQ-INS-042</t>
  </si>
  <si>
    <t>OIL IN WATER ANALYZER</t>
  </si>
  <si>
    <t>4-4.8</t>
  </si>
  <si>
    <t>RFQ-INS-043</t>
  </si>
  <si>
    <t>Level Switch</t>
  </si>
  <si>
    <t>4-4.13</t>
  </si>
  <si>
    <t>RFQ-INS-045</t>
  </si>
  <si>
    <t>SCADA System</t>
  </si>
  <si>
    <t>4-4.18</t>
  </si>
  <si>
    <t>RFQ-TEL-046</t>
  </si>
  <si>
    <t>TELECOMMUNICATION SYSTEM</t>
  </si>
  <si>
    <t>Telecommunication</t>
  </si>
  <si>
    <t>4-4.15</t>
  </si>
  <si>
    <t>RFQ-TEL-047</t>
  </si>
  <si>
    <t>MARINE RACON (RACON)</t>
  </si>
  <si>
    <t>4-4.16</t>
  </si>
  <si>
    <t>RFQ-PIP-048</t>
  </si>
  <si>
    <t>BALL VALVE (FLANGE END)</t>
  </si>
  <si>
    <t>4-1</t>
  </si>
  <si>
    <t>2/3</t>
  </si>
  <si>
    <t>UPO-0023</t>
  </si>
  <si>
    <t>install before Testing</t>
  </si>
  <si>
    <t>RFQ-PIP-049</t>
  </si>
  <si>
    <t>BALL VALVE (Welded END)</t>
  </si>
  <si>
    <t>RFQ-PIP-050</t>
  </si>
  <si>
    <t>GLOBE VALVE (FLANGE END)</t>
  </si>
  <si>
    <t>RFQ-PIP-051</t>
  </si>
  <si>
    <t>GLOBE VALVE (WELDED END)</t>
  </si>
  <si>
    <t>RFQ-PIP-052</t>
  </si>
  <si>
    <t>CHECK VALVE (FLANGE END)</t>
  </si>
  <si>
    <t>UPO-0024</t>
  </si>
  <si>
    <t>RFQ-PIP-053</t>
  </si>
  <si>
    <t>CHECK VALVE (WELDED END)</t>
  </si>
  <si>
    <t>RFQ-PIP-054</t>
  </si>
  <si>
    <t>COMPACT CHECK VALVE (WELDED END)</t>
  </si>
  <si>
    <t>UPO-0018</t>
  </si>
  <si>
    <t>RFQ-STR-055</t>
  </si>
  <si>
    <t>Primary Steel - Plates for topside</t>
  </si>
  <si>
    <t>XISC</t>
  </si>
  <si>
    <t>Structural</t>
  </si>
  <si>
    <t>5-2</t>
  </si>
  <si>
    <t>1st Cutting Change to 16-Aug</t>
  </si>
  <si>
    <t>UPO-0001</t>
  </si>
  <si>
    <t>RFQ-STR-056</t>
  </si>
  <si>
    <t>Primary Steel – Beam for topside</t>
  </si>
  <si>
    <t>Laigang</t>
  </si>
  <si>
    <t>for Deck Pre-assembly</t>
  </si>
  <si>
    <t>UPO-0002</t>
  </si>
  <si>
    <t>RFQ-STR-057</t>
  </si>
  <si>
    <t>Secondary Steel – Beam for topside (W-Type)</t>
  </si>
  <si>
    <t>5-4</t>
  </si>
  <si>
    <t>UPO-0012</t>
  </si>
  <si>
    <t>RFQ-STR-102</t>
  </si>
  <si>
    <t>Secondary Steel – Beam for topside (L&amp;C Type)</t>
  </si>
  <si>
    <t>RFQ-STR-058</t>
  </si>
  <si>
    <t xml:space="preserve">Topside Tertiary Steel </t>
  </si>
  <si>
    <t>RFQ-STR-059</t>
  </si>
  <si>
    <t xml:space="preserve">Primary Steel - Tubular for topside </t>
  </si>
  <si>
    <t>Column and Brace</t>
  </si>
  <si>
    <t>UPO-0017</t>
  </si>
  <si>
    <t>RFQ-STR-060</t>
  </si>
  <si>
    <t>Primary Steel - Plates for jacket</t>
  </si>
  <si>
    <t>UPO-0007</t>
  </si>
  <si>
    <t>RFQ-STR-061</t>
  </si>
  <si>
    <t xml:space="preserve">Secondary Steel -Beam for jacket </t>
  </si>
  <si>
    <t>UPO-0012.Same information with RFQ--057</t>
  </si>
  <si>
    <t>RFQ-STR-062</t>
  </si>
  <si>
    <t xml:space="preserve">Primary Steel -Tubular for jacket </t>
  </si>
  <si>
    <t>RFQ-STR-064</t>
  </si>
  <si>
    <t>Primary Steel - Plates for Pile</t>
  </si>
  <si>
    <t>5-3</t>
  </si>
  <si>
    <t>RFQ-STR-065</t>
  </si>
  <si>
    <t>Primary Steel -Tubular for Pile</t>
  </si>
  <si>
    <t>RFQ-PIP-067</t>
  </si>
  <si>
    <t>CS Fitting</t>
  </si>
  <si>
    <t>5-5</t>
  </si>
  <si>
    <t>RFQ-PIP-068</t>
  </si>
  <si>
    <t>SS  Fitting</t>
  </si>
  <si>
    <t>UPO-0027</t>
  </si>
  <si>
    <t>RFQ-PIP-103</t>
  </si>
  <si>
    <t>DSS Fitting</t>
  </si>
  <si>
    <t>RFQ-PIP-069</t>
  </si>
  <si>
    <t>CS Flange</t>
  </si>
  <si>
    <t>RFQ-PIP-070</t>
  </si>
  <si>
    <t>SS Flange</t>
  </si>
  <si>
    <t>RFQ-PIP-104</t>
  </si>
  <si>
    <t>DSS Flange</t>
  </si>
  <si>
    <t>RFQ-PIP-072</t>
  </si>
  <si>
    <t>CS Pipe</t>
  </si>
  <si>
    <t>RFQ-PIP-073</t>
  </si>
  <si>
    <t>SS AND DSS PIPE</t>
  </si>
  <si>
    <t>UPO-0029</t>
  </si>
  <si>
    <t>RFQ-PIP-075</t>
  </si>
  <si>
    <t>STUD BOLTS AND NUTS</t>
  </si>
  <si>
    <t>RFQ-PIP-076</t>
  </si>
  <si>
    <t>Gasket</t>
  </si>
  <si>
    <t>RFQ-ELE-077</t>
  </si>
  <si>
    <t>ELECTRICAL CABLES</t>
  </si>
  <si>
    <t>5-7</t>
  </si>
  <si>
    <t>RFQ-ELE-078</t>
  </si>
  <si>
    <t>ELECTRICAL BULK MATERIALS</t>
  </si>
  <si>
    <t>cable Tray</t>
  </si>
  <si>
    <t>RFQ-ELE-079</t>
  </si>
  <si>
    <t>FOG HORN</t>
  </si>
  <si>
    <t>RFQ-INS-080</t>
  </si>
  <si>
    <t>INSTRUMENT BULK MATERIALS</t>
  </si>
  <si>
    <t>5-8</t>
  </si>
  <si>
    <t>RFQ-INS-081</t>
  </si>
  <si>
    <t>Instrument Cables</t>
  </si>
  <si>
    <t>RFQ-SAF-082</t>
  </si>
  <si>
    <t>FIREFIGHTING EQUIPMENT</t>
  </si>
  <si>
    <t>Safety</t>
  </si>
  <si>
    <t>4-5</t>
  </si>
  <si>
    <t>RFQ-SAF-083</t>
  </si>
  <si>
    <t xml:space="preserve">LIFESAVING EQUIPMENT AND SAFETY EQUIPMENT </t>
  </si>
  <si>
    <t>RFQ-SAF-084</t>
  </si>
  <si>
    <t>SAFETY SIGNS</t>
  </si>
  <si>
    <t>RFQ-PLR-085</t>
  </si>
  <si>
    <t>PIPELINE FLANGES</t>
  </si>
  <si>
    <t>Piping &amp; Riser</t>
  </si>
  <si>
    <t>5-6</t>
  </si>
  <si>
    <t>RFQ-PLR-086</t>
  </si>
  <si>
    <t>BARRED TEE</t>
  </si>
  <si>
    <t>RFQ-PLR-087</t>
  </si>
  <si>
    <t>PIGGABLE WYE</t>
  </si>
  <si>
    <t>RFQ-PLR-088</t>
  </si>
  <si>
    <t>BARREL REDUCER</t>
  </si>
  <si>
    <t>RFQ-TEL- 089</t>
  </si>
  <si>
    <t>Telecommunication System Bulk Material</t>
  </si>
  <si>
    <t>5-9</t>
  </si>
  <si>
    <t>RFQ-STR-090</t>
  </si>
  <si>
    <t>JKT Anode</t>
  </si>
  <si>
    <t>5-11</t>
  </si>
  <si>
    <t>RFQ-PIP-093</t>
  </si>
  <si>
    <t>Coat</t>
  </si>
  <si>
    <t>Coating</t>
  </si>
  <si>
    <t>Topside Deck B&amp;P</t>
  </si>
  <si>
    <t>UPO-0031</t>
  </si>
  <si>
    <t>RFQ-PIP-092</t>
  </si>
  <si>
    <t>CORROSION FITTINGS (PROBE, COUPON AND CHEMICAL INJECTION QUILL)</t>
  </si>
  <si>
    <t>RFQ-PIP-094</t>
  </si>
  <si>
    <t>HOSE AND HOSE CONNECTOR</t>
  </si>
  <si>
    <t>RFQ-PIP-095</t>
  </si>
  <si>
    <t>STRAINER</t>
  </si>
  <si>
    <t>RFQ-PIP-096</t>
  </si>
  <si>
    <t>LIQUID TRAP</t>
  </si>
  <si>
    <t>RFQ-PIP-097</t>
  </si>
  <si>
    <t>G-CLAMP</t>
  </si>
  <si>
    <t>RFQ-PIP-098</t>
  </si>
  <si>
    <t>FLAME ARRESTOR</t>
  </si>
  <si>
    <t>RFQ-PIP-099</t>
  </si>
  <si>
    <t>Sight Glass</t>
  </si>
  <si>
    <t>Sightt Glass</t>
  </si>
  <si>
    <t>RFQ-PIP-100</t>
  </si>
  <si>
    <t>PIPE SUPPORT</t>
  </si>
  <si>
    <t>Based on Standard Piping Support</t>
  </si>
  <si>
    <t>RFQ-INS-101</t>
  </si>
  <si>
    <t>DP LEVEL TRANSMITERS</t>
  </si>
  <si>
    <t>DP LEVEL TRANSMITTERS</t>
  </si>
  <si>
    <t>RFQ-STR-105</t>
  </si>
  <si>
    <t>Primary Seamless Pipe</t>
  </si>
  <si>
    <t>Lontrin</t>
  </si>
  <si>
    <t>UPO-0005</t>
  </si>
  <si>
    <t>RFQ-STR-106</t>
  </si>
  <si>
    <t xml:space="preserve">Secondary Steel – Seamless pipe </t>
  </si>
  <si>
    <t>Secondary Steel – Seamless pipe</t>
  </si>
  <si>
    <t>UPO-0013</t>
  </si>
  <si>
    <t>RFQ-STR-107</t>
  </si>
  <si>
    <t>Secondary Steel – Plate</t>
  </si>
  <si>
    <t>Overdue</t>
  </si>
  <si>
    <t>Planned within 7 days</t>
  </si>
  <si>
    <t>completed</t>
  </si>
  <si>
    <t>A</t>
  </si>
  <si>
    <t>B=A-4</t>
  </si>
  <si>
    <t>C=B-10</t>
  </si>
  <si>
    <t>D=C-E</t>
  </si>
  <si>
    <t>E</t>
  </si>
  <si>
    <t>JACKET FABRICATION</t>
  </si>
  <si>
    <t>MAIN STRUCTURE OF JACKET</t>
  </si>
  <si>
    <t>ERECT</t>
  </si>
  <si>
    <t>片吊装焊接</t>
  </si>
  <si>
    <t>QTY Proposal</t>
  </si>
  <si>
    <t>接长</t>
  </si>
  <si>
    <t>组片</t>
  </si>
  <si>
    <t>总装</t>
  </si>
  <si>
    <t>COAT</t>
  </si>
  <si>
    <t>片体涂装</t>
  </si>
  <si>
    <t>ASSY</t>
  </si>
  <si>
    <t>片预制</t>
  </si>
  <si>
    <t>FAB/SPL</t>
  </si>
  <si>
    <t>片体管接长</t>
  </si>
  <si>
    <t>CAN</t>
  </si>
  <si>
    <t>下料、卷制</t>
  </si>
  <si>
    <t>Dur for SD</t>
  </si>
  <si>
    <t>DETAIL DESIGN WP01&amp;WP02</t>
  </si>
  <si>
    <t>UNIT</t>
  </si>
  <si>
    <t>WF</t>
  </si>
  <si>
    <t>IWP</t>
  </si>
  <si>
    <t>PHASE</t>
  </si>
  <si>
    <t>CWP</t>
  </si>
  <si>
    <t>N°</t>
  </si>
  <si>
    <t>Task /Activity Group</t>
  </si>
  <si>
    <t>W-T</t>
  </si>
  <si>
    <t>P Start</t>
  </si>
  <si>
    <t>P Finish</t>
  </si>
  <si>
    <t>Dur</t>
  </si>
  <si>
    <r>
      <rPr>
        <b/>
        <sz val="14"/>
        <color theme="0" tint="-0.499984740745262"/>
        <rFont val="宋体"/>
        <charset val="134"/>
      </rPr>
      <t>焊口</t>
    </r>
    <r>
      <rPr>
        <b/>
        <sz val="14"/>
        <color theme="0" tint="-0.499984740745262"/>
        <rFont val="Aptos Narrow"/>
        <family val="2"/>
      </rPr>
      <t>(W)</t>
    </r>
  </si>
  <si>
    <r>
      <rPr>
        <b/>
        <sz val="14"/>
        <color theme="0" tint="-0.499984740745262"/>
        <rFont val="宋体"/>
        <charset val="134"/>
      </rPr>
      <t>填充量</t>
    </r>
  </si>
  <si>
    <r>
      <rPr>
        <b/>
        <sz val="14"/>
        <color theme="0" tint="-0.499984740745262"/>
        <rFont val="宋体"/>
        <charset val="134"/>
      </rPr>
      <t>管径范围</t>
    </r>
  </si>
  <si>
    <t>填充量</t>
  </si>
  <si>
    <t>管径范围</t>
  </si>
  <si>
    <t>管段数</t>
  </si>
  <si>
    <t>PR-ID</t>
  </si>
  <si>
    <t xml:space="preserve">ETA </t>
  </si>
  <si>
    <t>PO</t>
  </si>
  <si>
    <t>MTO</t>
  </si>
  <si>
    <t>CPY</t>
  </si>
  <si>
    <t>SD</t>
  </si>
  <si>
    <t xml:space="preserve">AFC </t>
  </si>
  <si>
    <t>EN-ID</t>
  </si>
  <si>
    <t>DWG DESC</t>
  </si>
  <si>
    <t>WPA01</t>
  </si>
  <si>
    <t>WPA01 MAIN STRUCTURE OF JACKET</t>
  </si>
  <si>
    <t>JKT</t>
  </si>
  <si>
    <t>S01</t>
  </si>
  <si>
    <t>JKT-01</t>
  </si>
  <si>
    <t>01J</t>
  </si>
  <si>
    <t>S1 Layout Construction Support</t>
  </si>
  <si>
    <t>N/A</t>
  </si>
  <si>
    <t>S02A</t>
  </si>
  <si>
    <t xml:space="preserve">S2 1H-Panel </t>
  </si>
  <si>
    <t>450-500</t>
  </si>
  <si>
    <t>406.4-500</t>
  </si>
  <si>
    <t xml:space="preserve">JK01-1830 </t>
  </si>
  <si>
    <t>Horizontal Framing Plan</t>
  </si>
  <si>
    <t>S04A</t>
  </si>
  <si>
    <t>S4A Row1</t>
  </si>
  <si>
    <t>500-1524</t>
  </si>
  <si>
    <t>500-1549.4</t>
  </si>
  <si>
    <t>JK01-1800</t>
  </si>
  <si>
    <t xml:space="preserve"> Elevation Row A, B, 1, 2</t>
  </si>
  <si>
    <t>S04B</t>
  </si>
  <si>
    <t xml:space="preserve">S4B X Braces of RowA (1H~2H) </t>
  </si>
  <si>
    <t>S04C</t>
  </si>
  <si>
    <t>S4C X Braces of RowB (1H~2H)</t>
  </si>
  <si>
    <t>S05</t>
  </si>
  <si>
    <t>S5 2H-Panel</t>
  </si>
  <si>
    <t>400-450</t>
  </si>
  <si>
    <t>323.9-450</t>
  </si>
  <si>
    <t>S06A</t>
  </si>
  <si>
    <t>S6A X Braces of RowA (2H~3H)</t>
  </si>
  <si>
    <t>S06B</t>
  </si>
  <si>
    <t>S6B X Braces of RowB (2H~3H)</t>
  </si>
  <si>
    <t>S07</t>
  </si>
  <si>
    <t>S7 3H-Panel</t>
  </si>
  <si>
    <t>S08A</t>
  </si>
  <si>
    <t>S8A X Braces of RowA (3H~4H)</t>
  </si>
  <si>
    <t>S08B</t>
  </si>
  <si>
    <t>S8B X Braces of RowB (3H~4H)</t>
  </si>
  <si>
    <t>S09A</t>
  </si>
  <si>
    <t>S9 4H-Panel</t>
  </si>
  <si>
    <t>323.9-406.4</t>
  </si>
  <si>
    <t>S10A</t>
  </si>
  <si>
    <t>S10 Row2</t>
  </si>
  <si>
    <t>400-750</t>
  </si>
  <si>
    <t>355.6-1524</t>
  </si>
  <si>
    <t>WPA02</t>
  </si>
  <si>
    <t>WPA02 MAIN STRUCTURE OF JACKET</t>
  </si>
  <si>
    <t>02J</t>
  </si>
  <si>
    <t>JK02-1590</t>
  </si>
  <si>
    <t xml:space="preserve">JK02-1560 </t>
  </si>
  <si>
    <t>APPURTENANCE OF JACKET</t>
  </si>
  <si>
    <t>POSTIN</t>
  </si>
  <si>
    <r>
      <rPr>
        <b/>
        <sz val="16"/>
        <color rgb="FF1859A9"/>
        <rFont val="宋体"/>
        <charset val="134"/>
      </rPr>
      <t>附件安装</t>
    </r>
  </si>
  <si>
    <t>PREIN</t>
  </si>
  <si>
    <t>附件预安装</t>
  </si>
  <si>
    <t>附件预制</t>
  </si>
  <si>
    <r>
      <rPr>
        <b/>
        <sz val="14"/>
        <color theme="0" tint="-0.499984740745262"/>
        <rFont val="宋体"/>
        <charset val="134"/>
      </rPr>
      <t>吨</t>
    </r>
    <r>
      <rPr>
        <b/>
        <sz val="14"/>
        <color theme="0" tint="-0.499984740745262"/>
        <rFont val="Aptos Narrow"/>
        <family val="2"/>
      </rPr>
      <t>(T)</t>
    </r>
  </si>
  <si>
    <r>
      <rPr>
        <b/>
        <sz val="14"/>
        <color theme="0" tint="-0.499984740745262"/>
        <rFont val="宋体"/>
        <charset val="134"/>
      </rPr>
      <t>数量</t>
    </r>
  </si>
  <si>
    <t>预制</t>
  </si>
  <si>
    <t>吨(T)</t>
  </si>
  <si>
    <t>数量</t>
  </si>
  <si>
    <t>ID</t>
  </si>
  <si>
    <t>WPA01 APPURTENANCE OF JACKET</t>
  </si>
  <si>
    <t>IRS</t>
  </si>
  <si>
    <t>JKT-02</t>
  </si>
  <si>
    <t>Internal Ring Stiffener Plate</t>
  </si>
  <si>
    <t xml:space="preserve">JK01-1860 </t>
  </si>
  <si>
    <t>Jacket - Sections</t>
  </si>
  <si>
    <t>CGD</t>
  </si>
  <si>
    <t>Casing Guide</t>
  </si>
  <si>
    <t xml:space="preserve">JK01-1170 </t>
  </si>
  <si>
    <t xml:space="preserve">Casing Guides Section &amp; Details </t>
  </si>
  <si>
    <t>SUPP</t>
  </si>
  <si>
    <t>Boatlanding Support</t>
  </si>
  <si>
    <t xml:space="preserve">JK01-1290 </t>
  </si>
  <si>
    <t xml:space="preserve">Boatlanding Section &amp; Details </t>
  </si>
  <si>
    <t>UPD1</t>
  </si>
  <si>
    <t>Lifting Padeye of Row1</t>
  </si>
  <si>
    <t>JK01-2070</t>
  </si>
  <si>
    <t>Lifting Padeye Details</t>
  </si>
  <si>
    <t>S03A</t>
  </si>
  <si>
    <t>S3 Mudmats</t>
  </si>
  <si>
    <t>JK01-2010</t>
  </si>
  <si>
    <t>Mudmat Layout &amp; Details</t>
  </si>
  <si>
    <t>STB</t>
  </si>
  <si>
    <t>Stub of Caisson &amp; Riser</t>
  </si>
  <si>
    <t xml:space="preserve">RS01-1320 </t>
  </si>
  <si>
    <t>Risers Isometric Drawing</t>
  </si>
  <si>
    <t>CLP</t>
  </si>
  <si>
    <t>Riser Clamp</t>
  </si>
  <si>
    <t>BOL</t>
  </si>
  <si>
    <t>S11 Boat Landing</t>
  </si>
  <si>
    <t>RISER</t>
  </si>
  <si>
    <t>JKT-04</t>
  </si>
  <si>
    <t>S10-1 Riser</t>
  </si>
  <si>
    <t>UPD2</t>
  </si>
  <si>
    <t>Lifting Padeye of Row2</t>
  </si>
  <si>
    <t>CASSION</t>
  </si>
  <si>
    <t>Caisson</t>
  </si>
  <si>
    <t xml:space="preserve">JK01-1080 </t>
  </si>
  <si>
    <t>Jacket Lifting Analysis Report</t>
  </si>
  <si>
    <t>WHL</t>
  </si>
  <si>
    <t>S12 Handrail Panels and Staircase</t>
  </si>
  <si>
    <t>JK01-1950</t>
  </si>
  <si>
    <t xml:space="preserve">Access Walkway Layout &amp; Details </t>
  </si>
  <si>
    <t>TRP</t>
  </si>
  <si>
    <t>S13 Temporary Rigging Platform</t>
  </si>
  <si>
    <t xml:space="preserve">JK01-2100 </t>
  </si>
  <si>
    <t>Lowering Sequence</t>
  </si>
  <si>
    <t>NOD</t>
  </si>
  <si>
    <t>Anode</t>
  </si>
  <si>
    <t xml:space="preserve">JK01-1980 </t>
  </si>
  <si>
    <t>Anode Layout &amp; Details</t>
  </si>
  <si>
    <t>Rest01</t>
  </si>
  <si>
    <t>Spacer and Knee etc</t>
  </si>
  <si>
    <t>Rest02</t>
  </si>
  <si>
    <t>Shim and TP etc</t>
  </si>
  <si>
    <t>WPA02 APPURTENANCE OF JACKET</t>
  </si>
  <si>
    <t>JK02-1620</t>
  </si>
  <si>
    <t xml:space="preserve">JK02-2190 </t>
  </si>
  <si>
    <t xml:space="preserve">JK02-2280 </t>
  </si>
  <si>
    <t xml:space="preserve">JK02-1890 </t>
  </si>
  <si>
    <t xml:space="preserve">JK02-1770 </t>
  </si>
  <si>
    <t xml:space="preserve">JK02-1830 </t>
  </si>
  <si>
    <t>Caisson Support Section &amp; Details</t>
  </si>
  <si>
    <t>RS02-1410</t>
  </si>
  <si>
    <t>JK02-1080</t>
  </si>
  <si>
    <t>JK02-1710</t>
  </si>
  <si>
    <t>JK02-1920</t>
  </si>
  <si>
    <t xml:space="preserve">JK02-1740 </t>
  </si>
  <si>
    <t>PRECOM &amp; RFLO OF JACKET</t>
  </si>
  <si>
    <t>WPA01 PRECOM &amp; RFLO</t>
  </si>
  <si>
    <t>TEST</t>
  </si>
  <si>
    <t>Hydrotesting and Other Testing</t>
  </si>
  <si>
    <t>Jacket Pre-commissioning &amp; MC</t>
  </si>
  <si>
    <t>TOUCH</t>
  </si>
  <si>
    <t>Jacket Ready for load out</t>
  </si>
  <si>
    <t>WPA02 PRECOM &amp; RFLO</t>
  </si>
  <si>
    <t>RFLO</t>
  </si>
  <si>
    <t>JKT-05</t>
  </si>
  <si>
    <t>PILE FABRICATION</t>
  </si>
  <si>
    <t>Pile Fabrication</t>
  </si>
  <si>
    <r>
      <rPr>
        <b/>
        <sz val="14"/>
        <color theme="0" tint="-0.499984740745262"/>
        <rFont val="微软雅黑"/>
        <charset val="134"/>
      </rPr>
      <t>管段</t>
    </r>
    <r>
      <rPr>
        <b/>
        <sz val="14"/>
        <color theme="0" tint="-0.499984740745262"/>
        <rFont val="Aptos Narrow"/>
        <family val="2"/>
      </rPr>
      <t>/W</t>
    </r>
  </si>
  <si>
    <t xml:space="preserve">MTO </t>
  </si>
  <si>
    <t>PILE</t>
  </si>
  <si>
    <t>GEN</t>
  </si>
  <si>
    <t>PILE-01</t>
  </si>
  <si>
    <t xml:space="preserve">Steel pile can rolling and welding </t>
  </si>
  <si>
    <t>1371.6x44.45</t>
  </si>
  <si>
    <t xml:space="preserve">JK01-1890 </t>
  </si>
  <si>
    <t>Pile Make Up &amp; Details</t>
  </si>
  <si>
    <t>Steel pile can extension and assembly</t>
  </si>
  <si>
    <t>Pile marking and final inspection</t>
  </si>
  <si>
    <t xml:space="preserve">JK01-1920 </t>
  </si>
  <si>
    <t xml:space="preserve">Pile Marking Details </t>
  </si>
  <si>
    <t>Piles Ready for Load Out</t>
  </si>
  <si>
    <t>JK02-1650</t>
  </si>
  <si>
    <t>JK02-1680</t>
  </si>
  <si>
    <t>TOPSIDE FABRICATION</t>
  </si>
  <si>
    <t xml:space="preserve">Structure </t>
  </si>
  <si>
    <t>WPA01 Structure of Topside</t>
  </si>
  <si>
    <t>MOD</t>
  </si>
  <si>
    <t>CLOMN</t>
  </si>
  <si>
    <t>ST</t>
  </si>
  <si>
    <t>01T</t>
  </si>
  <si>
    <t>WPA-01 Lower Column</t>
  </si>
  <si>
    <t>500-1371.6</t>
  </si>
  <si>
    <t xml:space="preserve">ST01-2670 </t>
  </si>
  <si>
    <t xml:space="preserve">Standard Tubular Connections </t>
  </si>
  <si>
    <t>SUM01</t>
  </si>
  <si>
    <t>WPA-01 Sump Deck</t>
  </si>
  <si>
    <t>ST01-1320</t>
  </si>
  <si>
    <t>Sump Deck Framing</t>
  </si>
  <si>
    <t>SUM02</t>
  </si>
  <si>
    <t xml:space="preserve"> Sump Deck</t>
  </si>
  <si>
    <t xml:space="preserve">ST01-1350 </t>
  </si>
  <si>
    <t>Sump Deck Section &amp; Details</t>
  </si>
  <si>
    <t>LOW01</t>
  </si>
  <si>
    <t>WPA-01 Lower Deck</t>
  </si>
  <si>
    <t xml:space="preserve">ST01-1088 </t>
  </si>
  <si>
    <t xml:space="preserve"> Lower Deck Primary Steel Framing </t>
  </si>
  <si>
    <t>LOW02</t>
  </si>
  <si>
    <t xml:space="preserve"> Lower Deck</t>
  </si>
  <si>
    <t>ST01-1230</t>
  </si>
  <si>
    <t xml:space="preserve"> Lower Deck Secondary Steel</t>
  </si>
  <si>
    <t>MEZ01</t>
  </si>
  <si>
    <t>WPA-01Mezzanine Deck</t>
  </si>
  <si>
    <t>ST01-1260</t>
  </si>
  <si>
    <t>Mezzanine Deck Framing</t>
  </si>
  <si>
    <t>MEZ02</t>
  </si>
  <si>
    <t>Mezzanine Deck</t>
  </si>
  <si>
    <t>ST01-1290</t>
  </si>
  <si>
    <t>Mezzanine Deck Section &amp; Details</t>
  </si>
  <si>
    <t>UPP01</t>
  </si>
  <si>
    <t>WPA-01 Upper Deck</t>
  </si>
  <si>
    <t>ST01-1080</t>
  </si>
  <si>
    <t>Upper Deck Primary Steel Framing</t>
  </si>
  <si>
    <t>UPP02</t>
  </si>
  <si>
    <t xml:space="preserve">ST01-1200 </t>
  </si>
  <si>
    <t xml:space="preserve">Upper Deck Secondary Steel </t>
  </si>
  <si>
    <t>VentBoom01</t>
  </si>
  <si>
    <t>Vent Boom</t>
  </si>
  <si>
    <t>VentBoom02</t>
  </si>
  <si>
    <t>Grate</t>
  </si>
  <si>
    <t>Grating</t>
  </si>
  <si>
    <t xml:space="preserve">ST01-2010 </t>
  </si>
  <si>
    <t>Equipment Support/Lifting Padeye</t>
  </si>
  <si>
    <t>Handrail</t>
  </si>
  <si>
    <t xml:space="preserve">Handrails,Stairs and Ladders </t>
  </si>
  <si>
    <t>ST01-1560</t>
  </si>
  <si>
    <t>WPA01 Topside Upper Deck Flooring &amp; Handrail Layout - AFC</t>
  </si>
  <si>
    <t>Solar</t>
  </si>
  <si>
    <t>Support for Solar Panel</t>
  </si>
  <si>
    <t xml:space="preserve">ST01-1530 </t>
  </si>
  <si>
    <t>WPA01 Topside Solar Panel Arrangement &amp; Support Details (7 Sheets) - AFC</t>
  </si>
  <si>
    <t>HSN</t>
  </si>
  <si>
    <t>HELIDECK SAFETY NETTING</t>
  </si>
  <si>
    <t xml:space="preserve">ST01-1860 </t>
  </si>
  <si>
    <t>WPA01 Topside Helideck Marking and Safety Netting Details (2 Sheets) - AFC</t>
  </si>
  <si>
    <t>PNP</t>
  </si>
  <si>
    <t>PLATFORM NAME PLATESG</t>
  </si>
  <si>
    <t>ST01-2040</t>
  </si>
  <si>
    <t>WPA01 Topside Platform Name Plate Details - AFC</t>
  </si>
  <si>
    <t>SA</t>
  </si>
  <si>
    <t xml:space="preserve">Safety EQP Support </t>
  </si>
  <si>
    <t>SF01-1270</t>
  </si>
  <si>
    <t>Firefighting Equipment Layout Drawing WP01 (6 Sheets) - AFC</t>
  </si>
  <si>
    <t>WPA02 Structure of Topside</t>
  </si>
  <si>
    <t>02T</t>
  </si>
  <si>
    <t>WPA-02 Lower Column</t>
  </si>
  <si>
    <t xml:space="preserve">ST02-1140 </t>
  </si>
  <si>
    <t>WPA-02 Sump Deck</t>
  </si>
  <si>
    <t>ST02-1980</t>
  </si>
  <si>
    <t>ST02-2010</t>
  </si>
  <si>
    <t>WPA-02 Lower Deck</t>
  </si>
  <si>
    <t>ST02-1740</t>
  </si>
  <si>
    <t xml:space="preserve">ST02-1890 </t>
  </si>
  <si>
    <t>WPA-02Mezzanine Deck</t>
  </si>
  <si>
    <t xml:space="preserve">ST02-1920 </t>
  </si>
  <si>
    <t xml:space="preserve">ST02-1950 </t>
  </si>
  <si>
    <t>WPA-02 Upper Deck</t>
  </si>
  <si>
    <t xml:space="preserve">ST02-1710 </t>
  </si>
  <si>
    <t xml:space="preserve">ST02-1860 </t>
  </si>
  <si>
    <t>ST02-1710</t>
  </si>
  <si>
    <t>ST02-2220</t>
  </si>
  <si>
    <t>WPA02 Topside Upper Deck Flooring &amp; Handrail Layout - AFC</t>
  </si>
  <si>
    <t>ST02-2190</t>
  </si>
  <si>
    <t>WPA02 Topside Solar Panel Arrangement &amp; Support Details (7 Sheets) - AFC</t>
  </si>
  <si>
    <t>ST02-2520</t>
  </si>
  <si>
    <t>WPA02 Topside Helideck Marking and Safety Netting Details (2 Sheets) - AFC</t>
  </si>
  <si>
    <t>ST02-2700</t>
  </si>
  <si>
    <t>WPA02 Topside Platform Name Plate Details - AFC</t>
  </si>
  <si>
    <t>SF02-1110</t>
  </si>
  <si>
    <t>Firefighting Equipment Layout Drawing WP02 (6 Sheets) - AFC</t>
  </si>
  <si>
    <t>PIPING OF TOPSIDE</t>
  </si>
  <si>
    <t>安装焊接</t>
  </si>
  <si>
    <t>涂装</t>
  </si>
  <si>
    <t>DI</t>
  </si>
  <si>
    <t>·</t>
  </si>
  <si>
    <t>WPA01 Piping of Topside</t>
  </si>
  <si>
    <t>PI</t>
  </si>
  <si>
    <t>WPA-01 Topside - Piping Support</t>
  </si>
  <si>
    <t>PI01-1630</t>
  </si>
  <si>
    <t xml:space="preserve"> Support List /Special Pipe Support Drawings </t>
  </si>
  <si>
    <t>PIPE</t>
  </si>
  <si>
    <t>WPA-01 Topside - Piping Spools</t>
  </si>
  <si>
    <t>PI01-1530</t>
  </si>
  <si>
    <t>Piping Isometric Drawings (Large Bore)</t>
  </si>
  <si>
    <t>Piping Hryo-Test and Reinstatement</t>
  </si>
  <si>
    <t>WPA-01 Topside - Riser Spools</t>
  </si>
  <si>
    <t>PCC</t>
  </si>
  <si>
    <t>Riser Hryo-Test and Reinstatement</t>
  </si>
  <si>
    <t>WPA02 Piping of Topside</t>
  </si>
  <si>
    <t>WPA-02 Topside - Piping Support</t>
  </si>
  <si>
    <t xml:space="preserve">PI02-1600 </t>
  </si>
  <si>
    <t>WPA-02 Topside - Piping Spools</t>
  </si>
  <si>
    <t xml:space="preserve">PI02-1500 </t>
  </si>
  <si>
    <t>WPA-02 Topside - Riser Spools</t>
  </si>
  <si>
    <t>MECHANICAL OF TOPSIDE</t>
  </si>
  <si>
    <t>安装</t>
  </si>
  <si>
    <t>Location</t>
  </si>
  <si>
    <t>WPA01 Mechanical of Topside</t>
  </si>
  <si>
    <t>V-5001</t>
  </si>
  <si>
    <t>MA</t>
  </si>
  <si>
    <t>Closed Drain Sump Vessel Erection V-05001</t>
  </si>
  <si>
    <t>SK-5001</t>
  </si>
  <si>
    <t>Closed Drain Sump Pump Package Erection SK-05001</t>
  </si>
  <si>
    <t>V-3001</t>
  </si>
  <si>
    <t>Instrument Gas Filter Coalescer Erection V-03001</t>
  </si>
  <si>
    <t>SK9001</t>
  </si>
  <si>
    <t>Corrosion Inhibitor Injection Pump skid  Erection SK-09001</t>
  </si>
  <si>
    <t>V-01001</t>
  </si>
  <si>
    <t>WPA-01 Topside - TEST SEPARATOR Erection V-01001</t>
  </si>
  <si>
    <t>SK7001</t>
  </si>
  <si>
    <t>Diesel Transfer Pump package Erection SK-07001</t>
  </si>
  <si>
    <t>T7001</t>
  </si>
  <si>
    <t>Diesel Storage Tote Tank Erection (T-07001)</t>
  </si>
  <si>
    <t xml:space="preserve">Mezzanine </t>
  </si>
  <si>
    <t>T-9001</t>
  </si>
  <si>
    <t>Corrosion Inhibitor Storage Tank Erection (T-09001)</t>
  </si>
  <si>
    <t>T7003</t>
  </si>
  <si>
    <t>Utility Water Storage Tote Tank Erection (T-07003)</t>
  </si>
  <si>
    <t>PL2001</t>
  </si>
  <si>
    <t>Quick Opening Closure (Pig Launcher) Erection (PL-02001)</t>
  </si>
  <si>
    <t>07x/9x</t>
  </si>
  <si>
    <t>Storage Tote Tanks Erection Erection (Spares 3)</t>
  </si>
  <si>
    <t>CR7001</t>
  </si>
  <si>
    <t>Offshore Pedestal Crane  Erection (CR-07001)</t>
  </si>
  <si>
    <t xml:space="preserve">Safety Equipment </t>
  </si>
  <si>
    <t>WPA02 Mechanical of Topside</t>
  </si>
  <si>
    <t>Close Drain Sump Vessel Erection V-05001</t>
  </si>
  <si>
    <t>Closed Drain Sump/Recovered Water Pump Package SK-05001</t>
  </si>
  <si>
    <t>Test Separator Erection V-01001</t>
  </si>
  <si>
    <t>V-10002</t>
  </si>
  <si>
    <t>Skim Tank Vessel Erection V-10002</t>
  </si>
  <si>
    <t>V-10001</t>
  </si>
  <si>
    <t>Production Separator Erection V-10001</t>
  </si>
  <si>
    <t>Chemical Injection Pump Skid Erection SK-09001</t>
  </si>
  <si>
    <t>V-11003</t>
  </si>
  <si>
    <t>Degasser Drum Erection V-11003</t>
  </si>
  <si>
    <t>SK11001</t>
  </si>
  <si>
    <t>De-Oiler Hydrocyclone package Erection SK-11001</t>
  </si>
  <si>
    <t>PR2002</t>
  </si>
  <si>
    <t>Quick Opening Closure (Pig Receiver) Erection PR-02002</t>
  </si>
  <si>
    <t>Quick Opening Closure (Pig Launcher) Erection PL-02001</t>
  </si>
  <si>
    <t>Diesel Storage Tote Tank Erection T-07001</t>
  </si>
  <si>
    <t>Corrosion Inhibitor Storage Tank Erection T-09001</t>
  </si>
  <si>
    <t>Utility Water Storage Tote Tank Erection T-07003</t>
  </si>
  <si>
    <t>T-9003</t>
  </si>
  <si>
    <t>Demulsifier / Water Clarifier Storage Tank Erection T-09003</t>
  </si>
  <si>
    <t>Storage Tote Tanks Erection Erection (Spares 4)</t>
  </si>
  <si>
    <t>Offshore Pedestal Crane Erection CR-07001</t>
  </si>
  <si>
    <t>EIT OF TOPSIDE</t>
  </si>
  <si>
    <t>Eletrical</t>
  </si>
  <si>
    <r>
      <rPr>
        <b/>
        <sz val="14"/>
        <color theme="0" tint="-0.499984740745262"/>
        <rFont val="Aptos Narrow"/>
        <family val="2"/>
      </rPr>
      <t>吨</t>
    </r>
    <r>
      <rPr>
        <b/>
        <sz val="14"/>
        <color theme="0" tint="-0.499984740745262"/>
        <rFont val="Aptos Narrow"/>
        <family val="2"/>
      </rPr>
      <t>(T)</t>
    </r>
  </si>
  <si>
    <r>
      <rPr>
        <b/>
        <sz val="14"/>
        <color theme="0" tint="-0.499984740745262"/>
        <rFont val="Aptos Narrow"/>
        <family val="2"/>
      </rPr>
      <t>米</t>
    </r>
    <r>
      <rPr>
        <b/>
        <sz val="14"/>
        <color theme="0" tint="-0.499984740745262"/>
        <rFont val="Aptos Narrow"/>
        <family val="2"/>
      </rPr>
      <t>(M)</t>
    </r>
  </si>
  <si>
    <t>QTY</t>
  </si>
  <si>
    <t>WPA01 Eletrical of Topside</t>
  </si>
  <si>
    <t>EL</t>
  </si>
  <si>
    <t>WPA-01 Topside - EL Support</t>
  </si>
  <si>
    <t xml:space="preserve">EE01-1130 </t>
  </si>
  <si>
    <t>Cable Tray / Cable Ladder Sizing</t>
  </si>
  <si>
    <t>TRARY</t>
  </si>
  <si>
    <t>WPA-01 Topside - Electrical Cable Tray Installation</t>
  </si>
  <si>
    <t xml:space="preserve">EE01-1780 </t>
  </si>
  <si>
    <t xml:space="preserve"> Cables Routing Plan/Layout Drawings</t>
  </si>
  <si>
    <t>CABLE</t>
  </si>
  <si>
    <t>WPA-01 Topside - Electrical Cable Pulling</t>
  </si>
  <si>
    <t>EE01-1580</t>
  </si>
  <si>
    <t xml:space="preserve"> Electrical Drawing Index</t>
  </si>
  <si>
    <t>GLAND</t>
  </si>
  <si>
    <t>WPA-01 Topside - Electrical Cable Glanding</t>
  </si>
  <si>
    <t>TERM</t>
  </si>
  <si>
    <t>WPA-01 Topside - Electrical Cable Termination</t>
  </si>
  <si>
    <t>EQUIP</t>
  </si>
  <si>
    <t>WPA-01 Topside - Electrical Distribution Board and Others Installation</t>
  </si>
  <si>
    <t>EIRoom</t>
  </si>
  <si>
    <t>WPA-01 Topside - E&amp;I Room and Battery Box</t>
  </si>
  <si>
    <t>LIGHT</t>
  </si>
  <si>
    <t>WPA-01 Topside - Lighting &amp; Small Power Installation</t>
  </si>
  <si>
    <t>WPA-01 Topside - Solar Panel &amp;  Solar Power System Installation</t>
  </si>
  <si>
    <t>WPA02 Eletrical of Topside</t>
  </si>
  <si>
    <t>WPA-02 Topside - EL Support</t>
  </si>
  <si>
    <t>WPA-02 Topside - Electrical Cable Tray Installation</t>
  </si>
  <si>
    <t>WPA-02 Topside - Electrical Cable Pulling</t>
  </si>
  <si>
    <t>WPA-02 Topside - Electrical  Cable Glanding</t>
  </si>
  <si>
    <t>WPA-02 Topside - Electrical Cable Termination</t>
  </si>
  <si>
    <t>WPA-02 Topside - Electrical Distribution Board and Others Installation</t>
  </si>
  <si>
    <t>WPA-02 Topside - E&amp;I Room and Battery Box</t>
  </si>
  <si>
    <t>WPA-02 Topside - Lighting &amp; Small Power Installation</t>
  </si>
  <si>
    <t>WPA-02 Topside - Solar Panel &amp;  Solar Power System Installation</t>
  </si>
  <si>
    <t>INSTRUMENT OF TOPSIDE</t>
  </si>
  <si>
    <r>
      <rPr>
        <b/>
        <sz val="14"/>
        <color theme="0" tint="-0.499984740745262"/>
        <rFont val="宋体"/>
        <charset val="134"/>
      </rPr>
      <t>米</t>
    </r>
    <r>
      <rPr>
        <b/>
        <sz val="14"/>
        <color theme="0" tint="-0.499984740745262"/>
        <rFont val="Aptos Narrow"/>
        <family val="2"/>
      </rPr>
      <t>(M)</t>
    </r>
  </si>
  <si>
    <t>WPA01 Instrument of Topside</t>
  </si>
  <si>
    <t>IN</t>
  </si>
  <si>
    <t>WPA-01 Topside - IN Support</t>
  </si>
  <si>
    <t xml:space="preserve">IN01-1790 </t>
  </si>
  <si>
    <t>Instrument Location Plan</t>
  </si>
  <si>
    <t>WPA-01 Topside - Instrument Cable Tray Installation</t>
  </si>
  <si>
    <t xml:space="preserve">IN01-1640 </t>
  </si>
  <si>
    <t>Instrument Cable Tray Layout</t>
  </si>
  <si>
    <t>WPA-01 Topside - Instrument Cable Pulling</t>
  </si>
  <si>
    <t>WPA-01 Topside - Instrument Cable Glanding</t>
  </si>
  <si>
    <t>WPA-01 Topside - Instrument Cable Termination</t>
  </si>
  <si>
    <t xml:space="preserve">IN01-1700 </t>
  </si>
  <si>
    <t>Cable Schedule</t>
  </si>
  <si>
    <t>TUBE</t>
  </si>
  <si>
    <t>WPA-01 Topside - Instrument Tubing Installation</t>
  </si>
  <si>
    <t xml:space="preserve">IN01-1730 </t>
  </si>
  <si>
    <t>Multi Cable Transit Schedule</t>
  </si>
  <si>
    <t>PANEL</t>
  </si>
  <si>
    <t>WPA-01 Topside -  Wellhead Control Panel Installation and Alignment</t>
  </si>
  <si>
    <t>CALIB</t>
  </si>
  <si>
    <t>WPA-01 Topside -  Instrument Calibration and Installation</t>
  </si>
  <si>
    <t xml:space="preserve">IN01-1820 </t>
  </si>
  <si>
    <t xml:space="preserve"> Tubing Schedule</t>
  </si>
  <si>
    <t>WPA-01 Topside -  Instrument Junction Boxes and Others Equipment Installation</t>
  </si>
  <si>
    <t>WPA02 Instrument of Topside</t>
  </si>
  <si>
    <t>WPA-02 Topside - IN Support</t>
  </si>
  <si>
    <t>WPA-02 Topside - Instrument Cable Tray Installation</t>
  </si>
  <si>
    <t>WPA-02 Topside - Instrument Cable Pulling</t>
  </si>
  <si>
    <t>WPA-02 Topside - Instrument Cable Glanding</t>
  </si>
  <si>
    <t>WPA-02 Topside - Instrument Cable Termination</t>
  </si>
  <si>
    <t>WPA-02 Topside - Instrument Tubing Installation</t>
  </si>
  <si>
    <t>WPA-02 Topside - Instrument Calibration and Installation</t>
  </si>
  <si>
    <t>WPA-02 Topside -  Wellhead Control Panel Installation and Alignment</t>
  </si>
  <si>
    <t>WPA-02 Topside - Instrument Junction Boxes and Others Equipment Installation</t>
  </si>
  <si>
    <t>Telecommunication OF TOPSIDE</t>
  </si>
  <si>
    <t>Telecom</t>
  </si>
  <si>
    <t>WPA01 Telecomm of Topside</t>
  </si>
  <si>
    <t>TELE</t>
  </si>
  <si>
    <t>WPA-01 Topside - TEL Support</t>
  </si>
  <si>
    <t xml:space="preserve">TE01-1510 </t>
  </si>
  <si>
    <t xml:space="preserve"> Equipment Layout</t>
  </si>
  <si>
    <t>WPA-01 Topside - Telecom Cable Tray Installation</t>
  </si>
  <si>
    <t>TE01-1630</t>
  </si>
  <si>
    <t>TELE  Installation And Mounting Detail</t>
  </si>
  <si>
    <t>WPA-01 Topside - Telecom Cable Pulling</t>
  </si>
  <si>
    <t>WPA-01 Topside - Telecom Cable Glanding</t>
  </si>
  <si>
    <t>WPA-01 Topside - Telecom Cable Termination</t>
  </si>
  <si>
    <t>WPA-01 Topside - Telecom Items/Equipment Installation</t>
  </si>
  <si>
    <t>WPA02 Tele of Topside</t>
  </si>
  <si>
    <t>WPA-02 Topside - TEL Support</t>
  </si>
  <si>
    <t>WPA-02 Topside - Telecom Cable Tray Installation</t>
  </si>
  <si>
    <t>WPA-02 Topside - Telecom Cable Pulling</t>
  </si>
  <si>
    <t>WPA-02 Topside - Telecom Cable Glanding</t>
  </si>
  <si>
    <t>WPA-02 Topside - Telecom Cable Termination</t>
  </si>
  <si>
    <t>WPA-02 Topside -Telecom Items/Equipment Installation</t>
  </si>
  <si>
    <t>PRCOM &amp; RFLO OF JACKET</t>
  </si>
  <si>
    <t>PRECOM &amp; RFLO OF TOPSIDE</t>
  </si>
  <si>
    <t>PCOMM</t>
  </si>
  <si>
    <t>WPA01 Pre-Commissioning and RFLO</t>
  </si>
  <si>
    <t>TEST02</t>
  </si>
  <si>
    <t>Other Testing and Other Discipline Testing</t>
  </si>
  <si>
    <t>PUNCH</t>
  </si>
  <si>
    <t>Pre-commissioning &amp; MC</t>
  </si>
  <si>
    <t>RFLO-WH01</t>
  </si>
  <si>
    <t>WPA02 Pre-Commissioning and RFLO</t>
  </si>
  <si>
    <t>RFLO-WH02</t>
  </si>
  <si>
    <t>Description</t>
  </si>
  <si>
    <t>Delivery
To Site</t>
  </si>
  <si>
    <t>ActivityID</t>
  </si>
  <si>
    <t>Activity Name</t>
  </si>
  <si>
    <t>Planned Duration</t>
  </si>
  <si>
    <t>Start</t>
  </si>
  <si>
    <t>Finish</t>
  </si>
  <si>
    <t>Total Float</t>
  </si>
  <si>
    <t>Calendar</t>
  </si>
  <si>
    <t>DETAILENGINEERINGFORWELLHEADPLATFORMS(WPA01ANDWPA02)(ASKPROJECT)</t>
  </si>
  <si>
    <t>PTTME Office 5dx8h</t>
  </si>
  <si>
    <t>PROJECTMILESTONE</t>
  </si>
  <si>
    <t>MI-1000</t>
  </si>
  <si>
    <t>Project Start, KOM</t>
  </si>
  <si>
    <t>MI-1010</t>
  </si>
  <si>
    <t>P&amp;ID Issue for Review</t>
  </si>
  <si>
    <t>27-Apr-26*</t>
  </si>
  <si>
    <t>MI-1020</t>
  </si>
  <si>
    <t>30% Model Review</t>
  </si>
  <si>
    <t>MI-1030</t>
  </si>
  <si>
    <t>P&amp;ID issue for HAZOP</t>
  </si>
  <si>
    <t>MI-1040</t>
  </si>
  <si>
    <t>HAZID Review Meeting</t>
  </si>
  <si>
    <t>MI-1050</t>
  </si>
  <si>
    <t>HAZOP Review Meeting</t>
  </si>
  <si>
    <t>MI-1060</t>
  </si>
  <si>
    <t>SIL Review Meeting</t>
  </si>
  <si>
    <t>MI-1070</t>
  </si>
  <si>
    <t>Structural - Primary MTO Issue for review</t>
  </si>
  <si>
    <t>26-May-26*</t>
  </si>
  <si>
    <t>MI-1080</t>
  </si>
  <si>
    <t>60% Model Review</t>
  </si>
  <si>
    <t>MI-1090</t>
  </si>
  <si>
    <t>90% Model Review</t>
  </si>
  <si>
    <t>MI-1100</t>
  </si>
  <si>
    <t>Issue all AFC Documents /Drawing</t>
  </si>
  <si>
    <t>MI-1110</t>
  </si>
  <si>
    <t>Design Engineering Compilation</t>
  </si>
  <si>
    <t>GENERALSTUDIES</t>
  </si>
  <si>
    <t>PJ-1000</t>
  </si>
  <si>
    <t>Master Deliverable Register - IFR</t>
  </si>
  <si>
    <t>PJ-1010</t>
  </si>
  <si>
    <t>Master Deliverable Register - AFC</t>
  </si>
  <si>
    <t>PJ-1020</t>
  </si>
  <si>
    <t>Engineering Master Schedule - IFR</t>
  </si>
  <si>
    <t>PJ-1030</t>
  </si>
  <si>
    <t>Engineering Master Schedule - AFC</t>
  </si>
  <si>
    <t>PROCESSANDUTILITIESENGINEERING</t>
  </si>
  <si>
    <t>PR-1000</t>
  </si>
  <si>
    <t>Process Basis of Design - IFR</t>
  </si>
  <si>
    <t>PR-1010</t>
  </si>
  <si>
    <t>Process Basis of Design - IFA</t>
  </si>
  <si>
    <t>PR-1020</t>
  </si>
  <si>
    <t>Process Basis of Design - AFC</t>
  </si>
  <si>
    <t>PR-1090</t>
  </si>
  <si>
    <t>Process Simulation Report - IFR</t>
  </si>
  <si>
    <t>PR-1100</t>
  </si>
  <si>
    <t>Process Simulation Report - AFC</t>
  </si>
  <si>
    <t>PR-1110</t>
  </si>
  <si>
    <t>Utility Balance and Consumption Report - IFR</t>
  </si>
  <si>
    <t>PR-1120</t>
  </si>
  <si>
    <t>Utility Balance and Consumption Report - AFC</t>
  </si>
  <si>
    <t>PR-1130</t>
  </si>
  <si>
    <t>AIV And FIV Study Report - IFR</t>
  </si>
  <si>
    <t>PR-1140</t>
  </si>
  <si>
    <t>AIV And FIV Study Report - AFC</t>
  </si>
  <si>
    <t>PR-1150</t>
  </si>
  <si>
    <t>Depressurization and Low Temperature Study Report - IFR</t>
  </si>
  <si>
    <t>PR-1160</t>
  </si>
  <si>
    <t>Depressurization and Low Temperature Study Report - AFC</t>
  </si>
  <si>
    <t>PR-1170</t>
  </si>
  <si>
    <t>Vent Sizing and Relief Load Report - IFR</t>
  </si>
  <si>
    <t>PR-1180</t>
  </si>
  <si>
    <t>Vent Sizing and Relief Load Report - AFC</t>
  </si>
  <si>
    <t>PR-1190</t>
  </si>
  <si>
    <t>Instrument Gas System Study Report - IFR</t>
  </si>
  <si>
    <t>PR-1200</t>
  </si>
  <si>
    <t>Instrument Gas System Study Report - AFC</t>
  </si>
  <si>
    <t>PR-1201</t>
  </si>
  <si>
    <t>Produced Water Study Report - IFR</t>
  </si>
  <si>
    <t>PR-1202</t>
  </si>
  <si>
    <t>Produced Water Study Report - AFC</t>
  </si>
  <si>
    <t>PR-1210</t>
  </si>
  <si>
    <t>Topside Dynamic Overpressure Protection Study Report - IFR</t>
  </si>
  <si>
    <t>PR-1220</t>
  </si>
  <si>
    <t>Topside Dynamic Overpressure Protection Study Report - AFC</t>
  </si>
  <si>
    <t>PR-1230</t>
  </si>
  <si>
    <t>Process Line List - IFR</t>
  </si>
  <si>
    <t>PR-1240</t>
  </si>
  <si>
    <t>Process Line List - AFC</t>
  </si>
  <si>
    <t>PR-1250</t>
  </si>
  <si>
    <t>ESD Logic Diagram - IFR</t>
  </si>
  <si>
    <t>PR-1260</t>
  </si>
  <si>
    <t>ESD Logic Diagram - AFC</t>
  </si>
  <si>
    <t>PR-1270</t>
  </si>
  <si>
    <t>Operating, Control, Shutdown and Black Start Philosophy - IFR</t>
  </si>
  <si>
    <t>PR-1280</t>
  </si>
  <si>
    <t>Operating, Control, Shutdown and Black Start Philosophy - AFC</t>
  </si>
  <si>
    <t>PR-1290</t>
  </si>
  <si>
    <t>Isolation Philosophy - IFR</t>
  </si>
  <si>
    <t>PR-1300</t>
  </si>
  <si>
    <t>Isolation Philosophy - AFC</t>
  </si>
  <si>
    <t>PR-1310</t>
  </si>
  <si>
    <t>Vent and Drain Philosophy - AFC</t>
  </si>
  <si>
    <t>PR-1320</t>
  </si>
  <si>
    <t>Process Control Narrative - AFC</t>
  </si>
  <si>
    <t>PR-1330</t>
  </si>
  <si>
    <t>Process Flow Diagram (WP01) (1 Sheet) - IFR</t>
  </si>
  <si>
    <t>PR-1340</t>
  </si>
  <si>
    <t>Process Flow Diagram (WP01) (1 Sheet) - IFA</t>
  </si>
  <si>
    <t>PR-1350</t>
  </si>
  <si>
    <t>Process Flow Diagram (WP01) (1 Sheet)  - AFC</t>
  </si>
  <si>
    <t>PR-1360</t>
  </si>
  <si>
    <t>Utility Flow Diagram (WP01) (4 Sheets) - IFR</t>
  </si>
  <si>
    <t>PR-1370</t>
  </si>
  <si>
    <t>Utility Flow Diagram (WP01) (4 Sheets) - IFA</t>
  </si>
  <si>
    <t>PR-1380</t>
  </si>
  <si>
    <t>Utility Flow Diagram (WP01) (4 Sheets) - AFC</t>
  </si>
  <si>
    <t>PR-1390</t>
  </si>
  <si>
    <t>Process Flow Diagram (WP02) (3 Sheets) - IFR</t>
  </si>
  <si>
    <t>PR-1400</t>
  </si>
  <si>
    <t>Process Flow Diagram (WP02) (3 Sheets) - IFA</t>
  </si>
  <si>
    <t>PR-1410</t>
  </si>
  <si>
    <t>Process Flow Diagram (WP02) (3 Sheets)- AFC</t>
  </si>
  <si>
    <t>PR-1420</t>
  </si>
  <si>
    <t>Utility Flow Diagram (WP02) (4 Sheets) - IFR</t>
  </si>
  <si>
    <t>PR-1430</t>
  </si>
  <si>
    <t>Utility Flow Diagram (WP02) (4 Sheets) - IFA</t>
  </si>
  <si>
    <t>PR-1440</t>
  </si>
  <si>
    <t>Utility Flow Diagram (WP02) (4 Sheets) - AFC</t>
  </si>
  <si>
    <t>PR-1450</t>
  </si>
  <si>
    <t>Piping &amp; Instrumentation Diagram (10 Sheets) - IFR</t>
  </si>
  <si>
    <t>PR-1460</t>
  </si>
  <si>
    <t>Piping &amp; Instrumentation Diagram (10 Sheets) - IFA</t>
  </si>
  <si>
    <t>PR-1470</t>
  </si>
  <si>
    <t>Piping &amp; Instrumentation Diagram (10 Sheets) - AFC</t>
  </si>
  <si>
    <t>PR-1480</t>
  </si>
  <si>
    <t>Piping &amp; Instrumentation Diagram (WP01) (19 Sheets) - IFR</t>
  </si>
  <si>
    <t>PR-1490</t>
  </si>
  <si>
    <t>Piping &amp; Instrumentation Diagram (WP01) (19 Sheets) - IFA</t>
  </si>
  <si>
    <t>PR-1500</t>
  </si>
  <si>
    <t>Piping &amp; Instrumentation Diagram (WP01) (19 Sheets) - AFC</t>
  </si>
  <si>
    <t>PR-1510</t>
  </si>
  <si>
    <t>Piping &amp; Instrumentation Diagram (WP02) (10 Sheets) - IFR</t>
  </si>
  <si>
    <t>PR-1520</t>
  </si>
  <si>
    <t>Piping &amp; Instrumentation Diagram (WP02) (26 Sheets) - IFA</t>
  </si>
  <si>
    <t>PR-1530</t>
  </si>
  <si>
    <t>Piping &amp; Instrumentation Diagram (WP02) (26 Sheets) - AFC</t>
  </si>
  <si>
    <t>PR-1540</t>
  </si>
  <si>
    <t>Heat and Material Balance for WP01 - IFR</t>
  </si>
  <si>
    <t>PR-1550</t>
  </si>
  <si>
    <t>Heat and Material Balance for WP01 - AFC</t>
  </si>
  <si>
    <t>PR-1560</t>
  </si>
  <si>
    <t>Heat and Material Balance for WP02 - IFR</t>
  </si>
  <si>
    <t>PR-1570</t>
  </si>
  <si>
    <t>Heat and Material Balance for WP02 - AFC</t>
  </si>
  <si>
    <t>PR-1580</t>
  </si>
  <si>
    <t>Flow Assurance Basis of Design - IFR</t>
  </si>
  <si>
    <t>PR-1590</t>
  </si>
  <si>
    <t>Flow Assurance Basis of Design - IFA</t>
  </si>
  <si>
    <t>PR-1600</t>
  </si>
  <si>
    <t>Flow Assurance Basis of Design - AFC</t>
  </si>
  <si>
    <t>PR-1610</t>
  </si>
  <si>
    <t>Steady State Flow Assurance Study Report - IFR</t>
  </si>
  <si>
    <t>PR-1620</t>
  </si>
  <si>
    <t>Steady State Flow Assurance Study Report - AFC</t>
  </si>
  <si>
    <t>PR-1630</t>
  </si>
  <si>
    <t>Transient Flow Assurance Study Report - IFR</t>
  </si>
  <si>
    <t>PR-1640</t>
  </si>
  <si>
    <t>Transient Flow Assurance Study Report - IFA</t>
  </si>
  <si>
    <t>PR-1650</t>
  </si>
  <si>
    <t>Transient Flow Assurance Study Report - AFC</t>
  </si>
  <si>
    <t>ProcessCalculationNote</t>
  </si>
  <si>
    <t>PR-1660</t>
  </si>
  <si>
    <t>Process Calculation Note for Line Sizing  - IFR</t>
  </si>
  <si>
    <t>PR-1670</t>
  </si>
  <si>
    <t>Process Calculation Note for Line Sizing - AFC</t>
  </si>
  <si>
    <t>PR-1680</t>
  </si>
  <si>
    <t>Process Calculation Note for Test Separator Sizing - IFR</t>
  </si>
  <si>
    <t>PR-1690</t>
  </si>
  <si>
    <t>Process Calculation Note for Test Separator Sizing - AFC</t>
  </si>
  <si>
    <t>PR-1700</t>
  </si>
  <si>
    <t>Process Calculation Note for Production Separator (V-01001) - IFR</t>
  </si>
  <si>
    <t>PR-1710</t>
  </si>
  <si>
    <t>Process Calculation Note for Production Separator (V-01001) - AFC</t>
  </si>
  <si>
    <t>PR-1720</t>
  </si>
  <si>
    <t>Process Calculation Note for Skim Tank Vessel (V-10002) - IFR</t>
  </si>
  <si>
    <t>PR-1730</t>
  </si>
  <si>
    <t>Process Calculation Note for Skim Tank Vessel (V-10002) - AFC</t>
  </si>
  <si>
    <t>PR-1740</t>
  </si>
  <si>
    <t>Process Calculation Note for Degasser - IFR</t>
  </si>
  <si>
    <t>PR-1750</t>
  </si>
  <si>
    <t>Process Calculation Note for Degasser - AFC</t>
  </si>
  <si>
    <t>PR-1760</t>
  </si>
  <si>
    <t>Process Calculation Note for Closed Drain Sump Vessel Sizing (V-05001) - IFR</t>
  </si>
  <si>
    <t>PR-1770</t>
  </si>
  <si>
    <t>Process Calculation Note for Closed Drain Sump Vessel Sizing (V-05001) - AFC</t>
  </si>
  <si>
    <t>PR-1780</t>
  </si>
  <si>
    <t>Process Calculation Note for Closed Drain Sump Pump Sizing (P-05001) - IFR</t>
  </si>
  <si>
    <t>PR-1790</t>
  </si>
  <si>
    <t>Process Calculation Note for Closed Drain Sump Pump Sizing (P-05001) - AFC</t>
  </si>
  <si>
    <t>PR-1800</t>
  </si>
  <si>
    <t>Process Calculation Note for Open Drain Caisson Tank (T-05003) - IFR</t>
  </si>
  <si>
    <t>PR-1810</t>
  </si>
  <si>
    <t>Process Calculation Note for Open Drain Caisson Tank (T-05003) - AFC</t>
  </si>
  <si>
    <t>PR-1820</t>
  </si>
  <si>
    <t>Process Calculation Note for Open Drain Caisson Pump - IFR</t>
  </si>
  <si>
    <t>PR-1830</t>
  </si>
  <si>
    <t>Process Calculation Note for Open Drain Caisson Pump - AFC</t>
  </si>
  <si>
    <t>PR-1840</t>
  </si>
  <si>
    <t>Process Calculation Note for Recovered Water Pump  (P-05002) - IFR</t>
  </si>
  <si>
    <t>PR-1850</t>
  </si>
  <si>
    <t>Process Calculation Note for Recovered Water Pump  (P-05002) - AFC</t>
  </si>
  <si>
    <t>PR-1860</t>
  </si>
  <si>
    <t>Process Calculation Note for Instrument Gas Filter Coalescer and Stand Pipe Sizing - IFR</t>
  </si>
  <si>
    <t>PR-1870</t>
  </si>
  <si>
    <t>Process Calculation Note for Instrument Gas Filter Coalescer and Stand Pipe Sizing - AFC</t>
  </si>
  <si>
    <t>PR-1880</t>
  </si>
  <si>
    <t>Process Calculation Note for Corrosion Inhibitor/Volatile Corrosion Inhibitor Tank and Pump Sizing  - IFR</t>
  </si>
  <si>
    <t>PR-1890</t>
  </si>
  <si>
    <t>Process Calculation Note for Corrosion Inhibitor/Volatile Corrosion Inhibitor Tank and Pump Sizing - AFC</t>
  </si>
  <si>
    <t>PR-1900</t>
  </si>
  <si>
    <t>Process Calculation Note for Demulsifier / Water Clarifier Tank and Pump Sizing - IFR</t>
  </si>
  <si>
    <t>PR-1910</t>
  </si>
  <si>
    <t>Process Calculation Note for Demulsifier / Water Clarifier Tank and Pump Sizing - AFC</t>
  </si>
  <si>
    <t>PR-1920</t>
  </si>
  <si>
    <t>Process Calculation Note for Biocide Tank and Pump Sizing (Provision) - IFR</t>
  </si>
  <si>
    <t>PR-1930</t>
  </si>
  <si>
    <t>Process Calculation Note for Biocide Tank and Pump Sizing (Provision) - AFC</t>
  </si>
  <si>
    <t>PR-1940</t>
  </si>
  <si>
    <t>Process Calculation Note for Diesel Tote Tank, Day Tank and Diesel Transfer Pump - IFR</t>
  </si>
  <si>
    <t>PR-1950</t>
  </si>
  <si>
    <t>Process Calculation Note for Diesel Tote Tank, Day Tank and Diesel Transfer Pump - AFC</t>
  </si>
  <si>
    <t>PR-1960</t>
  </si>
  <si>
    <t>Process Calculation Note for Fresh Water Tote Tank - IFR</t>
  </si>
  <si>
    <t>PR-1970</t>
  </si>
  <si>
    <t>Process Calculation Note for Fresh Water Tote Tank - AFC</t>
  </si>
  <si>
    <t>PR-1980</t>
  </si>
  <si>
    <t>Process Calculation Note for Choke Valve Sizing - IFR</t>
  </si>
  <si>
    <t>PR-1990</t>
  </si>
  <si>
    <t>Process Calculation Note for Choke Valve Sizing - AFC</t>
  </si>
  <si>
    <t>PR-2000</t>
  </si>
  <si>
    <t>Process Calculation Note for Control Valve Sizing - IFR</t>
  </si>
  <si>
    <t>PR-2010</t>
  </si>
  <si>
    <t>Process Calculation Note for Control Valve Sizing - AFC</t>
  </si>
  <si>
    <t>PR-2020</t>
  </si>
  <si>
    <t>Process Calculation Note for RO Sizing - IFR</t>
  </si>
  <si>
    <t>PR-2030</t>
  </si>
  <si>
    <t>Process Calculation Note for RO Sizing - AFC</t>
  </si>
  <si>
    <t>PR-2040</t>
  </si>
  <si>
    <t>Process Calculation Note for PSV Sizing - IFR</t>
  </si>
  <si>
    <t>PR-2050</t>
  </si>
  <si>
    <t>Process Calculation Note for PSV Sizing - AFC</t>
  </si>
  <si>
    <t>PR-2060</t>
  </si>
  <si>
    <t>Process Calculation Note - Depressurization and Blowdown - IFR</t>
  </si>
  <si>
    <t>PR-2070</t>
  </si>
  <si>
    <t>Process Calculation Note - Depressurization and Blowdown - AFC</t>
  </si>
  <si>
    <t>MECHANICALENGINEERING</t>
  </si>
  <si>
    <t>ME-1000</t>
  </si>
  <si>
    <t>Mechanical Basis of Design - IFR</t>
  </si>
  <si>
    <t>ME-1010</t>
  </si>
  <si>
    <t>Mechanical Basis of Design - AFC</t>
  </si>
  <si>
    <t>ME-1020</t>
  </si>
  <si>
    <t>Material Handling Study Reports - IFR</t>
  </si>
  <si>
    <t>ME-1030</t>
  </si>
  <si>
    <t>Material Handling Study Reports - AFC</t>
  </si>
  <si>
    <t>ME-1040</t>
  </si>
  <si>
    <t>WPA01 Mechanical Equipment List - IFR</t>
  </si>
  <si>
    <t>ME-1050</t>
  </si>
  <si>
    <t>WPA01 Mechanical Equipment List - AFC</t>
  </si>
  <si>
    <t>ME-1060</t>
  </si>
  <si>
    <t>WPA02 Mechanical Equipment List - IFR</t>
  </si>
  <si>
    <t>ME-1070</t>
  </si>
  <si>
    <t>WPA02 Mechanical Equipment List - AFC</t>
  </si>
  <si>
    <t>ME-1080</t>
  </si>
  <si>
    <t>Project Particular Specification for Test and Production Separators - IFR</t>
  </si>
  <si>
    <t>ME-1090</t>
  </si>
  <si>
    <t>Project Particular Specification for Test and Production Separators - AFC</t>
  </si>
  <si>
    <t>ME-1100</t>
  </si>
  <si>
    <t>Project Particular Specification for Instrument Gas Filter coalescers - IFR</t>
  </si>
  <si>
    <t>ME-1110</t>
  </si>
  <si>
    <t>Project Particular Specification for Instrument Gas Filter coalescers - AFC</t>
  </si>
  <si>
    <t>ME-1120</t>
  </si>
  <si>
    <t>Project Particular Specification for Storage Tote Tanks - IFR</t>
  </si>
  <si>
    <t>ME-1130</t>
  </si>
  <si>
    <t>Project Particular Specification for Storage Tote Tanks - AFC</t>
  </si>
  <si>
    <t>ME-1140</t>
  </si>
  <si>
    <t>Project Particular Specification for Storage Tanks - IFR</t>
  </si>
  <si>
    <t>ME-1150</t>
  </si>
  <si>
    <t>Project Particular Specification for Storage Tanks - AFC</t>
  </si>
  <si>
    <t>ME-1160</t>
  </si>
  <si>
    <t>Project Particular Specification for Chemical Injection Pumps Package - IFR</t>
  </si>
  <si>
    <t>ME-1170</t>
  </si>
  <si>
    <t>Project Particular Specification for Chemical Injection Pumps Package - AFC</t>
  </si>
  <si>
    <t>ME-1180</t>
  </si>
  <si>
    <t>Project Particular Specification for Diesel Oil Transfer Pump Package - IFR</t>
  </si>
  <si>
    <t>ME-1190</t>
  </si>
  <si>
    <t>Project Particular Specification for Diesel Oil Transfer Pump Package - AFC</t>
  </si>
  <si>
    <t>ME-1200</t>
  </si>
  <si>
    <t>Project Particular Specification for Offshore Pedestal Crane - IFR</t>
  </si>
  <si>
    <t>ME-1210</t>
  </si>
  <si>
    <t>Project Particular Specification for Offshore Pedestal Crane - AFC</t>
  </si>
  <si>
    <t>ME-1220</t>
  </si>
  <si>
    <t>Project Particular Specification for Closed Drain Sump Vessels - IFR</t>
  </si>
  <si>
    <t>ME-1230</t>
  </si>
  <si>
    <t>Project Particular Specification for Closed Drain Sump Vessels - AFC</t>
  </si>
  <si>
    <t>ME-1240</t>
  </si>
  <si>
    <t>Project Particular Specification for Closed Drain Sump and Recovered Water Pump Package - IFR</t>
  </si>
  <si>
    <t>ME-1250</t>
  </si>
  <si>
    <t>Project Particular Specification for Closed Drain Sump and Recovered Water Pump Package - AFC</t>
  </si>
  <si>
    <t>ME-1260</t>
  </si>
  <si>
    <t>Project Particular Specification for Material Handling Equipment - IFR</t>
  </si>
  <si>
    <t>ME-1270</t>
  </si>
  <si>
    <t>Project Particular Specification for Material Handling Equipment - AFC</t>
  </si>
  <si>
    <t>ME-1280</t>
  </si>
  <si>
    <t>Project Particular Specification for Deoiler Hydro cyclone Package - IFR</t>
  </si>
  <si>
    <t>ME-1290</t>
  </si>
  <si>
    <t>Project Particular Specification for Deoiler Hydro cyclone Package - AFC</t>
  </si>
  <si>
    <t>ME-1300</t>
  </si>
  <si>
    <t>Project Particular Specification for Degasser Drum - IFR</t>
  </si>
  <si>
    <t>ME-1310</t>
  </si>
  <si>
    <t>Project Particular Specification for Degasser Drum - AFC</t>
  </si>
  <si>
    <t>ME-1320</t>
  </si>
  <si>
    <t>Project Particular Specification for Skim Tank Vessel - IFR</t>
  </si>
  <si>
    <t>ME-1330</t>
  </si>
  <si>
    <t>Project Particular Specification for Skim Tank Vessel - AFC</t>
  </si>
  <si>
    <t>ME-1340</t>
  </si>
  <si>
    <t>Project Particular Specification for Open Drain Caisson Pump Package - IFR</t>
  </si>
  <si>
    <t>ME-1350</t>
  </si>
  <si>
    <t>Project Particular Specification for Open Drain Caisson Pump Package - AFC</t>
  </si>
  <si>
    <t>ME-2510</t>
  </si>
  <si>
    <t>Criticality Rating Report for Equipment - IFR</t>
  </si>
  <si>
    <t>ME-2520</t>
  </si>
  <si>
    <t>Criticality Rating Report for Equipment - AFC</t>
  </si>
  <si>
    <t>Datasheets-Mechanical</t>
  </si>
  <si>
    <t>ME-1360</t>
  </si>
  <si>
    <t>Mechanical Datasheet for Corrosion Inhibitor Storage Tank  (T-09001) - IFR</t>
  </si>
  <si>
    <t>ME-1370</t>
  </si>
  <si>
    <t>Mechanical Datasheet for Corrosion Inhibitor Storage Tank  (T-09001) - IFA</t>
  </si>
  <si>
    <t>ME-1380</t>
  </si>
  <si>
    <t>Mechanical Datasheet for Corrosion Inhibitor Storage Tank  (T-09001) - AFC</t>
  </si>
  <si>
    <t>ME-1390</t>
  </si>
  <si>
    <t>Mechanical Datasheet for Corrosion Inhibitor Storage Tote Tank (T-09011) - IFR</t>
  </si>
  <si>
    <t>ME-1400</t>
  </si>
  <si>
    <t>Mechanical Datasheet for Corrosion Inhibitor Storage Tote Tank (T-09011) - IFA</t>
  </si>
  <si>
    <t>ME-1410</t>
  </si>
  <si>
    <t>Mechanical Datasheet for Corrosion Inhibitor Storage Tote Tank (T-09011) - AFC</t>
  </si>
  <si>
    <t>ME-1420</t>
  </si>
  <si>
    <t>Mechanical Datasheet for Utility Water Storage Tote Tank (T-07003, T-07013) - IFR</t>
  </si>
  <si>
    <t>ME-1430</t>
  </si>
  <si>
    <t>Mechanical Datasheet for Utility Water Storage Tote Tank (T-07003, T-07013) - IFA</t>
  </si>
  <si>
    <t>ME-1440</t>
  </si>
  <si>
    <t>Mechanical Datasheet for Utility Water Storage Tote Tank (T-07003, T-07013) - AFC</t>
  </si>
  <si>
    <t>ME-1450</t>
  </si>
  <si>
    <t>Mechanical Datasheet for Diesel Storage Tote Tank (T-07001,T-07011) - IFR</t>
  </si>
  <si>
    <t>ME-1460</t>
  </si>
  <si>
    <t>Mechanical Datasheet for Diesel Storage Tote Tank (T-07001,T-07011) - IFA</t>
  </si>
  <si>
    <t>ME-1470</t>
  </si>
  <si>
    <t>Mechanical Datasheet for Diesel Storage Tote Tank (T-07001,T-07011) - AFC</t>
  </si>
  <si>
    <t>ME-1480</t>
  </si>
  <si>
    <t>Mechanical Datasheet for Offshore Pedestal Crane CR-07001 - IFR</t>
  </si>
  <si>
    <t>ME-1490</t>
  </si>
  <si>
    <t>Mechanical Datasheet for Offshore Pedestal Crane CR-07001 - IFA</t>
  </si>
  <si>
    <t>ME-1500</t>
  </si>
  <si>
    <t>Mechanical Datasheet for Offshore Pedestal Crane CR-07001 - AFC</t>
  </si>
  <si>
    <t>ME-1540</t>
  </si>
  <si>
    <t>Mechanical Datasheet for Instrument Gas Filter coalescer (V-03001) - IFR</t>
  </si>
  <si>
    <t>ME-1550</t>
  </si>
  <si>
    <t>Mechanical Datasheet for Instrument Gas Filter coalescer (V-03001) - IFA</t>
  </si>
  <si>
    <t>ME-1560</t>
  </si>
  <si>
    <t>Mechanical Datasheet for Instrument Gas Filter coalescer (V-03001) - AFC</t>
  </si>
  <si>
    <t>ME-1570</t>
  </si>
  <si>
    <t>Mechanical Datasheet for Diesel Transfer Pump Package (Sk-07001) - IFR</t>
  </si>
  <si>
    <t>ME-1580</t>
  </si>
  <si>
    <t>Mechanical Datasheet for Diesel Transfer Pump Package (Sk-07001) - IFA</t>
  </si>
  <si>
    <t>ME-1590</t>
  </si>
  <si>
    <t>Mechanical Datasheet for Diesel Transfer Pump Package (Sk-07001) - AFC</t>
  </si>
  <si>
    <t>ME-1600</t>
  </si>
  <si>
    <t>WPA01 Mechanical Datasheet for Test Separator (V-01001) - IFR</t>
  </si>
  <si>
    <t>ME-1610</t>
  </si>
  <si>
    <t>WPA01 Mechanical Datasheet for Test Separator (V-01001) - IFA</t>
  </si>
  <si>
    <t>ME-1620</t>
  </si>
  <si>
    <t>WPA01 Mechanical Datasheet for Test Separator (V-01001) - AFC</t>
  </si>
  <si>
    <t>ME-1660</t>
  </si>
  <si>
    <t>WPA01 Mechanical Datasheet for Corrosion Inhibitor Injection Pump Package SK-09001 - IFR</t>
  </si>
  <si>
    <t>ME-1670</t>
  </si>
  <si>
    <t>WPA01 Mechanical Datasheet for Corrosion Inhibitor Injection Pump Package SK-09001 - IFA</t>
  </si>
  <si>
    <t>ME-1680</t>
  </si>
  <si>
    <t>WPA01 Mechanical Datasheet for Corrosion Inhibitor Injection Pump Package SK-09001 - AFC</t>
  </si>
  <si>
    <t>ME-1720</t>
  </si>
  <si>
    <t>WPA01 Mechanical Datasheet for Closed Drain Sump Vessel (V-05001) - IFR</t>
  </si>
  <si>
    <t>ME-1730</t>
  </si>
  <si>
    <t>WPA01 Mechanical Datasheet for Closed Drain Sump Vessel (V-05001) - IFA</t>
  </si>
  <si>
    <t>ME-1740</t>
  </si>
  <si>
    <t>WPA01 Mechanical Datasheet for Closed Drain Sump Vessel (V-05001) - AFC</t>
  </si>
  <si>
    <t>ME-1750</t>
  </si>
  <si>
    <t>WPA01 Mechanical Datasheet for Closed Drain Sump Pump (P-05001) - IFR</t>
  </si>
  <si>
    <t>ME-1760</t>
  </si>
  <si>
    <t>WPA01 Mechanical Datasheet for Closed Drain Sump Pump (P-05001) - IFA</t>
  </si>
  <si>
    <t>ME-1770</t>
  </si>
  <si>
    <t>WPA01 Mechanical Datasheet for Closed Drain Sump Pump (P-05001) - AFC</t>
  </si>
  <si>
    <t>ME-1780</t>
  </si>
  <si>
    <t>WPA01 Mechanical Datasheet for Material Handling Equipment - IFR</t>
  </si>
  <si>
    <t>ME-1790</t>
  </si>
  <si>
    <t>WPA01 Mechanical Datasheet for Material Handling Equipment - IFA</t>
  </si>
  <si>
    <t>ME-1800</t>
  </si>
  <si>
    <t>WPA01 Mechanical Datasheet for Material Handling Equipment - AFC</t>
  </si>
  <si>
    <t>ME-1810</t>
  </si>
  <si>
    <t>WPA02 Mechanical Datasheet for Test Separator (V-01001) - IFR</t>
  </si>
  <si>
    <t>ME-1820</t>
  </si>
  <si>
    <t>WPA02 Mechanical Datasheet for Test Separator (V-01001) - IFA</t>
  </si>
  <si>
    <t>ME-1830</t>
  </si>
  <si>
    <t>WPA02 Mechanical Datasheet for Test Separator (V-01001) - AFC</t>
  </si>
  <si>
    <t>ME-1840</t>
  </si>
  <si>
    <t>WPA02 Mechanical Datasheet for Production Separator (V-10001) - IFR</t>
  </si>
  <si>
    <t>ME-1850</t>
  </si>
  <si>
    <t>WPA02 Mechanical Datasheet for Production Separator (V-10001) - IFA</t>
  </si>
  <si>
    <t>ME-1860</t>
  </si>
  <si>
    <t>WPA02 Mechanical Datasheet for Production Separator (V-10001) - AFC</t>
  </si>
  <si>
    <t>ME-1900</t>
  </si>
  <si>
    <t>WPA02 Mechanical Datasheet for De-mulsifier / Water Clarifier Storage Tank (T-09003) - IFR</t>
  </si>
  <si>
    <t>ME-1910</t>
  </si>
  <si>
    <t>WPA02 Mechanical Datasheet for De-mulsifier / Water Clarifier Storage Tank (T-09003) - IFA</t>
  </si>
  <si>
    <t>ME-1920</t>
  </si>
  <si>
    <t>WPA02 Mechanical Datasheet for De-mulsifier / Water Clarifier Storage Tank (T-09003) - AFC</t>
  </si>
  <si>
    <t>ME-1930</t>
  </si>
  <si>
    <t>WPA02 Mechanical Datasheet for De-mulsifier / Water Clarifier Storage Tote Tank (T-09013) - IFR</t>
  </si>
  <si>
    <t>ME-1940</t>
  </si>
  <si>
    <t>WPA02 Mechanical Datasheet for De-mulsifier / Water Clarifier Storage Tote Tank (T-09013) - IFA</t>
  </si>
  <si>
    <t>ME-1950</t>
  </si>
  <si>
    <t>WPA02 Mechanical Datasheet for De-mulsifier / Water Clarifier Storage Tote Tank (T-09013) - AFC</t>
  </si>
  <si>
    <t>ME-1960</t>
  </si>
  <si>
    <t>WPA02 Mechanical Datasheet for Chemical Injection Pumps Package SK-09001 - IFR</t>
  </si>
  <si>
    <t>ME-1970</t>
  </si>
  <si>
    <t>WPA02 Mechanical Datasheet for Chemical Injection Pumps Package SK-09001 - IFA</t>
  </si>
  <si>
    <t>ME-1980</t>
  </si>
  <si>
    <t>WPA02 Mechanical Datasheet for Chemical Injection Pumps Package SK-09001 - AFC</t>
  </si>
  <si>
    <t>ME-2020</t>
  </si>
  <si>
    <t>WPA02 Mechanical Datasheet for Closed Drain Sump Vessel (V-05001) - IFR</t>
  </si>
  <si>
    <t>ME-2030</t>
  </si>
  <si>
    <t>WPA02 Mechanical Datasheet for Closed Drain Sump Vessel (V-05001) - IFA</t>
  </si>
  <si>
    <t>ME-2040</t>
  </si>
  <si>
    <t>WPA02 Mechanical Datasheet for Closed Drain Sump Vessel (V-05001) - AFC</t>
  </si>
  <si>
    <t>ME-2050</t>
  </si>
  <si>
    <t>WPA02 Mechanical Datasheet for Closed Drain Sump Pump and Recovery Water Pump (SK-05001) - IFR</t>
  </si>
  <si>
    <t>ME-2060</t>
  </si>
  <si>
    <t>WPA02 Mechanical Datasheet for Closed Drain Sump Pump and Recovery Water Pump (SK-05001) - IFA</t>
  </si>
  <si>
    <t>ME-2070</t>
  </si>
  <si>
    <t>WPA02 Mechanical Datasheet for Closed Drain Sump Pump and Recovery Water Pump (SK-05001) - AFC</t>
  </si>
  <si>
    <t>ME-2080</t>
  </si>
  <si>
    <t>WPA02 Mechanical Datasheet for Material Handling Equipment - IFR</t>
  </si>
  <si>
    <t>ME-2090</t>
  </si>
  <si>
    <t>WPA02 Mechanical Datasheet for Material Handling Equipment - IFA</t>
  </si>
  <si>
    <t>ME-2100</t>
  </si>
  <si>
    <t>WPA02 Mechanical Datasheet for Material Handling Equipment - AFC</t>
  </si>
  <si>
    <t>ME-2110</t>
  </si>
  <si>
    <t>WPA02 Mechanical Datasheet for Skim Tank Vessel (V-10002) - IFR</t>
  </si>
  <si>
    <t>ME-2120</t>
  </si>
  <si>
    <t>WPA02 Mechanical Datasheet for Skim Tank Vessel (V-10002) - IFA</t>
  </si>
  <si>
    <t>ME-2130</t>
  </si>
  <si>
    <t>WPA02 Mechanical Datasheet for Skim Tank Vessel (V-10002) - AFC</t>
  </si>
  <si>
    <t>ME-2140</t>
  </si>
  <si>
    <t>WPA02 Mechanical Datasheet for Deoiler Hydro cyclone Package (SK-11001) - IFR</t>
  </si>
  <si>
    <t>ME-2150</t>
  </si>
  <si>
    <t>WPA02 Mechanical Datasheet for Deoiler Hydro cyclone Package (SK-11001) - IFA</t>
  </si>
  <si>
    <t>ME-2160</t>
  </si>
  <si>
    <t>WPA02 Mechanical Datasheet for Deoiler Hydro cyclone Package (SK-11001) - AFC</t>
  </si>
  <si>
    <t>ME-2170</t>
  </si>
  <si>
    <t>WPA02 Mechanical Datasheet for Degasser Drum (V-11003) - IFR</t>
  </si>
  <si>
    <t>ME-2180</t>
  </si>
  <si>
    <t>WPA02 Mechanical Datasheet for Degasser Drum (V-11003) - IFA</t>
  </si>
  <si>
    <t>ME-2190</t>
  </si>
  <si>
    <t>WPA02 Mechanical Datasheet for Degasser Drum (V-11003) - AFC</t>
  </si>
  <si>
    <t>ME-2200</t>
  </si>
  <si>
    <t>WPA02 Mechanical Datasheet for Open Drain Caisson Pump Package SK-05003) - IFR</t>
  </si>
  <si>
    <t>ME-2210</t>
  </si>
  <si>
    <t>WPA02 Mechanical Datasheet for Open Drain Caisson Pump Package SK-05003) - IFA</t>
  </si>
  <si>
    <t>ME-2220</t>
  </si>
  <si>
    <t>WPA02 Mechanical Datasheet for Open Drain Caisson Pump Package SK-05003) - AFC</t>
  </si>
  <si>
    <t>MR-Mechanical</t>
  </si>
  <si>
    <t>ME-2230</t>
  </si>
  <si>
    <t>Material Requisition for Test and Production Separator - IFR</t>
  </si>
  <si>
    <t>ME-2240</t>
  </si>
  <si>
    <t>Material Requisition for Test and Production Separator - AFC</t>
  </si>
  <si>
    <t>ME-2250</t>
  </si>
  <si>
    <t>Material Requisition for Instrument Gas Filter coalescer - IFR</t>
  </si>
  <si>
    <t>ME-2260</t>
  </si>
  <si>
    <t>Material Requisition for Instrument Gas Filter coalescer - AFC</t>
  </si>
  <si>
    <t>ME-2270</t>
  </si>
  <si>
    <t>Material Requisition for Storage Tote Tanks - IFR</t>
  </si>
  <si>
    <t>ME-2280</t>
  </si>
  <si>
    <t>Material Requisition for Storage Tote Tanks - AFC</t>
  </si>
  <si>
    <t>ME-2290</t>
  </si>
  <si>
    <t>Material Requisition for Storage Tanks - IFR</t>
  </si>
  <si>
    <t>ME-2300</t>
  </si>
  <si>
    <t>Material Requisition for Storage Tanks - AFC</t>
  </si>
  <si>
    <t>ME-2310</t>
  </si>
  <si>
    <t>Material Requisition for Chemical Injection Pumps Package - IFR</t>
  </si>
  <si>
    <t>ME-2320</t>
  </si>
  <si>
    <t>Material Requisition for Chemical Injection Pumps Package - AFC</t>
  </si>
  <si>
    <t>ME-2330</t>
  </si>
  <si>
    <t>Material Requisition for Diesel Oil Transfer Pump Package - IFR</t>
  </si>
  <si>
    <t>ME-2340</t>
  </si>
  <si>
    <t>Material Requisition for Diesel Oil Transfer Pump Package - AFC</t>
  </si>
  <si>
    <t>ME-2350</t>
  </si>
  <si>
    <t>Material Requisition for Offshore Pedestal Crane - IFR</t>
  </si>
  <si>
    <t>ME-2360</t>
  </si>
  <si>
    <t>Material Requisition for Offshore Pedestal Crane - AFC</t>
  </si>
  <si>
    <t>ME-2370</t>
  </si>
  <si>
    <t>Material Requisition for Closed Drain Sump Vessel - IFR</t>
  </si>
  <si>
    <t>ME-2380</t>
  </si>
  <si>
    <t>Material Requisition for Closed Drain Sump Vessel - AFC</t>
  </si>
  <si>
    <t>ME-2390</t>
  </si>
  <si>
    <t>Material Requisition for Closed Drain Sump Pump and Recovery Water Pump Package - IFR</t>
  </si>
  <si>
    <t>ME-2400</t>
  </si>
  <si>
    <t>Material Requisition for Closed Drain Sump Pump and Recovery Water Pump Package - AFC</t>
  </si>
  <si>
    <t>ME-2410</t>
  </si>
  <si>
    <t>Material Requisition for Material Handling Equipment - IFR</t>
  </si>
  <si>
    <t>ME-2420</t>
  </si>
  <si>
    <t>Material Requisition for Material Handling Equipment - AFC</t>
  </si>
  <si>
    <t>ME-2430</t>
  </si>
  <si>
    <t>Material Requisition for Deoiler Hydro cyclone Package - IFR</t>
  </si>
  <si>
    <t>ME-2440</t>
  </si>
  <si>
    <t>Material Requisition for Deoiler Hydro cyclone Package - AFC</t>
  </si>
  <si>
    <t>ME-2450</t>
  </si>
  <si>
    <t>Material Requisition for Degasser Drum - IFR</t>
  </si>
  <si>
    <t>ME-2460</t>
  </si>
  <si>
    <t>Material Requisition for Degasser Drum - AFC</t>
  </si>
  <si>
    <t>ME-2470</t>
  </si>
  <si>
    <t>Material Requisition for Skim Tank Vessel - IFR</t>
  </si>
  <si>
    <t>ME-2480</t>
  </si>
  <si>
    <t>Material Requisition for Skim Tank Vessel - AFC</t>
  </si>
  <si>
    <t>ME-2490</t>
  </si>
  <si>
    <t>Material Requisition for Open Drain Caisson Pump - IFR</t>
  </si>
  <si>
    <t>ME-2500</t>
  </si>
  <si>
    <t>Material Requisition for Open Drain Caisson Pump - AFC</t>
  </si>
  <si>
    <t>TBE-Mechanical</t>
  </si>
  <si>
    <t>ME-2530</t>
  </si>
  <si>
    <t>Technical Bid Evaluation for Test and Production Separator - IFR</t>
  </si>
  <si>
    <t>ME-2540</t>
  </si>
  <si>
    <t>Technical Bid Evaluation for Test and Production Separator - AFC</t>
  </si>
  <si>
    <t>ME-2550</t>
  </si>
  <si>
    <t>Technical Bid Evaluation for Instrument Gas Filter coalescer - IFR</t>
  </si>
  <si>
    <t>ME-2560</t>
  </si>
  <si>
    <t>Technical Bid Evaluation for Instrument Gas Filter coalescer - AFC</t>
  </si>
  <si>
    <t>ME-2570</t>
  </si>
  <si>
    <t>Technical Bid Evaluation for Storage Tote Tanks - IFR</t>
  </si>
  <si>
    <t>ME-2580</t>
  </si>
  <si>
    <t>Technical Bid Evaluation for Storage Tote Tanks - AFC</t>
  </si>
  <si>
    <t>ME-2590</t>
  </si>
  <si>
    <t>Technical Bid Evaluation for Storage Tanks - IFR</t>
  </si>
  <si>
    <t>ME-2600</t>
  </si>
  <si>
    <t>Technical Bid Evaluation for Storage Tanks - AFC</t>
  </si>
  <si>
    <t>ME-2610</t>
  </si>
  <si>
    <t>Technical Bid Evaluation for Chemical Injection Pumps Package - IFR</t>
  </si>
  <si>
    <t>ME-2620</t>
  </si>
  <si>
    <t>Technical Bid Evaluation for Chemical Injection Pumps Package - AFC</t>
  </si>
  <si>
    <t>ME-2630</t>
  </si>
  <si>
    <t>Technical Bid Evaluation for Diesel Oil Transfer Pump Package - IFR</t>
  </si>
  <si>
    <t>ME-2640</t>
  </si>
  <si>
    <t>Technical Bid Evaluation for Diesel Oil Transfer Pump Package - AFC</t>
  </si>
  <si>
    <t>ME-2650</t>
  </si>
  <si>
    <t>Technical Bid Evaluation for Offshore Pedestal Crane - IFR</t>
  </si>
  <si>
    <t>ME-2660</t>
  </si>
  <si>
    <t>Technical Bid Evaluation for Offshore Pedestal Crane - AFC</t>
  </si>
  <si>
    <t>ME-2670</t>
  </si>
  <si>
    <t>Technical Bid Evaluation for Closed Drain Sump Vessel - IFR</t>
  </si>
  <si>
    <t>ME-2680</t>
  </si>
  <si>
    <t>Technical Bid Evaluation for Closed Drain Sump Vessel - AFC</t>
  </si>
  <si>
    <t>ME-2690</t>
  </si>
  <si>
    <t>Technical Bid Evaluation for Closed Drain Sump Pump and Recovery Water Pump Package - IFR</t>
  </si>
  <si>
    <t>ME-2700</t>
  </si>
  <si>
    <t>Technical Bid Evaluation for Closed Drain Sump Pump and Recovery Water Pump Package - AFC</t>
  </si>
  <si>
    <t>ME-2710</t>
  </si>
  <si>
    <t>Technical Bid Evaluation for Material Handling Equipment - IFR</t>
  </si>
  <si>
    <t>ME-2720</t>
  </si>
  <si>
    <t>Technical Bid Evaluation for Material Handling Equipment - AFC</t>
  </si>
  <si>
    <t>ME-2730</t>
  </si>
  <si>
    <t>Technical Bid Evaluation for Deoiler Hydro cyclone Package - IFR</t>
  </si>
  <si>
    <t>ME-2740</t>
  </si>
  <si>
    <t>Technical Bid Evaluation for Deoiler Hydro cyclone Package - AFC</t>
  </si>
  <si>
    <t>ME-2750</t>
  </si>
  <si>
    <t>Technical Bid Evaluation for Degasser Drum - IFR</t>
  </si>
  <si>
    <t>ME-2760</t>
  </si>
  <si>
    <t>Technical Bid Evaluation for Degasser Drum - AFC</t>
  </si>
  <si>
    <t>ME-2770</t>
  </si>
  <si>
    <t>Technical Bid Evaluation for Skim Tank Vessel - IFR</t>
  </si>
  <si>
    <t>ME-2780</t>
  </si>
  <si>
    <t>Technical Bid Evaluation for Skim Tank Vessel - AFC</t>
  </si>
  <si>
    <t>ME-2790</t>
  </si>
  <si>
    <t>Technical Bid Evaluation for Open Drain Caisson Pump - IFR</t>
  </si>
  <si>
    <t>ME-2800</t>
  </si>
  <si>
    <t>Technical Bid Evaluation for Open Drain Caisson Pump - AFC</t>
  </si>
  <si>
    <t>PIPINGENGINEERING</t>
  </si>
  <si>
    <t>PI-1000</t>
  </si>
  <si>
    <t>Piping Basis of Design (offshore) - IFR</t>
  </si>
  <si>
    <t>PI-1010</t>
  </si>
  <si>
    <t>Piping Basis of Design (offshore) - AFC</t>
  </si>
  <si>
    <t>PI-1020</t>
  </si>
  <si>
    <t>Piping Stress Basis of Design - IFR</t>
  </si>
  <si>
    <t>PI-1030</t>
  </si>
  <si>
    <t>Piping Stress Basis of Design - AFC</t>
  </si>
  <si>
    <t>PI-1040</t>
  </si>
  <si>
    <t>3D Model Review Report 30% - IFR</t>
  </si>
  <si>
    <t>PI-1050</t>
  </si>
  <si>
    <t>3D Model Review Report 30% - AFC</t>
  </si>
  <si>
    <t>PI-1060</t>
  </si>
  <si>
    <t>3D Model Review Report 60% - IFR</t>
  </si>
  <si>
    <t>PI-1070</t>
  </si>
  <si>
    <t>3D Model Review Report 60% - AFC</t>
  </si>
  <si>
    <t>PI-1080</t>
  </si>
  <si>
    <t>3D Model Review &amp; Clash Check Reports (90% and Final 3D Model) - IFR</t>
  </si>
  <si>
    <t>PI-1090</t>
  </si>
  <si>
    <t>3D Model Review &amp; Clash Check Reports (90% and Final 3D Model) - AFC</t>
  </si>
  <si>
    <t>PI-1100</t>
  </si>
  <si>
    <t>30% 3D Modeling</t>
  </si>
  <si>
    <t>PI-1110</t>
  </si>
  <si>
    <t>60%3D Modeling</t>
  </si>
  <si>
    <t>PI-1120</t>
  </si>
  <si>
    <t>90%3D Modeling</t>
  </si>
  <si>
    <t>PI-1130</t>
  </si>
  <si>
    <t>Drilling Rig Clash Check Report : WPA01 and WPA02 - IFR</t>
  </si>
  <si>
    <t>PI-1140</t>
  </si>
  <si>
    <t>Drilling Rig Clash Check Report : WPA01 and WPA02 - AFC</t>
  </si>
  <si>
    <t>PI-1150</t>
  </si>
  <si>
    <t>Criticality Rating Report for Piping - IFR</t>
  </si>
  <si>
    <t>PI-1160</t>
  </si>
  <si>
    <t>Criticality Rating Report for Piping - AFC</t>
  </si>
  <si>
    <t>PI-1170</t>
  </si>
  <si>
    <t>Piping Material Specification - IFR</t>
  </si>
  <si>
    <t>PI-1180</t>
  </si>
  <si>
    <t>Piping Material Specification - AFC</t>
  </si>
  <si>
    <t>PI-1190</t>
  </si>
  <si>
    <t>Piping Design Standard - IFR</t>
  </si>
  <si>
    <t>PI-1200</t>
  </si>
  <si>
    <t>Piping Design Standard - AFC</t>
  </si>
  <si>
    <t>PI-1210</t>
  </si>
  <si>
    <t>Pipe Support Standard - IFR</t>
  </si>
  <si>
    <t>PI-1220</t>
  </si>
  <si>
    <t>Pipe Support Standard - AFC</t>
  </si>
  <si>
    <t>PI-1230</t>
  </si>
  <si>
    <t>Piping Stress Critical Line List - IFR</t>
  </si>
  <si>
    <t>PI-1235</t>
  </si>
  <si>
    <t>Piping Stress Critical Line List - IFA</t>
  </si>
  <si>
    <t>PI-1240</t>
  </si>
  <si>
    <t>Piping Stress Critical Line List - AFC</t>
  </si>
  <si>
    <t>PI-1250</t>
  </si>
  <si>
    <t>Piping Specialty Item List - IFR</t>
  </si>
  <si>
    <t>PI-1255</t>
  </si>
  <si>
    <t>Piping Specialty Item List - IFA</t>
  </si>
  <si>
    <t>PI-1260</t>
  </si>
  <si>
    <t>Piping Specialty Item List - AFC</t>
  </si>
  <si>
    <t>PI-1270</t>
  </si>
  <si>
    <t>WPA01 Equipment Layout Drawing (6 Sheets) - IFR</t>
  </si>
  <si>
    <t>PI-1280</t>
  </si>
  <si>
    <t>WPA01 Equipment Layout Drawing (6 Sheets) - IFA</t>
  </si>
  <si>
    <t>PI-1290</t>
  </si>
  <si>
    <t>WPA01 Equipment Layout Drawing (6 Sheets) - AFC</t>
  </si>
  <si>
    <t>PI-1300</t>
  </si>
  <si>
    <t>WPA01 Equipment Layout Elevation Looking (4 Sheets) - IFR</t>
  </si>
  <si>
    <t>PI-1310</t>
  </si>
  <si>
    <t>WPA01 Equipment Layout Elevation Looking (4 Sheets) - IFA</t>
  </si>
  <si>
    <t>PI-1320</t>
  </si>
  <si>
    <t>WPA01 Equipment Layout Elevation Looking (4 Sheets) - AFC</t>
  </si>
  <si>
    <t>PI-1330</t>
  </si>
  <si>
    <t>WPA01 Drilling And Well Service Equipment Layout (5 Sheets) - IFR</t>
  </si>
  <si>
    <t>PI-1340</t>
  </si>
  <si>
    <t>WPA01 Drilling And Well Service Equipment Layout (5 Sheets) - IFA</t>
  </si>
  <si>
    <t>PI-1350</t>
  </si>
  <si>
    <t>WPA01 Drilling And Well Service Equipment Layout (5 Sheets) - AFC</t>
  </si>
  <si>
    <t>PI-1360</t>
  </si>
  <si>
    <t>WPA02 Equipment Layout Drawing (6 Sheets) - IFR</t>
  </si>
  <si>
    <t>PI-1370</t>
  </si>
  <si>
    <t>WPA02 Equipment Layout Drawing (6 Sheets) - IFA</t>
  </si>
  <si>
    <t>PI-1380</t>
  </si>
  <si>
    <t>WPA02 Equipment Layout Drawing (6 Sheets) - AFC</t>
  </si>
  <si>
    <t>PI-1390</t>
  </si>
  <si>
    <t>WPA02 Equipment Layout Elevation Looking (4 Sheets) - IFR</t>
  </si>
  <si>
    <t>PI-1400</t>
  </si>
  <si>
    <t>WPA02 Equipment Layout Elevation Looking (4 Sheets) - IFA</t>
  </si>
  <si>
    <t>PI-1410</t>
  </si>
  <si>
    <t>WPA02 Equipment Layout Elevation Looking (4 Sheets) - AFC</t>
  </si>
  <si>
    <t>PI-1420</t>
  </si>
  <si>
    <t>WPA02 Drilling And Well Service Equipment Layout (5 Sheets) - IFR</t>
  </si>
  <si>
    <t>PI-1430</t>
  </si>
  <si>
    <t>WPA02 Drilling And Well Service Equipment Layout (5 Sheets) - IFA</t>
  </si>
  <si>
    <t>PI-1440</t>
  </si>
  <si>
    <t>WPA02 Drilling And Well Service Equipment Layout (5 Sheets) - AFC</t>
  </si>
  <si>
    <t>PI-1450</t>
  </si>
  <si>
    <t>WPA01 Piping General Arrangement and Support Location Plan (27 Sheets) - IFR</t>
  </si>
  <si>
    <t>PI-1460</t>
  </si>
  <si>
    <t>WPA01 Piping General Arrangement and Support Location Plan (27 Sheets) - AFC</t>
  </si>
  <si>
    <t>PI-1470</t>
  </si>
  <si>
    <t>WPA02 Piping General Arrangement and Support Location Plan (27 Sheets) - IFR</t>
  </si>
  <si>
    <t>PI-1480</t>
  </si>
  <si>
    <t>WPA02 Piping General Arrangement and Support Location Plan (27 Sheets) - AFC</t>
  </si>
  <si>
    <t>PI-1490</t>
  </si>
  <si>
    <t>Piping Wall Thickness Calculation - IFR</t>
  </si>
  <si>
    <t>PI-1500</t>
  </si>
  <si>
    <t>Piping Wall Thickness Calculation - AFC</t>
  </si>
  <si>
    <t>PI-1510</t>
  </si>
  <si>
    <t>Small Bore Connection Assessment - IFR</t>
  </si>
  <si>
    <t>PI-1520</t>
  </si>
  <si>
    <t>Small Bore Connection Assessment - AFC</t>
  </si>
  <si>
    <t>PI-1530</t>
  </si>
  <si>
    <t>WPA01 Piping Stress Analysis Report (Flowline) - IFR</t>
  </si>
  <si>
    <t>PI-1540</t>
  </si>
  <si>
    <t>WPA01 Piping Stress Analysis Report (Flowline) - AFC</t>
  </si>
  <si>
    <t>PI-1550</t>
  </si>
  <si>
    <t>WPA01 Piping Stress Analysis Report (PIG Launcher/Receiver) - IFR</t>
  </si>
  <si>
    <t>PI-1560</t>
  </si>
  <si>
    <t>WPA01 Piping Stress Analysis Report (PIG Launcher/Receiver) - AFC</t>
  </si>
  <si>
    <t>PI-1570</t>
  </si>
  <si>
    <t>WPA01 Piping Stress Analysis Report (Other GC lines, IG lines, and HP vent) - IFR</t>
  </si>
  <si>
    <t>PI-1580</t>
  </si>
  <si>
    <t>WPA01 Piping Stress Analysis Report (Other GC lines, IG lines, and HP vent) - AFC</t>
  </si>
  <si>
    <t>PI-1590</t>
  </si>
  <si>
    <t>WPA01 Piping Stress Analysis Report  (LP vent and DP lines level 2) - IFR</t>
  </si>
  <si>
    <t>PI-1600</t>
  </si>
  <si>
    <t>WPA01 Piping Stress Analysis Report  (LP vent and DP lines level 2) - AFC</t>
  </si>
  <si>
    <t>PI-1610</t>
  </si>
  <si>
    <t>WPA01 Piping Stress Analysis Report (Future Booster Compressor Package) - IFR</t>
  </si>
  <si>
    <t>PI-1620</t>
  </si>
  <si>
    <t>WPA01 Piping Stress Analysis Report (Future Booster Compressor Package) - AFC</t>
  </si>
  <si>
    <t>PI-1630</t>
  </si>
  <si>
    <t>WPA02 Piping Stress Analysis Report (Flowline) - IFR</t>
  </si>
  <si>
    <t>PI-1640</t>
  </si>
  <si>
    <t>WPA02 Piping Stress Analysis Report (Flowline) - AFC</t>
  </si>
  <si>
    <t>PI-1650</t>
  </si>
  <si>
    <t>WPA02 Piping Stress Analysis Report (PIG Launcher/Receiver) - IFR</t>
  </si>
  <si>
    <t>PI-1660</t>
  </si>
  <si>
    <t>WPA02 Piping Stress Analysis Report (PIG Launcher/Receiver) - AFC</t>
  </si>
  <si>
    <t>PI-1670</t>
  </si>
  <si>
    <t>WPA02 Piping Stress Analysis Report (Other GC lines, IG lines, and HP vent) - IFR</t>
  </si>
  <si>
    <t>PI-1680</t>
  </si>
  <si>
    <t>WPA02 Piping Stress Analysis Report (Other GC lines, IG lines, and HP vent) - AFC</t>
  </si>
  <si>
    <t>PI-1690</t>
  </si>
  <si>
    <t>WPA02 Piping Stress Analysis Report  (LP vent and DP lines level 2) - IFR</t>
  </si>
  <si>
    <t>PI-1700</t>
  </si>
  <si>
    <t>WPA02 Piping Stress Analysis Report  (LP vent and DP lines level 2) - AFC</t>
  </si>
  <si>
    <t>PI-1710</t>
  </si>
  <si>
    <t>WPA02 Piping Stress Analysis Report required for any other lines as specific in the Piping StressCritical LL - IFR</t>
  </si>
  <si>
    <t>PI-1720</t>
  </si>
  <si>
    <t>WPA02 Piping Stress Analysis Report required for any other lines as specific in the Piping Stress Critical LL - AFC</t>
  </si>
  <si>
    <t>PI-1730</t>
  </si>
  <si>
    <t>Material Take-Off for Manual Valves WP01 - IFR</t>
  </si>
  <si>
    <t>PI-1740</t>
  </si>
  <si>
    <t>Material Take-Off for Manual Valves WP01 - IFA</t>
  </si>
  <si>
    <t>PI-1750</t>
  </si>
  <si>
    <t>Material Take-Off for Manual Valves WP01 - AFC</t>
  </si>
  <si>
    <t>PI-1760</t>
  </si>
  <si>
    <t>Material Take-Off for Piping Bulk WP01 - IFR</t>
  </si>
  <si>
    <t>PI-1770</t>
  </si>
  <si>
    <t>Material Take-Off for Piping Bulk WP01 - IFA</t>
  </si>
  <si>
    <t>PI-1780</t>
  </si>
  <si>
    <t>Material Take-Off for Piping Bulk WP01 - AFC</t>
  </si>
  <si>
    <t>PI-1790</t>
  </si>
  <si>
    <t>Material Take-Off for Manual Valves WP02 - IFR</t>
  </si>
  <si>
    <t>PI-1800</t>
  </si>
  <si>
    <t>Material Take-Off for Manual Valves WP02 - IFA</t>
  </si>
  <si>
    <t>PI-1810</t>
  </si>
  <si>
    <t>Material Take-Off for Manual Valves WP02 - AFC</t>
  </si>
  <si>
    <t>PI-1820</t>
  </si>
  <si>
    <t>Material Take-Off for Piping Bulk WP02 - IFR</t>
  </si>
  <si>
    <t>PI-1830</t>
  </si>
  <si>
    <t>Material Take-Off for Piping Bulk WP02 - IFA</t>
  </si>
  <si>
    <t>PI-1840</t>
  </si>
  <si>
    <t>Material Take-Off for Piping Bulk WP02 - AFC</t>
  </si>
  <si>
    <t>PI-3010</t>
  </si>
  <si>
    <t>WPA01 Piping Isometric Drawings - IFR</t>
  </si>
  <si>
    <t>PI-3020</t>
  </si>
  <si>
    <t>WPA01 Piping Isometric Drawings - AFC</t>
  </si>
  <si>
    <t>PI-3030</t>
  </si>
  <si>
    <t>WPA01 Piping Support List - IFR</t>
  </si>
  <si>
    <t>PI-3040</t>
  </si>
  <si>
    <t>WPA01 Piping Support List - AFC</t>
  </si>
  <si>
    <t>PI-3050</t>
  </si>
  <si>
    <t>WPA01 Piping Shiploose List - IFR</t>
  </si>
  <si>
    <t>PI-3060</t>
  </si>
  <si>
    <t>WPA01 Piping Shiploose List - AFC</t>
  </si>
  <si>
    <t>PI-3070</t>
  </si>
  <si>
    <t>WPA01 Piping Support Arrangement Drawings - IFR</t>
  </si>
  <si>
    <t>PI-3080</t>
  </si>
  <si>
    <t>WPA01 Piping Support Arrangement Drawings - AFC</t>
  </si>
  <si>
    <t>PI-3090</t>
  </si>
  <si>
    <t>WPA01 Special Pipe Support Drawings - IFR</t>
  </si>
  <si>
    <t>PI-3100</t>
  </si>
  <si>
    <t>WPA01 Special Pipe Support Drawings - AFC</t>
  </si>
  <si>
    <t>PI-4000</t>
  </si>
  <si>
    <t>WPA02 Piping Isometric Drawings - IFR</t>
  </si>
  <si>
    <t>PI-4001</t>
  </si>
  <si>
    <t>WPA02 Piping Isometric Drawings - AFC</t>
  </si>
  <si>
    <t>PI-4002</t>
  </si>
  <si>
    <t>WPA02 Piping Support List - IFR</t>
  </si>
  <si>
    <t>PI-4003</t>
  </si>
  <si>
    <t>WPA02 Piping Support List - AFC</t>
  </si>
  <si>
    <t>PI-4004</t>
  </si>
  <si>
    <t>WPA02 Piping Shiploose List - IFR</t>
  </si>
  <si>
    <t>PI-4005</t>
  </si>
  <si>
    <t>WPA02 Piping Shiploose List - AFC</t>
  </si>
  <si>
    <t>PI-4006</t>
  </si>
  <si>
    <t>WPA02 Piping Support Arrangement Drawings - IFR</t>
  </si>
  <si>
    <t>PI-4007</t>
  </si>
  <si>
    <t>WPA02 Piping Support Arrangement Drawings - AFC</t>
  </si>
  <si>
    <t>PI-4008</t>
  </si>
  <si>
    <t>WPA02 Special Pipe Support Drawings - IFR</t>
  </si>
  <si>
    <t>PI-4009</t>
  </si>
  <si>
    <t>WPA02 Special Pipe Support Drawings - AFC</t>
  </si>
  <si>
    <t>Datasheets-Piping</t>
  </si>
  <si>
    <t>PI-1850</t>
  </si>
  <si>
    <t>Datasheet for Manual Valves - IFR</t>
  </si>
  <si>
    <t>PI-1860</t>
  </si>
  <si>
    <t>Datasheet for Manual Valves - IFA</t>
  </si>
  <si>
    <t>PI-1870</t>
  </si>
  <si>
    <t>Datasheet for Manual Valves - AFC</t>
  </si>
  <si>
    <t>PI-1880</t>
  </si>
  <si>
    <t>Datasheet for Corrosion Fittings (Probe, Coupon and Chemical Injection Quill) - IFR</t>
  </si>
  <si>
    <t>PI-1890</t>
  </si>
  <si>
    <t>Datasheet for Corrosion Fittings (Probe, Coupon and Chemical Injection Quill) - IFA</t>
  </si>
  <si>
    <t>PI-1900</t>
  </si>
  <si>
    <t>Datasheet for Corrosion Fittings (Probe, Coupon and Chemical Injection Quill) - AFC</t>
  </si>
  <si>
    <t>PI-1910</t>
  </si>
  <si>
    <t>Datasheet for Hose and Hose Connector - IFR</t>
  </si>
  <si>
    <t>PI-1920</t>
  </si>
  <si>
    <t>Datasheet for Hose and Hose Connector - IFA</t>
  </si>
  <si>
    <t>PI-1930</t>
  </si>
  <si>
    <t>Datasheet for Hose and Hose Connector - AFC</t>
  </si>
  <si>
    <t>PI-1940</t>
  </si>
  <si>
    <t>Datasheet for Strainer - IFR</t>
  </si>
  <si>
    <t>PI-1950</t>
  </si>
  <si>
    <t>Datasheet for Strainer - IFA</t>
  </si>
  <si>
    <t>PI-1960</t>
  </si>
  <si>
    <t>Datasheet for Strainer - AFC</t>
  </si>
  <si>
    <t>PI-1970</t>
  </si>
  <si>
    <t>Datasheet for Liquid Trap - IFR</t>
  </si>
  <si>
    <t>PI-1980</t>
  </si>
  <si>
    <t>Datasheet for Liquid Trap - IFA</t>
  </si>
  <si>
    <t>PI-1990</t>
  </si>
  <si>
    <t>Datasheet for Liquid Trap - AFC</t>
  </si>
  <si>
    <t>PI-2000</t>
  </si>
  <si>
    <t>Datasheet for G-Clamp - IFR</t>
  </si>
  <si>
    <t>PI-2010</t>
  </si>
  <si>
    <t>Datasheet for G-Clamp - IFA</t>
  </si>
  <si>
    <t>PI-2020</t>
  </si>
  <si>
    <t>Datasheet for G-Clamp - AFC</t>
  </si>
  <si>
    <t>PI-2030</t>
  </si>
  <si>
    <t>Datasheet for Flame Arrestor - IFR</t>
  </si>
  <si>
    <t>PI-2040</t>
  </si>
  <si>
    <t>Datasheet for Flame Arrestor - IFA</t>
  </si>
  <si>
    <t>PI-2050</t>
  </si>
  <si>
    <t>Datasheet for Flame Arrestor - AFC</t>
  </si>
  <si>
    <t>PI-2060</t>
  </si>
  <si>
    <t>Datasheet for Sight Glass - IFR</t>
  </si>
  <si>
    <t>PI-2070</t>
  </si>
  <si>
    <t>Datasheet for Sight Glass - IFA</t>
  </si>
  <si>
    <t>PI-2080</t>
  </si>
  <si>
    <t>Datasheet for Sight Glass - AFC</t>
  </si>
  <si>
    <t>PI-4019</t>
  </si>
  <si>
    <t>Datasheet for Quick Opening Closure - IFR</t>
  </si>
  <si>
    <t>PI-4029</t>
  </si>
  <si>
    <t>Datasheet for Quick Opening Closure - IFA</t>
  </si>
  <si>
    <t>PI-4039</t>
  </si>
  <si>
    <t>Datasheet for Quick Opening Closure - AFC</t>
  </si>
  <si>
    <t>MR-Piping</t>
  </si>
  <si>
    <t>PI-2090</t>
  </si>
  <si>
    <t>Material Requisition for Ball valve (Flange end) - IFR</t>
  </si>
  <si>
    <t>PI-2100</t>
  </si>
  <si>
    <t>Material Requisition for Ball valve (Flange end) - AFC</t>
  </si>
  <si>
    <t>PI-2110</t>
  </si>
  <si>
    <t>Material Requisition for Ball valve (Welded end) - IFR</t>
  </si>
  <si>
    <t>PI-2120</t>
  </si>
  <si>
    <t>Material Requisition for Ball valve (Welded end) - AFC</t>
  </si>
  <si>
    <t>PI-2130</t>
  </si>
  <si>
    <t>Material Requisition for Globe valve (Flange end) - IFR</t>
  </si>
  <si>
    <t>PI-2140</t>
  </si>
  <si>
    <t>Material Requisition for Globe valve (Flange end) - AFC</t>
  </si>
  <si>
    <t>PI-2150</t>
  </si>
  <si>
    <t>Material Requisition for Globe valve (Welded end) - IFR</t>
  </si>
  <si>
    <t>PI-2160</t>
  </si>
  <si>
    <t>Material Requisition for Globe valve (Welded end) - AFC</t>
  </si>
  <si>
    <t>PI-2170</t>
  </si>
  <si>
    <t>Material Requisition for Check valve (Flange end) - IFR</t>
  </si>
  <si>
    <t>PI-2180</t>
  </si>
  <si>
    <t>Material Requisition for Check valve (Flange end) - AFC</t>
  </si>
  <si>
    <t>PI-2190</t>
  </si>
  <si>
    <t>Material Requisition for Check valve (Welded end) - IFR</t>
  </si>
  <si>
    <t>PI-2200</t>
  </si>
  <si>
    <t>Material Requisition for Check valve (Welded end) - AFC</t>
  </si>
  <si>
    <t>PI-2210</t>
  </si>
  <si>
    <t>Material Requisition for Compact Check valve (Welded end) - IFR</t>
  </si>
  <si>
    <t>PI-2220</t>
  </si>
  <si>
    <t>Material Requisition for Compact Check valve (Welded end) - AFC</t>
  </si>
  <si>
    <t>PI-2230</t>
  </si>
  <si>
    <t>Material Requisition for Carbon steel pipe - IFR</t>
  </si>
  <si>
    <t>PI-2240</t>
  </si>
  <si>
    <t>Material Requisition for Carbon steel pipe - AFC</t>
  </si>
  <si>
    <t>PI-2250</t>
  </si>
  <si>
    <t>Material Requisition for Carbon steel fitting - IFR</t>
  </si>
  <si>
    <t>PI-2260</t>
  </si>
  <si>
    <t>Material Requisition for Carbon steel fitting - AFC</t>
  </si>
  <si>
    <t>PI-2270</t>
  </si>
  <si>
    <t>Material Requisition for Carbon steel flange - IFR</t>
  </si>
  <si>
    <t>PI-2280</t>
  </si>
  <si>
    <t>Material Requisition for Carbon steel flange - AFC</t>
  </si>
  <si>
    <t>PI-2290</t>
  </si>
  <si>
    <t>Material Requisition for SS and DSS Pipe - IFR</t>
  </si>
  <si>
    <t>PI-2300</t>
  </si>
  <si>
    <t>Material Requisition for SS and DSS Pipe - AFC</t>
  </si>
  <si>
    <t>PI-2310</t>
  </si>
  <si>
    <t>Material Requisition for SS and DSS fitting - IFR</t>
  </si>
  <si>
    <t>PI-2320</t>
  </si>
  <si>
    <t>Material Requisition for SS and DSS fitting - AFC</t>
  </si>
  <si>
    <t>PI-2330</t>
  </si>
  <si>
    <t>Material Requisition for SS and DSS flange - IFR</t>
  </si>
  <si>
    <t>PI-2340</t>
  </si>
  <si>
    <t>Material Requisition for SS and DSS flange - AFC</t>
  </si>
  <si>
    <t>PI-2350</t>
  </si>
  <si>
    <t>Material Requisition for stud bolts and nuts - IFR</t>
  </si>
  <si>
    <t>PI-2360</t>
  </si>
  <si>
    <t>Material Requisition for stud bolts and nuts - AFC</t>
  </si>
  <si>
    <t>PI-2370</t>
  </si>
  <si>
    <t>Material Requisition for gaskets - IFR</t>
  </si>
  <si>
    <t>PI-2380</t>
  </si>
  <si>
    <t>Material Requisition for gaskets - AFC</t>
  </si>
  <si>
    <t>PI-2390</t>
  </si>
  <si>
    <t>Material Requisition for pipe support - IFR</t>
  </si>
  <si>
    <t>PI-2400</t>
  </si>
  <si>
    <t>Material Requisition for pipe support - AFC</t>
  </si>
  <si>
    <t>PI-2410</t>
  </si>
  <si>
    <t>Material Requisition for Corrosion Fittings (Probe, Coupon and Chemical Injection Quill) - IFR</t>
  </si>
  <si>
    <t>PI-2420</t>
  </si>
  <si>
    <t>Material Requisition for Corrosion Fittings (Probe, Coupon and Chemical Injection Quill) - AFC</t>
  </si>
  <si>
    <t>PI-2430</t>
  </si>
  <si>
    <t>Material Requisition for Hose and Hose Connector - IFR</t>
  </si>
  <si>
    <t>PI-2440</t>
  </si>
  <si>
    <t>Material Requisition for Hose and Hose Connector - AFC</t>
  </si>
  <si>
    <t>PI-2450</t>
  </si>
  <si>
    <t>Material Requisition for Strainer - IFR</t>
  </si>
  <si>
    <t>PI-2460</t>
  </si>
  <si>
    <t>Material Requisition for Strainer - AFC</t>
  </si>
  <si>
    <t>PI-2470</t>
  </si>
  <si>
    <t>Material Requisition for Liquid Trap - IFR</t>
  </si>
  <si>
    <t>PI-2480</t>
  </si>
  <si>
    <t>Material Requisition for Liquid Trap - AFC</t>
  </si>
  <si>
    <t>PI-2490</t>
  </si>
  <si>
    <t>Material Requisition for G-Clamp - IFR</t>
  </si>
  <si>
    <t>PI-2500</t>
  </si>
  <si>
    <t>Material Requisition for G-Clamp - AFC</t>
  </si>
  <si>
    <t>PI-2510</t>
  </si>
  <si>
    <t>Material Requisition for Flame Arrestor - IFR</t>
  </si>
  <si>
    <t>PI-2520</t>
  </si>
  <si>
    <t>Material Requisition for Flame Arrestor - AFC</t>
  </si>
  <si>
    <t>PI-2530</t>
  </si>
  <si>
    <t>Material Requisition for Sight Glass - IFR</t>
  </si>
  <si>
    <t>PI-2540</t>
  </si>
  <si>
    <t>Material Requisition for Sight Glass - AFC</t>
  </si>
  <si>
    <t>PI-4049</t>
  </si>
  <si>
    <t>Material Requisition for Quick Opening Closure - IFR</t>
  </si>
  <si>
    <t>PI-4059</t>
  </si>
  <si>
    <t>Material Requisition for Quick Opening Closure - AFC</t>
  </si>
  <si>
    <t>TBE-Piping</t>
  </si>
  <si>
    <t>PI-2550</t>
  </si>
  <si>
    <t>Technical Bid Evaluation for Ball valve (Flange end) - IFR</t>
  </si>
  <si>
    <t>PI-2560</t>
  </si>
  <si>
    <t>Technical Bid Evaluation for Ball valve (Flange end) - AFC</t>
  </si>
  <si>
    <t>PI-2570</t>
  </si>
  <si>
    <t>Technical Bid Evaluation for Ball valve (Welded end) - IFR</t>
  </si>
  <si>
    <t>PI-2580</t>
  </si>
  <si>
    <t>Technical Bid Evaluation for Ball valve (Welded end) - AFC</t>
  </si>
  <si>
    <t>PI-2590</t>
  </si>
  <si>
    <t>Technical Bid Evaluation for Globe valve (Flange end) - IFR</t>
  </si>
  <si>
    <t>PI-2600</t>
  </si>
  <si>
    <t>Technical Bid Evaluation for Globe valve (Flange end) - AFC</t>
  </si>
  <si>
    <t>PI-2610</t>
  </si>
  <si>
    <t>Technical Bid Evaluation for Globe valve (Welded end) - IFR</t>
  </si>
  <si>
    <t>PI-2620</t>
  </si>
  <si>
    <t>Technical Bid Evaluation for Globe valve (Welded end) - AFC</t>
  </si>
  <si>
    <t>PI-2630</t>
  </si>
  <si>
    <t>Technical Bid Evaluation for Check valve (Flange end) - IFR</t>
  </si>
  <si>
    <t>PI-2640</t>
  </si>
  <si>
    <t>Technical Bid Evaluation for Check valve (Flange end) - AFC</t>
  </si>
  <si>
    <t>PI-2650</t>
  </si>
  <si>
    <t>Technical Bid Evaluation for Check valve (Welded end) - IFR</t>
  </si>
  <si>
    <t>PI-2660</t>
  </si>
  <si>
    <t>Technical Bid Evaluation for Check valve (Welded end) - AFC</t>
  </si>
  <si>
    <t>PI-2670</t>
  </si>
  <si>
    <t>Technical Bid Evaluation for Compact Check valve (Welded end) - IFR</t>
  </si>
  <si>
    <t>PI-2680</t>
  </si>
  <si>
    <t>Technical Bid Evaluation for Compact Check valve (Welded end) - AFC</t>
  </si>
  <si>
    <t>PI-2690</t>
  </si>
  <si>
    <t>Technical Bid Evaluation for Carbon steel pipe - IFR</t>
  </si>
  <si>
    <t>PI-2700</t>
  </si>
  <si>
    <t>Technical Bid Evaluation for Carbon steel pipe - AFC</t>
  </si>
  <si>
    <t>PI-2710</t>
  </si>
  <si>
    <t>Technical Bid Evaluation for Carbon steel fitting - IFR</t>
  </si>
  <si>
    <t>PI-2720</t>
  </si>
  <si>
    <t>Technical Bid Evaluation for Carbon steel fitting - AFC</t>
  </si>
  <si>
    <t>PI-2730</t>
  </si>
  <si>
    <t>Technical Bid Evaluation for Carbon steel flange - IFR</t>
  </si>
  <si>
    <t>PI-2740</t>
  </si>
  <si>
    <t>Technical Bid Evaluation for Carbon steel flange - AFC</t>
  </si>
  <si>
    <t>PI-2750</t>
  </si>
  <si>
    <t>Technical Bid Evaluation for SS and DSS Pipe - IFR</t>
  </si>
  <si>
    <t>PI-2760</t>
  </si>
  <si>
    <t>Technical Bid Evaluation for SS and DSS Pipe - AFC</t>
  </si>
  <si>
    <t>PI-2770</t>
  </si>
  <si>
    <t>Technical Bid Evaluation for SS and DSS fitting - IFR</t>
  </si>
  <si>
    <t>PI-2780</t>
  </si>
  <si>
    <t>Technical Bid Evaluation for SS and DSS fitting - AFC</t>
  </si>
  <si>
    <t>PI-2790</t>
  </si>
  <si>
    <t>Technical Bid Evaluation for SS and DSS flange - IFR</t>
  </si>
  <si>
    <t>PI-2800</t>
  </si>
  <si>
    <t>Technical Bid Evaluation for SS and DSS flange - AFC</t>
  </si>
  <si>
    <t>PI-2810</t>
  </si>
  <si>
    <t>Technical Bid Evaluation for stud bolts and nuts - IFR</t>
  </si>
  <si>
    <t>PI-2820</t>
  </si>
  <si>
    <t>Technical Bid Evaluation for stud bolts and nuts - AFC</t>
  </si>
  <si>
    <t>PI-2830</t>
  </si>
  <si>
    <t>Technical Bid Evaluation for gaskets - IFR</t>
  </si>
  <si>
    <t>PI-2840</t>
  </si>
  <si>
    <t>Technical Bid Evaluation for gaskets - AFC</t>
  </si>
  <si>
    <t>PI-2850</t>
  </si>
  <si>
    <t>Technical Bid Evaluation for pipe support - IFR</t>
  </si>
  <si>
    <t>PI-2860</t>
  </si>
  <si>
    <t>Technical Bid Evaluation for pipe support - AFC</t>
  </si>
  <si>
    <t>PI-2870</t>
  </si>
  <si>
    <t>Technical Bid Evaluation for Corrosion Fittings (Probe, Coupon and Chemical Injection Quill) - IFR</t>
  </si>
  <si>
    <t>PI-2880</t>
  </si>
  <si>
    <t>Technical Bid Evaluation for Corrosion Fittings (Probe, Coupon and Chemical Injection Quill) - AFC</t>
  </si>
  <si>
    <t>PI-2890</t>
  </si>
  <si>
    <t>Technical Bid Evaluation for Hose and Hose Connector - IFR</t>
  </si>
  <si>
    <t>PI-2900</t>
  </si>
  <si>
    <t>Technical Bid Evaluation for Hose and Hose Connector - AFC</t>
  </si>
  <si>
    <t>PI-2910</t>
  </si>
  <si>
    <t>Technical Bid Evaluation for Strainer - IFR</t>
  </si>
  <si>
    <t>PI-2920</t>
  </si>
  <si>
    <t>Technical Bid Evaluation for Strainer - AFC</t>
  </si>
  <si>
    <t>PI-2930</t>
  </si>
  <si>
    <t>Technical Bid Evaluation for Liquid Trap - IFR</t>
  </si>
  <si>
    <t>PI-2940</t>
  </si>
  <si>
    <t>Technical Bid Evaluation for Liquid Trap - AFC</t>
  </si>
  <si>
    <t>PI-2950</t>
  </si>
  <si>
    <t>Technical Bid Evaluation for G-Clamp - IFR</t>
  </si>
  <si>
    <t>PI-2960</t>
  </si>
  <si>
    <t>Technical Bid Evaluation for G-Clamp - AFC</t>
  </si>
  <si>
    <t>PI-2970</t>
  </si>
  <si>
    <t>Technical Bid Evaluation for Flame Arrestor - IFR</t>
  </si>
  <si>
    <t>PI-2980</t>
  </si>
  <si>
    <t>Technical Bid Evaluation for Flame Arrestor - AFC</t>
  </si>
  <si>
    <t>PI-2990</t>
  </si>
  <si>
    <t>Technical Bid Evaluation for Sight Glass - IFR</t>
  </si>
  <si>
    <t>PI-3000</t>
  </si>
  <si>
    <t>Technical Bid Evaluation for Sight Glass - AFC</t>
  </si>
  <si>
    <t>PI-4069</t>
  </si>
  <si>
    <t>Technical Bid Evaluation for Quick Opening Closure - IFR</t>
  </si>
  <si>
    <t>PI-4079</t>
  </si>
  <si>
    <t>Technical Bid Evaluation for Quick Opening Closure - AFC</t>
  </si>
  <si>
    <t>STRUCTUREENGINEERING-TOPSIDE</t>
  </si>
  <si>
    <t>ST-1000</t>
  </si>
  <si>
    <t>WPA01 Topside Drawing Index (2 Sheets) - IFR</t>
  </si>
  <si>
    <t>ST-1010</t>
  </si>
  <si>
    <t>WPA01 Topside Drawing Index (2 Sheets) - IFA</t>
  </si>
  <si>
    <t>ST-1020</t>
  </si>
  <si>
    <t>WPA01 Topside Drawing Index (2 Sheets) - AFC</t>
  </si>
  <si>
    <t>ST-1030</t>
  </si>
  <si>
    <t>WPA01 Topside Deck Loading Diagrams - IFR</t>
  </si>
  <si>
    <t>ST-1040</t>
  </si>
  <si>
    <t>WPA01 Topside Deck Loading Diagrams - IFA</t>
  </si>
  <si>
    <t>ST-1050</t>
  </si>
  <si>
    <t>WPA01 Topside Deck Loading Diagrams - AFC</t>
  </si>
  <si>
    <t>ST-1060</t>
  </si>
  <si>
    <t>WPA01 Topside - Upper Deck Primary Steel Framing Plan - IFR</t>
  </si>
  <si>
    <t>ST-1070</t>
  </si>
  <si>
    <t>WPA01 Topside - Upper Deck Primary Steel Framing Plan - IFA</t>
  </si>
  <si>
    <t>ST-1080</t>
  </si>
  <si>
    <t>WPA01 Topside - Upper Deck Primary Steel Framing Plan - AFC</t>
  </si>
  <si>
    <t>ST-1090</t>
  </si>
  <si>
    <t>WPA02 Topside - Lower Deck Primary Steel Framing Plan - IFR</t>
  </si>
  <si>
    <t>ST-1100</t>
  </si>
  <si>
    <t>WPA02 Topside - Lower Deck Primary Steel Framing Plan - IFA</t>
  </si>
  <si>
    <t>ST-1110</t>
  </si>
  <si>
    <t>WPA02 Topside - Lower Deck Primary Steel Framing Plan - AFC</t>
  </si>
  <si>
    <t>ST-1120</t>
  </si>
  <si>
    <t>WPA01 Topside - Elevation Truss Row A, B, 1, 2 - IFR</t>
  </si>
  <si>
    <t>ST-1130</t>
  </si>
  <si>
    <t>WPA01 Topside - Elevation Truss Row A, B, 1, 2 - IFA</t>
  </si>
  <si>
    <t>ST-1140</t>
  </si>
  <si>
    <t>WPA01 Topside - Elevation Truss Row A, B, 1, 2 - AFC</t>
  </si>
  <si>
    <t>ST-1150</t>
  </si>
  <si>
    <t>WPA01 Topside - Sections (2 Sheets) - IFR</t>
  </si>
  <si>
    <t>ST-1160</t>
  </si>
  <si>
    <t>WPA01 Topside - Sections (2 Sheets) - IFA</t>
  </si>
  <si>
    <t>ST-1170</t>
  </si>
  <si>
    <t>WPA01 Topside - Sections (2 Sheets) - AFC</t>
  </si>
  <si>
    <t>ST-1180</t>
  </si>
  <si>
    <t>WPA01 Topside Joint Connection Details (14 Sheets) - IFR</t>
  </si>
  <si>
    <t>ST-1190</t>
  </si>
  <si>
    <t>WPA01 Topside Joint Connection Details (14 Sheets) - IFA</t>
  </si>
  <si>
    <t>ST-1200</t>
  </si>
  <si>
    <t>WPA01 Topside Joint Connection Details (14 Sheets) - AFC</t>
  </si>
  <si>
    <t>ST-1210</t>
  </si>
  <si>
    <t>WPA01 Topside Upper Deck Secondary Steel Framing Plan - IFR</t>
  </si>
  <si>
    <t>ST-1220</t>
  </si>
  <si>
    <t>WPA01 Topside Upper Deck Secondary Steel Framing Plan - IFA</t>
  </si>
  <si>
    <t>ST-1230</t>
  </si>
  <si>
    <t>WPA01 Topside Upper Deck Secondary Steel Framing Plan - AFC</t>
  </si>
  <si>
    <t>ST-1240</t>
  </si>
  <si>
    <t>WPA01 Topside Lower Deck Secondary Steel Framing Plan - IFR</t>
  </si>
  <si>
    <t>ST-1250</t>
  </si>
  <si>
    <t>WPA01 Topside Lower Deck Secondary Steel Framing Plan - IFA</t>
  </si>
  <si>
    <t>ST-1260</t>
  </si>
  <si>
    <t>WPA01 Topside Lower Deck Secondary Steel Framing Plan - AFC</t>
  </si>
  <si>
    <t>ST-1270</t>
  </si>
  <si>
    <t>WPA01 Topside Mezzanine Deck Framing Plan - IFR</t>
  </si>
  <si>
    <t>ST-1280</t>
  </si>
  <si>
    <t>WPA01 Topside Mezzanine Deck Framing Plan - IFA</t>
  </si>
  <si>
    <t>ST-1290</t>
  </si>
  <si>
    <t>WPA01 Topside Mezzanine Deck Framing Plan - AFC</t>
  </si>
  <si>
    <t>ST-1300</t>
  </si>
  <si>
    <t>WPA01 Topside Mezzanine Deck Section &amp; Details (3 Sheets) - IFR</t>
  </si>
  <si>
    <t>ST-1310</t>
  </si>
  <si>
    <t>WPA01 Topside Mezzanine Deck Section &amp; Details (3 Sheets) - IFA</t>
  </si>
  <si>
    <t>ST-1320</t>
  </si>
  <si>
    <t>WPA01 Topside Mezzanine Deck Section &amp; Details (3 Sheets) - AFC</t>
  </si>
  <si>
    <t>ST-1330</t>
  </si>
  <si>
    <t>WPA01 Topside Sump Deck Framing Plan - IFR</t>
  </si>
  <si>
    <t>ST-1340</t>
  </si>
  <si>
    <t>WPA01 Topside Sump Deck Framing Plan - IFA</t>
  </si>
  <si>
    <t>ST-1350</t>
  </si>
  <si>
    <t>WPA01 Topside Sump Deck Framing Plan - AFC</t>
  </si>
  <si>
    <t>ST-1360</t>
  </si>
  <si>
    <t>WPA01 Topside Sump Deck Section &amp; Details (3 Sheets) - IFR</t>
  </si>
  <si>
    <t>ST-1370</t>
  </si>
  <si>
    <t>WPA01 Topside Sump Deck Section &amp; Details (3 Sheets) - IFA</t>
  </si>
  <si>
    <t>ST-1380</t>
  </si>
  <si>
    <t>WPA01 Topside Sump Deck Section &amp; Details (3 Sheets) - AFC</t>
  </si>
  <si>
    <t>ST-1390</t>
  </si>
  <si>
    <t>WPA01 Topside Standard Joint Details for Secondary Beam - IFR</t>
  </si>
  <si>
    <t>ST-1400</t>
  </si>
  <si>
    <t>WPA01 Topside Standard Joint Details for Secondary Beam - IFA</t>
  </si>
  <si>
    <t>ST-1410</t>
  </si>
  <si>
    <t>WPA01 Topside Standard Joint Details for Secondary Beam - AFC</t>
  </si>
  <si>
    <t>ST-1420</t>
  </si>
  <si>
    <t>WPA01 Topside Vent Boom Plan and Elevation - IFR</t>
  </si>
  <si>
    <t>ST-1430</t>
  </si>
  <si>
    <t>WPA01 Topside Vent Boom Plan and Elevation - IFA</t>
  </si>
  <si>
    <t>ST-1440</t>
  </si>
  <si>
    <t>WPA01 Topside Vent Boom Plan and Elevation - AFC</t>
  </si>
  <si>
    <t>ST-1450</t>
  </si>
  <si>
    <t>WPA01 Topside Vent Boom Sections - IFR</t>
  </si>
  <si>
    <t>ST-1460</t>
  </si>
  <si>
    <t>WPA01 Topside Vent Boom Sections - IFA</t>
  </si>
  <si>
    <t>ST-1470</t>
  </si>
  <si>
    <t>WPA01 Topside Vent Boom Sections - AFC</t>
  </si>
  <si>
    <t>ST-1480</t>
  </si>
  <si>
    <t>WPA01 Topside Vent Boom Walkway Plan and Sections - IFR</t>
  </si>
  <si>
    <t>ST-1490</t>
  </si>
  <si>
    <t>WPA01 Topside Vent Boom Walkway Plan and Sections - IFA</t>
  </si>
  <si>
    <t>ST-1500</t>
  </si>
  <si>
    <t>WPA01 Topside Vent Boom Walkway Plan and Sections - AFC</t>
  </si>
  <si>
    <t>ST-1510</t>
  </si>
  <si>
    <t>WPA01 Topside Vent Boom Walkway Sections and Details (3 Sheets) - IFR</t>
  </si>
  <si>
    <t>ST-1520</t>
  </si>
  <si>
    <t>WPA01 Topside Vent Boom Walkway Sections and Details (3 Sheets) - IFA</t>
  </si>
  <si>
    <t>ST-1530</t>
  </si>
  <si>
    <t>WPA01 Topside Vent Boom Walkway Sections and Details (3 Sheets) - AFC</t>
  </si>
  <si>
    <t>ST-1540</t>
  </si>
  <si>
    <t>WPA01 Topside Solar Panel Arrangement &amp; Support Details (7 Sheets) - IFR</t>
  </si>
  <si>
    <t>ST-1550</t>
  </si>
  <si>
    <t>WPA01 Topside Solar Panel Arrangement &amp; Support Details (7 Sheets) - IFA</t>
  </si>
  <si>
    <t>ST-1560</t>
  </si>
  <si>
    <t>ST-1570</t>
  </si>
  <si>
    <t>WPA01 Topside Upper Deck Flooring &amp; Handrail Layout - IFR</t>
  </si>
  <si>
    <t>ST-1580</t>
  </si>
  <si>
    <t>WPA01 Topside Upper Deck Flooring &amp; Handrail Layout - IFA</t>
  </si>
  <si>
    <t>ST-1590</t>
  </si>
  <si>
    <t>ST-1600</t>
  </si>
  <si>
    <t>WPA01 Topside Lower Deck Flooring &amp; Handrail Layout - IFR</t>
  </si>
  <si>
    <t>ST-1610</t>
  </si>
  <si>
    <t>WPA01 Topside Lower Deck Flooring &amp; Handrail Layout - IFA</t>
  </si>
  <si>
    <t>ST-1620</t>
  </si>
  <si>
    <t>WPA01 Topside Lower Deck Flooring &amp; Handrail Layout - AFC</t>
  </si>
  <si>
    <t>ST-1630</t>
  </si>
  <si>
    <t>WPA01 Topside Mezzanine Deck Flooring &amp; Handrail Layout - IFR</t>
  </si>
  <si>
    <t>ST-1640</t>
  </si>
  <si>
    <t>WPA01 Topside Mezzanine Deck Flooring &amp; Handrail Layout - IFA</t>
  </si>
  <si>
    <t>ST-1650</t>
  </si>
  <si>
    <t>WPA01 Topside Mezzanine Deck Flooring &amp; Handrail Layout - AFC</t>
  </si>
  <si>
    <t>ST-1660</t>
  </si>
  <si>
    <t>WPA01 Topside Sump Deck Flooring &amp; Handrail Layout - IFR</t>
  </si>
  <si>
    <t>ST-1670</t>
  </si>
  <si>
    <t>WPA01 Topside Sump Deck Flooring &amp; Handrail Layout - IFA</t>
  </si>
  <si>
    <t>ST-1680</t>
  </si>
  <si>
    <t>WPA01 Topside Sump Deck Flooring &amp; Handrail Layout - AFC</t>
  </si>
  <si>
    <t>ST-1690</t>
  </si>
  <si>
    <t>WPA01 Topside Flooring Sections &amp; Details (2 Sheets) - IFR</t>
  </si>
  <si>
    <t>ST-1700</t>
  </si>
  <si>
    <t>WPA01 Topside Flooring Sections &amp; Details (2 Sheets) - IFA</t>
  </si>
  <si>
    <t>ST-1710</t>
  </si>
  <si>
    <t>WPA01 Topside Flooring Sections &amp; Details (2 Sheets) - AFC</t>
  </si>
  <si>
    <t>ST-1720</t>
  </si>
  <si>
    <t>WPA01 Topside Stairway Layout &amp; Details (11 Sheets) - IFR</t>
  </si>
  <si>
    <t>ST-1730</t>
  </si>
  <si>
    <t>WPA01 Topside Stairway Layout &amp; Details (11 Sheets) - IFA</t>
  </si>
  <si>
    <t>ST-1740</t>
  </si>
  <si>
    <t>WPA01 Topside Stairway Layout &amp; Details (11 Sheets) - AFC</t>
  </si>
  <si>
    <t>ST-1750</t>
  </si>
  <si>
    <t>WPA01 Topside Deck Hatch Arrangement &amp; Details (11 Sheets) - IFR</t>
  </si>
  <si>
    <t>ST-1760</t>
  </si>
  <si>
    <t>WPA01 Topside Deck Hatch Arrangement &amp; Details (11 Sheets) - IFA</t>
  </si>
  <si>
    <t>ST-1770</t>
  </si>
  <si>
    <t>WPA01 Topside Deck Hatch Arrangement &amp; Details (11 Sheets) - AFC</t>
  </si>
  <si>
    <t>ST-1780</t>
  </si>
  <si>
    <t>WPA01 Topside Monorail Layout and Details - IFR</t>
  </si>
  <si>
    <t>ST-1790</t>
  </si>
  <si>
    <t>WPA01 Topside Monorail Layout and Details - IFA</t>
  </si>
  <si>
    <t>ST-1800</t>
  </si>
  <si>
    <t>WPA01 Topside Monorail Layout and Details - AFC</t>
  </si>
  <si>
    <t>ST-1810</t>
  </si>
  <si>
    <t>WPA01 Topside Condensate Burner Boom Support Details (2 Sheets) - IFR</t>
  </si>
  <si>
    <t>ST-1820</t>
  </si>
  <si>
    <t>WPA01 Topside Condensate Burner Boom Support Details (2 Sheets) - IFA</t>
  </si>
  <si>
    <t>ST-1830</t>
  </si>
  <si>
    <t>WPA01 Topside Condensate Burner Boom Support Details (2 Sheets) - AFC</t>
  </si>
  <si>
    <t>ST-1840</t>
  </si>
  <si>
    <t>WPA01 Topside Helideck Marking and Safety Netting Layout - IFR</t>
  </si>
  <si>
    <t>ST-1850</t>
  </si>
  <si>
    <t>WPA01 Topside Helideck Marking and Safety Netting Layout - IFA</t>
  </si>
  <si>
    <t>ST-1860</t>
  </si>
  <si>
    <t>WPA01 Topside Helideck Marking and Safety Netting Layout - AFC</t>
  </si>
  <si>
    <t>ST-1870</t>
  </si>
  <si>
    <t>WPA01 Topside Helideck Marking and Safety Netting Details (2 Sheets) - IFR</t>
  </si>
  <si>
    <t>ST-1880</t>
  </si>
  <si>
    <t>WPA01 Topside Helideck Marking and Safety Netting Details (2 Sheets) - IFA</t>
  </si>
  <si>
    <t>ST-1890</t>
  </si>
  <si>
    <t>ST-1900</t>
  </si>
  <si>
    <t>WPA01 Topside Upper Deck Equipment Support Location Plan - IFR</t>
  </si>
  <si>
    <t>ST-1910</t>
  </si>
  <si>
    <t>WPA01 Topside Upper Deck Equipment Support Location Plan - IFA</t>
  </si>
  <si>
    <t>ST-1920</t>
  </si>
  <si>
    <t>WPA01 Topside Upper Deck Equipment Support Location Plan - AFC</t>
  </si>
  <si>
    <t>ST-1930</t>
  </si>
  <si>
    <t>WPA01 Topside Lower Deck Equipment Support Location Plan - IFR</t>
  </si>
  <si>
    <t>ST-1940</t>
  </si>
  <si>
    <t>WPA01 Topside Lower Deck Equipment Support Location Plan - IFA</t>
  </si>
  <si>
    <t>ST-1950</t>
  </si>
  <si>
    <t>WPA01 Topside Lower Deck Equipment Support Location Plan - AFC</t>
  </si>
  <si>
    <t>ST-1960</t>
  </si>
  <si>
    <t>WPA01 Topside Mezzanine Deck Equipment Support Location Plan - IFR</t>
  </si>
  <si>
    <t>ST-1970</t>
  </si>
  <si>
    <t>WPA01 Topside Mezzanine Deck Equipment Support Location Plan - IFA</t>
  </si>
  <si>
    <t>ST-1980</t>
  </si>
  <si>
    <t>WPA01 Topside Mezzanine Deck Equipment Support Location Plan - AFC</t>
  </si>
  <si>
    <t>ST-1990</t>
  </si>
  <si>
    <t>WPA01 Topside Sump Deck Equipment Support Location Plan - IFR</t>
  </si>
  <si>
    <t>ST-2000</t>
  </si>
  <si>
    <t>WPA01 Topside Sump Deck Equipment Support Location Plan - IFA</t>
  </si>
  <si>
    <t>ST-2010</t>
  </si>
  <si>
    <t>WPA01 Topside Sump Deck Equipment Support Location Plan - AFC</t>
  </si>
  <si>
    <t>ST-2020</t>
  </si>
  <si>
    <t>WPA01 Topside Equipment Support Details (12 Sheets) - IFR</t>
  </si>
  <si>
    <t>ST-2030</t>
  </si>
  <si>
    <t>WPA01 Topside Equipment Support Details (12 Sheets) - IFA</t>
  </si>
  <si>
    <t>ST-2040</t>
  </si>
  <si>
    <t>WPA01 Topside Equipment Support Details (12 Sheets) - AFC</t>
  </si>
  <si>
    <t>ST-2050</t>
  </si>
  <si>
    <t>WPA01 Topside Platform Name Plate Details - IFR</t>
  </si>
  <si>
    <t>ST-2060</t>
  </si>
  <si>
    <t>WPA01 Topside Platform Name Plate Details - IFA</t>
  </si>
  <si>
    <t>ST-2070</t>
  </si>
  <si>
    <t>ST-2080</t>
  </si>
  <si>
    <t>WPA01 Topside Lifting Configuration - IFR</t>
  </si>
  <si>
    <t>ST-2090</t>
  </si>
  <si>
    <t>WPA01 Topside Lifting Configuration - IFA</t>
  </si>
  <si>
    <t>ST-2100</t>
  </si>
  <si>
    <t>WPA01 Topside Lifting Configuration - AFC</t>
  </si>
  <si>
    <t>ST-2110</t>
  </si>
  <si>
    <t>WPA01 Topside Lifting Padeye Details (4 Sheets) - IFR</t>
  </si>
  <si>
    <t>ST-2120</t>
  </si>
  <si>
    <t>WPA01 Topside Lifting Padeye Details (4 Sheets) - IFA</t>
  </si>
  <si>
    <t>ST-2130</t>
  </si>
  <si>
    <t>WPA01 Topside Lifting Padeye Details (4 Sheets) - AFC</t>
  </si>
  <si>
    <t>ST-2140</t>
  </si>
  <si>
    <t>WPA01 Topside Primary Steel MTO Report - IFR</t>
  </si>
  <si>
    <t>ST-2150</t>
  </si>
  <si>
    <t>WPA01 Topside Primary Steel MTO Report - IFA</t>
  </si>
  <si>
    <t>ST-2160</t>
  </si>
  <si>
    <t>WPA01 Topside Primary Steel MTO Report - AFC</t>
  </si>
  <si>
    <t>ST-2170</t>
  </si>
  <si>
    <t>WPA01 Topside Secondary and Tertiary Steel MTO Report - IFR</t>
  </si>
  <si>
    <t>ST-2180</t>
  </si>
  <si>
    <t>WPA01 Topside Secondary and Tertiary Steel MTO Report - IFA</t>
  </si>
  <si>
    <t>ST-2190</t>
  </si>
  <si>
    <t>WPA01 Topside Secondary and Tertiary Steel MTO Report - AFC</t>
  </si>
  <si>
    <t>ST-2200</t>
  </si>
  <si>
    <t>WPA01 Topside Computer Modeling and Load Formulation Report - IFR</t>
  </si>
  <si>
    <t>ST-2210</t>
  </si>
  <si>
    <t>WPA01 Topside Computer Modeling and Load Formulation Report - IFA</t>
  </si>
  <si>
    <t>ST-2220</t>
  </si>
  <si>
    <t>WPA01 Topside Computer Modeling and Load Formulation Report - AFC</t>
  </si>
  <si>
    <t>ST-2230</t>
  </si>
  <si>
    <t>WPA01 Topside In-Place Analysis Report - IFR</t>
  </si>
  <si>
    <t>ST-2240</t>
  </si>
  <si>
    <t>WPA01 Topside In-Place Analysis Report - IFA</t>
  </si>
  <si>
    <t>ST-2250</t>
  </si>
  <si>
    <t>WPA01 Topside In-Place Analysis Report - AFC</t>
  </si>
  <si>
    <t>ST-2253</t>
  </si>
  <si>
    <t>WPA01 Topside Vibration Anaysis Report - IFR</t>
  </si>
  <si>
    <t>ST-2255</t>
  </si>
  <si>
    <t>WPA01 Topside Vibration Anaysis Report - IFA</t>
  </si>
  <si>
    <t>ST-2256</t>
  </si>
  <si>
    <t>WPA01 Topside Vibration Anaysis Report - AFC</t>
  </si>
  <si>
    <t>ST-2260</t>
  </si>
  <si>
    <t>WPA01 Topside Loadout Analysis Report - IFR</t>
  </si>
  <si>
    <t>ST-2270</t>
  </si>
  <si>
    <t>WPA01 Topside Loadout Analysis Report - IFA</t>
  </si>
  <si>
    <t>ST-2280</t>
  </si>
  <si>
    <t>WPA01 Topside Loadout Analysis Report - AFC</t>
  </si>
  <si>
    <t>ST-2290</t>
  </si>
  <si>
    <t>WPA01 Topside Transportation Analysis Report - IFR</t>
  </si>
  <si>
    <t>ST-2300</t>
  </si>
  <si>
    <t>WPA01 Topside Transportation Analysis Report - IFA</t>
  </si>
  <si>
    <t>ST-2310</t>
  </si>
  <si>
    <t>WPA01 Topside Transportation Analysis Report - AFC</t>
  </si>
  <si>
    <t>ST-2320</t>
  </si>
  <si>
    <t>WPA01 Topside Transportation Fatigue Analysis Report - IFR</t>
  </si>
  <si>
    <t>ST-2330</t>
  </si>
  <si>
    <t>WPA01 Topside Transportation Fatigue Analysis Report - IFA</t>
  </si>
  <si>
    <t>ST-2340</t>
  </si>
  <si>
    <t>WPA01 Topside Transportation Fatigue Analysis Report - AFC</t>
  </si>
  <si>
    <t>ST-2350</t>
  </si>
  <si>
    <t>WPA01 Topside Lifting Analysis Report - IFR</t>
  </si>
  <si>
    <t>ST-2360</t>
  </si>
  <si>
    <t>WPA01 Topside Lifting Analysis Report - IFA</t>
  </si>
  <si>
    <t>ST-2370</t>
  </si>
  <si>
    <t>WPA01 Topside Lifting Analysis Report - AFC</t>
  </si>
  <si>
    <t>ST-2380</t>
  </si>
  <si>
    <t>WPA01 Topside Miscellaneous Design Report - IFR</t>
  </si>
  <si>
    <t>ST-2390</t>
  </si>
  <si>
    <t>WPA01 Topside Miscellaneous Design Report - IFA</t>
  </si>
  <si>
    <t>ST-2400</t>
  </si>
  <si>
    <t>WPA01 Topside Miscellaneous Design Report - AFC</t>
  </si>
  <si>
    <t>ST-2401</t>
  </si>
  <si>
    <t>WPA01 Topside Finite Element Analysis for Casing Slot and Unihead Spacer Report - IFR</t>
  </si>
  <si>
    <t>ST-2402</t>
  </si>
  <si>
    <t>WPA01 Topside Finite Element Analysis for Casing Slot and Unihead Spacer Report - IFA</t>
  </si>
  <si>
    <t>ST-2403</t>
  </si>
  <si>
    <t>WPA01 Topside Finite Element Analysis for Casing Slot and Unihead Spacer Report - AFC</t>
  </si>
  <si>
    <t>ST-2407</t>
  </si>
  <si>
    <t>WPA01 Structural Design for Dropped Object Report - IFR</t>
  </si>
  <si>
    <t>ST-2408</t>
  </si>
  <si>
    <t>WPA01 Structural Design for Dropped Object Report - IFA</t>
  </si>
  <si>
    <t>ST-2409</t>
  </si>
  <si>
    <t>WPA01 Structural Design for Dropped Object Report - AFC</t>
  </si>
  <si>
    <t>ST-24091</t>
  </si>
  <si>
    <t>WPA01 Topside Weight Control Report - IFR</t>
  </si>
  <si>
    <t>ST-24092</t>
  </si>
  <si>
    <t>WPA01 Topside Weight Control Report - IFA</t>
  </si>
  <si>
    <t>ST-24093</t>
  </si>
  <si>
    <t>WPA01 Topside Weight Control Report - AFC</t>
  </si>
  <si>
    <t>ST-2410</t>
  </si>
  <si>
    <t>WPA02 Topside Drawing Index (2 Sheets) - IFR</t>
  </si>
  <si>
    <t>ST-2420</t>
  </si>
  <si>
    <t>WPA02 Topside Drawing Index (2 Sheets) - IFA</t>
  </si>
  <si>
    <t>ST-2430</t>
  </si>
  <si>
    <t>WPA02 Topside Drawing Index (2 Sheets) - AFC</t>
  </si>
  <si>
    <t>ST-2440</t>
  </si>
  <si>
    <t>WPA02 Topside Deck Loading Diagrams - IFR</t>
  </si>
  <si>
    <t>ST-2450</t>
  </si>
  <si>
    <t>WPA02 Topside Deck Loading Diagrams - IFA</t>
  </si>
  <si>
    <t>ST-2460</t>
  </si>
  <si>
    <t>WPA02 Topside Deck Loading Diagrams - AFC</t>
  </si>
  <si>
    <t>ST-2470</t>
  </si>
  <si>
    <t>WPA02 Topside - Upper Deck Primary Steel Framing Plan - IFR</t>
  </si>
  <si>
    <t>ST-2480</t>
  </si>
  <si>
    <t>WPA02 Topside - Upper Deck Primary Steel Framing Plan - IFA</t>
  </si>
  <si>
    <t>ST-2490</t>
  </si>
  <si>
    <t>WPA02 Topside - Upper Deck Primary Steel Framing Plan - AFC</t>
  </si>
  <si>
    <t>ST-2500</t>
  </si>
  <si>
    <t>ST-2510</t>
  </si>
  <si>
    <t>ST-2520</t>
  </si>
  <si>
    <t>ST-2530</t>
  </si>
  <si>
    <t>WPA02 Topside - Elevation Truss Row A, B, 1, 2 - IFR</t>
  </si>
  <si>
    <t>ST-2540</t>
  </si>
  <si>
    <t>WPA02 Topside - Elevation Truss Row A, B, 1, 2 - IFA</t>
  </si>
  <si>
    <t>ST-2550</t>
  </si>
  <si>
    <t>WPA02 Topside - Elevation Truss Row A, B, 1, 2 - AFC</t>
  </si>
  <si>
    <t>ST-2560</t>
  </si>
  <si>
    <t>WPA02 Topside - Sections (2 Sheets) - IFR</t>
  </si>
  <si>
    <t>ST-2570</t>
  </si>
  <si>
    <t>WPA02 Topside - Sections (2 Sheets) - IFA</t>
  </si>
  <si>
    <t>ST-2580</t>
  </si>
  <si>
    <t>WPA02 Topside - Sections (2 Sheets) - AFC</t>
  </si>
  <si>
    <t>ST-2590</t>
  </si>
  <si>
    <t>WPA02 Topside Joint Connection Details (14 Sheets) - IFR</t>
  </si>
  <si>
    <t>ST-2600</t>
  </si>
  <si>
    <t>WPA02 Topside Joint Connection Details (14 Sheets) - IFA</t>
  </si>
  <si>
    <t>ST-2610</t>
  </si>
  <si>
    <t>WPA02 Topside Joint Connection Details (14 Sheets) - AFC</t>
  </si>
  <si>
    <t>ST-2620</t>
  </si>
  <si>
    <t>WPA02 Topside Upper Deck Secondary Steel Framing Plan - IFR</t>
  </si>
  <si>
    <t>ST-2630</t>
  </si>
  <si>
    <t>WPA02 Topside Upper Deck Secondary Steel Framing Plan - IFA</t>
  </si>
  <si>
    <t>ST-2640</t>
  </si>
  <si>
    <t>WPA02 Topside Upper Deck Secondary Steel Framing Plan - AFC</t>
  </si>
  <si>
    <t>ST-2650</t>
  </si>
  <si>
    <t>WPA02 Topside Lower Deck Secondary Steel Framing Plan - IFR</t>
  </si>
  <si>
    <t>ST-2660</t>
  </si>
  <si>
    <t>WPA02 Topside Lower Deck Secondary Steel Framing Plan - IFA</t>
  </si>
  <si>
    <t>ST-2670</t>
  </si>
  <si>
    <t>WPA02 Topside Lower Deck Secondary Steel Framing Plan - AFC</t>
  </si>
  <si>
    <t>ST-2680</t>
  </si>
  <si>
    <t>WPA02 Topside Mezzanine Deck Framing Plan - IFR</t>
  </si>
  <si>
    <t>ST-2690</t>
  </si>
  <si>
    <t>WPA02 Topside Mezzanine Deck Framing Plan - IFA</t>
  </si>
  <si>
    <t>ST-2700</t>
  </si>
  <si>
    <t>WPA02 Topside Mezzanine Deck Framing Plan - AFC</t>
  </si>
  <si>
    <t>ST-2710</t>
  </si>
  <si>
    <t>WPA02 Topside Mezzanine Deck Section &amp; Details (3 Sheets) - IFR</t>
  </si>
  <si>
    <t>ST-2720</t>
  </si>
  <si>
    <t>WPA02 Topside Mezzanine Deck Section &amp; Details (3 Sheets) - IFA</t>
  </si>
  <si>
    <t>ST-2730</t>
  </si>
  <si>
    <t>WPA02 Topside Mezzanine Deck Section &amp; Details (3 Sheets) - AFC</t>
  </si>
  <si>
    <t>ST-2740</t>
  </si>
  <si>
    <t>WPA02 Topside Sump Deck Framing Plan - IFR</t>
  </si>
  <si>
    <t>ST-2750</t>
  </si>
  <si>
    <t>WPA02 Topside Sump Deck Framing Plan - IFA</t>
  </si>
  <si>
    <t>ST-2760</t>
  </si>
  <si>
    <t>WPA02 Topside Sump Deck Framing Plan - AFC</t>
  </si>
  <si>
    <t>ST-2770</t>
  </si>
  <si>
    <t>WPA02 Topside Sump Deck Section &amp; Details (3 Sheets) - IFR</t>
  </si>
  <si>
    <t>ST-2780</t>
  </si>
  <si>
    <t>WPA02 Topside Sump Deck Section &amp; Details (3 Sheets) - IFA</t>
  </si>
  <si>
    <t>ST-2790</t>
  </si>
  <si>
    <t>WPA02 Topside Sump Deck Section &amp; Details (3 Sheets) - AFC</t>
  </si>
  <si>
    <t>ST-2800</t>
  </si>
  <si>
    <t>WPA02 Topside Standard Joint Details for Secondary Beam - IFR</t>
  </si>
  <si>
    <t>ST-2810</t>
  </si>
  <si>
    <t>WPA02 Topside Standard Joint Details for Secondary Beam - IFA</t>
  </si>
  <si>
    <t>ST-2820</t>
  </si>
  <si>
    <t>WPA02 Topside Standard Joint Details for Secondary Beam - AFC</t>
  </si>
  <si>
    <t>ST-2830</t>
  </si>
  <si>
    <t>WPA02 Topside Vent Boom Plan and Elevation - IFR</t>
  </si>
  <si>
    <t>ST-2840</t>
  </si>
  <si>
    <t>WPA02 Topside Vent Boom Plan and Elevation - IFA</t>
  </si>
  <si>
    <t>ST-2850</t>
  </si>
  <si>
    <t>WPA02 Topside Vent Boom Plan and Elevation - AFC</t>
  </si>
  <si>
    <t>ST-2860</t>
  </si>
  <si>
    <t>WPA02 Topside Vent Boom Sections - IFR</t>
  </si>
  <si>
    <t>ST-2870</t>
  </si>
  <si>
    <t>WPA02 Topside Vent Boom Sections - IFA</t>
  </si>
  <si>
    <t>ST-2880</t>
  </si>
  <si>
    <t>WPA02 Topside Vent Boom Sections - AFC</t>
  </si>
  <si>
    <t>ST-2890</t>
  </si>
  <si>
    <t>WPA02 Topside Vent Boom Walkway Plan and Sections - IFR</t>
  </si>
  <si>
    <t>ST-2900</t>
  </si>
  <si>
    <t>WPA02 Topside Vent Boom Walkway Plan and Sections - IFA</t>
  </si>
  <si>
    <t>ST-2910</t>
  </si>
  <si>
    <t>WPA02 Topside Vent Boom Walkway Plan and Sections - AFC</t>
  </si>
  <si>
    <t>ST-2920</t>
  </si>
  <si>
    <t>WPA02 Topside Vent Boom Walkway Section and Details (3 Sheets) - IFR</t>
  </si>
  <si>
    <t>ST-2930</t>
  </si>
  <si>
    <t>WPA02 Topside Vent Boom Walkway Section and Details (3 Sheets) - IFA</t>
  </si>
  <si>
    <t>ST-2940</t>
  </si>
  <si>
    <t>WPA02 Topside Vent Boom Walkway Section and Details (3 Sheets) - AFC</t>
  </si>
  <si>
    <t>ST-2950</t>
  </si>
  <si>
    <t>WPA02 Topside Solar Panel Arrangement &amp; Support Details (7 Sheets) - IFR</t>
  </si>
  <si>
    <t>ST-2960</t>
  </si>
  <si>
    <t>WPA02 Topside Solar Panel Arrangement &amp; Support Details (7 Sheets) - IFA</t>
  </si>
  <si>
    <t>ST-2970</t>
  </si>
  <si>
    <t>ST-2980</t>
  </si>
  <si>
    <t>WPA02 Topside Upper Deck Flooring &amp; Handrail Layout Plan - IFR</t>
  </si>
  <si>
    <t>ST-2990</t>
  </si>
  <si>
    <t>WPA02 Topside Upper Deck Flooring &amp; Handrail Layout Plan - IFA</t>
  </si>
  <si>
    <t>ST-3000</t>
  </si>
  <si>
    <t>WPA02 Topside Upper Deck Flooring &amp; Handrail Layout Plan - AFC</t>
  </si>
  <si>
    <t>ST-3010</t>
  </si>
  <si>
    <t>WPA02 Topside Lower Deck Flooring &amp; Handrail Layout - IFR</t>
  </si>
  <si>
    <t>ST-3020</t>
  </si>
  <si>
    <t>WPA02 Topside Lower Deck Flooring &amp; Handrail Layout - IFA</t>
  </si>
  <si>
    <t>ST-3030</t>
  </si>
  <si>
    <t>WPA02 Topside Lower Deck Flooring &amp; Handrail Layout - AFC</t>
  </si>
  <si>
    <t>ST-3040</t>
  </si>
  <si>
    <t>WPA02 Topside Mezzanine Deck Flooring &amp; Handrail Layout - IFR</t>
  </si>
  <si>
    <t>ST-3050</t>
  </si>
  <si>
    <t>WPA02 Topside Mezzanine Deck Flooring &amp; Handrail Layout - IFA</t>
  </si>
  <si>
    <t>ST-3060</t>
  </si>
  <si>
    <t>WPA02 Topside Mezzanine Deck Flooring &amp; Handrail Layout - AFC</t>
  </si>
  <si>
    <t>ST-3070</t>
  </si>
  <si>
    <t>WPA02 Topside Sump Deck Flooring &amp; Handrail Layout - IFR</t>
  </si>
  <si>
    <t>ST-3080</t>
  </si>
  <si>
    <t>WPA02 Topside Sump Deck Flooring &amp; Handrail Layout - IFA</t>
  </si>
  <si>
    <t>ST-3090</t>
  </si>
  <si>
    <t>WPA02 Topside Sump Deck Flooring &amp; Handrail Layout - AFC</t>
  </si>
  <si>
    <t>ST-3100</t>
  </si>
  <si>
    <t>WPA02 Topside Flooring Sections &amp; Details (2 Sheets) - IFR</t>
  </si>
  <si>
    <t>ST-3110</t>
  </si>
  <si>
    <t>WPA02 Topside Flooring Sections &amp; Details (2 Sheets) - IFA</t>
  </si>
  <si>
    <t>ST-3120</t>
  </si>
  <si>
    <t>WPA02 Topside Flooring Sections &amp; Details (2 Sheets) - AFC</t>
  </si>
  <si>
    <t>ST-3130</t>
  </si>
  <si>
    <t>WPA02 Topside Stairway Layout &amp; Details (11 Sheets) - IFR</t>
  </si>
  <si>
    <t>ST-3140</t>
  </si>
  <si>
    <t>WPA02 Topside Stairway Layout &amp; Details (11 Sheets) - IFA</t>
  </si>
  <si>
    <t>ST-3150</t>
  </si>
  <si>
    <t>WPA02 Topside Stairway Layout &amp; Details (11 Sheets) - AFC</t>
  </si>
  <si>
    <t>ST-3160</t>
  </si>
  <si>
    <t>WPA02 Topside Deck Hatch Arrangement &amp; Details (11 Sheets) - IFR</t>
  </si>
  <si>
    <t>ST-3170</t>
  </si>
  <si>
    <t>WPA02 Topside Deck Hatch Arrangement &amp; Details (11 Sheets) - IFA</t>
  </si>
  <si>
    <t>ST-3180</t>
  </si>
  <si>
    <t>WPA02 Topside Deck Hatch Arrangement &amp; Details (11 Sheets) - AFC</t>
  </si>
  <si>
    <t>ST-3190</t>
  </si>
  <si>
    <t>WPA02 Topside Monorail Layout and Details - IFR</t>
  </si>
  <si>
    <t>ST-3200</t>
  </si>
  <si>
    <t>WPA02 Topside Monorail Layout and Details - IFA</t>
  </si>
  <si>
    <t>ST-3210</t>
  </si>
  <si>
    <t>WPA02 Topside Monorail Layout and Details - AFC</t>
  </si>
  <si>
    <t>ST-3220</t>
  </si>
  <si>
    <t>WPA02 Topside Condensate Burner Boom Support Details (2 Sheets) - IFR</t>
  </si>
  <si>
    <t>ST-3230</t>
  </si>
  <si>
    <t>WPA02 Topside Condensate Burner Boom Support Details (2 Sheets) - IFA</t>
  </si>
  <si>
    <t>ST-3240</t>
  </si>
  <si>
    <t>WPA02 Topside Condensate Burner Boom Support Details (2 Sheets) - AFC</t>
  </si>
  <si>
    <t>ST-3250</t>
  </si>
  <si>
    <t>WPA02 Topside Helideck Marking and Safety Netting Layout - IFR</t>
  </si>
  <si>
    <t>ST-3260</t>
  </si>
  <si>
    <t>WPA02 Topside Helideck Marking and Safety Netting Layout - IFA</t>
  </si>
  <si>
    <t>ST-3270</t>
  </si>
  <si>
    <t>WPA02 Topside Helideck Marking and Safety Netting Layout - AFC</t>
  </si>
  <si>
    <t>ST-3280</t>
  </si>
  <si>
    <t>WPA02 Topside Helideck Marking and Safety Netting Details (2 Sheets) - IFR</t>
  </si>
  <si>
    <t>ST-3290</t>
  </si>
  <si>
    <t>WPA02 Topside Helideck Marking and Safety Netting Details (2 Sheets) - IFA</t>
  </si>
  <si>
    <t>ST-3300</t>
  </si>
  <si>
    <t>ST-3310</t>
  </si>
  <si>
    <t>WPA02 Topside Upper Deck Equipment Support Location Plan - IFR</t>
  </si>
  <si>
    <t>ST-3320</t>
  </si>
  <si>
    <t>WPA02 Topside Upper Deck Equipment Support Location Plan - IFA</t>
  </si>
  <si>
    <t>ST-3330</t>
  </si>
  <si>
    <t>WPA02 Topside Upper Deck Equipment Support Location Plan - AFC</t>
  </si>
  <si>
    <t>ST-3340</t>
  </si>
  <si>
    <t>WPA02 Topside Lower Deck Equipment Support Location Plan - IFR</t>
  </si>
  <si>
    <t>ST-3350</t>
  </si>
  <si>
    <t>WPA02 Topside Lower Deck Equipment Support Location Plan - IFA</t>
  </si>
  <si>
    <t>ST-3360</t>
  </si>
  <si>
    <t>WPA02 Topside Lower Deck Equipment Support Location Plan - AFC</t>
  </si>
  <si>
    <t>ST-3370</t>
  </si>
  <si>
    <t>WPA02 Topside Mezzanine Deck Equipment Support Location Plan - IFR</t>
  </si>
  <si>
    <t>ST-3380</t>
  </si>
  <si>
    <t>WPA02 Topside Mezzanine Deck Equipment Support Location Plan - IFA</t>
  </si>
  <si>
    <t>ST-3390</t>
  </si>
  <si>
    <t>WPA02 Topside Mezzanine Deck Equipment Support Location Plan - AFC</t>
  </si>
  <si>
    <t>ST-3400</t>
  </si>
  <si>
    <t>WPA02 Topside Sump Deck Equipment Support Location Plan - IFR</t>
  </si>
  <si>
    <t>ST-3410</t>
  </si>
  <si>
    <t>WPA02 Topside Sump Deck Equipment Support Location Plan - IFA</t>
  </si>
  <si>
    <t>ST-3420</t>
  </si>
  <si>
    <t>WPA02 Topside Sump Deck Equipment Support Location Plan - AFC</t>
  </si>
  <si>
    <t>ST-3430</t>
  </si>
  <si>
    <t>WPA02 Topside Equipment Support Details (17 Sheets) - IFR</t>
  </si>
  <si>
    <t>ST-3440</t>
  </si>
  <si>
    <t>WPA02 Topside Equipment Support Details (17 Sheets) - IFA</t>
  </si>
  <si>
    <t>ST-3450</t>
  </si>
  <si>
    <t>WPA02 Topside Equipment Support Details (17 Sheets) - AFC</t>
  </si>
  <si>
    <t>ST-3460</t>
  </si>
  <si>
    <t>WPA02 Topside Platform Name Plate Details - IFR</t>
  </si>
  <si>
    <t>ST-3470</t>
  </si>
  <si>
    <t>WPA02 Topside Platform Name Plate Details - IFA</t>
  </si>
  <si>
    <t>ST-3480</t>
  </si>
  <si>
    <t>ST-3490</t>
  </si>
  <si>
    <t>WPA02 Topside Lifting Configuration - IFR</t>
  </si>
  <si>
    <t>ST-3500</t>
  </si>
  <si>
    <t>WPA02 Topside Lifting Configuration - IFA</t>
  </si>
  <si>
    <t>ST-3510</t>
  </si>
  <si>
    <t>WPA02 Topside Lifting Configuration - AFC</t>
  </si>
  <si>
    <t>ST-3520</t>
  </si>
  <si>
    <t>WPA02 Topside Lifting Padeye Details (4 Sheets) - IFR</t>
  </si>
  <si>
    <t>ST-3530</t>
  </si>
  <si>
    <t>WPA02 Topside Lifting Padeye Details (4 Sheets) - IFA</t>
  </si>
  <si>
    <t>ST-3540</t>
  </si>
  <si>
    <t>WPA02 Topside Lifting Padeye Details (4 Sheets) - AFC</t>
  </si>
  <si>
    <t>ST-3550</t>
  </si>
  <si>
    <t>WPA02 Topside Primary Steel MTO Report - IFR</t>
  </si>
  <si>
    <t>ST-3560</t>
  </si>
  <si>
    <t>WPA02 Topside Primary Steel MTO Report  - IFA</t>
  </si>
  <si>
    <t>ST-3570</t>
  </si>
  <si>
    <t>WPA02 Topside Primary Steel MTO Report - AFC</t>
  </si>
  <si>
    <t>ST-3580</t>
  </si>
  <si>
    <t>WPA02 Topside Secondary and Tertiary Steel MTO Report - IFR</t>
  </si>
  <si>
    <t>ST-3590</t>
  </si>
  <si>
    <t>WPA02 Topside Secondary and Tertiary Steel MTO Report - IFA</t>
  </si>
  <si>
    <t>ST-3600</t>
  </si>
  <si>
    <t>WPA02 Topside Secondary and Tertiary Steel MTO Report - AFC</t>
  </si>
  <si>
    <t>ST-3610</t>
  </si>
  <si>
    <t>WPA02 Topside Computer Modeling and Load Formulation Report - IFR</t>
  </si>
  <si>
    <t>ST-3620</t>
  </si>
  <si>
    <t>WPA02 Topside Computer Modeling and Load Formulation Report - IFA</t>
  </si>
  <si>
    <t>ST-3630</t>
  </si>
  <si>
    <t>WPA02 Topside Computer Modeling and Load Formulation Report - AFC</t>
  </si>
  <si>
    <t>ST-3640</t>
  </si>
  <si>
    <t>WPA02 Topside In-Place Analysis Report - IFR</t>
  </si>
  <si>
    <t>ST-3650</t>
  </si>
  <si>
    <t>WPA02 Topside In-Place Analysis Report - IFA</t>
  </si>
  <si>
    <t>ST-3660</t>
  </si>
  <si>
    <t>WPA02 Topside In-Place Analysis Report - AFC</t>
  </si>
  <si>
    <t>ST-3670</t>
  </si>
  <si>
    <t>WPA02 Topside Loadout Analysis Report - IFR</t>
  </si>
  <si>
    <t>ST-3680</t>
  </si>
  <si>
    <t>WPA02 Topside Loadout Analysis Report - IFA</t>
  </si>
  <si>
    <t>ST-3690</t>
  </si>
  <si>
    <t>WPA02 Topside Loadout Analysis Report - AFC</t>
  </si>
  <si>
    <t>ST-3700</t>
  </si>
  <si>
    <t>WPA02 Topside Transportation Analysis Report - IFR</t>
  </si>
  <si>
    <t>ST-3710</t>
  </si>
  <si>
    <t>WPA02 Topside Transportation Analysis Report - IFA</t>
  </si>
  <si>
    <t>ST-3720</t>
  </si>
  <si>
    <t>WPA02 Topside Transportation Analysis Report - AFC</t>
  </si>
  <si>
    <t>ST-3730</t>
  </si>
  <si>
    <t>WPA02 Topside Transportation Fatigue Analysis Report - IFR</t>
  </si>
  <si>
    <t>ST-3740</t>
  </si>
  <si>
    <t>WPA02 Topside Transportation Fatigue Analysis Report - IFA</t>
  </si>
  <si>
    <t>ST-3750</t>
  </si>
  <si>
    <t>WPA02 Topside Transportation Fatigue Analysis Report - AFC</t>
  </si>
  <si>
    <t>ST-3760</t>
  </si>
  <si>
    <t>WPA02 Topside Lifting Analysis Report - IFR</t>
  </si>
  <si>
    <t>ST-3770</t>
  </si>
  <si>
    <t>WPA02 Topside Lifting Analysis Report - IFA</t>
  </si>
  <si>
    <t>ST-3780</t>
  </si>
  <si>
    <t>WPA02 Topside Lifting Analysis Report - AFC</t>
  </si>
  <si>
    <t>ST-3790</t>
  </si>
  <si>
    <t>WPA02 Topside Miscellaneous Design Report - IFR</t>
  </si>
  <si>
    <t>ST-3800</t>
  </si>
  <si>
    <t>WPA02 Topside Miscellaneous Design Report - IFA</t>
  </si>
  <si>
    <t>ST-3810</t>
  </si>
  <si>
    <t>WPA02 Topside Miscellaneous Design Report - AFC</t>
  </si>
  <si>
    <t>ST-3811</t>
  </si>
  <si>
    <t>WPA02 Topside Finite Element Analysis for Casing Slot and Unihead Spacer Report - IFR</t>
  </si>
  <si>
    <t>ST-3812</t>
  </si>
  <si>
    <t>WPA02 Topside Finite Element Analysis for Casing Slot and Unihead Spacer Report - IFA</t>
  </si>
  <si>
    <t>ST-3813</t>
  </si>
  <si>
    <t>WPA02 Topside Finite Element Analysis for Casing Slot and Unihead Spacer Report - AFC</t>
  </si>
  <si>
    <t>ST-3817</t>
  </si>
  <si>
    <t>WPA02 Structural Design for Dropped Object Report - IFR</t>
  </si>
  <si>
    <t>ST-3818</t>
  </si>
  <si>
    <t>WPA02 Structural Design for Dropped Object Report - IFA</t>
  </si>
  <si>
    <t>ST-3819</t>
  </si>
  <si>
    <t>WPA02 Structural Design for Dropped Object Report - AFC</t>
  </si>
  <si>
    <t>ST-3820</t>
  </si>
  <si>
    <t>WPA02 Topside Weight Control Report - IFR</t>
  </si>
  <si>
    <t>ST-3830</t>
  </si>
  <si>
    <t>WPA02 Topside Weight Control Report - IFA</t>
  </si>
  <si>
    <t>ST-3840</t>
  </si>
  <si>
    <t>WPA02 Topside Weight Control Report - AFC</t>
  </si>
  <si>
    <t>ST-3880</t>
  </si>
  <si>
    <t>Structural Design Basis - IFR</t>
  </si>
  <si>
    <t>ST-3890</t>
  </si>
  <si>
    <t>Structural Design Basis - IFA</t>
  </si>
  <si>
    <t>ST-3900</t>
  </si>
  <si>
    <t>Structural Design Basis - AFC</t>
  </si>
  <si>
    <t>ST-3902</t>
  </si>
  <si>
    <t>Topside General Notes - IFR</t>
  </si>
  <si>
    <t>ST-3904</t>
  </si>
  <si>
    <t>Topside General Notes - IFA</t>
  </si>
  <si>
    <t>ST-3907</t>
  </si>
  <si>
    <t>Topside General Notes - AFC</t>
  </si>
  <si>
    <t>ST-3910</t>
  </si>
  <si>
    <t>Topside Standard Details Welding Detail (2 Sheets) - IFR</t>
  </si>
  <si>
    <t>ST-3920</t>
  </si>
  <si>
    <t>Topside Standard Details Welding Detail (2 Sheets) - IFA</t>
  </si>
  <si>
    <t>ST-3930</t>
  </si>
  <si>
    <t>Topside Standard Details Welding Detail (2 Sheets) - AFC</t>
  </si>
  <si>
    <t>ST-3940</t>
  </si>
  <si>
    <t>Topside Standard Details Beam Connections (4 Sheets) - IFR</t>
  </si>
  <si>
    <t>ST-3950</t>
  </si>
  <si>
    <t>Topside Standard Details Beam Connections (4 Sheets) - IFA</t>
  </si>
  <si>
    <t>ST-3960</t>
  </si>
  <si>
    <t>Topside Standard Details Beam Connections (4 Sheets) - AFC</t>
  </si>
  <si>
    <t>ST-3970</t>
  </si>
  <si>
    <t>Topside Standard Details Tubular Connections - IFR</t>
  </si>
  <si>
    <t>ST-3980</t>
  </si>
  <si>
    <t>Topside Standard Details Tubular Connections - IFA</t>
  </si>
  <si>
    <t>ST-3990</t>
  </si>
  <si>
    <t>Topside Standard Details Tubular Connections - AFC</t>
  </si>
  <si>
    <t>ST-4000</t>
  </si>
  <si>
    <t>Topside Standard Details Handrail Details (2 Sheets) - IFR</t>
  </si>
  <si>
    <t>ST-4010</t>
  </si>
  <si>
    <t>Topside Standard Details Handrail Details (2 Sheets) - IFA</t>
  </si>
  <si>
    <t>ST-4020</t>
  </si>
  <si>
    <t>Topside Standard Details Handrail Details (2 Sheets) - AFC</t>
  </si>
  <si>
    <t>ST-4030</t>
  </si>
  <si>
    <t>Topside Standard Details Ladder Details (3 Sheets) - IFR</t>
  </si>
  <si>
    <t>ST-4040</t>
  </si>
  <si>
    <t>Topside Standard Details Ladder Details (3 Sheets) - IFA</t>
  </si>
  <si>
    <t>ST-4050</t>
  </si>
  <si>
    <t>Topside Standard Details Ladder Details (3 Sheets) - AFC</t>
  </si>
  <si>
    <t>ST-4060</t>
  </si>
  <si>
    <t>Topside Standard Details Plating and Grating Details (2 Sheets) - IFR</t>
  </si>
  <si>
    <t>ST-4070</t>
  </si>
  <si>
    <t>Topside Standard Details Plating and Grating Details (2 Sheets) - IFA</t>
  </si>
  <si>
    <t>ST-4080</t>
  </si>
  <si>
    <t>Topside Standard Details Plating and Grating Details (2 Sheets) - AFC</t>
  </si>
  <si>
    <t>ST-4090</t>
  </si>
  <si>
    <t>Topside Standard Details Deck Drain Details ( 2 Sheets) - IFR</t>
  </si>
  <si>
    <t>ST-4100</t>
  </si>
  <si>
    <t>Topside Standard Details Deck Drain Details ( 2 Sheets) - IFA</t>
  </si>
  <si>
    <t>ST-4110</t>
  </si>
  <si>
    <t>Topside Standard Details Deck Drain Details ( 2 Sheets) - AFC</t>
  </si>
  <si>
    <t>ST-4120</t>
  </si>
  <si>
    <t>Topside Standard Details Logo Painting - IFR</t>
  </si>
  <si>
    <t>ST-4130</t>
  </si>
  <si>
    <t>Topside Standard Details Logo Painting - IFA</t>
  </si>
  <si>
    <t>ST-4140</t>
  </si>
  <si>
    <t>Topside Standard Details Logo Painting - AFC</t>
  </si>
  <si>
    <t>ST-4150</t>
  </si>
  <si>
    <t>Topside Casing Slot Arrangement (2 Sheets) - IFR</t>
  </si>
  <si>
    <t>ST-4160</t>
  </si>
  <si>
    <t>Topside Casing Slot Arrangement (2 Sheets) - IFA</t>
  </si>
  <si>
    <t>ST-4170</t>
  </si>
  <si>
    <t>Topside Casing Slot Arrangement (2 Sheets) - AFC</t>
  </si>
  <si>
    <t>ST-4180</t>
  </si>
  <si>
    <t>Topside Unihead Spacer Arrangement and Details (2 Sheets) - IFR</t>
  </si>
  <si>
    <t>ST-4190</t>
  </si>
  <si>
    <t>Topside Unihead Spacer Arrangement and Details (2 Sheets) - IFA</t>
  </si>
  <si>
    <t>ST-4200</t>
  </si>
  <si>
    <t>Topside Unihead Spacer Arrangement and Details (2 Sheets) - AFC</t>
  </si>
  <si>
    <t>ST-4210</t>
  </si>
  <si>
    <t>Topside Deck to Pile Connection Details - IFR</t>
  </si>
  <si>
    <t>ST-4220</t>
  </si>
  <si>
    <t>Topside Deck to Pile Connection Details - IFA</t>
  </si>
  <si>
    <t>ST-4230</t>
  </si>
  <si>
    <t>Topside Deck to Pile Connection Details - AFC</t>
  </si>
  <si>
    <t>ST-4240</t>
  </si>
  <si>
    <t>Topside E&amp;I Room Plans and Elevations (2 Sheets) - IFR</t>
  </si>
  <si>
    <t>ST-4250</t>
  </si>
  <si>
    <t>Topside E&amp;I Room Plans and Elevations (2 Sheets) - IFA</t>
  </si>
  <si>
    <t>ST-4260</t>
  </si>
  <si>
    <t>Topside E&amp;I Room Plans and Elevations (2 Sheets) - AFC</t>
  </si>
  <si>
    <t>ST-4270</t>
  </si>
  <si>
    <t>Topside E&amp;I Room Sections and Details (2 Sheets) - IFR</t>
  </si>
  <si>
    <t>ST-4280</t>
  </si>
  <si>
    <t>Topside E&amp;I Room Sections and Details (2 Sheets) - IFA</t>
  </si>
  <si>
    <t>ST-4290</t>
  </si>
  <si>
    <t>Topside E&amp;I Room Sections and Details (2 Sheets) - AFC</t>
  </si>
  <si>
    <t>ST-4300</t>
  </si>
  <si>
    <t>Topside Crane Boom Rest Details - IFR</t>
  </si>
  <si>
    <t>ST-4310</t>
  </si>
  <si>
    <t>Topside Crane Boom Rest Details - IFA</t>
  </si>
  <si>
    <t>ST-4320</t>
  </si>
  <si>
    <t>Topside Crane Boom Rest Details - AFC</t>
  </si>
  <si>
    <t>ST-4330</t>
  </si>
  <si>
    <t>Topside Amenities Cubicle Plan, Sections and Details (2 Sheets) - IFR</t>
  </si>
  <si>
    <t>ST-4340</t>
  </si>
  <si>
    <t>Topside Amenities Cubicle Plan, Sections and Details (2 Sheets) - IFA</t>
  </si>
  <si>
    <t>ST-4350</t>
  </si>
  <si>
    <t>Topside Amenities Cubicle Plan, Sections and Details (2 Sheets) - AFC</t>
  </si>
  <si>
    <t>ST-4360</t>
  </si>
  <si>
    <t>Topside Swing Ropes and Details (2 Sheets) - IFR</t>
  </si>
  <si>
    <t>ST-4370</t>
  </si>
  <si>
    <t>Topside Swing Ropes and Details (2 Sheets) - IFA</t>
  </si>
  <si>
    <t>ST-4380</t>
  </si>
  <si>
    <t>Topside Swing Ropes and Details (2 Sheets) - AFC</t>
  </si>
  <si>
    <t>ST-4390</t>
  </si>
  <si>
    <t>Topside Life Raft and Descending Device Support Details - IFR</t>
  </si>
  <si>
    <t>ST-4400</t>
  </si>
  <si>
    <t>Topside Life Raft and Descending Device Support Details - IFA</t>
  </si>
  <si>
    <t>ST-4410</t>
  </si>
  <si>
    <t>Topside Life Raft and Descending Device Support Details - AFC</t>
  </si>
  <si>
    <t>ST-4420</t>
  </si>
  <si>
    <t>Weight Control Procedure - IFR</t>
  </si>
  <si>
    <t>ST-4430</t>
  </si>
  <si>
    <t>Weight Control Procedure - IFA</t>
  </si>
  <si>
    <t>ST-4440</t>
  </si>
  <si>
    <t>Weight Control Procedure - AFC</t>
  </si>
  <si>
    <t>STRUCTUREENGINEERING-JACKET</t>
  </si>
  <si>
    <t>STJ-1000</t>
  </si>
  <si>
    <t>WPA01 Jacket Loadout Analysis Report - IFR</t>
  </si>
  <si>
    <t>STJ-1010</t>
  </si>
  <si>
    <t>WPA01 Jacket Loadout Analysis Report - IFA</t>
  </si>
  <si>
    <t>STJ-1020</t>
  </si>
  <si>
    <t>WPA01 Jacket Loadout Analysis Report - AFC</t>
  </si>
  <si>
    <t>STJ-1030</t>
  </si>
  <si>
    <t>WPA02 Jacket Loadout Analysis Report - IFR</t>
  </si>
  <si>
    <t>STJ-1040</t>
  </si>
  <si>
    <t>WPA02 Jacket Loadout Analysis Report - IFA</t>
  </si>
  <si>
    <t>STJ-1050</t>
  </si>
  <si>
    <t>WPA02 Jacket Loadout Analysis Report - AFC</t>
  </si>
  <si>
    <t>STJ-1060</t>
  </si>
  <si>
    <t>WPA01 Jacket Transportation Analysis Report - IFR</t>
  </si>
  <si>
    <t>STJ-1070</t>
  </si>
  <si>
    <t>WPA01 Jacket Transportation Analysis Report - IFA</t>
  </si>
  <si>
    <t>STJ-1080</t>
  </si>
  <si>
    <t>WPA01 Jacket Transportation Analysis Report - AFC</t>
  </si>
  <si>
    <t>STJ-1090</t>
  </si>
  <si>
    <t>WPA02 Jacket Transportation Analysis Report - IFR</t>
  </si>
  <si>
    <t>STJ-1100</t>
  </si>
  <si>
    <t>WPA02 Jacket Transportation Analysis Report - IFA</t>
  </si>
  <si>
    <t>STJ-1110</t>
  </si>
  <si>
    <t>WPA02 Jacket Transportation Analysis Report - AFC</t>
  </si>
  <si>
    <t>STJ-1120</t>
  </si>
  <si>
    <t>WPA01 Jacket Lifting Analysis Report - IFR</t>
  </si>
  <si>
    <t>STJ-1130</t>
  </si>
  <si>
    <t>WPA01 Jacket Lifting Analysis Report - IFA</t>
  </si>
  <si>
    <t>STJ-1140</t>
  </si>
  <si>
    <t>WPA01 Jacket Lifting Analysis Report - AFC</t>
  </si>
  <si>
    <t>STJ-1150</t>
  </si>
  <si>
    <t>WPA02 Jacket Lifting Analysis Report - IFR</t>
  </si>
  <si>
    <t>STJ-1160</t>
  </si>
  <si>
    <t>WPA02 Jacket Lifting Analysis Report - IFA</t>
  </si>
  <si>
    <t>STJ-1170</t>
  </si>
  <si>
    <t>WPA02 Jacket Lifting Analysis Report - AFC</t>
  </si>
  <si>
    <t>STJ-1180</t>
  </si>
  <si>
    <t>WPA01 Jacket Miscellaneous Design Report - IFR</t>
  </si>
  <si>
    <t>STJ-1190</t>
  </si>
  <si>
    <t>WPA01 Jacket Miscellaneous Design Report - IFA</t>
  </si>
  <si>
    <t>STJ-1200</t>
  </si>
  <si>
    <t>WPA01 Jacket Miscellaneous Design Report - AFC</t>
  </si>
  <si>
    <t>STJ-1210</t>
  </si>
  <si>
    <t>WPA02 Jacket Miscellaneous Design Report - IFR</t>
  </si>
  <si>
    <t>STJ-1220</t>
  </si>
  <si>
    <t>WPA02 Jacket Miscellaneous Design Report - IFA</t>
  </si>
  <si>
    <t>STJ-1230</t>
  </si>
  <si>
    <t>WPA02 Jacket Miscellaneous Design Report - AFC</t>
  </si>
  <si>
    <t>STJ-1240</t>
  </si>
  <si>
    <t>Jacket General Notes (2 Sheets) - IFR</t>
  </si>
  <si>
    <t>STJ-1250</t>
  </si>
  <si>
    <t>Jacket General Notes (2 Sheets) - IFA</t>
  </si>
  <si>
    <t>STJ-1260</t>
  </si>
  <si>
    <t>Jacket General Notes (2 Sheets) - AFC</t>
  </si>
  <si>
    <t>STJ-1270</t>
  </si>
  <si>
    <t>Jacket Casing Guides Layout - IFR</t>
  </si>
  <si>
    <t>STJ-1280</t>
  </si>
  <si>
    <t>Jacket Casing Guides Layout - IFA</t>
  </si>
  <si>
    <t>STJ-1290</t>
  </si>
  <si>
    <t>Jacket Casing Guides Layout - AFC</t>
  </si>
  <si>
    <t>STJ-1300</t>
  </si>
  <si>
    <t>Jacket Casing Guides Section &amp; Details (3 Sheets) - IFR</t>
  </si>
  <si>
    <t>STJ-1310</t>
  </si>
  <si>
    <t>Jacket Casing Guides Section &amp; Details (3 Sheets) - IFA</t>
  </si>
  <si>
    <t>STJ-1320</t>
  </si>
  <si>
    <t>Jacket Casing Guides Section &amp; Details (3 Sheets) - AFC</t>
  </si>
  <si>
    <t>STJ-1330</t>
  </si>
  <si>
    <t>Jacket Pile to Jacket Connection Details - IFR</t>
  </si>
  <si>
    <t>STJ-1340</t>
  </si>
  <si>
    <t>Jacket Pile to Jacket Connection Details - IFA</t>
  </si>
  <si>
    <t>STJ-1350</t>
  </si>
  <si>
    <t>Jacket Pile to Jacket Connection Details - AFC</t>
  </si>
  <si>
    <t>STJ-1360</t>
  </si>
  <si>
    <t>Jacket Boatlanding Arrangement - IFR</t>
  </si>
  <si>
    <t>STJ-1370</t>
  </si>
  <si>
    <t>Jacket Boatlanding Arrangement - IFA</t>
  </si>
  <si>
    <t>STJ-1380</t>
  </si>
  <si>
    <t>Jacket Boatlanding Arrangement - AFC</t>
  </si>
  <si>
    <t>STJ-1390</t>
  </si>
  <si>
    <t>Jacket Boatlanding Section &amp; Details (7 Sheets) - IFR</t>
  </si>
  <si>
    <t>STJ-1400</t>
  </si>
  <si>
    <t>Jacket Boatlanding Section &amp; Details (7 Sheets) - IFA</t>
  </si>
  <si>
    <t>STJ-1410</t>
  </si>
  <si>
    <t>Jacket Boatlanding Section &amp; Details (7 Sheets) - AFC</t>
  </si>
  <si>
    <t>STJ-1420</t>
  </si>
  <si>
    <t>Jacket Paint Marking Details - IFR</t>
  </si>
  <si>
    <t>STJ-1430</t>
  </si>
  <si>
    <t>Jacket Paint Marking Details - IFA</t>
  </si>
  <si>
    <t>STJ-1440</t>
  </si>
  <si>
    <t>Jacket Paint Marking Details - AFC</t>
  </si>
  <si>
    <t>STJ-1450</t>
  </si>
  <si>
    <t>Jacket Vortex Shedding Prevention Plan &amp; Details - IFR</t>
  </si>
  <si>
    <t>STJ-1460</t>
  </si>
  <si>
    <t>Jacket Vortex Shedding Prevention Plan &amp; Details - IFA</t>
  </si>
  <si>
    <t>STJ-1470</t>
  </si>
  <si>
    <t>Jacket Vortex Shedding Prevention Plan &amp; Details - AFC</t>
  </si>
  <si>
    <t>STJ-1480</t>
  </si>
  <si>
    <t>WPA01 Jacket Computer Modelling &amp; Load Formulation Report - IFR</t>
  </si>
  <si>
    <t>STJ-1490</t>
  </si>
  <si>
    <t>WPA01 Jacket Computer Modelling &amp; Load Formulation Report - IFA</t>
  </si>
  <si>
    <t>STJ-1500</t>
  </si>
  <si>
    <t>WPA01 Jacket Computer Modelling &amp; Load Formulation Report - AFC</t>
  </si>
  <si>
    <t>STJ-1510</t>
  </si>
  <si>
    <t>WPA01 Jacket In-place Analysis Report - IFR</t>
  </si>
  <si>
    <t>STJ-1520</t>
  </si>
  <si>
    <t>WPA01 Jacket In-place Analysis Report - IFA</t>
  </si>
  <si>
    <t>STJ-1530</t>
  </si>
  <si>
    <t>WPA01 Jacket In-place Analysis Report - AFC</t>
  </si>
  <si>
    <t>STJ-1540</t>
  </si>
  <si>
    <t>WPA01 Jacket Dynamic Analysis Report - IFR</t>
  </si>
  <si>
    <t>STJ-1550</t>
  </si>
  <si>
    <t>WPA01 Jacket Dynamic Analysis Report - IFA</t>
  </si>
  <si>
    <t>STJ-1560</t>
  </si>
  <si>
    <t>WPA01 Jacket Dynamic Analysis Report - AFC</t>
  </si>
  <si>
    <t>STJ-1570</t>
  </si>
  <si>
    <t>WPA01 Platform Spectral Fatigue Analysis Report - IFR</t>
  </si>
  <si>
    <t>STJ-1580</t>
  </si>
  <si>
    <t>WPA01 Platform Spectral Fatigue Analysis Report - IFA</t>
  </si>
  <si>
    <t>STJ-1590</t>
  </si>
  <si>
    <t>WPA01 Platform Spectral Fatigue Analysis Report - AFC</t>
  </si>
  <si>
    <t>STJ-1600</t>
  </si>
  <si>
    <t>WPA01 Jacket On-bottom Stability Analysis &amp; Mudmat Design Report - IFR</t>
  </si>
  <si>
    <t>STJ-1610</t>
  </si>
  <si>
    <t>WPA01 Jacket On-bottom Stability Analysis &amp; Mudmat Design Report - IFA</t>
  </si>
  <si>
    <t>STJ-1620</t>
  </si>
  <si>
    <t>WPA01 Jacket On-bottom Stability Analysis &amp; Mudmat Design Report - AFC</t>
  </si>
  <si>
    <t>STJ-1630</t>
  </si>
  <si>
    <t>WPA01 Jacket Cathodic Protection Design Report - IFR</t>
  </si>
  <si>
    <t>STJ-1640</t>
  </si>
  <si>
    <t>WPA01 Jacket Cathodic Protection Design Report - IFA</t>
  </si>
  <si>
    <t>STJ-1650</t>
  </si>
  <si>
    <t>WPA01 Jacket Cathodic Protection Design Report - AFC</t>
  </si>
  <si>
    <t>STJ-1660</t>
  </si>
  <si>
    <t>WPA01 Topside and Jacket Seismic Analysis Report (Extreme Level Earthquake - ELE) - IFR</t>
  </si>
  <si>
    <t>STJ-1670</t>
  </si>
  <si>
    <t>WPA01 Topside and Jacket Seismic Analysis Report (Extreme Level Earthquake - ELE) - IFA</t>
  </si>
  <si>
    <t>STJ-1680</t>
  </si>
  <si>
    <t>WPA01 Topside and Jacket Seismic Analysis Report (Extreme Level Earthquake - ELE) - AFC</t>
  </si>
  <si>
    <t>STJ-1690</t>
  </si>
  <si>
    <t>WPA01 Topside and Jacket Seismic Analysis Report (Abnormal Level Earthquake - ALE) - IFR</t>
  </si>
  <si>
    <t>STJ-1700</t>
  </si>
  <si>
    <t>WPA01 Topside and Jacket Seismic Analysis Report (Abnormal Level Earthquake - ALE) - IFA</t>
  </si>
  <si>
    <t>STJ-1710</t>
  </si>
  <si>
    <t>WPA01 Topside and Jacket Seismic Analysis Report (Abnormal Level Earthquake - ALE) - AFC</t>
  </si>
  <si>
    <t>STJ-1720</t>
  </si>
  <si>
    <t>WPA01 Boat Impact Analysis - IFR</t>
  </si>
  <si>
    <t>STJ-1730</t>
  </si>
  <si>
    <t>WPA01 Boat Impact Analysis - IFA</t>
  </si>
  <si>
    <t>STJ-1740</t>
  </si>
  <si>
    <t>WPA01 Boat Impact Analysis - AFC</t>
  </si>
  <si>
    <t>STJ-1750</t>
  </si>
  <si>
    <t>WPA01 Non-Linear Static Pushover Analysis - IFR</t>
  </si>
  <si>
    <t>STJ-1760</t>
  </si>
  <si>
    <t>WPA01 Non-Linear Static Pushover Analysis - IFA</t>
  </si>
  <si>
    <t>STJ-1770</t>
  </si>
  <si>
    <t>WPA01 Non-Linear Static Pushover Analysis - AFC</t>
  </si>
  <si>
    <t>STJ-1780</t>
  </si>
  <si>
    <t>WPA01 Jacket Transportation Fatigue Analysis Report - IFR</t>
  </si>
  <si>
    <t>STJ-1790</t>
  </si>
  <si>
    <t>WPA01 Jacket Transportation Fatigue Analysis Report - IFA</t>
  </si>
  <si>
    <t>STJ-1800</t>
  </si>
  <si>
    <t>WPA01 Jacket Transportation Fatigue Analysis Report - AFC</t>
  </si>
  <si>
    <t>STJ-1810</t>
  </si>
  <si>
    <t>WPA01 Levelling Analysis Report - IFR</t>
  </si>
  <si>
    <t>STJ-1820</t>
  </si>
  <si>
    <t>WPA01 Levelling Analysis Report - IFA</t>
  </si>
  <si>
    <t>STJ-1830</t>
  </si>
  <si>
    <t>WPA01 Levelling Analysis Report - AFC</t>
  </si>
  <si>
    <t>STJ-1840</t>
  </si>
  <si>
    <t>WPA01 Pile Fatigue, Pile Handling, Stuck-Up and Pile Driving Analysis Report - IFR</t>
  </si>
  <si>
    <t>STJ-1850</t>
  </si>
  <si>
    <t>WPA01 Pile Fatigue, Pile Handling, Stuck-Up and Pile Driving Analysis Report - IFA</t>
  </si>
  <si>
    <t>STJ-1860</t>
  </si>
  <si>
    <t>WPA01 Pile Fatigue, Pile Handling, Stuck-Up and Pile Driving Analysis Report - AFC</t>
  </si>
  <si>
    <t>STJ-1870</t>
  </si>
  <si>
    <t>WPA01 Jacket - Drawing Index - IFR</t>
  </si>
  <si>
    <t>STJ-1880</t>
  </si>
  <si>
    <t>WPA01 Jacket - Drawing Index - IFA</t>
  </si>
  <si>
    <t>STJ-1890</t>
  </si>
  <si>
    <t>WPA01 Jacket - Drawing Index - AFC</t>
  </si>
  <si>
    <t>STJ-1900</t>
  </si>
  <si>
    <t>WPA01 Jacket - Elevation Row A, B, 1, 2 - IFR</t>
  </si>
  <si>
    <t>STJ-1910</t>
  </si>
  <si>
    <t>WPA01 Jacket - Elevation Row A, B, 1, 2 - IFA</t>
  </si>
  <si>
    <t>STJ-1920</t>
  </si>
  <si>
    <t>WPA01 Jacket - Elevation Row A, B, 1, 2 - AFC</t>
  </si>
  <si>
    <t>STJ-1930</t>
  </si>
  <si>
    <t>WPA01 Jacket - Horizontal Framing Plan (4 Sheets) - IFR</t>
  </si>
  <si>
    <t>STJ-1940</t>
  </si>
  <si>
    <t>WPA01 Jacket - Horizontal Framing Plan (4 Sheets) - IFA</t>
  </si>
  <si>
    <t>STJ-1950</t>
  </si>
  <si>
    <t>WPA01 Jacket - Horizontal Framing Plan (4 Sheets) - AFC</t>
  </si>
  <si>
    <t>STJ-1960</t>
  </si>
  <si>
    <t>WPA01 Jacket - Sections - IFR</t>
  </si>
  <si>
    <t>STJ-1970</t>
  </si>
  <si>
    <t>WPA01 Jacket - Sections - IFA</t>
  </si>
  <si>
    <t>STJ-1980</t>
  </si>
  <si>
    <t>WPA01 Jacket - Sections - AFC</t>
  </si>
  <si>
    <t>STJ-1990</t>
  </si>
  <si>
    <t>WPA01 Jacket - Pile Make Up &amp; Details (2 Sheets) - IFR</t>
  </si>
  <si>
    <t>STJ-2000</t>
  </si>
  <si>
    <t>WPA01 Jacket - Pile Make Up &amp; Details (2 Sheets) - IFA</t>
  </si>
  <si>
    <t>STJ-2010</t>
  </si>
  <si>
    <t>WPA01 Jacket - Pile Make Up &amp; Details (2 Sheets) - AFC</t>
  </si>
  <si>
    <t>STJ-2020</t>
  </si>
  <si>
    <t>WPA01 Jacket - Pile Marking Details - IFR</t>
  </si>
  <si>
    <t>STJ-2030</t>
  </si>
  <si>
    <t>WPA01 Jacket - Pile Marking Details - IFA</t>
  </si>
  <si>
    <t>STJ-2040</t>
  </si>
  <si>
    <t>WPA01 Jacket - Pile Marking Details - AFC</t>
  </si>
  <si>
    <t>STJ-2050</t>
  </si>
  <si>
    <t>WPA01 Jacket - Access Walkway Layout &amp; Details (3 Sheets) - IFR</t>
  </si>
  <si>
    <t>STJ-2060</t>
  </si>
  <si>
    <t>WPA01 Jacket - Access Walkway Layout &amp; Details (3 Sheets) - IFA</t>
  </si>
  <si>
    <t>STJ-2070</t>
  </si>
  <si>
    <t>WPA01 Jacket - Access Walkway Layout &amp; Details (3 Sheets) - AFC</t>
  </si>
  <si>
    <t>STJ-2080</t>
  </si>
  <si>
    <t>WPA01 Jacket - Anode Layout &amp; Details - IFR</t>
  </si>
  <si>
    <t>STJ-2090</t>
  </si>
  <si>
    <t>WPA01 Jacket - Anode Layout &amp; Details - IFA</t>
  </si>
  <si>
    <t>STJ-2100</t>
  </si>
  <si>
    <t>WPA01 Jacket - Anode Layout &amp; Details - AFC</t>
  </si>
  <si>
    <t>STJ-2110</t>
  </si>
  <si>
    <t>WPA01 Jacket - Mudmat Layout &amp; Details (2 Sheets) - IFR</t>
  </si>
  <si>
    <t>STJ-2120</t>
  </si>
  <si>
    <t>WPA01 Jacket - Mudmat Layout &amp; Details (2 Sheets) - IFA</t>
  </si>
  <si>
    <t>STJ-2130</t>
  </si>
  <si>
    <t>WPA01 Jacket - Mudmat Layout &amp; Details (2 Sheets) - AFC</t>
  </si>
  <si>
    <t>STJ-2140</t>
  </si>
  <si>
    <t>WPA01 Jacket - Lifting Configuration - IFR</t>
  </si>
  <si>
    <t>STJ-2150</t>
  </si>
  <si>
    <t>WPA01 Jacket - Lifting Configuration - IFA</t>
  </si>
  <si>
    <t>STJ-2160</t>
  </si>
  <si>
    <t>WPA01 Jacket - Lifting Configuration - AFC</t>
  </si>
  <si>
    <t>STJ-2170</t>
  </si>
  <si>
    <t>WPA01 Jacket - Lifting Padeye Details - IFR</t>
  </si>
  <si>
    <t>STJ-2180</t>
  </si>
  <si>
    <t>WPA01 Jacket - Lifting Padeye Details - IFA</t>
  </si>
  <si>
    <t>STJ-2190</t>
  </si>
  <si>
    <t>WPA01 Jacket - Lifting Padeye Details - AFC</t>
  </si>
  <si>
    <t>STJ-2200</t>
  </si>
  <si>
    <t>WPA01 Jacket - Lowering Sequence - IFR</t>
  </si>
  <si>
    <t>STJ-2210</t>
  </si>
  <si>
    <t>WPA01 Jacket - Lowering Sequence - IFA</t>
  </si>
  <si>
    <t>STJ-2220</t>
  </si>
  <si>
    <t>WPA01 Jacket - Lowering Sequence - AFC</t>
  </si>
  <si>
    <t>STJ-2230</t>
  </si>
  <si>
    <t>WPA01 - TAD Rig Clearance Check - IFR</t>
  </si>
  <si>
    <t>STJ-2240</t>
  </si>
  <si>
    <t>WPA01 - TAD Rig Clearance Check - IFA</t>
  </si>
  <si>
    <t>STJ-2250</t>
  </si>
  <si>
    <t>WPA01 - TAD Rig Clearance Check - AFC</t>
  </si>
  <si>
    <t>STJ-2260</t>
  </si>
  <si>
    <t>WPA02 Jacket Computer Modelling &amp; Load Formulation Report - IFR</t>
  </si>
  <si>
    <t>STJ-2270</t>
  </si>
  <si>
    <t>WPA02 Jacket Computer Modelling &amp; Load Formulation Report - IFA</t>
  </si>
  <si>
    <t>STJ-2280</t>
  </si>
  <si>
    <t>WPA02 Jacket Computer Modelling &amp; Load Formulation Report - AFC</t>
  </si>
  <si>
    <t>STJ-2290</t>
  </si>
  <si>
    <t>WPA02 Jacket In-place Analysis Report - IFR</t>
  </si>
  <si>
    <t>STJ-2300</t>
  </si>
  <si>
    <t>WPA02 Jacket In-place Analysis Report - IFA</t>
  </si>
  <si>
    <t>STJ-2310</t>
  </si>
  <si>
    <t>WPA02 Jacket In-place Analysis Report - AFC</t>
  </si>
  <si>
    <t>STJ-2320</t>
  </si>
  <si>
    <t>WPA02 Jacket Dynamic Analysis Report - IFR</t>
  </si>
  <si>
    <t>STJ-2330</t>
  </si>
  <si>
    <t>WPA02 Jacket Dynamic Analysis Report - IFA</t>
  </si>
  <si>
    <t>STJ-2340</t>
  </si>
  <si>
    <t>WPA02 Jacket Dynamic Analysis Report - AFC</t>
  </si>
  <si>
    <t>STJ-2350</t>
  </si>
  <si>
    <t>WPA02 Platform Spectral Fatigue Analysis Report - IFR</t>
  </si>
  <si>
    <t>STJ-2360</t>
  </si>
  <si>
    <t>WPA02 Platform Spectral Fatigue Analysis Report - IFA</t>
  </si>
  <si>
    <t>STJ-2370</t>
  </si>
  <si>
    <t>WPA02 Platform Spectral Fatigue Analysis Report - AFC</t>
  </si>
  <si>
    <t>STJ-2380</t>
  </si>
  <si>
    <t>WPA02 Jacket On-bottom Stability Analysis &amp; Mudmat Design Report - IFR</t>
  </si>
  <si>
    <t>STJ-2390</t>
  </si>
  <si>
    <t>WPA02 Jacket On-bottom Stability Analysis &amp; Mudmat Design Report - IFA</t>
  </si>
  <si>
    <t>STJ-2400</t>
  </si>
  <si>
    <t>WPA02 Jacket On-bottom Stability Analysis &amp; Mudmat Design Report - AFC</t>
  </si>
  <si>
    <t>STJ-2410</t>
  </si>
  <si>
    <t>WPA02 Topside and Jacket Seismic Analysis Report (Extreme Level Earthquake - ELE) - IFR</t>
  </si>
  <si>
    <t>STJ-2420</t>
  </si>
  <si>
    <t>WPA02 Topside and Jacket Seismic Analysis Report (Extreme Level Earthquake - ELE) - IFA</t>
  </si>
  <si>
    <t>STJ-2430</t>
  </si>
  <si>
    <t>WPA02 Topside and Jacket Seismic Analysis Report (Extreme Level Earthquake - ELE) - AFC</t>
  </si>
  <si>
    <t>STJ-2440</t>
  </si>
  <si>
    <t>WPA02 Topside and Jacket Seismic Analysis Report (Abnormal Level Earthquake - ALE) - IFR</t>
  </si>
  <si>
    <t>STJ-2450</t>
  </si>
  <si>
    <t>WPA02 Topside and Jacket Seismic Analysis Report (Abnormal Level Earthquake - ALE) - IFA</t>
  </si>
  <si>
    <t>STJ-2460</t>
  </si>
  <si>
    <t>WPA02 Topside and Jacket Seismic Analysis Report (Abnormal Level Earthquake - ALE) - AFC</t>
  </si>
  <si>
    <t>STJ-2470</t>
  </si>
  <si>
    <t>WPA02 Boat Impact Analysis - IFR</t>
  </si>
  <si>
    <t>STJ-2480</t>
  </si>
  <si>
    <t>WPA02 Boat Impact Analysis - IFA</t>
  </si>
  <si>
    <t>STJ-2490</t>
  </si>
  <si>
    <t>WPA02 Boat Impact Analysis - AFC</t>
  </si>
  <si>
    <t>STJ-2500</t>
  </si>
  <si>
    <t>WPA02 Non-Linear Static Pushover Analysis - IFR</t>
  </si>
  <si>
    <t>STJ-2510</t>
  </si>
  <si>
    <t>WPA02 Non-Linear Static Pushover Analysis - IFA</t>
  </si>
  <si>
    <t>STJ-2520</t>
  </si>
  <si>
    <t>WPA02 Non-Linear Static Pushover Analysis - AFC</t>
  </si>
  <si>
    <t>STJ-2530</t>
  </si>
  <si>
    <t>WPA02 Jacket Transportation Fatigue Analysis Report - IFR</t>
  </si>
  <si>
    <t>STJ-2540</t>
  </si>
  <si>
    <t>WPA02 Jacket Transportation Fatigue Analysis Report - IFA</t>
  </si>
  <si>
    <t>STJ-2550</t>
  </si>
  <si>
    <t>WPA02 Jacket Transportation Fatigue Analysis Report - AFC</t>
  </si>
  <si>
    <t>STJ-2560</t>
  </si>
  <si>
    <t>WPA02 Levelling Analysis Report - IFR</t>
  </si>
  <si>
    <t>STJ-2570</t>
  </si>
  <si>
    <t>WPA02 Levelling Analysis Report - IFA</t>
  </si>
  <si>
    <t>STJ-2580</t>
  </si>
  <si>
    <t>WPA02 Levelling Analysis Report - AFC</t>
  </si>
  <si>
    <t>STJ-2590</t>
  </si>
  <si>
    <t>WPA02 Pile Fatigue, Pile Handling, Stuck-Up and Pile Driving Analysis Report - IFR</t>
  </si>
  <si>
    <t>STJ-2600</t>
  </si>
  <si>
    <t>WPA02 Pile Fatigue, Pile Handling, Stuck-Up and Pile Driving Analysis Report - IFA</t>
  </si>
  <si>
    <t>STJ-2610</t>
  </si>
  <si>
    <t>WPA02 Pile Fatigue, Pile Handling, Stuck-Up and Pile Driving Analysis Report - AFC</t>
  </si>
  <si>
    <t>STJ-2620</t>
  </si>
  <si>
    <t>WPA02 Jacket Cathodic Protection Design Report - IFR</t>
  </si>
  <si>
    <t>STJ-2630</t>
  </si>
  <si>
    <t>WPA02 Jacket Cathodic Protection Design Report - IFA</t>
  </si>
  <si>
    <t>STJ-2640</t>
  </si>
  <si>
    <t>WPA02 Jacket Cathodic Protection Design Report - AFC</t>
  </si>
  <si>
    <t>STJ-2650</t>
  </si>
  <si>
    <t>WPA02 Jacket - Drawing Index - IFR</t>
  </si>
  <si>
    <t>STJ-2660</t>
  </si>
  <si>
    <t>WPA02 Jacket - Drawing Index - IFA</t>
  </si>
  <si>
    <t>STJ-2670</t>
  </si>
  <si>
    <t>WPA02 Jacket - Drawing Index - AFC</t>
  </si>
  <si>
    <t>STJ-2680</t>
  </si>
  <si>
    <t>WPA02 Jacket - Elevation Row A, B, 1, 2 - IFR</t>
  </si>
  <si>
    <t>STJ-2690</t>
  </si>
  <si>
    <t>WPA02 Jacket - Elevation Row A, B, 1, 2 - IFA</t>
  </si>
  <si>
    <t>STJ-2700</t>
  </si>
  <si>
    <t>WPA02 Jacket - Elevation Row A, B, 1, 2 - AFC</t>
  </si>
  <si>
    <t>STJ-2710</t>
  </si>
  <si>
    <t>WPA02 Jacket - Horizontal Framing Plan (4 Sheets) - IFR</t>
  </si>
  <si>
    <t>STJ-2720</t>
  </si>
  <si>
    <t>WPA02 Jacket - Horizontal Framing Plan (4 Sheets) - IFA</t>
  </si>
  <si>
    <t>STJ-2730</t>
  </si>
  <si>
    <t>WPA02 Jacket - Horizontal Framing Plan (4 Sheets) - AFC</t>
  </si>
  <si>
    <t>STJ-2740</t>
  </si>
  <si>
    <t>WPA02 Jacket - Sections - IFR</t>
  </si>
  <si>
    <t>STJ-2750</t>
  </si>
  <si>
    <t>WPA02 Jacket - Sections - IFA</t>
  </si>
  <si>
    <t>STJ-2760</t>
  </si>
  <si>
    <t>WPA02 Jacket - Sections - AFC</t>
  </si>
  <si>
    <t>STJ-2770</t>
  </si>
  <si>
    <t>WPA02 Jacket - Pile Make Up &amp; Details (2 Sheets) - IFR</t>
  </si>
  <si>
    <t>STJ-2780</t>
  </si>
  <si>
    <t>WPA02 Jacket - Pile Make Up &amp; Details (2 Sheets) - IFA</t>
  </si>
  <si>
    <t>STJ-2790</t>
  </si>
  <si>
    <t>WPA02 Jacket - Pile Make Up &amp; Details (2 Sheets) - AFC</t>
  </si>
  <si>
    <t>STJ-2800</t>
  </si>
  <si>
    <t>WPA02 Jacket - Pile Marking Details - IFR</t>
  </si>
  <si>
    <t>STJ-2810</t>
  </si>
  <si>
    <t>WPA02 Jacket - Pile Marking Details - IFA</t>
  </si>
  <si>
    <t>STJ-2820</t>
  </si>
  <si>
    <t>WPA02 Jacket - Pile Marking Details - AFC</t>
  </si>
  <si>
    <t>STJ-2830</t>
  </si>
  <si>
    <t>WPA02 Jacket - Access Walkway Layout &amp; Details (3 Sheets) - IFR</t>
  </si>
  <si>
    <t>STJ-2840</t>
  </si>
  <si>
    <t>WPA02 Jacket - Access Walkway Layout &amp; Details (3 Sheets) - IFA</t>
  </si>
  <si>
    <t>STJ-2850</t>
  </si>
  <si>
    <t>WPA02 Jacket - Access Walkway Layout &amp; Details (3 Sheets) - AFC</t>
  </si>
  <si>
    <t>STJ-2860</t>
  </si>
  <si>
    <t>WPA02 Jacket - Anode Layout &amp; Details - IFR</t>
  </si>
  <si>
    <t>STJ-2870</t>
  </si>
  <si>
    <t>WPA02 Jacket - Anode Layout &amp; Details - IFA</t>
  </si>
  <si>
    <t>STJ-2880</t>
  </si>
  <si>
    <t>WPA02 Jacket - Anode Layout &amp; Details - AFC</t>
  </si>
  <si>
    <t>STJ-2890</t>
  </si>
  <si>
    <t>WPA02 Jacket - Mudmat Layout &amp; Details (2 Sheets) - IFR</t>
  </si>
  <si>
    <t>STJ-2900</t>
  </si>
  <si>
    <t>WPA02 Jacket - Mudmat Layout &amp; Details (2 Sheets) - IFA</t>
  </si>
  <si>
    <t>STJ-2910</t>
  </si>
  <si>
    <t>WPA02 Jacket - Mudmat Layout &amp; Details (2 Sheets) - AFC</t>
  </si>
  <si>
    <t>STJ-2920</t>
  </si>
  <si>
    <t>WPA02 Jacket - Caisson Support Layout - IFR</t>
  </si>
  <si>
    <t>STJ-2930</t>
  </si>
  <si>
    <t>WPA02 Jacket - Caisson Support Layout - IFA</t>
  </si>
  <si>
    <t>STJ-2940</t>
  </si>
  <si>
    <t>WPA02 Jacket - Caisson Support Layout - AFC</t>
  </si>
  <si>
    <t>STJ-2950</t>
  </si>
  <si>
    <t>WPA02 Jacket - Caisson Support Section &amp; Details - IFR</t>
  </si>
  <si>
    <t>STJ-2960</t>
  </si>
  <si>
    <t>WPA02 Jacket - Caisson Support Section &amp; Details - IFA</t>
  </si>
  <si>
    <t>STJ-2970</t>
  </si>
  <si>
    <t>WPA02 Jacket - Caisson Support Section &amp; Details - AFC</t>
  </si>
  <si>
    <t>STJ-2980</t>
  </si>
  <si>
    <t>WPA02 Jacket - Lifting Configuration - IFR</t>
  </si>
  <si>
    <t>STJ-2990</t>
  </si>
  <si>
    <t>WPA02 Jacket - Lifting Configuration - IFA</t>
  </si>
  <si>
    <t>STJ-3000</t>
  </si>
  <si>
    <t>WPA02 Jacket - Lifting Configuration - AFC</t>
  </si>
  <si>
    <t>STJ-3010</t>
  </si>
  <si>
    <t>WPA02 Jacket - Lifting Padeye Details - IFR</t>
  </si>
  <si>
    <t>STJ-3020</t>
  </si>
  <si>
    <t>WPA02 Jacket - Lifting Padeye Details - IFA</t>
  </si>
  <si>
    <t>STJ-3030</t>
  </si>
  <si>
    <t>WPA02 Jacket - Lifting Padeye Details - AFC</t>
  </si>
  <si>
    <t>STJ-3040</t>
  </si>
  <si>
    <t>WPA02 Jacket - Lowering Sequence - IFR</t>
  </si>
  <si>
    <t>STJ-3050</t>
  </si>
  <si>
    <t>WPA02 Jacket - Lowering Sequence - IFA</t>
  </si>
  <si>
    <t>STJ-3060</t>
  </si>
  <si>
    <t>WPA02 Jacket - Lowering Sequence - AFC</t>
  </si>
  <si>
    <t>STJ-3070</t>
  </si>
  <si>
    <t>WPA02 - TAD Rig Clearance Check - IFR</t>
  </si>
  <si>
    <t>STJ-3080</t>
  </si>
  <si>
    <t>WPA02 - TAD Rig Clearance Check - IFA</t>
  </si>
  <si>
    <t>STJ-3090</t>
  </si>
  <si>
    <t>WPA02 - TAD Rig Clearance Check - AFC</t>
  </si>
  <si>
    <t>STJ-3100</t>
  </si>
  <si>
    <t>WPA01 Jacket Weight Control Report - IFR</t>
  </si>
  <si>
    <t>STJ-3110</t>
  </si>
  <si>
    <t>WPA01 Jacket Weight Control Report - IFA</t>
  </si>
  <si>
    <t>STJ-3120</t>
  </si>
  <si>
    <t>WPA01 Jacket Weight Control Report - AFC</t>
  </si>
  <si>
    <t>STJ-3130</t>
  </si>
  <si>
    <t>WPA01 Jacket Primary Steel MTO - IFR</t>
  </si>
  <si>
    <t>STJ-3140</t>
  </si>
  <si>
    <t>WPA01 Jacket Primary Steel MTO - IFA</t>
  </si>
  <si>
    <t>STJ-3150</t>
  </si>
  <si>
    <t>WPA01 Jacket Primary Steel MTO - AFC</t>
  </si>
  <si>
    <t>STJ-3160</t>
  </si>
  <si>
    <t>WPA01 Jacket Secondary MTO and Tertiary Steel - IFR</t>
  </si>
  <si>
    <t>STJ-3170</t>
  </si>
  <si>
    <t>WPA01 Jacket Secondary MTO and Tertiary Steel - IFA</t>
  </si>
  <si>
    <t>STJ-3180</t>
  </si>
  <si>
    <t>WPA01 Jacket Secondary MTO and Tertiary Steel - AFC</t>
  </si>
  <si>
    <t>STJ-3190</t>
  </si>
  <si>
    <t>WPA02 Jacket Weight Control Report - IFR</t>
  </si>
  <si>
    <t>STJ-3200</t>
  </si>
  <si>
    <t>WPA02 Jacket Weight Control Report - IFA</t>
  </si>
  <si>
    <t>STJ-3210</t>
  </si>
  <si>
    <t>WPA02 Jacket Weight Control Report - AFC</t>
  </si>
  <si>
    <t>STJ-3220</t>
  </si>
  <si>
    <t>WPA02 Jacket Primary Steel MTO - IFR</t>
  </si>
  <si>
    <t>STJ-3230</t>
  </si>
  <si>
    <t>WPA02 Jacket Primary Steel MTO - IFA</t>
  </si>
  <si>
    <t>STJ-3240</t>
  </si>
  <si>
    <t>WPA02 Jacket Primary Steel MTO - AFC</t>
  </si>
  <si>
    <t>STJ-3250</t>
  </si>
  <si>
    <t>WPA02 Jacket Secondary MTO and Tertiary Steel  - IFR</t>
  </si>
  <si>
    <t>STJ-3260</t>
  </si>
  <si>
    <t>WPA02 Jacket Secondary MTO and Tertiary Steel - IFA</t>
  </si>
  <si>
    <t>STJ-3270</t>
  </si>
  <si>
    <t>WPA02 Jacket Secondary MTO and Tertiary Steel - AFC</t>
  </si>
  <si>
    <t>STJ-3280</t>
  </si>
  <si>
    <t>Barge Motion Analysis Report - IFR</t>
  </si>
  <si>
    <t>STJ-3290</t>
  </si>
  <si>
    <t>Barge Motion Analysis Report - IFA</t>
  </si>
  <si>
    <t>STJ-3300</t>
  </si>
  <si>
    <t>Barge Motion Analysis Report - AFC</t>
  </si>
  <si>
    <t>PIPELINE&amp;RISERENGINEERING</t>
  </si>
  <si>
    <t>RI-1000</t>
  </si>
  <si>
    <t>WPA01 Riser Clamp Design Report - IFR</t>
  </si>
  <si>
    <t>RI-1010</t>
  </si>
  <si>
    <t>WPA01 Riser Clamp Design Report - IFA</t>
  </si>
  <si>
    <t>RI-1020</t>
  </si>
  <si>
    <t>WPA01 Riser Clamp Design Report - AFC</t>
  </si>
  <si>
    <t>RI-1030</t>
  </si>
  <si>
    <t>WPA01 NPS 12 Hanger Flange Support Drawing - IFR</t>
  </si>
  <si>
    <t>RI-1040</t>
  </si>
  <si>
    <t>WPA01 NPS 12 Hanger Flange Support Drawing - IFA</t>
  </si>
  <si>
    <t>RI-1050</t>
  </si>
  <si>
    <t>WPA01 NPS 12 Hanger Flange Support Drawing - AFC</t>
  </si>
  <si>
    <t>RI-1060</t>
  </si>
  <si>
    <t>WPA01 NPS 12 Sliding Clamp Type 1 Drawing - IFR</t>
  </si>
  <si>
    <t>RI-1070</t>
  </si>
  <si>
    <t>WPA01 NPS 12 Sliding Clamp Type 1 Drawing - IFA</t>
  </si>
  <si>
    <t>RI-1080</t>
  </si>
  <si>
    <t>WPA01 NPS 12 Sliding Clamp Type 1 Drawing - AFC</t>
  </si>
  <si>
    <t>RI-1090</t>
  </si>
  <si>
    <t>WPA01 NPS 12 Sliding Clamp Type 2 Drawing - IFR</t>
  </si>
  <si>
    <t>RI-1100</t>
  </si>
  <si>
    <t>WPA01 NPS 12 Sliding Clamp Type 2 Drawing - IFA</t>
  </si>
  <si>
    <t>RI-1110</t>
  </si>
  <si>
    <t>WPA01 NPS 12 Sliding Clamp Type 2 Drawing - AFC</t>
  </si>
  <si>
    <t>RI-1120</t>
  </si>
  <si>
    <t>WPA01 NPS 12 Sliding Clamp Type 3 Drawing - IFR</t>
  </si>
  <si>
    <t>RI-1130</t>
  </si>
  <si>
    <t>WPA01 NPS 12 Sliding Clamp Type 3 Drawing - IFA</t>
  </si>
  <si>
    <t>RI-1140</t>
  </si>
  <si>
    <t>WPA01 NPS 12 Sliding Clamp Type 3 Drawing - AFC</t>
  </si>
  <si>
    <t>RI-1150</t>
  </si>
  <si>
    <t>WPA02 NPS 12 Hanger Flange Support Drawing - IFR</t>
  </si>
  <si>
    <t>RI-1160</t>
  </si>
  <si>
    <t>WPA02 NPS 12 Hanger Flange Support Drawing - IFA</t>
  </si>
  <si>
    <t>RI-1170</t>
  </si>
  <si>
    <t>WPA02 NPS 12 Hanger Flange Support Drawing - AFC</t>
  </si>
  <si>
    <t>RI-1180</t>
  </si>
  <si>
    <t>WPA02 NPS 12 Sliding Clamp Type 1 Drawing - IFR</t>
  </si>
  <si>
    <t>RI-1190</t>
  </si>
  <si>
    <t>WPA02 NPS 12 Sliding Clamp Type 1 Drawing - IFA</t>
  </si>
  <si>
    <t>RI-1200</t>
  </si>
  <si>
    <t>WPA02 NPS 12 Sliding Clamp Type 1 Drawing - AFC</t>
  </si>
  <si>
    <t>RI-1210</t>
  </si>
  <si>
    <t>WPA02 NPS 12 Sliding Clamp Type 2 Drawing - IFR</t>
  </si>
  <si>
    <t>RI-1220</t>
  </si>
  <si>
    <t>WPA02 NPS 12 Sliding Clamp Type 2 Drawing - IFA</t>
  </si>
  <si>
    <t>RI-1230</t>
  </si>
  <si>
    <t>WPA02 NPS 12 Sliding Clamp Type 2 Drawing - AFC</t>
  </si>
  <si>
    <t>RI-1240</t>
  </si>
  <si>
    <t>WPA02 NPS 12 Sliding Clamp Type 3 Drawing - IFR</t>
  </si>
  <si>
    <t>RI-1250</t>
  </si>
  <si>
    <t>WPA02 NPS 12 Sliding Clamp Type 3 Drawing - IFA</t>
  </si>
  <si>
    <t>RI-1260</t>
  </si>
  <si>
    <t>WPA02 NPS 12 Sliding Clamp Type 3 Drawing - AFC</t>
  </si>
  <si>
    <t>RI-1270</t>
  </si>
  <si>
    <t>WPA02 Riser Clamp Design Report - IFR</t>
  </si>
  <si>
    <t>RI-1280</t>
  </si>
  <si>
    <t>WPA02 Riser Clamp Design Report - IFA</t>
  </si>
  <si>
    <t>RI-1290</t>
  </si>
  <si>
    <t>WPA02 Riser Clamp Design Report - AFC</t>
  </si>
  <si>
    <t>RI-1300</t>
  </si>
  <si>
    <t>WPA02 NPS 20 Hanger Flange Support Drawing - IFR</t>
  </si>
  <si>
    <t>RI-1310</t>
  </si>
  <si>
    <t>WPA02 NPS 20 Hanger Flange Support Drawing - IFA</t>
  </si>
  <si>
    <t>RI-1320</t>
  </si>
  <si>
    <t>WPA02 NPS 20 Hanger Flange Support Drawing - AFC</t>
  </si>
  <si>
    <t>RI-1330</t>
  </si>
  <si>
    <t>WPA02 NPS 20 Sliding Clamp Type 1 Drawing - IFR</t>
  </si>
  <si>
    <t>RI-1340</t>
  </si>
  <si>
    <t>WPA02 NPS 20 Sliding Clamp Type 1 Drawing - IFA</t>
  </si>
  <si>
    <t>RI-1350</t>
  </si>
  <si>
    <t>WPA02 NPS 20 Sliding Clamp Type 1 Drawing - AFC</t>
  </si>
  <si>
    <t>RI-1360</t>
  </si>
  <si>
    <t>WPA02 NPS 20 Sliding Clamp Type 2 Drawing - IFR</t>
  </si>
  <si>
    <t>RI-1370</t>
  </si>
  <si>
    <t>WPA02 NPS 20 Sliding Clamp Type 2 Drawing - IFA</t>
  </si>
  <si>
    <t>RI-1380</t>
  </si>
  <si>
    <t>WPA02 NPS 20 Sliding Clamp Type 2 Drawing - AFC</t>
  </si>
  <si>
    <t>Datasheet-Pipeline&amp;Riser</t>
  </si>
  <si>
    <t>A1000</t>
  </si>
  <si>
    <t>Datasheet for Pipeline Flanges - IFR</t>
  </si>
  <si>
    <t>A1010</t>
  </si>
  <si>
    <t>Datasheet for Pipeline Flanges - IFA</t>
  </si>
  <si>
    <t>A1020</t>
  </si>
  <si>
    <t>Datasheet for Pipeline Flanges - AFC</t>
  </si>
  <si>
    <t>A1030</t>
  </si>
  <si>
    <t>Datasheet for Barred Tee - IFR</t>
  </si>
  <si>
    <t>A1040</t>
  </si>
  <si>
    <t>Datasheet for Barred Tee - IFA</t>
  </si>
  <si>
    <t>A1050</t>
  </si>
  <si>
    <t>Datasheet for Barred Tee  - AFC</t>
  </si>
  <si>
    <t>A1060</t>
  </si>
  <si>
    <t>Datasheet for Piggable Wye - IFR</t>
  </si>
  <si>
    <t>A1070</t>
  </si>
  <si>
    <t>Datasheet for Piggable Wye - IFA</t>
  </si>
  <si>
    <t>A1080</t>
  </si>
  <si>
    <t>Datasheet for Piggable Wye - AFC</t>
  </si>
  <si>
    <t>A1090</t>
  </si>
  <si>
    <t>Datasheet for Barrel Reducer - IFR</t>
  </si>
  <si>
    <t>A1100</t>
  </si>
  <si>
    <t>Datasheet for Barrel Reducer - IFA</t>
  </si>
  <si>
    <t>A1110</t>
  </si>
  <si>
    <t>Datasheet for Barrel Reducer - AFC</t>
  </si>
  <si>
    <t>MR-Pipeline&amp;Riser</t>
  </si>
  <si>
    <t>A1120</t>
  </si>
  <si>
    <t>Material Requisition for Pipeline Flanges - IFR</t>
  </si>
  <si>
    <t>A1130</t>
  </si>
  <si>
    <t>Material Requisition for Pipeline Flanges - AFC</t>
  </si>
  <si>
    <t>A1140</t>
  </si>
  <si>
    <t>Material Requisition for Barred Tee - IFR</t>
  </si>
  <si>
    <t>A1150</t>
  </si>
  <si>
    <t>Material Requisition for Barred Tee - AFC</t>
  </si>
  <si>
    <t>A1160</t>
  </si>
  <si>
    <t>Material Requisition for Piggable Wye - IFR</t>
  </si>
  <si>
    <t>A1170</t>
  </si>
  <si>
    <t>Material Requisition for Piggable Wye - AFC</t>
  </si>
  <si>
    <t>A1180</t>
  </si>
  <si>
    <t>Material Requisition for Barrel Reducer - IFR</t>
  </si>
  <si>
    <t>A1190</t>
  </si>
  <si>
    <t>Material Requisition for Barrel Reducer - AFC</t>
  </si>
  <si>
    <t>TBE-Pipeline&amp;Riser</t>
  </si>
  <si>
    <t>A1200</t>
  </si>
  <si>
    <t>Technical Bid Evaluation for Pipeline Flanges - IFR</t>
  </si>
  <si>
    <t>A1210</t>
  </si>
  <si>
    <t>Technical Bid Evaluation for Pipeline Flanges - AFC</t>
  </si>
  <si>
    <t>A1220</t>
  </si>
  <si>
    <t>Technical Bid Evaluation for Barred Tee - IFR</t>
  </si>
  <si>
    <t>A1230</t>
  </si>
  <si>
    <t>Technical Bid Evaluation for Barred Tee - AFC</t>
  </si>
  <si>
    <t>A1240</t>
  </si>
  <si>
    <t>Technical Bid Evaluation for Piggable Wye - IFR</t>
  </si>
  <si>
    <t>A1250</t>
  </si>
  <si>
    <t>Technical Bid Evaluation for Piggable Wye - AFC</t>
  </si>
  <si>
    <t>A1260</t>
  </si>
  <si>
    <t>Technical Bid Evaluation for Barrel Reducer - IFR</t>
  </si>
  <si>
    <t>A1270</t>
  </si>
  <si>
    <t>Technical Bid Evaluation for Barrel Reducer - AFC</t>
  </si>
  <si>
    <t>ELECTRICALENGINEERING</t>
  </si>
  <si>
    <t>EE-1000</t>
  </si>
  <si>
    <t>Electrical Basic of Design (offshore) - IFR</t>
  </si>
  <si>
    <t>EE-1010</t>
  </si>
  <si>
    <t>Electrical Basic of Design (offshore) - IFA</t>
  </si>
  <si>
    <t>EE-1020</t>
  </si>
  <si>
    <t>Electrical Basic of Design (offshore) - AFC</t>
  </si>
  <si>
    <t>EE-1030</t>
  </si>
  <si>
    <t>Electrical Load List &amp; Load Analysis - WPA01 - IFR</t>
  </si>
  <si>
    <t>EE-1040</t>
  </si>
  <si>
    <t>Electrical Load List &amp; Load Analysis - WPA01 - IFA</t>
  </si>
  <si>
    <t>EE-1050</t>
  </si>
  <si>
    <t>Electrical Load List &amp; Load Analysis - WPA01 - AFC</t>
  </si>
  <si>
    <t>EE-1060</t>
  </si>
  <si>
    <t>Electrical Equipment Sizing Calculations - WPA01 - IFR</t>
  </si>
  <si>
    <t>EE-1070</t>
  </si>
  <si>
    <t>Electrical Equipment Sizing Calculations - WPA01 - IFA</t>
  </si>
  <si>
    <t>EE-1080</t>
  </si>
  <si>
    <t>Electrical Equipment Sizing Calculations - WPA01 - AFC</t>
  </si>
  <si>
    <t>EE-1090</t>
  </si>
  <si>
    <t>Electrical Cable Sizing Calculations - WPA01 - IFR</t>
  </si>
  <si>
    <t>EE-1100</t>
  </si>
  <si>
    <t>Electrical Cable Sizing Calculations - WPA01 - IFA</t>
  </si>
  <si>
    <t>EE-1110</t>
  </si>
  <si>
    <t>Electrical Cable Sizing Calculations - WPA01 - AFC</t>
  </si>
  <si>
    <t>EE-1120</t>
  </si>
  <si>
    <t>Electrical Cable Tray / Cable Ladder Sizing - WPA01 - IFR</t>
  </si>
  <si>
    <t>EE-1140</t>
  </si>
  <si>
    <t>Electrical Cable Tray / Cable Ladder Sizing - WPA01 - AFC</t>
  </si>
  <si>
    <t>EE-1150</t>
  </si>
  <si>
    <t>Electrical Cable Schedule - WPA01 - IFR</t>
  </si>
  <si>
    <t>EE-1160</t>
  </si>
  <si>
    <t>Electrical Cable Schedule - WPA01 - IFA</t>
  </si>
  <si>
    <t>EE-1170</t>
  </si>
  <si>
    <t>Electrical Cable Schedule - WPA01 - AFC</t>
  </si>
  <si>
    <t>EE-1180</t>
  </si>
  <si>
    <t>Illumination Calculations - WPA01 - IFR</t>
  </si>
  <si>
    <t>EE-1190</t>
  </si>
  <si>
    <t>Illumination Calculations - WPA01 - IFA</t>
  </si>
  <si>
    <t>EE-1200</t>
  </si>
  <si>
    <t>Illumination Calculations - WPA01 - AFC</t>
  </si>
  <si>
    <t>EE-1210</t>
  </si>
  <si>
    <t>Electrical Equipment and Explosion Proof Equipment Schedule - WPA01 - IFR</t>
  </si>
  <si>
    <t>EE-1220</t>
  </si>
  <si>
    <t>Electrical Equipment and Explosion Proof Equipment Schedule - WPA01 - IFA</t>
  </si>
  <si>
    <t>EE-1230</t>
  </si>
  <si>
    <t>Electrical Equipment and Explosion Proof Equipment Schedule - WPA01 - AFC</t>
  </si>
  <si>
    <t>EE-1240</t>
  </si>
  <si>
    <t>Electrical Power Generation Selection Report - WPA02 - IFR</t>
  </si>
  <si>
    <t>EE-1250</t>
  </si>
  <si>
    <t>Electrical Power Generation Selection Report - WPA02 - IFA</t>
  </si>
  <si>
    <t>EE-1260</t>
  </si>
  <si>
    <t>Electrical Power Generation Selection Report - WPA02 - AFC</t>
  </si>
  <si>
    <t>EE-1270</t>
  </si>
  <si>
    <t>Electrical Load List &amp; Load Analysis - WPA02 - IFR</t>
  </si>
  <si>
    <t>EE-1280</t>
  </si>
  <si>
    <t>Electrical Load List &amp; Load Analysis - WPA02 - IFA</t>
  </si>
  <si>
    <t>EE-1290</t>
  </si>
  <si>
    <t>Electrical Load List &amp; Load Analysis - WPA02 - AFC</t>
  </si>
  <si>
    <t>EE-1300</t>
  </si>
  <si>
    <t>Electrical Equipment Sizing Calculations - WPA02 - IFR</t>
  </si>
  <si>
    <t>EE-1310</t>
  </si>
  <si>
    <t>Electrical Equipment Sizing Calculations - WPA02 - IFA</t>
  </si>
  <si>
    <t>EE-1320</t>
  </si>
  <si>
    <t>Electrical Equipment Sizing Calculations - WPA02 - AFC</t>
  </si>
  <si>
    <t>EE-1330</t>
  </si>
  <si>
    <t>Electrical Cable Sizing Calculations - WPA02 - IFR</t>
  </si>
  <si>
    <t>EE-1340</t>
  </si>
  <si>
    <t>Electrical Cable Sizing Calculations - WPA02 - IFA</t>
  </si>
  <si>
    <t>EE-1350</t>
  </si>
  <si>
    <t>Electrical Cable Sizing Calculations - WPA02 - AFC</t>
  </si>
  <si>
    <t>EE-1360</t>
  </si>
  <si>
    <t>Electrical Cable Tray / Cable Ladder Sizing - WPA02 - IFR</t>
  </si>
  <si>
    <t>EE-1380</t>
  </si>
  <si>
    <t>Electrical Cable Tray / Cable Ladder Sizing - WPA02 - AFC</t>
  </si>
  <si>
    <t>EE-1390</t>
  </si>
  <si>
    <t>Electrical Cable Schedule - WPA02 - IFR</t>
  </si>
  <si>
    <t>EE-1400</t>
  </si>
  <si>
    <t>Electrical Cable Schedule - WPA02 - IFA</t>
  </si>
  <si>
    <t>EE-1410</t>
  </si>
  <si>
    <t>Electrical Cable Schedule - WPA02 - AFC</t>
  </si>
  <si>
    <t>EE-1420</t>
  </si>
  <si>
    <t>Illumination Calculations - WPA02 - IFR</t>
  </si>
  <si>
    <t>EE-1430</t>
  </si>
  <si>
    <t>Illumination Calculations - WPA02 - IFA</t>
  </si>
  <si>
    <t>EE-1440</t>
  </si>
  <si>
    <t>Illumination Calculations - WPA02 - AFC</t>
  </si>
  <si>
    <t>EE-1441</t>
  </si>
  <si>
    <t>EE-1442</t>
  </si>
  <si>
    <t>EE-1443</t>
  </si>
  <si>
    <t>EE-1450</t>
  </si>
  <si>
    <t>Motor Starting Study - WPA02 - IFR</t>
  </si>
  <si>
    <t>EE-1460</t>
  </si>
  <si>
    <t>Motor Starting Study - WPA02 - IFA</t>
  </si>
  <si>
    <t>EE-1470</t>
  </si>
  <si>
    <t>Motor Starting Study - WPA02 - AFC</t>
  </si>
  <si>
    <t>EE-1480</t>
  </si>
  <si>
    <t>Project Particular Specification for AC and DC Distribution Boards/Panels - IFR</t>
  </si>
  <si>
    <t>EE-1490</t>
  </si>
  <si>
    <t>Project Particular Specification for AC and DC Distribution Boards/Panels - AFC</t>
  </si>
  <si>
    <t>EE-1500</t>
  </si>
  <si>
    <t>Project Particular Specification for Solar power system - IFR</t>
  </si>
  <si>
    <t>EE-1510</t>
  </si>
  <si>
    <t>Project Particular Specification for Solar power system - AFC</t>
  </si>
  <si>
    <t>EE-1520</t>
  </si>
  <si>
    <t>Project Particular Specification for Navigation Aid system - IFR</t>
  </si>
  <si>
    <t>EE-1530</t>
  </si>
  <si>
    <t>Project Particular Specification for Navigation Aid system - AFC</t>
  </si>
  <si>
    <t>EE-1540</t>
  </si>
  <si>
    <t>Project Particular Specification for External Battery Charger - IFR</t>
  </si>
  <si>
    <t>EE-1550</t>
  </si>
  <si>
    <t>Project Particular Specification for External Battery Charger - AFC</t>
  </si>
  <si>
    <t>EE-1560</t>
  </si>
  <si>
    <t>Project Particular Specification for Electrical Cables - IFR</t>
  </si>
  <si>
    <t>EE-1570</t>
  </si>
  <si>
    <t>Project Particular Specification for Electrical Cables - AFC</t>
  </si>
  <si>
    <t>EE-1580</t>
  </si>
  <si>
    <t>Project Particular Specification for Electrical Bulk Materials - IFR</t>
  </si>
  <si>
    <t>EE-1590</t>
  </si>
  <si>
    <t>Project Particular Specification for Electrical Bulk Materials - AFC</t>
  </si>
  <si>
    <t>EE-1595</t>
  </si>
  <si>
    <t>Project Particular Specification for FOG HORN - IFR</t>
  </si>
  <si>
    <t>EE-1596</t>
  </si>
  <si>
    <t>Project Particular Specification for FOG HORN - AFC</t>
  </si>
  <si>
    <t>EE-1600</t>
  </si>
  <si>
    <t>Project Particular Specification for AC Generator - IFR</t>
  </si>
  <si>
    <t>EE-1610</t>
  </si>
  <si>
    <t>Project Particular Specification for AC Generator - AFC</t>
  </si>
  <si>
    <t>EE-1620</t>
  </si>
  <si>
    <t>Project Particular Specification for Motor Control Center - IFR</t>
  </si>
  <si>
    <t>EE-1630</t>
  </si>
  <si>
    <t>Project Particular Specification for Motor Control Center - AFC</t>
  </si>
  <si>
    <t>EE-1640</t>
  </si>
  <si>
    <t>Project Particular Specification for Induction Motor - IFR</t>
  </si>
  <si>
    <t>EE-1650</t>
  </si>
  <si>
    <t>Project Particular Specification for Induction Motor - AFC</t>
  </si>
  <si>
    <t>EE-2110</t>
  </si>
  <si>
    <t>Electrical Symbols and Legends - IFR</t>
  </si>
  <si>
    <t>EE-2130</t>
  </si>
  <si>
    <t>Electrical Symbols and Legends - AFC</t>
  </si>
  <si>
    <t>EE-2140</t>
  </si>
  <si>
    <t>Electrical Typical Installation Details - Lighting and Small Power (3 Sheets) - IFR</t>
  </si>
  <si>
    <t>EE-2150</t>
  </si>
  <si>
    <t>Electrical Typical Installation Details - Lighting and Small Power (3 Sheets) - AFC</t>
  </si>
  <si>
    <t>EE-2160</t>
  </si>
  <si>
    <t>Electrical Typical Installation Details - Earthing (5 Sheets) - IFR</t>
  </si>
  <si>
    <t>EE-2170</t>
  </si>
  <si>
    <t>Electrical Typical Installation Details - Earthing (5 Sheets) - AFC</t>
  </si>
  <si>
    <t>EE-2180</t>
  </si>
  <si>
    <t>Electrical Typical Installation Details - Cable Ladder/ Tray (3 Sheets) - IFR</t>
  </si>
  <si>
    <t>EE-2190</t>
  </si>
  <si>
    <t>Electrical Typical Installation Details - Cable Ladder/ Tray (3 Sheets) - AFC</t>
  </si>
  <si>
    <t>EE-2200</t>
  </si>
  <si>
    <t>Electrical Typical Installation Details - Navigation Aid System (2 Sheets) - IFR</t>
  </si>
  <si>
    <t>EE-2210</t>
  </si>
  <si>
    <t>Electrical Typical Installation Details - Navigation Aid System (2 Sheets) - AFC</t>
  </si>
  <si>
    <t>EE-2220</t>
  </si>
  <si>
    <t>Electrical Typical Installation Details - Power (3 Sheets) - IFR</t>
  </si>
  <si>
    <t>EE-2230</t>
  </si>
  <si>
    <t>Electrical Typical Installation Details - Power (3 Sheets) - AFC</t>
  </si>
  <si>
    <t>EE-2240</t>
  </si>
  <si>
    <t>Electrical Typical Installation Details - Solar Panel - IFR</t>
  </si>
  <si>
    <t>EE-2250</t>
  </si>
  <si>
    <t>Electrical Typical Installation Details - Solar Panel - AFC</t>
  </si>
  <si>
    <t>EE-2260</t>
  </si>
  <si>
    <t>Electrical Drawing Index - WPA01 - IFR</t>
  </si>
  <si>
    <t>EE-2280</t>
  </si>
  <si>
    <t>Electrical Drawing Index - WPA01 - AFC</t>
  </si>
  <si>
    <t>EE-2290</t>
  </si>
  <si>
    <t>Electrical Power &amp; Control System Block Diagram - WPA01 - IFR</t>
  </si>
  <si>
    <t>EE-2300</t>
  </si>
  <si>
    <t>Electrical Power &amp; Control System Block Diagram - WPA01 - IFA</t>
  </si>
  <si>
    <t>EE-2310</t>
  </si>
  <si>
    <t>Electrical Power &amp; Control System Block Diagram - WPA01 - AFC</t>
  </si>
  <si>
    <t>EE-2320</t>
  </si>
  <si>
    <t>Equipment Location Plan - WPA01 (3 Sheets) - IFR</t>
  </si>
  <si>
    <t>EE-2340</t>
  </si>
  <si>
    <t>Equipment Location Plan - WPA01 (3 Sheets) - AFC</t>
  </si>
  <si>
    <t>EE-2350</t>
  </si>
  <si>
    <t>Solar Panel Layout - WPA01 - IFR</t>
  </si>
  <si>
    <t>EE-2360</t>
  </si>
  <si>
    <t>Solar Panel Layout - WPA01 - IFA</t>
  </si>
  <si>
    <t>EE-2370</t>
  </si>
  <si>
    <t>Solar Panel Layout - WPA01 - AFC</t>
  </si>
  <si>
    <t>EE-2380</t>
  </si>
  <si>
    <t>E&amp;I Room Equipment Layout - WPA01 - IFR</t>
  </si>
  <si>
    <t>EE-2390</t>
  </si>
  <si>
    <t>E&amp;I Room Equipment Layout - WPA01 - IFA</t>
  </si>
  <si>
    <t>EE-2400</t>
  </si>
  <si>
    <t>E&amp;I Room Equipment Layout - WPA01 - AFC</t>
  </si>
  <si>
    <t>EE-2410</t>
  </si>
  <si>
    <t>Electrical Multi Cable Transit Schedule- WPA01 (6 Sheets) - IFR</t>
  </si>
  <si>
    <t>EE-2430</t>
  </si>
  <si>
    <t>Electrical Multi Cable Transit Schedule- WPA01 (6 Sheets) - AFC</t>
  </si>
  <si>
    <t>EE-2440</t>
  </si>
  <si>
    <t>Electrical Overall Earthing and Bonding Diagrams- WPA01 - IFR</t>
  </si>
  <si>
    <t>EE-2450</t>
  </si>
  <si>
    <t>Electrical Overall Earthing and Bonding Diagrams- WPA01 - IFA</t>
  </si>
  <si>
    <t>EE-2460</t>
  </si>
  <si>
    <t>Electrical Overall Earthing and Bonding Diagrams- WPA01 - AFC</t>
  </si>
  <si>
    <t>EE-2470</t>
  </si>
  <si>
    <t>Cable Trays/Ladders Layout Drawings - WPA01(4 Sheets) - IFR</t>
  </si>
  <si>
    <t>EE-2490</t>
  </si>
  <si>
    <t>Cable Trays/Ladders Layout Drawings - WPA01(4 Sheets) - AFC</t>
  </si>
  <si>
    <t>EE-2491</t>
  </si>
  <si>
    <t>Cables Routing Plan/Layout Drawings - WPA01(4 Sheets) - IFR</t>
  </si>
  <si>
    <t>EE-2495</t>
  </si>
  <si>
    <t>Cables Routing Plan/Layout Drawings - WPA01(4 Sheets) - AFC</t>
  </si>
  <si>
    <t>EE-2500</t>
  </si>
  <si>
    <t>Electrical Bulk Materials Take Off - WPA01 - IFR</t>
  </si>
  <si>
    <t>EE-2510</t>
  </si>
  <si>
    <t>Electrical Bulk Materials Take Off - WPA01 - IFA</t>
  </si>
  <si>
    <t>EE-2520</t>
  </si>
  <si>
    <t>Electrical Bulk Materials Take Off - WPA01 - AFC</t>
  </si>
  <si>
    <t>EE-2530</t>
  </si>
  <si>
    <t>Electrical AC Distribution Board Schedule - WPA01 - IFR</t>
  </si>
  <si>
    <t>EE-2540</t>
  </si>
  <si>
    <t>Electrical AC Distribution Board Schedule - WPA01 - IFA</t>
  </si>
  <si>
    <t>EE-2550</t>
  </si>
  <si>
    <t>Electrical AC Distribution Board Schedule - WPA01 - AFC</t>
  </si>
  <si>
    <t>EE-2551</t>
  </si>
  <si>
    <t>Electrical DC Distribution Board Schedule - WPA01 - IFR</t>
  </si>
  <si>
    <t>EE-2553</t>
  </si>
  <si>
    <t>Electrical DC Distribution Board Schedule - WPA01 - IFA</t>
  </si>
  <si>
    <t>EE-2556</t>
  </si>
  <si>
    <t>Electrical DC Distribution Board Schedule - WPA01 - AFC</t>
  </si>
  <si>
    <t>EE-2560</t>
  </si>
  <si>
    <t>Electrical I/O summary - WPA01 - IFR</t>
  </si>
  <si>
    <t>EE-2570</t>
  </si>
  <si>
    <t>Electrical I/O summary - WPA01 - IFA</t>
  </si>
  <si>
    <t>EE-2580</t>
  </si>
  <si>
    <t>Electrical I/O summary - WPA01 - AFC</t>
  </si>
  <si>
    <t>EE-2590</t>
  </si>
  <si>
    <t>Lighting and Small Power Loop Diagram - WPA01 (3 Sheets) - IFR</t>
  </si>
  <si>
    <t>EE-2610</t>
  </si>
  <si>
    <t>Lighting and Small Power Loop Diagram - WPA01 (3 Sheets) - AFC</t>
  </si>
  <si>
    <t>EE-2620</t>
  </si>
  <si>
    <t>Lighting and Small Power Plan - WPA01 Mezzanine Deck - IFR</t>
  </si>
  <si>
    <t>EE-2640</t>
  </si>
  <si>
    <t>Lighting and Small Power Plan - WPA01 Mezzanine Deck - AFC</t>
  </si>
  <si>
    <t>EE-2650</t>
  </si>
  <si>
    <t>Lighting and Small Power Plan - WPA01 Lower Deck - IFR</t>
  </si>
  <si>
    <t>EE-2670</t>
  </si>
  <si>
    <t>Lighting and Small Power Plan - WPA01 Lower Deck - AFC</t>
  </si>
  <si>
    <t>EE-2680</t>
  </si>
  <si>
    <t>Lighting and Small Power Plan - WPA01 Sump Deck and Boat Landing - IFR</t>
  </si>
  <si>
    <t>EE-2700</t>
  </si>
  <si>
    <t>Lighting and Small Power Plan - WPA01 Sump Deck and Boat Landing - AFC</t>
  </si>
  <si>
    <t>EE-2710</t>
  </si>
  <si>
    <t>Electrical Drawing Index - WPA02 - IFR</t>
  </si>
  <si>
    <t>EE-2730</t>
  </si>
  <si>
    <t>Electrical Drawing Index - WPA02 - AFC</t>
  </si>
  <si>
    <t>EE-2740</t>
  </si>
  <si>
    <t>Electrical Power &amp; Control System Block Diagram - WPA02 - IFR</t>
  </si>
  <si>
    <t>EE-2750</t>
  </si>
  <si>
    <t>Electrical Power &amp; Control System Block Diagram - WPA02 - IFA</t>
  </si>
  <si>
    <t>EE-2760</t>
  </si>
  <si>
    <t>Electrical Power &amp; Control System Block Diagram - WPA02 - AFC</t>
  </si>
  <si>
    <t>EE-2770</t>
  </si>
  <si>
    <t>Equipment Location Plan - WPA02 (3 Sheets) - IFR</t>
  </si>
  <si>
    <t>EE-2780</t>
  </si>
  <si>
    <t>Equipment Location Plan - WPA02 (3 Sheets) - IFA</t>
  </si>
  <si>
    <t>EE-2790</t>
  </si>
  <si>
    <t>Equipment Location Plan - WPA02 (3 Sheets) - AFC</t>
  </si>
  <si>
    <t>EE-2800</t>
  </si>
  <si>
    <t>Solar Panel Layout  - WPA02 - IFR</t>
  </si>
  <si>
    <t>EE-2810</t>
  </si>
  <si>
    <t>Solar Panel Layout  - WPA02 - IFA</t>
  </si>
  <si>
    <t>EE-2820</t>
  </si>
  <si>
    <t>Solar Panel Layout  - WPA02 - AFC</t>
  </si>
  <si>
    <t>EE-2830</t>
  </si>
  <si>
    <t>E&amp;I Room Equipment Layout - WPA02 - IFR</t>
  </si>
  <si>
    <t>EE-2840</t>
  </si>
  <si>
    <t>E&amp;I Room Equipment Layout - WPA02 - IFA</t>
  </si>
  <si>
    <t>EE-2850</t>
  </si>
  <si>
    <t>E&amp;I Room Equipment Layout - WPA02 - AFC</t>
  </si>
  <si>
    <t>EE-2860</t>
  </si>
  <si>
    <t>Electrical Multi Cable Transit Schedule  - WPA02 (6 Sheets) - IFR</t>
  </si>
  <si>
    <t>EE-2880</t>
  </si>
  <si>
    <t>Electrical Multi Cable Transit Schedule  - WPA02 (6 Sheets) - AFC</t>
  </si>
  <si>
    <t>EE-2890</t>
  </si>
  <si>
    <t>Electrical Overall Earthing and Bonding Diagrams  - WPA02 - IFR</t>
  </si>
  <si>
    <t>EE-2900</t>
  </si>
  <si>
    <t>Electrical Overall Earthing and Bonding Diagrams  - WPA02 - IFA</t>
  </si>
  <si>
    <t>EE-2910</t>
  </si>
  <si>
    <t>Electrical Overall Earthing and Bonding Diagrams  - WPA02 - AFC</t>
  </si>
  <si>
    <t>EE-2920</t>
  </si>
  <si>
    <t>Cable Trays/Ladders Layout Drawings  - WPA02 (4 Sheets) - IFR</t>
  </si>
  <si>
    <t>EE-2940</t>
  </si>
  <si>
    <t>Cable Trays/Ladders Layout Drawings  - WPA02 (4 Sheets) - AFC</t>
  </si>
  <si>
    <t>EE-2950</t>
  </si>
  <si>
    <t>Cables Routing Plan/Layout Drawings - WPA02 (4 Sheets) - IFR</t>
  </si>
  <si>
    <t>EE-2970</t>
  </si>
  <si>
    <t>Cables Routing Plan/Layout Drawings - WPA02 (4 Sheets) - AFC</t>
  </si>
  <si>
    <t>EE-2980</t>
  </si>
  <si>
    <t>Electrical Bulk Materials Take Off - WPA02 - IFR</t>
  </si>
  <si>
    <t>EE-2990</t>
  </si>
  <si>
    <t>Electrical Bulk Materials Take Off - WPA02 - IFA</t>
  </si>
  <si>
    <t>EE-3000</t>
  </si>
  <si>
    <t>Electrical Bulk Materials Take Off - WPA02 - AFC</t>
  </si>
  <si>
    <t>EE-3010</t>
  </si>
  <si>
    <t>Electrical AC Distribution Board Schedule - WPA02 - IFR</t>
  </si>
  <si>
    <t>EE-3020</t>
  </si>
  <si>
    <t>Electrical AC Distribution Board Schedule - WPA02 - IFA</t>
  </si>
  <si>
    <t>EE-3030</t>
  </si>
  <si>
    <t>Electrical AC Distribution Board Schedule - WPA02 - AFC</t>
  </si>
  <si>
    <t>EE-3031</t>
  </si>
  <si>
    <t>Electrical DC Distribution Board Schedule - WPA02 - IFR</t>
  </si>
  <si>
    <t>EE-3033</t>
  </si>
  <si>
    <t>Electrical DC Distribution Board Schedule - WPA02 - IFA</t>
  </si>
  <si>
    <t>EE-3035</t>
  </si>
  <si>
    <t>Electrical DC Distribution Board Schedule - WPA02 - AFC</t>
  </si>
  <si>
    <t>EE-3040</t>
  </si>
  <si>
    <t>Electrical I/O summary - WPA02 - IFR</t>
  </si>
  <si>
    <t>EE-3060</t>
  </si>
  <si>
    <t>Electrical I/O summary - WPA02 - AFC</t>
  </si>
  <si>
    <t>EE-3070</t>
  </si>
  <si>
    <t>Lighting and Small Power Loop Diagram - WPA02 (3 Sheets) - IFR</t>
  </si>
  <si>
    <t>EE-3090</t>
  </si>
  <si>
    <t>Lighting and Small Power Loop Diagram - WPA02 (3 Sheets) - AFC</t>
  </si>
  <si>
    <t>EE-3100</t>
  </si>
  <si>
    <t>Lighting and Small Power Plan - WPA02 Mezzanine Deck - IFR</t>
  </si>
  <si>
    <t>EE-3120</t>
  </si>
  <si>
    <t>Lighting and Small Power Plan - WPA02 Mezzanine Deck - AFC</t>
  </si>
  <si>
    <t>EE-3130</t>
  </si>
  <si>
    <t>Lighting and Small Power Plan - WPA02 Lower Deck - IFR</t>
  </si>
  <si>
    <t>EE-3150</t>
  </si>
  <si>
    <t>Lighting and Small Power Plan - WPA02 Lower Deck - AFC</t>
  </si>
  <si>
    <t>EE-3160</t>
  </si>
  <si>
    <t>Lighting and Small Power Plan - WPA02 Sump Deck and Boat Landing - IFR</t>
  </si>
  <si>
    <t>EE-3180</t>
  </si>
  <si>
    <t>Lighting and Small Power Plan - WPA02 Sump Deck and Boat Landing - AFC</t>
  </si>
  <si>
    <t>EE-3190</t>
  </si>
  <si>
    <t>Electrical Key Single Line Diagram - WPA01 - IFR</t>
  </si>
  <si>
    <t>EE-3200</t>
  </si>
  <si>
    <t>Electrical Key Single Line Diagram - WPA01 - IFA</t>
  </si>
  <si>
    <t>EE-3210</t>
  </si>
  <si>
    <t>Electrical Key Single Line Diagram - WPA01 - AFC</t>
  </si>
  <si>
    <t>EE-3220</t>
  </si>
  <si>
    <t>Electrical Single Line Diagram - AC System-  WPA01 - IFR</t>
  </si>
  <si>
    <t>EE-3230</t>
  </si>
  <si>
    <t>Electrical Single Line Diagram - AC System-  WPA01 - IFA</t>
  </si>
  <si>
    <t>EE-3240</t>
  </si>
  <si>
    <t>Electrical Single Line Diagram - AC System-  WPA01 - AFC</t>
  </si>
  <si>
    <t>EE-3250</t>
  </si>
  <si>
    <t>Electrical Single Line Diagram - DC System &amp; Navigation Aids System -WPA01 - IFR</t>
  </si>
  <si>
    <t>EE-3260</t>
  </si>
  <si>
    <t>Electrical Single Line Diagram - DC System &amp; Navigation Aids System -WPA01 - IFA</t>
  </si>
  <si>
    <t>EE-3270</t>
  </si>
  <si>
    <t>Electrical Single Line Diagram - DC System &amp; Navigation Aids System -WPA01 - AFC</t>
  </si>
  <si>
    <t>EE-3280</t>
  </si>
  <si>
    <t>Electrical Wiring Interconnection for AC and Distribution System - WPA01 (2 Sheets) - IFR</t>
  </si>
  <si>
    <t>EE-3290</t>
  </si>
  <si>
    <t>Electrical Wiring Interconnection for AC and Distribution System - WPA01 (2 Sheets) - IFA</t>
  </si>
  <si>
    <t>EE-3300</t>
  </si>
  <si>
    <t>Electrical Wiring Interconnection for AC and Distribution System - WPA01 (2 Sheets) - AFC</t>
  </si>
  <si>
    <t>EE-3310</t>
  </si>
  <si>
    <t>Electrical Wiring Interconnection for DC Distribution System - WPA01 (2 Sheets) - IFR</t>
  </si>
  <si>
    <t>EE-3320</t>
  </si>
  <si>
    <t>Electrical Wiring Interconnection for DC Distribution System - WPA01 (2 Sheets) - IFA</t>
  </si>
  <si>
    <t>EE-3330</t>
  </si>
  <si>
    <t>Electrical Wiring Interconnection for DC Distribution System - WPA01 (2 Sheets) - AFC</t>
  </si>
  <si>
    <t>EE-3340</t>
  </si>
  <si>
    <t>Electrical Wiring Interconnection for Navigation Aid System - WPA01 - IFR</t>
  </si>
  <si>
    <t>EE-3350</t>
  </si>
  <si>
    <t>Electrical Wiring Interconnection for Navigation Aid System - WPA01 - IFA</t>
  </si>
  <si>
    <t>EE-3360</t>
  </si>
  <si>
    <t>Electrical Wiring Interconnection for Navigation Aid System - WPA01 - AFC</t>
  </si>
  <si>
    <t>EE-3370</t>
  </si>
  <si>
    <t>Electrical Key Single Line Diagram - WPA02 - IFR</t>
  </si>
  <si>
    <t>EE-3380</t>
  </si>
  <si>
    <t>Electrical Key Single Line Diagram - WPA02 - IFA</t>
  </si>
  <si>
    <t>EE-3390</t>
  </si>
  <si>
    <t>Electrical Key Single Line Diagram - WPA02 - AFC</t>
  </si>
  <si>
    <t>EE-3400</t>
  </si>
  <si>
    <t>Electrical Single Line Diagram - AC System - WPA02 - IFR</t>
  </si>
  <si>
    <t>EE-3410</t>
  </si>
  <si>
    <t>Electrical Single Line Diagram - AC System - WPA02 - IFA</t>
  </si>
  <si>
    <t>EE-3420</t>
  </si>
  <si>
    <t>Electrical Single Line Diagram - AC System - WPA02 - AFC</t>
  </si>
  <si>
    <t>EE-3430</t>
  </si>
  <si>
    <t>Electrical Single Line Diagram - DC System &amp; Navigation Aids System - WPA02 - IFR</t>
  </si>
  <si>
    <t>EE-3440</t>
  </si>
  <si>
    <t>Electrical Single Line Diagram - DC System &amp; Navigation Aids System - WPA02 - IFA</t>
  </si>
  <si>
    <t>EE-3450</t>
  </si>
  <si>
    <t>Electrical Single Line Diagram - DC System &amp; Navigation Aids System - WPA02 - AFC</t>
  </si>
  <si>
    <t>EE-3460</t>
  </si>
  <si>
    <t>Electrical Wiring Interconnection for AC and Distribution System - WPA02 (2 Sheets) - IFR</t>
  </si>
  <si>
    <t>EE-3470</t>
  </si>
  <si>
    <t>Electrical Wiring Interconnection for AC and Distribution System - WPA02 (2 Sheets) - IFA</t>
  </si>
  <si>
    <t>EE-3480</t>
  </si>
  <si>
    <t>Electrical Wiring Interconnection for AC and Distribution System - WPA02 (2 Sheets) - AFC</t>
  </si>
  <si>
    <t>EE-3490</t>
  </si>
  <si>
    <t>Electrical Wiring Interconnection for DC Distribution System - WPA02 (2 Sheets) - IFR</t>
  </si>
  <si>
    <t>EE-3500</t>
  </si>
  <si>
    <t>Electrical Wiring Interconnection for DC Distribution System - WPA02 (2 Sheets) - IFA</t>
  </si>
  <si>
    <t>EE-3510</t>
  </si>
  <si>
    <t>Electrical Wiring Interconnection for DC Distribution System - WPA02 (2 Sheets) - AFC</t>
  </si>
  <si>
    <t>EE-3520</t>
  </si>
  <si>
    <t>Electrical Wiring Interconnection for Navigation Aid System - WPA02 - IFR</t>
  </si>
  <si>
    <t>EE-3530</t>
  </si>
  <si>
    <t>Electrical Wiring Interconnection for Navigation Aid System - WPA02 - IFA</t>
  </si>
  <si>
    <t>EE-3540</t>
  </si>
  <si>
    <t>Electrical Wiring Interconnection for Navigation Aid System - WPA02 - AFC</t>
  </si>
  <si>
    <t>Datasheet-Electrical</t>
  </si>
  <si>
    <t>EE-1660</t>
  </si>
  <si>
    <t>Datasheet for AC and DC Distribution Boards/Panels - WPA01 - IFR</t>
  </si>
  <si>
    <t>EE-1670</t>
  </si>
  <si>
    <t>Datasheet for AC and DC Distribution Boards/Panels - WPA01 - IFA</t>
  </si>
  <si>
    <t>EE-1680</t>
  </si>
  <si>
    <t>Datasheet for AC and DC Distribution Boards/Panels - WPA01 - AFC</t>
  </si>
  <si>
    <t>EE-1690</t>
  </si>
  <si>
    <t>Datasheet for Solar power system  - WPA01 - IFR</t>
  </si>
  <si>
    <t>EE-1700</t>
  </si>
  <si>
    <t>Datasheet for Solar power system  - WPA01 - IFA</t>
  </si>
  <si>
    <t>EE-1710</t>
  </si>
  <si>
    <t>Datasheet for Solar power system  - WPA01 - AFC</t>
  </si>
  <si>
    <t>EE-1720</t>
  </si>
  <si>
    <t>Datasheet for Navigation Aid system  - WPA01 - IFR</t>
  </si>
  <si>
    <t>EE-1730</t>
  </si>
  <si>
    <t>Datasheet for Navigation Aid system  - WPA01 - IFA</t>
  </si>
  <si>
    <t>EE-1740</t>
  </si>
  <si>
    <t>Datasheet for Navigation Aid system  - WPA01 - AFC</t>
  </si>
  <si>
    <t>EE-1750</t>
  </si>
  <si>
    <t>Datasheet for External Battery Charger  - WPA01 - IFR</t>
  </si>
  <si>
    <t>EE-1760</t>
  </si>
  <si>
    <t>Datasheet for External Battery Charger  - WPA01 - IFA</t>
  </si>
  <si>
    <t>EE-1770</t>
  </si>
  <si>
    <t>Datasheet for External Battery Charger  - WPA01 - AFC</t>
  </si>
  <si>
    <t>EE-1780</t>
  </si>
  <si>
    <t>Datasheet for Electrical Cables  - WPA01 - IFR</t>
  </si>
  <si>
    <t>EE-1800</t>
  </si>
  <si>
    <t>Datasheet for Electrical Cables  - WPA01 - AFC</t>
  </si>
  <si>
    <t>EE-1810</t>
  </si>
  <si>
    <t>Datasheet for Electrical Bulk Materials  - WPA01 - IFR</t>
  </si>
  <si>
    <t>EE-1830</t>
  </si>
  <si>
    <t>Datasheet for Electrical Bulk Materials  - WPA01 - AFC</t>
  </si>
  <si>
    <t>EE-1833</t>
  </si>
  <si>
    <t>Datasheet for FOG HORN - WPA01 - IFR</t>
  </si>
  <si>
    <t>EE-1835</t>
  </si>
  <si>
    <t>Datasheet for FOG HORN - WPA01 - IFA</t>
  </si>
  <si>
    <t>EE-1837</t>
  </si>
  <si>
    <t>Datasheet for FOG HORN - WPA01 - AFC</t>
  </si>
  <si>
    <t>EE-1840</t>
  </si>
  <si>
    <t>Datasheet for AC and DC Distribution Boards/Panels  - WPA02 - IFR</t>
  </si>
  <si>
    <t>EE-1850</t>
  </si>
  <si>
    <t>Datasheet for AC and DC Distribution Boards/Panels  - WPA02 - IFA</t>
  </si>
  <si>
    <t>EE-1860</t>
  </si>
  <si>
    <t>Datasheet for AC and DC Distribution Boards/Panels  - WPA02 - AFC</t>
  </si>
  <si>
    <t>EE-1870</t>
  </si>
  <si>
    <t>Datasheet for Solar power system  - WPA02 - IFR</t>
  </si>
  <si>
    <t>EE-1880</t>
  </si>
  <si>
    <t>Datasheet for Solar power system  - WPA02 - IFA</t>
  </si>
  <si>
    <t>EE-1890</t>
  </si>
  <si>
    <t>Datasheet for Solar power system  - WPA02 - AFC</t>
  </si>
  <si>
    <t>EE-1900</t>
  </si>
  <si>
    <t>Datasheet for Navigation Aid system  - WPA02 - IFR</t>
  </si>
  <si>
    <t>EE-1910</t>
  </si>
  <si>
    <t>Datasheet for Navigation Aid system  - WPA02 - IFA</t>
  </si>
  <si>
    <t>EE-1920</t>
  </si>
  <si>
    <t>Datasheet for Navigation Aid system  - WPA02 - AFC</t>
  </si>
  <si>
    <t>EE-1930</t>
  </si>
  <si>
    <t>Datasheet for External Battery Charger  - WPA02 - IFR</t>
  </si>
  <si>
    <t>EE-1940</t>
  </si>
  <si>
    <t>Datasheet for External Battery Charger  - WPA02 - IFA</t>
  </si>
  <si>
    <t>EE-1950</t>
  </si>
  <si>
    <t>Datasheet for External Battery Charger  - WPA02 - AFC</t>
  </si>
  <si>
    <t>EE-1960</t>
  </si>
  <si>
    <t>Datasheet for Electrical Cables  - WPA02 - IFR</t>
  </si>
  <si>
    <t>EE-1980</t>
  </si>
  <si>
    <t>Datasheet for Electrical Cables  - WPA02 - AFC</t>
  </si>
  <si>
    <t>EE-1990</t>
  </si>
  <si>
    <t>Datasheet for Electrical Bulk Materials  - WPA02 - IFR</t>
  </si>
  <si>
    <t>EE-2010</t>
  </si>
  <si>
    <t>Datasheet for Electrical Bulk Materials  - WPA02 - AFC</t>
  </si>
  <si>
    <t>EE-2020</t>
  </si>
  <si>
    <t>Datasheet for AC Generator  - WPA02 - IFR</t>
  </si>
  <si>
    <t>EE-2030</t>
  </si>
  <si>
    <t>Datasheet for AC Generator  - WPA02 - IFA</t>
  </si>
  <si>
    <t>EE-2040</t>
  </si>
  <si>
    <t>Datasheet for AC Generator  - WPA02 - AFC</t>
  </si>
  <si>
    <t>EE-2050</t>
  </si>
  <si>
    <t>Datasheet for Motor Control Center  - WPA02 - IFR</t>
  </si>
  <si>
    <t>EE-2060</t>
  </si>
  <si>
    <t>Datasheet for Motor Control Center  - WPA02 - IFA</t>
  </si>
  <si>
    <t>EE-2070</t>
  </si>
  <si>
    <t>Datasheet for Motor Control Center  - WPA02 - AFC</t>
  </si>
  <si>
    <t>EE-2080</t>
  </si>
  <si>
    <t>Datasheet for Induction Motor  - WPA02 - IFR</t>
  </si>
  <si>
    <t>EE-2090</t>
  </si>
  <si>
    <t>Datasheet for Induction Motor  - WPA02 - IFA</t>
  </si>
  <si>
    <t>EE-2100</t>
  </si>
  <si>
    <t>Datasheet for Induction Motor  - WPA02 - AFC</t>
  </si>
  <si>
    <t>EE-4042</t>
  </si>
  <si>
    <t>Datasheet for FOG HORN - WPA02 - IFR</t>
  </si>
  <si>
    <t>EE-4044</t>
  </si>
  <si>
    <t>Datasheet for FOG HORN - WPA02 - IFA</t>
  </si>
  <si>
    <t>EE-4046</t>
  </si>
  <si>
    <t>Datasheet for FOG HORN - WPA02 - AFC</t>
  </si>
  <si>
    <t>MR-Electrical</t>
  </si>
  <si>
    <t>EE-3550</t>
  </si>
  <si>
    <t>Material Requisition for AC &amp; DC Distribution Boards/Panels - WPA01 - IFR</t>
  </si>
  <si>
    <t>EE-3560</t>
  </si>
  <si>
    <t>Material Requisition for AC &amp; DC Distribution Boards/Panels - WPA01 - AFC</t>
  </si>
  <si>
    <t>EE-3570</t>
  </si>
  <si>
    <t>Material Requisition for Solar power system - WPA01 - IFR</t>
  </si>
  <si>
    <t>EE-3580</t>
  </si>
  <si>
    <t>Material Requisition for Solar power system - WPA01 - AFC</t>
  </si>
  <si>
    <t>EE-3590</t>
  </si>
  <si>
    <t>Material Requisition for Navigation Aid system - WPA01 - IFR</t>
  </si>
  <si>
    <t>EE-3600</t>
  </si>
  <si>
    <t>Material Requisition for Navigation Aid system - WPA01 - AFC</t>
  </si>
  <si>
    <t>EE-3610</t>
  </si>
  <si>
    <t>Material Requisition for External Battery Charger - WPA01 - IFR</t>
  </si>
  <si>
    <t>EE-3620</t>
  </si>
  <si>
    <t>Material Requisition for External Battery Charger - WPA01 - AFC</t>
  </si>
  <si>
    <t>EE-3630</t>
  </si>
  <si>
    <t>Material Requisition for Electrical Cables - WPA01 - IFR</t>
  </si>
  <si>
    <t>EE-3640</t>
  </si>
  <si>
    <t>Material Requisition for Electrical Cables - WPA01 - AFC</t>
  </si>
  <si>
    <t>EE-3650</t>
  </si>
  <si>
    <t>Material Requisition for Electrical Bulk Materials - WPA01 - IFR</t>
  </si>
  <si>
    <t>EE-3660</t>
  </si>
  <si>
    <t>Material Requisition for Electrical Bulk Materials - WPA01 - AFC</t>
  </si>
  <si>
    <t>EE-3661</t>
  </si>
  <si>
    <t>Material Requisition for FOG HORN - WPA01 - IFR</t>
  </si>
  <si>
    <t>EE-3665</t>
  </si>
  <si>
    <t>Material Requisition for FOG HORN - WPA01 - AFC</t>
  </si>
  <si>
    <t>EE-3670</t>
  </si>
  <si>
    <t>Material Requisition for AC &amp; DC Distribution Boards/Panels - WPA02 - IFR</t>
  </si>
  <si>
    <t>EE-3680</t>
  </si>
  <si>
    <t>Material Requisition for AC &amp; DC Distribution Boards/Panels - WPA02 - AFC</t>
  </si>
  <si>
    <t>EE-3690</t>
  </si>
  <si>
    <t>Material Requisition for Solar power system - WPA02 - IFR</t>
  </si>
  <si>
    <t>EE-3700</t>
  </si>
  <si>
    <t>Material Requisition for Solar power system - WPA02 - AFC</t>
  </si>
  <si>
    <t>EE-3710</t>
  </si>
  <si>
    <t>Material Requisition for Navigation Aid system - WPA02 - IFR</t>
  </si>
  <si>
    <t>EE-3720</t>
  </si>
  <si>
    <t>Material Requisition for Navigation Aid system - WPA02 - AFC</t>
  </si>
  <si>
    <t>EE-3730</t>
  </si>
  <si>
    <t>Material Requisition for External Battery Charger - WPA02 - IFR</t>
  </si>
  <si>
    <t>EE-3740</t>
  </si>
  <si>
    <t>Material Requisition for External Battery Charger - WPA02 - AFC</t>
  </si>
  <si>
    <t>EE-3750</t>
  </si>
  <si>
    <t>Material Requisition for Electrical Cables - WPA02 - IFR</t>
  </si>
  <si>
    <t>EE-3760</t>
  </si>
  <si>
    <t>Material Requisition for Electrical Cables - WPA02 - AFC</t>
  </si>
  <si>
    <t>EE-3770</t>
  </si>
  <si>
    <t>Material Requisition for Electrical Bulk Materials - WPA02 - IFR</t>
  </si>
  <si>
    <t>EE-3780</t>
  </si>
  <si>
    <t>Material Requisition for Electrical Bulk Materials - WPA02 - AFC</t>
  </si>
  <si>
    <t>EE-4048</t>
  </si>
  <si>
    <t>Material Requisition for FOG HORN - WPA02 - IFR</t>
  </si>
  <si>
    <t>EE-4050</t>
  </si>
  <si>
    <t>Material Requisition for FOG HORN - WPA02 - AFC</t>
  </si>
  <si>
    <t>EE-4056</t>
  </si>
  <si>
    <t>Material Requisition for Motor Control Center - WPA02 - IFR</t>
  </si>
  <si>
    <t>EE-4058</t>
  </si>
  <si>
    <t>Material Requisition for Motor Control Center - WPA02 - AFC</t>
  </si>
  <si>
    <t>TBE-Electrical</t>
  </si>
  <si>
    <t>EE-3790</t>
  </si>
  <si>
    <t>Technical Bid Evaluation for AC &amp; DC Distribution Boards/Panels - WPA01 - IFR</t>
  </si>
  <si>
    <t>EE-3800</t>
  </si>
  <si>
    <t>Technical Bid Evaluation for AC &amp; DC Distribution Boards/Panels - WPA01 - AFC</t>
  </si>
  <si>
    <t>EE-3810</t>
  </si>
  <si>
    <t>Technical Bid Evaluation for Solar power system - WPA01 - IFR</t>
  </si>
  <si>
    <t>EE-3820</t>
  </si>
  <si>
    <t>Technical Bid Evaluation for Solar power system - WPA01 - AFC</t>
  </si>
  <si>
    <t>EE-3830</t>
  </si>
  <si>
    <t>Technical Bid Evaluation for Navigation Aid system - WPA01 - IFR</t>
  </si>
  <si>
    <t>EE-3840</t>
  </si>
  <si>
    <t>Technical Bid Evaluation for Navigation Aid system - WPA01 - AFC</t>
  </si>
  <si>
    <t>EE-3850</t>
  </si>
  <si>
    <t>Technical Bid Evaluation for External Battery Charger - WPA01 - IFR</t>
  </si>
  <si>
    <t>EE-3860</t>
  </si>
  <si>
    <t>Technical Bid Evaluation for External Battery Charger - WPA01 - AFC</t>
  </si>
  <si>
    <t>EE-3870</t>
  </si>
  <si>
    <t>Technical Bid Evaluation for Electrical Cables - WPA01 - IFR</t>
  </si>
  <si>
    <t>EE-3880</t>
  </si>
  <si>
    <t>Technical Bid Evaluation for Electrical Cables - WPA01 - AFC</t>
  </si>
  <si>
    <t>EE-3890</t>
  </si>
  <si>
    <t>Technical Bid Evaluation for Electrical Bulk Materials - WPA01 - IFR</t>
  </si>
  <si>
    <t>EE-3900</t>
  </si>
  <si>
    <t>Technical Bid Evaluation for Electrical Bulk Materials - WPA01 - AFC</t>
  </si>
  <si>
    <t>EE-3905</t>
  </si>
  <si>
    <t>Technical Bid Evaluation for FOG HORN - WPA01- IFR</t>
  </si>
  <si>
    <t>EE-3908</t>
  </si>
  <si>
    <t>Technical Bid Evaluation for FOG HORN - WPA01 - AFC</t>
  </si>
  <si>
    <t>EE-3910</t>
  </si>
  <si>
    <t>Technical Bid Evaluation for AC &amp; DC Distribution Boards/Panels - WPA02 - IFR</t>
  </si>
  <si>
    <t>EE-3920</t>
  </si>
  <si>
    <t>Technical Bid Evaluation for AC &amp; DC Distribution Boards/Panels - WPA02 - AFC</t>
  </si>
  <si>
    <t>EE-3930</t>
  </si>
  <si>
    <t>Technical Bid Evaluation for Solar power system - WPA02 - IFR</t>
  </si>
  <si>
    <t>EE-3940</t>
  </si>
  <si>
    <t>Technical Bid Evaluation for Solar power system - WPA02 - AFC</t>
  </si>
  <si>
    <t>EE-3950</t>
  </si>
  <si>
    <t>Technical Bid Evaluation for Navigation Aid system - WPA02 - IFR</t>
  </si>
  <si>
    <t>EE-3960</t>
  </si>
  <si>
    <t>Technical Bid Evaluation for Navigation Aid system - WPA02 - AFC</t>
  </si>
  <si>
    <t>EE-3970</t>
  </si>
  <si>
    <t>Technical Bid Evaluation for External Battery Charger - WPA02 - IFR</t>
  </si>
  <si>
    <t>EE-3980</t>
  </si>
  <si>
    <t>Technical Bid Evaluation for External Battery Charger - WPA02 - AFC</t>
  </si>
  <si>
    <t>EE-3990</t>
  </si>
  <si>
    <t>Technical Bid Evaluation for Electrical Cables - WPA02 - IFR</t>
  </si>
  <si>
    <t>EE-4000</t>
  </si>
  <si>
    <t>Technical Bid Evaluation for Electrical Cables - WPA02 - AFC</t>
  </si>
  <si>
    <t>EE-4010</t>
  </si>
  <si>
    <t>Technical Bid Evaluation for Electrical Bulk Materials - WPA02 - IFR</t>
  </si>
  <si>
    <t>EE-4020</t>
  </si>
  <si>
    <t>Technical Bid Evaluation for Electrical Bulk Materials - WPA02 - AFC</t>
  </si>
  <si>
    <t>EE-4030</t>
  </si>
  <si>
    <t>Technical Bid Evaluation for Motor Control Center - IFR</t>
  </si>
  <si>
    <t>EE-4040</t>
  </si>
  <si>
    <t>Technical Bid Evaluation for Motor Control Center - AFC</t>
  </si>
  <si>
    <t>EE-4052</t>
  </si>
  <si>
    <t>Technical Bid Evaluation for FOG HORN - WPA02- IFR</t>
  </si>
  <si>
    <t>EE-4054</t>
  </si>
  <si>
    <t>Technical Bid Evaluation for FOG HORN - WPA02 - AFC</t>
  </si>
  <si>
    <t>INSTRUMENTANDCONTROLSYSTEMENGINEERING</t>
  </si>
  <si>
    <t>IN-1000</t>
  </si>
  <si>
    <t>Instrument Basis Of Design - IFR</t>
  </si>
  <si>
    <t>IN-1010</t>
  </si>
  <si>
    <t>Instrument Basis Of Design - AFC</t>
  </si>
  <si>
    <t>IN-1020</t>
  </si>
  <si>
    <t>Instrument / Control And Safety System Philosophy - IFR</t>
  </si>
  <si>
    <t>IN-1030</t>
  </si>
  <si>
    <t>Instrument / Control And Safety System Philosophy - IFA</t>
  </si>
  <si>
    <t>IN-1040</t>
  </si>
  <si>
    <t>Instrument / Control And Safety System Philosophy - AFC</t>
  </si>
  <si>
    <t>IN-1050</t>
  </si>
  <si>
    <t>Project Particular Specification For SCADA Systems and PLC Gateway - IFR</t>
  </si>
  <si>
    <t>IN-1060</t>
  </si>
  <si>
    <t>Project Particular Specification For SCADA Systems and PLC Gateway - AFC</t>
  </si>
  <si>
    <t>IN-1070</t>
  </si>
  <si>
    <t>Project Particular Specification For PLC Systems - IFR</t>
  </si>
  <si>
    <t>IN-1080</t>
  </si>
  <si>
    <t>Project Particular Specification For PLC Systems - AFC</t>
  </si>
  <si>
    <t>IN-1090</t>
  </si>
  <si>
    <t>Project Particular Specification For Wellhead Control Panel - IFR</t>
  </si>
  <si>
    <t>IN-1100</t>
  </si>
  <si>
    <t>Project Particular Specification For Wellhead Control Panel - AFC</t>
  </si>
  <si>
    <t>IN-1110</t>
  </si>
  <si>
    <t>Project Particular Specification For Instrument For Measurement - IFR</t>
  </si>
  <si>
    <t>IN-1120</t>
  </si>
  <si>
    <t>Project Particular Specification For Instrument For Measurement - AFC</t>
  </si>
  <si>
    <t>IN-1130</t>
  </si>
  <si>
    <t>Project Particular Specification For Instrument Cables - IFR</t>
  </si>
  <si>
    <t>IN-1140</t>
  </si>
  <si>
    <t>Project Particular Specification For Instrument Cables - AFC</t>
  </si>
  <si>
    <t>IN-1150</t>
  </si>
  <si>
    <t>Project Particular Specification For Instrument Bulk Material - IFR</t>
  </si>
  <si>
    <t>IN-1160</t>
  </si>
  <si>
    <t>Project Particular Specification For Instrument Bulk Material - AFC</t>
  </si>
  <si>
    <t>IN-1170</t>
  </si>
  <si>
    <t>Project Particular Specification For Actuated Choke Valves - IFR</t>
  </si>
  <si>
    <t>IN-1180</t>
  </si>
  <si>
    <t>Project Particular Specification For Actuated Choke Valves - AFC</t>
  </si>
  <si>
    <t>IN-1190</t>
  </si>
  <si>
    <t>Project Particular Specification For Actuated Ball Valves - IFR</t>
  </si>
  <si>
    <t>IN-1200</t>
  </si>
  <si>
    <t>Project Particular Specification For Actuated Ball Valves - AFC</t>
  </si>
  <si>
    <t>IN-1210</t>
  </si>
  <si>
    <t>Project Particular Specification For Acuated Compact Ball Valve - IFR</t>
  </si>
  <si>
    <t>IN-1220</t>
  </si>
  <si>
    <t>Project Particular Specification For Acuated Compact Ball Valve - AFC</t>
  </si>
  <si>
    <t>IN-1230</t>
  </si>
  <si>
    <t>Project Particular Specification For Control Valves And Self Actuated Pcv - IFR</t>
  </si>
  <si>
    <t>IN-1240</t>
  </si>
  <si>
    <t>Project Particular Specification For Control Valves And Self Actuated Pcv - AFC</t>
  </si>
  <si>
    <t>IN-1250</t>
  </si>
  <si>
    <t>Project Particular Specification For Relief Valves - IFR</t>
  </si>
  <si>
    <t>IN-1260</t>
  </si>
  <si>
    <t>Project Particular Specification For Relief Valves - AFC</t>
  </si>
  <si>
    <t>IN-1270</t>
  </si>
  <si>
    <t>Project Particular Specification For Coriolis Flow Meters - IFR</t>
  </si>
  <si>
    <t>IN-1280</t>
  </si>
  <si>
    <t>Project Particular Specification For Coriolis Flow Meters - AFC</t>
  </si>
  <si>
    <t>IN-1290</t>
  </si>
  <si>
    <t>Project Particular Specification For Vortex Flow Meters - IFR</t>
  </si>
  <si>
    <t>IN-1300</t>
  </si>
  <si>
    <t>Project Particular Specification For Vortex Flow Meters - AFC</t>
  </si>
  <si>
    <t>IN-1310</t>
  </si>
  <si>
    <t>Project Particular Specification For Fire &amp; Gas Detectors - IFR</t>
  </si>
  <si>
    <t>IN-1320</t>
  </si>
  <si>
    <t>Project Particular Specification For Fire &amp; Gas Detectors - AFC</t>
  </si>
  <si>
    <t>IN-1330</t>
  </si>
  <si>
    <t>Project Particular Specification For Installation Of Instrumentation And Control - IFR</t>
  </si>
  <si>
    <t>IN-1340</t>
  </si>
  <si>
    <t>Project Particular Specification For Installation Of  Instrumentation And Control - AFC</t>
  </si>
  <si>
    <t>IN-1380</t>
  </si>
  <si>
    <t>Instrument Cable Block Diagram For SCADA System - IFR</t>
  </si>
  <si>
    <t>IN-1390</t>
  </si>
  <si>
    <t>Instrument Cable Block Diagram For SCADA System - IFA</t>
  </si>
  <si>
    <t>IN-1400</t>
  </si>
  <si>
    <t>Instrument Cable Block Diagram For SCADA System - AFC</t>
  </si>
  <si>
    <t>IN-1410</t>
  </si>
  <si>
    <t>Overall Instrument Earthing Diagram - IFR</t>
  </si>
  <si>
    <t>IN-1420</t>
  </si>
  <si>
    <t>Overall Instrument Earthing Diagram - IFA</t>
  </si>
  <si>
    <t>IN-1430</t>
  </si>
  <si>
    <t>Overall Instrument Earthing Diagram - AFC</t>
  </si>
  <si>
    <t>IN-1440</t>
  </si>
  <si>
    <t>Instrument Typical Installation Details - IFR</t>
  </si>
  <si>
    <t>IN-1450</t>
  </si>
  <si>
    <t>Instrument Typical Installation Details - AFC</t>
  </si>
  <si>
    <t>IN-1480</t>
  </si>
  <si>
    <t>Instrument Drawing Index -Wp01 - IFR</t>
  </si>
  <si>
    <t>IN-1490</t>
  </si>
  <si>
    <t>Instrument Drawing Index -Wp01 - IFA</t>
  </si>
  <si>
    <t>IN-1500</t>
  </si>
  <si>
    <t>Instrument Drawing Index -Wp01 - AFC</t>
  </si>
  <si>
    <t>IN-1510</t>
  </si>
  <si>
    <t>Instrument Index-Wp01 - IFR</t>
  </si>
  <si>
    <t>IN-1520</t>
  </si>
  <si>
    <t>Instrument Index-Wp01 - IFA</t>
  </si>
  <si>
    <t>IN-1530</t>
  </si>
  <si>
    <t>Instrument Index-Wp01 - AFC</t>
  </si>
  <si>
    <t>IN-1540</t>
  </si>
  <si>
    <t>Plc Input/Output List-Wp01 - IFR</t>
  </si>
  <si>
    <t>IN-1550</t>
  </si>
  <si>
    <t>Plc Input/Output List-Wp01 - IFA</t>
  </si>
  <si>
    <t>IN-1560</t>
  </si>
  <si>
    <t>Plc Input/Output List-Wp01 - AFC</t>
  </si>
  <si>
    <t>IN-1570</t>
  </si>
  <si>
    <t>Control System Block Diagram For-Wp01 - IFR</t>
  </si>
  <si>
    <t>IN-1580</t>
  </si>
  <si>
    <t>Control System Block Diagram For-Wp01 - IFA</t>
  </si>
  <si>
    <t>IN-1590</t>
  </si>
  <si>
    <t>Control System Block Diagram For-Wp01 - AFC</t>
  </si>
  <si>
    <t>IN-1600</t>
  </si>
  <si>
    <t>Instrument Cable Block Diagram Pcs/Esd/Fgs-Wp01 - IFR</t>
  </si>
  <si>
    <t>IN-1610</t>
  </si>
  <si>
    <t>Instrument Cable Block Diagram Pcs/Esd/Fgs-Wp01 - IFA</t>
  </si>
  <si>
    <t>IN-1620</t>
  </si>
  <si>
    <t>Instrument Cable Block Diagram Pcs/Esd/Fgs-Wp01 - AFC</t>
  </si>
  <si>
    <t>IN-2210</t>
  </si>
  <si>
    <t>Instrument Loop Diagram- Wp01 - IFR</t>
  </si>
  <si>
    <t>IN-2220</t>
  </si>
  <si>
    <t>Instrument Loop Diagram- Wp01 - AFC</t>
  </si>
  <si>
    <t>IN-2230</t>
  </si>
  <si>
    <t>Instrument Cable Tray Layout- Wp01 - IFR</t>
  </si>
  <si>
    <t>IN-2240</t>
  </si>
  <si>
    <t>Instrument Cable Tray Layout- Wp01 - IFA</t>
  </si>
  <si>
    <t>IN-2250</t>
  </si>
  <si>
    <t>Instrument Cable Tray Layout- Wp01 - AFC</t>
  </si>
  <si>
    <t>IN-2260</t>
  </si>
  <si>
    <t>Instrument Cable Routing Plan And Junction Boxes Layout- Wp01 - IFR</t>
  </si>
  <si>
    <t>IN-2270</t>
  </si>
  <si>
    <t>Instrument Cable Routing Plan And Junction Boxes Layout- Wp01 - IFA</t>
  </si>
  <si>
    <t>IN-2280</t>
  </si>
  <si>
    <t>Instrument Cable Routing Plan And Junction Boxes Layout- Wp01 - AFC</t>
  </si>
  <si>
    <t>IN-2290</t>
  </si>
  <si>
    <t>Instrument Cable Schedule- Wp01 - IFR</t>
  </si>
  <si>
    <t>IN-2300</t>
  </si>
  <si>
    <t>Instrument Cable Schedule- Wp01 - IFA</t>
  </si>
  <si>
    <t>IN-2310</t>
  </si>
  <si>
    <t>Instrument Cable Schedule- Wp01 - AFC</t>
  </si>
  <si>
    <t>IN-2320</t>
  </si>
  <si>
    <t>Instrument Multi Cable Transit Schedule- Wp01 - IFR</t>
  </si>
  <si>
    <t>IN-2330</t>
  </si>
  <si>
    <t>Instrument Multi Cable Transit Schedule- Wp01 - IFA</t>
  </si>
  <si>
    <t>IN-2340</t>
  </si>
  <si>
    <t>Instrument Multi Cable Transit Schedule- Wp01 - AFC</t>
  </si>
  <si>
    <t>IN-2341</t>
  </si>
  <si>
    <t>Instrument Location Plan - WP01 - IFR</t>
  </si>
  <si>
    <t>IN-2342</t>
  </si>
  <si>
    <t>Instrument Location Plan - WP01 - IFA</t>
  </si>
  <si>
    <t>IN-2343</t>
  </si>
  <si>
    <t>Instrument Location Plan - WP01 - AFC</t>
  </si>
  <si>
    <t>IN-2344</t>
  </si>
  <si>
    <t>Instrument Tubing Tray Laout - WP01 - IFR</t>
  </si>
  <si>
    <t>IN-2345</t>
  </si>
  <si>
    <t>Instrument Tubing Tray Laout - WP01 - IFA</t>
  </si>
  <si>
    <t>IN-2346</t>
  </si>
  <si>
    <t>Instrument Tubing Tray Laout - WP01 - AFC</t>
  </si>
  <si>
    <t>IN-2347</t>
  </si>
  <si>
    <t>Instrument Tubing Schedule - WP01 - IFR</t>
  </si>
  <si>
    <t>IN-2348</t>
  </si>
  <si>
    <t>Instrument Tubing Schedule - WP01 - IFA</t>
  </si>
  <si>
    <t>IN-2349</t>
  </si>
  <si>
    <t>Instrument Tubing Schedule - WP01 - AFC</t>
  </si>
  <si>
    <t>IN-2350</t>
  </si>
  <si>
    <t>Instrument Hook-Up Drawing - WP01 - IFR</t>
  </si>
  <si>
    <t>IN-2351</t>
  </si>
  <si>
    <t>Instrument Hook-Up Drawing - WP01 - IFA</t>
  </si>
  <si>
    <t>IN-2352</t>
  </si>
  <si>
    <t>Instrument Hook-Up Drawing - WP01 - AFC</t>
  </si>
  <si>
    <t>IN-2353</t>
  </si>
  <si>
    <t>Instrument Wiring Diagram (PCS AND SIS/FGS SYSTEM) - WP01 - IFR</t>
  </si>
  <si>
    <t>IN-2354</t>
  </si>
  <si>
    <t>Instrument Wiring Diagram (PCS AND SIS/FGS SYSTEM) - WP01 - IFA</t>
  </si>
  <si>
    <t>IN-2355</t>
  </si>
  <si>
    <t>Instrument Wiring Diagram (PCS AND SIS/FGS SYSTEM) - WP01 - AFC</t>
  </si>
  <si>
    <t>IN-2356</t>
  </si>
  <si>
    <t>Instrument Equipment And Explosion Proof Equipment Schedule- Wp01 - IFR</t>
  </si>
  <si>
    <t>IN-2357</t>
  </si>
  <si>
    <t>Instrument Equipment And Explosion Proof Equipment Schedule- Wp01 - IFA</t>
  </si>
  <si>
    <t>IN-2358</t>
  </si>
  <si>
    <t>Instrument Equipment And Explosion Proof Equipment Schedule- Wp01 - AFC</t>
  </si>
  <si>
    <t>IN-2359</t>
  </si>
  <si>
    <t>Fusible Plug And F&amp;G Layout- Wp01 - IFR</t>
  </si>
  <si>
    <t>IN-2360</t>
  </si>
  <si>
    <t>Fusible Plug And F&amp;G Layout- Wp01 - AFC</t>
  </si>
  <si>
    <t>IN-2370</t>
  </si>
  <si>
    <t>Instrument Bulk Material Take Off- Wp01 - IFR</t>
  </si>
  <si>
    <t>IN-2380</t>
  </si>
  <si>
    <t>Instrument Bulk Material Take Off- Wp01 - IFA</t>
  </si>
  <si>
    <t>IN-2390</t>
  </si>
  <si>
    <t>Instrument Bulk Material Take Off- Wp01 - AFC</t>
  </si>
  <si>
    <t>IN-2420</t>
  </si>
  <si>
    <t>Instrument Shiploose List For Offshore Installation- Wp01 - IFR</t>
  </si>
  <si>
    <t>IN-2430</t>
  </si>
  <si>
    <t>Instrument Shiploose List For Offshore Installation- Wp01 - AFC</t>
  </si>
  <si>
    <t>IN-2440</t>
  </si>
  <si>
    <t>Instrument Shiploose List Handover To Company Operation Team- Wp01 - IFR</t>
  </si>
  <si>
    <t>IN-2450</t>
  </si>
  <si>
    <t>Instrument Shiploose List Handover To Company Operation Team- Wp01 - AFC</t>
  </si>
  <si>
    <t>IN-2460</t>
  </si>
  <si>
    <t>Instrument Drawing Index -Wp02 - IFR</t>
  </si>
  <si>
    <t>IN-2470</t>
  </si>
  <si>
    <t>Instrument Drawing Index -Wp02 - IFA</t>
  </si>
  <si>
    <t>IN-2480</t>
  </si>
  <si>
    <t>Instrument Drawing Index -Wp02 - AFC</t>
  </si>
  <si>
    <t>IN-2490</t>
  </si>
  <si>
    <t>Instrument Index-Wp02 - IFR</t>
  </si>
  <si>
    <t>IN-2500</t>
  </si>
  <si>
    <t>Instrument Index-Wp02 - IFA</t>
  </si>
  <si>
    <t>IN-2510</t>
  </si>
  <si>
    <t>Instrument Index-Wp02 - AFC</t>
  </si>
  <si>
    <t>IN-2520</t>
  </si>
  <si>
    <t>Plc Input/Output List-Wp02 - IFR</t>
  </si>
  <si>
    <t>IN-2530</t>
  </si>
  <si>
    <t>Plc Input/Output List-Wp02 - IFA</t>
  </si>
  <si>
    <t>IN-2540</t>
  </si>
  <si>
    <t>Plc Input/Output List-Wp02 - AFC</t>
  </si>
  <si>
    <t>IN-2541</t>
  </si>
  <si>
    <t>Control System Block Diagram For-Wp02 - IFR</t>
  </si>
  <si>
    <t>IN-2542</t>
  </si>
  <si>
    <t>Control System Block Diagram For-Wp02 - IFA</t>
  </si>
  <si>
    <t>IN-2543</t>
  </si>
  <si>
    <t>Control System Block Diagram For-Wp02 - AFC</t>
  </si>
  <si>
    <t>IN-2544</t>
  </si>
  <si>
    <t>Instrument Cable Block Diagram Pcs/Esd/Fgs-Wp02 - IFR</t>
  </si>
  <si>
    <t>IN-2545</t>
  </si>
  <si>
    <t>Instrument Cable Block Diagram Pcs/Esd/Fgs-Wp02 - IFA</t>
  </si>
  <si>
    <t>IN-2546</t>
  </si>
  <si>
    <t>Instrument Cable Block Diagram Pcs/Esd/Fgs-Wp02 - AFC</t>
  </si>
  <si>
    <t>IN-3170</t>
  </si>
  <si>
    <t>Instrument Loop Diagram- Wp02 - IFR</t>
  </si>
  <si>
    <t>IN-3180</t>
  </si>
  <si>
    <t>Instrument Loop Diagram- Wp02 - AFC</t>
  </si>
  <si>
    <t>IN-3190</t>
  </si>
  <si>
    <t>Instrument Cable Tray Layout- Wp02 - IFR</t>
  </si>
  <si>
    <t>IN-3195</t>
  </si>
  <si>
    <t>Instrument Cable Tray Layout- Wp02 - IFA</t>
  </si>
  <si>
    <t>IN-3200</t>
  </si>
  <si>
    <t>Instrument Cable Tray Layout- Wp02 - AFC</t>
  </si>
  <si>
    <t>IN-3210</t>
  </si>
  <si>
    <t>Instrument Cable Routing Plan And Junction Boxes Layout- Wp02 - IFR</t>
  </si>
  <si>
    <t>IN-3220</t>
  </si>
  <si>
    <t>Instrument Cable Routing Plan And Junction Boxes Layout- Wp02 - IFA</t>
  </si>
  <si>
    <t>IN-3230</t>
  </si>
  <si>
    <t>Instrument Cable Routing Plan And Junction Boxes Layout- Wp02 - AFC</t>
  </si>
  <si>
    <t>IN-3240</t>
  </si>
  <si>
    <t>Instrument Cable Schedule- Wp02 - IFR</t>
  </si>
  <si>
    <t>IN-3250</t>
  </si>
  <si>
    <t>Instrument Cable Schedule- Wp02 - IFA</t>
  </si>
  <si>
    <t>IN-3260</t>
  </si>
  <si>
    <t>Instrument Cable Schedule- Wp02 - AFC</t>
  </si>
  <si>
    <t>IN-3270</t>
  </si>
  <si>
    <t>Instrument Multi Cable Transit Schedule- Wp02 - IFR</t>
  </si>
  <si>
    <t>IN-3280</t>
  </si>
  <si>
    <t>Instrument Multi Cable Transit Schedule- Wp02 - IFA</t>
  </si>
  <si>
    <t>IN-3290</t>
  </si>
  <si>
    <t>Instrument Multi Cable Transit Schedule- Wp02 - AFC</t>
  </si>
  <si>
    <t>IN-3291</t>
  </si>
  <si>
    <t>Instrument Location Plan- Wp02 - IFR</t>
  </si>
  <si>
    <t>IN-3292</t>
  </si>
  <si>
    <t>Instrument Location Plan- Wp02 - IFA</t>
  </si>
  <si>
    <t>IN-3293</t>
  </si>
  <si>
    <t>Instrument Location Plan- Wp02 - AFC</t>
  </si>
  <si>
    <t>IN-3294</t>
  </si>
  <si>
    <t>Instrument Tubing Tray Layout - Wp02 - IFR</t>
  </si>
  <si>
    <t>IN-3295</t>
  </si>
  <si>
    <t>Instrument Tubing Tray Layout - Wp02 - IFA</t>
  </si>
  <si>
    <t>IN-3296</t>
  </si>
  <si>
    <t>Instrument Tubing Tray Layout - Wp02 - AFC</t>
  </si>
  <si>
    <t>IN-3320</t>
  </si>
  <si>
    <t>Instrument Tubing Schedule- Wp02 - IFR</t>
  </si>
  <si>
    <t>IN-3330</t>
  </si>
  <si>
    <t>Instrument Tubing Schedule- Wp02 - IFA</t>
  </si>
  <si>
    <t>IN-3340</t>
  </si>
  <si>
    <t>Instrument Tubing Schedule- Wp02 - AFC</t>
  </si>
  <si>
    <t>IN-3380</t>
  </si>
  <si>
    <t>Instrument Hook-Up Drawings- Wp02 - IFR</t>
  </si>
  <si>
    <t>IN-3390</t>
  </si>
  <si>
    <t>Instrument Hook-Up Drawings- Wp02 - IFA</t>
  </si>
  <si>
    <t>IN-3400</t>
  </si>
  <si>
    <t>Instrument Hook-Up Drawings- Wp02 - AFC</t>
  </si>
  <si>
    <t>IN-3440</t>
  </si>
  <si>
    <t>Instrument Wiring Diagrams (PCS AND SIS/FGS SYSTEM) - Wp02 - IFR</t>
  </si>
  <si>
    <t>IN-3450</t>
  </si>
  <si>
    <t>Instrument Wiring Diagrams (PCS AND SIS/FGS SYSTEM) - Wp02 - IFA</t>
  </si>
  <si>
    <t>IN-3460</t>
  </si>
  <si>
    <t>Instrument Wiring Diagrams (PCS AND SIS/FGS SYSTEM) - Wp02 - AFC</t>
  </si>
  <si>
    <t>IN-3470</t>
  </si>
  <si>
    <t>Instrument Equipment And Explosion Proof Equipment Schedule- Wp02 - IFR</t>
  </si>
  <si>
    <t>IN-3480</t>
  </si>
  <si>
    <t>Instrument Equipment And Explosion Proof Equipment Schedule- Wp02 - IFA</t>
  </si>
  <si>
    <t>IN-3490</t>
  </si>
  <si>
    <t>Instrument Equipment And Explosion Proof Equipment Schedule- Wp02 - AFC</t>
  </si>
  <si>
    <t>IN-3500</t>
  </si>
  <si>
    <t>Fusible Plug And F&amp;G Layout- Wp02 - IFR</t>
  </si>
  <si>
    <t>IN-3510</t>
  </si>
  <si>
    <t>Fusible Plug And F&amp;G Layout- Wp02 - AFC</t>
  </si>
  <si>
    <t>IN-3520</t>
  </si>
  <si>
    <t>Instrument Bulk Material Take Off- Wp02 - IFR</t>
  </si>
  <si>
    <t>IN-3530</t>
  </si>
  <si>
    <t>Instrument Bulk Material Take Off- Wp02 - IFA</t>
  </si>
  <si>
    <t>IN-3540</t>
  </si>
  <si>
    <t>Instrument Bulk Material Take Off- Wp02 - AFC</t>
  </si>
  <si>
    <t>IN-3570</t>
  </si>
  <si>
    <t>Instrument Shiploose List For Offshore Installation- Wp02 - IFR</t>
  </si>
  <si>
    <t>IN-3580</t>
  </si>
  <si>
    <t>Instrument Shiploose List For Offshore Installation- Wp02 - AFC</t>
  </si>
  <si>
    <t>IN-3590</t>
  </si>
  <si>
    <t>Instrument Shiploose List Handover To Company Operation Team- Wp02 - IFR</t>
  </si>
  <si>
    <t>IN-3600</t>
  </si>
  <si>
    <t>Instrument Shiploose List Handover To Company Operation Team- Wp02 - AFC</t>
  </si>
  <si>
    <t>Datasheets-Instrument</t>
  </si>
  <si>
    <t>IN-1350</t>
  </si>
  <si>
    <t>Data Sheets For Supervisory Control And Data Acquisition System (Scada) - IFR</t>
  </si>
  <si>
    <t>IN-1360</t>
  </si>
  <si>
    <t>Data Sheets For Supervisory Control And Data Acquisition System (Scada) - IFA</t>
  </si>
  <si>
    <t>IN-1370</t>
  </si>
  <si>
    <t>Data Sheets For Supervisory Control And Data Acquisition System (Scada) - AFC</t>
  </si>
  <si>
    <t>IN-1630</t>
  </si>
  <si>
    <t>Data Sheets For Whcp-Wp01 - IFR</t>
  </si>
  <si>
    <t>IN-1640</t>
  </si>
  <si>
    <t>Data Sheets For Whcp-Wp01 - IFA</t>
  </si>
  <si>
    <t>IN-1650</t>
  </si>
  <si>
    <t>Data Sheets For Whcp-Wp01 - AFC</t>
  </si>
  <si>
    <t>IN-1660</t>
  </si>
  <si>
    <t>Data Sheet For Control Valves-Wp01 - IFR</t>
  </si>
  <si>
    <t>IN-1670</t>
  </si>
  <si>
    <t>Data Sheet For Control Valves-Wp01 - IFA</t>
  </si>
  <si>
    <t>IN-1680</t>
  </si>
  <si>
    <t>Data Sheet For Control Valves-Wp01 - AFC</t>
  </si>
  <si>
    <t>IN-1690</t>
  </si>
  <si>
    <t>Data Sheet For Self Actuated Pcv-Wp01 - IFR</t>
  </si>
  <si>
    <t>IN-1700</t>
  </si>
  <si>
    <t>Data Sheet For Self Actuated Pcv-Wp01 - IFA</t>
  </si>
  <si>
    <t>IN-1710</t>
  </si>
  <si>
    <t>Data Sheet For Self Actuated Pcv-Wp01 - AFC</t>
  </si>
  <si>
    <t>IN-1720</t>
  </si>
  <si>
    <t>Data Sheet For Actuated Choke Valves-Wp01 - IFR</t>
  </si>
  <si>
    <t>IN-1730</t>
  </si>
  <si>
    <t>Data Sheet For Actuated Choke Valves-Wp01 - IFA</t>
  </si>
  <si>
    <t>IN-1740</t>
  </si>
  <si>
    <t>Data Sheet For Actuated Choke Valves-Wp01 - AFC</t>
  </si>
  <si>
    <t>IN-1750</t>
  </si>
  <si>
    <t>Data Sheets For Actuated Ball Valves-Wp01 - IFR</t>
  </si>
  <si>
    <t>IN-1760</t>
  </si>
  <si>
    <t>Data Sheets For Actuated Ball Valves-Wp01 - IFA</t>
  </si>
  <si>
    <t>IN-1770</t>
  </si>
  <si>
    <t>Data Sheets For Actuated Ball Valves-Wp01 - AFC</t>
  </si>
  <si>
    <t>IN-1780</t>
  </si>
  <si>
    <t>Data Sheet For Actuated Compact Ball Valves-Wp01 - IFR</t>
  </si>
  <si>
    <t>IN-1790</t>
  </si>
  <si>
    <t>Data Sheet For Actuated Compact Ball Valves-Wp01 - IFA</t>
  </si>
  <si>
    <t>IN-1800</t>
  </si>
  <si>
    <t>Data Sheet For Actuated Compact Ball Valves-Wp01 - AFC</t>
  </si>
  <si>
    <t>IN-1810</t>
  </si>
  <si>
    <t>Data Sheet For Safety Relief Valves-Wp01 - IFR</t>
  </si>
  <si>
    <t>IN-1820</t>
  </si>
  <si>
    <t>Data Sheet For Safety Relief Valves-Wp01 - IFA</t>
  </si>
  <si>
    <t>IN-1830</t>
  </si>
  <si>
    <t>Data Sheet For Safety Relief Valves-Wp01 - AFC</t>
  </si>
  <si>
    <t>IN-1840</t>
  </si>
  <si>
    <t>Data Sheet For Coriolis Flow Meters-Wp01 - IFR</t>
  </si>
  <si>
    <t>IN-1850</t>
  </si>
  <si>
    <t>Data Sheet For Coriolis Flow Meters-Wp01 - IFA</t>
  </si>
  <si>
    <t>IN-1860</t>
  </si>
  <si>
    <t>Data Sheet For Coriolis Flow Meters-Wp01 - AFC</t>
  </si>
  <si>
    <t>IN-1870</t>
  </si>
  <si>
    <t>Data Sheets For Vortex Flow Meters-Wp01 - IFR</t>
  </si>
  <si>
    <t>IN-1880</t>
  </si>
  <si>
    <t>Data Sheets For Vortex Flow Meters-Wp01 - IFA</t>
  </si>
  <si>
    <t>IN-1890</t>
  </si>
  <si>
    <t>Data Sheets For Vortex Flow Meters-Wp01 - AFC</t>
  </si>
  <si>
    <t>IN-1900</t>
  </si>
  <si>
    <t>Data Sheets For Flow Switch-Wp01 - IFR</t>
  </si>
  <si>
    <t>IN-1910</t>
  </si>
  <si>
    <t>Data Sheets For Flow Switch-Wp01 - AFC</t>
  </si>
  <si>
    <t>IN-1920</t>
  </si>
  <si>
    <t>Data Sheet For Pressure Gauges-Wp01 - IFR</t>
  </si>
  <si>
    <t>IN-1930</t>
  </si>
  <si>
    <t>Data Sheet For Pressure Gauges-Wp01 - AFC</t>
  </si>
  <si>
    <t>IN-1940</t>
  </si>
  <si>
    <t>Data Sheet For Pressure Transmitters-Wp01 - IFR</t>
  </si>
  <si>
    <t>IN-1950</t>
  </si>
  <si>
    <t>Data Sheet For Pressure Transmitters-Wp01 - AFC</t>
  </si>
  <si>
    <t>IN-1960</t>
  </si>
  <si>
    <t>Data Sheet For Temperature Gauge And Thermowell-Wp01 - IFR</t>
  </si>
  <si>
    <t>IN-1970</t>
  </si>
  <si>
    <t>Data Sheet For Temperature Gauge And Thermowell-Wp01 - AFC</t>
  </si>
  <si>
    <t>IN-1980</t>
  </si>
  <si>
    <t>Data Sheet For Temperature Transmitters And Thermowells-Wp01 - IFR</t>
  </si>
  <si>
    <t>IN-1990</t>
  </si>
  <si>
    <t>Data Sheet For Temperature Transmitters And Thermowells-Wp01 - AFC</t>
  </si>
  <si>
    <t>IN-2000</t>
  </si>
  <si>
    <t>Data Sheets For Magnetic Level Gauge And Transmitters-Wp01 - IFR</t>
  </si>
  <si>
    <t>IN-2010</t>
  </si>
  <si>
    <t>Data Sheets For Magnetic Level Gauge And Transmitters-Wp01 - IFA</t>
  </si>
  <si>
    <t>IN-2020</t>
  </si>
  <si>
    <t>Data Sheets For Magnetic Level Gauge And Transmitters-Wp01 - AFC</t>
  </si>
  <si>
    <t>IN-2030</t>
  </si>
  <si>
    <t>Data Sheet For Dip Tape Level Indicator-Wp01 - IFR</t>
  </si>
  <si>
    <t>IN-2040</t>
  </si>
  <si>
    <t>Data Sheet For Dip Tape Level Indicator-Wp01 - IFA</t>
  </si>
  <si>
    <t>IN-2050</t>
  </si>
  <si>
    <t>Data Sheet For Dip Tape Level Indicator-Wp01 - AFC</t>
  </si>
  <si>
    <t>IN-2060</t>
  </si>
  <si>
    <t>Data Sheets For Level Switch-Wp01 - IFR</t>
  </si>
  <si>
    <t>IN-2070</t>
  </si>
  <si>
    <t>Data Sheets For Level Switch-Wp01 - IFA</t>
  </si>
  <si>
    <t>IN-2080</t>
  </si>
  <si>
    <t>Data Sheets For Level Switch-Wp01 - AFC</t>
  </si>
  <si>
    <t>IN-2090</t>
  </si>
  <si>
    <t>Data Sheets For Dp Level Transmitters-Wp01 - IFR</t>
  </si>
  <si>
    <t>IN-2100</t>
  </si>
  <si>
    <t>Data Sheets For Dp Level Transmitters-Wp01 - AFC</t>
  </si>
  <si>
    <t>IN-2110</t>
  </si>
  <si>
    <t>Data Sheets For Restriction Orifice- Wp01 - IFR</t>
  </si>
  <si>
    <t>IN-2120</t>
  </si>
  <si>
    <t>Data Sheets For Restriction Orifice- Wp01 - AFC</t>
  </si>
  <si>
    <t>IN-2130</t>
  </si>
  <si>
    <t>Data Sheet For Fire &amp; Gas Detectors- Wp01 - IFR</t>
  </si>
  <si>
    <t>IN-2140</t>
  </si>
  <si>
    <t>Data Sheet For Fire &amp; Gas Detectors- Wp01 - IFA</t>
  </si>
  <si>
    <t>IN-2150</t>
  </si>
  <si>
    <t>Data Sheet For Fire &amp; Gas Detectors- Wp01 - AFC</t>
  </si>
  <si>
    <t>IN-2160</t>
  </si>
  <si>
    <t>Data Sheets For Position Limit Switches- Wp01 - IFR</t>
  </si>
  <si>
    <t>IN-2170</t>
  </si>
  <si>
    <t>Data Sheets For Position Limit Switches- Wp01 - IFA</t>
  </si>
  <si>
    <t>IN-2180</t>
  </si>
  <si>
    <t>Data Sheets For Position Limit Switches- Wp01 - AFC</t>
  </si>
  <si>
    <t>IN-2190</t>
  </si>
  <si>
    <t>Data Sheets For Pig Signaller - Wp01 - IFR</t>
  </si>
  <si>
    <t>IN-2200</t>
  </si>
  <si>
    <t>Data Sheets For Pig Signaller - Wp01 - AFC</t>
  </si>
  <si>
    <t>IN-2550</t>
  </si>
  <si>
    <t>Data Sheets For Whcp-Wp02 - IFR</t>
  </si>
  <si>
    <t>IN-2560</t>
  </si>
  <si>
    <t>Data Sheets For Whcp-Wp02 - IFA</t>
  </si>
  <si>
    <t>IN-2570</t>
  </si>
  <si>
    <t>Data Sheets For Whcp-Wp02 - AFC</t>
  </si>
  <si>
    <t>IN-2580</t>
  </si>
  <si>
    <t>Data Sheet For Control Valves-Wp02 - IFR</t>
  </si>
  <si>
    <t>IN-2590</t>
  </si>
  <si>
    <t>Data Sheet For Control Valves-Wp02 - IFA</t>
  </si>
  <si>
    <t>IN-2600</t>
  </si>
  <si>
    <t>Data Sheet For Control Valves-Wp02 - AFC</t>
  </si>
  <si>
    <t>IN-2610</t>
  </si>
  <si>
    <t>Data Sheet For Self Actuated Pcv-Wp02 - IFR</t>
  </si>
  <si>
    <t>IN-2620</t>
  </si>
  <si>
    <t>Data Sheet For Self Actuated Pcv-Wp02 - IFA</t>
  </si>
  <si>
    <t>IN-2630</t>
  </si>
  <si>
    <t>Data Sheet For Self Actuated Pcv-Wp02 - AFC</t>
  </si>
  <si>
    <t>IN-2640</t>
  </si>
  <si>
    <t>Data Sheet For Actuated Choke Valves-Wp02 - IFR</t>
  </si>
  <si>
    <t>IN-2650</t>
  </si>
  <si>
    <t>Data Sheet For Actuated Choke Valves-Wp02 - IFA</t>
  </si>
  <si>
    <t>IN-2660</t>
  </si>
  <si>
    <t>Data Sheet For Actuated Choke Valves-Wp02 - AFC</t>
  </si>
  <si>
    <t>IN-2670</t>
  </si>
  <si>
    <t>Data Sheets For Actuated Ball Valves-Wp02 - IFR</t>
  </si>
  <si>
    <t>IN-2680</t>
  </si>
  <si>
    <t>Data Sheets For Actuated Ball Valves-Wp02 - IFA</t>
  </si>
  <si>
    <t>IN-2690</t>
  </si>
  <si>
    <t>Data Sheets For Actuated Ball Valves-Wp02 - AFC</t>
  </si>
  <si>
    <t>IN-2700</t>
  </si>
  <si>
    <t>Data Sheet For Actuated Compact Ball Valves-Wp02 - IFR</t>
  </si>
  <si>
    <t>IN-2710</t>
  </si>
  <si>
    <t>Data Sheet For Actuated Compact Ball Valves-Wp02 - IFA</t>
  </si>
  <si>
    <t>IN-2720</t>
  </si>
  <si>
    <t>Data Sheet For Actuated Compact Ball Valves-Wp02 - AFC</t>
  </si>
  <si>
    <t>IN-2730</t>
  </si>
  <si>
    <t>Data Sheet For Safety Relief Valves-Wp02 - IFR</t>
  </si>
  <si>
    <t>IN-2740</t>
  </si>
  <si>
    <t>Data Sheet For Safety Relief Valves-Wp02 - IFA</t>
  </si>
  <si>
    <t>IN-2750</t>
  </si>
  <si>
    <t>Data Sheet For Safety Relief Valves-Wp02 - AFC</t>
  </si>
  <si>
    <t>IN-2760</t>
  </si>
  <si>
    <t>Data Sheet For Coriolis Flow Meters-Wp02 - IFR</t>
  </si>
  <si>
    <t>IN-2770</t>
  </si>
  <si>
    <t>Data Sheet For Coriolis Flow Meters-Wp02 - IFA</t>
  </si>
  <si>
    <t>IN-2780</t>
  </si>
  <si>
    <t>Data Sheet For Coriolis Flow Meters-Wp02 - AFC</t>
  </si>
  <si>
    <t>IN-2790</t>
  </si>
  <si>
    <t>Data Sheets For Vortex Flow Meters-Wp02 - IFR</t>
  </si>
  <si>
    <t>IN-2800</t>
  </si>
  <si>
    <t>Data Sheets For Vortex Flow Meters-Wp02 - IFA</t>
  </si>
  <si>
    <t>IN-2810</t>
  </si>
  <si>
    <t>Data Sheets For Vortex Flow Meters-Wp02 - AFC</t>
  </si>
  <si>
    <t>IN-2820</t>
  </si>
  <si>
    <t>Data Sheets For Flow Switch-Wp02 - IFR</t>
  </si>
  <si>
    <t>IN-2830</t>
  </si>
  <si>
    <t>Data Sheets For Flow Switch-Wp02 - AFC</t>
  </si>
  <si>
    <t>IN-2840</t>
  </si>
  <si>
    <t>Data Sheet For Pressure Gauges-Wp02 - IFR</t>
  </si>
  <si>
    <t>IN-2850</t>
  </si>
  <si>
    <t>Data Sheet For Pressure Gauges-Wp02 - AFC</t>
  </si>
  <si>
    <t>IN-2860</t>
  </si>
  <si>
    <t>Data Sheets For Pressure Transmitters-Wp02 - IFR</t>
  </si>
  <si>
    <t>IN-2870</t>
  </si>
  <si>
    <t>Data Sheets For Pressure Transmitters-Wp02 - AFC</t>
  </si>
  <si>
    <t>IN-2880</t>
  </si>
  <si>
    <t>Data Sheet For Temperature Gauge And Thermowell-Wp02 - IFR</t>
  </si>
  <si>
    <t>IN-2890</t>
  </si>
  <si>
    <t>Data Sheet For Temperature Gauge And Thermowell-Wp02 - AFC</t>
  </si>
  <si>
    <t>IN-2900</t>
  </si>
  <si>
    <t>Data Sheet For Temperature Transmitters And Thermowells-Wp02 - IFR</t>
  </si>
  <si>
    <t>IN-2910</t>
  </si>
  <si>
    <t>Data Sheet For Temperature Transmitters And Thermowells-Wp02 - AFC</t>
  </si>
  <si>
    <t>IN-2920</t>
  </si>
  <si>
    <t>Data Sheets For Magnetic Level Gauge And Transmitters-Wp02 - IFR</t>
  </si>
  <si>
    <t>IN-2930</t>
  </si>
  <si>
    <t>Data Sheets For Magnetic Level Gauge And Transmitters-Wp02 - IFA</t>
  </si>
  <si>
    <t>IN-2940</t>
  </si>
  <si>
    <t>Data Sheets For Magnetic Level Gauge And Transmitters-Wp02 - AFC</t>
  </si>
  <si>
    <t>IN-2950</t>
  </si>
  <si>
    <t>Data Sheet For Dip Tape Level Indicator-Wp02 - IFR</t>
  </si>
  <si>
    <t>IN-2960</t>
  </si>
  <si>
    <t>Data Sheet For Dip Tape Level Indicator-Wp02 - IFA</t>
  </si>
  <si>
    <t>IN-2970</t>
  </si>
  <si>
    <t>Data Sheet For Dip Tape Level Indicator-Wp02 - AFC</t>
  </si>
  <si>
    <t>IN-2980</t>
  </si>
  <si>
    <t>Data Sheets For Level Switch-Wp02 - IFR</t>
  </si>
  <si>
    <t>IN-2990</t>
  </si>
  <si>
    <t>Data Sheets For Level Switch-Wp02 - IFA</t>
  </si>
  <si>
    <t>IN-3000</t>
  </si>
  <si>
    <t>Data Sheets For Level Switch-Wp02 - AFC</t>
  </si>
  <si>
    <t>IN-3010</t>
  </si>
  <si>
    <t>Data Sheet For Guided Wave Radar Level Transmitter - Wp02 - IFR</t>
  </si>
  <si>
    <t>IN-3020</t>
  </si>
  <si>
    <t>Data Sheet For Guided Wave Radar Level Transmitter - Wp02 - IFA</t>
  </si>
  <si>
    <t>IN-3030</t>
  </si>
  <si>
    <t>Data Sheet For Guided Wave Radar Level Transmitter - Wp02 - AFC</t>
  </si>
  <si>
    <t>IN-3040</t>
  </si>
  <si>
    <t>Data Sheets For Dp Level Transmitters-Wp02 - IFR</t>
  </si>
  <si>
    <t>IN-3050</t>
  </si>
  <si>
    <t>Data Sheets For Dp Level Transmitters-Wp02 - AFC</t>
  </si>
  <si>
    <t>IN-3060</t>
  </si>
  <si>
    <t>Data Sheets For Restriction Orifice- Wp02 - IFR</t>
  </si>
  <si>
    <t>IN-3070</t>
  </si>
  <si>
    <t>Data Sheets For Restriction Orifice- Wp02 - AFC</t>
  </si>
  <si>
    <t>IN-3080</t>
  </si>
  <si>
    <t>Data Sheet For Fire &amp; Gas Detectors- Wp02 - IFR</t>
  </si>
  <si>
    <t>IN-3090</t>
  </si>
  <si>
    <t>Data Sheet For Fire &amp; Gas Detectors- Wp02 - IFA</t>
  </si>
  <si>
    <t>IN-3100</t>
  </si>
  <si>
    <t>Data Sheet For Fire &amp; Gas Detectors- Wp02 - AFC</t>
  </si>
  <si>
    <t>IN-3110</t>
  </si>
  <si>
    <t>Data Sheets For Position Limit Switches- Wp02 - IFR</t>
  </si>
  <si>
    <t>IN-3120</t>
  </si>
  <si>
    <t>Data Sheets For Position Limit Switches- Wp02 - IFA</t>
  </si>
  <si>
    <t>IN-3130</t>
  </si>
  <si>
    <t>Data Sheets For Position Limit Switches- Wp02 - AFC</t>
  </si>
  <si>
    <t>IN-3140</t>
  </si>
  <si>
    <t>Data Sheet For Oil In Water Analyzer - Wp02 - IFR</t>
  </si>
  <si>
    <t>IN-3150</t>
  </si>
  <si>
    <t>Data Sheet For Oil In Water Analyzer - Wp02 - IFA</t>
  </si>
  <si>
    <t>IN-3160</t>
  </si>
  <si>
    <t>Data Sheet For Oil In Water Analyzer - Wp02 - AFC</t>
  </si>
  <si>
    <t>MR-Instrument</t>
  </si>
  <si>
    <t>IN-3610</t>
  </si>
  <si>
    <t>Material Requisition For Wellhead Control Panel - IFR</t>
  </si>
  <si>
    <t>IN-3620</t>
  </si>
  <si>
    <t>Material Requisition For Wellhead Control Panel - AFC</t>
  </si>
  <si>
    <t>IN-3630</t>
  </si>
  <si>
    <t>Material Requisition For SCADA - IFR</t>
  </si>
  <si>
    <t>IN-3640</t>
  </si>
  <si>
    <t>Material Requisition For SCADA - AFC</t>
  </si>
  <si>
    <t>IN-3650</t>
  </si>
  <si>
    <t>Material Requisition For PLC And SCADA System - IFR</t>
  </si>
  <si>
    <t>IN-3660</t>
  </si>
  <si>
    <t>Material Requisition For PLC And SCADA System - AFC</t>
  </si>
  <si>
    <t>IN-3670</t>
  </si>
  <si>
    <t>Material Requisition For Control Valves - IFR</t>
  </si>
  <si>
    <t>IN-3680</t>
  </si>
  <si>
    <t>Material Requisition For Control Valves - AFC</t>
  </si>
  <si>
    <t>IN-3690</t>
  </si>
  <si>
    <t>Material Requisition For Self Regulator Valves - IFR</t>
  </si>
  <si>
    <t>IN-3700</t>
  </si>
  <si>
    <t>Material Requisition For Self Regulator Valves - AFC</t>
  </si>
  <si>
    <t>IN-3710</t>
  </si>
  <si>
    <t>Material Requisition For Actuated Choke Valves - IFR</t>
  </si>
  <si>
    <t>IN-3720</t>
  </si>
  <si>
    <t>Material Requisition For Actuated Choke Valves - AFC</t>
  </si>
  <si>
    <t>IN-3730</t>
  </si>
  <si>
    <t>Material Requisition For Actuated Ball Valves - IFR</t>
  </si>
  <si>
    <t>IN-3740</t>
  </si>
  <si>
    <t>Material Requisition For Actuated Ball Valves - AFC</t>
  </si>
  <si>
    <t>IN-3750</t>
  </si>
  <si>
    <t>Material Requisition For Actuated Compact Ball Valves - IFR</t>
  </si>
  <si>
    <t>IN-3760</t>
  </si>
  <si>
    <t>Material Requisition For Actuated Compact Ball Valves - AFC</t>
  </si>
  <si>
    <t>IN-3770</t>
  </si>
  <si>
    <t>Material Requisition For Safety Relief Valves - IFR</t>
  </si>
  <si>
    <t>IN-3780</t>
  </si>
  <si>
    <t>Material Requisition For Safety Relief Valves - AFC</t>
  </si>
  <si>
    <t>IN-3790</t>
  </si>
  <si>
    <t>Material Requisition For Coriolis Flow Meters - IFR</t>
  </si>
  <si>
    <t>IN-3800</t>
  </si>
  <si>
    <t>Material Requisition For Coriolis Flow Meters - AFC</t>
  </si>
  <si>
    <t>IN-3810</t>
  </si>
  <si>
    <t>Material Requisition For Vortex Flow Meters - IFR</t>
  </si>
  <si>
    <t>IN-3820</t>
  </si>
  <si>
    <t>Material Requisition For Vortex Flow Meters - AFC</t>
  </si>
  <si>
    <t>IN-3830</t>
  </si>
  <si>
    <t>Material Requisition For Flow Switch - IFR</t>
  </si>
  <si>
    <t>IN-3840</t>
  </si>
  <si>
    <t>Material Requisition For Flow Switch - AFC</t>
  </si>
  <si>
    <t>IN-3850</t>
  </si>
  <si>
    <t>Material Requisition For Pressure Gauges - IFR</t>
  </si>
  <si>
    <t>IN-3860</t>
  </si>
  <si>
    <t>Material Requisition For Pressure Gauges - AFC</t>
  </si>
  <si>
    <t>IN-3870</t>
  </si>
  <si>
    <t>Material Requisition For Pressure Transmitters - IFR</t>
  </si>
  <si>
    <t>IN-3880</t>
  </si>
  <si>
    <t>Material Requisition For Pressure Transmitters - AFC</t>
  </si>
  <si>
    <t>IN-3890</t>
  </si>
  <si>
    <t>Material Requisition For Temperature Gauges - IFR</t>
  </si>
  <si>
    <t>IN-3900</t>
  </si>
  <si>
    <t>Material Requisition For Temperature Gauges - AFC</t>
  </si>
  <si>
    <t>IN-3910</t>
  </si>
  <si>
    <t>Material Requisition For Temperature Transmitters - IFR</t>
  </si>
  <si>
    <t>IN-3920</t>
  </si>
  <si>
    <t>Material Requisition For Temperature Transmitters - AFC</t>
  </si>
  <si>
    <t>IN-3930</t>
  </si>
  <si>
    <t>Material Requisition For Level Gauge And Transmitters - IFR</t>
  </si>
  <si>
    <t>IN-3940</t>
  </si>
  <si>
    <t>Material Requisition For Level Gauge And Transmitters - AFC</t>
  </si>
  <si>
    <t>IN-3950</t>
  </si>
  <si>
    <t>Material Requisition For Dip Tape Level Indicator - IFR</t>
  </si>
  <si>
    <t>IN-3960</t>
  </si>
  <si>
    <t>Material Requisition For Dip Tape Level Indicator - AFC</t>
  </si>
  <si>
    <t>IN-3970</t>
  </si>
  <si>
    <t>Material Requisition For Level Switch - IFR</t>
  </si>
  <si>
    <t>IN-3980</t>
  </si>
  <si>
    <t>Material Requisition For Level Switch - AFC</t>
  </si>
  <si>
    <t>IN-3990</t>
  </si>
  <si>
    <t>Material Requisition For Guided Wave Radar Level Transmitter - IFR</t>
  </si>
  <si>
    <t>IN-4000</t>
  </si>
  <si>
    <t>Material Requisition For Guided Wave Radar Level Transmitter - AFC</t>
  </si>
  <si>
    <t>IN-4010</t>
  </si>
  <si>
    <t>Material Requisition For Dp Level Transmitters - IFR</t>
  </si>
  <si>
    <t>IN-4020</t>
  </si>
  <si>
    <t>Material Requisition For Dp Level Transmitters - AFC</t>
  </si>
  <si>
    <t>IN-4030</t>
  </si>
  <si>
    <t>Material Requisition For Instrument Cables - IFR</t>
  </si>
  <si>
    <t>IN-4040</t>
  </si>
  <si>
    <t>Material Requisition For Instrument Cables - AFC</t>
  </si>
  <si>
    <t>IN-4050</t>
  </si>
  <si>
    <t>Material Requisition For Restriction Orifice - IFR</t>
  </si>
  <si>
    <t>IN-4060</t>
  </si>
  <si>
    <t>Material Requisition For Restriction Orifice - AFC</t>
  </si>
  <si>
    <t>IN-4070</t>
  </si>
  <si>
    <t>Material Requisition For Fire &amp; Gas Detectors - IFR</t>
  </si>
  <si>
    <t>IN-4080</t>
  </si>
  <si>
    <t>Material Requisition For Fire &amp; Gas Detectors - AFC</t>
  </si>
  <si>
    <t>IN-4090</t>
  </si>
  <si>
    <t>Material Requisition For Position Limit Switches - IFR</t>
  </si>
  <si>
    <t>IN-4100</t>
  </si>
  <si>
    <t>Material Requisition For Position Limit Switches - AFC</t>
  </si>
  <si>
    <t>IN-4110</t>
  </si>
  <si>
    <t>Material Requisition For Oil In Water Analyzer - Wp02 - IFR</t>
  </si>
  <si>
    <t>IN-4120</t>
  </si>
  <si>
    <t>Material Requisition For Oil In Water Analyzer - Wp02 - AFC</t>
  </si>
  <si>
    <t>IN-4130</t>
  </si>
  <si>
    <t>Material Requisition For Pig Signaller - IFR</t>
  </si>
  <si>
    <t>IN-4140</t>
  </si>
  <si>
    <t>Material Requisition For Pig Signaller - AFC</t>
  </si>
  <si>
    <t>IN-4150</t>
  </si>
  <si>
    <t>Material Requisition For Instrument Bulk Materials - IFR</t>
  </si>
  <si>
    <t>IN-4160</t>
  </si>
  <si>
    <t>Material Requisition For Instrument Bulk Materials - AFC</t>
  </si>
  <si>
    <t>TBE-Instrument</t>
  </si>
  <si>
    <t>IN-4170</t>
  </si>
  <si>
    <t>Technical Bid Evaluation For SCADA - IFR</t>
  </si>
  <si>
    <t>IN-4180</t>
  </si>
  <si>
    <t>Technical Bid Evaluation For SCADA - AFC</t>
  </si>
  <si>
    <t>IN-4190</t>
  </si>
  <si>
    <t>Technical Bid Evaluation For Wellhead Control Panel - IFR</t>
  </si>
  <si>
    <t>IN-4200</t>
  </si>
  <si>
    <t>Technical Bid Evaluation For Wellhead Control Panel - AFC</t>
  </si>
  <si>
    <t>IN-4210</t>
  </si>
  <si>
    <t>Technical Bid Evaluation For PLC And SCADA System - IFR</t>
  </si>
  <si>
    <t>IN-4220</t>
  </si>
  <si>
    <t>Technical Bid Evaluation For PLC And SCADA System - AFC</t>
  </si>
  <si>
    <t>IN-4230</t>
  </si>
  <si>
    <t>Technical Bid Evaluation For Control Valves - IFR</t>
  </si>
  <si>
    <t>IN-4240</t>
  </si>
  <si>
    <t>Technical Bid Evaluation For Control Valves - AFC</t>
  </si>
  <si>
    <t>IN-4250</t>
  </si>
  <si>
    <t>Technical Bid Evaluation For Self Regulator Valves - IFR</t>
  </si>
  <si>
    <t>IN-4260</t>
  </si>
  <si>
    <t>Technical Bid Evaluation For Self Regulator Valves - AFC</t>
  </si>
  <si>
    <t>IN-4270</t>
  </si>
  <si>
    <t>Technical Bid Evaluation For Actuated Choke Valves - IFR</t>
  </si>
  <si>
    <t>IN-4280</t>
  </si>
  <si>
    <t>Technical Bid Evaluation For Actuated Choke Valves - AFC</t>
  </si>
  <si>
    <t>IN-4290</t>
  </si>
  <si>
    <t>Technical Bid Evaluation For Actuated Ball Valves - IFR</t>
  </si>
  <si>
    <t>IN-4300</t>
  </si>
  <si>
    <t>Technical Bid Evaluation For Actuated Ball Valves - AFC</t>
  </si>
  <si>
    <t>IN-4310</t>
  </si>
  <si>
    <t>Technical Bid Evaluation For Actuated Compact Ball Valves - IFR</t>
  </si>
  <si>
    <t>IN-4320</t>
  </si>
  <si>
    <t>Technical Bid Evaluation For Actuated Compact Ball Valves - AFC</t>
  </si>
  <si>
    <t>IN-4330</t>
  </si>
  <si>
    <t>Technical Bid Evaluation For Safety Relief Valves - IFR</t>
  </si>
  <si>
    <t>IN-4340</t>
  </si>
  <si>
    <t>Technical Bid Evaluation For Safety Relief Valves - AFC</t>
  </si>
  <si>
    <t>IN-4350</t>
  </si>
  <si>
    <t>Technical Bid Evaluation For Coriolis Flow Meters - IFR</t>
  </si>
  <si>
    <t>IN-4360</t>
  </si>
  <si>
    <t>Technical Bid Evaluation For Coriolis Flow Meters - AFC</t>
  </si>
  <si>
    <t>IN-4370</t>
  </si>
  <si>
    <t>Technical Bid Evaluation For Vortex Flow Meters - IFR</t>
  </si>
  <si>
    <t>IN-4380</t>
  </si>
  <si>
    <t>Technical Bid Evaluation For Vortex Flow Meters - AFC</t>
  </si>
  <si>
    <t>IN-4390</t>
  </si>
  <si>
    <t>Technical Bid Evaluation For Flow Switch - IFR</t>
  </si>
  <si>
    <t>IN-4400</t>
  </si>
  <si>
    <t>Technical Bid Evaluation For Flow Switch - AFC</t>
  </si>
  <si>
    <t>IN-4410</t>
  </si>
  <si>
    <t>Technical Bid Evaluation For Pressure Gauges - IFR</t>
  </si>
  <si>
    <t>IN-4420</t>
  </si>
  <si>
    <t>Technical Bid Evaluation For Pressure Gauges - AFC</t>
  </si>
  <si>
    <t>IN-4430</t>
  </si>
  <si>
    <t>Technical Bid Evaluation For Pressure Transmitters - IFR</t>
  </si>
  <si>
    <t>IN-4440</t>
  </si>
  <si>
    <t>Technical Bid Evaluation For Pressure Transmitters - AFC</t>
  </si>
  <si>
    <t>IN-4450</t>
  </si>
  <si>
    <t>Technical Bid Evaluation For Temperature Gauges - IFR</t>
  </si>
  <si>
    <t>IN-4460</t>
  </si>
  <si>
    <t>Technical Bid Evaluation For Temperature Gauges - AFC</t>
  </si>
  <si>
    <t>IN-4470</t>
  </si>
  <si>
    <t>Technical Bid Evaluation For Temperature Transmitters - IFR</t>
  </si>
  <si>
    <t>IN-4480</t>
  </si>
  <si>
    <t>Technical Bid Evaluation For Temperature Transmitters - AFC</t>
  </si>
  <si>
    <t>IN-4490</t>
  </si>
  <si>
    <t>Technical Bid Evaluation For Level Gauge And Transmitters - IFR</t>
  </si>
  <si>
    <t>IN-4500</t>
  </si>
  <si>
    <t>Technical Bid Evaluation For Level Gauge And Transmitters - AFC</t>
  </si>
  <si>
    <t>IN-4510</t>
  </si>
  <si>
    <t>Technical Bid Evaluation For Dip Tape Level Indicator - IFR</t>
  </si>
  <si>
    <t>IN-4520</t>
  </si>
  <si>
    <t>Technical Bid Evaluation For Dip Tape Level Indicator - AFC</t>
  </si>
  <si>
    <t>IN-4530</t>
  </si>
  <si>
    <t>Technical Bid Evaluation For Level Switch - IFR</t>
  </si>
  <si>
    <t>IN-4540</t>
  </si>
  <si>
    <t>Technical Bid Evaluation For Level Switch - AFC</t>
  </si>
  <si>
    <t>IN-4550</t>
  </si>
  <si>
    <t>Technical Bid Evaluation For Guided Wave Radar Level Transmitter - IFR</t>
  </si>
  <si>
    <t>IN-4560</t>
  </si>
  <si>
    <t>Technical Bid Evaluation For Guided Wave Radar Level Transmitter - AFC</t>
  </si>
  <si>
    <t>IN-4570</t>
  </si>
  <si>
    <t>Technical Bid Evaluation For Dp Level Transmitters - IFR</t>
  </si>
  <si>
    <t>IN-4580</t>
  </si>
  <si>
    <t>Technical Bid Evaluation For Dp Level Transmitters - AFC</t>
  </si>
  <si>
    <t>IN-4590</t>
  </si>
  <si>
    <t>Technical Bid Evaluation For Instrument Cables - IFR</t>
  </si>
  <si>
    <t>IN-4600</t>
  </si>
  <si>
    <t>Technical Bid Evaluation For Instrument Cables - AFC</t>
  </si>
  <si>
    <t>IN-4610</t>
  </si>
  <si>
    <t>Technical Bid Evaluation For Restriction Orifice - IFR</t>
  </si>
  <si>
    <t>IN-4620</t>
  </si>
  <si>
    <t>Technical Bid Evaluation For Restriction Orifice - AFC</t>
  </si>
  <si>
    <t>IN-4630</t>
  </si>
  <si>
    <t>Technical Bid Evaluation For Fire &amp; Gas Detectors - IFR</t>
  </si>
  <si>
    <t>IN-4640</t>
  </si>
  <si>
    <t>Technical Bid Evaluation For Fire &amp; Gas Detectors - AFC</t>
  </si>
  <si>
    <t>IN-4650</t>
  </si>
  <si>
    <t>Technical Bid Evaluation For Position Limit Switches - IFR</t>
  </si>
  <si>
    <t>IN-4660</t>
  </si>
  <si>
    <t>Technical Bid Evaluation For Position Limit Switches - AFC</t>
  </si>
  <si>
    <t>IN-4670</t>
  </si>
  <si>
    <t>Technical Bid Evaluation For Oil In Water Analyzer - IFR</t>
  </si>
  <si>
    <t>IN-4680</t>
  </si>
  <si>
    <t>Technical Bid Evaluation For Oil In Water Analyzer - AFC</t>
  </si>
  <si>
    <t>IN-4690</t>
  </si>
  <si>
    <t>Technical Bid Evaluation For Pig Signaller - IFR</t>
  </si>
  <si>
    <t>IN-4700</t>
  </si>
  <si>
    <t>Technical Bid Evaluation For Pig Signaller - AFC</t>
  </si>
  <si>
    <t>IN-4710</t>
  </si>
  <si>
    <t>Technical Bid Evaluation For Instrument Bulk Materials - IFR</t>
  </si>
  <si>
    <t>IN-4720</t>
  </si>
  <si>
    <t>Technical Bid Evaluation For Instrument Bulk Materials - AFC</t>
  </si>
  <si>
    <t>TELECOMMUNICATIONENGINEERING</t>
  </si>
  <si>
    <t>TE-1000</t>
  </si>
  <si>
    <t>Telecommunication Basis Of Design - IFR</t>
  </si>
  <si>
    <t>TE-1010</t>
  </si>
  <si>
    <t>Telecommunication Basis Of Design - IFA</t>
  </si>
  <si>
    <t>TE-1020</t>
  </si>
  <si>
    <t>Telecommunication Basis Of Design - AFC</t>
  </si>
  <si>
    <t>TE-1030</t>
  </si>
  <si>
    <t>Whp Telecommunication System Philosophy - IFR</t>
  </si>
  <si>
    <t>TE-1040</t>
  </si>
  <si>
    <t>Whp Telecommunication System Philosophy - IFA</t>
  </si>
  <si>
    <t>TE-1050</t>
  </si>
  <si>
    <t>Whp Telecommunication System Philosophy - AFC</t>
  </si>
  <si>
    <t>TE-1060</t>
  </si>
  <si>
    <t>Project Specification For Telecommunication Package - IFR</t>
  </si>
  <si>
    <t>TE-1070</t>
  </si>
  <si>
    <t>Project Specification For Telecommunication Package - AFC</t>
  </si>
  <si>
    <t>TE-1080</t>
  </si>
  <si>
    <t>Project  Specification For Marine Racon - IFR</t>
  </si>
  <si>
    <t>TE-1090</t>
  </si>
  <si>
    <t>Project  Specification For Marine Racon - AFC</t>
  </si>
  <si>
    <t>TE-1100</t>
  </si>
  <si>
    <t>Vsat Location Options And Selection Report - IFR</t>
  </si>
  <si>
    <t>TE-1110</t>
  </si>
  <si>
    <t>Vsat Location Options And Selection Report - IFA</t>
  </si>
  <si>
    <t>TE-1120</t>
  </si>
  <si>
    <t>Vsat Location Options And Selection Report - AFC</t>
  </si>
  <si>
    <t>TE-1130</t>
  </si>
  <si>
    <t>Design Report For Communication Links - IFR</t>
  </si>
  <si>
    <t>TE-1140</t>
  </si>
  <si>
    <t>Design Report For Communication Links - IFA</t>
  </si>
  <si>
    <t>TE-1150</t>
  </si>
  <si>
    <t>Design Report For Communication Links - AFC</t>
  </si>
  <si>
    <t>TE-1160</t>
  </si>
  <si>
    <t>Design Report For Overall Transmission Media Requirements - IFR</t>
  </si>
  <si>
    <t>TE-1170</t>
  </si>
  <si>
    <t>Design Report For Overall Transmission Media Requirements - IFA</t>
  </si>
  <si>
    <t>TE-1180</t>
  </si>
  <si>
    <t>Design Report For Overall Transmission Media Requirements - AFC</t>
  </si>
  <si>
    <t>TE-1190</t>
  </si>
  <si>
    <t>Design Report For Telecommunication  Equipment On Whp'S Safety Zone With Fire And Explosion Risk Analysis - IFR</t>
  </si>
  <si>
    <t>TE-1200</t>
  </si>
  <si>
    <t>Design Report For Telecommunication  Equipment On Whp'S Safety Zone With Fire And Explosion Risk Analysis - IFA</t>
  </si>
  <si>
    <t>TE-1210</t>
  </si>
  <si>
    <t>Design Report For Telecommunication  Equipment On Whp'S Safety Zone With Fire And Explosion Risk Analysis - AFC</t>
  </si>
  <si>
    <t>TE-1220</t>
  </si>
  <si>
    <t>Telecommuniction Equipment And Ex-Certificates List - IFR</t>
  </si>
  <si>
    <t>TE-1230</t>
  </si>
  <si>
    <t>Telecommuniction Equipment And Ex-Certificates List - IFA</t>
  </si>
  <si>
    <t>TE-1240</t>
  </si>
  <si>
    <t>Telecommuniction Equipment And Ex-Certificates List - AFC</t>
  </si>
  <si>
    <t>TE-1250</t>
  </si>
  <si>
    <t>Overall Telecommunication System Block Diagram - IFR</t>
  </si>
  <si>
    <t>TE-1260</t>
  </si>
  <si>
    <t>Overall Telecommunication System Block Diagram - IFA</t>
  </si>
  <si>
    <t>TE-1270</t>
  </si>
  <si>
    <t>Overall Telecommunication System Block Diagram - AFC</t>
  </si>
  <si>
    <t>TE-1490</t>
  </si>
  <si>
    <t>Telecommuniction Document Index - Wp01 - IFR</t>
  </si>
  <si>
    <t>TE-1500</t>
  </si>
  <si>
    <t>Telecommuniction Document Index - Wp01 - IFA</t>
  </si>
  <si>
    <t>TE-1510</t>
  </si>
  <si>
    <t>Telecommuniction Document Index - Wp01 - AFC</t>
  </si>
  <si>
    <t>TE-1520</t>
  </si>
  <si>
    <t>Telecommuniction Equipment List - Wp01 - IFR</t>
  </si>
  <si>
    <t>TE-1530</t>
  </si>
  <si>
    <t>Telecommuniction Equipment List - Wp01 - IFA</t>
  </si>
  <si>
    <t>TE-1540</t>
  </si>
  <si>
    <t>Telecommuniction Equipment List - Wp01 - AFC</t>
  </si>
  <si>
    <t>TE-1550</t>
  </si>
  <si>
    <t>Telecommuniction Cable Schedule - Wp01 - IFR</t>
  </si>
  <si>
    <t>TE-1560</t>
  </si>
  <si>
    <t>Telecommuniction Cable Schedule - Wp01 - IFA</t>
  </si>
  <si>
    <t>TE-1570</t>
  </si>
  <si>
    <t>Telecommuniction Cable Schedule - Wp01 - AFC</t>
  </si>
  <si>
    <t>TE-1580</t>
  </si>
  <si>
    <t>Telecommuniction Power Cpnstruction And Heat Dissipation List - Wp01 - IFR</t>
  </si>
  <si>
    <t>TE-1590</t>
  </si>
  <si>
    <t>Telecommuniction Power Cpnstruction And Heat Dissipation List - Wp01 - IFA</t>
  </si>
  <si>
    <t>TE-1600</t>
  </si>
  <si>
    <t>Telecommuniction Power Cpnstruction And Heat Dissipation List - Wp01 - AFC</t>
  </si>
  <si>
    <t>TE-1610</t>
  </si>
  <si>
    <t>Telecommuniction Bulk Material Take -Off - Wp01 - IFR</t>
  </si>
  <si>
    <t>TE-1620</t>
  </si>
  <si>
    <t>Telecommuniction Bulk Material Take -Off - Wp01 - IFA</t>
  </si>
  <si>
    <t>TE-1630</t>
  </si>
  <si>
    <t>Telecommuniction Bulk Material Take -Off - Wp01 - AFC</t>
  </si>
  <si>
    <t>TE-1850</t>
  </si>
  <si>
    <t>Telecommuniction Document Index - Wp02 - IFR</t>
  </si>
  <si>
    <t>TE-1860</t>
  </si>
  <si>
    <t>Telecommuniction Document Index - Wp02 - IFA</t>
  </si>
  <si>
    <t>TE-1870</t>
  </si>
  <si>
    <t>Telecommuniction Document Index - Wp02 - AFC</t>
  </si>
  <si>
    <t>TE-1880</t>
  </si>
  <si>
    <t>Telecommuniction Equipment List - Wp02 - IFR</t>
  </si>
  <si>
    <t>TE-1890</t>
  </si>
  <si>
    <t>Telecommuniction Equipment List - Wp02 - IFA</t>
  </si>
  <si>
    <t>TE-1900</t>
  </si>
  <si>
    <t>Telecommuniction Equipment List - Wp02 - AFC</t>
  </si>
  <si>
    <t>TE-1910</t>
  </si>
  <si>
    <t>Telecommuniction Cable Schedule - Wp02 - IFR</t>
  </si>
  <si>
    <t>TE-1920</t>
  </si>
  <si>
    <t>Telecommuniction Cable Schedule - Wp02 - IFA</t>
  </si>
  <si>
    <t>TE-1930</t>
  </si>
  <si>
    <t>Telecommuniction Cable Schedule - Wp02 - AFC</t>
  </si>
  <si>
    <t>TE-1940</t>
  </si>
  <si>
    <t>Telecommuniction Power Cpnstruction And Heat Dissipation List - Wp02 - IFR</t>
  </si>
  <si>
    <t>TE-1950</t>
  </si>
  <si>
    <t>Telecommuniction Power Cpnstruction And Heat Dissipation List - Wp02 - IFA</t>
  </si>
  <si>
    <t>TE-1960</t>
  </si>
  <si>
    <t>Telecommuniction Power Cpnstruction And Heat Dissipation List - Wp02 - AFC</t>
  </si>
  <si>
    <t>TE-1970</t>
  </si>
  <si>
    <t>Telecommuniction Bulk Material Take -Off - Wp02 - IFR</t>
  </si>
  <si>
    <t>TE-1980</t>
  </si>
  <si>
    <t>Telecommuniction Bulk Material Take -Off - Wp02 - IFA</t>
  </si>
  <si>
    <t>TE-1990</t>
  </si>
  <si>
    <t>Telecommuniction Bulk Material Take -Off - Wp02 - AFC</t>
  </si>
  <si>
    <t>TE-2000</t>
  </si>
  <si>
    <t>Telecommuniction Drawing Index - Wp01 - IFR</t>
  </si>
  <si>
    <t>TE-2010</t>
  </si>
  <si>
    <t>Telecommuniction Drawing Index - Wp01 - IFA</t>
  </si>
  <si>
    <t>TE-2020</t>
  </si>
  <si>
    <t>Telecommuniction Drawing Index - Wp01 - AFC</t>
  </si>
  <si>
    <t>TE-2030</t>
  </si>
  <si>
    <t>Telecommuniction System Block Diagram - Wp01 - IFR</t>
  </si>
  <si>
    <t>TE-2040</t>
  </si>
  <si>
    <t>Telecommuniction System Block Diagram - Wp01 - IFA</t>
  </si>
  <si>
    <t>TE-2050</t>
  </si>
  <si>
    <t>Telecommuniction System Block Diagram - Wp01 - AFC</t>
  </si>
  <si>
    <t>TE-2060</t>
  </si>
  <si>
    <t>Telecommuniction Equipment Layout - Wp01 - IFR</t>
  </si>
  <si>
    <t>TE-2070</t>
  </si>
  <si>
    <t>Telecommuniction Equipment Layout - Wp01 - IFA</t>
  </si>
  <si>
    <t>TE-2080</t>
  </si>
  <si>
    <t>Telecommuniction Equipment Layout - Wp01 - AFC</t>
  </si>
  <si>
    <t>TE-2090</t>
  </si>
  <si>
    <t>Telecommuniction Cable  Routing Plan - Wp01 - IFR</t>
  </si>
  <si>
    <t>TE-2100</t>
  </si>
  <si>
    <t>Telecommuniction Cable  Routing Plan - Wp01 - IFA</t>
  </si>
  <si>
    <t>TE-2110</t>
  </si>
  <si>
    <t>Telecommuniction Cable  Routing Plan - Wp01 - AFC</t>
  </si>
  <si>
    <t>TE-2120</t>
  </si>
  <si>
    <t>Telecommuniction Schematic Diagram - Wp01 - IFR</t>
  </si>
  <si>
    <t>TE-2130</t>
  </si>
  <si>
    <t>Telecommuniction Schematic Diagram - Wp01 - IFA</t>
  </si>
  <si>
    <t>TE-2140</t>
  </si>
  <si>
    <t>Telecommuniction Schematic Diagram - Wp01 - AFC</t>
  </si>
  <si>
    <t>TE-2150</t>
  </si>
  <si>
    <t>Telecommuniction System Wiring Diagram - Wp01 - IFR</t>
  </si>
  <si>
    <t>TE-2160</t>
  </si>
  <si>
    <t>Telecommuniction System Wiring Diagram - Wp01 - IFA</t>
  </si>
  <si>
    <t>TE-2170</t>
  </si>
  <si>
    <t>Telecommuniction System Wiring Diagram - Wp01 - AFC</t>
  </si>
  <si>
    <t>TE-2180</t>
  </si>
  <si>
    <t>Telecommuniction Installation And Mounting Detail - Wp01 - IFR</t>
  </si>
  <si>
    <t>TE-2190</t>
  </si>
  <si>
    <t>Telecommuniction Installation And Mounting Detail - Wp01 - IFA</t>
  </si>
  <si>
    <t>TE-2200</t>
  </si>
  <si>
    <t>Telecommuniction Installation And Mounting Detail - Wp01 - AFC</t>
  </si>
  <si>
    <t>TE-2210</t>
  </si>
  <si>
    <t>Telecommuniction Drawing Index - Wp02 - IFR</t>
  </si>
  <si>
    <t>TE-2220</t>
  </si>
  <si>
    <t>Telecommuniction Drawing Index - Wp02 - IFA</t>
  </si>
  <si>
    <t>TE-2230</t>
  </si>
  <si>
    <t>Telecommuniction Drawing Index - Wp02 - AFC</t>
  </si>
  <si>
    <t>TE-2240</t>
  </si>
  <si>
    <t>Telecommuniction System Block Diagram - Wp02 - IFR</t>
  </si>
  <si>
    <t>TE-2250</t>
  </si>
  <si>
    <t>Telecommuniction System Block Diagram - Wp02 - IFA</t>
  </si>
  <si>
    <t>TE-2260</t>
  </si>
  <si>
    <t>Telecommuniction System Block Diagram - Wp02 - AFC</t>
  </si>
  <si>
    <t>TE-2270</t>
  </si>
  <si>
    <t>Telecommuniction Equipment Layout - Wp02 - IFR</t>
  </si>
  <si>
    <t>TE-2280</t>
  </si>
  <si>
    <t>Telecommuniction Equipment Layout - Wp02 - IFA</t>
  </si>
  <si>
    <t>TE-2290</t>
  </si>
  <si>
    <t>Telecommuniction Equipment Layout - Wp02 - AFC</t>
  </si>
  <si>
    <t>TE-2300</t>
  </si>
  <si>
    <t>Telecommuniction Cable  Routing Plan - Wp02 - IFR</t>
  </si>
  <si>
    <t>TE-2310</t>
  </si>
  <si>
    <t>Telecommuniction Cable  Routing Plan - Wp02 - IFA</t>
  </si>
  <si>
    <t>TE-2320</t>
  </si>
  <si>
    <t>Telecommuniction Cable  Routing Plan - Wp02 - AFC</t>
  </si>
  <si>
    <t>TE-2330</t>
  </si>
  <si>
    <t>Telecommuniction Schematic Diagram - Wp02 - IFR</t>
  </si>
  <si>
    <t>TE-2340</t>
  </si>
  <si>
    <t>Telecommuniction Schematic Diagram - Wp02 - IFA</t>
  </si>
  <si>
    <t>TE-2350</t>
  </si>
  <si>
    <t>Telecommuniction Schematic Diagram - Wp02 - AFC</t>
  </si>
  <si>
    <t>TE-2360</t>
  </si>
  <si>
    <t>Telecommuniction System Wiring Diagram - Wp02 - IFR</t>
  </si>
  <si>
    <t>TE-2370</t>
  </si>
  <si>
    <t>Telecommuniction System Wiring Diagram - Wp02 - IFA</t>
  </si>
  <si>
    <t>TE-2380</t>
  </si>
  <si>
    <t>Telecommuniction System Wiring Diagram - Wp02 - AFC</t>
  </si>
  <si>
    <t>TE-2390</t>
  </si>
  <si>
    <t>Telecommuniction Installation And Mounting Detail - Wp02 - IFR</t>
  </si>
  <si>
    <t>TE-2400</t>
  </si>
  <si>
    <t>Telecommuniction Installation And Mounting Detail - Wp02 - IFA</t>
  </si>
  <si>
    <t>TE-2410</t>
  </si>
  <si>
    <t>Telecommuniction Installation And Mounting Detail - Wp02 - AFC</t>
  </si>
  <si>
    <t>TE-2550</t>
  </si>
  <si>
    <t>Telecommunication Shiploose List For Offshore Installation - IFR</t>
  </si>
  <si>
    <t>TE-2560</t>
  </si>
  <si>
    <t>Telecommunication Shiploose List For Offshore Installation - AFC</t>
  </si>
  <si>
    <t>TE-2570</t>
  </si>
  <si>
    <t>Telecommunication Shiploose List Handover To Company Operation Team - IFR</t>
  </si>
  <si>
    <t>TE-2580</t>
  </si>
  <si>
    <t>Telecommunication Shiploose List Handover To Company Operation Team - AFC</t>
  </si>
  <si>
    <t>Datasheets-Telecommunication</t>
  </si>
  <si>
    <t>TE-1280</t>
  </si>
  <si>
    <t>Data Sheet For Wimax Radio - Wp01 - IFR</t>
  </si>
  <si>
    <t>TE-1290</t>
  </si>
  <si>
    <t>Data Sheet For Wimax Radio - Wp01 - IFA</t>
  </si>
  <si>
    <t>TE-1300</t>
  </si>
  <si>
    <t>Data Sheet For Wimax Radio - Wp01 - AFC</t>
  </si>
  <si>
    <t>TE-1310</t>
  </si>
  <si>
    <t>Data Sheet For  Radar  Beacon - Wp01 - IFR</t>
  </si>
  <si>
    <t>TE-1320</t>
  </si>
  <si>
    <t>Data Sheet For  Radar  Beacon - Wp01 - IFA</t>
  </si>
  <si>
    <t>TE-1330</t>
  </si>
  <si>
    <t>Data Sheet For  Radar  Beacon - Wp01 - AFC</t>
  </si>
  <si>
    <t>TE-1340</t>
  </si>
  <si>
    <t>Data Sheet For  Automatic Identification System - Wp01 - IFR</t>
  </si>
  <si>
    <t>TE-1350</t>
  </si>
  <si>
    <t>Data Sheet For  Automatic Identification System - Wp01 - IFA</t>
  </si>
  <si>
    <t>TE-1360</t>
  </si>
  <si>
    <t>Data Sheet For  Automatic Identification System - Wp01 - AFC</t>
  </si>
  <si>
    <t>TE-1370</t>
  </si>
  <si>
    <t>Data Sheet For  Vhf-Dmr - Wp01 - IFR</t>
  </si>
  <si>
    <t>TE-1380</t>
  </si>
  <si>
    <t>Data Sheet For  Vhf-Dmr - Wp01 - IFA</t>
  </si>
  <si>
    <t>TE-1390</t>
  </si>
  <si>
    <t>Data Sheet For  Vhf-Dmr - Wp01 - AFC</t>
  </si>
  <si>
    <t>TE-1400</t>
  </si>
  <si>
    <t>Data Sheet For  Vhf-Fm - Wp01 - IFR</t>
  </si>
  <si>
    <t>TE-1410</t>
  </si>
  <si>
    <t>Data Sheet For  Vhf-Fm - Wp01 - IFA</t>
  </si>
  <si>
    <t>TE-1420</t>
  </si>
  <si>
    <t>Data Sheet For  Vhf-Fm - Wp01 - AFC</t>
  </si>
  <si>
    <t>TE-1430</t>
  </si>
  <si>
    <t>Data Sheet For  Telephone - Wp01 - IFR</t>
  </si>
  <si>
    <t>TE-1440</t>
  </si>
  <si>
    <t>Data Sheet For  Telephone - Wp01 - IFA</t>
  </si>
  <si>
    <t>TE-1450</t>
  </si>
  <si>
    <t>Data Sheet For  Telephone - Wp01 - AFC</t>
  </si>
  <si>
    <t>TE-1460</t>
  </si>
  <si>
    <t>Data Sheet For  Bulk Material - Wp01 - IFR</t>
  </si>
  <si>
    <t>TE-1470</t>
  </si>
  <si>
    <t>Data Sheet For  Bulk Material - Wp01 - IFA</t>
  </si>
  <si>
    <t>TE-1480</t>
  </si>
  <si>
    <t>Data Sheet For  Bulk Material - Wp01 - AFC</t>
  </si>
  <si>
    <t>TE-1640</t>
  </si>
  <si>
    <t>Data Sheet For Wimax Radio - Wp02 - IFR</t>
  </si>
  <si>
    <t>TE-1650</t>
  </si>
  <si>
    <t>Data Sheet For Wimax Radio - Wp02 - IFA</t>
  </si>
  <si>
    <t>TE-1660</t>
  </si>
  <si>
    <t>Data Sheet For Wimax Radio - Wp02 - AFC</t>
  </si>
  <si>
    <t>TE-1670</t>
  </si>
  <si>
    <t>Data Sheet For  Radar  Beacon - Wp02 - IFR</t>
  </si>
  <si>
    <t>TE-1680</t>
  </si>
  <si>
    <t>Data Sheet For  Radar  Beacon - Wp02 - IFA</t>
  </si>
  <si>
    <t>TE-1690</t>
  </si>
  <si>
    <t>Data Sheet For  Radar  Beacon - Wp02 - AFC</t>
  </si>
  <si>
    <t>TE-1700</t>
  </si>
  <si>
    <t>Data Sheet For  Automatic Identification System - Wp02 - IFR</t>
  </si>
  <si>
    <t>TE-1710</t>
  </si>
  <si>
    <t>Data Sheet For  Automatic Identification System - Wp02 - IFA</t>
  </si>
  <si>
    <t>TE-1720</t>
  </si>
  <si>
    <t>Data Sheet For  Automatic Identification System - Wp02 - AFC</t>
  </si>
  <si>
    <t>TE-1730</t>
  </si>
  <si>
    <t>Data Sheet For  Vhf-Dmr - Wp02 - IFR</t>
  </si>
  <si>
    <t>TE-1740</t>
  </si>
  <si>
    <t>Data Sheet For  Vhf-Dmr - Wp02 - IFA</t>
  </si>
  <si>
    <t>TE-1750</t>
  </si>
  <si>
    <t>Data Sheet For  Vhf-Dmr - Wp02 - AFC</t>
  </si>
  <si>
    <t>TE-1760</t>
  </si>
  <si>
    <t>Data Sheet For  Vhf-Fm - Wp02 - IFR</t>
  </si>
  <si>
    <t>TE-1770</t>
  </si>
  <si>
    <t>Data Sheet For  Vhf-Fm - Wp02 - IFA</t>
  </si>
  <si>
    <t>TE-1780</t>
  </si>
  <si>
    <t>Data Sheet For  Vhf-Fm - Wp02 - AFC</t>
  </si>
  <si>
    <t>TE-1790</t>
  </si>
  <si>
    <t>Data Sheet For  Telephone - Wp02 - IFR</t>
  </si>
  <si>
    <t>TE-1800</t>
  </si>
  <si>
    <t>Data Sheet For  Telephone - Wp02 - IFA</t>
  </si>
  <si>
    <t>TE-1810</t>
  </si>
  <si>
    <t>Data Sheet For  Telephone - Wp02 - AFC</t>
  </si>
  <si>
    <t>TE-1820</t>
  </si>
  <si>
    <t>Data Sheet For  Bulk Material - Wp02 - IFR</t>
  </si>
  <si>
    <t>TE-1830</t>
  </si>
  <si>
    <t>Data Sheet For  Bulk Material - Wp02 - IFA</t>
  </si>
  <si>
    <t>TE-1840</t>
  </si>
  <si>
    <t>Data Sheet For  Bulk Material - Wp02 - AFC</t>
  </si>
  <si>
    <t>MR-Telecommunication</t>
  </si>
  <si>
    <t>TE-2420</t>
  </si>
  <si>
    <t>Material Requisition For Telecommunication System - IFR</t>
  </si>
  <si>
    <t>TE-2430</t>
  </si>
  <si>
    <t>Material Requisition For Telecommunication System - IFA</t>
  </si>
  <si>
    <t>TE-2440</t>
  </si>
  <si>
    <t>Material Requisition For Telecommunication System - AFC</t>
  </si>
  <si>
    <t>TE-2450</t>
  </si>
  <si>
    <t>Material Requisition For Marine Racon (Racon) - IFR</t>
  </si>
  <si>
    <t>TE-2460</t>
  </si>
  <si>
    <t>Material Requisition For Marine Racon (Racon) - AFC</t>
  </si>
  <si>
    <t>TE-2470</t>
  </si>
  <si>
    <t>Material Requisition For For Telecommunication Bulk Material - IFR</t>
  </si>
  <si>
    <t>TE-2480</t>
  </si>
  <si>
    <t>Material Requisition For For Telecommunication Bulk Material - AFC</t>
  </si>
  <si>
    <t>TBE-Telecommunication</t>
  </si>
  <si>
    <t>TE-2490</t>
  </si>
  <si>
    <t>Technical Bid Evaluation For Telecommunication System - IFR</t>
  </si>
  <si>
    <t>TE-2500</t>
  </si>
  <si>
    <t>Technical Bid Evaluation For Telecommunication System - AFC</t>
  </si>
  <si>
    <t>TE-2510</t>
  </si>
  <si>
    <t>Technical Bid Evaluation For Marine Racon (Racon) - IFR</t>
  </si>
  <si>
    <t>TE-2520</t>
  </si>
  <si>
    <t>Technical Bid Evaluation For Marine Racon (Racon) - AFC</t>
  </si>
  <si>
    <t>TE-2530</t>
  </si>
  <si>
    <t>Technical Bid Evaluation For Telecommunication Bulk Material - IFR</t>
  </si>
  <si>
    <t>TE-2540</t>
  </si>
  <si>
    <t>Technical Bid Evaluation For Telecommunication Bulk Material - AFC</t>
  </si>
  <si>
    <t>SAFETY</t>
  </si>
  <si>
    <t>SF-1000</t>
  </si>
  <si>
    <t>Safety Security Health and Environment Concept (SSHE) (Offshore) - IFR</t>
  </si>
  <si>
    <t>SF-1010</t>
  </si>
  <si>
    <t>Safety Security Health and Environment Concept (SSHE) (Offshore) - IFA</t>
  </si>
  <si>
    <t>SF-1020</t>
  </si>
  <si>
    <t>Safety Security Health and Environment Concept (SSHE) (Offshore) - AFC</t>
  </si>
  <si>
    <t>SF-1030</t>
  </si>
  <si>
    <t>FERA and QRA Assumption Register - IFR</t>
  </si>
  <si>
    <t>SF-1040</t>
  </si>
  <si>
    <t>FERA and QRA Assumption Register - AFC</t>
  </si>
  <si>
    <t>SF-1050</t>
  </si>
  <si>
    <t>Reliability, Availability and Maintainability (RAM) Study Assumption Register - IFR</t>
  </si>
  <si>
    <t>SF-1060</t>
  </si>
  <si>
    <t>Reliability, Availability and Maintainability (RAM) Study Assumption Register - AFC</t>
  </si>
  <si>
    <t>SF-1070</t>
  </si>
  <si>
    <t>Reliability, Availability and Maintainability (RAM) Study Report (for WHP) - IFR</t>
  </si>
  <si>
    <t>SF-1080</t>
  </si>
  <si>
    <t>Reliability, Availability and Maintainability (RAM) Study Report (for WHP) - AFC</t>
  </si>
  <si>
    <t>SF-1090</t>
  </si>
  <si>
    <t>HAZID TOR (Offshore) - IFR</t>
  </si>
  <si>
    <t>SF-1100</t>
  </si>
  <si>
    <t>HAZID TOR (Offshore) - AFC</t>
  </si>
  <si>
    <t>SF-1110</t>
  </si>
  <si>
    <t>HAZID Report (Offshore) - IFR</t>
  </si>
  <si>
    <t>SF-1120</t>
  </si>
  <si>
    <t>HAZID Report (Offshore) - AFC</t>
  </si>
  <si>
    <t>SF-1121</t>
  </si>
  <si>
    <t>HAZID Closed Out Report - IFI</t>
  </si>
  <si>
    <t>SF-1130</t>
  </si>
  <si>
    <t>HAZOP TOR (Offshore) - IFR</t>
  </si>
  <si>
    <t>SF-1140</t>
  </si>
  <si>
    <t>HAZOP TOR (Offshore) - AFC</t>
  </si>
  <si>
    <t>SF-1150</t>
  </si>
  <si>
    <t>HAZOP Report (Offshore) - IFR</t>
  </si>
  <si>
    <t>SF-1160</t>
  </si>
  <si>
    <t>HAZOP Report (Offshore) - AFC</t>
  </si>
  <si>
    <t>SF-1161</t>
  </si>
  <si>
    <t>HAZOP Closed Out Report - IFI</t>
  </si>
  <si>
    <t>SF-1170</t>
  </si>
  <si>
    <t>SIL TOR (Offshore) - IFR</t>
  </si>
  <si>
    <t>SF-1180</t>
  </si>
  <si>
    <t>SIL TOR (Offshore) - AFC</t>
  </si>
  <si>
    <t>SF-1190</t>
  </si>
  <si>
    <t>SIL Classification Report (Offshore) - IFR</t>
  </si>
  <si>
    <t>SF-1200</t>
  </si>
  <si>
    <t>SIL Classification Report (Offshore) - AFC</t>
  </si>
  <si>
    <t>SF-1210</t>
  </si>
  <si>
    <t>SIL Verification (Offshore) - IFR</t>
  </si>
  <si>
    <t>SF-1220</t>
  </si>
  <si>
    <t>SIL Verification (Offshore) - IFA</t>
  </si>
  <si>
    <t>SF-1230</t>
  </si>
  <si>
    <t>SIL Verification (Offshore) - AFC</t>
  </si>
  <si>
    <t>SF-1231</t>
  </si>
  <si>
    <t>SIL Closed Out Report - IFI</t>
  </si>
  <si>
    <t>SF-1240</t>
  </si>
  <si>
    <t>ALARP Study TOR (Offshore) - IFR</t>
  </si>
  <si>
    <t>SF-1250</t>
  </si>
  <si>
    <t>ALARP Study TOR (Offshore) - AFC</t>
  </si>
  <si>
    <t>SF-1260</t>
  </si>
  <si>
    <t>ALARP Study Report (Offshore) - IFR</t>
  </si>
  <si>
    <t>SF-1270</t>
  </si>
  <si>
    <t>ALARP Study Report (Offshore) - AFC</t>
  </si>
  <si>
    <t>SF-1280</t>
  </si>
  <si>
    <t>Vent Dispersion &amp; Thermal Radiation Study - IFR</t>
  </si>
  <si>
    <t>SF-1290</t>
  </si>
  <si>
    <t>Vent Dispersion &amp; Thermal Radiation Study - IFA</t>
  </si>
  <si>
    <t>SF-1300</t>
  </si>
  <si>
    <t>Vent Dispersion &amp; Thermal Radiation Study - AFC</t>
  </si>
  <si>
    <t>SF-1310</t>
  </si>
  <si>
    <t>Dropped Object Study (DOS) (Topside &amp; associate Pipelines) - IFR</t>
  </si>
  <si>
    <t>SF-1320</t>
  </si>
  <si>
    <t>Dropped Object Study (DOS) (Topside &amp; associate Pipelines) - IFA</t>
  </si>
  <si>
    <t>SF-1330</t>
  </si>
  <si>
    <t>Dropped Object Study (DOS) (Topside &amp; associate Pipelines) - AFC</t>
  </si>
  <si>
    <t>SF-1340</t>
  </si>
  <si>
    <t>Fire and Explosion Risk Analysis Report (FERA) - IFR</t>
  </si>
  <si>
    <t>SF-1350</t>
  </si>
  <si>
    <t>Fire and Explosion Risk Analysis Report (FERA) - IFA</t>
  </si>
  <si>
    <t>SF-1360</t>
  </si>
  <si>
    <t>Fire and Explosion Risk Analysis Report (FERA) - AFC</t>
  </si>
  <si>
    <t>SF-1370</t>
  </si>
  <si>
    <t>Qualitative Risk Assessment (QRA) - IFR</t>
  </si>
  <si>
    <t>SF-1380</t>
  </si>
  <si>
    <t>Qualitative Risk Assessment (QRA) - IFA</t>
  </si>
  <si>
    <t>SF-1390</t>
  </si>
  <si>
    <t>Qualitative Risk Assessment (QRA) - AFC</t>
  </si>
  <si>
    <t>SF-1400</t>
  </si>
  <si>
    <t>Escape, Evacuation and Rescue Analysis (EERA) - IFR</t>
  </si>
  <si>
    <t>SF-1410</t>
  </si>
  <si>
    <t>Escape, Evacuation and Rescue Analysis (EERA) - IFA</t>
  </si>
  <si>
    <t>SF-1420</t>
  </si>
  <si>
    <t>Escape, Evacuation and Rescue Analysis (EERA) - AFC</t>
  </si>
  <si>
    <t>SF-1430</t>
  </si>
  <si>
    <t>Design Safety Critical Element and Performance Standard (SCE PS) - IFR</t>
  </si>
  <si>
    <t>SF-1440</t>
  </si>
  <si>
    <t>Design Safety Critical Element and Performance Standard (SCE PS) - IFA</t>
  </si>
  <si>
    <t>SF-1450</t>
  </si>
  <si>
    <t>Design Safety Critical Element and Performance Standard (SCE PS) - AFC</t>
  </si>
  <si>
    <t>SF-1460</t>
  </si>
  <si>
    <t>Safety Engineering Action Tracking Monitoring System (SEAMS) Report (monthly report) - IFR</t>
  </si>
  <si>
    <t>SF-1470</t>
  </si>
  <si>
    <t>Safety Engineering Action Tracking Monitoring System (SEAMS) Report (monthly report) - IFA</t>
  </si>
  <si>
    <t>SF-1480</t>
  </si>
  <si>
    <t>Safety Engineering Action Tracking Monitoring System (SEAMS) Report (monthly report) - AFC</t>
  </si>
  <si>
    <t>SF-1490</t>
  </si>
  <si>
    <t>Bow-Tie Diagrams for MAE/high risk hazards Analysis - IFR</t>
  </si>
  <si>
    <t>SF-1500</t>
  </si>
  <si>
    <t>Bow-Tie Diagrams for MAE/high risk hazards Analysis - IFA</t>
  </si>
  <si>
    <t>SF-1510</t>
  </si>
  <si>
    <t>Bow-Tie Diagrams for MAE/high risk hazards Analysis - AFC</t>
  </si>
  <si>
    <t>SF-1520</t>
  </si>
  <si>
    <t>Design Safety Case - IFR</t>
  </si>
  <si>
    <t>SF-1530</t>
  </si>
  <si>
    <t>Design Safety Case - AFC</t>
  </si>
  <si>
    <t>SF-1531</t>
  </si>
  <si>
    <t>Exhaust Plume Study Report - IFR</t>
  </si>
  <si>
    <t>SF-1532</t>
  </si>
  <si>
    <t>Exhaust Plume Study Report  - AFC</t>
  </si>
  <si>
    <t>SF-1540</t>
  </si>
  <si>
    <t>Specification for Firefighting Equipment - IFR</t>
  </si>
  <si>
    <t>SF-1550</t>
  </si>
  <si>
    <t>Specification for Firefighting Equipment - IFA</t>
  </si>
  <si>
    <t>SF-1560</t>
  </si>
  <si>
    <t>Specification for Firefighting Equipment - AFC</t>
  </si>
  <si>
    <t>SF-1570</t>
  </si>
  <si>
    <t>Specification for Lifesaving Equipment and Safety Equipment - IFR</t>
  </si>
  <si>
    <t>SF-1580</t>
  </si>
  <si>
    <t>Specification for Lifesaving Equipment and Safety Equipment - AFC</t>
  </si>
  <si>
    <t>SF-1590</t>
  </si>
  <si>
    <t>Specification for Safety Signs - IFR</t>
  </si>
  <si>
    <t>SF-1600</t>
  </si>
  <si>
    <t>Specification for Safety Signs - AFC</t>
  </si>
  <si>
    <t>SF-1670</t>
  </si>
  <si>
    <t>Firefighting, Lifesaving Equipment and Safety Equipment List - IFR</t>
  </si>
  <si>
    <t>SF-1680</t>
  </si>
  <si>
    <t>Firefighting, Lifesaving Equipment and Safety Equipment List - IFA</t>
  </si>
  <si>
    <t>SF-1690</t>
  </si>
  <si>
    <t>Firefighting, Lifesaving Equipment and Safety Equipment List - AFC</t>
  </si>
  <si>
    <t>SF-1700</t>
  </si>
  <si>
    <t>Hazardous Equipment Schedule (Normal operations, SIMOPS) - IFR</t>
  </si>
  <si>
    <t>SF-1710</t>
  </si>
  <si>
    <t>Hazardous Equipment Schedule (Normal operations, SIMOPS) - IFA</t>
  </si>
  <si>
    <t>SF-1720</t>
  </si>
  <si>
    <t>Hazardous Equipment Schedule (Normal operations, SIMOPS) - AFC</t>
  </si>
  <si>
    <t>SF-1730</t>
  </si>
  <si>
    <t>Hazardous Area Classification Drawing (Normal operations) WP01 (10Sheets) - IFR</t>
  </si>
  <si>
    <t>SF-1740</t>
  </si>
  <si>
    <t>Hazardous Area Classification Drawing (Normal operations) WP01 (10Sheets) - IFA</t>
  </si>
  <si>
    <t>SF-1750</t>
  </si>
  <si>
    <t>Hazardous Area Classification Drawing (Normal operations) WP01 (10Sheets) - AFC</t>
  </si>
  <si>
    <t>SF-1760</t>
  </si>
  <si>
    <t>Hazardous Area Classification Drawing (SIMOPS) Index WP01 (10Sheets) - IFR</t>
  </si>
  <si>
    <t>SF-1770</t>
  </si>
  <si>
    <t>Hazardous Area Classification Drawing (SIMOPS) Index WP01 (10Sheets) - IFA</t>
  </si>
  <si>
    <t>SF-1780</t>
  </si>
  <si>
    <t>Hazardous Area Classification Drawing (SIMOPS) Index WP01 (10Sheets) - AFC</t>
  </si>
  <si>
    <t>SF-1790</t>
  </si>
  <si>
    <t>Hazardous Area Classification Drawing (Normal operations) WP02 (10Sheets) - IFR</t>
  </si>
  <si>
    <t>SF-1800</t>
  </si>
  <si>
    <t>Hazardous Area Classification Drawing (Normal operations) WP02 (10Sheets) - IFA</t>
  </si>
  <si>
    <t>SF-1810</t>
  </si>
  <si>
    <t>Hazardous Area Classification Drawing (Normal operations) WP02 (10Sheets) - AFC</t>
  </si>
  <si>
    <t>SF-1820</t>
  </si>
  <si>
    <t>Hazardous Area Classification Drawing (SIMOPS) Index WP02 (10Sheets) - IFR</t>
  </si>
  <si>
    <t>SF-1830</t>
  </si>
  <si>
    <t>Hazardous Area Classification Drawing (SIMOPS) Index WP02 (10Sheets) - IFA</t>
  </si>
  <si>
    <t>SF-1840</t>
  </si>
  <si>
    <t>Hazardous Area Classification Drawing (SIMOPS) Index WP02 (10Sheets) - AFC</t>
  </si>
  <si>
    <t>SF-1850</t>
  </si>
  <si>
    <t>Escape Routes,  Lifesaving Equipment &amp; Safety Equipment Layout Drawing WP01 (6 Sheets) - IFR</t>
  </si>
  <si>
    <t>SF-1860</t>
  </si>
  <si>
    <t>Escape Routes,  Lifesaving Equipment &amp; Safety Equipment Layout Drawing WP01 (6 Sheets) - IFA</t>
  </si>
  <si>
    <t>SF-1870</t>
  </si>
  <si>
    <t>Escape Routes,  Lifesaving Equipment &amp; Safety Equipment Layout Drawing WP01 (6 Sheets) - AFC</t>
  </si>
  <si>
    <t>SF-1880</t>
  </si>
  <si>
    <t>Escape Routes,  Lifesaving Equipment &amp; Safety Equipment Layout Drawing WP02 (6 Sheets) - IFR</t>
  </si>
  <si>
    <t>SF-1890</t>
  </si>
  <si>
    <t>Escape Routes,  Lifesaving Equipment &amp; Safety Equipment Layout Drawing WP02 (6 Sheets) - IFA</t>
  </si>
  <si>
    <t>SF-1900</t>
  </si>
  <si>
    <t>Escape Routes,  Lifesaving Equipment &amp; Safety Equipment Layout Drawing WP02 (6 Sheets) - AFC</t>
  </si>
  <si>
    <t>SF-1910</t>
  </si>
  <si>
    <t>Firefighting Equipment Layout Drawing WP01 (6 Sheets) - IFR</t>
  </si>
  <si>
    <t>SF-1920</t>
  </si>
  <si>
    <t>Firefighting Equipment Layout Drawing WP01 (6 Sheets) - IFA</t>
  </si>
  <si>
    <t>SF-1930</t>
  </si>
  <si>
    <t>SF-1940</t>
  </si>
  <si>
    <t>Firefighting Equipment Layout Drawing WP02 (6 Sheets) - IFR</t>
  </si>
  <si>
    <t>SF-1950</t>
  </si>
  <si>
    <t>Firefighting Equipment Layout Drawing WP02 (6 Sheets) - IFA</t>
  </si>
  <si>
    <t>SF-1960</t>
  </si>
  <si>
    <t>SF-1970</t>
  </si>
  <si>
    <t>Safety Signs Layout Drawing WP01 (6 Sheets) - IFR</t>
  </si>
  <si>
    <t>SF-1980</t>
  </si>
  <si>
    <t>Safety Signs Layout Drawing WP01 (6 Sheets) - IFA</t>
  </si>
  <si>
    <t>SF-1990</t>
  </si>
  <si>
    <t>Safety Signs Layout Drawing WP01 (6 Sheets) - AFC</t>
  </si>
  <si>
    <t>SF-2000</t>
  </si>
  <si>
    <t>Safety Signs Layout Drawing WP02 (6 Sheets) - IFR</t>
  </si>
  <si>
    <t>SF-2010</t>
  </si>
  <si>
    <t>Safety Signs Layout Drawing WP02 (6 Sheets) - IFA</t>
  </si>
  <si>
    <t>SF-2020</t>
  </si>
  <si>
    <t>Safety Signs Layout Drawing WP02 (6 Sheets) - AFC</t>
  </si>
  <si>
    <t>SF-2030</t>
  </si>
  <si>
    <t>Fire and Gas Detector Layout Drawing WP01 (6 Sheets) - IFR</t>
  </si>
  <si>
    <t>SF-2040</t>
  </si>
  <si>
    <t>Fire and Gas Detector Layout Drawing WP01 (6 Sheets) - IFA</t>
  </si>
  <si>
    <t>SF-2050</t>
  </si>
  <si>
    <t>Fire and Gas Detector Layout Drawing WP01 (6 Sheets) - AFC</t>
  </si>
  <si>
    <t>SF-2060</t>
  </si>
  <si>
    <t>Fire and Gas Detector Layout Drawing WP02 (6 Sheets) - IFR</t>
  </si>
  <si>
    <t>SF-2070</t>
  </si>
  <si>
    <t>Fire and Gas Detector Layout Drawing WP02 (6 Sheets) - IFA</t>
  </si>
  <si>
    <t>SF-2080</t>
  </si>
  <si>
    <t>Fire and Gas Detector Layout Drawing WP02 (6 Sheets) - AFC</t>
  </si>
  <si>
    <t>Datasheets-Safety</t>
  </si>
  <si>
    <t>SF-1610</t>
  </si>
  <si>
    <t>Datasheet for Firefighting Equipment - IFR</t>
  </si>
  <si>
    <t>SF-1620</t>
  </si>
  <si>
    <t>Datasheet for Firefighting Equipment - AFC</t>
  </si>
  <si>
    <t>SF-1630</t>
  </si>
  <si>
    <t>Datasheet for Lifesaving Equipment and Safety Equipment - IFR</t>
  </si>
  <si>
    <t>SF-1640</t>
  </si>
  <si>
    <t>Datasheet for Lifesaving Equipment and Safety Equipment - AFC</t>
  </si>
  <si>
    <t>SF-1650</t>
  </si>
  <si>
    <t>Datasheet for Safety Signs - IFR</t>
  </si>
  <si>
    <t>SF-1660</t>
  </si>
  <si>
    <t>Datasheet for Safety Signs - AFC</t>
  </si>
  <si>
    <t>MR-Safety</t>
  </si>
  <si>
    <t>SF-2090</t>
  </si>
  <si>
    <t>Material Requisition for Firefighting Equipment - IFR</t>
  </si>
  <si>
    <t>SF-2100</t>
  </si>
  <si>
    <t>Material Requisition for Firefighting Equipment - AFC</t>
  </si>
  <si>
    <t>SF-2110</t>
  </si>
  <si>
    <t>Material Requisition for Lifesaving Equipment and Safety Equipment - IFR</t>
  </si>
  <si>
    <t>SF-2120</t>
  </si>
  <si>
    <t>Material Requisition for Lifesaving Equipment and Safety Equipment - AFC</t>
  </si>
  <si>
    <t>SF-2130</t>
  </si>
  <si>
    <t>Material Requisition for Safety Signs - IFR</t>
  </si>
  <si>
    <t>SF-2140</t>
  </si>
  <si>
    <t>Material Requisition for Safety Signs - AFC</t>
  </si>
  <si>
    <t>TBE-Safety</t>
  </si>
  <si>
    <t>SF-2150</t>
  </si>
  <si>
    <t>Technical Bid Evaluation For Firefighting Equipment - IFR</t>
  </si>
  <si>
    <t>SF-2160</t>
  </si>
  <si>
    <t>Technical Bid Evaluation For Firefighting Equipment - IFA</t>
  </si>
  <si>
    <t>SF-2170</t>
  </si>
  <si>
    <t>Technical Bid Evaluation For Firefighting Equipment - AFC</t>
  </si>
  <si>
    <t>SF-2180</t>
  </si>
  <si>
    <t>Technical Bid Evaluation For Lifesaving Equipment and Safety Equipment - IFR</t>
  </si>
  <si>
    <t>SF-2190</t>
  </si>
  <si>
    <t>Technical Bid Evaluation For Lifesaving Equipment and Safety Equipment - IFA</t>
  </si>
  <si>
    <t>SF-2200</t>
  </si>
  <si>
    <t>Technical Bid Evaluation For Lifesaving Equipment and Safety Equipment - AFC</t>
  </si>
  <si>
    <t>SF-2210</t>
  </si>
  <si>
    <t>Technical Bid Evaluation For Safety Signs - IFR</t>
  </si>
  <si>
    <t>SF-2220</t>
  </si>
  <si>
    <t>Technical Bid Evaluation For Safety Signs - IFA</t>
  </si>
  <si>
    <t>SF-2230</t>
  </si>
  <si>
    <t>Technical Bid Evaluation For Safety Signs - AFC</t>
  </si>
  <si>
    <t>ME-1510_X_</t>
  </si>
  <si>
    <t>Mechanical Datasheet for Material Handling Equipment - IFR_X_</t>
  </si>
  <si>
    <t>ZM167 PTTEPI ASK Procurement Plan - Before Award</t>
  </si>
  <si>
    <t xml:space="preserve">    </t>
  </si>
  <si>
    <t>MR.No</t>
  </si>
  <si>
    <t>PO NO.</t>
  </si>
  <si>
    <t>MR Issued</t>
  </si>
  <si>
    <t>Bidding Duration</t>
  </si>
  <si>
    <t>Delivery Date</t>
  </si>
  <si>
    <t>Lead Time
(Days)</t>
  </si>
  <si>
    <t>Earlier ROS date</t>
  </si>
  <si>
    <t>Float (Day)</t>
  </si>
  <si>
    <t>Final&amp;Best Proposal Submission</t>
  </si>
  <si>
    <t>TJE CBE approval (LOI Issue)</t>
  </si>
  <si>
    <t>MRP</t>
  </si>
  <si>
    <t>Transportation time</t>
  </si>
  <si>
    <t>RFQ-001</t>
  </si>
  <si>
    <t>Pedestal Crane</t>
  </si>
  <si>
    <t>Plan</t>
  </si>
  <si>
    <t>RFQ-002</t>
  </si>
  <si>
    <t>RFQ-003</t>
  </si>
  <si>
    <t>RFQ-004</t>
  </si>
  <si>
    <t>Production &amp; Test Seperator</t>
  </si>
  <si>
    <t>RFQ-005</t>
  </si>
  <si>
    <t>Pig Launcher and Receiver</t>
  </si>
  <si>
    <t>RFQ-006</t>
  </si>
  <si>
    <t>Corrosion Inhibitor Injection Pump</t>
  </si>
  <si>
    <t>RFQ-007</t>
  </si>
  <si>
    <t>Demulsifier/Water Clarifier Injection Pump</t>
  </si>
  <si>
    <t>RFQ-008</t>
  </si>
  <si>
    <t>De-Oiler Hydrocyclone</t>
  </si>
  <si>
    <t xml:space="preserve">  </t>
  </si>
  <si>
    <t>RFQ-009</t>
  </si>
  <si>
    <t>Degasser</t>
  </si>
  <si>
    <t>RFQ-010</t>
  </si>
  <si>
    <t>RFQ-011</t>
  </si>
  <si>
    <t>RFQ-012</t>
  </si>
  <si>
    <t xml:space="preserve"> Storage Tote Tank</t>
  </si>
  <si>
    <t>RFQ-013</t>
  </si>
  <si>
    <t>RFQ-014</t>
  </si>
  <si>
    <t>Closed Drain Sump Pump</t>
  </si>
  <si>
    <t>RFQ-015</t>
  </si>
  <si>
    <t>Diesel Transfer Pump</t>
  </si>
  <si>
    <t>RFQ-016</t>
  </si>
  <si>
    <t>Open Drain Caisson Pump</t>
  </si>
  <si>
    <t>RFQ-017</t>
  </si>
  <si>
    <t>DC Distribution Board</t>
  </si>
  <si>
    <t>RFQ-018</t>
  </si>
  <si>
    <t>RFQ-019</t>
  </si>
  <si>
    <t>RFQ-020</t>
  </si>
  <si>
    <t>RFQ-021</t>
  </si>
  <si>
    <t>RFQ-022</t>
  </si>
  <si>
    <t>RFQ-023</t>
  </si>
  <si>
    <t>RFQ-024</t>
  </si>
  <si>
    <t>RFQ-025</t>
  </si>
  <si>
    <t>RFQ-026</t>
  </si>
  <si>
    <t>RFQ-027</t>
  </si>
  <si>
    <t>RFQ-028</t>
  </si>
  <si>
    <t>Wellhead Control Panel (WHCP)</t>
  </si>
  <si>
    <t>RFQ-029</t>
  </si>
  <si>
    <t>RFQ-030</t>
  </si>
  <si>
    <t>RFQ-031</t>
  </si>
  <si>
    <t>RFQ-032</t>
  </si>
  <si>
    <t>RFQ-033</t>
  </si>
  <si>
    <t>RFQ-034</t>
  </si>
  <si>
    <t>Level Transmitter and Gauge</t>
  </si>
  <si>
    <t>RFQ-035</t>
  </si>
  <si>
    <t>RFQ-036</t>
  </si>
  <si>
    <t>RFQ-037</t>
  </si>
  <si>
    <t>RFQ-038</t>
  </si>
  <si>
    <t>RFQ-039</t>
  </si>
  <si>
    <t>Dip Tape Level Indicator</t>
  </si>
  <si>
    <t>RFQ-040</t>
  </si>
  <si>
    <t>RFQ-041</t>
  </si>
  <si>
    <t>RFQ-042</t>
  </si>
  <si>
    <t>Oil in Water Analyzer</t>
  </si>
  <si>
    <t>RFQ-043</t>
  </si>
  <si>
    <t>RFQ-044</t>
  </si>
  <si>
    <t>Flow Switch</t>
  </si>
  <si>
    <t>RFQ-045</t>
  </si>
  <si>
    <t>RFQ-046</t>
  </si>
  <si>
    <t>Telecommunication System (WiMAX, Telephone, Marine Radio)</t>
  </si>
  <si>
    <t>RFQ-047</t>
  </si>
  <si>
    <t>Marine Racon</t>
  </si>
  <si>
    <t>RFQ-048</t>
  </si>
  <si>
    <t>RFQ-049</t>
  </si>
  <si>
    <t>RFQ-050</t>
  </si>
  <si>
    <t>RFQ-051</t>
  </si>
  <si>
    <t>RFQ-052</t>
  </si>
  <si>
    <t>RFQ-053</t>
  </si>
  <si>
    <t>Primary Steel - Plate</t>
  </si>
  <si>
    <t>Primary Steel -  Joint Connection for Topside</t>
  </si>
  <si>
    <t>Primary Steel - Beam for topside (Standard)</t>
  </si>
  <si>
    <t>Primary Steel - Beam</t>
  </si>
  <si>
    <t>Primary Steel - Beam for topside (non-standard)</t>
  </si>
  <si>
    <t>Primary Steel - Seamless Pipe for topside</t>
  </si>
  <si>
    <t>Primary Steel - Seamless Pipe</t>
  </si>
  <si>
    <t xml:space="preserve">Primary Steel -Beam for jacket </t>
  </si>
  <si>
    <t>Primary Steel -Tubular for jacket (column)</t>
  </si>
  <si>
    <t>Primary Steel -Tubular for jacket (bracing)</t>
  </si>
  <si>
    <t>Special items</t>
  </si>
  <si>
    <t>SPECIAL PIPE SUPPORT</t>
  </si>
  <si>
    <t>SS &amp; DSS Fitting</t>
  </si>
  <si>
    <t>SS &amp; DSS Flange</t>
  </si>
  <si>
    <t>SAW Welded Pipe</t>
  </si>
  <si>
    <t>DSS Pipes</t>
  </si>
  <si>
    <t>Steamless SS pipes</t>
  </si>
  <si>
    <t>Bolts &amp; Nuts</t>
  </si>
  <si>
    <t>ZM167 PTTEPI ASK Procurement Status Report (PSR) - After Award</t>
  </si>
  <si>
    <t>Most complexity RFQ</t>
  </si>
  <si>
    <t>date</t>
  </si>
  <si>
    <t xml:space="preserve"> - Forecast later than Plan</t>
  </si>
  <si>
    <t>High complexity RFQ</t>
  </si>
  <si>
    <t xml:space="preserve"> - Two weeks forecasted activities</t>
  </si>
  <si>
    <t>Normal complexity  RFQ</t>
  </si>
  <si>
    <t xml:space="preserve"> - Overdue activities</t>
  </si>
  <si>
    <t>Low complexity  RFQ</t>
  </si>
  <si>
    <t>PIC</t>
  </si>
  <si>
    <t>DIS</t>
  </si>
  <si>
    <t>LLI</t>
  </si>
  <si>
    <t>Vendors</t>
  </si>
  <si>
    <t xml:space="preserve">Description </t>
  </si>
  <si>
    <t xml:space="preserve">MRQ No.  </t>
  </si>
  <si>
    <t>weight</t>
  </si>
  <si>
    <t>P/F/A</t>
  </si>
  <si>
    <t>VDR Submission</t>
  </si>
  <si>
    <t>Approval of Final Documentation</t>
  </si>
  <si>
    <t>Delivery Condition</t>
  </si>
  <si>
    <t>ETA Date</t>
  </si>
  <si>
    <t>ROS date (input)</t>
  </si>
  <si>
    <t>Improved time for ROS date</t>
  </si>
  <si>
    <t xml:space="preserve">PO No.  </t>
  </si>
  <si>
    <t>Awarded Supplier</t>
  </si>
  <si>
    <t>Y/N</t>
  </si>
  <si>
    <t>TJE QA/QC</t>
  </si>
  <si>
    <t>PTTEPI</t>
  </si>
  <si>
    <t>TJE PRC</t>
  </si>
  <si>
    <t>Bidder</t>
  </si>
  <si>
    <t>TJE ENG</t>
  </si>
  <si>
    <t>Vendor</t>
  </si>
  <si>
    <t xml:space="preserve"> </t>
  </si>
  <si>
    <t>Progress</t>
  </si>
  <si>
    <t>Use FEED deliverables</t>
  </si>
  <si>
    <t>TBA</t>
  </si>
  <si>
    <t>MEC</t>
  </si>
  <si>
    <t>FAVELLE FAVCO
OIL STATES
SCM</t>
  </si>
  <si>
    <t>P</t>
  </si>
  <si>
    <t>DDP ZHJT Yard</t>
  </si>
  <si>
    <t>F</t>
  </si>
  <si>
    <t>Yale
Excellift
Crosby
KITO</t>
  </si>
  <si>
    <t>AVL Approval for ZHJT Yard and lead time is TBC</t>
  </si>
  <si>
    <t xml:space="preserve"> Pall
Crest
ZHJT</t>
  </si>
  <si>
    <t>AVL Approval for ZHJT Yard to reduce by 2 months
To study installation sequence</t>
  </si>
  <si>
    <t>AMC
ALPHA ECC 
Zhuhai Jutal</t>
  </si>
  <si>
    <t>PIP</t>
  </si>
  <si>
    <t xml:space="preserve">AMC
ALPHA ECC 
APPLIED ENGINEERING
Zhuhai Jutal
</t>
  </si>
  <si>
    <t>AVL Approval for WASCO and lead time is 28 weeks 
Early issuance of Datasheet</t>
  </si>
  <si>
    <r>
      <rPr>
        <sz val="9"/>
        <rFont val="Arial Narrow"/>
        <family val="2"/>
      </rPr>
      <t xml:space="preserve">WILLIAM (under MILTON ROY) </t>
    </r>
    <r>
      <rPr>
        <sz val="9"/>
        <rFont val="微软雅黑"/>
        <charset val="134"/>
      </rPr>
      <t>（</t>
    </r>
    <r>
      <rPr>
        <sz val="9"/>
        <rFont val="Arial Narrow"/>
        <family val="2"/>
      </rPr>
      <t xml:space="preserve">Packager: Multiphase)
WILLIAM (under MILTON ROY) </t>
    </r>
    <r>
      <rPr>
        <sz val="9"/>
        <rFont val="微软雅黑"/>
        <charset val="134"/>
      </rPr>
      <t>（</t>
    </r>
    <r>
      <rPr>
        <sz val="9"/>
        <rFont val="Arial Narrow"/>
        <family val="2"/>
      </rPr>
      <t>Packager: Ashburn International Trade (Tianjin) Co., Ltd)
TEXSTEAM (under Dresser)</t>
    </r>
  </si>
  <si>
    <t>Mitigation required, ZJHT approval required to reduce the lead time by 40 days
To study installation sequence</t>
  </si>
  <si>
    <t>Sulzer
Zhuhai Jutal  (FMC internal)
Burgess Manning (under CECO)
ALPHA ECC   (FMC internal)</t>
  </si>
  <si>
    <t>Mitigation requied, ZJHT approval required to reduce the lead time by 40 days
To study installation sequence</t>
  </si>
  <si>
    <t>Mitigation requied, ZJHT approval required to reduce the lead time by 2 months
To study installation sequence</t>
  </si>
  <si>
    <t>Mitigation requied, ZJHT approval required to reduce the lead time by 1 months</t>
  </si>
  <si>
    <t>Diesel Storage Tote Tank</t>
  </si>
  <si>
    <t>Corrosion Inhibitor Storage Tank</t>
  </si>
  <si>
    <t>AVL approval for WASCO (20 weeks lead time)
To study installation sequence</t>
  </si>
  <si>
    <t>Mc FARLAND
HASKEL (Package: Ashburn International Trade (Tianjin) Co., Ltd)</t>
  </si>
  <si>
    <r>
      <rPr>
        <sz val="9"/>
        <rFont val="Arial Narrow"/>
        <family val="2"/>
      </rPr>
      <t xml:space="preserve">WILDEN  </t>
    </r>
    <r>
      <rPr>
        <sz val="9"/>
        <rFont val="微软雅黑"/>
        <charset val="134"/>
      </rPr>
      <t>（</t>
    </r>
    <r>
      <rPr>
        <sz val="9"/>
        <rFont val="Arial"/>
        <family val="2"/>
      </rPr>
      <t>C/O Multiphase)
ARO (Under INGERSOLL RAND</t>
    </r>
    <r>
      <rPr>
        <sz val="9"/>
        <rFont val="微软雅黑"/>
        <charset val="134"/>
      </rPr>
      <t>）</t>
    </r>
    <r>
      <rPr>
        <sz val="9"/>
        <rFont val="Arial"/>
        <family val="2"/>
      </rPr>
      <t>(C/O Shanghai Shuyi Machine Engineering &amp; Equipment Co.,Ltd</t>
    </r>
    <r>
      <rPr>
        <sz val="9"/>
        <rFont val="微软雅黑"/>
        <charset val="134"/>
      </rPr>
      <t>）</t>
    </r>
    <r>
      <rPr>
        <sz val="9"/>
        <rFont val="Arial"/>
        <family val="2"/>
      </rPr>
      <t xml:space="preserve">
SANDPIPER (C/O SHANGHAI YIZHI FLOW CONTROL EQUIPMENT CO., LTD )</t>
    </r>
  </si>
  <si>
    <r>
      <rPr>
        <sz val="9"/>
        <rFont val="Arial Narrow"/>
        <family val="2"/>
      </rPr>
      <t>ARO (Under INGERSOLL RAND</t>
    </r>
    <r>
      <rPr>
        <sz val="9"/>
        <rFont val="微软雅黑"/>
        <charset val="134"/>
      </rPr>
      <t>）</t>
    </r>
    <r>
      <rPr>
        <sz val="9"/>
        <rFont val="Arial"/>
        <family val="2"/>
      </rPr>
      <t>(C/O Shanghai Shuyi Machine Engineering &amp; Equipment Co.,Ltd</t>
    </r>
    <r>
      <rPr>
        <sz val="9"/>
        <rFont val="微软雅黑"/>
        <charset val="134"/>
      </rPr>
      <t>）</t>
    </r>
    <r>
      <rPr>
        <sz val="9"/>
        <rFont val="Arial"/>
        <family val="2"/>
      </rPr>
      <t xml:space="preserve">
SANDPIPER (C/O SHANGHAI YIZHI FLOW CONTROL EQUIPMENT CO., LTD )</t>
    </r>
  </si>
  <si>
    <t>ELE</t>
  </si>
  <si>
    <t>STAHL
Swift Energy
Beijing Talented Electrical Sets Co., Ltd.
Anhui Schutten Solar Energy Co.,ltd
Semitech Control &amp; Engineering PTE Ltd</t>
  </si>
  <si>
    <t>PVL approval for Beijing Talented / Warom to reduce the lead time (60 days)
To study installation sequence</t>
  </si>
  <si>
    <t>Swift Energy
Beijing Talented Electrical Sets Co., Ltd.
Anhui Schutten Solar Energy Co.,ltd
Semitech Control &amp; Engineering PTE Ltd
MDS (Orga)</t>
  </si>
  <si>
    <t>Swift Energy
MDS (Orga)</t>
  </si>
  <si>
    <t>INS</t>
  </si>
  <si>
    <t>FISHER
CCI
FLOWSERVE</t>
  </si>
  <si>
    <t>CCI
CAMERON(SLB)
MASTER FLO
MOKVELD</t>
  </si>
  <si>
    <t>COMBET
Flowserve</t>
  </si>
  <si>
    <t>TechnipFMC
COMBET
Flowserve</t>
  </si>
  <si>
    <t>CROSBY 
DRESSER / CONSOLIDATED
IMI
FARRIS</t>
  </si>
  <si>
    <t>Yokogawa
MICRO MOTIONS (EMERSON)</t>
  </si>
  <si>
    <t>MitigationTBC 
Consider FEED Doc.</t>
  </si>
  <si>
    <t>wilmax
FST
IVS
Matorly</t>
  </si>
  <si>
    <t>ASHCROFT 
BOUDON HASEM
WIKA</t>
  </si>
  <si>
    <t xml:space="preserve">Yokogawa
EMERSON
E+H </t>
  </si>
  <si>
    <t>ASCHROFT
WIKA
EMERSON</t>
  </si>
  <si>
    <t>EMERSON
YOKOGAWA
HONEYWELL</t>
  </si>
  <si>
    <t>Yokogawa
EMERSON</t>
  </si>
  <si>
    <t>Magnetrol
WIKA</t>
  </si>
  <si>
    <t xml:space="preserve">EMERSON
Shenyang Yongye
T.D. Williamson </t>
  </si>
  <si>
    <t>EMERSON
WIKA</t>
  </si>
  <si>
    <t>Rockwell China
Rockwell Thailand</t>
  </si>
  <si>
    <t>Draeger
Honeywell</t>
  </si>
  <si>
    <t>MAC 
Yokogawa</t>
  </si>
  <si>
    <t>TOPWORX-GO SWITCH
WESTLOCK (MAGNUM SERIES)</t>
  </si>
  <si>
    <t>VEGA
Krohne
EMERSON</t>
  </si>
  <si>
    <t>E+H 
EMERSON</t>
  </si>
  <si>
    <t>MAGNETROL
EMERSON
VEGA</t>
  </si>
  <si>
    <t xml:space="preserve"> E+H 
VEGA</t>
  </si>
  <si>
    <t>Excel
OMEGA
Fusion</t>
  </si>
  <si>
    <t>MDS</t>
  </si>
  <si>
    <t>YDF
Neway
VALVITALIA</t>
  </si>
  <si>
    <t xml:space="preserve">Place Order 70% preliminary FEED MTO
</t>
  </si>
  <si>
    <t>STR</t>
  </si>
  <si>
    <t>RFQ-054</t>
  </si>
  <si>
    <t>Primary Steel - Seamless</t>
  </si>
  <si>
    <t>Primary Steel - Welding</t>
  </si>
  <si>
    <t>TBC with Yard</t>
  </si>
  <si>
    <t>JUNCTION BOX AND RECEPTACLES</t>
  </si>
  <si>
    <t>CABLE GLAND</t>
  </si>
  <si>
    <t>ELECTRICAL CABLE LADDER / TRAY</t>
  </si>
  <si>
    <t>EARTHING SYSTEM</t>
  </si>
  <si>
    <t>MULTI-CABLE TRANSIT (MCT)</t>
  </si>
  <si>
    <t>ELECTRICAL CABLE</t>
  </si>
  <si>
    <t>NAVIGATIONAL AIDS LANTERN AND FOG HORN</t>
  </si>
  <si>
    <t>FLASHING BEACON AND WARNING SIREN</t>
  </si>
  <si>
    <t>PRESERVATION AND SEA-FASTENING MATERIAL</t>
  </si>
  <si>
    <t>PIPING SURPPORT</t>
  </si>
  <si>
    <t>Strainer</t>
  </si>
  <si>
    <t>BOLT &amp; NUTS</t>
  </si>
  <si>
    <t>CS FITTING</t>
  </si>
  <si>
    <t>SS &amp; DSS FITTING</t>
  </si>
  <si>
    <t>Welding Electrode</t>
  </si>
  <si>
    <t>Cable Ladder/Tray-GRP</t>
  </si>
  <si>
    <t xml:space="preserve">Flameproof Enclosure (Ex'd)            </t>
  </si>
  <si>
    <t>Pushbutton</t>
  </si>
  <si>
    <t>INT</t>
  </si>
  <si>
    <t>ESD Button / Station</t>
  </si>
  <si>
    <t>Tube Clamp (Anti Corrosion Type)</t>
  </si>
  <si>
    <t>Instrument Cable Glands</t>
  </si>
  <si>
    <t>Instrument cables</t>
  </si>
  <si>
    <t>AC Distribution Pane</t>
  </si>
  <si>
    <t>CS FLANGES</t>
  </si>
  <si>
    <t>DSS &amp; SS FLANGES</t>
  </si>
  <si>
    <t>GASKETS</t>
  </si>
  <si>
    <t>SEAMLESS CS PIPE</t>
  </si>
  <si>
    <t>SEAMLESS SS &amp; DSS STEEL</t>
  </si>
  <si>
    <t>CLAMP Type Connectors</t>
  </si>
  <si>
    <t>Painting</t>
  </si>
  <si>
    <t>Fire fighting</t>
  </si>
  <si>
    <t>Life saving</t>
  </si>
  <si>
    <t>Jacket Anode</t>
  </si>
  <si>
    <t>Steel Grating</t>
  </si>
  <si>
    <t>MIS</t>
  </si>
  <si>
    <t>`</t>
  </si>
  <si>
    <t>Date</t>
  </si>
  <si>
    <t>Holiday Name</t>
  </si>
  <si>
    <t>Father's Day</t>
  </si>
  <si>
    <t>Constitution Day</t>
  </si>
  <si>
    <t>New Year's Day</t>
  </si>
  <si>
    <t>The Buddha Day</t>
  </si>
  <si>
    <t>Kutkuri Dynasty Memorial Day</t>
  </si>
  <si>
    <t>Songkran Festival</t>
  </si>
  <si>
    <t>International Workers' Day</t>
  </si>
  <si>
    <t xml:space="preserve">The anniversary of the King's accession to the throne </t>
  </si>
  <si>
    <t>Mother's Day</t>
  </si>
  <si>
    <t>The anniversary of the death of the 9th King</t>
  </si>
  <si>
    <t>The anniversary of the death of the 5th King Father's Day</t>
  </si>
  <si>
    <t>佛历节日，日期为预测</t>
  </si>
  <si>
    <t>Vesak Festival</t>
  </si>
  <si>
    <t>The Birthday Anniversary of the Queen</t>
  </si>
  <si>
    <r>
      <rPr>
        <sz val="11.5"/>
        <color rgb="FF0F1115"/>
        <rFont val="宋体"/>
        <charset val="134"/>
      </rPr>
      <t>母亲节</t>
    </r>
  </si>
  <si>
    <r>
      <rPr>
        <sz val="11.5"/>
        <color rgb="FF0F1115"/>
        <rFont val="宋体"/>
        <charset val="134"/>
      </rPr>
      <t>九世王逝世纪念日</t>
    </r>
  </si>
  <si>
    <r>
      <rPr>
        <sz val="11.5"/>
        <color rgb="FF0F1115"/>
        <rFont val="宋体"/>
        <charset val="134"/>
      </rPr>
      <t>五世王逝世纪念日</t>
    </r>
  </si>
  <si>
    <r>
      <rPr>
        <sz val="11.5"/>
        <color rgb="FF0F1115"/>
        <rFont val="宋体"/>
        <charset val="134"/>
      </rPr>
      <t>父亲节</t>
    </r>
  </si>
  <si>
    <r>
      <rPr>
        <sz val="11.5"/>
        <color rgb="FF0F1115"/>
        <rFont val="宋体"/>
        <charset val="134"/>
      </rPr>
      <t>宪法纪念日</t>
    </r>
  </si>
  <si>
    <r>
      <rPr>
        <sz val="11.5"/>
        <color rgb="FF0F1115"/>
        <rFont val="宋体"/>
        <charset val="134"/>
      </rPr>
      <t>新年前夜</t>
    </r>
  </si>
  <si>
    <r>
      <rPr>
        <sz val="11.5"/>
        <color rgb="FF0F1115"/>
        <rFont val="宋体"/>
        <charset val="134"/>
      </rPr>
      <t>新年元旦</t>
    </r>
  </si>
  <si>
    <r>
      <rPr>
        <sz val="11.5"/>
        <color rgb="FF0F1115"/>
        <rFont val="宋体"/>
        <charset val="134"/>
      </rPr>
      <t>万佛节</t>
    </r>
  </si>
  <si>
    <r>
      <rPr>
        <sz val="11.5"/>
        <color rgb="FF0F1115"/>
        <rFont val="宋体"/>
        <charset val="134"/>
      </rPr>
      <t>却克里王朝纪念日</t>
    </r>
  </si>
  <si>
    <r>
      <rPr>
        <sz val="11.5"/>
        <color rgb="FF0F1115"/>
        <rFont val="宋体"/>
        <charset val="134"/>
      </rPr>
      <t>宋干节</t>
    </r>
  </si>
  <si>
    <r>
      <rPr>
        <sz val="11.5"/>
        <color rgb="FF0F1115"/>
        <rFont val="宋体"/>
        <charset val="134"/>
      </rPr>
      <t>劳动节</t>
    </r>
  </si>
  <si>
    <r>
      <rPr>
        <sz val="11.5"/>
        <color rgb="FF0F1115"/>
        <rFont val="宋体"/>
        <charset val="134"/>
      </rPr>
      <t>泰王登基纪念日</t>
    </r>
  </si>
  <si>
    <r>
      <rPr>
        <sz val="11.5"/>
        <color rgb="FF0F1115"/>
        <rFont val="宋体"/>
        <charset val="134"/>
      </rPr>
      <t>卫塞节</t>
    </r>
  </si>
  <si>
    <r>
      <rPr>
        <sz val="11.5"/>
        <color rgb="FF0F1115"/>
        <rFont val="宋体"/>
        <charset val="134"/>
      </rPr>
      <t>王后诞辰纪念日</t>
    </r>
  </si>
  <si>
    <r>
      <rPr>
        <sz val="11.5"/>
        <color rgb="FF0F1115"/>
        <rFont val="宋体"/>
        <charset val="134"/>
      </rPr>
      <t>守夏节</t>
    </r>
  </si>
  <si>
    <r>
      <rPr>
        <sz val="11.25"/>
        <color rgb="FF0F1115"/>
        <rFont val="Segoe UI"/>
        <family val="2"/>
      </rPr>
      <t xml:space="preserve">Spring Festival
</t>
    </r>
    <r>
      <rPr>
        <sz val="11.25"/>
        <color rgb="FF0F1115"/>
        <rFont val="微软雅黑"/>
        <charset val="134"/>
      </rPr>
      <t>元旦</t>
    </r>
    <r>
      <rPr>
        <sz val="11.25"/>
        <color rgb="FF0F1115"/>
        <rFont val="Segoe UI"/>
        <family val="2"/>
      </rPr>
      <t xml:space="preserve">
</t>
    </r>
    <r>
      <rPr>
        <sz val="11.25"/>
        <color rgb="FF0F1115"/>
        <rFont val="微软雅黑"/>
        <charset val="134"/>
      </rPr>
      <t>元旦</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清明节</t>
    </r>
    <r>
      <rPr>
        <sz val="11.25"/>
        <color rgb="FF0F1115"/>
        <rFont val="Segoe UI"/>
        <family val="2"/>
      </rPr>
      <t xml:space="preserve">
</t>
    </r>
    <r>
      <rPr>
        <sz val="11.25"/>
        <color rgb="FF0F1115"/>
        <rFont val="微软雅黑"/>
        <charset val="134"/>
      </rPr>
      <t>清明节</t>
    </r>
    <r>
      <rPr>
        <sz val="11.25"/>
        <color rgb="FF0F1115"/>
        <rFont val="Segoe UI"/>
        <family val="2"/>
      </rPr>
      <t xml:space="preserve">
</t>
    </r>
    <r>
      <rPr>
        <sz val="11.25"/>
        <color rgb="FF0F1115"/>
        <rFont val="微软雅黑"/>
        <charset val="134"/>
      </rPr>
      <t>清明节</t>
    </r>
    <r>
      <rPr>
        <sz val="11.25"/>
        <color rgb="FF0F1115"/>
        <rFont val="Segoe UI"/>
        <family val="2"/>
      </rPr>
      <t xml:space="preserve">
</t>
    </r>
    <r>
      <rPr>
        <sz val="11.25"/>
        <color rgb="FF0F1115"/>
        <rFont val="微软雅黑"/>
        <charset val="134"/>
      </rPr>
      <t>劳动节</t>
    </r>
    <r>
      <rPr>
        <sz val="11.25"/>
        <color rgb="FF0F1115"/>
        <rFont val="Segoe UI"/>
        <family val="2"/>
      </rPr>
      <t xml:space="preserve">
</t>
    </r>
    <r>
      <rPr>
        <sz val="11.25"/>
        <color rgb="FF0F1115"/>
        <rFont val="微软雅黑"/>
        <charset val="134"/>
      </rPr>
      <t>劳动节</t>
    </r>
    <r>
      <rPr>
        <sz val="11.25"/>
        <color rgb="FF0F1115"/>
        <rFont val="Segoe UI"/>
        <family val="2"/>
      </rPr>
      <t xml:space="preserve">
</t>
    </r>
    <r>
      <rPr>
        <sz val="11.25"/>
        <color rgb="FF0F1115"/>
        <rFont val="微软雅黑"/>
        <charset val="134"/>
      </rPr>
      <t>劳动节</t>
    </r>
    <r>
      <rPr>
        <sz val="11.25"/>
        <color rgb="FF0F1115"/>
        <rFont val="Segoe UI"/>
        <family val="2"/>
      </rPr>
      <t xml:space="preserve">
</t>
    </r>
    <r>
      <rPr>
        <sz val="11.25"/>
        <color rgb="FF0F1115"/>
        <rFont val="微软雅黑"/>
        <charset val="134"/>
      </rPr>
      <t>端午节</t>
    </r>
    <r>
      <rPr>
        <sz val="11.25"/>
        <color rgb="FF0F1115"/>
        <rFont val="Segoe UI"/>
        <family val="2"/>
      </rPr>
      <t xml:space="preserve">
</t>
    </r>
    <r>
      <rPr>
        <sz val="11.25"/>
        <color rgb="FF0F1115"/>
        <rFont val="微软雅黑"/>
        <charset val="134"/>
      </rPr>
      <t>端午节</t>
    </r>
    <r>
      <rPr>
        <sz val="11.25"/>
        <color rgb="FF0F1115"/>
        <rFont val="Segoe UI"/>
        <family val="2"/>
      </rPr>
      <t xml:space="preserve">
</t>
    </r>
    <r>
      <rPr>
        <sz val="11.25"/>
        <color rgb="FF0F1115"/>
        <rFont val="微软雅黑"/>
        <charset val="134"/>
      </rPr>
      <t>端午节</t>
    </r>
  </si>
  <si>
    <t>Qingming Festival</t>
  </si>
  <si>
    <t>Dragon Boat Festival</t>
  </si>
  <si>
    <t>National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</si>
</sst>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5" formatCode="yyyy/m/d;@"/>
    <numFmt numFmtId="166" formatCode="yy\.mm\.dd"/>
    <numFmt numFmtId="167" formatCode="0_);[Red]\(0\)"/>
    <numFmt numFmtId="168" formatCode="0.0%"/>
    <numFmt numFmtId="169" formatCode="0.000%"/>
    <numFmt numFmtId="170" formatCode="yy/m/d;@"/>
    <numFmt numFmtId="171" formatCode="yyyy/mm/dd;@"/>
    <numFmt numFmtId="172" formatCode="[$-409]d\-mmm\-yy;@"/>
    <numFmt numFmtId="173" formatCode="0.00_ "/>
    <numFmt numFmtId="174" formatCode="[$-409]dd\-mmm\-yy;@"/>
    <numFmt numFmtId="175" formatCode="m/d/yyyy;@"/>
    <numFmt numFmtId="176" formatCode="0.00_);[Red]\(0.00\)"/>
  </numFmts>
  <fonts count="84">
    <font>
      <sz val="11"/>
      <color theme="1"/>
      <name val="Calibri"/>
      <charset val="134"/>
      <scheme val="minor"/>
    </font>
    <font>
      <sz val="10"/>
      <color rgb="FF000000"/>
      <name val="Arial"/>
      <family val="2"/>
    </font>
    <font>
      <sz val="10"/>
      <name val="Arial"/>
      <family val="2"/>
    </font>
    <font>
      <sz val="10"/>
      <color rgb="FF000000"/>
      <name val="Times New Roman"/>
      <family val="1"/>
    </font>
    <font>
      <sz val="11.25"/>
      <color rgb="FF0F1115"/>
      <name val="Segoe UI"/>
      <family val="2"/>
    </font>
    <font>
      <sz val="11.25"/>
      <color rgb="FF0F1115"/>
      <name val="微软雅黑"/>
      <charset val="134"/>
    </font>
    <font>
      <sz val="11.25"/>
      <color rgb="FF0F1115"/>
      <name val="Arial"/>
      <family val="2"/>
    </font>
    <font>
      <sz val="11.5"/>
      <color rgb="FF0F1115"/>
      <name val="Arial"/>
      <family val="2"/>
    </font>
    <font>
      <sz val="11.5"/>
      <color rgb="FF0F1115"/>
      <name val="宋体"/>
      <charset val="134"/>
    </font>
    <font>
      <b/>
      <sz val="16"/>
      <name val="Times New Roman"/>
      <family val="1"/>
    </font>
    <font>
      <b/>
      <sz val="10"/>
      <name val="Times New Roman"/>
      <family val="1"/>
    </font>
    <font>
      <b/>
      <sz val="8"/>
      <name val="Times New Roman"/>
      <family val="1"/>
    </font>
    <font>
      <sz val="10"/>
      <name val="Times New Roman"/>
      <family val="1"/>
    </font>
    <font>
      <sz val="14"/>
      <name val="宋体"/>
      <charset val="134"/>
    </font>
    <font>
      <sz val="12"/>
      <name val="Arial"/>
      <family val="2"/>
    </font>
    <font>
      <sz val="9"/>
      <name val="Arial"/>
      <family val="2"/>
    </font>
    <font>
      <sz val="12"/>
      <name val="Times New Roman"/>
      <family val="1"/>
    </font>
    <font>
      <b/>
      <sz val="12"/>
      <name val="Arial"/>
      <family val="2"/>
    </font>
    <font>
      <b/>
      <sz val="20"/>
      <name val="Arial"/>
      <family val="2"/>
    </font>
    <font>
      <sz val="20"/>
      <name val="Arial"/>
      <family val="2"/>
    </font>
    <font>
      <b/>
      <u/>
      <sz val="10"/>
      <name val="Times New Roman"/>
      <family val="1"/>
    </font>
    <font>
      <u/>
      <sz val="10"/>
      <name val="Times New Roman"/>
      <family val="1"/>
    </font>
    <font>
      <b/>
      <sz val="9"/>
      <name val="Arial"/>
      <family val="2"/>
    </font>
    <font>
      <sz val="8"/>
      <name val="Arial"/>
      <family val="2"/>
    </font>
    <font>
      <b/>
      <sz val="8"/>
      <name val="Arial"/>
      <family val="2"/>
    </font>
    <font>
      <sz val="10"/>
      <name val="Arial Narrow"/>
      <family val="2"/>
    </font>
    <font>
      <sz val="9"/>
      <name val="Arial Narrow"/>
      <family val="2"/>
    </font>
    <font>
      <sz val="9"/>
      <color rgb="FFFF0000"/>
      <name val="Arial"/>
      <family val="2"/>
    </font>
    <font>
      <u/>
      <sz val="9"/>
      <name val="Arial"/>
      <family val="2"/>
    </font>
    <font>
      <sz val="9"/>
      <color indexed="8"/>
      <name val="Arial"/>
      <family val="2"/>
    </font>
    <font>
      <sz val="10"/>
      <color rgb="FFFF0000"/>
      <name val="Times New Roman"/>
      <family val="1"/>
    </font>
    <font>
      <b/>
      <sz val="11"/>
      <color theme="1"/>
      <name val="Calibri"/>
      <charset val="134"/>
      <scheme val="minor"/>
    </font>
    <font>
      <b/>
      <sz val="11"/>
      <name val="Calibri"/>
      <charset val="134"/>
      <scheme val="minor"/>
    </font>
    <font>
      <sz val="11"/>
      <name val="Calibri"/>
      <charset val="134"/>
      <scheme val="minor"/>
    </font>
    <font>
      <sz val="11"/>
      <color rgb="FFFF0000"/>
      <name val="Calibri"/>
      <charset val="134"/>
      <scheme val="minor"/>
    </font>
    <font>
      <sz val="10"/>
      <color rgb="FFFF0000"/>
      <name val="Arial Narrow"/>
      <family val="2"/>
    </font>
    <font>
      <b/>
      <sz val="11"/>
      <name val="Arial"/>
      <family val="2"/>
    </font>
    <font>
      <sz val="16"/>
      <color theme="1"/>
      <name val="Aptos Narrow"/>
      <family val="2"/>
    </font>
    <font>
      <sz val="11"/>
      <name val="Aptos Narrow"/>
      <family val="2"/>
    </font>
    <font>
      <sz val="11"/>
      <color theme="1"/>
      <name val="Aptos Narrow"/>
      <family val="2"/>
    </font>
    <font>
      <sz val="14"/>
      <color theme="1"/>
      <name val="Aptos Narrow"/>
      <family val="2"/>
    </font>
    <font>
      <sz val="14"/>
      <color theme="0" tint="-0.499984740745262"/>
      <name val="Aptos Narrow"/>
      <family val="2"/>
    </font>
    <font>
      <sz val="11"/>
      <color rgb="FFFFFF00"/>
      <name val="Aptos Narrow"/>
      <family val="2"/>
    </font>
    <font>
      <b/>
      <sz val="24"/>
      <color rgb="FF1859A9"/>
      <name val="Aptos Narrow"/>
      <family val="2"/>
    </font>
    <font>
      <b/>
      <sz val="18"/>
      <color rgb="FF1859A9"/>
      <name val="Aptos Narrow"/>
      <family val="2"/>
    </font>
    <font>
      <b/>
      <sz val="16"/>
      <name val="Aptos Narrow"/>
      <family val="2"/>
    </font>
    <font>
      <b/>
      <sz val="16"/>
      <color rgb="FF1859A9"/>
      <name val="Aptos Narrow"/>
      <family val="2"/>
    </font>
    <font>
      <b/>
      <sz val="16"/>
      <color rgb="FF1859A9"/>
      <name val="宋体"/>
      <charset val="134"/>
    </font>
    <font>
      <b/>
      <sz val="14"/>
      <color theme="0" tint="-0.499984740745262"/>
      <name val="Aptos Narrow"/>
      <family val="2"/>
    </font>
    <font>
      <b/>
      <sz val="16"/>
      <color theme="1"/>
      <name val="Aptos Narrow"/>
      <family val="2"/>
    </font>
    <font>
      <sz val="11"/>
      <color rgb="FFFF0000"/>
      <name val="Aptos Narrow"/>
      <family val="2"/>
    </font>
    <font>
      <sz val="16"/>
      <color rgb="FFFFFF00"/>
      <name val="Aptos Narrow"/>
      <family val="2"/>
    </font>
    <font>
      <b/>
      <sz val="14"/>
      <color theme="0"/>
      <name val="Aptos Narrow"/>
      <family val="2"/>
    </font>
    <font>
      <b/>
      <sz val="16"/>
      <color theme="0"/>
      <name val="Aptos Narrow"/>
      <family val="2"/>
    </font>
    <font>
      <b/>
      <sz val="14"/>
      <color theme="0" tint="-0.499984740745262"/>
      <name val="宋体"/>
      <charset val="134"/>
    </font>
    <font>
      <b/>
      <sz val="14"/>
      <color theme="0" tint="-0.499984740745262"/>
      <name val="微软雅黑"/>
      <charset val="134"/>
    </font>
    <font>
      <b/>
      <sz val="16"/>
      <color theme="0"/>
      <name val="微软雅黑"/>
      <charset val="134"/>
    </font>
    <font>
      <b/>
      <sz val="16"/>
      <color rgb="FFFFFF00"/>
      <name val="Aptos Narrow"/>
      <family val="2"/>
    </font>
    <font>
      <b/>
      <sz val="14"/>
      <color rgb="FF1859A9"/>
      <name val="Aptos Narrow"/>
      <family val="2"/>
    </font>
    <font>
      <b/>
      <sz val="14"/>
      <color theme="1"/>
      <name val="Aptos Narrow"/>
      <family val="2"/>
    </font>
    <font>
      <b/>
      <sz val="12"/>
      <color rgb="FF1859A9"/>
      <name val="Aptos Narrow"/>
      <family val="2"/>
    </font>
    <font>
      <sz val="14"/>
      <color theme="2" tint="-0.499984740745262"/>
      <name val="Aptos Narrow"/>
      <family val="2"/>
    </font>
    <font>
      <sz val="14"/>
      <name val="Aptos Narrow"/>
      <family val="2"/>
    </font>
    <font>
      <sz val="14"/>
      <color theme="1"/>
      <name val="微软雅黑"/>
      <charset val="134"/>
    </font>
    <font>
      <b/>
      <sz val="11"/>
      <name val="Aptos Narrow"/>
      <family val="2"/>
    </font>
    <font>
      <b/>
      <sz val="14"/>
      <name val="Aptos Narrow"/>
      <family val="2"/>
    </font>
    <font>
      <sz val="14"/>
      <color rgb="FFFFFF00"/>
      <name val="Aptos Narrow"/>
      <family val="2"/>
    </font>
    <font>
      <b/>
      <sz val="11"/>
      <color theme="1"/>
      <name val="Aptos Narrow"/>
      <family val="2"/>
    </font>
    <font>
      <sz val="11"/>
      <name val="Arial"/>
      <family val="2"/>
    </font>
    <font>
      <strike/>
      <sz val="10"/>
      <name val="Arial"/>
      <family val="2"/>
    </font>
    <font>
      <sz val="11"/>
      <color theme="1"/>
      <name val="Arial"/>
      <family val="2"/>
    </font>
    <font>
      <b/>
      <sz val="11"/>
      <color theme="1"/>
      <name val="Arial"/>
      <family val="2"/>
    </font>
    <font>
      <b/>
      <sz val="12"/>
      <color theme="1"/>
      <name val="Arial"/>
      <family val="2"/>
    </font>
    <font>
      <b/>
      <sz val="16"/>
      <name val="Arial"/>
      <family val="2"/>
    </font>
    <font>
      <b/>
      <sz val="10"/>
      <name val="Arial"/>
      <family val="2"/>
    </font>
    <font>
      <sz val="10"/>
      <color rgb="FFFF0000"/>
      <name val="Arial"/>
      <family val="2"/>
    </font>
    <font>
      <b/>
      <i/>
      <sz val="10"/>
      <name val="Arial"/>
      <family val="2"/>
    </font>
    <font>
      <b/>
      <strike/>
      <sz val="10"/>
      <name val="Arial"/>
      <family val="2"/>
    </font>
    <font>
      <u/>
      <sz val="14.4"/>
      <color indexed="12"/>
      <name val="Arial"/>
      <family val="2"/>
    </font>
    <font>
      <sz val="10"/>
      <name val="SimSun"/>
    </font>
    <font>
      <sz val="9"/>
      <name val="微软雅黑"/>
      <charset val="134"/>
    </font>
    <font>
      <b/>
      <sz val="9"/>
      <name val="SimSun"/>
    </font>
    <font>
      <sz val="9"/>
      <name val="SimSun"/>
    </font>
    <font>
      <sz val="11"/>
      <color theme="1"/>
      <name val="Calibri"/>
      <family val="2"/>
      <scheme val="minor"/>
    </font>
  </fonts>
  <fills count="35">
    <fill>
      <patternFill patternType="none"/>
    </fill>
    <fill>
      <patternFill patternType="gray125"/>
    </fill>
    <fill>
      <patternFill patternType="solid">
        <fgColor rgb="FFFFFFFF"/>
        <bgColor rgb="FF000000"/>
      </patternFill>
    </fill>
    <fill>
      <patternFill patternType="solid">
        <fgColor indexed="9"/>
        <bgColor indexed="64"/>
      </patternFill>
    </fill>
    <fill>
      <patternFill patternType="solid">
        <fgColor theme="4" tint="0.79940183721427049"/>
        <bgColor indexed="64"/>
      </patternFill>
    </fill>
    <fill>
      <patternFill patternType="solid">
        <fgColor theme="5" tint="0.59999389629810485"/>
        <bgColor indexed="64"/>
      </patternFill>
    </fill>
    <fill>
      <patternFill patternType="solid">
        <fgColor rgb="FFFFC000"/>
        <bgColor indexed="64"/>
      </patternFill>
    </fill>
    <fill>
      <patternFill patternType="solid">
        <fgColor rgb="FFFF0000"/>
        <bgColor indexed="64"/>
      </patternFill>
    </fill>
    <fill>
      <patternFill patternType="solid">
        <fgColor indexed="41"/>
        <bgColor indexed="64"/>
      </patternFill>
    </fill>
    <fill>
      <patternFill patternType="solid">
        <fgColor indexed="42"/>
        <bgColor indexed="64"/>
      </patternFill>
    </fill>
    <fill>
      <patternFill patternType="solid">
        <fgColor theme="5" tint="0.39939573351237523"/>
        <bgColor indexed="64"/>
      </patternFill>
    </fill>
    <fill>
      <patternFill patternType="solid">
        <fgColor indexed="43"/>
        <bgColor indexed="64"/>
      </patternFill>
    </fill>
    <fill>
      <patternFill patternType="solid">
        <fgColor theme="7" tint="0.39939573351237523"/>
        <bgColor indexed="64"/>
      </patternFill>
    </fill>
    <fill>
      <patternFill patternType="solid">
        <fgColor theme="7" tint="0.79940183721427049"/>
        <bgColor indexed="64"/>
      </patternFill>
    </fill>
    <fill>
      <patternFill patternType="solid">
        <fgColor theme="5" tint="0.79940183721427049"/>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E9E8E6"/>
        <bgColor indexed="64"/>
      </patternFill>
    </fill>
    <fill>
      <patternFill patternType="solid">
        <fgColor theme="9" tint="0.39991454817346722"/>
        <bgColor indexed="64"/>
      </patternFill>
    </fill>
    <fill>
      <patternFill patternType="solid">
        <fgColor theme="2"/>
        <bgColor indexed="64"/>
      </patternFill>
    </fill>
    <fill>
      <patternFill patternType="solid">
        <fgColor theme="9" tint="0.79992065187536243"/>
        <bgColor indexed="64"/>
      </patternFill>
    </fill>
    <fill>
      <patternFill patternType="solid">
        <fgColor rgb="FF00B0F0"/>
        <bgColor indexed="64"/>
      </patternFill>
    </fill>
    <fill>
      <patternFill patternType="solid">
        <fgColor rgb="FF1859A9"/>
        <bgColor indexed="64"/>
      </patternFill>
    </fill>
    <fill>
      <patternFill patternType="solid">
        <fgColor theme="4" tint="0.79992065187536243"/>
        <bgColor indexed="64"/>
      </patternFill>
    </fill>
    <fill>
      <patternFill patternType="solid">
        <fgColor rgb="FF92D050"/>
        <bgColor indexed="64"/>
      </patternFill>
    </fill>
    <fill>
      <patternFill patternType="solid">
        <fgColor theme="7" tint="0.79992065187536243"/>
        <bgColor indexed="64"/>
      </patternFill>
    </fill>
    <fill>
      <patternFill patternType="solid">
        <fgColor theme="7" tint="0.79982909634693444"/>
        <bgColor indexed="64"/>
      </patternFill>
    </fill>
    <fill>
      <patternFill patternType="solid">
        <fgColor theme="0" tint="-0.34998626667073579"/>
        <bgColor indexed="64"/>
      </patternFill>
    </fill>
    <fill>
      <patternFill patternType="solid">
        <fgColor theme="7"/>
        <bgColor indexed="64"/>
      </patternFill>
    </fill>
    <fill>
      <patternFill patternType="solid">
        <fgColor theme="5" tint="0.79949339274269848"/>
        <bgColor indexed="64"/>
      </patternFill>
    </fill>
    <fill>
      <patternFill patternType="solid">
        <fgColor rgb="FFFFF2CC"/>
        <bgColor indexed="64"/>
      </patternFill>
    </fill>
    <fill>
      <patternFill patternType="solid">
        <fgColor theme="8" tint="0.79970702230903046"/>
        <bgColor indexed="64"/>
      </patternFill>
    </fill>
    <fill>
      <patternFill patternType="solid">
        <fgColor theme="0" tint="-0.34998626667073579"/>
        <bgColor indexed="64"/>
      </patternFill>
    </fill>
    <fill>
      <patternFill patternType="solid">
        <fgColor theme="9" tint="0.59999389629810485"/>
        <bgColor indexed="64"/>
      </patternFill>
    </fill>
  </fills>
  <borders count="8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thin">
        <color auto="1"/>
      </right>
      <top style="double">
        <color auto="1"/>
      </top>
      <bottom style="hair">
        <color auto="1"/>
      </bottom>
      <diagonal/>
    </border>
    <border>
      <left style="double">
        <color auto="1"/>
      </left>
      <right style="thin">
        <color auto="1"/>
      </right>
      <top style="double">
        <color auto="1"/>
      </top>
      <bottom/>
      <diagonal/>
    </border>
    <border>
      <left style="thin">
        <color auto="1"/>
      </left>
      <right style="medium">
        <color auto="1"/>
      </right>
      <top style="double">
        <color auto="1"/>
      </top>
      <bottom style="hair">
        <color auto="1"/>
      </bottom>
      <diagonal/>
    </border>
    <border>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style="double">
        <color auto="1"/>
      </left>
      <right style="thin">
        <color auto="1"/>
      </right>
      <top/>
      <bottom/>
      <diagonal/>
    </border>
    <border>
      <left style="thin">
        <color auto="1"/>
      </left>
      <right style="medium">
        <color auto="1"/>
      </right>
      <top style="hair">
        <color auto="1"/>
      </top>
      <bottom style="hair">
        <color auto="1"/>
      </bottom>
      <diagonal/>
    </border>
    <border>
      <left style="medium">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style="thin">
        <color auto="1"/>
      </right>
      <top style="hair">
        <color auto="1"/>
      </top>
      <bottom style="double">
        <color auto="1"/>
      </bottom>
      <diagonal/>
    </border>
    <border>
      <left style="double">
        <color auto="1"/>
      </left>
      <right style="thin">
        <color auto="1"/>
      </right>
      <top/>
      <bottom style="double">
        <color auto="1"/>
      </bottom>
      <diagonal/>
    </border>
    <border>
      <left style="thin">
        <color auto="1"/>
      </left>
      <right style="medium">
        <color auto="1"/>
      </right>
      <top style="hair">
        <color auto="1"/>
      </top>
      <bottom style="double">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double">
        <color auto="1"/>
      </right>
      <top style="double">
        <color auto="1"/>
      </top>
      <bottom/>
      <diagonal/>
    </border>
    <border>
      <left style="thin">
        <color auto="1"/>
      </left>
      <right style="double">
        <color auto="1"/>
      </right>
      <top/>
      <bottom/>
      <diagonal/>
    </border>
    <border>
      <left style="thin">
        <color auto="1"/>
      </left>
      <right style="double">
        <color auto="1"/>
      </right>
      <top/>
      <bottom style="double">
        <color auto="1"/>
      </bottom>
      <diagonal/>
    </border>
    <border>
      <left style="medium">
        <color auto="1"/>
      </left>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diagonal/>
    </border>
    <border>
      <left style="double">
        <color auto="1"/>
      </left>
      <right/>
      <top style="medium">
        <color auto="1"/>
      </top>
      <bottom/>
      <diagonal/>
    </border>
    <border>
      <left/>
      <right style="double">
        <color auto="1"/>
      </right>
      <top style="medium">
        <color auto="1"/>
      </top>
      <bottom/>
      <diagonal/>
    </border>
    <border>
      <left/>
      <right style="medium">
        <color auto="1"/>
      </right>
      <top style="medium">
        <color auto="1"/>
      </top>
      <bottom/>
      <diagonal/>
    </border>
    <border>
      <left style="medium">
        <color auto="1"/>
      </left>
      <right/>
      <top/>
      <bottom/>
      <diagonal/>
    </border>
    <border>
      <left/>
      <right/>
      <top style="thin">
        <color auto="1"/>
      </top>
      <bottom/>
      <diagonal/>
    </border>
    <border>
      <left/>
      <right style="double">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double">
        <color auto="1"/>
      </left>
      <right/>
      <top/>
      <bottom/>
      <diagonal/>
    </border>
    <border>
      <left/>
      <right style="double">
        <color auto="1"/>
      </right>
      <top/>
      <bottom/>
      <diagonal/>
    </border>
    <border>
      <left/>
      <right style="medium">
        <color auto="1"/>
      </right>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double">
        <color auto="1"/>
      </right>
      <top/>
      <bottom style="medium">
        <color auto="1"/>
      </bottom>
      <diagonal/>
    </border>
    <border>
      <left/>
      <right style="thin">
        <color auto="1"/>
      </right>
      <top/>
      <bottom style="medium">
        <color auto="1"/>
      </bottom>
      <diagonal/>
    </border>
    <border>
      <left style="thin">
        <color auto="1"/>
      </left>
      <right/>
      <top/>
      <bottom style="medium">
        <color auto="1"/>
      </bottom>
      <diagonal/>
    </border>
    <border>
      <left style="double">
        <color auto="1"/>
      </left>
      <right/>
      <top/>
      <bottom style="medium">
        <color auto="1"/>
      </bottom>
      <diagonal/>
    </border>
    <border>
      <left style="thin">
        <color auto="1"/>
      </left>
      <right style="thin">
        <color auto="1"/>
      </right>
      <top/>
      <bottom style="medium">
        <color auto="1"/>
      </bottom>
      <diagonal/>
    </border>
    <border>
      <left/>
      <right style="medium">
        <color auto="1"/>
      </right>
      <top/>
      <bottom style="medium">
        <color auto="1"/>
      </bottom>
      <diagonal/>
    </border>
    <border>
      <left style="double">
        <color auto="1"/>
      </left>
      <right style="double">
        <color auto="1"/>
      </right>
      <top/>
      <bottom style="medium">
        <color auto="1"/>
      </bottom>
      <diagonal/>
    </border>
    <border>
      <left/>
      <right style="medium">
        <color auto="1"/>
      </right>
      <top style="thin">
        <color auto="1"/>
      </top>
      <bottom/>
      <diagonal/>
    </border>
    <border>
      <left style="double">
        <color auto="1"/>
      </left>
      <right/>
      <top style="thin">
        <color auto="1"/>
      </top>
      <bottom/>
      <diagonal/>
    </border>
    <border>
      <left style="double">
        <color auto="1"/>
      </left>
      <right style="double">
        <color auto="1"/>
      </right>
      <top style="medium">
        <color auto="1"/>
      </top>
      <bottom/>
      <diagonal/>
    </border>
    <border>
      <left style="double">
        <color auto="1"/>
      </left>
      <right style="double">
        <color auto="1"/>
      </right>
      <top/>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
      <left style="thin">
        <color rgb="FF000000"/>
      </left>
      <right style="thin">
        <color rgb="FF000000"/>
      </right>
      <top/>
      <bottom style="double">
        <color rgb="FF000000"/>
      </bottom>
      <diagonal/>
    </border>
    <border>
      <left style="thin">
        <color rgb="FF000000"/>
      </left>
      <right style="thin">
        <color rgb="FF000000"/>
      </right>
      <top/>
      <bottom style="double">
        <color auto="1"/>
      </bottom>
      <diagonal/>
    </border>
    <border>
      <left style="thin">
        <color rgb="FF000000"/>
      </left>
      <right style="thin">
        <color auto="1"/>
      </right>
      <top/>
      <bottom style="double">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s>
  <cellStyleXfs count="7">
    <xf numFmtId="0" fontId="0" fillId="0" borderId="0"/>
    <xf numFmtId="43" fontId="83" fillId="0" borderId="0" applyFont="0" applyFill="0" applyBorder="0" applyAlignment="0" applyProtection="0"/>
    <xf numFmtId="9" fontId="83" fillId="0" borderId="0" applyFont="0" applyFill="0" applyBorder="0" applyAlignment="0" applyProtection="0"/>
    <xf numFmtId="0" fontId="78" fillId="0" borderId="0" applyNumberFormat="0" applyFill="0" applyBorder="0" applyAlignment="0" applyProtection="0">
      <alignment vertical="top"/>
      <protection locked="0"/>
    </xf>
    <xf numFmtId="0" fontId="14" fillId="0" borderId="0"/>
    <xf numFmtId="0" fontId="3" fillId="0" borderId="0"/>
    <xf numFmtId="0" fontId="3" fillId="0" borderId="0"/>
  </cellStyleXfs>
  <cellXfs count="815">
    <xf numFmtId="0" fontId="0" fillId="0" borderId="0" xfId="0"/>
    <xf numFmtId="0" fontId="1" fillId="0" borderId="0" xfId="6" applyFont="1" applyAlignment="1">
      <alignment horizontal="left" vertical="top"/>
    </xf>
    <xf numFmtId="0" fontId="2" fillId="0" borderId="0" xfId="5" applyFont="1" applyAlignment="1">
      <alignment horizontal="center" vertical="center"/>
    </xf>
    <xf numFmtId="165" fontId="3" fillId="0" borderId="0" xfId="6" applyNumberFormat="1" applyAlignment="1">
      <alignment horizontal="center" vertical="top"/>
    </xf>
    <xf numFmtId="0" fontId="3" fillId="0" borderId="0" xfId="6" applyAlignment="1">
      <alignment horizontal="left" vertical="top"/>
    </xf>
    <xf numFmtId="165" fontId="4" fillId="2" borderId="1" xfId="4" applyNumberFormat="1" applyFont="1" applyFill="1" applyBorder="1" applyAlignment="1">
      <alignment horizontal="center" wrapText="1"/>
    </xf>
    <xf numFmtId="0" fontId="4" fillId="2" borderId="2" xfId="4" applyFont="1" applyFill="1" applyBorder="1" applyAlignment="1">
      <alignment horizontal="left" wrapText="1"/>
    </xf>
    <xf numFmtId="165" fontId="4" fillId="2" borderId="3" xfId="4" applyNumberFormat="1" applyFont="1" applyFill="1" applyBorder="1" applyAlignment="1">
      <alignment horizontal="center" wrapText="1"/>
    </xf>
    <xf numFmtId="0" fontId="4" fillId="2" borderId="4" xfId="4" applyFont="1" applyFill="1" applyBorder="1" applyAlignment="1">
      <alignment wrapText="1"/>
    </xf>
    <xf numFmtId="0" fontId="1" fillId="0" borderId="0" xfId="5" applyFont="1" applyAlignment="1">
      <alignment vertical="center"/>
    </xf>
    <xf numFmtId="0" fontId="5" fillId="2" borderId="4" xfId="4" applyFont="1" applyFill="1" applyBorder="1" applyAlignment="1">
      <alignment wrapText="1"/>
    </xf>
    <xf numFmtId="165" fontId="1" fillId="0" borderId="0" xfId="6" applyNumberFormat="1" applyFont="1" applyAlignment="1">
      <alignment horizontal="center" vertical="top"/>
    </xf>
    <xf numFmtId="165" fontId="6" fillId="2" borderId="1" xfId="4" applyNumberFormat="1" applyFont="1" applyFill="1" applyBorder="1" applyAlignment="1">
      <alignment horizontal="center" wrapText="1"/>
    </xf>
    <xf numFmtId="0" fontId="6" fillId="2" borderId="2" xfId="4" applyFont="1" applyFill="1" applyBorder="1" applyAlignment="1">
      <alignment horizontal="left" wrapText="1"/>
    </xf>
    <xf numFmtId="165" fontId="6" fillId="2" borderId="3" xfId="4" applyNumberFormat="1" applyFont="1" applyFill="1" applyBorder="1" applyAlignment="1">
      <alignment horizontal="center" wrapText="1"/>
    </xf>
    <xf numFmtId="0" fontId="7" fillId="2" borderId="4" xfId="4" applyFont="1" applyFill="1" applyBorder="1" applyAlignment="1">
      <alignment wrapText="1"/>
    </xf>
    <xf numFmtId="0" fontId="8" fillId="2" borderId="4" xfId="4" applyFont="1" applyFill="1" applyBorder="1" applyAlignment="1">
      <alignment wrapText="1"/>
    </xf>
    <xf numFmtId="0" fontId="9" fillId="3" borderId="0" xfId="0" applyFont="1" applyFill="1"/>
    <xf numFmtId="0" fontId="10" fillId="3" borderId="0" xfId="0" applyFont="1" applyFill="1" applyAlignment="1">
      <alignment vertical="center"/>
    </xf>
    <xf numFmtId="0" fontId="11" fillId="3" borderId="0" xfId="0" applyFont="1" applyFill="1" applyAlignment="1">
      <alignment vertical="center"/>
    </xf>
    <xf numFmtId="0" fontId="12" fillId="3" borderId="0" xfId="0" applyFont="1" applyFill="1" applyAlignment="1">
      <alignment vertical="center"/>
    </xf>
    <xf numFmtId="0" fontId="12" fillId="3" borderId="0" xfId="0" applyFont="1" applyFill="1" applyAlignment="1">
      <alignment horizontal="left" vertical="center"/>
    </xf>
    <xf numFmtId="0" fontId="13" fillId="3" borderId="0" xfId="0" applyFont="1" applyFill="1"/>
    <xf numFmtId="0" fontId="13" fillId="3" borderId="0" xfId="0" applyFont="1" applyFill="1" applyAlignment="1">
      <alignment vertical="center"/>
    </xf>
    <xf numFmtId="0" fontId="14" fillId="0" borderId="0" xfId="0" applyFont="1" applyAlignment="1">
      <alignment horizontal="center"/>
    </xf>
    <xf numFmtId="0" fontId="14" fillId="0" borderId="0" xfId="0" applyFont="1"/>
    <xf numFmtId="0" fontId="2" fillId="3" borderId="0" xfId="0" applyFont="1" applyFill="1" applyAlignment="1">
      <alignment horizontal="left" wrapText="1"/>
    </xf>
    <xf numFmtId="0" fontId="15" fillId="3" borderId="0" xfId="0" applyFont="1" applyFill="1" applyAlignment="1">
      <alignment horizontal="left" vertical="top" wrapText="1"/>
    </xf>
    <xf numFmtId="0" fontId="16" fillId="3" borderId="0" xfId="0" applyFont="1" applyFill="1" applyAlignment="1">
      <alignment horizontal="center" vertical="center"/>
    </xf>
    <xf numFmtId="0" fontId="16" fillId="3" borderId="0" xfId="0" applyFont="1" applyFill="1"/>
    <xf numFmtId="166" fontId="16" fillId="0" borderId="0" xfId="0" applyNumberFormat="1" applyFont="1"/>
    <xf numFmtId="166" fontId="16" fillId="3" borderId="0" xfId="0" applyNumberFormat="1" applyFont="1" applyFill="1"/>
    <xf numFmtId="166" fontId="16" fillId="4" borderId="0" xfId="0" applyNumberFormat="1" applyFont="1" applyFill="1"/>
    <xf numFmtId="1" fontId="16" fillId="4" borderId="0" xfId="0" applyNumberFormat="1" applyFont="1" applyFill="1"/>
    <xf numFmtId="14" fontId="16" fillId="3" borderId="0" xfId="1" applyNumberFormat="1" applyFont="1" applyFill="1"/>
    <xf numFmtId="0" fontId="17" fillId="0" borderId="0" xfId="0" applyFont="1" applyAlignment="1">
      <alignment vertical="center"/>
    </xf>
    <xf numFmtId="0" fontId="15" fillId="0" borderId="0" xfId="0" applyFont="1" applyAlignment="1">
      <alignment horizontal="left" vertical="top"/>
    </xf>
    <xf numFmtId="0" fontId="14" fillId="0" borderId="0" xfId="0" applyFont="1" applyAlignment="1">
      <alignment horizontal="center" vertical="center"/>
    </xf>
    <xf numFmtId="0" fontId="18" fillId="0" borderId="0" xfId="0" applyFont="1" applyAlignment="1">
      <alignment vertical="center"/>
    </xf>
    <xf numFmtId="0" fontId="19" fillId="0" borderId="0" xfId="0" applyFont="1" applyAlignment="1">
      <alignment vertical="center"/>
    </xf>
    <xf numFmtId="14" fontId="14" fillId="0" borderId="0" xfId="0" applyNumberFormat="1" applyFont="1"/>
    <xf numFmtId="14" fontId="14" fillId="0" borderId="0" xfId="1" applyNumberFormat="1" applyFont="1"/>
    <xf numFmtId="0" fontId="14" fillId="4" borderId="0" xfId="0" applyFont="1" applyFill="1"/>
    <xf numFmtId="1" fontId="14" fillId="4" borderId="0" xfId="0" applyNumberFormat="1" applyFont="1" applyFill="1"/>
    <xf numFmtId="0" fontId="14" fillId="0" borderId="0" xfId="0" applyFont="1" applyAlignment="1">
      <alignment vertical="center"/>
    </xf>
    <xf numFmtId="0" fontId="15" fillId="0" borderId="0" xfId="0" applyFont="1" applyAlignment="1">
      <alignment horizontal="center" vertical="center"/>
    </xf>
    <xf numFmtId="0" fontId="15" fillId="0" borderId="0" xfId="0" applyFont="1" applyAlignment="1">
      <alignment vertical="center"/>
    </xf>
    <xf numFmtId="167" fontId="20" fillId="0" borderId="0" xfId="0" applyNumberFormat="1" applyFont="1" applyAlignment="1">
      <alignment horizontal="right" vertical="center"/>
    </xf>
    <xf numFmtId="0" fontId="15" fillId="5" borderId="0" xfId="0" applyFont="1" applyFill="1" applyAlignment="1">
      <alignment vertical="center"/>
    </xf>
    <xf numFmtId="14" fontId="14" fillId="0" borderId="0" xfId="0" applyNumberFormat="1" applyFont="1" applyAlignment="1">
      <alignment horizontal="center" vertical="center"/>
    </xf>
    <xf numFmtId="0" fontId="15" fillId="6" borderId="0" xfId="0" applyFont="1" applyFill="1" applyAlignment="1">
      <alignment vertical="center"/>
    </xf>
    <xf numFmtId="0" fontId="15" fillId="7" borderId="0" xfId="0" applyFont="1" applyFill="1" applyAlignment="1">
      <alignment vertical="center"/>
    </xf>
    <xf numFmtId="168" fontId="10" fillId="3" borderId="0" xfId="1" applyNumberFormat="1" applyFont="1" applyFill="1" applyBorder="1" applyAlignment="1"/>
    <xf numFmtId="169" fontId="10" fillId="3" borderId="0" xfId="1" applyNumberFormat="1" applyFont="1" applyFill="1" applyBorder="1" applyAlignment="1"/>
    <xf numFmtId="167" fontId="21" fillId="3" borderId="0" xfId="0" applyNumberFormat="1" applyFont="1" applyFill="1" applyAlignment="1">
      <alignment horizontal="right" vertical="center"/>
    </xf>
    <xf numFmtId="167" fontId="21" fillId="4" borderId="0" xfId="0" applyNumberFormat="1" applyFont="1" applyFill="1" applyAlignment="1">
      <alignment horizontal="right" vertical="center"/>
    </xf>
    <xf numFmtId="1" fontId="21" fillId="4" borderId="0" xfId="0" applyNumberFormat="1" applyFont="1" applyFill="1" applyAlignment="1">
      <alignment horizontal="right" vertical="center"/>
    </xf>
    <xf numFmtId="165" fontId="10" fillId="3" borderId="0" xfId="0" applyNumberFormat="1" applyFont="1" applyFill="1" applyAlignment="1">
      <alignment horizontal="right" vertical="center"/>
    </xf>
    <xf numFmtId="165" fontId="10" fillId="3" borderId="0" xfId="0" applyNumberFormat="1" applyFont="1" applyFill="1" applyAlignment="1">
      <alignment horizontal="center" vertical="center"/>
    </xf>
    <xf numFmtId="14" fontId="9" fillId="3" borderId="0" xfId="1" applyNumberFormat="1" applyFont="1" applyFill="1"/>
    <xf numFmtId="0" fontId="22" fillId="8" borderId="1" xfId="0" applyFont="1" applyFill="1" applyBorder="1" applyAlignment="1">
      <alignment horizontal="center" vertical="center" wrapText="1"/>
    </xf>
    <xf numFmtId="170" fontId="23" fillId="9" borderId="2" xfId="0" applyNumberFormat="1" applyFont="1" applyFill="1" applyBorder="1" applyAlignment="1">
      <alignment horizontal="center"/>
    </xf>
    <xf numFmtId="170" fontId="23" fillId="9" borderId="1" xfId="0" applyNumberFormat="1" applyFont="1" applyFill="1" applyBorder="1" applyAlignment="1">
      <alignment horizontal="center"/>
    </xf>
    <xf numFmtId="14" fontId="10" fillId="3" borderId="0" xfId="1" applyNumberFormat="1" applyFont="1" applyFill="1" applyAlignment="1">
      <alignment vertical="center"/>
    </xf>
    <xf numFmtId="0" fontId="24" fillId="8" borderId="1" xfId="0" applyFont="1" applyFill="1" applyBorder="1" applyAlignment="1">
      <alignment vertical="center" wrapText="1"/>
    </xf>
    <xf numFmtId="0" fontId="24" fillId="8" borderId="1" xfId="0" applyFont="1" applyFill="1" applyBorder="1" applyAlignment="1">
      <alignment horizontal="center" vertical="center" wrapText="1"/>
    </xf>
    <xf numFmtId="0" fontId="22" fillId="8" borderId="1" xfId="0" applyFont="1" applyFill="1" applyBorder="1" applyAlignment="1">
      <alignment horizontal="left" vertical="top" wrapText="1"/>
    </xf>
    <xf numFmtId="0" fontId="24" fillId="8" borderId="6" xfId="0" applyFont="1" applyFill="1" applyBorder="1" applyAlignment="1">
      <alignment horizontal="center" vertical="center" wrapText="1"/>
    </xf>
    <xf numFmtId="0" fontId="24" fillId="8" borderId="7" xfId="0" applyFont="1" applyFill="1" applyBorder="1" applyAlignment="1">
      <alignment horizontal="center" vertical="center" wrapText="1"/>
    </xf>
    <xf numFmtId="0" fontId="24" fillId="8" borderId="2" xfId="0" applyFont="1" applyFill="1" applyBorder="1" applyAlignment="1">
      <alignment horizontal="center" vertical="center" wrapText="1"/>
    </xf>
    <xf numFmtId="0" fontId="24" fillId="4" borderId="1" xfId="0" applyFont="1" applyFill="1" applyBorder="1" applyAlignment="1">
      <alignment horizontal="center" vertical="center" wrapText="1"/>
    </xf>
    <xf numFmtId="1" fontId="24" fillId="4" borderId="1" xfId="0" applyNumberFormat="1" applyFont="1" applyFill="1" applyBorder="1" applyAlignment="1">
      <alignment horizontal="center" vertical="center" wrapText="1"/>
    </xf>
    <xf numFmtId="14" fontId="11" fillId="3" borderId="0" xfId="1" applyNumberFormat="1" applyFont="1" applyFill="1" applyAlignment="1">
      <alignment vertical="center"/>
    </xf>
    <xf numFmtId="9" fontId="24" fillId="8" borderId="1" xfId="2" applyFont="1" applyFill="1" applyBorder="1" applyAlignment="1">
      <alignment horizontal="center" vertical="center" wrapText="1"/>
    </xf>
    <xf numFmtId="9" fontId="24" fillId="8" borderId="6" xfId="2" applyFont="1" applyFill="1" applyBorder="1" applyAlignment="1">
      <alignment horizontal="center" vertical="center" wrapText="1"/>
    </xf>
    <xf numFmtId="9" fontId="24" fillId="8" borderId="7" xfId="2" applyFont="1" applyFill="1" applyBorder="1" applyAlignment="1">
      <alignment horizontal="center" vertical="center" wrapText="1"/>
    </xf>
    <xf numFmtId="9" fontId="24" fillId="8" borderId="2" xfId="2" applyFont="1" applyFill="1" applyBorder="1" applyAlignment="1">
      <alignment horizontal="center" vertical="center" wrapText="1"/>
    </xf>
    <xf numFmtId="9" fontId="24" fillId="4" borderId="1" xfId="2" applyFont="1" applyFill="1" applyBorder="1" applyAlignment="1">
      <alignment horizontal="center" vertical="center" wrapText="1"/>
    </xf>
    <xf numFmtId="1" fontId="24" fillId="4" borderId="1" xfId="2" applyNumberFormat="1" applyFont="1" applyFill="1" applyBorder="1" applyAlignment="1">
      <alignment horizontal="center" vertical="center" wrapText="1"/>
    </xf>
    <xf numFmtId="0" fontId="25" fillId="3" borderId="9" xfId="0" applyFont="1" applyFill="1" applyBorder="1" applyAlignment="1">
      <alignment horizontal="center" vertical="center" wrapText="1"/>
    </xf>
    <xf numFmtId="0" fontId="15" fillId="9" borderId="10"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5" fillId="0" borderId="10" xfId="0" applyFont="1" applyBorder="1" applyAlignment="1">
      <alignment horizontal="center" vertical="center" wrapText="1"/>
    </xf>
    <xf numFmtId="0" fontId="15" fillId="10" borderId="10" xfId="0" applyFont="1" applyFill="1" applyBorder="1" applyAlignment="1">
      <alignment horizontal="center" vertical="center" wrapText="1"/>
    </xf>
    <xf numFmtId="10" fontId="15" fillId="3" borderId="10" xfId="0" applyNumberFormat="1" applyFont="1" applyFill="1" applyBorder="1" applyAlignment="1">
      <alignment horizontal="center" vertical="center" wrapText="1"/>
    </xf>
    <xf numFmtId="0" fontId="15" fillId="11" borderId="10" xfId="0" applyFont="1" applyFill="1" applyBorder="1" applyAlignment="1">
      <alignment horizontal="center" vertical="center"/>
    </xf>
    <xf numFmtId="165" fontId="15" fillId="11" borderId="10" xfId="0" applyNumberFormat="1" applyFont="1" applyFill="1" applyBorder="1" applyAlignment="1">
      <alignment horizontal="center" vertical="center"/>
    </xf>
    <xf numFmtId="0" fontId="15" fillId="9" borderId="9" xfId="0" applyFont="1" applyFill="1" applyBorder="1" applyAlignment="1">
      <alignment horizontal="center" vertical="center" wrapText="1"/>
    </xf>
    <xf numFmtId="14" fontId="15" fillId="12" borderId="9" xfId="0" applyNumberFormat="1" applyFont="1" applyFill="1" applyBorder="1" applyAlignment="1">
      <alignment horizontal="center" vertical="center" wrapText="1"/>
    </xf>
    <xf numFmtId="1" fontId="15" fillId="12" borderId="9" xfId="0" applyNumberFormat="1" applyFont="1" applyFill="1" applyBorder="1" applyAlignment="1">
      <alignment horizontal="center" vertical="center" wrapText="1"/>
    </xf>
    <xf numFmtId="167" fontId="15" fillId="11" borderId="10" xfId="0" applyNumberFormat="1" applyFont="1" applyFill="1" applyBorder="1" applyAlignment="1">
      <alignment horizontal="center" vertical="center"/>
    </xf>
    <xf numFmtId="0" fontId="28" fillId="11" borderId="12" xfId="3" applyNumberFormat="1" applyFont="1" applyFill="1" applyBorder="1" applyAlignment="1" applyProtection="1">
      <alignment horizontal="center" vertical="center"/>
    </xf>
    <xf numFmtId="10" fontId="25" fillId="3" borderId="13" xfId="0" applyNumberFormat="1" applyFont="1" applyFill="1" applyBorder="1" applyAlignment="1">
      <alignment horizontal="center" vertical="center"/>
    </xf>
    <xf numFmtId="10" fontId="25" fillId="3" borderId="14" xfId="0" applyNumberFormat="1" applyFont="1" applyFill="1" applyBorder="1" applyAlignment="1">
      <alignment horizontal="center" vertical="center"/>
    </xf>
    <xf numFmtId="14" fontId="12" fillId="3" borderId="0" xfId="1" applyNumberFormat="1" applyFont="1" applyFill="1" applyAlignment="1">
      <alignment vertical="center"/>
    </xf>
    <xf numFmtId="0" fontId="25" fillId="3" borderId="16" xfId="0" applyFont="1" applyFill="1" applyBorder="1" applyAlignment="1">
      <alignment horizontal="center" vertical="center" wrapText="1"/>
    </xf>
    <xf numFmtId="0" fontId="15" fillId="9" borderId="17" xfId="0" applyFont="1" applyFill="1" applyBorder="1" applyAlignment="1">
      <alignment horizontal="center" vertical="center" wrapText="1"/>
    </xf>
    <xf numFmtId="0" fontId="15" fillId="3" borderId="17" xfId="0" applyFont="1" applyFill="1" applyBorder="1" applyAlignment="1">
      <alignment horizontal="center" vertical="center" wrapText="1"/>
    </xf>
    <xf numFmtId="0" fontId="15" fillId="0" borderId="17" xfId="0" applyFont="1" applyBorder="1" applyAlignment="1">
      <alignment horizontal="center" vertical="center"/>
    </xf>
    <xf numFmtId="0" fontId="15" fillId="10" borderId="17" xfId="0" applyFont="1" applyFill="1" applyBorder="1" applyAlignment="1">
      <alignment horizontal="center" vertical="center"/>
    </xf>
    <xf numFmtId="10" fontId="15" fillId="3" borderId="17" xfId="0" applyNumberFormat="1" applyFont="1" applyFill="1" applyBorder="1" applyAlignment="1">
      <alignment horizontal="center" vertical="center" wrapText="1"/>
    </xf>
    <xf numFmtId="0" fontId="15" fillId="9" borderId="17" xfId="0" applyFont="1" applyFill="1" applyBorder="1" applyAlignment="1">
      <alignment horizontal="center" vertical="center"/>
    </xf>
    <xf numFmtId="165" fontId="15" fillId="9" borderId="17" xfId="0" applyNumberFormat="1" applyFont="1" applyFill="1" applyBorder="1" applyAlignment="1">
      <alignment horizontal="center" vertical="center"/>
    </xf>
    <xf numFmtId="165" fontId="15" fillId="9" borderId="17" xfId="0" applyNumberFormat="1" applyFont="1" applyFill="1" applyBorder="1" applyAlignment="1">
      <alignment horizontal="center" vertical="center" wrapText="1"/>
    </xf>
    <xf numFmtId="165" fontId="15" fillId="9" borderId="18" xfId="0" applyNumberFormat="1" applyFont="1" applyFill="1" applyBorder="1" applyAlignment="1">
      <alignment horizontal="center" vertical="center"/>
    </xf>
    <xf numFmtId="0" fontId="15" fillId="9" borderId="16" xfId="0" applyFont="1" applyFill="1" applyBorder="1" applyAlignment="1">
      <alignment horizontal="center" vertical="center" wrapText="1"/>
    </xf>
    <xf numFmtId="14" fontId="15" fillId="12" borderId="16" xfId="0" applyNumberFormat="1" applyFont="1" applyFill="1" applyBorder="1" applyAlignment="1">
      <alignment horizontal="center" vertical="center" wrapText="1"/>
    </xf>
    <xf numFmtId="1" fontId="15" fillId="12" borderId="16" xfId="0" applyNumberFormat="1" applyFont="1" applyFill="1" applyBorder="1" applyAlignment="1">
      <alignment horizontal="center" vertical="center" wrapText="1"/>
    </xf>
    <xf numFmtId="167" fontId="15" fillId="9" borderId="17" xfId="0" applyNumberFormat="1" applyFont="1" applyFill="1" applyBorder="1" applyAlignment="1">
      <alignment horizontal="center" vertical="center"/>
    </xf>
    <xf numFmtId="0" fontId="15" fillId="9" borderId="20" xfId="0" applyFont="1" applyFill="1" applyBorder="1" applyAlignment="1">
      <alignment horizontal="center" vertical="center"/>
    </xf>
    <xf numFmtId="0" fontId="25" fillId="3" borderId="22" xfId="0" applyFont="1" applyFill="1" applyBorder="1" applyAlignment="1">
      <alignment horizontal="center" vertical="center" wrapText="1"/>
    </xf>
    <xf numFmtId="0" fontId="15" fillId="9" borderId="23" xfId="0" applyFont="1" applyFill="1" applyBorder="1" applyAlignment="1">
      <alignment horizontal="center" vertical="center" wrapText="1"/>
    </xf>
    <xf numFmtId="0" fontId="15" fillId="3" borderId="23" xfId="0" applyFont="1" applyFill="1" applyBorder="1" applyAlignment="1">
      <alignment horizontal="center" vertical="center" wrapText="1"/>
    </xf>
    <xf numFmtId="0" fontId="15" fillId="0" borderId="23" xfId="0" applyFont="1" applyBorder="1" applyAlignment="1">
      <alignment horizontal="center" vertical="center" wrapText="1"/>
    </xf>
    <xf numFmtId="10" fontId="15" fillId="3" borderId="23" xfId="0" applyNumberFormat="1" applyFont="1" applyFill="1" applyBorder="1" applyAlignment="1">
      <alignment horizontal="center" vertical="center" wrapText="1"/>
    </xf>
    <xf numFmtId="0" fontId="15" fillId="8" borderId="23" xfId="0" applyFont="1" applyFill="1" applyBorder="1" applyAlignment="1">
      <alignment horizontal="center" vertical="center"/>
    </xf>
    <xf numFmtId="0" fontId="15" fillId="9" borderId="22" xfId="0" applyFont="1" applyFill="1" applyBorder="1" applyAlignment="1">
      <alignment horizontal="center" vertical="center" wrapText="1"/>
    </xf>
    <xf numFmtId="14" fontId="15" fillId="4" borderId="22" xfId="0" applyNumberFormat="1" applyFont="1" applyFill="1" applyBorder="1" applyAlignment="1">
      <alignment horizontal="center" vertical="center" wrapText="1"/>
    </xf>
    <xf numFmtId="1" fontId="15" fillId="12" borderId="22" xfId="0" applyNumberFormat="1" applyFont="1" applyFill="1" applyBorder="1" applyAlignment="1">
      <alignment horizontal="center" vertical="center" wrapText="1"/>
    </xf>
    <xf numFmtId="167" fontId="15" fillId="8" borderId="23" xfId="0" applyNumberFormat="1" applyFont="1" applyFill="1" applyBorder="1" applyAlignment="1">
      <alignment horizontal="center" vertical="center"/>
    </xf>
    <xf numFmtId="0" fontId="15" fillId="8" borderId="25" xfId="0" applyFont="1" applyFill="1" applyBorder="1" applyAlignment="1">
      <alignment horizontal="center" vertical="center"/>
    </xf>
    <xf numFmtId="10" fontId="25" fillId="3" borderId="26" xfId="0" applyNumberFormat="1" applyFont="1" applyFill="1" applyBorder="1" applyAlignment="1">
      <alignment horizontal="center" vertical="center"/>
    </xf>
    <xf numFmtId="10" fontId="25" fillId="3" borderId="27" xfId="0" applyNumberFormat="1" applyFont="1" applyFill="1" applyBorder="1" applyAlignment="1">
      <alignment horizontal="center" vertical="center"/>
    </xf>
    <xf numFmtId="0" fontId="15" fillId="14" borderId="10" xfId="0" applyFont="1" applyFill="1" applyBorder="1" applyAlignment="1">
      <alignment horizontal="center" vertical="center" wrapText="1"/>
    </xf>
    <xf numFmtId="0" fontId="15" fillId="14" borderId="17" xfId="0" applyFont="1" applyFill="1" applyBorder="1" applyAlignment="1">
      <alignment horizontal="center" vertical="center"/>
    </xf>
    <xf numFmtId="171" fontId="15" fillId="9" borderId="17" xfId="0" applyNumberFormat="1" applyFont="1" applyFill="1" applyBorder="1" applyAlignment="1">
      <alignment horizontal="center" vertical="center" wrapText="1"/>
    </xf>
    <xf numFmtId="165" fontId="15" fillId="8" borderId="23" xfId="0" applyNumberFormat="1" applyFont="1" applyFill="1" applyBorder="1" applyAlignment="1">
      <alignment horizontal="center" vertical="center"/>
    </xf>
    <xf numFmtId="0" fontId="15" fillId="3" borderId="10" xfId="0" applyFont="1" applyFill="1" applyBorder="1" applyAlignment="1">
      <alignment horizontal="left" vertical="center" wrapText="1"/>
    </xf>
    <xf numFmtId="0" fontId="15" fillId="0" borderId="10" xfId="0" applyFont="1" applyBorder="1" applyAlignment="1">
      <alignment horizontal="left" vertical="center" wrapText="1"/>
    </xf>
    <xf numFmtId="10" fontId="15" fillId="3" borderId="10" xfId="0" applyNumberFormat="1" applyFont="1" applyFill="1" applyBorder="1" applyAlignment="1">
      <alignment horizontal="left" vertical="center" wrapText="1"/>
    </xf>
    <xf numFmtId="0" fontId="15" fillId="11" borderId="10" xfId="0" applyFont="1" applyFill="1" applyBorder="1" applyAlignment="1">
      <alignment horizontal="left" vertical="center"/>
    </xf>
    <xf numFmtId="167" fontId="15" fillId="11" borderId="10" xfId="0" applyNumberFormat="1" applyFont="1" applyFill="1" applyBorder="1" applyAlignment="1">
      <alignment horizontal="left" vertical="center"/>
    </xf>
    <xf numFmtId="0" fontId="28" fillId="11" borderId="12" xfId="3" applyNumberFormat="1" applyFont="1" applyFill="1" applyBorder="1" applyAlignment="1" applyProtection="1">
      <alignment horizontal="left" vertical="center"/>
    </xf>
    <xf numFmtId="10" fontId="25" fillId="3" borderId="13" xfId="0" applyNumberFormat="1" applyFont="1" applyFill="1" applyBorder="1" applyAlignment="1">
      <alignment horizontal="left" vertical="center"/>
    </xf>
    <xf numFmtId="10" fontId="25" fillId="3" borderId="14" xfId="0" applyNumberFormat="1" applyFont="1" applyFill="1" applyBorder="1" applyAlignment="1">
      <alignment horizontal="left" vertical="center"/>
    </xf>
    <xf numFmtId="14" fontId="12" fillId="3" borderId="0" xfId="1" applyNumberFormat="1" applyFont="1" applyFill="1" applyAlignment="1">
      <alignment horizontal="left" vertical="center"/>
    </xf>
    <xf numFmtId="0" fontId="15" fillId="3" borderId="17" xfId="0" applyFont="1" applyFill="1" applyBorder="1" applyAlignment="1">
      <alignment horizontal="left" vertical="center" wrapText="1"/>
    </xf>
    <xf numFmtId="0" fontId="15" fillId="0" borderId="17" xfId="0" applyFont="1" applyBorder="1" applyAlignment="1">
      <alignment horizontal="left" vertical="center"/>
    </xf>
    <xf numFmtId="10" fontId="15" fillId="3" borderId="17" xfId="0" applyNumberFormat="1" applyFont="1" applyFill="1" applyBorder="1" applyAlignment="1">
      <alignment horizontal="left" vertical="center" wrapText="1"/>
    </xf>
    <xf numFmtId="0" fontId="15" fillId="9" borderId="17" xfId="0" applyFont="1" applyFill="1" applyBorder="1" applyAlignment="1">
      <alignment horizontal="left" vertical="center"/>
    </xf>
    <xf numFmtId="165" fontId="15" fillId="9" borderId="17" xfId="0" applyNumberFormat="1" applyFont="1" applyFill="1" applyBorder="1" applyAlignment="1">
      <alignment horizontal="left" vertical="center"/>
    </xf>
    <xf numFmtId="165" fontId="15" fillId="9" borderId="17" xfId="0" applyNumberFormat="1" applyFont="1" applyFill="1" applyBorder="1" applyAlignment="1">
      <alignment horizontal="left" vertical="center" wrapText="1"/>
    </xf>
    <xf numFmtId="165" fontId="15" fillId="9" borderId="18" xfId="0" applyNumberFormat="1" applyFont="1" applyFill="1" applyBorder="1" applyAlignment="1">
      <alignment horizontal="left" vertical="center"/>
    </xf>
    <xf numFmtId="167" fontId="15" fillId="9" borderId="17" xfId="0" applyNumberFormat="1" applyFont="1" applyFill="1" applyBorder="1" applyAlignment="1">
      <alignment horizontal="left" vertical="center"/>
    </xf>
    <xf numFmtId="0" fontId="15" fillId="9" borderId="20" xfId="0" applyFont="1" applyFill="1" applyBorder="1" applyAlignment="1">
      <alignment horizontal="left" vertical="center"/>
    </xf>
    <xf numFmtId="0" fontId="15" fillId="3" borderId="23" xfId="0" applyFont="1" applyFill="1" applyBorder="1" applyAlignment="1">
      <alignment horizontal="left" vertical="center" wrapText="1"/>
    </xf>
    <xf numFmtId="0" fontId="15" fillId="0" borderId="23" xfId="0" applyFont="1" applyBorder="1" applyAlignment="1">
      <alignment horizontal="left" vertical="center" wrapText="1"/>
    </xf>
    <xf numFmtId="10" fontId="15" fillId="3" borderId="23" xfId="0" applyNumberFormat="1" applyFont="1" applyFill="1" applyBorder="1" applyAlignment="1">
      <alignment horizontal="left" vertical="center" wrapText="1"/>
    </xf>
    <xf numFmtId="0" fontId="15" fillId="8" borderId="23" xfId="0" applyFont="1" applyFill="1" applyBorder="1" applyAlignment="1">
      <alignment horizontal="left" vertical="center"/>
    </xf>
    <xf numFmtId="165" fontId="15" fillId="8" borderId="23" xfId="0" applyNumberFormat="1" applyFont="1" applyFill="1" applyBorder="1" applyAlignment="1">
      <alignment horizontal="left" vertical="center"/>
    </xf>
    <xf numFmtId="167" fontId="15" fillId="8" borderId="23" xfId="0" applyNumberFormat="1" applyFont="1" applyFill="1" applyBorder="1" applyAlignment="1">
      <alignment horizontal="left" vertical="center"/>
    </xf>
    <xf numFmtId="0" fontId="15" fillId="8" borderId="25" xfId="0" applyFont="1" applyFill="1" applyBorder="1" applyAlignment="1">
      <alignment horizontal="left" vertical="center"/>
    </xf>
    <xf numFmtId="10" fontId="25" fillId="3" borderId="26" xfId="0" applyNumberFormat="1" applyFont="1" applyFill="1" applyBorder="1" applyAlignment="1">
      <alignment horizontal="left" vertical="center"/>
    </xf>
    <xf numFmtId="10" fontId="25" fillId="3" borderId="27" xfId="0" applyNumberFormat="1" applyFont="1" applyFill="1" applyBorder="1" applyAlignment="1">
      <alignment horizontal="left" vertical="center"/>
    </xf>
    <xf numFmtId="0" fontId="25" fillId="3" borderId="9" xfId="0" applyFont="1" applyFill="1" applyBorder="1" applyAlignment="1">
      <alignment horizontal="left" vertical="center" wrapText="1"/>
    </xf>
    <xf numFmtId="165" fontId="15" fillId="11" borderId="10" xfId="0" applyNumberFormat="1" applyFont="1" applyFill="1" applyBorder="1" applyAlignment="1">
      <alignment horizontal="left" vertical="center"/>
    </xf>
    <xf numFmtId="0" fontId="25" fillId="3" borderId="16" xfId="0" applyFont="1" applyFill="1" applyBorder="1" applyAlignment="1">
      <alignment horizontal="left" vertical="center" wrapText="1"/>
    </xf>
    <xf numFmtId="0" fontId="25" fillId="3" borderId="22" xfId="0" applyFont="1" applyFill="1" applyBorder="1" applyAlignment="1">
      <alignment horizontal="left" vertical="center" wrapText="1"/>
    </xf>
    <xf numFmtId="0" fontId="15" fillId="0" borderId="10" xfId="0" applyFont="1" applyBorder="1" applyAlignment="1">
      <alignment horizontal="left" vertical="top" wrapText="1"/>
    </xf>
    <xf numFmtId="0" fontId="15" fillId="0" borderId="17" xfId="0" applyFont="1" applyBorder="1" applyAlignment="1">
      <alignment horizontal="left" vertical="top"/>
    </xf>
    <xf numFmtId="0" fontId="15" fillId="0" borderId="23" xfId="0" applyFont="1" applyBorder="1" applyAlignment="1">
      <alignment horizontal="left" vertical="top" wrapText="1"/>
    </xf>
    <xf numFmtId="0" fontId="15" fillId="15" borderId="10" xfId="0" applyFont="1" applyFill="1" applyBorder="1" applyAlignment="1">
      <alignment horizontal="center" vertical="center" wrapText="1"/>
    </xf>
    <xf numFmtId="0" fontId="15" fillId="15" borderId="17" xfId="0" applyFont="1" applyFill="1" applyBorder="1" applyAlignment="1">
      <alignment horizontal="center" vertical="center"/>
    </xf>
    <xf numFmtId="0" fontId="29" fillId="15" borderId="23" xfId="0" applyFont="1" applyFill="1" applyBorder="1" applyAlignment="1">
      <alignment horizontal="center" vertical="center" wrapText="1"/>
    </xf>
    <xf numFmtId="0" fontId="9" fillId="0" borderId="0" xfId="0" applyFont="1"/>
    <xf numFmtId="0" fontId="10" fillId="0" borderId="0" xfId="0" applyFont="1" applyAlignment="1">
      <alignment horizontal="center" vertical="center"/>
    </xf>
    <xf numFmtId="0" fontId="12" fillId="15" borderId="0" xfId="0" applyFont="1" applyFill="1" applyAlignment="1">
      <alignment vertical="center"/>
    </xf>
    <xf numFmtId="0" fontId="12" fillId="0" borderId="0" xfId="0" applyFont="1" applyAlignment="1">
      <alignment vertical="center"/>
    </xf>
    <xf numFmtId="0" fontId="30" fillId="12" borderId="0" xfId="0" applyFont="1" applyFill="1" applyAlignment="1">
      <alignment vertical="center"/>
    </xf>
    <xf numFmtId="0" fontId="30" fillId="15" borderId="0" xfId="0" applyFont="1" applyFill="1" applyAlignment="1">
      <alignment vertical="center"/>
    </xf>
    <xf numFmtId="0" fontId="13" fillId="0" borderId="0" xfId="0" applyFont="1"/>
    <xf numFmtId="0" fontId="2" fillId="0" borderId="0" xfId="0" applyFont="1" applyAlignment="1">
      <alignment horizontal="left" wrapText="1"/>
    </xf>
    <xf numFmtId="0" fontId="16" fillId="0" borderId="0" xfId="0" applyFont="1"/>
    <xf numFmtId="166" fontId="16" fillId="15" borderId="0" xfId="0" applyNumberFormat="1" applyFont="1" applyFill="1"/>
    <xf numFmtId="2" fontId="16" fillId="14" borderId="0" xfId="0" applyNumberFormat="1" applyFont="1" applyFill="1"/>
    <xf numFmtId="2" fontId="16" fillId="15" borderId="0" xfId="0" applyNumberFormat="1" applyFont="1" applyFill="1"/>
    <xf numFmtId="2" fontId="16" fillId="15" borderId="0" xfId="1" applyNumberFormat="1" applyFont="1" applyFill="1" applyAlignment="1">
      <alignment horizontal="center"/>
    </xf>
    <xf numFmtId="172" fontId="16" fillId="15" borderId="0" xfId="0" applyNumberFormat="1" applyFont="1" applyFill="1"/>
    <xf numFmtId="1" fontId="16" fillId="15" borderId="0" xfId="0" applyNumberFormat="1" applyFont="1" applyFill="1"/>
    <xf numFmtId="166" fontId="16" fillId="14" borderId="0" xfId="0" applyNumberFormat="1" applyFont="1" applyFill="1"/>
    <xf numFmtId="14" fontId="16" fillId="0" borderId="0" xfId="1" applyNumberFormat="1" applyFont="1" applyFill="1"/>
    <xf numFmtId="0" fontId="19" fillId="15" borderId="0" xfId="0" applyFont="1" applyFill="1" applyAlignment="1">
      <alignment vertical="center"/>
    </xf>
    <xf numFmtId="2" fontId="19" fillId="14" borderId="0" xfId="0" applyNumberFormat="1" applyFont="1" applyFill="1" applyAlignment="1">
      <alignment vertical="center"/>
    </xf>
    <xf numFmtId="2" fontId="19" fillId="15" borderId="0" xfId="0" applyNumberFormat="1" applyFont="1" applyFill="1" applyAlignment="1">
      <alignment vertical="center"/>
    </xf>
    <xf numFmtId="2" fontId="19" fillId="15" borderId="0" xfId="1" applyNumberFormat="1" applyFont="1" applyFill="1" applyAlignment="1">
      <alignment horizontal="center" vertical="center"/>
    </xf>
    <xf numFmtId="14" fontId="14" fillId="15" borderId="0" xfId="0" applyNumberFormat="1" applyFont="1" applyFill="1"/>
    <xf numFmtId="0" fontId="14" fillId="15" borderId="0" xfId="0" applyFont="1" applyFill="1"/>
    <xf numFmtId="172" fontId="14" fillId="15" borderId="0" xfId="0" applyNumberFormat="1" applyFont="1" applyFill="1"/>
    <xf numFmtId="1" fontId="14" fillId="15" borderId="0" xfId="0" applyNumberFormat="1" applyFont="1" applyFill="1"/>
    <xf numFmtId="0" fontId="14" fillId="14" borderId="0" xfId="0" applyFont="1" applyFill="1"/>
    <xf numFmtId="0" fontId="15" fillId="0" borderId="0" xfId="0" applyFont="1" applyAlignment="1">
      <alignment horizontal="center" vertical="center" wrapText="1"/>
    </xf>
    <xf numFmtId="167" fontId="20" fillId="15" borderId="0" xfId="0" applyNumberFormat="1" applyFont="1" applyFill="1" applyAlignment="1">
      <alignment horizontal="right" vertical="center"/>
    </xf>
    <xf numFmtId="167" fontId="21" fillId="15" borderId="0" xfId="0" applyNumberFormat="1" applyFont="1" applyFill="1" applyAlignment="1">
      <alignment horizontal="right" vertical="center"/>
    </xf>
    <xf numFmtId="2" fontId="21" fillId="14" borderId="0" xfId="0" applyNumberFormat="1" applyFont="1" applyFill="1" applyAlignment="1">
      <alignment horizontal="right" vertical="center"/>
    </xf>
    <xf numFmtId="2" fontId="21" fillId="15" borderId="0" xfId="0" applyNumberFormat="1" applyFont="1" applyFill="1" applyAlignment="1">
      <alignment horizontal="right" vertical="center"/>
    </xf>
    <xf numFmtId="2" fontId="21" fillId="15" borderId="0" xfId="1" applyNumberFormat="1" applyFont="1" applyFill="1" applyAlignment="1">
      <alignment horizontal="center" vertical="center"/>
    </xf>
    <xf numFmtId="169" fontId="10" fillId="0" borderId="0" xfId="1" applyNumberFormat="1" applyFont="1" applyFill="1" applyBorder="1" applyAlignment="1"/>
    <xf numFmtId="172" fontId="21" fillId="15" borderId="0" xfId="0" applyNumberFormat="1" applyFont="1" applyFill="1" applyAlignment="1">
      <alignment horizontal="right" vertical="center"/>
    </xf>
    <xf numFmtId="1" fontId="21" fillId="15" borderId="0" xfId="0" applyNumberFormat="1" applyFont="1" applyFill="1" applyAlignment="1">
      <alignment horizontal="right" vertical="center"/>
    </xf>
    <xf numFmtId="167" fontId="21" fillId="14" borderId="0" xfId="0" applyNumberFormat="1" applyFont="1" applyFill="1" applyAlignment="1">
      <alignment horizontal="right" vertical="center"/>
    </xf>
    <xf numFmtId="14" fontId="9" fillId="0" borderId="0" xfId="1" applyNumberFormat="1" applyFont="1" applyFill="1"/>
    <xf numFmtId="0" fontId="22"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15" borderId="1" xfId="0" applyFont="1" applyFill="1" applyBorder="1" applyAlignment="1">
      <alignment horizontal="center" vertical="center" wrapText="1"/>
    </xf>
    <xf numFmtId="2" fontId="32" fillId="14" borderId="1" xfId="0" applyNumberFormat="1" applyFont="1" applyFill="1" applyBorder="1" applyAlignment="1">
      <alignment horizontal="center" vertical="center" wrapText="1"/>
    </xf>
    <xf numFmtId="2" fontId="32" fillId="15" borderId="1" xfId="0" applyNumberFormat="1" applyFont="1" applyFill="1" applyBorder="1" applyAlignment="1">
      <alignment horizontal="center" vertical="center" wrapText="1"/>
    </xf>
    <xf numFmtId="2" fontId="32" fillId="15" borderId="1" xfId="1" applyNumberFormat="1" applyFont="1" applyFill="1" applyBorder="1" applyAlignment="1">
      <alignment horizontal="center" vertical="center" wrapText="1"/>
    </xf>
    <xf numFmtId="0" fontId="22" fillId="15" borderId="1" xfId="0" applyFont="1" applyFill="1" applyBorder="1" applyAlignment="1">
      <alignment horizontal="center" vertical="center" wrapText="1"/>
    </xf>
    <xf numFmtId="170" fontId="23" fillId="0" borderId="2" xfId="0" applyNumberFormat="1" applyFont="1" applyBorder="1" applyAlignment="1">
      <alignment horizontal="center"/>
    </xf>
    <xf numFmtId="170" fontId="23" fillId="0" borderId="1" xfId="0" applyNumberFormat="1" applyFont="1" applyBorder="1" applyAlignment="1">
      <alignment horizontal="center"/>
    </xf>
    <xf numFmtId="0" fontId="22" fillId="14" borderId="1" xfId="0" applyFont="1" applyFill="1" applyBorder="1" applyAlignment="1">
      <alignment horizontal="center" vertical="center" wrapText="1"/>
    </xf>
    <xf numFmtId="14" fontId="10" fillId="0" borderId="0" xfId="1" applyNumberFormat="1" applyFont="1" applyFill="1" applyAlignment="1">
      <alignment horizontal="center" vertical="center"/>
    </xf>
    <xf numFmtId="0" fontId="15" fillId="15" borderId="1" xfId="0" applyFont="1" applyFill="1" applyBorder="1" applyAlignment="1">
      <alignment horizontal="center" vertical="center" wrapText="1"/>
    </xf>
    <xf numFmtId="0" fontId="15" fillId="15" borderId="5" xfId="0" applyFont="1" applyFill="1" applyBorder="1" applyAlignment="1">
      <alignment horizontal="center" vertical="center" wrapText="1"/>
    </xf>
    <xf numFmtId="0" fontId="33" fillId="15" borderId="1" xfId="0" applyFont="1" applyFill="1" applyBorder="1"/>
    <xf numFmtId="172" fontId="15" fillId="15" borderId="1" xfId="0" applyNumberFormat="1" applyFont="1" applyFill="1" applyBorder="1" applyAlignment="1">
      <alignment horizontal="center" vertical="center"/>
    </xf>
    <xf numFmtId="2" fontId="15" fillId="14" borderId="1" xfId="0" applyNumberFormat="1" applyFont="1" applyFill="1" applyBorder="1" applyAlignment="1">
      <alignment horizontal="center" vertical="center"/>
    </xf>
    <xf numFmtId="2" fontId="15" fillId="15" borderId="1" xfId="0" applyNumberFormat="1" applyFont="1" applyFill="1" applyBorder="1" applyAlignment="1">
      <alignment horizontal="center" vertical="center"/>
    </xf>
    <xf numFmtId="2" fontId="15" fillId="15" borderId="1" xfId="1" applyNumberFormat="1" applyFont="1" applyFill="1" applyBorder="1" applyAlignment="1">
      <alignment horizontal="center" vertical="center"/>
    </xf>
    <xf numFmtId="172" fontId="15" fillId="15" borderId="1" xfId="0" applyNumberFormat="1" applyFont="1" applyFill="1" applyBorder="1" applyAlignment="1">
      <alignment horizontal="center" vertical="center" wrapText="1"/>
    </xf>
    <xf numFmtId="10" fontId="25" fillId="15" borderId="13" xfId="0" applyNumberFormat="1" applyFont="1" applyFill="1" applyBorder="1" applyAlignment="1">
      <alignment horizontal="center" vertical="center"/>
    </xf>
    <xf numFmtId="10" fontId="25" fillId="15" borderId="14" xfId="0" applyNumberFormat="1" applyFont="1" applyFill="1" applyBorder="1" applyAlignment="1">
      <alignment horizontal="center" vertical="center"/>
    </xf>
    <xf numFmtId="167" fontId="15" fillId="14" borderId="1" xfId="0" applyNumberFormat="1" applyFont="1" applyFill="1" applyBorder="1" applyAlignment="1">
      <alignment horizontal="center" vertical="center" wrapText="1"/>
    </xf>
    <xf numFmtId="14" fontId="12" fillId="15" borderId="0" xfId="1" applyNumberFormat="1" applyFont="1" applyFill="1" applyAlignment="1">
      <alignment vertical="center"/>
    </xf>
    <xf numFmtId="0" fontId="15" fillId="15" borderId="16" xfId="0" applyFont="1" applyFill="1" applyBorder="1" applyAlignment="1">
      <alignment horizontal="center" vertical="center" wrapText="1"/>
    </xf>
    <xf numFmtId="0" fontId="15" fillId="15" borderId="3" xfId="0" applyFont="1" applyFill="1" applyBorder="1" applyAlignment="1">
      <alignment horizontal="center" vertical="center" wrapText="1"/>
    </xf>
    <xf numFmtId="2" fontId="15" fillId="14" borderId="1" xfId="0" applyNumberFormat="1" applyFont="1" applyFill="1" applyBorder="1" applyAlignment="1">
      <alignment horizontal="center" vertical="center" wrapText="1"/>
    </xf>
    <xf numFmtId="2" fontId="15" fillId="15" borderId="1" xfId="0" applyNumberFormat="1" applyFont="1" applyFill="1" applyBorder="1" applyAlignment="1">
      <alignment horizontal="center" vertical="center" wrapText="1"/>
    </xf>
    <xf numFmtId="2" fontId="15" fillId="15" borderId="1" xfId="1" applyNumberFormat="1" applyFont="1" applyFill="1" applyBorder="1" applyAlignment="1">
      <alignment horizontal="center" vertical="center" wrapText="1"/>
    </xf>
    <xf numFmtId="10" fontId="25" fillId="15" borderId="26" xfId="0" applyNumberFormat="1" applyFont="1" applyFill="1" applyBorder="1" applyAlignment="1">
      <alignment horizontal="center" vertical="center"/>
    </xf>
    <xf numFmtId="10" fontId="25" fillId="15" borderId="27" xfId="0" applyNumberFormat="1" applyFont="1" applyFill="1" applyBorder="1" applyAlignment="1">
      <alignment horizontal="center" vertical="center"/>
    </xf>
    <xf numFmtId="0" fontId="15" fillId="0" borderId="1" xfId="0" applyFont="1" applyBorder="1" applyAlignment="1">
      <alignment horizontal="center" vertical="center" wrapText="1"/>
    </xf>
    <xf numFmtId="0" fontId="15" fillId="0" borderId="5" xfId="0" applyFont="1" applyBorder="1" applyAlignment="1">
      <alignment horizontal="center" vertical="center" wrapText="1"/>
    </xf>
    <xf numFmtId="0" fontId="0" fillId="0" borderId="1" xfId="0" applyBorder="1"/>
    <xf numFmtId="10" fontId="25" fillId="0" borderId="13" xfId="0" applyNumberFormat="1" applyFont="1" applyBorder="1" applyAlignment="1">
      <alignment horizontal="center" vertical="center"/>
    </xf>
    <xf numFmtId="10" fontId="25" fillId="0" borderId="14" xfId="0" applyNumberFormat="1" applyFont="1" applyBorder="1" applyAlignment="1">
      <alignment horizontal="center" vertical="center"/>
    </xf>
    <xf numFmtId="14" fontId="12" fillId="0" borderId="0" xfId="1" applyNumberFormat="1" applyFont="1" applyFill="1" applyAlignment="1">
      <alignment vertical="center"/>
    </xf>
    <xf numFmtId="0" fontId="15" fillId="0" borderId="16" xfId="0" applyFont="1" applyBorder="1" applyAlignment="1">
      <alignment horizontal="center" vertical="center" wrapText="1"/>
    </xf>
    <xf numFmtId="0" fontId="15" fillId="0" borderId="3" xfId="0" applyFont="1" applyBorder="1" applyAlignment="1">
      <alignment horizontal="center" vertical="center" wrapText="1"/>
    </xf>
    <xf numFmtId="10" fontId="25" fillId="0" borderId="26" xfId="0" applyNumberFormat="1" applyFont="1" applyBorder="1" applyAlignment="1">
      <alignment horizontal="center" vertical="center"/>
    </xf>
    <xf numFmtId="10" fontId="25" fillId="0" borderId="27" xfId="0" applyNumberFormat="1" applyFont="1" applyBorder="1" applyAlignment="1">
      <alignment horizontal="center" vertical="center"/>
    </xf>
    <xf numFmtId="0" fontId="35" fillId="10" borderId="1" xfId="0" applyFont="1" applyFill="1" applyBorder="1" applyAlignment="1">
      <alignment horizontal="center" vertical="center" wrapText="1"/>
    </xf>
    <xf numFmtId="10" fontId="35" fillId="12" borderId="13" xfId="0" applyNumberFormat="1" applyFont="1" applyFill="1" applyBorder="1" applyAlignment="1">
      <alignment horizontal="center" vertical="center"/>
    </xf>
    <xf numFmtId="10" fontId="35" fillId="12" borderId="14" xfId="0" applyNumberFormat="1" applyFont="1" applyFill="1" applyBorder="1" applyAlignment="1">
      <alignment horizontal="center" vertical="center"/>
    </xf>
    <xf numFmtId="14" fontId="30" fillId="12" borderId="0" xfId="1" applyNumberFormat="1" applyFont="1" applyFill="1" applyAlignment="1">
      <alignment vertical="center"/>
    </xf>
    <xf numFmtId="0" fontId="35" fillId="12" borderId="1" xfId="0" applyFont="1" applyFill="1" applyBorder="1" applyAlignment="1">
      <alignment horizontal="center" vertical="center" wrapText="1"/>
    </xf>
    <xf numFmtId="10" fontId="35" fillId="12" borderId="26" xfId="0" applyNumberFormat="1" applyFont="1" applyFill="1" applyBorder="1" applyAlignment="1">
      <alignment horizontal="center" vertical="center"/>
    </xf>
    <xf numFmtId="10" fontId="35" fillId="12" borderId="27" xfId="0" applyNumberFormat="1" applyFont="1" applyFill="1" applyBorder="1" applyAlignment="1">
      <alignment horizontal="center" vertical="center"/>
    </xf>
    <xf numFmtId="165" fontId="15" fillId="15" borderId="1" xfId="0" applyNumberFormat="1" applyFont="1" applyFill="1" applyBorder="1" applyAlignment="1">
      <alignment horizontal="center" vertical="center"/>
    </xf>
    <xf numFmtId="0" fontId="0" fillId="15" borderId="1" xfId="0" applyFill="1" applyBorder="1"/>
    <xf numFmtId="10" fontId="35" fillId="15" borderId="13" xfId="0" applyNumberFormat="1" applyFont="1" applyFill="1" applyBorder="1" applyAlignment="1">
      <alignment horizontal="center" vertical="center"/>
    </xf>
    <xf numFmtId="10" fontId="35" fillId="15" borderId="14" xfId="0" applyNumberFormat="1" applyFont="1" applyFill="1" applyBorder="1" applyAlignment="1">
      <alignment horizontal="center" vertical="center"/>
    </xf>
    <xf numFmtId="14" fontId="30" fillId="15" borderId="0" xfId="1" applyNumberFormat="1" applyFont="1" applyFill="1" applyAlignment="1">
      <alignment vertical="center"/>
    </xf>
    <xf numFmtId="0" fontId="0" fillId="15" borderId="1" xfId="0" applyFill="1" applyBorder="1" applyAlignment="1">
      <alignment vertical="center"/>
    </xf>
    <xf numFmtId="10" fontId="35" fillId="15" borderId="26" xfId="0" applyNumberFormat="1" applyFont="1" applyFill="1" applyBorder="1" applyAlignment="1">
      <alignment horizontal="center" vertical="center"/>
    </xf>
    <xf numFmtId="10" fontId="35" fillId="15" borderId="27" xfId="0" applyNumberFormat="1" applyFont="1" applyFill="1" applyBorder="1" applyAlignment="1">
      <alignment horizontal="center" vertical="center"/>
    </xf>
    <xf numFmtId="0" fontId="27" fillId="12" borderId="5" xfId="0" applyFont="1" applyFill="1" applyBorder="1" applyAlignment="1">
      <alignment horizontal="center" vertical="center" wrapText="1"/>
    </xf>
    <xf numFmtId="0" fontId="27" fillId="12" borderId="16" xfId="0" applyFont="1" applyFill="1" applyBorder="1" applyAlignment="1">
      <alignment horizontal="center" vertical="center" wrapText="1"/>
    </xf>
    <xf numFmtId="0" fontId="27" fillId="12" borderId="3" xfId="0" applyFont="1" applyFill="1" applyBorder="1" applyAlignment="1">
      <alignment horizontal="center" vertical="center" wrapText="1"/>
    </xf>
    <xf numFmtId="16" fontId="30" fillId="12" borderId="0" xfId="0" applyNumberFormat="1" applyFont="1" applyFill="1" applyAlignment="1">
      <alignment vertical="center"/>
    </xf>
    <xf numFmtId="15" fontId="0" fillId="0" borderId="0" xfId="0" applyNumberFormat="1"/>
    <xf numFmtId="0" fontId="36" fillId="0" borderId="1" xfId="0" applyFont="1" applyBorder="1" applyAlignment="1">
      <alignment horizontal="center" vertical="center" wrapText="1"/>
    </xf>
    <xf numFmtId="0" fontId="36" fillId="17" borderId="1" xfId="0" applyFont="1" applyFill="1" applyBorder="1" applyAlignment="1">
      <alignment horizontal="center" vertical="center" wrapText="1"/>
    </xf>
    <xf numFmtId="0" fontId="2" fillId="0" borderId="17" xfId="0" applyFont="1" applyBorder="1" applyAlignment="1">
      <alignment horizontal="center" vertical="center" wrapText="1"/>
    </xf>
    <xf numFmtId="0" fontId="2" fillId="0" borderId="1" xfId="0" applyFont="1" applyBorder="1" applyAlignment="1">
      <alignment horizontal="center" vertical="center" wrapText="1"/>
    </xf>
    <xf numFmtId="172" fontId="2" fillId="0" borderId="1" xfId="0" applyNumberFormat="1" applyFont="1" applyBorder="1" applyAlignment="1">
      <alignment horizontal="center" vertical="center"/>
    </xf>
    <xf numFmtId="167" fontId="2"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0" fontId="37" fillId="18" borderId="0" xfId="0" applyFont="1" applyFill="1" applyAlignment="1">
      <alignment horizontal="center" vertical="center" wrapText="1"/>
    </xf>
    <xf numFmtId="0" fontId="38" fillId="18" borderId="0" xfId="0" applyFont="1" applyFill="1" applyAlignment="1">
      <alignment horizontal="center" vertical="center" wrapText="1"/>
    </xf>
    <xf numFmtId="0" fontId="39" fillId="18" borderId="0" xfId="0" applyFont="1" applyFill="1" applyAlignment="1">
      <alignment horizontal="center" vertical="center" wrapText="1"/>
    </xf>
    <xf numFmtId="0" fontId="40" fillId="18" borderId="0" xfId="0" applyFont="1" applyFill="1" applyAlignment="1">
      <alignment horizontal="center" vertical="center" wrapText="1"/>
    </xf>
    <xf numFmtId="0" fontId="39" fillId="19" borderId="0" xfId="0" applyFont="1" applyFill="1" applyAlignment="1">
      <alignment horizontal="center" vertical="center" wrapText="1"/>
    </xf>
    <xf numFmtId="0" fontId="41" fillId="18" borderId="0" xfId="0" applyFont="1" applyFill="1" applyAlignment="1">
      <alignment horizontal="center" vertical="center" wrapText="1"/>
    </xf>
    <xf numFmtId="173" fontId="41" fillId="18" borderId="0" xfId="0" applyNumberFormat="1" applyFont="1" applyFill="1" applyAlignment="1">
      <alignment horizontal="center" vertical="center" wrapText="1"/>
    </xf>
    <xf numFmtId="172" fontId="39" fillId="18" borderId="0" xfId="0" applyNumberFormat="1" applyFont="1" applyFill="1" applyAlignment="1">
      <alignment horizontal="center" vertical="center" wrapText="1"/>
    </xf>
    <xf numFmtId="0" fontId="39" fillId="18" borderId="0" xfId="0" applyFont="1" applyFill="1" applyAlignment="1">
      <alignment horizontal="center" vertical="center"/>
    </xf>
    <xf numFmtId="174" fontId="42" fillId="18" borderId="0" xfId="0" applyNumberFormat="1" applyFont="1" applyFill="1" applyAlignment="1">
      <alignment horizontal="center" vertical="center" wrapText="1"/>
    </xf>
    <xf numFmtId="0" fontId="42" fillId="18" borderId="0" xfId="0" applyFont="1" applyFill="1" applyAlignment="1">
      <alignment horizontal="center" vertical="center" wrapText="1"/>
    </xf>
    <xf numFmtId="0" fontId="40" fillId="20" borderId="0" xfId="0" applyFont="1" applyFill="1" applyAlignment="1">
      <alignment horizontal="center" vertical="center" wrapText="1"/>
    </xf>
    <xf numFmtId="0" fontId="39" fillId="20" borderId="0" xfId="0" applyFont="1" applyFill="1" applyAlignment="1">
      <alignment horizontal="center" vertical="center" wrapText="1"/>
    </xf>
    <xf numFmtId="0" fontId="41" fillId="20" borderId="0" xfId="0" applyFont="1" applyFill="1" applyAlignment="1">
      <alignment horizontal="center" vertical="center" wrapText="1"/>
    </xf>
    <xf numFmtId="173" fontId="41" fillId="20" borderId="0" xfId="0" applyNumberFormat="1" applyFont="1" applyFill="1" applyAlignment="1">
      <alignment horizontal="center" vertical="center" wrapText="1"/>
    </xf>
    <xf numFmtId="0" fontId="39" fillId="21" borderId="0" xfId="0" applyFont="1" applyFill="1" applyAlignment="1">
      <alignment horizontal="center" vertical="center" wrapText="1"/>
    </xf>
    <xf numFmtId="0" fontId="39" fillId="21" borderId="0" xfId="0" applyFont="1" applyFill="1" applyAlignment="1">
      <alignment horizontal="center" vertical="center"/>
    </xf>
    <xf numFmtId="0" fontId="43" fillId="18" borderId="0" xfId="0" applyFont="1" applyFill="1" applyAlignment="1">
      <alignment horizontal="left" vertical="center"/>
    </xf>
    <xf numFmtId="0" fontId="44" fillId="18" borderId="31" xfId="0" applyFont="1" applyFill="1" applyBorder="1" applyAlignment="1">
      <alignment horizontal="left" vertical="center"/>
    </xf>
    <xf numFmtId="0" fontId="45" fillId="18" borderId="32" xfId="0" applyFont="1" applyFill="1" applyBorder="1" applyAlignment="1">
      <alignment horizontal="center" vertical="center" wrapText="1"/>
    </xf>
    <xf numFmtId="0" fontId="45" fillId="18" borderId="33" xfId="0" applyFont="1" applyFill="1" applyBorder="1" applyAlignment="1">
      <alignment horizontal="center" vertical="center" wrapText="1"/>
    </xf>
    <xf numFmtId="0" fontId="45" fillId="19" borderId="32" xfId="0" applyFont="1" applyFill="1" applyBorder="1" applyAlignment="1">
      <alignment horizontal="center" vertical="center" wrapText="1"/>
    </xf>
    <xf numFmtId="0" fontId="46" fillId="18" borderId="34" xfId="0" applyFont="1" applyFill="1" applyBorder="1" applyAlignment="1">
      <alignment horizontal="center" vertical="center" wrapText="1"/>
    </xf>
    <xf numFmtId="0" fontId="47" fillId="18" borderId="32" xfId="0" applyFont="1" applyFill="1" applyBorder="1" applyAlignment="1">
      <alignment horizontal="center" vertical="center"/>
    </xf>
    <xf numFmtId="0" fontId="46" fillId="18" borderId="32" xfId="0" applyFont="1" applyFill="1" applyBorder="1" applyAlignment="1">
      <alignment horizontal="center" vertical="center"/>
    </xf>
    <xf numFmtId="0" fontId="48" fillId="18" borderId="35" xfId="0" applyFont="1" applyFill="1" applyBorder="1" applyAlignment="1">
      <alignment horizontal="center" vertical="center"/>
    </xf>
    <xf numFmtId="0" fontId="46" fillId="18" borderId="35" xfId="0" applyFont="1" applyFill="1" applyBorder="1" applyAlignment="1">
      <alignment horizontal="center" vertical="center" wrapText="1"/>
    </xf>
    <xf numFmtId="0" fontId="47" fillId="18" borderId="35" xfId="0" applyFont="1" applyFill="1" applyBorder="1" applyAlignment="1">
      <alignment horizontal="center" vertical="center"/>
    </xf>
    <xf numFmtId="0" fontId="46" fillId="18" borderId="26" xfId="0" applyFont="1" applyFill="1" applyBorder="1" applyAlignment="1">
      <alignment horizontal="center" vertical="center"/>
    </xf>
    <xf numFmtId="0" fontId="46" fillId="18" borderId="35" xfId="0" applyFont="1" applyFill="1" applyBorder="1" applyAlignment="1">
      <alignment horizontal="center" vertical="center"/>
    </xf>
    <xf numFmtId="0" fontId="47" fillId="18" borderId="35" xfId="0" applyFont="1" applyFill="1" applyBorder="1" applyAlignment="1">
      <alignment horizontal="left" vertical="center"/>
    </xf>
    <xf numFmtId="173" fontId="48" fillId="18" borderId="35" xfId="0" applyNumberFormat="1" applyFont="1" applyFill="1" applyBorder="1" applyAlignment="1">
      <alignment horizontal="center" vertical="center"/>
    </xf>
    <xf numFmtId="0" fontId="46" fillId="18" borderId="38" xfId="0" applyFont="1" applyFill="1" applyBorder="1" applyAlignment="1">
      <alignment horizontal="center" vertical="center" wrapText="1"/>
    </xf>
    <xf numFmtId="0" fontId="48" fillId="18" borderId="26" xfId="0" applyFont="1" applyFill="1" applyBorder="1" applyAlignment="1">
      <alignment horizontal="center" vertical="center"/>
    </xf>
    <xf numFmtId="0" fontId="48" fillId="18" borderId="35" xfId="0" applyFont="1" applyFill="1" applyBorder="1" applyAlignment="1">
      <alignment horizontal="left" vertical="center"/>
    </xf>
    <xf numFmtId="0" fontId="46" fillId="18" borderId="39" xfId="0" applyFont="1" applyFill="1" applyBorder="1" applyAlignment="1">
      <alignment horizontal="center" vertical="center"/>
    </xf>
    <xf numFmtId="0" fontId="46" fillId="18" borderId="40" xfId="0" applyFont="1" applyFill="1" applyBorder="1" applyAlignment="1">
      <alignment horizontal="center" vertical="center"/>
    </xf>
    <xf numFmtId="0" fontId="46" fillId="18" borderId="27" xfId="0" applyFont="1" applyFill="1" applyBorder="1" applyAlignment="1">
      <alignment horizontal="center" vertical="center" wrapText="1"/>
    </xf>
    <xf numFmtId="172" fontId="46" fillId="18" borderId="35" xfId="0" applyNumberFormat="1" applyFont="1" applyFill="1" applyBorder="1" applyAlignment="1">
      <alignment horizontal="left" vertical="center"/>
    </xf>
    <xf numFmtId="0" fontId="37" fillId="18" borderId="35" xfId="0" applyFont="1" applyFill="1" applyBorder="1" applyAlignment="1">
      <alignment horizontal="center" vertical="center" wrapText="1"/>
    </xf>
    <xf numFmtId="0" fontId="37" fillId="18" borderId="35" xfId="0" applyFont="1" applyFill="1" applyBorder="1" applyAlignment="1">
      <alignment horizontal="center" vertical="center"/>
    </xf>
    <xf numFmtId="0" fontId="37" fillId="18" borderId="41" xfId="0" applyFont="1" applyFill="1" applyBorder="1" applyAlignment="1">
      <alignment horizontal="center" vertical="center" wrapText="1"/>
    </xf>
    <xf numFmtId="172" fontId="50" fillId="18" borderId="0" xfId="0" applyNumberFormat="1" applyFont="1" applyFill="1" applyAlignment="1">
      <alignment horizontal="left" vertical="center"/>
    </xf>
    <xf numFmtId="174" fontId="51" fillId="18" borderId="0" xfId="0" applyNumberFormat="1" applyFont="1" applyFill="1" applyAlignment="1">
      <alignment horizontal="center" vertical="center" wrapText="1"/>
    </xf>
    <xf numFmtId="0" fontId="51" fillId="18" borderId="0" xfId="0" applyFont="1" applyFill="1" applyAlignment="1">
      <alignment horizontal="center" vertical="center" wrapText="1"/>
    </xf>
    <xf numFmtId="0" fontId="52" fillId="23" borderId="0" xfId="0" applyFont="1" applyFill="1" applyAlignment="1">
      <alignment horizontal="center" vertical="center"/>
    </xf>
    <xf numFmtId="0" fontId="52" fillId="23" borderId="42" xfId="0" applyFont="1" applyFill="1" applyBorder="1" applyAlignment="1">
      <alignment horizontal="center" vertical="center"/>
    </xf>
    <xf numFmtId="0" fontId="53" fillId="23" borderId="43" xfId="0" applyFont="1" applyFill="1" applyBorder="1" applyAlignment="1">
      <alignment horizontal="center" vertical="center" wrapText="1"/>
    </xf>
    <xf numFmtId="0" fontId="53" fillId="23" borderId="44" xfId="0" applyFont="1" applyFill="1" applyBorder="1" applyAlignment="1">
      <alignment horizontal="center" vertical="center" wrapText="1"/>
    </xf>
    <xf numFmtId="0" fontId="53" fillId="19" borderId="43" xfId="0" applyFont="1" applyFill="1" applyBorder="1" applyAlignment="1">
      <alignment horizontal="center" vertical="center" wrapText="1"/>
    </xf>
    <xf numFmtId="0" fontId="48" fillId="23" borderId="43" xfId="0" applyFont="1" applyFill="1" applyBorder="1" applyAlignment="1">
      <alignment horizontal="center" vertical="center" wrapText="1"/>
    </xf>
    <xf numFmtId="0" fontId="53" fillId="23" borderId="0" xfId="0" applyFont="1" applyFill="1" applyAlignment="1">
      <alignment horizontal="center" vertical="center" wrapText="1"/>
    </xf>
    <xf numFmtId="0" fontId="53" fillId="23" borderId="47" xfId="0" applyFont="1" applyFill="1" applyBorder="1" applyAlignment="1">
      <alignment horizontal="center" vertical="center" wrapText="1"/>
    </xf>
    <xf numFmtId="173" fontId="48" fillId="23" borderId="43" xfId="0" applyNumberFormat="1" applyFont="1" applyFill="1" applyBorder="1" applyAlignment="1">
      <alignment horizontal="center" vertical="center" wrapText="1"/>
    </xf>
    <xf numFmtId="0" fontId="54" fillId="23" borderId="43" xfId="0" applyFont="1" applyFill="1" applyBorder="1" applyAlignment="1">
      <alignment horizontal="center" vertical="center" wrapText="1"/>
    </xf>
    <xf numFmtId="0" fontId="53" fillId="23" borderId="48" xfId="0" applyFont="1" applyFill="1" applyBorder="1" applyAlignment="1">
      <alignment horizontal="center" vertical="center" wrapText="1"/>
    </xf>
    <xf numFmtId="0" fontId="54" fillId="23" borderId="49" xfId="0" applyFont="1" applyFill="1" applyBorder="1" applyAlignment="1">
      <alignment horizontal="center" vertical="center" wrapText="1"/>
    </xf>
    <xf numFmtId="0" fontId="55" fillId="23" borderId="0" xfId="0" applyFont="1" applyFill="1" applyAlignment="1">
      <alignment horizontal="center" vertical="center" wrapText="1"/>
    </xf>
    <xf numFmtId="0" fontId="53" fillId="23" borderId="50" xfId="0" applyFont="1" applyFill="1" applyBorder="1" applyAlignment="1">
      <alignment horizontal="center" vertical="center" wrapText="1"/>
    </xf>
    <xf numFmtId="0" fontId="53" fillId="23" borderId="51" xfId="0" applyFont="1" applyFill="1" applyBorder="1" applyAlignment="1">
      <alignment horizontal="center" vertical="center" wrapText="1"/>
    </xf>
    <xf numFmtId="0" fontId="56" fillId="23" borderId="0" xfId="0" applyFont="1" applyFill="1" applyAlignment="1">
      <alignment horizontal="center" vertical="center" wrapText="1"/>
    </xf>
    <xf numFmtId="0" fontId="56" fillId="23" borderId="16" xfId="0" applyFont="1" applyFill="1" applyBorder="1" applyAlignment="1">
      <alignment horizontal="center" vertical="center" wrapText="1"/>
    </xf>
    <xf numFmtId="172" fontId="56" fillId="23" borderId="0" xfId="0" applyNumberFormat="1" applyFont="1" applyFill="1" applyAlignment="1">
      <alignment horizontal="center" vertical="center" wrapText="1"/>
    </xf>
    <xf numFmtId="0" fontId="56" fillId="23" borderId="52" xfId="0" applyFont="1" applyFill="1" applyBorder="1" applyAlignment="1">
      <alignment horizontal="center" vertical="center" wrapText="1"/>
    </xf>
    <xf numFmtId="174" fontId="57" fillId="18" borderId="0" xfId="0" applyNumberFormat="1" applyFont="1" applyFill="1" applyAlignment="1">
      <alignment horizontal="center" vertical="center" wrapText="1"/>
    </xf>
    <xf numFmtId="0" fontId="57" fillId="18" borderId="0" xfId="0" applyFont="1" applyFill="1" applyAlignment="1">
      <alignment horizontal="center" vertical="center" wrapText="1"/>
    </xf>
    <xf numFmtId="0" fontId="58" fillId="24" borderId="0" xfId="0" applyFont="1" applyFill="1" applyAlignment="1">
      <alignment horizontal="center" vertical="center"/>
    </xf>
    <xf numFmtId="0" fontId="48" fillId="24" borderId="0" xfId="0" applyFont="1" applyFill="1" applyAlignment="1">
      <alignment horizontal="center" vertical="center"/>
    </xf>
    <xf numFmtId="0" fontId="58" fillId="24" borderId="42" xfId="0" applyFont="1" applyFill="1" applyBorder="1" applyAlignment="1">
      <alignment horizontal="left" vertical="center"/>
    </xf>
    <xf numFmtId="0" fontId="58" fillId="24" borderId="0" xfId="0" applyFont="1" applyFill="1" applyAlignment="1">
      <alignment horizontal="center" vertical="center" wrapText="1"/>
    </xf>
    <xf numFmtId="0" fontId="58" fillId="24" borderId="51" xfId="0" applyFont="1" applyFill="1" applyBorder="1" applyAlignment="1">
      <alignment horizontal="center" vertical="center" wrapText="1"/>
    </xf>
    <xf numFmtId="0" fontId="58" fillId="19" borderId="0" xfId="0" applyFont="1" applyFill="1" applyAlignment="1">
      <alignment horizontal="center" vertical="center" wrapText="1"/>
    </xf>
    <xf numFmtId="172" fontId="58" fillId="24" borderId="0" xfId="0" applyNumberFormat="1" applyFont="1" applyFill="1" applyAlignment="1">
      <alignment horizontal="center" vertical="center" wrapText="1"/>
    </xf>
    <xf numFmtId="0" fontId="48" fillId="24" borderId="0" xfId="0" applyFont="1" applyFill="1" applyAlignment="1">
      <alignment horizontal="center" vertical="center" wrapText="1"/>
    </xf>
    <xf numFmtId="0" fontId="59" fillId="6" borderId="53" xfId="0" applyFont="1" applyFill="1" applyBorder="1" applyAlignment="1">
      <alignment horizontal="center" vertical="center" wrapText="1"/>
    </xf>
    <xf numFmtId="0" fontId="59" fillId="6" borderId="4" xfId="0" applyFont="1" applyFill="1" applyBorder="1" applyAlignment="1">
      <alignment horizontal="center" vertical="center" wrapText="1"/>
    </xf>
    <xf numFmtId="0" fontId="59" fillId="6" borderId="3" xfId="0" applyFont="1" applyFill="1" applyBorder="1" applyAlignment="1">
      <alignment horizontal="center" vertical="center" wrapText="1"/>
    </xf>
    <xf numFmtId="0" fontId="59" fillId="22" borderId="3" xfId="0" applyFont="1" applyFill="1" applyBorder="1" applyAlignment="1">
      <alignment horizontal="center" vertical="center" wrapText="1"/>
    </xf>
    <xf numFmtId="0" fontId="59" fillId="22" borderId="54" xfId="0" applyFont="1" applyFill="1" applyBorder="1" applyAlignment="1">
      <alignment horizontal="center" vertical="center" wrapText="1"/>
    </xf>
    <xf numFmtId="0" fontId="58" fillId="24" borderId="47" xfId="0" applyFont="1" applyFill="1" applyBorder="1" applyAlignment="1">
      <alignment horizontal="center" vertical="center" wrapText="1"/>
    </xf>
    <xf numFmtId="173" fontId="48" fillId="24" borderId="0" xfId="0" applyNumberFormat="1" applyFont="1" applyFill="1" applyAlignment="1">
      <alignment horizontal="center" vertical="center" wrapText="1"/>
    </xf>
    <xf numFmtId="172" fontId="58" fillId="24" borderId="48" xfId="0" applyNumberFormat="1" applyFont="1" applyFill="1" applyBorder="1" applyAlignment="1">
      <alignment horizontal="center" vertical="center" wrapText="1"/>
    </xf>
    <xf numFmtId="0" fontId="48" fillId="24" borderId="47" xfId="0" applyFont="1" applyFill="1" applyBorder="1" applyAlignment="1">
      <alignment horizontal="center" vertical="center" wrapText="1"/>
    </xf>
    <xf numFmtId="0" fontId="58" fillId="24" borderId="50" xfId="0" applyFont="1" applyFill="1" applyBorder="1" applyAlignment="1">
      <alignment horizontal="center" vertical="center" wrapText="1"/>
    </xf>
    <xf numFmtId="174" fontId="58" fillId="24" borderId="51" xfId="0" applyNumberFormat="1" applyFont="1" applyFill="1" applyBorder="1" applyAlignment="1">
      <alignment horizontal="center" vertical="center" wrapText="1"/>
    </xf>
    <xf numFmtId="174" fontId="58" fillId="24" borderId="0" xfId="0" applyNumberFormat="1" applyFont="1" applyFill="1" applyAlignment="1">
      <alignment horizontal="center" vertical="center" wrapText="1"/>
    </xf>
    <xf numFmtId="0" fontId="60" fillId="24" borderId="16" xfId="0" applyFont="1" applyFill="1" applyBorder="1" applyAlignment="1">
      <alignment horizontal="center" vertical="center" wrapText="1"/>
    </xf>
    <xf numFmtId="0" fontId="60" fillId="24" borderId="0" xfId="0" applyFont="1" applyFill="1" applyAlignment="1">
      <alignment horizontal="center" vertical="center" wrapText="1"/>
    </xf>
    <xf numFmtId="0" fontId="60" fillId="24" borderId="52" xfId="0" applyFont="1" applyFill="1" applyBorder="1" applyAlignment="1">
      <alignment horizontal="center" vertical="center" wrapText="1"/>
    </xf>
    <xf numFmtId="0" fontId="40" fillId="18" borderId="0" xfId="0" applyFont="1" applyFill="1" applyAlignment="1">
      <alignment horizontal="center" vertical="center"/>
    </xf>
    <xf numFmtId="0" fontId="40" fillId="18" borderId="42" xfId="0" applyFont="1" applyFill="1" applyBorder="1" applyAlignment="1">
      <alignment horizontal="center" vertical="center"/>
    </xf>
    <xf numFmtId="0" fontId="40" fillId="18" borderId="51" xfId="0" applyFont="1" applyFill="1" applyBorder="1" applyAlignment="1">
      <alignment horizontal="center" vertical="center" wrapText="1"/>
    </xf>
    <xf numFmtId="0" fontId="40" fillId="19" borderId="0" xfId="0" applyFont="1" applyFill="1" applyAlignment="1">
      <alignment horizontal="center" vertical="center" wrapText="1"/>
    </xf>
    <xf numFmtId="172" fontId="61" fillId="16" borderId="0" xfId="0" applyNumberFormat="1" applyFont="1" applyFill="1" applyAlignment="1">
      <alignment horizontal="center" vertical="center" wrapText="1"/>
    </xf>
    <xf numFmtId="0" fontId="61" fillId="18" borderId="0" xfId="0" applyFont="1" applyFill="1" applyAlignment="1">
      <alignment horizontal="center" vertical="center" wrapText="1"/>
    </xf>
    <xf numFmtId="0" fontId="40" fillId="6" borderId="55" xfId="0" applyFont="1" applyFill="1" applyBorder="1" applyAlignment="1">
      <alignment horizontal="center" vertical="center" wrapText="1"/>
    </xf>
    <xf numFmtId="0" fontId="40" fillId="6" borderId="2" xfId="0" applyFont="1" applyFill="1" applyBorder="1" applyAlignment="1">
      <alignment horizontal="center" vertical="center" wrapText="1"/>
    </xf>
    <xf numFmtId="0" fontId="40" fillId="6" borderId="1" xfId="0" applyFont="1" applyFill="1" applyBorder="1" applyAlignment="1">
      <alignment horizontal="center" vertical="center" wrapText="1"/>
    </xf>
    <xf numFmtId="0" fontId="40" fillId="22" borderId="1" xfId="0" applyFont="1" applyFill="1" applyBorder="1" applyAlignment="1">
      <alignment horizontal="center" vertical="center" wrapText="1"/>
    </xf>
    <xf numFmtId="0" fontId="40" fillId="22" borderId="56" xfId="0" applyFont="1" applyFill="1" applyBorder="1" applyAlignment="1">
      <alignment horizontal="center" vertical="center" wrapText="1"/>
    </xf>
    <xf numFmtId="172" fontId="61" fillId="18" borderId="0" xfId="0" applyNumberFormat="1" applyFont="1" applyFill="1" applyAlignment="1">
      <alignment horizontal="center" vertical="center" wrapText="1"/>
    </xf>
    <xf numFmtId="0" fontId="61" fillId="18" borderId="47" xfId="0" applyFont="1" applyFill="1" applyBorder="1" applyAlignment="1">
      <alignment horizontal="center" vertical="center" wrapText="1"/>
    </xf>
    <xf numFmtId="172" fontId="61" fillId="16" borderId="48" xfId="0" applyNumberFormat="1" applyFont="1" applyFill="1" applyBorder="1" applyAlignment="1">
      <alignment horizontal="center" vertical="center" wrapText="1"/>
    </xf>
    <xf numFmtId="0" fontId="41" fillId="18" borderId="47" xfId="0" applyFont="1" applyFill="1" applyBorder="1" applyAlignment="1">
      <alignment horizontal="center" vertical="center" wrapText="1"/>
    </xf>
    <xf numFmtId="0" fontId="61" fillId="18" borderId="50" xfId="0" applyFont="1" applyFill="1" applyBorder="1" applyAlignment="1">
      <alignment horizontal="center" vertical="center" wrapText="1"/>
    </xf>
    <xf numFmtId="0" fontId="61" fillId="18" borderId="51" xfId="0" applyFont="1" applyFill="1" applyBorder="1" applyAlignment="1">
      <alignment horizontal="center" vertical="center" wrapText="1"/>
    </xf>
    <xf numFmtId="172" fontId="61" fillId="18" borderId="16" xfId="0" applyNumberFormat="1" applyFont="1" applyFill="1" applyBorder="1" applyAlignment="1">
      <alignment horizontal="center" vertical="center" wrapText="1"/>
    </xf>
    <xf numFmtId="0" fontId="61" fillId="18" borderId="0" xfId="0" applyFont="1" applyFill="1" applyAlignment="1">
      <alignment horizontal="center" vertical="center"/>
    </xf>
    <xf numFmtId="0" fontId="62" fillId="18" borderId="52" xfId="0" applyFont="1" applyFill="1" applyBorder="1" applyAlignment="1">
      <alignment horizontal="center" vertical="center" wrapText="1"/>
    </xf>
    <xf numFmtId="172" fontId="61" fillId="18" borderId="51" xfId="0" applyNumberFormat="1" applyFont="1" applyFill="1" applyBorder="1" applyAlignment="1">
      <alignment horizontal="center" vertical="center" wrapText="1"/>
    </xf>
    <xf numFmtId="0" fontId="61" fillId="18" borderId="16" xfId="0" applyFont="1" applyFill="1" applyBorder="1" applyAlignment="1">
      <alignment horizontal="center" vertical="center" wrapText="1"/>
    </xf>
    <xf numFmtId="2" fontId="41" fillId="18" borderId="0" xfId="0" applyNumberFormat="1" applyFont="1" applyFill="1" applyAlignment="1">
      <alignment horizontal="center" vertical="center" wrapText="1"/>
    </xf>
    <xf numFmtId="0" fontId="59" fillId="6" borderId="55" xfId="0" applyFont="1" applyFill="1" applyBorder="1" applyAlignment="1">
      <alignment horizontal="center" vertical="center" wrapText="1"/>
    </xf>
    <xf numFmtId="0" fontId="59" fillId="6" borderId="2" xfId="0" applyFont="1" applyFill="1" applyBorder="1" applyAlignment="1">
      <alignment horizontal="center" vertical="center" wrapText="1"/>
    </xf>
    <xf numFmtId="0" fontId="59" fillId="6" borderId="1" xfId="0" applyFont="1" applyFill="1" applyBorder="1" applyAlignment="1">
      <alignment horizontal="center" vertical="center" wrapText="1"/>
    </xf>
    <xf numFmtId="0" fontId="59" fillId="22" borderId="1" xfId="0" applyFont="1" applyFill="1" applyBorder="1" applyAlignment="1">
      <alignment horizontal="center" vertical="center" wrapText="1"/>
    </xf>
    <xf numFmtId="0" fontId="59" fillId="22" borderId="56" xfId="0" applyFont="1" applyFill="1" applyBorder="1" applyAlignment="1">
      <alignment horizontal="center" vertical="center" wrapText="1"/>
    </xf>
    <xf numFmtId="0" fontId="40" fillId="24" borderId="0" xfId="0" applyFont="1" applyFill="1" applyAlignment="1">
      <alignment horizontal="center" vertical="center"/>
    </xf>
    <xf numFmtId="0" fontId="40" fillId="24" borderId="52" xfId="0" applyFont="1" applyFill="1" applyBorder="1" applyAlignment="1">
      <alignment horizontal="center" vertical="center" wrapText="1"/>
    </xf>
    <xf numFmtId="0" fontId="40" fillId="18" borderId="57" xfId="0" applyFont="1" applyFill="1" applyBorder="1" applyAlignment="1">
      <alignment horizontal="center" vertical="center"/>
    </xf>
    <xf numFmtId="0" fontId="40" fillId="18" borderId="58" xfId="0" applyFont="1" applyFill="1" applyBorder="1" applyAlignment="1">
      <alignment horizontal="center" vertical="center" wrapText="1"/>
    </xf>
    <xf numFmtId="0" fontId="40" fillId="18" borderId="59" xfId="0" applyFont="1" applyFill="1" applyBorder="1" applyAlignment="1">
      <alignment horizontal="center" vertical="center" wrapText="1"/>
    </xf>
    <xf numFmtId="0" fontId="40" fillId="19" borderId="58" xfId="0" applyFont="1" applyFill="1" applyBorder="1" applyAlignment="1">
      <alignment horizontal="center" vertical="center" wrapText="1"/>
    </xf>
    <xf numFmtId="172" fontId="62" fillId="18" borderId="58" xfId="0" applyNumberFormat="1" applyFont="1" applyFill="1" applyBorder="1" applyAlignment="1">
      <alignment horizontal="center" vertical="center" wrapText="1"/>
    </xf>
    <xf numFmtId="0" fontId="62" fillId="18" borderId="58" xfId="0" applyFont="1" applyFill="1" applyBorder="1" applyAlignment="1">
      <alignment horizontal="center" vertical="center" wrapText="1"/>
    </xf>
    <xf numFmtId="0" fontId="41" fillId="18" borderId="58" xfId="0" applyFont="1" applyFill="1" applyBorder="1" applyAlignment="1">
      <alignment horizontal="center" vertical="center" wrapText="1"/>
    </xf>
    <xf numFmtId="0" fontId="62" fillId="18" borderId="60" xfId="0" applyFont="1" applyFill="1" applyBorder="1" applyAlignment="1">
      <alignment horizontal="center" vertical="center" wrapText="1"/>
    </xf>
    <xf numFmtId="173" fontId="41" fillId="18" borderId="58" xfId="0" applyNumberFormat="1" applyFont="1" applyFill="1" applyBorder="1" applyAlignment="1">
      <alignment horizontal="center" vertical="center" wrapText="1"/>
    </xf>
    <xf numFmtId="172" fontId="62" fillId="18" borderId="61" xfId="0" applyNumberFormat="1" applyFont="1" applyFill="1" applyBorder="1" applyAlignment="1">
      <alignment horizontal="center" vertical="center" wrapText="1"/>
    </xf>
    <xf numFmtId="0" fontId="41" fillId="18" borderId="60" xfId="0" applyFont="1" applyFill="1" applyBorder="1" applyAlignment="1">
      <alignment horizontal="center" vertical="center" wrapText="1"/>
    </xf>
    <xf numFmtId="0" fontId="62" fillId="18" borderId="62" xfId="0" applyFont="1" applyFill="1" applyBorder="1" applyAlignment="1">
      <alignment horizontal="center" vertical="center" wrapText="1"/>
    </xf>
    <xf numFmtId="0" fontId="62" fillId="18" borderId="59" xfId="0" applyFont="1" applyFill="1" applyBorder="1" applyAlignment="1">
      <alignment horizontal="center" vertical="center" wrapText="1"/>
    </xf>
    <xf numFmtId="0" fontId="38" fillId="18" borderId="58" xfId="0" applyFont="1" applyFill="1" applyBorder="1" applyAlignment="1">
      <alignment horizontal="center" vertical="center" wrapText="1"/>
    </xf>
    <xf numFmtId="0" fontId="39" fillId="18" borderId="58" xfId="0" applyFont="1" applyFill="1" applyBorder="1" applyAlignment="1">
      <alignment horizontal="center" vertical="center" wrapText="1"/>
    </xf>
    <xf numFmtId="0" fontId="39" fillId="18" borderId="63" xfId="0" applyFont="1" applyFill="1" applyBorder="1" applyAlignment="1">
      <alignment horizontal="center" vertical="center" wrapText="1"/>
    </xf>
    <xf numFmtId="172" fontId="38" fillId="18" borderId="58" xfId="0" applyNumberFormat="1" applyFont="1" applyFill="1" applyBorder="1" applyAlignment="1">
      <alignment horizontal="center" vertical="center" wrapText="1"/>
    </xf>
    <xf numFmtId="0" fontId="39" fillId="18" borderId="58" xfId="0" applyFont="1" applyFill="1" applyBorder="1" applyAlignment="1">
      <alignment horizontal="center" vertical="center"/>
    </xf>
    <xf numFmtId="0" fontId="39" fillId="18" borderId="64" xfId="0" applyFont="1" applyFill="1" applyBorder="1" applyAlignment="1">
      <alignment horizontal="center" vertical="center" wrapText="1"/>
    </xf>
    <xf numFmtId="0" fontId="46" fillId="18" borderId="0" xfId="0" applyFont="1" applyFill="1" applyAlignment="1">
      <alignment horizontal="left" vertical="center"/>
    </xf>
    <xf numFmtId="0" fontId="46" fillId="18" borderId="31" xfId="0" applyFont="1" applyFill="1" applyBorder="1" applyAlignment="1">
      <alignment horizontal="left" vertical="center"/>
    </xf>
    <xf numFmtId="0" fontId="46" fillId="18" borderId="32" xfId="0" applyFont="1" applyFill="1" applyBorder="1" applyAlignment="1">
      <alignment horizontal="center" vertical="center" wrapText="1"/>
    </xf>
    <xf numFmtId="0" fontId="59" fillId="6" borderId="55" xfId="0" applyFont="1" applyFill="1" applyBorder="1" applyAlignment="1">
      <alignment horizontal="center" vertical="center"/>
    </xf>
    <xf numFmtId="0" fontId="59" fillId="6" borderId="2" xfId="0" applyFont="1" applyFill="1" applyBorder="1" applyAlignment="1">
      <alignment horizontal="center" vertical="center"/>
    </xf>
    <xf numFmtId="0" fontId="59" fillId="6" borderId="1" xfId="0" applyFont="1" applyFill="1" applyBorder="1" applyAlignment="1">
      <alignment horizontal="center" vertical="center"/>
    </xf>
    <xf numFmtId="0" fontId="59" fillId="22" borderId="1" xfId="0" applyFont="1" applyFill="1" applyBorder="1" applyAlignment="1">
      <alignment horizontal="center" vertical="center"/>
    </xf>
    <xf numFmtId="0" fontId="59" fillId="22" borderId="56" xfId="0" applyFont="1" applyFill="1" applyBorder="1" applyAlignment="1">
      <alignment horizontal="center" vertical="center"/>
    </xf>
    <xf numFmtId="0" fontId="47" fillId="18" borderId="35" xfId="0" applyFont="1" applyFill="1" applyBorder="1" applyAlignment="1">
      <alignment horizontal="center" vertical="center" wrapText="1"/>
    </xf>
    <xf numFmtId="0" fontId="46" fillId="18" borderId="39" xfId="0" applyFont="1" applyFill="1" applyBorder="1" applyAlignment="1">
      <alignment horizontal="center" vertical="center" wrapText="1"/>
    </xf>
    <xf numFmtId="0" fontId="44" fillId="18" borderId="35" xfId="0" applyFont="1" applyFill="1" applyBorder="1" applyAlignment="1">
      <alignment horizontal="center" vertical="center"/>
    </xf>
    <xf numFmtId="0" fontId="48" fillId="23" borderId="0" xfId="0" applyFont="1" applyFill="1" applyAlignment="1">
      <alignment horizontal="center" vertical="center" wrapText="1"/>
    </xf>
    <xf numFmtId="173" fontId="48" fillId="23" borderId="0" xfId="0" applyNumberFormat="1" applyFont="1" applyFill="1" applyAlignment="1">
      <alignment horizontal="center" vertical="center" wrapText="1"/>
    </xf>
    <xf numFmtId="0" fontId="63" fillId="19" borderId="0" xfId="0" applyFont="1" applyFill="1" applyAlignment="1">
      <alignment horizontal="center" vertical="center" wrapText="1"/>
    </xf>
    <xf numFmtId="172" fontId="61" fillId="18" borderId="48" xfId="0" applyNumberFormat="1" applyFont="1" applyFill="1" applyBorder="1" applyAlignment="1">
      <alignment horizontal="center" vertical="center" wrapText="1"/>
    </xf>
    <xf numFmtId="0" fontId="61" fillId="25" borderId="0" xfId="0" applyFont="1" applyFill="1" applyAlignment="1">
      <alignment horizontal="center" vertical="center" wrapText="1"/>
    </xf>
    <xf numFmtId="0" fontId="61" fillId="25" borderId="0" xfId="0" applyFont="1" applyFill="1" applyAlignment="1">
      <alignment horizontal="center" vertical="center"/>
    </xf>
    <xf numFmtId="0" fontId="40" fillId="18" borderId="52" xfId="0" applyFont="1" applyFill="1" applyBorder="1" applyAlignment="1">
      <alignment horizontal="center" vertical="center" wrapText="1"/>
    </xf>
    <xf numFmtId="0" fontId="62" fillId="26" borderId="65" xfId="0" applyFont="1" applyFill="1" applyBorder="1" applyAlignment="1">
      <alignment horizontal="center" vertical="center" wrapText="1"/>
    </xf>
    <xf numFmtId="172" fontId="40" fillId="18" borderId="57" xfId="0" applyNumberFormat="1" applyFont="1" applyFill="1" applyBorder="1" applyAlignment="1">
      <alignment horizontal="center" vertical="center" wrapText="1"/>
    </xf>
    <xf numFmtId="14" fontId="40" fillId="18" borderId="58" xfId="0" applyNumberFormat="1" applyFont="1" applyFill="1" applyBorder="1" applyAlignment="1">
      <alignment horizontal="center" vertical="center" wrapText="1"/>
    </xf>
    <xf numFmtId="0" fontId="62" fillId="18" borderId="64" xfId="0" applyFont="1" applyFill="1" applyBorder="1" applyAlignment="1">
      <alignment horizontal="center" vertical="center" wrapText="1"/>
    </xf>
    <xf numFmtId="0" fontId="38" fillId="19" borderId="0" xfId="0" applyFont="1" applyFill="1" applyAlignment="1">
      <alignment horizontal="center" vertical="center" wrapText="1"/>
    </xf>
    <xf numFmtId="172" fontId="38" fillId="18" borderId="0" xfId="0" applyNumberFormat="1" applyFont="1" applyFill="1" applyAlignment="1">
      <alignment horizontal="center" vertical="center" wrapText="1"/>
    </xf>
    <xf numFmtId="0" fontId="46" fillId="18" borderId="32" xfId="0" applyFont="1" applyFill="1" applyBorder="1" applyAlignment="1">
      <alignment horizontal="left" vertical="center"/>
    </xf>
    <xf numFmtId="0" fontId="46" fillId="18" borderId="33" xfId="0" applyFont="1" applyFill="1" applyBorder="1" applyAlignment="1">
      <alignment horizontal="center" vertical="center"/>
    </xf>
    <xf numFmtId="0" fontId="48" fillId="18" borderId="0" xfId="0" applyFont="1" applyFill="1" applyAlignment="1">
      <alignment horizontal="center" vertical="center"/>
    </xf>
    <xf numFmtId="0" fontId="64" fillId="18" borderId="0" xfId="0" applyFont="1" applyFill="1" applyAlignment="1">
      <alignment horizontal="center" vertical="center" wrapText="1"/>
    </xf>
    <xf numFmtId="173" fontId="48" fillId="18" borderId="0" xfId="0" applyNumberFormat="1" applyFont="1" applyFill="1" applyAlignment="1">
      <alignment horizontal="center" vertical="center" wrapText="1"/>
    </xf>
    <xf numFmtId="0" fontId="48" fillId="18" borderId="0" xfId="0" applyFont="1" applyFill="1" applyAlignment="1">
      <alignment horizontal="center" vertical="center" wrapText="1"/>
    </xf>
    <xf numFmtId="0" fontId="53" fillId="23" borderId="66" xfId="0" applyFont="1" applyFill="1" applyBorder="1" applyAlignment="1">
      <alignment horizontal="center" vertical="center" wrapText="1"/>
    </xf>
    <xf numFmtId="0" fontId="37" fillId="18" borderId="0" xfId="0" applyFont="1" applyFill="1" applyAlignment="1">
      <alignment horizontal="center" vertical="center"/>
    </xf>
    <xf numFmtId="0" fontId="58" fillId="18" borderId="0" xfId="0" applyFont="1" applyFill="1" applyAlignment="1">
      <alignment horizontal="center" vertical="center"/>
    </xf>
    <xf numFmtId="0" fontId="58" fillId="24" borderId="52" xfId="0" applyFont="1" applyFill="1" applyBorder="1" applyAlignment="1">
      <alignment horizontal="center" vertical="center" wrapText="1"/>
    </xf>
    <xf numFmtId="0" fontId="40" fillId="18" borderId="42" xfId="0" applyFont="1" applyFill="1" applyBorder="1" applyAlignment="1">
      <alignment horizontal="left" vertical="center"/>
    </xf>
    <xf numFmtId="172" fontId="62" fillId="16" borderId="0" xfId="0" applyNumberFormat="1" applyFont="1" applyFill="1" applyAlignment="1">
      <alignment horizontal="center" vertical="center" wrapText="1"/>
    </xf>
    <xf numFmtId="172" fontId="41" fillId="18" borderId="0" xfId="0" applyNumberFormat="1" applyFont="1" applyFill="1" applyAlignment="1">
      <alignment horizontal="center" vertical="center" wrapText="1"/>
    </xf>
    <xf numFmtId="172" fontId="62" fillId="18" borderId="0" xfId="0" applyNumberFormat="1" applyFont="1" applyFill="1" applyAlignment="1">
      <alignment horizontal="center" vertical="center" wrapText="1"/>
    </xf>
    <xf numFmtId="14" fontId="39" fillId="18" borderId="0" xfId="0" applyNumberFormat="1" applyFont="1" applyFill="1" applyAlignment="1">
      <alignment horizontal="center" vertical="center" wrapText="1"/>
    </xf>
    <xf numFmtId="0" fontId="65" fillId="18" borderId="0" xfId="0" applyFont="1" applyFill="1" applyAlignment="1">
      <alignment horizontal="center" vertical="center" wrapText="1"/>
    </xf>
    <xf numFmtId="0" fontId="65" fillId="19" borderId="0" xfId="0" applyFont="1" applyFill="1" applyAlignment="1">
      <alignment horizontal="center" vertical="center" wrapText="1"/>
    </xf>
    <xf numFmtId="0" fontId="47" fillId="18" borderId="32" xfId="0" applyFont="1" applyFill="1" applyBorder="1" applyAlignment="1">
      <alignment horizontal="left" vertical="center" wrapText="1"/>
    </xf>
    <xf numFmtId="0" fontId="46" fillId="18" borderId="32" xfId="0" applyFont="1" applyFill="1" applyBorder="1" applyAlignment="1">
      <alignment horizontal="left" vertical="center" wrapText="1"/>
    </xf>
    <xf numFmtId="0" fontId="48" fillId="18" borderId="35" xfId="0" applyFont="1" applyFill="1" applyBorder="1" applyAlignment="1">
      <alignment horizontal="left" vertical="center" wrapText="1"/>
    </xf>
    <xf numFmtId="0" fontId="59" fillId="6" borderId="55" xfId="0" applyFont="1" applyFill="1" applyBorder="1" applyAlignment="1">
      <alignment horizontal="left" vertical="center" wrapText="1"/>
    </xf>
    <xf numFmtId="0" fontId="59" fillId="6" borderId="2" xfId="0" applyFont="1" applyFill="1" applyBorder="1" applyAlignment="1">
      <alignment horizontal="left" vertical="center" wrapText="1"/>
    </xf>
    <xf numFmtId="0" fontId="59" fillId="6" borderId="1" xfId="0" applyFont="1" applyFill="1" applyBorder="1" applyAlignment="1">
      <alignment horizontal="left" vertical="center" wrapText="1"/>
    </xf>
    <xf numFmtId="0" fontId="59" fillId="22" borderId="1" xfId="0" applyFont="1" applyFill="1" applyBorder="1" applyAlignment="1">
      <alignment horizontal="left" vertical="center" wrapText="1"/>
    </xf>
    <xf numFmtId="0" fontId="59" fillId="22" borderId="56" xfId="0" applyFont="1" applyFill="1" applyBorder="1" applyAlignment="1">
      <alignment horizontal="left" vertical="center" wrapText="1"/>
    </xf>
    <xf numFmtId="0" fontId="46" fillId="18" borderId="38" xfId="0" applyFont="1" applyFill="1" applyBorder="1" applyAlignment="1">
      <alignment horizontal="center" vertical="center"/>
    </xf>
    <xf numFmtId="0" fontId="48" fillId="23" borderId="47" xfId="0" applyFont="1" applyFill="1" applyBorder="1" applyAlignment="1">
      <alignment horizontal="center" vertical="center" wrapText="1"/>
    </xf>
    <xf numFmtId="172" fontId="61" fillId="24" borderId="0" xfId="0" applyNumberFormat="1" applyFont="1" applyFill="1" applyAlignment="1">
      <alignment horizontal="center" vertical="center" wrapText="1"/>
    </xf>
    <xf numFmtId="0" fontId="61" fillId="24" borderId="0" xfId="0" applyFont="1" applyFill="1" applyAlignment="1">
      <alignment horizontal="center" vertical="center" wrapText="1"/>
    </xf>
    <xf numFmtId="172" fontId="61" fillId="24" borderId="48" xfId="0" applyNumberFormat="1" applyFont="1" applyFill="1" applyBorder="1" applyAlignment="1">
      <alignment horizontal="center" vertical="center" wrapText="1"/>
    </xf>
    <xf numFmtId="173" fontId="41" fillId="24" borderId="0" xfId="0" applyNumberFormat="1" applyFont="1" applyFill="1" applyAlignment="1">
      <alignment horizontal="center" vertical="center" wrapText="1"/>
    </xf>
    <xf numFmtId="0" fontId="41" fillId="24" borderId="0" xfId="0" applyFont="1" applyFill="1" applyAlignment="1">
      <alignment horizontal="center" vertical="center" wrapText="1"/>
    </xf>
    <xf numFmtId="0" fontId="41" fillId="24" borderId="47" xfId="0" applyFont="1" applyFill="1" applyBorder="1" applyAlignment="1">
      <alignment horizontal="center" vertical="center" wrapText="1"/>
    </xf>
    <xf numFmtId="0" fontId="61" fillId="24" borderId="51" xfId="0" applyFont="1" applyFill="1" applyBorder="1" applyAlignment="1">
      <alignment horizontal="center" vertical="center" wrapText="1"/>
    </xf>
    <xf numFmtId="172" fontId="60" fillId="24" borderId="0" xfId="0" applyNumberFormat="1" applyFont="1" applyFill="1" applyAlignment="1">
      <alignment horizontal="center" vertical="center" wrapText="1"/>
    </xf>
    <xf numFmtId="1" fontId="41" fillId="18" borderId="0" xfId="0" applyNumberFormat="1" applyFont="1" applyFill="1" applyAlignment="1">
      <alignment horizontal="center" vertical="center" wrapText="1"/>
    </xf>
    <xf numFmtId="1" fontId="40" fillId="6" borderId="55" xfId="0" applyNumberFormat="1" applyFont="1" applyFill="1" applyBorder="1" applyAlignment="1">
      <alignment horizontal="center" vertical="center" wrapText="1"/>
    </xf>
    <xf numFmtId="1" fontId="40" fillId="6" borderId="2" xfId="0" applyNumberFormat="1" applyFont="1" applyFill="1" applyBorder="1" applyAlignment="1">
      <alignment horizontal="center" vertical="center" wrapText="1"/>
    </xf>
    <xf numFmtId="1" fontId="40" fillId="6" borderId="1" xfId="0" applyNumberFormat="1" applyFont="1" applyFill="1" applyBorder="1" applyAlignment="1">
      <alignment horizontal="center" vertical="center" wrapText="1"/>
    </xf>
    <xf numFmtId="1" fontId="40" fillId="22" borderId="1" xfId="0" applyNumberFormat="1" applyFont="1" applyFill="1" applyBorder="1" applyAlignment="1">
      <alignment horizontal="center" vertical="center" wrapText="1"/>
    </xf>
    <xf numFmtId="1" fontId="40" fillId="22" borderId="56" xfId="0" applyNumberFormat="1" applyFont="1" applyFill="1" applyBorder="1" applyAlignment="1">
      <alignment horizontal="center" vertical="center" wrapText="1"/>
    </xf>
    <xf numFmtId="1" fontId="48" fillId="24" borderId="0" xfId="0" applyNumberFormat="1" applyFont="1" applyFill="1" applyAlignment="1">
      <alignment horizontal="center" vertical="center" wrapText="1"/>
    </xf>
    <xf numFmtId="1" fontId="59" fillId="6" borderId="55" xfId="0" applyNumberFormat="1" applyFont="1" applyFill="1" applyBorder="1" applyAlignment="1">
      <alignment horizontal="center" vertical="center" wrapText="1"/>
    </xf>
    <xf numFmtId="1" fontId="59" fillId="6" borderId="2" xfId="0" applyNumberFormat="1" applyFont="1" applyFill="1" applyBorder="1" applyAlignment="1">
      <alignment horizontal="center" vertical="center" wrapText="1"/>
    </xf>
    <xf numFmtId="1" fontId="59" fillId="6" borderId="1" xfId="0" applyNumberFormat="1" applyFont="1" applyFill="1" applyBorder="1" applyAlignment="1">
      <alignment horizontal="center" vertical="center" wrapText="1"/>
    </xf>
    <xf numFmtId="1" fontId="59" fillId="22" borderId="1" xfId="0" applyNumberFormat="1" applyFont="1" applyFill="1" applyBorder="1" applyAlignment="1">
      <alignment horizontal="center" vertical="center" wrapText="1"/>
    </xf>
    <xf numFmtId="1" fontId="59" fillId="22" borderId="56" xfId="0" applyNumberFormat="1" applyFont="1" applyFill="1" applyBorder="1" applyAlignment="1">
      <alignment horizontal="center" vertical="center" wrapText="1"/>
    </xf>
    <xf numFmtId="0" fontId="62" fillId="24" borderId="0" xfId="0" applyFont="1" applyFill="1" applyAlignment="1">
      <alignment horizontal="center" vertical="center" wrapText="1"/>
    </xf>
    <xf numFmtId="0" fontId="61" fillId="24" borderId="16" xfId="0" applyFont="1" applyFill="1" applyBorder="1" applyAlignment="1">
      <alignment horizontal="center" vertical="center" wrapText="1"/>
    </xf>
    <xf numFmtId="0" fontId="61" fillId="24" borderId="0" xfId="0" applyFont="1" applyFill="1" applyAlignment="1">
      <alignment horizontal="center" vertical="center"/>
    </xf>
    <xf numFmtId="0" fontId="62" fillId="24" borderId="52" xfId="0" applyFont="1" applyFill="1" applyBorder="1" applyAlignment="1">
      <alignment horizontal="center" vertical="center" wrapText="1"/>
    </xf>
    <xf numFmtId="0" fontId="62" fillId="18" borderId="63" xfId="0" applyFont="1" applyFill="1" applyBorder="1" applyAlignment="1">
      <alignment horizontal="center" vertical="center" wrapText="1"/>
    </xf>
    <xf numFmtId="172" fontId="40" fillId="18" borderId="58" xfId="0" applyNumberFormat="1" applyFont="1" applyFill="1" applyBorder="1" applyAlignment="1">
      <alignment horizontal="center" vertical="center" wrapText="1"/>
    </xf>
    <xf numFmtId="0" fontId="40" fillId="18" borderId="58" xfId="0" applyFont="1" applyFill="1" applyBorder="1" applyAlignment="1">
      <alignment horizontal="center" vertical="center"/>
    </xf>
    <xf numFmtId="0" fontId="44" fillId="18" borderId="35" xfId="0" applyFont="1" applyFill="1" applyBorder="1" applyAlignment="1">
      <alignment horizontal="left" vertical="center"/>
    </xf>
    <xf numFmtId="0" fontId="39" fillId="18" borderId="41" xfId="0" applyFont="1" applyFill="1" applyBorder="1" applyAlignment="1">
      <alignment horizontal="center" vertical="center" wrapText="1"/>
    </xf>
    <xf numFmtId="0" fontId="58" fillId="24" borderId="16" xfId="0" applyFont="1" applyFill="1" applyBorder="1" applyAlignment="1">
      <alignment horizontal="center" vertical="center" wrapText="1"/>
    </xf>
    <xf numFmtId="0" fontId="60" fillId="18" borderId="52" xfId="0" applyFont="1" applyFill="1" applyBorder="1" applyAlignment="1">
      <alignment horizontal="center" vertical="center" wrapText="1"/>
    </xf>
    <xf numFmtId="0" fontId="41" fillId="18" borderId="51" xfId="0" applyFont="1" applyFill="1" applyBorder="1" applyAlignment="1">
      <alignment horizontal="center" vertical="center" wrapText="1"/>
    </xf>
    <xf numFmtId="0" fontId="41" fillId="19" borderId="0" xfId="0" applyFont="1" applyFill="1" applyAlignment="1">
      <alignment horizontal="center" vertical="center" wrapText="1"/>
    </xf>
    <xf numFmtId="0" fontId="61" fillId="18" borderId="0" xfId="0" applyFont="1" applyFill="1" applyAlignment="1">
      <alignment horizontal="left" vertical="center"/>
    </xf>
    <xf numFmtId="172" fontId="58" fillId="18" borderId="61" xfId="0" applyNumberFormat="1" applyFont="1" applyFill="1" applyBorder="1" applyAlignment="1">
      <alignment horizontal="center" vertical="center" wrapText="1"/>
    </xf>
    <xf numFmtId="172" fontId="58" fillId="18" borderId="58" xfId="0" applyNumberFormat="1" applyFont="1" applyFill="1" applyBorder="1" applyAlignment="1">
      <alignment horizontal="center" vertical="center" wrapText="1"/>
    </xf>
    <xf numFmtId="0" fontId="58" fillId="18" borderId="58" xfId="0" applyFont="1" applyFill="1" applyBorder="1" applyAlignment="1">
      <alignment horizontal="center" vertical="center" wrapText="1"/>
    </xf>
    <xf numFmtId="0" fontId="48" fillId="18" borderId="58" xfId="0" applyFont="1" applyFill="1" applyBorder="1" applyAlignment="1">
      <alignment horizontal="center" vertical="center" wrapText="1"/>
    </xf>
    <xf numFmtId="0" fontId="58" fillId="18" borderId="62" xfId="0" applyFont="1" applyFill="1" applyBorder="1" applyAlignment="1">
      <alignment horizontal="center" vertical="center" wrapText="1"/>
    </xf>
    <xf numFmtId="0" fontId="58" fillId="18" borderId="59" xfId="0" applyFont="1" applyFill="1" applyBorder="1" applyAlignment="1">
      <alignment horizontal="center" vertical="center" wrapText="1"/>
    </xf>
    <xf numFmtId="0" fontId="60" fillId="18" borderId="58" xfId="0" applyFont="1" applyFill="1" applyBorder="1" applyAlignment="1">
      <alignment horizontal="center" vertical="center" wrapText="1"/>
    </xf>
    <xf numFmtId="0" fontId="60" fillId="18" borderId="63" xfId="0" applyFont="1" applyFill="1" applyBorder="1" applyAlignment="1">
      <alignment horizontal="center" vertical="center" wrapText="1"/>
    </xf>
    <xf numFmtId="172" fontId="60" fillId="18" borderId="58" xfId="0" applyNumberFormat="1" applyFont="1" applyFill="1" applyBorder="1" applyAlignment="1">
      <alignment horizontal="center" vertical="center" wrapText="1"/>
    </xf>
    <xf numFmtId="0" fontId="60" fillId="18" borderId="64" xfId="0" applyFont="1" applyFill="1" applyBorder="1" applyAlignment="1">
      <alignment horizontal="center" vertical="center" wrapText="1"/>
    </xf>
    <xf numFmtId="0" fontId="64" fillId="19" borderId="0" xfId="0" applyFont="1" applyFill="1" applyAlignment="1">
      <alignment horizontal="center" vertical="center" wrapText="1"/>
    </xf>
    <xf numFmtId="0" fontId="48" fillId="18" borderId="40" xfId="0" applyFont="1" applyFill="1" applyBorder="1" applyAlignment="1">
      <alignment horizontal="center" vertical="center"/>
    </xf>
    <xf numFmtId="0" fontId="48" fillId="23" borderId="67" xfId="0" applyFont="1" applyFill="1" applyBorder="1" applyAlignment="1">
      <alignment horizontal="center" vertical="center" wrapText="1"/>
    </xf>
    <xf numFmtId="0" fontId="48" fillId="23" borderId="51" xfId="0" applyFont="1" applyFill="1" applyBorder="1" applyAlignment="1">
      <alignment horizontal="center" vertical="center" wrapText="1"/>
    </xf>
    <xf numFmtId="0" fontId="48" fillId="24" borderId="51" xfId="0" applyFont="1" applyFill="1" applyBorder="1" applyAlignment="1">
      <alignment horizontal="center" vertical="center" wrapText="1"/>
    </xf>
    <xf numFmtId="174" fontId="38" fillId="18" borderId="0" xfId="0" applyNumberFormat="1" applyFont="1" applyFill="1" applyAlignment="1">
      <alignment horizontal="center" vertical="center" wrapText="1"/>
    </xf>
    <xf numFmtId="172" fontId="61" fillId="16" borderId="58" xfId="0" applyNumberFormat="1" applyFont="1" applyFill="1" applyBorder="1" applyAlignment="1">
      <alignment horizontal="center" vertical="center" wrapText="1"/>
    </xf>
    <xf numFmtId="0" fontId="61" fillId="18" borderId="58" xfId="0" applyFont="1" applyFill="1" applyBorder="1" applyAlignment="1">
      <alignment horizontal="center" vertical="center" wrapText="1"/>
    </xf>
    <xf numFmtId="172" fontId="61" fillId="18" borderId="58" xfId="0" applyNumberFormat="1" applyFont="1" applyFill="1" applyBorder="1" applyAlignment="1">
      <alignment horizontal="center" vertical="center" wrapText="1"/>
    </xf>
    <xf numFmtId="0" fontId="61" fillId="18" borderId="60" xfId="0" applyFont="1" applyFill="1" applyBorder="1" applyAlignment="1">
      <alignment horizontal="center" vertical="center" wrapText="1"/>
    </xf>
    <xf numFmtId="172" fontId="61" fillId="18" borderId="61" xfId="0" applyNumberFormat="1" applyFont="1" applyFill="1" applyBorder="1" applyAlignment="1">
      <alignment horizontal="center" vertical="center" wrapText="1"/>
    </xf>
    <xf numFmtId="0" fontId="41" fillId="18" borderId="59" xfId="0" applyFont="1" applyFill="1" applyBorder="1" applyAlignment="1">
      <alignment horizontal="center" vertical="center" wrapText="1"/>
    </xf>
    <xf numFmtId="0" fontId="61" fillId="18" borderId="62" xfId="0" applyFont="1" applyFill="1" applyBorder="1" applyAlignment="1">
      <alignment horizontal="center" vertical="center" wrapText="1"/>
    </xf>
    <xf numFmtId="172" fontId="61" fillId="18" borderId="59" xfId="0" applyNumberFormat="1" applyFont="1" applyFill="1" applyBorder="1" applyAlignment="1">
      <alignment horizontal="center" vertical="center" wrapText="1"/>
    </xf>
    <xf numFmtId="0" fontId="61" fillId="18" borderId="63" xfId="0" applyFont="1" applyFill="1" applyBorder="1" applyAlignment="1">
      <alignment horizontal="center" vertical="center" wrapText="1"/>
    </xf>
    <xf numFmtId="0" fontId="61" fillId="18" borderId="58" xfId="0" applyFont="1" applyFill="1" applyBorder="1" applyAlignment="1">
      <alignment horizontal="center" vertical="center"/>
    </xf>
    <xf numFmtId="0" fontId="40" fillId="18" borderId="0" xfId="0" applyFont="1" applyFill="1" applyAlignment="1">
      <alignment horizontal="center" vertical="center" shrinkToFit="1"/>
    </xf>
    <xf numFmtId="0" fontId="58" fillId="18" borderId="60" xfId="0" applyFont="1" applyFill="1" applyBorder="1" applyAlignment="1">
      <alignment horizontal="center" vertical="center" wrapText="1"/>
    </xf>
    <xf numFmtId="0" fontId="46" fillId="18" borderId="68" xfId="0" applyFont="1" applyFill="1" applyBorder="1" applyAlignment="1">
      <alignment horizontal="center" vertical="center" wrapText="1"/>
    </xf>
    <xf numFmtId="172" fontId="46" fillId="18" borderId="31" xfId="0" applyNumberFormat="1" applyFont="1" applyFill="1" applyBorder="1" applyAlignment="1">
      <alignment horizontal="left" vertical="center"/>
    </xf>
    <xf numFmtId="0" fontId="56" fillId="23" borderId="69" xfId="0" applyFont="1" applyFill="1" applyBorder="1" applyAlignment="1">
      <alignment horizontal="center" vertical="center" wrapText="1"/>
    </xf>
    <xf numFmtId="172" fontId="56" fillId="23" borderId="42" xfId="0" applyNumberFormat="1" applyFont="1" applyFill="1" applyBorder="1" applyAlignment="1">
      <alignment horizontal="center" vertical="center" wrapText="1"/>
    </xf>
    <xf numFmtId="172" fontId="62" fillId="18" borderId="62" xfId="0" applyNumberFormat="1" applyFont="1" applyFill="1" applyBorder="1" applyAlignment="1">
      <alignment horizontal="center" vertical="center" wrapText="1"/>
    </xf>
    <xf numFmtId="172" fontId="58" fillId="18" borderId="62" xfId="0" applyNumberFormat="1" applyFont="1" applyFill="1" applyBorder="1" applyAlignment="1">
      <alignment horizontal="center" vertical="center" wrapText="1"/>
    </xf>
    <xf numFmtId="0" fontId="60" fillId="18" borderId="65" xfId="0" applyFont="1" applyFill="1" applyBorder="1" applyAlignment="1">
      <alignment horizontal="center" vertical="center" wrapText="1"/>
    </xf>
    <xf numFmtId="172" fontId="60" fillId="18" borderId="57" xfId="0" applyNumberFormat="1" applyFont="1" applyFill="1" applyBorder="1" applyAlignment="1">
      <alignment horizontal="center" vertical="center" wrapText="1"/>
    </xf>
    <xf numFmtId="0" fontId="59" fillId="18" borderId="0" xfId="0" applyFont="1" applyFill="1" applyAlignment="1">
      <alignment horizontal="center" vertical="center" wrapText="1"/>
    </xf>
    <xf numFmtId="0" fontId="59" fillId="19" borderId="0" xfId="0" applyFont="1" applyFill="1" applyAlignment="1">
      <alignment horizontal="center" vertical="center" wrapText="1"/>
    </xf>
    <xf numFmtId="0" fontId="59" fillId="18" borderId="61" xfId="0" applyFont="1" applyFill="1" applyBorder="1" applyAlignment="1">
      <alignment horizontal="center" vertical="center" wrapText="1"/>
    </xf>
    <xf numFmtId="0" fontId="59" fillId="18" borderId="58" xfId="0" applyFont="1" applyFill="1" applyBorder="1" applyAlignment="1">
      <alignment horizontal="center" vertical="center" wrapText="1"/>
    </xf>
    <xf numFmtId="0" fontId="40" fillId="18" borderId="58" xfId="0" applyFont="1" applyFill="1" applyBorder="1" applyAlignment="1">
      <alignment horizontal="center" vertical="center" shrinkToFit="1"/>
    </xf>
    <xf numFmtId="174" fontId="66" fillId="18" borderId="0" xfId="0" applyNumberFormat="1" applyFont="1" applyFill="1" applyAlignment="1">
      <alignment horizontal="center" vertical="center" wrapText="1"/>
    </xf>
    <xf numFmtId="0" fontId="40" fillId="6" borderId="45" xfId="0" applyFont="1" applyFill="1" applyBorder="1" applyAlignment="1">
      <alignment horizontal="center" vertical="center" wrapText="1"/>
    </xf>
    <xf numFmtId="0" fontId="40" fillId="6" borderId="70" xfId="0" applyFont="1" applyFill="1" applyBorder="1" applyAlignment="1">
      <alignment horizontal="center" vertical="center" wrapText="1"/>
    </xf>
    <xf numFmtId="0" fontId="40" fillId="6" borderId="46" xfId="0" applyFont="1" applyFill="1" applyBorder="1" applyAlignment="1">
      <alignment horizontal="center" vertical="center" wrapText="1"/>
    </xf>
    <xf numFmtId="0" fontId="40" fillId="22" borderId="46" xfId="0" applyFont="1" applyFill="1" applyBorder="1" applyAlignment="1">
      <alignment horizontal="center" vertical="center" wrapText="1"/>
    </xf>
    <xf numFmtId="0" fontId="40" fillId="22" borderId="71" xfId="0" applyFont="1" applyFill="1" applyBorder="1" applyAlignment="1">
      <alignment horizontal="center" vertical="center" wrapText="1"/>
    </xf>
    <xf numFmtId="0" fontId="40" fillId="18" borderId="35" xfId="0" applyFont="1" applyFill="1" applyBorder="1" applyAlignment="1">
      <alignment horizontal="center" vertical="center" wrapText="1"/>
    </xf>
    <xf numFmtId="0" fontId="40" fillId="19" borderId="35" xfId="0" applyFont="1" applyFill="1" applyBorder="1" applyAlignment="1">
      <alignment horizontal="center" vertical="center" wrapText="1"/>
    </xf>
    <xf numFmtId="0" fontId="67" fillId="18" borderId="0" xfId="0" applyFont="1" applyFill="1" applyAlignment="1">
      <alignment horizontal="center" vertical="center" wrapText="1"/>
    </xf>
    <xf numFmtId="0" fontId="67" fillId="19" borderId="0" xfId="0" applyFont="1" applyFill="1" applyAlignment="1">
      <alignment horizontal="center" vertical="center" wrapText="1"/>
    </xf>
    <xf numFmtId="0" fontId="39" fillId="19" borderId="0" xfId="0" applyFont="1" applyFill="1" applyAlignment="1">
      <alignment horizontal="center" vertical="center"/>
    </xf>
    <xf numFmtId="0" fontId="41" fillId="18" borderId="0" xfId="0" applyFont="1" applyFill="1" applyAlignment="1">
      <alignment horizontal="center" vertical="center"/>
    </xf>
    <xf numFmtId="173" fontId="41" fillId="18" borderId="0" xfId="0" applyNumberFormat="1" applyFont="1" applyFill="1" applyAlignment="1">
      <alignment horizontal="center" vertical="center"/>
    </xf>
    <xf numFmtId="0" fontId="38" fillId="18" borderId="0" xfId="0" applyFont="1" applyFill="1" applyAlignment="1">
      <alignment horizontal="center" vertical="center"/>
    </xf>
    <xf numFmtId="0" fontId="68" fillId="0" borderId="0" xfId="0" applyFont="1"/>
    <xf numFmtId="0" fontId="68" fillId="0" borderId="0" xfId="0" applyFont="1" applyAlignment="1">
      <alignment horizontal="center"/>
    </xf>
    <xf numFmtId="0" fontId="2" fillId="0" borderId="0" xfId="0" applyFont="1" applyAlignment="1">
      <alignment vertical="center"/>
    </xf>
    <xf numFmtId="0" fontId="2" fillId="15" borderId="0" xfId="0" applyFont="1" applyFill="1" applyAlignment="1">
      <alignment vertical="center"/>
    </xf>
    <xf numFmtId="0" fontId="2" fillId="27" borderId="0" xfId="0" applyFont="1" applyFill="1" applyAlignment="1">
      <alignment vertical="center"/>
    </xf>
    <xf numFmtId="0" fontId="69" fillId="28" borderId="0" xfId="0" applyFont="1" applyFill="1" applyAlignment="1">
      <alignment vertical="center"/>
    </xf>
    <xf numFmtId="0" fontId="70" fillId="0" borderId="0" xfId="0" applyFont="1" applyAlignment="1">
      <alignment horizontal="center" vertical="center"/>
    </xf>
    <xf numFmtId="0" fontId="70" fillId="0" borderId="0" xfId="0" applyFont="1"/>
    <xf numFmtId="0" fontId="70" fillId="15" borderId="0" xfId="0" applyFont="1" applyFill="1"/>
    <xf numFmtId="0" fontId="70" fillId="0" borderId="0" xfId="0" applyFont="1" applyAlignment="1">
      <alignment wrapText="1"/>
    </xf>
    <xf numFmtId="0" fontId="70" fillId="0" borderId="0" xfId="0" applyFont="1" applyAlignment="1">
      <alignment horizontal="center"/>
    </xf>
    <xf numFmtId="0" fontId="70" fillId="15" borderId="0" xfId="0" applyFont="1" applyFill="1" applyAlignment="1">
      <alignment horizontal="center"/>
    </xf>
    <xf numFmtId="0" fontId="68" fillId="15" borderId="0" xfId="0" applyFont="1" applyFill="1" applyAlignment="1">
      <alignment horizontal="center" vertical="center"/>
    </xf>
    <xf numFmtId="0" fontId="71" fillId="0" borderId="0" xfId="0" applyFont="1"/>
    <xf numFmtId="0" fontId="71" fillId="15" borderId="0" xfId="0" applyFont="1" applyFill="1"/>
    <xf numFmtId="0" fontId="71" fillId="0" borderId="0" xfId="0" applyFont="1" applyAlignment="1">
      <alignment horizontal="center" vertical="center"/>
    </xf>
    <xf numFmtId="0" fontId="72" fillId="0" borderId="0" xfId="0" applyFont="1" applyAlignment="1">
      <alignment horizontal="right"/>
    </xf>
    <xf numFmtId="0" fontId="68" fillId="0" borderId="0" xfId="0" applyFont="1" applyAlignment="1">
      <alignment horizontal="center" vertical="center"/>
    </xf>
    <xf numFmtId="0" fontId="68" fillId="15" borderId="0" xfId="0" applyFont="1" applyFill="1"/>
    <xf numFmtId="0" fontId="15" fillId="16" borderId="0" xfId="0" applyFont="1" applyFill="1" applyAlignment="1">
      <alignment horizontal="left" vertical="center"/>
    </xf>
    <xf numFmtId="0" fontId="68" fillId="16" borderId="0" xfId="0" applyFont="1" applyFill="1" applyAlignment="1">
      <alignment wrapText="1"/>
    </xf>
    <xf numFmtId="0" fontId="68" fillId="16" borderId="0" xfId="0" applyFont="1" applyFill="1"/>
    <xf numFmtId="0" fontId="68" fillId="15" borderId="0" xfId="0" applyFont="1" applyFill="1" applyAlignment="1">
      <alignment horizontal="center"/>
    </xf>
    <xf numFmtId="0" fontId="73" fillId="0" borderId="0" xfId="0" applyFont="1" applyAlignment="1">
      <alignment vertical="center"/>
    </xf>
    <xf numFmtId="0" fontId="15" fillId="0" borderId="0" xfId="0" applyFont="1" applyAlignment="1">
      <alignment horizontal="left" vertical="center"/>
    </xf>
    <xf numFmtId="0" fontId="68" fillId="0" borderId="0" xfId="0" applyFont="1" applyAlignment="1">
      <alignment wrapText="1"/>
    </xf>
    <xf numFmtId="167" fontId="21" fillId="0" borderId="0" xfId="0" applyNumberFormat="1" applyFont="1" applyAlignment="1">
      <alignment horizontal="right" vertical="center"/>
    </xf>
    <xf numFmtId="167" fontId="20" fillId="0" borderId="0" xfId="0" applyNumberFormat="1" applyFont="1" applyAlignment="1">
      <alignment horizontal="center" vertical="center"/>
    </xf>
    <xf numFmtId="167" fontId="20" fillId="29" borderId="0" xfId="0" applyNumberFormat="1" applyFont="1" applyFill="1" applyAlignment="1">
      <alignment horizontal="right" vertical="center"/>
    </xf>
    <xf numFmtId="167" fontId="20" fillId="30" borderId="0" xfId="0" applyNumberFormat="1" applyFont="1" applyFill="1" applyAlignment="1">
      <alignment horizontal="right" vertical="center"/>
    </xf>
    <xf numFmtId="0" fontId="36" fillId="8" borderId="1" xfId="0" applyFont="1" applyFill="1" applyBorder="1" applyAlignment="1">
      <alignment horizontal="center" vertical="center" wrapText="1"/>
    </xf>
    <xf numFmtId="0" fontId="36" fillId="15" borderId="1" xfId="0" applyFont="1" applyFill="1" applyBorder="1" applyAlignment="1">
      <alignment horizontal="center" vertical="center" wrapText="1"/>
    </xf>
    <xf numFmtId="0" fontId="36" fillId="31" borderId="72" xfId="0" applyFont="1" applyFill="1" applyBorder="1" applyAlignment="1">
      <alignment horizontal="center" vertical="center" wrapText="1"/>
    </xf>
    <xf numFmtId="0" fontId="36" fillId="6" borderId="1" xfId="0" applyFont="1" applyFill="1" applyBorder="1" applyAlignment="1">
      <alignment horizontal="center" vertical="center" wrapText="1"/>
    </xf>
    <xf numFmtId="0" fontId="36" fillId="30" borderId="1" xfId="0" applyFont="1" applyFill="1" applyBorder="1" applyAlignment="1">
      <alignment horizontal="center" vertical="center" wrapText="1"/>
    </xf>
    <xf numFmtId="0" fontId="68" fillId="4" borderId="1" xfId="0" applyFont="1" applyFill="1" applyBorder="1" applyAlignment="1">
      <alignment horizontal="center" vertical="center"/>
    </xf>
    <xf numFmtId="0" fontId="68" fillId="0" borderId="1" xfId="0" applyFont="1" applyBorder="1"/>
    <xf numFmtId="0" fontId="68" fillId="15" borderId="1" xfId="0" applyFont="1" applyFill="1" applyBorder="1"/>
    <xf numFmtId="0" fontId="68" fillId="31" borderId="72" xfId="0" applyFont="1" applyFill="1" applyBorder="1" applyAlignment="1">
      <alignment horizontal="center" vertical="center"/>
    </xf>
    <xf numFmtId="0" fontId="36" fillId="4" borderId="1" xfId="0" applyFont="1" applyFill="1" applyBorder="1" applyAlignment="1">
      <alignment horizontal="center" vertical="center" wrapText="1"/>
    </xf>
    <xf numFmtId="0" fontId="68" fillId="4" borderId="1" xfId="0" applyFont="1" applyFill="1" applyBorder="1"/>
    <xf numFmtId="0" fontId="68" fillId="4" borderId="5" xfId="0" applyFont="1" applyFill="1" applyBorder="1" applyAlignment="1">
      <alignment horizontal="center" vertical="center"/>
    </xf>
    <xf numFmtId="0" fontId="68" fillId="0" borderId="5" xfId="0" applyFont="1" applyBorder="1" applyAlignment="1">
      <alignment horizontal="center"/>
    </xf>
    <xf numFmtId="0" fontId="68" fillId="15" borderId="5" xfId="0" applyFont="1" applyFill="1" applyBorder="1" applyAlignment="1">
      <alignment horizontal="center"/>
    </xf>
    <xf numFmtId="0" fontId="68" fillId="31" borderId="73" xfId="0" applyFont="1" applyFill="1" applyBorder="1" applyAlignment="1">
      <alignment horizontal="center" vertical="center"/>
    </xf>
    <xf numFmtId="0" fontId="36" fillId="4" borderId="5" xfId="0" applyFont="1" applyFill="1" applyBorder="1" applyAlignment="1">
      <alignment horizontal="center" vertical="center" wrapText="1"/>
    </xf>
    <xf numFmtId="0" fontId="68" fillId="4" borderId="5" xfId="0" applyFont="1" applyFill="1" applyBorder="1" applyAlignment="1">
      <alignment horizontal="center"/>
    </xf>
    <xf numFmtId="0" fontId="24" fillId="8" borderId="16" xfId="0" applyFont="1" applyFill="1" applyBorder="1" applyAlignment="1">
      <alignment horizontal="center" vertical="center" wrapText="1"/>
    </xf>
    <xf numFmtId="0" fontId="36" fillId="15" borderId="5" xfId="0" applyFont="1" applyFill="1" applyBorder="1" applyAlignment="1">
      <alignment horizontal="center" vertical="center" wrapText="1"/>
    </xf>
    <xf numFmtId="0" fontId="74" fillId="0" borderId="16" xfId="0" applyFont="1" applyBorder="1" applyAlignment="1">
      <alignment horizontal="center" vertical="center" wrapText="1"/>
    </xf>
    <xf numFmtId="0" fontId="2" fillId="15" borderId="17" xfId="0" applyFont="1" applyFill="1" applyBorder="1" applyAlignment="1">
      <alignment horizontal="center" vertical="center" wrapText="1"/>
    </xf>
    <xf numFmtId="0" fontId="2" fillId="0" borderId="74" xfId="0" applyFont="1" applyBorder="1" applyAlignment="1">
      <alignment vertical="center" wrapText="1"/>
    </xf>
    <xf numFmtId="2" fontId="2" fillId="0" borderId="74" xfId="1" applyNumberFormat="1" applyFont="1" applyFill="1" applyBorder="1" applyAlignment="1">
      <alignment vertical="center"/>
    </xf>
    <xf numFmtId="2" fontId="74" fillId="0" borderId="75" xfId="0" applyNumberFormat="1" applyFont="1" applyBorder="1" applyAlignment="1">
      <alignment vertical="center" wrapText="1"/>
    </xf>
    <xf numFmtId="0" fontId="2" fillId="0" borderId="17" xfId="0" applyFont="1" applyBorder="1" applyAlignment="1">
      <alignment horizontal="center" vertical="center"/>
    </xf>
    <xf numFmtId="0" fontId="2" fillId="0" borderId="16" xfId="0" applyFont="1" applyBorder="1" applyAlignment="1">
      <alignment horizontal="center" vertical="center" wrapText="1"/>
    </xf>
    <xf numFmtId="0" fontId="2" fillId="0" borderId="76" xfId="0" applyFont="1" applyBorder="1" applyAlignment="1">
      <alignment horizontal="center" vertical="center" wrapText="1"/>
    </xf>
    <xf numFmtId="0" fontId="2" fillId="0" borderId="17" xfId="0" applyFont="1" applyBorder="1" applyAlignment="1">
      <alignment horizontal="left" vertical="center" wrapText="1"/>
    </xf>
    <xf numFmtId="172" fontId="2" fillId="0" borderId="76" xfId="0" applyNumberFormat="1" applyFont="1" applyBorder="1" applyAlignment="1">
      <alignment horizontal="center" vertical="center"/>
    </xf>
    <xf numFmtId="172" fontId="2" fillId="0" borderId="17" xfId="0" applyNumberFormat="1" applyFont="1" applyBorder="1" applyAlignment="1">
      <alignment horizontal="center" vertical="center"/>
    </xf>
    <xf numFmtId="2" fontId="2" fillId="15" borderId="17" xfId="1" applyNumberFormat="1" applyFont="1" applyFill="1" applyBorder="1" applyAlignment="1">
      <alignment horizontal="center" vertical="center"/>
    </xf>
    <xf numFmtId="167" fontId="2" fillId="0" borderId="16" xfId="0" applyNumberFormat="1" applyFont="1" applyBorder="1" applyAlignment="1">
      <alignment horizontal="center" vertical="center" wrapText="1"/>
    </xf>
    <xf numFmtId="172" fontId="2" fillId="0" borderId="16" xfId="0" applyNumberFormat="1" applyFont="1" applyBorder="1" applyAlignment="1">
      <alignment horizontal="center" vertical="center"/>
    </xf>
    <xf numFmtId="175" fontId="2" fillId="0" borderId="16" xfId="0" applyNumberFormat="1" applyFont="1" applyBorder="1" applyAlignment="1">
      <alignment horizontal="center" vertical="center"/>
    </xf>
    <xf numFmtId="0" fontId="2" fillId="0" borderId="16" xfId="0" applyFont="1" applyBorder="1" applyAlignment="1">
      <alignment vertical="center"/>
    </xf>
    <xf numFmtId="174" fontId="2" fillId="0" borderId="77" xfId="0" applyNumberFormat="1" applyFont="1" applyBorder="1" applyAlignment="1">
      <alignment horizontal="center" vertical="center" wrapText="1"/>
    </xf>
    <xf numFmtId="172" fontId="75" fillId="0" borderId="17" xfId="0" applyNumberFormat="1" applyFont="1" applyBorder="1" applyAlignment="1">
      <alignment horizontal="center" vertical="center"/>
    </xf>
    <xf numFmtId="172" fontId="2" fillId="25" borderId="17" xfId="0" applyNumberFormat="1" applyFont="1" applyFill="1" applyBorder="1" applyAlignment="1">
      <alignment horizontal="center" vertical="center"/>
    </xf>
    <xf numFmtId="175" fontId="2" fillId="0" borderId="17" xfId="0" applyNumberFormat="1" applyFont="1" applyBorder="1" applyAlignment="1">
      <alignment horizontal="center" vertical="center"/>
    </xf>
    <xf numFmtId="0" fontId="74"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78" xfId="0" applyFont="1" applyBorder="1" applyAlignment="1">
      <alignment vertical="center" wrapText="1"/>
    </xf>
    <xf numFmtId="2" fontId="2" fillId="0" borderId="79" xfId="1" applyNumberFormat="1" applyFont="1" applyFill="1" applyBorder="1" applyAlignment="1">
      <alignment vertical="center"/>
    </xf>
    <xf numFmtId="2" fontId="74" fillId="0" borderId="80" xfId="0" applyNumberFormat="1" applyFont="1" applyBorder="1" applyAlignment="1">
      <alignment vertical="center" wrapText="1"/>
    </xf>
    <xf numFmtId="0" fontId="2" fillId="0" borderId="23" xfId="0" applyFont="1" applyBorder="1" applyAlignment="1">
      <alignment horizontal="center" vertical="center"/>
    </xf>
    <xf numFmtId="0" fontId="2" fillId="0" borderId="22" xfId="0" applyFont="1" applyBorder="1" applyAlignment="1">
      <alignment horizontal="center" vertical="center" wrapText="1"/>
    </xf>
    <xf numFmtId="0" fontId="2" fillId="0" borderId="23" xfId="0" applyFont="1" applyBorder="1" applyAlignment="1">
      <alignment horizontal="left" vertical="center" wrapText="1"/>
    </xf>
    <xf numFmtId="172" fontId="2" fillId="0" borderId="23" xfId="0" applyNumberFormat="1" applyFont="1" applyBorder="1" applyAlignment="1">
      <alignment horizontal="center" vertical="center"/>
    </xf>
    <xf numFmtId="2" fontId="2" fillId="15" borderId="23" xfId="1" applyNumberFormat="1" applyFont="1" applyFill="1" applyBorder="1" applyAlignment="1">
      <alignment horizontal="center" vertical="center" wrapText="1"/>
    </xf>
    <xf numFmtId="167" fontId="2" fillId="0" borderId="22" xfId="0" applyNumberFormat="1" applyFont="1" applyBorder="1" applyAlignment="1">
      <alignment horizontal="center" vertical="center" wrapText="1"/>
    </xf>
    <xf numFmtId="172" fontId="2" fillId="0" borderId="22" xfId="0" applyNumberFormat="1" applyFont="1" applyBorder="1" applyAlignment="1">
      <alignment horizontal="center" vertical="center"/>
    </xf>
    <xf numFmtId="0" fontId="2" fillId="0" borderId="22" xfId="0" applyFont="1" applyBorder="1" applyAlignment="1">
      <alignment horizontal="center" vertical="center"/>
    </xf>
    <xf numFmtId="0" fontId="2" fillId="0" borderId="22" xfId="0" applyFont="1" applyBorder="1" applyAlignment="1">
      <alignment vertical="center"/>
    </xf>
    <xf numFmtId="0" fontId="2" fillId="0" borderId="75" xfId="0" applyFont="1" applyBorder="1" applyAlignment="1">
      <alignment vertical="center" wrapText="1"/>
    </xf>
    <xf numFmtId="2" fontId="2" fillId="0" borderId="17" xfId="1" applyNumberFormat="1" applyFont="1" applyFill="1" applyBorder="1" applyAlignment="1">
      <alignment horizontal="center" vertical="center"/>
    </xf>
    <xf numFmtId="0" fontId="2" fillId="0" borderId="80" xfId="0" applyFont="1" applyBorder="1" applyAlignment="1">
      <alignment vertical="center" wrapText="1"/>
    </xf>
    <xf numFmtId="0" fontId="2" fillId="0" borderId="74" xfId="0" applyFont="1" applyBorder="1" applyAlignment="1">
      <alignment vertical="center"/>
    </xf>
    <xf numFmtId="0" fontId="2" fillId="0" borderId="78" xfId="0" applyFont="1" applyBorder="1" applyAlignment="1">
      <alignment vertical="center"/>
    </xf>
    <xf numFmtId="2" fontId="2" fillId="0" borderId="75" xfId="0" applyNumberFormat="1" applyFont="1" applyBorder="1" applyAlignment="1">
      <alignment vertical="center" wrapText="1"/>
    </xf>
    <xf numFmtId="172" fontId="2" fillId="0" borderId="17" xfId="0" applyNumberFormat="1" applyFont="1" applyBorder="1" applyAlignment="1">
      <alignment horizontal="center" vertical="center" wrapText="1"/>
    </xf>
    <xf numFmtId="175" fontId="2" fillId="0" borderId="16" xfId="0" applyNumberFormat="1" applyFont="1" applyBorder="1" applyAlignment="1">
      <alignment horizontal="center" vertical="center" wrapText="1"/>
    </xf>
    <xf numFmtId="2" fontId="2" fillId="0" borderId="80" xfId="0" applyNumberFormat="1" applyFont="1" applyBorder="1" applyAlignment="1">
      <alignment vertical="center" wrapText="1"/>
    </xf>
    <xf numFmtId="172" fontId="2" fillId="0" borderId="23" xfId="0" applyNumberFormat="1" applyFont="1" applyBorder="1" applyAlignment="1">
      <alignment horizontal="center" vertical="center" wrapText="1"/>
    </xf>
    <xf numFmtId="172" fontId="2" fillId="0" borderId="22" xfId="0" applyNumberFormat="1" applyFont="1" applyBorder="1" applyAlignment="1">
      <alignment horizontal="center" vertical="center" wrapText="1"/>
    </xf>
    <xf numFmtId="0" fontId="2" fillId="0" borderId="22" xfId="0" applyFont="1" applyBorder="1" applyAlignment="1">
      <alignment vertical="center" wrapText="1"/>
    </xf>
    <xf numFmtId="0" fontId="2" fillId="16" borderId="17" xfId="0" applyFont="1" applyFill="1" applyBorder="1" applyAlignment="1">
      <alignment horizontal="center" vertical="center" wrapText="1"/>
    </xf>
    <xf numFmtId="172" fontId="2" fillId="15" borderId="17" xfId="0" applyNumberFormat="1" applyFont="1" applyFill="1" applyBorder="1" applyAlignment="1">
      <alignment horizontal="center" vertical="center"/>
    </xf>
    <xf numFmtId="0" fontId="2" fillId="0" borderId="77" xfId="0" applyFont="1" applyBorder="1" applyAlignment="1">
      <alignment horizontal="center" vertical="center" wrapText="1"/>
    </xf>
    <xf numFmtId="172" fontId="75" fillId="15" borderId="17" xfId="0" applyNumberFormat="1" applyFont="1" applyFill="1" applyBorder="1" applyAlignment="1">
      <alignment horizontal="center" vertical="center"/>
    </xf>
    <xf numFmtId="176" fontId="2" fillId="0" borderId="23" xfId="0" applyNumberFormat="1" applyFont="1" applyBorder="1" applyAlignment="1">
      <alignment horizontal="center" vertical="center"/>
    </xf>
    <xf numFmtId="2" fontId="75" fillId="0" borderId="17" xfId="1" applyNumberFormat="1" applyFont="1" applyFill="1" applyBorder="1" applyAlignment="1">
      <alignment horizontal="center" vertical="center"/>
    </xf>
    <xf numFmtId="167" fontId="75" fillId="0" borderId="16" xfId="0" applyNumberFormat="1" applyFont="1" applyBorder="1" applyAlignment="1">
      <alignment horizontal="center" vertical="center" wrapText="1"/>
    </xf>
    <xf numFmtId="0" fontId="2" fillId="0" borderId="81" xfId="0" applyFont="1" applyBorder="1" applyAlignment="1">
      <alignment vertical="center" wrapText="1"/>
    </xf>
    <xf numFmtId="0" fontId="2" fillId="15" borderId="23" xfId="0" applyFont="1" applyFill="1" applyBorder="1" applyAlignment="1">
      <alignment horizontal="center" vertical="center" wrapText="1"/>
    </xf>
    <xf numFmtId="0" fontId="2" fillId="0" borderId="74" xfId="0" applyFont="1" applyBorder="1" applyAlignment="1">
      <alignment horizontal="center" vertical="center" wrapText="1"/>
    </xf>
    <xf numFmtId="2" fontId="74" fillId="0" borderId="75" xfId="0" applyNumberFormat="1" applyFont="1" applyBorder="1" applyAlignment="1">
      <alignment horizontal="center" vertical="center" wrapText="1"/>
    </xf>
    <xf numFmtId="0" fontId="2" fillId="0" borderId="74" xfId="0" applyFont="1" applyBorder="1" applyAlignment="1">
      <alignment horizontal="center" vertical="center"/>
    </xf>
    <xf numFmtId="0" fontId="2" fillId="0" borderId="78" xfId="0" applyFont="1" applyBorder="1" applyAlignment="1">
      <alignment horizontal="center" vertical="center"/>
    </xf>
    <xf numFmtId="16" fontId="2" fillId="0" borderId="23" xfId="0" applyNumberFormat="1" applyFont="1" applyBorder="1" applyAlignment="1">
      <alignment horizontal="center" vertical="center"/>
    </xf>
    <xf numFmtId="172" fontId="2" fillId="16" borderId="23" xfId="0" applyNumberFormat="1" applyFont="1" applyFill="1" applyBorder="1" applyAlignment="1">
      <alignment horizontal="center" vertical="center"/>
    </xf>
    <xf numFmtId="2" fontId="2" fillId="15" borderId="17" xfId="1" applyNumberFormat="1" applyFont="1" applyFill="1" applyBorder="1" applyAlignment="1">
      <alignment horizontal="center" vertical="center" wrapText="1"/>
    </xf>
    <xf numFmtId="172" fontId="75" fillId="0" borderId="23" xfId="0" applyNumberFormat="1" applyFont="1" applyBorder="1" applyAlignment="1">
      <alignment horizontal="center" vertical="center"/>
    </xf>
    <xf numFmtId="172" fontId="75" fillId="0" borderId="16" xfId="0" applyNumberFormat="1" applyFont="1" applyBorder="1" applyAlignment="1">
      <alignment horizontal="center" vertical="center"/>
    </xf>
    <xf numFmtId="172" fontId="2" fillId="17" borderId="17" xfId="0" applyNumberFormat="1" applyFont="1" applyFill="1" applyBorder="1" applyAlignment="1">
      <alignment horizontal="center" vertical="center"/>
    </xf>
    <xf numFmtId="0" fontId="74" fillId="27" borderId="22" xfId="0" applyFont="1" applyFill="1" applyBorder="1" applyAlignment="1">
      <alignment horizontal="center" vertical="center" wrapText="1"/>
    </xf>
    <xf numFmtId="0" fontId="2" fillId="27" borderId="23" xfId="0" applyFont="1" applyFill="1" applyBorder="1" applyAlignment="1">
      <alignment horizontal="center" vertical="center" wrapText="1"/>
    </xf>
    <xf numFmtId="2" fontId="2" fillId="27" borderId="79" xfId="1" applyNumberFormat="1" applyFont="1" applyFill="1" applyBorder="1" applyAlignment="1">
      <alignment vertical="center"/>
    </xf>
    <xf numFmtId="0" fontId="2" fillId="27" borderId="78" xfId="0" applyFont="1" applyFill="1" applyBorder="1" applyAlignment="1">
      <alignment horizontal="center" vertical="center"/>
    </xf>
    <xf numFmtId="0" fontId="2" fillId="27" borderId="23" xfId="0" applyFont="1" applyFill="1" applyBorder="1" applyAlignment="1">
      <alignment horizontal="center" vertical="center"/>
    </xf>
    <xf numFmtId="0" fontId="2" fillId="27" borderId="22" xfId="0" applyFont="1" applyFill="1" applyBorder="1" applyAlignment="1">
      <alignment horizontal="center" vertical="center" wrapText="1"/>
    </xf>
    <xf numFmtId="0" fontId="2" fillId="27" borderId="17" xfId="0" applyFont="1" applyFill="1" applyBorder="1" applyAlignment="1">
      <alignment horizontal="center" vertical="center" wrapText="1"/>
    </xf>
    <xf numFmtId="0" fontId="2" fillId="27" borderId="23" xfId="0" applyFont="1" applyFill="1" applyBorder="1" applyAlignment="1">
      <alignment horizontal="left" vertical="center" wrapText="1"/>
    </xf>
    <xf numFmtId="172" fontId="2" fillId="27" borderId="23" xfId="0" applyNumberFormat="1" applyFont="1" applyFill="1" applyBorder="1" applyAlignment="1">
      <alignment horizontal="center" vertical="center"/>
    </xf>
    <xf numFmtId="167" fontId="2" fillId="27" borderId="22" xfId="0" applyNumberFormat="1" applyFont="1" applyFill="1" applyBorder="1" applyAlignment="1">
      <alignment horizontal="center" vertical="center" wrapText="1"/>
    </xf>
    <xf numFmtId="172" fontId="2" fillId="27" borderId="17" xfId="0" applyNumberFormat="1" applyFont="1" applyFill="1" applyBorder="1" applyAlignment="1">
      <alignment horizontal="center" vertical="center"/>
    </xf>
    <xf numFmtId="172" fontId="2" fillId="27" borderId="22" xfId="0" applyNumberFormat="1" applyFont="1" applyFill="1" applyBorder="1" applyAlignment="1">
      <alignment horizontal="center" vertical="center"/>
    </xf>
    <xf numFmtId="0" fontId="2" fillId="27" borderId="22" xfId="0" applyFont="1" applyFill="1" applyBorder="1" applyAlignment="1">
      <alignment horizontal="center" vertical="center"/>
    </xf>
    <xf numFmtId="0" fontId="2" fillId="27" borderId="22" xfId="0" applyFont="1" applyFill="1" applyBorder="1" applyAlignment="1">
      <alignment vertical="center"/>
    </xf>
    <xf numFmtId="172" fontId="76" fillId="0" borderId="23" xfId="0" applyNumberFormat="1" applyFont="1" applyBorder="1" applyAlignment="1">
      <alignment horizontal="center" vertical="center"/>
    </xf>
    <xf numFmtId="2" fontId="2" fillId="0" borderId="23" xfId="1" applyNumberFormat="1" applyFont="1" applyFill="1" applyBorder="1" applyAlignment="1">
      <alignment horizontal="center" vertical="center" wrapText="1"/>
    </xf>
    <xf numFmtId="0" fontId="2" fillId="31" borderId="74" xfId="0" applyFont="1" applyFill="1" applyBorder="1" applyAlignment="1">
      <alignment horizontal="center" vertical="center"/>
    </xf>
    <xf numFmtId="2" fontId="2" fillId="15" borderId="74" xfId="1" applyNumberFormat="1" applyFont="1" applyFill="1" applyBorder="1" applyAlignment="1">
      <alignment vertical="center"/>
    </xf>
    <xf numFmtId="0" fontId="2" fillId="32" borderId="23" xfId="0" applyFont="1" applyFill="1" applyBorder="1" applyAlignment="1">
      <alignment horizontal="center" vertical="center" wrapText="1"/>
    </xf>
    <xf numFmtId="0" fontId="2" fillId="31" borderId="78" xfId="0" applyFont="1" applyFill="1" applyBorder="1" applyAlignment="1">
      <alignment horizontal="center" vertical="center"/>
    </xf>
    <xf numFmtId="2" fontId="2" fillId="15" borderId="79" xfId="1" applyNumberFormat="1" applyFont="1" applyFill="1" applyBorder="1" applyAlignment="1">
      <alignment vertical="center"/>
    </xf>
    <xf numFmtId="0" fontId="77" fillId="28" borderId="16" xfId="0" applyFont="1" applyFill="1" applyBorder="1" applyAlignment="1">
      <alignment horizontal="center" vertical="center" wrapText="1"/>
    </xf>
    <xf numFmtId="0" fontId="69" fillId="28" borderId="17" xfId="0" applyFont="1" applyFill="1" applyBorder="1" applyAlignment="1">
      <alignment horizontal="center" vertical="center" wrapText="1"/>
    </xf>
    <xf numFmtId="0" fontId="69" fillId="28" borderId="17" xfId="0" applyFont="1" applyFill="1" applyBorder="1" applyAlignment="1">
      <alignment horizontal="center" vertical="center"/>
    </xf>
    <xf numFmtId="0" fontId="69" fillId="28" borderId="74" xfId="0" applyFont="1" applyFill="1" applyBorder="1" applyAlignment="1">
      <alignment horizontal="center" vertical="center" wrapText="1"/>
    </xf>
    <xf numFmtId="2" fontId="69" fillId="28" borderId="74" xfId="1" applyNumberFormat="1" applyFont="1" applyFill="1" applyBorder="1" applyAlignment="1">
      <alignment vertical="center"/>
    </xf>
    <xf numFmtId="2" fontId="77" fillId="28" borderId="75" xfId="0" applyNumberFormat="1" applyFont="1" applyFill="1" applyBorder="1" applyAlignment="1">
      <alignment horizontal="center" vertical="center" wrapText="1"/>
    </xf>
    <xf numFmtId="0" fontId="69" fillId="28" borderId="16" xfId="0" applyFont="1" applyFill="1" applyBorder="1" applyAlignment="1">
      <alignment horizontal="center" vertical="center" wrapText="1"/>
    </xf>
    <xf numFmtId="0" fontId="69" fillId="28" borderId="76" xfId="0" applyFont="1" applyFill="1" applyBorder="1" applyAlignment="1">
      <alignment horizontal="center" vertical="center" wrapText="1"/>
    </xf>
    <xf numFmtId="0" fontId="69" fillId="28" borderId="17" xfId="0" applyFont="1" applyFill="1" applyBorder="1" applyAlignment="1">
      <alignment horizontal="left" vertical="center" wrapText="1"/>
    </xf>
    <xf numFmtId="172" fontId="69" fillId="28" borderId="76" xfId="0" applyNumberFormat="1" applyFont="1" applyFill="1" applyBorder="1" applyAlignment="1">
      <alignment horizontal="center" vertical="center"/>
    </xf>
    <xf numFmtId="172" fontId="69" fillId="28" borderId="17" xfId="0" applyNumberFormat="1" applyFont="1" applyFill="1" applyBorder="1" applyAlignment="1">
      <alignment horizontal="center" vertical="center"/>
    </xf>
    <xf numFmtId="173" fontId="69" fillId="28" borderId="17" xfId="0" applyNumberFormat="1" applyFont="1" applyFill="1" applyBorder="1" applyAlignment="1">
      <alignment horizontal="center" vertical="center"/>
    </xf>
    <xf numFmtId="167" fontId="69" fillId="28" borderId="16" xfId="0" applyNumberFormat="1" applyFont="1" applyFill="1" applyBorder="1" applyAlignment="1">
      <alignment horizontal="center" vertical="center" wrapText="1"/>
    </xf>
    <xf numFmtId="172" fontId="69" fillId="28" borderId="16" xfId="0" applyNumberFormat="1" applyFont="1" applyFill="1" applyBorder="1" applyAlignment="1">
      <alignment horizontal="center" vertical="center"/>
    </xf>
    <xf numFmtId="175" fontId="69" fillId="28" borderId="16" xfId="0" applyNumberFormat="1" applyFont="1" applyFill="1" applyBorder="1" applyAlignment="1">
      <alignment horizontal="center" vertical="center"/>
    </xf>
    <xf numFmtId="0" fontId="69" fillId="28" borderId="16" xfId="0" applyFont="1" applyFill="1" applyBorder="1" applyAlignment="1">
      <alignment vertical="center"/>
    </xf>
    <xf numFmtId="174" fontId="69" fillId="28" borderId="77" xfId="0" applyNumberFormat="1" applyFont="1" applyFill="1" applyBorder="1" applyAlignment="1">
      <alignment horizontal="center" vertical="center" wrapText="1"/>
    </xf>
    <xf numFmtId="172" fontId="69" fillId="28" borderId="82" xfId="0" applyNumberFormat="1" applyFont="1" applyFill="1" applyBorder="1" applyAlignment="1">
      <alignment horizontal="center" vertical="center"/>
    </xf>
    <xf numFmtId="2" fontId="69" fillId="33" borderId="17" xfId="1" applyNumberFormat="1" applyFont="1" applyFill="1" applyBorder="1" applyAlignment="1">
      <alignment horizontal="center" vertical="center"/>
    </xf>
    <xf numFmtId="0" fontId="77" fillId="28" borderId="22" xfId="0" applyFont="1" applyFill="1" applyBorder="1" applyAlignment="1">
      <alignment horizontal="center" vertical="center" wrapText="1"/>
    </xf>
    <xf numFmtId="0" fontId="69" fillId="28" borderId="23" xfId="0" applyFont="1" applyFill="1" applyBorder="1" applyAlignment="1">
      <alignment horizontal="center" vertical="center" wrapText="1"/>
    </xf>
    <xf numFmtId="0" fontId="69" fillId="28" borderId="23" xfId="0" applyFont="1" applyFill="1" applyBorder="1" applyAlignment="1">
      <alignment horizontal="center" vertical="center"/>
    </xf>
    <xf numFmtId="172" fontId="69" fillId="28" borderId="83" xfId="0" applyNumberFormat="1" applyFont="1" applyFill="1" applyBorder="1" applyAlignment="1">
      <alignment horizontal="center" vertical="center"/>
    </xf>
    <xf numFmtId="2" fontId="69" fillId="28" borderId="79" xfId="1" applyNumberFormat="1" applyFont="1" applyFill="1" applyBorder="1" applyAlignment="1">
      <alignment vertical="center"/>
    </xf>
    <xf numFmtId="0" fontId="69" fillId="28" borderId="22" xfId="0" applyFont="1" applyFill="1" applyBorder="1" applyAlignment="1">
      <alignment horizontal="center" vertical="center" wrapText="1"/>
    </xf>
    <xf numFmtId="0" fontId="69" fillId="28" borderId="23" xfId="0" applyFont="1" applyFill="1" applyBorder="1" applyAlignment="1">
      <alignment horizontal="left" vertical="center" wrapText="1"/>
    </xf>
    <xf numFmtId="172" fontId="69" fillId="28" borderId="23" xfId="0" applyNumberFormat="1" applyFont="1" applyFill="1" applyBorder="1" applyAlignment="1">
      <alignment horizontal="center" vertical="center"/>
    </xf>
    <xf numFmtId="0" fontId="69" fillId="28" borderId="22" xfId="0" applyFont="1" applyFill="1" applyBorder="1" applyAlignment="1">
      <alignment horizontal="center" vertical="center"/>
    </xf>
    <xf numFmtId="0" fontId="69" fillId="28" borderId="22" xfId="0" applyFont="1" applyFill="1" applyBorder="1" applyAlignment="1">
      <alignment vertical="center"/>
    </xf>
    <xf numFmtId="49" fontId="2" fillId="0" borderId="22" xfId="0" applyNumberFormat="1" applyFont="1" applyBorder="1" applyAlignment="1">
      <alignment horizontal="center" vertical="center" wrapText="1"/>
    </xf>
    <xf numFmtId="172" fontId="74" fillId="0" borderId="17" xfId="0" applyNumberFormat="1" applyFont="1" applyBorder="1" applyAlignment="1">
      <alignment horizontal="center" vertical="center"/>
    </xf>
    <xf numFmtId="175" fontId="75" fillId="0" borderId="16" xfId="0" applyNumberFormat="1" applyFont="1" applyBorder="1" applyAlignment="1">
      <alignment horizontal="center" vertical="center"/>
    </xf>
    <xf numFmtId="0" fontId="2" fillId="0" borderId="16" xfId="0" applyFont="1" applyBorder="1" applyAlignment="1">
      <alignment vertical="center" wrapText="1"/>
    </xf>
    <xf numFmtId="0" fontId="74" fillId="0" borderId="17" xfId="0" applyFont="1" applyBorder="1" applyAlignment="1">
      <alignment horizontal="center" vertical="center" wrapText="1"/>
    </xf>
    <xf numFmtId="0" fontId="33" fillId="0" borderId="16" xfId="0" applyFont="1" applyBorder="1" applyAlignment="1">
      <alignment vertical="center" wrapText="1"/>
    </xf>
    <xf numFmtId="0" fontId="74" fillId="0" borderId="23" xfId="0" applyFont="1" applyBorder="1" applyAlignment="1">
      <alignment horizontal="center" vertical="center" wrapText="1"/>
    </xf>
    <xf numFmtId="0" fontId="33" fillId="0" borderId="22" xfId="0" applyFont="1" applyBorder="1" applyAlignment="1">
      <alignment vertical="center" wrapText="1"/>
    </xf>
    <xf numFmtId="167" fontId="2" fillId="0" borderId="23" xfId="0" applyNumberFormat="1" applyFont="1" applyBorder="1" applyAlignment="1">
      <alignment vertical="center"/>
    </xf>
    <xf numFmtId="172" fontId="2" fillId="0" borderId="23" xfId="0" applyNumberFormat="1" applyFont="1" applyBorder="1" applyAlignment="1">
      <alignment vertical="center" wrapText="1"/>
    </xf>
    <xf numFmtId="0" fontId="2" fillId="0" borderId="75" xfId="0" applyFont="1" applyBorder="1" applyAlignment="1">
      <alignment vertical="center"/>
    </xf>
    <xf numFmtId="0" fontId="2" fillId="0" borderId="80" xfId="0" applyFont="1" applyBorder="1" applyAlignment="1">
      <alignment vertical="center"/>
    </xf>
    <xf numFmtId="49" fontId="2" fillId="0" borderId="16" xfId="0" applyNumberFormat="1" applyFont="1" applyBorder="1" applyAlignment="1">
      <alignment horizontal="center" vertical="center" wrapText="1"/>
    </xf>
    <xf numFmtId="172" fontId="2" fillId="0" borderId="22" xfId="0" applyNumberFormat="1" applyFont="1" applyBorder="1" applyAlignment="1">
      <alignment vertical="center" wrapText="1"/>
    </xf>
    <xf numFmtId="0" fontId="70" fillId="7" borderId="0" xfId="0" applyFont="1" applyFill="1"/>
    <xf numFmtId="0" fontId="70" fillId="6" borderId="0" xfId="0" applyFont="1" applyFill="1"/>
    <xf numFmtId="0" fontId="70" fillId="34" borderId="0" xfId="0" applyFont="1" applyFill="1"/>
    <xf numFmtId="0" fontId="2" fillId="0" borderId="23" xfId="0" quotePrefix="1" applyFont="1" applyBorder="1" applyAlignment="1">
      <alignment horizontal="center" vertical="center" wrapText="1"/>
    </xf>
    <xf numFmtId="0" fontId="49" fillId="6" borderId="36" xfId="0" applyFont="1" applyFill="1" applyBorder="1" applyAlignment="1">
      <alignment horizontal="center" vertical="center"/>
    </xf>
    <xf numFmtId="0" fontId="49" fillId="6" borderId="45" xfId="0" applyFont="1" applyFill="1" applyBorder="1" applyAlignment="1">
      <alignment horizontal="center" vertical="center"/>
    </xf>
    <xf numFmtId="0" fontId="49" fillId="6" borderId="37" xfId="0" applyFont="1" applyFill="1" applyBorder="1" applyAlignment="1">
      <alignment horizontal="center" vertical="center"/>
    </xf>
    <xf numFmtId="0" fontId="49" fillId="6" borderId="46" xfId="0" applyFont="1" applyFill="1" applyBorder="1" applyAlignment="1">
      <alignment horizontal="center" vertical="center"/>
    </xf>
    <xf numFmtId="0" fontId="49" fillId="22" borderId="36" xfId="0" applyFont="1" applyFill="1" applyBorder="1" applyAlignment="1">
      <alignment horizontal="center" vertical="center"/>
    </xf>
    <xf numFmtId="0" fontId="49" fillId="22" borderId="45" xfId="0" applyFont="1" applyFill="1" applyBorder="1" applyAlignment="1">
      <alignment horizontal="center" vertical="center"/>
    </xf>
    <xf numFmtId="0" fontId="49" fillId="22" borderId="37" xfId="0" applyFont="1" applyFill="1" applyBorder="1" applyAlignment="1">
      <alignment horizontal="center" vertical="center"/>
    </xf>
    <xf numFmtId="0" fontId="49" fillId="22" borderId="46" xfId="0" applyFont="1" applyFill="1" applyBorder="1" applyAlignment="1">
      <alignment horizontal="center" vertical="center"/>
    </xf>
    <xf numFmtId="0" fontId="25" fillId="15" borderId="1" xfId="0" applyFont="1" applyFill="1" applyBorder="1" applyAlignment="1">
      <alignment horizontal="center" vertical="center" wrapText="1"/>
    </xf>
    <xf numFmtId="0" fontId="25" fillId="0" borderId="1" xfId="0" applyFont="1" applyBorder="1" applyAlignment="1">
      <alignment horizontal="center" vertical="center" wrapText="1"/>
    </xf>
    <xf numFmtId="0" fontId="25" fillId="15" borderId="5" xfId="0" applyFont="1" applyFill="1" applyBorder="1" applyAlignment="1">
      <alignment horizontal="center" vertical="center" wrapText="1"/>
    </xf>
    <xf numFmtId="0" fontId="25" fillId="15" borderId="16" xfId="0" applyFont="1" applyFill="1" applyBorder="1" applyAlignment="1">
      <alignment horizontal="center" vertical="center" wrapText="1"/>
    </xf>
    <xf numFmtId="0" fontId="25" fillId="15" borderId="3" xfId="0" applyFont="1" applyFill="1" applyBorder="1" applyAlignment="1">
      <alignment horizontal="center" vertical="center" wrapText="1"/>
    </xf>
    <xf numFmtId="0" fontId="15" fillId="15"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27" fillId="10" borderId="1" xfId="0" applyFont="1" applyFill="1" applyBorder="1" applyAlignment="1">
      <alignment horizontal="center" vertical="center" wrapText="1"/>
    </xf>
    <xf numFmtId="0" fontId="35" fillId="10" borderId="1" xfId="0" applyFont="1" applyFill="1" applyBorder="1" applyAlignment="1">
      <alignment horizontal="center" vertical="center" wrapText="1"/>
    </xf>
    <xf numFmtId="0" fontId="35" fillId="12" borderId="1" xfId="0" applyFont="1" applyFill="1" applyBorder="1" applyAlignment="1">
      <alignment horizontal="center" vertical="center" wrapText="1"/>
    </xf>
    <xf numFmtId="0" fontId="15" fillId="15" borderId="5" xfId="0" applyFont="1" applyFill="1" applyBorder="1" applyAlignment="1">
      <alignment horizontal="center" vertical="center" wrapText="1"/>
    </xf>
    <xf numFmtId="0" fontId="15" fillId="15" borderId="16" xfId="0" applyFont="1" applyFill="1" applyBorder="1" applyAlignment="1">
      <alignment horizontal="center" vertical="center" wrapText="1"/>
    </xf>
    <xf numFmtId="0" fontId="15" fillId="15" borderId="3" xfId="0" applyFont="1" applyFill="1" applyBorder="1" applyAlignment="1">
      <alignment horizontal="center" vertical="center" wrapText="1"/>
    </xf>
    <xf numFmtId="0" fontId="27" fillId="12" borderId="1" xfId="0" applyFont="1" applyFill="1" applyBorder="1" applyAlignment="1">
      <alignment horizontal="center" vertical="center" wrapText="1"/>
    </xf>
    <xf numFmtId="0" fontId="33" fillId="15" borderId="5" xfId="0" applyFont="1" applyFill="1" applyBorder="1" applyAlignment="1">
      <alignment horizontal="center" vertical="center"/>
    </xf>
    <xf numFmtId="0" fontId="33" fillId="15" borderId="16" xfId="0" applyFont="1" applyFill="1" applyBorder="1" applyAlignment="1">
      <alignment horizontal="center" vertical="center"/>
    </xf>
    <xf numFmtId="0" fontId="33" fillId="15" borderId="3" xfId="0" applyFont="1" applyFill="1" applyBorder="1" applyAlignment="1">
      <alignment horizontal="center" vertical="center"/>
    </xf>
    <xf numFmtId="0" fontId="0" fillId="0" borderId="5" xfId="0" applyBorder="1" applyAlignment="1">
      <alignment horizontal="center" vertical="center"/>
    </xf>
    <xf numFmtId="0" fontId="0" fillId="0" borderId="16" xfId="0" applyBorder="1" applyAlignment="1">
      <alignment horizontal="center" vertical="center"/>
    </xf>
    <xf numFmtId="0" fontId="0" fillId="0" borderId="3" xfId="0" applyBorder="1" applyAlignment="1">
      <alignment horizontal="center" vertical="center"/>
    </xf>
    <xf numFmtId="0" fontId="34" fillId="10" borderId="5" xfId="0" applyFont="1" applyFill="1" applyBorder="1" applyAlignment="1">
      <alignment horizontal="center" vertical="center"/>
    </xf>
    <xf numFmtId="0" fontId="34" fillId="10" borderId="16" xfId="0" applyFont="1" applyFill="1" applyBorder="1" applyAlignment="1">
      <alignment horizontal="center" vertical="center"/>
    </xf>
    <xf numFmtId="0" fontId="34" fillId="10" borderId="3" xfId="0" applyFont="1" applyFill="1" applyBorder="1" applyAlignment="1">
      <alignment horizontal="center" vertical="center"/>
    </xf>
    <xf numFmtId="0" fontId="0" fillId="15" borderId="5" xfId="0" applyFill="1" applyBorder="1" applyAlignment="1">
      <alignment horizontal="center" vertical="center"/>
    </xf>
    <xf numFmtId="0" fontId="0" fillId="15" borderId="16" xfId="0" applyFill="1" applyBorder="1" applyAlignment="1">
      <alignment horizontal="center" vertical="center"/>
    </xf>
    <xf numFmtId="0" fontId="0" fillId="15" borderId="3" xfId="0" applyFill="1" applyBorder="1" applyAlignment="1">
      <alignment horizontal="center" vertical="center"/>
    </xf>
    <xf numFmtId="0" fontId="34" fillId="12" borderId="5" xfId="0" applyFont="1" applyFill="1" applyBorder="1" applyAlignment="1">
      <alignment horizontal="center" vertical="center"/>
    </xf>
    <xf numFmtId="0" fontId="34" fillId="12" borderId="16" xfId="0" applyFont="1" applyFill="1" applyBorder="1" applyAlignment="1">
      <alignment horizontal="center" vertical="center"/>
    </xf>
    <xf numFmtId="0" fontId="34" fillId="12" borderId="3" xfId="0" applyFont="1" applyFill="1" applyBorder="1" applyAlignment="1">
      <alignment horizontal="center" vertical="center"/>
    </xf>
    <xf numFmtId="0" fontId="15" fillId="0" borderId="5"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3" xfId="0" applyFont="1" applyBorder="1" applyAlignment="1">
      <alignment horizontal="center" vertical="center" wrapText="1"/>
    </xf>
    <xf numFmtId="167" fontId="15" fillId="15" borderId="1" xfId="0" applyNumberFormat="1" applyFont="1" applyFill="1" applyBorder="1" applyAlignment="1">
      <alignment horizontal="center" vertical="center" wrapText="1"/>
    </xf>
    <xf numFmtId="167" fontId="15" fillId="15" borderId="5" xfId="0" applyNumberFormat="1" applyFont="1" applyFill="1" applyBorder="1" applyAlignment="1">
      <alignment horizontal="center" vertical="center" wrapText="1"/>
    </xf>
    <xf numFmtId="167" fontId="15" fillId="15" borderId="16" xfId="0" applyNumberFormat="1" applyFont="1" applyFill="1" applyBorder="1" applyAlignment="1">
      <alignment horizontal="center" vertical="center" wrapText="1"/>
    </xf>
    <xf numFmtId="167" fontId="15" fillId="15" borderId="3" xfId="0" applyNumberFormat="1" applyFont="1" applyFill="1" applyBorder="1" applyAlignment="1">
      <alignment horizontal="center" vertical="center" wrapText="1"/>
    </xf>
    <xf numFmtId="172" fontId="15" fillId="16" borderId="1" xfId="0" applyNumberFormat="1" applyFont="1" applyFill="1" applyBorder="1" applyAlignment="1">
      <alignment horizontal="center" vertical="center" wrapText="1"/>
    </xf>
    <xf numFmtId="172" fontId="15" fillId="15" borderId="1" xfId="0" applyNumberFormat="1" applyFont="1" applyFill="1" applyBorder="1" applyAlignment="1">
      <alignment horizontal="center" vertical="center" wrapText="1"/>
    </xf>
    <xf numFmtId="172" fontId="15" fillId="15" borderId="5" xfId="0" applyNumberFormat="1" applyFont="1" applyFill="1" applyBorder="1" applyAlignment="1">
      <alignment horizontal="center" vertical="center" wrapText="1"/>
    </xf>
    <xf numFmtId="172" fontId="15" fillId="15" borderId="16" xfId="0" applyNumberFormat="1" applyFont="1" applyFill="1" applyBorder="1" applyAlignment="1">
      <alignment horizontal="center" vertical="center" wrapText="1"/>
    </xf>
    <xf numFmtId="172" fontId="15" fillId="15" borderId="3" xfId="0" applyNumberFormat="1" applyFont="1" applyFill="1" applyBorder="1" applyAlignment="1">
      <alignment horizontal="center" vertical="center" wrapText="1"/>
    </xf>
    <xf numFmtId="1" fontId="15" fillId="15" borderId="1" xfId="0" applyNumberFormat="1" applyFont="1" applyFill="1" applyBorder="1" applyAlignment="1">
      <alignment horizontal="center" vertical="center" wrapText="1"/>
    </xf>
    <xf numFmtId="167" fontId="15" fillId="14" borderId="1" xfId="0" applyNumberFormat="1" applyFont="1" applyFill="1" applyBorder="1" applyAlignment="1">
      <alignment horizontal="center" vertical="center" wrapText="1"/>
    </xf>
    <xf numFmtId="16" fontId="30" fillId="12" borderId="0" xfId="0" applyNumberFormat="1" applyFont="1" applyFill="1" applyAlignment="1">
      <alignment horizontal="center" vertical="center"/>
    </xf>
    <xf numFmtId="0" fontId="22" fillId="8" borderId="5" xfId="0" applyFont="1" applyFill="1" applyBorder="1" applyAlignment="1">
      <alignment horizontal="center" vertical="center" wrapText="1"/>
    </xf>
    <xf numFmtId="0" fontId="22" fillId="8" borderId="3" xfId="0" applyFont="1" applyFill="1" applyBorder="1" applyAlignment="1">
      <alignment horizontal="center" vertical="center" wrapText="1"/>
    </xf>
    <xf numFmtId="0" fontId="25" fillId="3" borderId="8" xfId="0" applyFont="1" applyFill="1" applyBorder="1" applyAlignment="1">
      <alignment horizontal="center" vertical="center" wrapText="1"/>
    </xf>
    <xf numFmtId="0" fontId="25" fillId="3" borderId="15" xfId="0" applyFont="1" applyFill="1" applyBorder="1" applyAlignment="1">
      <alignment horizontal="center" vertical="center" wrapText="1"/>
    </xf>
    <xf numFmtId="0" fontId="25" fillId="3" borderId="21" xfId="0" applyFont="1" applyFill="1" applyBorder="1" applyAlignment="1">
      <alignment horizontal="center" vertical="center" wrapText="1"/>
    </xf>
    <xf numFmtId="0" fontId="25" fillId="10" borderId="9" xfId="0" applyFont="1" applyFill="1" applyBorder="1" applyAlignment="1">
      <alignment horizontal="center" vertical="center" wrapText="1"/>
    </xf>
    <xf numFmtId="0" fontId="25" fillId="10" borderId="16" xfId="0" applyFont="1" applyFill="1" applyBorder="1" applyAlignment="1">
      <alignment horizontal="center" vertical="center" wrapText="1"/>
    </xf>
    <xf numFmtId="0" fontId="25" fillId="10" borderId="22" xfId="0" applyFont="1" applyFill="1" applyBorder="1" applyAlignment="1">
      <alignment horizontal="center" vertical="center" wrapText="1"/>
    </xf>
    <xf numFmtId="0" fontId="25" fillId="14" borderId="9" xfId="0" applyFont="1" applyFill="1" applyBorder="1" applyAlignment="1">
      <alignment horizontal="center" vertical="center" wrapText="1"/>
    </xf>
    <xf numFmtId="0" fontId="25" fillId="14" borderId="16" xfId="0" applyFont="1" applyFill="1" applyBorder="1" applyAlignment="1">
      <alignment horizontal="center" vertical="center" wrapText="1"/>
    </xf>
    <xf numFmtId="0" fontId="25" fillId="14" borderId="22" xfId="0" applyFont="1" applyFill="1" applyBorder="1" applyAlignment="1">
      <alignment horizontal="center" vertical="center" wrapText="1"/>
    </xf>
    <xf numFmtId="0" fontId="25" fillId="3" borderId="9" xfId="0" applyFont="1" applyFill="1" applyBorder="1" applyAlignment="1">
      <alignment horizontal="center" vertical="center" wrapText="1"/>
    </xf>
    <xf numFmtId="0" fontId="25" fillId="3" borderId="16" xfId="0" applyFont="1" applyFill="1" applyBorder="1" applyAlignment="1">
      <alignment horizontal="center" vertical="center" wrapText="1"/>
    </xf>
    <xf numFmtId="0" fontId="25" fillId="3" borderId="22" xfId="0" applyFont="1" applyFill="1" applyBorder="1" applyAlignment="1">
      <alignment horizontal="center" vertical="center" wrapText="1"/>
    </xf>
    <xf numFmtId="0" fontId="26" fillId="3" borderId="9" xfId="0" applyFont="1" applyFill="1" applyBorder="1" applyAlignment="1">
      <alignment horizontal="left" vertical="top" wrapText="1"/>
    </xf>
    <xf numFmtId="0" fontId="26" fillId="3" borderId="16" xfId="0" applyFont="1" applyFill="1" applyBorder="1" applyAlignment="1">
      <alignment horizontal="left" vertical="top" wrapText="1"/>
    </xf>
    <xf numFmtId="0" fontId="26" fillId="3" borderId="22" xfId="0" applyFont="1" applyFill="1" applyBorder="1" applyAlignment="1">
      <alignment horizontal="left" vertical="top" wrapText="1"/>
    </xf>
    <xf numFmtId="0" fontId="15" fillId="9" borderId="11" xfId="0" applyFont="1" applyFill="1" applyBorder="1" applyAlignment="1">
      <alignment horizontal="center" vertical="center" wrapText="1"/>
    </xf>
    <xf numFmtId="0" fontId="15" fillId="9" borderId="19" xfId="0" applyFont="1" applyFill="1" applyBorder="1" applyAlignment="1">
      <alignment horizontal="center" vertical="center" wrapText="1"/>
    </xf>
    <xf numFmtId="0" fontId="15" fillId="9" borderId="24" xfId="0" applyFont="1" applyFill="1" applyBorder="1" applyAlignment="1">
      <alignment horizontal="center" vertical="center" wrapText="1"/>
    </xf>
    <xf numFmtId="167" fontId="27" fillId="12" borderId="1" xfId="0" applyNumberFormat="1" applyFont="1" applyFill="1" applyBorder="1" applyAlignment="1">
      <alignment horizontal="center" vertical="center" wrapText="1"/>
    </xf>
    <xf numFmtId="167" fontId="15" fillId="13" borderId="1" xfId="0" applyNumberFormat="1" applyFont="1" applyFill="1" applyBorder="1" applyAlignment="1">
      <alignment horizontal="center" vertical="center" wrapText="1"/>
    </xf>
    <xf numFmtId="167" fontId="27" fillId="13" borderId="1" xfId="0" applyNumberFormat="1" applyFont="1" applyFill="1" applyBorder="1" applyAlignment="1">
      <alignment horizontal="center" vertical="center" wrapText="1"/>
    </xf>
    <xf numFmtId="167" fontId="15" fillId="9" borderId="28" xfId="0" applyNumberFormat="1" applyFont="1" applyFill="1" applyBorder="1" applyAlignment="1">
      <alignment horizontal="center" vertical="center" wrapText="1"/>
    </xf>
    <xf numFmtId="167" fontId="15" fillId="9" borderId="29" xfId="0" applyNumberFormat="1" applyFont="1" applyFill="1" applyBorder="1" applyAlignment="1">
      <alignment horizontal="center" vertical="center" wrapText="1"/>
    </xf>
    <xf numFmtId="167" fontId="15" fillId="9" borderId="30" xfId="0" applyNumberFormat="1" applyFont="1" applyFill="1" applyBorder="1" applyAlignment="1">
      <alignment horizontal="center" vertical="center" wrapText="1"/>
    </xf>
    <xf numFmtId="14" fontId="15" fillId="9" borderId="11" xfId="0" applyNumberFormat="1" applyFont="1" applyFill="1" applyBorder="1" applyAlignment="1">
      <alignment horizontal="center" vertical="center" wrapText="1"/>
    </xf>
    <xf numFmtId="14" fontId="15" fillId="9" borderId="19" xfId="0" applyNumberFormat="1" applyFont="1" applyFill="1" applyBorder="1" applyAlignment="1">
      <alignment horizontal="center" vertical="center" wrapText="1"/>
    </xf>
    <xf numFmtId="14" fontId="15" fillId="9" borderId="24" xfId="0" applyNumberFormat="1" applyFont="1" applyFill="1" applyBorder="1" applyAlignment="1">
      <alignment horizontal="center" vertical="center" wrapText="1"/>
    </xf>
    <xf numFmtId="14" fontId="15" fillId="9" borderId="9" xfId="0" applyNumberFormat="1" applyFont="1" applyFill="1" applyBorder="1" applyAlignment="1">
      <alignment horizontal="center" vertical="center" wrapText="1"/>
    </xf>
    <xf numFmtId="14" fontId="15" fillId="9" borderId="16" xfId="0" applyNumberFormat="1" applyFont="1" applyFill="1" applyBorder="1" applyAlignment="1">
      <alignment horizontal="center" vertical="center" wrapText="1"/>
    </xf>
    <xf numFmtId="14" fontId="15" fillId="9" borderId="22" xfId="0" applyNumberFormat="1" applyFont="1" applyFill="1" applyBorder="1" applyAlignment="1">
      <alignment horizontal="center" vertical="center" wrapText="1"/>
    </xf>
    <xf numFmtId="0" fontId="15" fillId="9" borderId="9" xfId="0" applyFont="1" applyFill="1" applyBorder="1" applyAlignment="1">
      <alignment horizontal="center" vertical="center" wrapText="1"/>
    </xf>
    <xf numFmtId="0" fontId="15" fillId="9" borderId="16" xfId="0" applyFont="1" applyFill="1" applyBorder="1" applyAlignment="1">
      <alignment horizontal="center" vertical="center" wrapText="1"/>
    </xf>
    <xf numFmtId="0" fontId="15" fillId="9" borderId="22" xfId="0" applyFont="1" applyFill="1" applyBorder="1" applyAlignment="1">
      <alignment horizontal="center" vertical="center" wrapText="1"/>
    </xf>
  </cellXfs>
  <cellStyles count="7">
    <cellStyle name="Comma" xfId="1" builtinId="3"/>
    <cellStyle name="Hyperlink" xfId="3" builtinId="8"/>
    <cellStyle name="Normal" xfId="0" builtinId="0"/>
    <cellStyle name="Percent" xfId="2" builtinId="5"/>
    <cellStyle name="常规 2" xfId="4" xr:uid="{00000000-0005-0000-0000-000031000000}"/>
    <cellStyle name="常规 2 2" xfId="5" xr:uid="{00000000-0005-0000-0000-000032000000}"/>
    <cellStyle name="常规 3" xfId="6" xr:uid="{00000000-0005-0000-0000-000033000000}"/>
  </cellStyles>
  <dxfs count="215">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theme="9" tint="0.59999389629810485"/>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theme="9" tint="0.59999389629810485"/>
        </patternFill>
      </fill>
    </dxf>
    <dxf>
      <fill>
        <patternFill patternType="solid">
          <bgColor rgb="FFFFC000"/>
        </patternFill>
      </fill>
    </dxf>
    <dxf>
      <fill>
        <patternFill patternType="solid">
          <bgColor rgb="FFFF00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b/>
        <i val="0"/>
        <color rgb="FF9C0006"/>
      </font>
      <fill>
        <patternFill patternType="none"/>
      </fill>
    </dxf>
    <dxf>
      <font>
        <color rgb="FF9C0006"/>
      </font>
      <fill>
        <patternFill patternType="solid">
          <bgColor theme="9" tint="0.7993713187047945"/>
        </patternFill>
      </fill>
    </dxf>
    <dxf>
      <fill>
        <patternFill patternType="solid">
          <bgColor theme="5" tint="0.7993713187047945"/>
        </patternFill>
      </fill>
    </dxf>
    <dxf>
      <fill>
        <patternFill patternType="solid">
          <bgColor theme="5" tint="0.7993713187047945"/>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theme="5" tint="0.7993713187047945"/>
        </patternFill>
      </fill>
    </dxf>
    <dxf>
      <fill>
        <patternFill patternType="solid">
          <bgColor theme="5" tint="0.7993713187047945"/>
        </patternFill>
      </fill>
    </dxf>
    <dxf>
      <fill>
        <patternFill patternType="solid">
          <bgColor theme="5" tint="0.7993713187047945"/>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rgb="FFCCFFFF"/>
        </patternFill>
      </fill>
    </dxf>
    <dxf>
      <fill>
        <patternFill patternType="solid">
          <bgColor rgb="FFFFC000"/>
        </patternFill>
      </fill>
    </dxf>
    <dxf>
      <fill>
        <patternFill patternType="solid">
          <bgColor rgb="FFFF0000"/>
        </patternFill>
      </fill>
    </dxf>
    <dxf>
      <font>
        <color rgb="FFFF0000"/>
      </font>
    </dxf>
    <dxf>
      <font>
        <b val="0"/>
        <i val="0"/>
        <color rgb="FFFF0000"/>
      </font>
    </dxf>
    <dxf>
      <font>
        <b val="0"/>
        <i val="0"/>
        <color theme="1"/>
      </font>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theme="9" tint="0.59999389629810485"/>
        </patternFill>
      </fill>
    </dxf>
    <dxf>
      <fill>
        <patternFill patternType="solid">
          <bgColor theme="9" tint="0.59999389629810485"/>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s>
  <tableStyles count="0" defaultTableStyle="TableStyleMedium2" defaultPivotStyle="PivotStyleLight16"/>
  <colors>
    <mruColors>
      <color rgb="FF92D050"/>
      <color rgb="FFFFFF00"/>
      <color rgb="FFFF00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9" Type="http://schemas.openxmlformats.org/officeDocument/2006/relationships/externalLink" Target="externalLinks/externalLink30.xml"/><Relationship Id="rId21" Type="http://schemas.openxmlformats.org/officeDocument/2006/relationships/externalLink" Target="externalLinks/externalLink12.xml"/><Relationship Id="rId34" Type="http://schemas.openxmlformats.org/officeDocument/2006/relationships/externalLink" Target="externalLinks/externalLink25.xml"/><Relationship Id="rId42" Type="http://schemas.openxmlformats.org/officeDocument/2006/relationships/externalLink" Target="externalLinks/externalLink33.xml"/><Relationship Id="rId47" Type="http://schemas.openxmlformats.org/officeDocument/2006/relationships/externalLink" Target="externalLinks/externalLink38.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7.xml"/><Relationship Id="rId29" Type="http://schemas.openxmlformats.org/officeDocument/2006/relationships/externalLink" Target="externalLinks/externalLink20.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externalLink" Target="externalLinks/externalLink28.xml"/><Relationship Id="rId40" Type="http://schemas.openxmlformats.org/officeDocument/2006/relationships/externalLink" Target="externalLinks/externalLink31.xml"/><Relationship Id="rId45" Type="http://schemas.openxmlformats.org/officeDocument/2006/relationships/externalLink" Target="externalLinks/externalLink36.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externalLink" Target="externalLinks/externalLink22.xml"/><Relationship Id="rId44" Type="http://schemas.openxmlformats.org/officeDocument/2006/relationships/externalLink" Target="externalLinks/externalLink35.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43" Type="http://schemas.openxmlformats.org/officeDocument/2006/relationships/externalLink" Target="externalLinks/externalLink34.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sheetMetadata" Target="metadata.xml"/><Relationship Id="rId3" Type="http://schemas.openxmlformats.org/officeDocument/2006/relationships/worksheet" Target="worksheets/sheet3.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externalLink" Target="externalLinks/externalLink29.xml"/><Relationship Id="rId46" Type="http://schemas.openxmlformats.org/officeDocument/2006/relationships/externalLink" Target="externalLinks/externalLink37.xml"/><Relationship Id="rId20" Type="http://schemas.openxmlformats.org/officeDocument/2006/relationships/externalLink" Target="externalLinks/externalLink11.xml"/><Relationship Id="rId41" Type="http://schemas.openxmlformats.org/officeDocument/2006/relationships/externalLink" Target="externalLinks/externalLink3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4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KMAR1\RIS\2268\LISTER\2268P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MM_Projects\2695%20Moss%20LNGC%20Conversion\Load%20Balance\2695%20Load%20Balance%20Intercross%202+%202%20STEAM%20TURBINES_05_05_2003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85.0.252\ATOE-Project\Prosjekt\3106\EIT\Electrical%20Documents\El.%20Consumerlist%20and%20LoadBalance\ConsumerList%20and%20Load%20Balance%20Golar%20Spirit%2018.05.2006%20Rev.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psgrwfn46\cvlong1$\DATA\NIGERIA\ECON\BONGA6EX.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85.0.252\ATOE-Project\sites\MISC-OBUPRM\NP\NP144-BRC\Bid%20Phase\02%20MISC-OCYAN%20Working%20Folder\00%20Technical\04%20Cost%20Estimation\Bill%20of%20Quantities%20(BOQ)\Topside%20BOQ\Planning&amp;reporti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D01\!EUDC\DATA\NIGERIA\ECON\1997\NIG97MD6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ttps:\basf.sharepoint.com\Users\SONGHT\Desktop\Prefeed%20TDS%20Template\E-P-MC%20010%20TDS\Internals-tray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92.168.201.55\toyo\Data\ThdInd\Thd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s-4221\ba442pgfs\QATAR\CALCFILE\LINE\QATAR_MB.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KFP-FIL01\PROARC\Estimation\BU%20Felles\06_Procurement\Projects\1001%20SMART%2001%20RELIANCE%20MA%20FIELD%20DEVELOPMENT\Procurement\PMP%20-%20MEL\20072301%20PMP_AFP%20RELIANC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Y:\02_Engineering(Working)\01_Process\01%20Owner%20input%20and%20MOM\FORMAT\STATIC\BIG_AA-V061-V1X-MC-100-C1XXX-R2_0-D-01-TDS%20for%20C1XXX%20C2XXX%20Towers.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GPP5-6\EXCEL\UTY-CNS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QATAR\OPE_MA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00%20Deliverable\1.5%20Fluid%20List\ED-C00-PRS-LST-0002%20Fluid%20List%20%20R0-150105.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6%20Equipment%20List\PRS-IDI-001-Equipment%20list-0A-141208.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ec035\d\Calgon\loaddt2.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LISTELEC1"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Material_balance_100kT_11.5_Rev9%2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85.0.252\ATOE-Project\Documents%20and%20Settings\hnss\Local%20Settings\Temporary%20Internet%20Files\OLK3A4\valve%20list%20m%20layout%2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odfs\data\Documents%20and%20Settings\user\Desktop\GTC%20TECHNIP\GTC%20TECHNIP%20PS%201700.0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T:\EVERYONE\QTP\INST\P.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CDB4DF4\Expander%20Suction%20Drum%20datasheet%20Rev%20D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oppfil014\ho_n3os\225_Process\Work085\Berenice\YDS-20A_B\YDS-20A_B%20HP_MP%20Steam%20Desuperheater%20Calc%20Coversheet%20Rev%20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YUKONG\SILHAENG\SEOUL\PRO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QILIN_Calcul_dimensionnement_Rev%204.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ec-server11\toyo\My%20Documents\Line%20(DeC3%20OVHD).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92.168.201.55\toyo\Documentum\JLU\Protection\LIST0309.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G:\WORKING%20FILE\INTERNATIONAL\technip-coflexip\moho%20bilondo\revised%20format\disk%201%20rev.%20format\TEPC%202197-SC002-EXB-Mech-BOQ-rev0%20(submission).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ttp:\www1.mwk.com\machinery\forms\datashts\Revised%20l551aeds%20New%20Logo.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Retour%20WPC\PR\List%20of%20utility-\TO%20ARKEMA\9-9\Power%20Balance.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EVERYONE\QTP\INST\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0.85.0.252\ATOE-Project\WORKING%20FILE\INTERNATIONAL\technip-coflexip\moho%20bilondo\revised%20format\disk%201%20rev.%20format\TEPC%202197-SC002-EXB-Mech-BOQ-rev0%20(submissio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03049D\Pcm\Cost\Subcon%20ITB\My%20Documents\CIVIL\&#53664;&#47785;&#44204;&#51201;\#2CDU&#49892;&#54665;.xls" TargetMode="External"/></Relationships>
</file>

<file path=xl/externalLinks/_rels/externalLink35.xml.rels><?xml version="1.0" encoding="UTF-8" standalone="yes"?>
<Relationships xmlns="http://schemas.openxmlformats.org/package/2006/relationships"><Relationship Id="rId2" Type="http://schemas.openxmlformats.org/officeDocument/2006/relationships/externalLinkPath" Target="file:///C:\Users\User\Desktop\Weekly%20Report%20Meeting\Week%2026\Attachment%202-Procurement%20Plan-ASK-20260918.xlsx" TargetMode="External"/><Relationship Id="rId1" Type="http://schemas.openxmlformats.org/officeDocument/2006/relationships/externalLinkPath" Target="Attachment%202-Procurement%20Plan-ASK-20260918.xlsx" TargetMode="External"/></Relationships>
</file>

<file path=xl/externalLinks/_rels/externalLink36.xml.rels><?xml version="1.0" encoding="UTF-8" standalone="yes"?>
<Relationships xmlns="http://schemas.openxmlformats.org/package/2006/relationships"><Relationship Id="rId2" Type="http://schemas.microsoft.com/office/2006/relationships/xlExternalLinkPath/xlPathMissing" Target="file:///\\ASK&#160;Con.&#160;Schedule&#160;Overview_0E_0820(1).xlsx" TargetMode="External"/><Relationship Id="rId1" Type="http://schemas.microsoft.com/office/2006/relationships/xlExternalLinkPath/xlPathMissing" Target="file:///\\ASK&#160;Con.&#160;Schedule&#160;Overview_0E_0820(1).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Users\zhaoxiaocheng\Desktop\&#27888;&#27833;ASK&amp;Zawtika&#39033;&#30446;\ASK\Construction%20S-curve\PTTEP&#24314;&#35758;&#23450;&#39069;&#25968;&#25454;7.13.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Users\Administrator\Desktop\Procurement%20Plan\Procurement%20Plan-ROS-19%20Mar-%20LL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Legend"/>
      <sheetName val="Sheet1"/>
      <sheetName val="Cashflow Analysis"/>
    </sheet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695 Intercross STEAM TURBINE"/>
      <sheetName val="2695 Intercross Fuel Cost Calc."/>
      <sheetName val="2695 Intercross STEAM Load Bal."/>
      <sheetName val="WIP"/>
      <sheetName val="Consumer List and Load B"/>
    </sheetNames>
    <sheetDataSet>
      <sheetData sheetId="0" refreshError="1"/>
      <sheetData sheetId="1" refreshError="1"/>
      <sheetData sheetId="2"/>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Description"/>
      <sheetName val="Summary"/>
      <sheetName val="Consumer List and Load B"/>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onomic setup"/>
      <sheetName val="Summary Results"/>
      <sheetName val="P&amp;B Summary"/>
      <sheetName val="Sensitivities"/>
      <sheetName val="Cashflow Analysis"/>
      <sheetName val="Data 1 "/>
      <sheetName val="Details"/>
      <sheetName val="Summary"/>
      <sheetName val="FA1A1 Ground"/>
      <sheetName val="FA1A0 Concrete Pad"/>
      <sheetName val="FA1A3 Teflon"/>
      <sheetName val="FA1B0 PACA"/>
      <sheetName val="QAQC"/>
      <sheetName val="SC140 Loadout Weighing Ballast"/>
      <sheetName val="SC160 Ext Cleaning PIP"/>
      <sheetName val="SC140 Port Dues"/>
      <sheetName val="SC220 GRE Subc"/>
      <sheetName val="SC230 Galv"/>
      <sheetName val="SC251 High Voltage Cable"/>
      <sheetName val="SC260 RT Estructural "/>
      <sheetName val="SC400 Rolling &amp; Machining"/>
      <sheetName val="SC260 RT Piping"/>
      <sheetName val="SC270 Elevator"/>
      <sheetName val="SC450 UVIE"/>
      <sheetName val="SC480 Calibration"/>
      <sheetName val="SC490 Launch Cradle"/>
      <sheetName val="SC510 Leak-Test ER"/>
      <sheetName val="Rental Equipment"/>
      <sheetName val="FA5BE NDE cons STR"/>
      <sheetName val="  FA5BB E&amp;I Consumables"/>
      <sheetName val="FA5AB Building"/>
      <sheetName val="FA5AB Seafastening"/>
      <sheetName val="FA5AB Const Aids"/>
      <sheetName val="FA5AC Grillage L. Bridge"/>
      <sheetName val="SC500 TIMBER"/>
      <sheetName val="FA5AD  DSF"/>
      <sheetName val="FA5D Barge Skidways"/>
      <sheetName val="FA5BA Hydro Test"/>
      <sheetName val="FA5BA Hydro Test (Inertized)"/>
      <sheetName val="FA5BD Consumables"/>
      <sheetName val="FA5BD GRE Consumables"/>
      <sheetName val="FA5BF Blasting"/>
      <sheetName val="FA5BG (PWHT)"/>
      <sheetName val="FA8B1 DownTime "/>
      <sheetName val="Toilet"/>
      <sheetName val="Yard Office"/>
      <sheetName val="MDR Office"/>
      <sheetName val="Client Office PEM"/>
      <sheetName val="Client Office GE"/>
      <sheetName val="Rate Forecasts"/>
      <sheetName val="SC220 GRE Trainning"/>
      <sheetName val="PopLists"/>
      <sheetName val="Sensitivity classification"/>
      <sheetName val="Impact"/>
      <sheetName val="Book Earnings and ROCE"/>
      <sheetName val="Cashflow and Earnings Profile"/>
      <sheetName val="Inflation"/>
      <sheetName val="Prices"/>
      <sheetName val="Block 316  12-2-96"/>
      <sheetName val="Block 212  8-22-96"/>
      <sheetName val="Govt Take"/>
      <sheetName val="Drilling"/>
      <sheetName val="Transportation"/>
      <sheetName val="Exxon Cashflow"/>
      <sheetName val="Social Cashflow"/>
      <sheetName val="PPT graphic"/>
      <sheetName val="Schedules"/>
      <sheetName val="Data initialization"/>
      <sheetName val="Book calculations"/>
      <sheetName val="Block 212  5-15-96"/>
      <sheetName val="Module1"/>
      <sheetName val="FOREX Table"/>
      <sheetName val="EAGLE LOUISIANA VOs"/>
      <sheetName val="EAGLE TEXAS VOs"/>
      <sheetName val="Overview"/>
      <sheetName val="Sum DRAFT"/>
      <sheetName val="Allowance"/>
      <sheetName val="Actuals"/>
      <sheetName val="Expend"/>
      <sheetName val="PMT11"/>
      <sheetName val="PMT10"/>
      <sheetName val="CA11"/>
      <sheetName val="CA10"/>
      <sheetName val="3P"/>
      <sheetName val="NCA MP"/>
      <sheetName val="ConRD"/>
      <sheetName val="PMT Bdgt"/>
      <sheetName val="CA Bdgt"/>
      <sheetName val="3P Bdgt"/>
      <sheetName val="BD Bdgt DRAFT"/>
      <sheetName val="RATES P&amp;B10"/>
      <sheetName val="RATES P&amp;B11"/>
      <sheetName val="XE"/>
      <sheetName val="Input"/>
      <sheetName val="FTE G2 to G3"/>
      <sheetName val="Economic_setup"/>
      <sheetName val="SummaryTable"/>
      <sheetName val="Summary_Results"/>
      <sheetName val="P&amp;B_Summary"/>
      <sheetName val="Cashflow_Analysis"/>
      <sheetName val="Sheet1"/>
      <sheetName val="Economic_setup1"/>
      <sheetName val="Summary_Results1"/>
      <sheetName val="P&amp;B_Summary1"/>
      <sheetName val="Cashflow_Analysis1"/>
      <sheetName val="Sensitivity_classification"/>
      <sheetName val="Fechas, costes lab y coef"/>
      <sheetName val="Sched-Sum"/>
      <sheetName val="FitOutConfCentre"/>
      <sheetName val="Change Order Categorization"/>
      <sheetName val="Cost Centre"/>
      <sheetName val="PHST"/>
      <sheetName val="Sheet3"/>
      <sheetName val="PC - E,P.C&amp;I"/>
      <sheetName val="Opex_Data_Base_New"/>
      <sheetName val="Book_Earnings_and_ROCE"/>
      <sheetName val="Cashflow_and_Earnings_Profile"/>
      <sheetName val="Block_316__12-2-96"/>
      <sheetName val="Block_212__8-22-96"/>
      <sheetName val="Govt_Take"/>
      <sheetName val="Exxon_Cashflow"/>
      <sheetName val="Social_Cashflow"/>
      <sheetName val="PPT_graphic"/>
      <sheetName val="Data_initialization"/>
      <sheetName val="Book_calculations"/>
      <sheetName val="Block_212__5-15-96"/>
      <sheetName val="Sum_DRAFT"/>
      <sheetName val="NCA_MP"/>
      <sheetName val="PMT_Bdgt"/>
      <sheetName val="CA_Bdgt"/>
      <sheetName val="3P_Bdgt"/>
      <sheetName val="BD_Bdgt_DRAFT"/>
      <sheetName val="RATES_P&amp;B10"/>
      <sheetName val="RATES_P&amp;B11"/>
      <sheetName val="FOREX_Table"/>
      <sheetName val="Change_Order_Categorization"/>
      <sheetName val="Cost_Centre"/>
      <sheetName val="Exchange Rates"/>
      <sheetName val="Staffing"/>
      <sheetName val="Code Mob Chart"/>
      <sheetName val="Spares LB"/>
      <sheetName val="Spares RL"/>
      <sheetName val="Code_Mob_Chart"/>
      <sheetName val=""/>
      <sheetName val="Sheet2"/>
      <sheetName val="LU"/>
      <sheetName val="4 x 5 MTA 2018 start up"/>
      <sheetName val="List2"/>
      <sheetName val="Simplified Escalation"/>
      <sheetName val="Dropdown Lists"/>
      <sheetName val="Lists"/>
      <sheetName val="DO NO DELETE"/>
      <sheetName val="Case Names"/>
      <sheetName val="Cash Flow Engine"/>
      <sheetName val="Inputs Outputs"/>
      <sheetName val="Look Ups"/>
      <sheetName val="Foreign Currency Exposure"/>
      <sheetName val="Economic_setup2"/>
      <sheetName val="Summary_Results2"/>
      <sheetName val="P&amp;B_Summary2"/>
      <sheetName val="Cashflow_Analysis2"/>
      <sheetName val="Data_1_"/>
      <sheetName val="FA1A1_Ground"/>
      <sheetName val="FA1A0_Concrete_Pad"/>
      <sheetName val="FA1A3_Teflon"/>
      <sheetName val="FA1B0_PACA"/>
      <sheetName val="SC140_Loadout_Weighing_Ballast"/>
      <sheetName val="SC160_Ext_Cleaning_PIP"/>
      <sheetName val="SC140_Port_Dues"/>
      <sheetName val="SC220_GRE_Subc"/>
      <sheetName val="SC230_Galv"/>
      <sheetName val="SC251_High_Voltage_Cable"/>
      <sheetName val="SC260_RT_Estructural_"/>
      <sheetName val="SC400_Rolling_&amp;_Machining"/>
      <sheetName val="SC260_RT_Piping"/>
      <sheetName val="SC270_Elevator"/>
      <sheetName val="SC450_UVIE"/>
      <sheetName val="SC480_Calibration"/>
      <sheetName val="SC490_Launch_Cradle"/>
      <sheetName val="SC510_Leak-Test_ER"/>
      <sheetName val="Rental_Equipment"/>
      <sheetName val="FA5BE_NDE_cons_STR"/>
      <sheetName val="__FA5BB_E&amp;I_Consumables"/>
      <sheetName val="FA5AB_Building"/>
      <sheetName val="FA5AB_Seafastening"/>
      <sheetName val="FA5AB_Const_Aids"/>
      <sheetName val="FA5AC_Grillage_L__Bridge"/>
      <sheetName val="SC500_TIMBER"/>
      <sheetName val="FA5AD__DSF"/>
      <sheetName val="FA5D_Barge_Skidways"/>
      <sheetName val="FA5BA_Hydro_Test"/>
      <sheetName val="FA5BA_Hydro_Test_(Inertized)"/>
      <sheetName val="FA5BD_Consumables"/>
      <sheetName val="FA5BD_GRE_Consumables"/>
      <sheetName val="FA5BF_Blasting"/>
      <sheetName val="FA5BG_(PWHT)"/>
      <sheetName val="FA8B1_DownTime_"/>
      <sheetName val="Yard_Office"/>
      <sheetName val="MDR_Office"/>
      <sheetName val="Client_Office_PEM"/>
      <sheetName val="Client_Office_GE"/>
      <sheetName val="Rate_Forecasts"/>
      <sheetName val="SC220_GRE_Trainning"/>
      <sheetName val="Sensitivity_classification1"/>
      <sheetName val="Fechas,_costes_lab_y_coef"/>
      <sheetName val="Book_Earnings_and_ROCE1"/>
      <sheetName val="Cashflow_and_Earnings_Profile1"/>
      <sheetName val="Block_316__12-2-961"/>
      <sheetName val="Block_212__8-22-961"/>
      <sheetName val="Govt_Take1"/>
      <sheetName val="Exxon_Cashflow1"/>
      <sheetName val="Social_Cashflow1"/>
      <sheetName val="PPT_graphic1"/>
      <sheetName val="Data_initialization1"/>
      <sheetName val="Book_calculations1"/>
      <sheetName val="Block_212__5-15-961"/>
      <sheetName val="Sum_DRAFT1"/>
      <sheetName val="NCA_MP1"/>
      <sheetName val="PMT_Bdgt1"/>
      <sheetName val="CA_Bdgt1"/>
      <sheetName val="3P_Bdgt1"/>
      <sheetName val="BD_Bdgt_DRAFT1"/>
      <sheetName val="RATES_P&amp;B101"/>
      <sheetName val="RATES_P&amp;B111"/>
      <sheetName val="FOREX_Table1"/>
      <sheetName val="Change_Order_Categorization1"/>
      <sheetName val="Cost_Centre1"/>
      <sheetName val="PC_-_E,P_C&amp;I"/>
      <sheetName val="Spares_LB"/>
      <sheetName val="Spares_RL"/>
      <sheetName val="EAGLE_LOUISIANA_VOs"/>
      <sheetName val="EAGLE_TEXAS_VOs"/>
      <sheetName val="FTE_G2_to_G3"/>
      <sheetName val="Exchange_Rates"/>
      <sheetName val="Foreign_Currency_Exposure"/>
      <sheetName val="Economic_setup3"/>
      <sheetName val="Summary_Results3"/>
      <sheetName val="P&amp;B_Summary3"/>
      <sheetName val="Cashflow_Analysis3"/>
      <sheetName val="Data_1_1"/>
      <sheetName val="FA1A1_Ground1"/>
      <sheetName val="FA1A0_Concrete_Pad1"/>
      <sheetName val="FA1A3_Teflon1"/>
      <sheetName val="FA1B0_PACA1"/>
      <sheetName val="SC140_Loadout_Weighing_Ballast1"/>
      <sheetName val="SC160_Ext_Cleaning_PIP1"/>
      <sheetName val="SC140_Port_Dues1"/>
      <sheetName val="SC220_GRE_Subc1"/>
      <sheetName val="SC230_Galv1"/>
      <sheetName val="SC251_High_Voltage_Cable1"/>
      <sheetName val="SC260_RT_Estructural_1"/>
      <sheetName val="SC400_Rolling_&amp;_Machining1"/>
      <sheetName val="SC260_RT_Piping1"/>
      <sheetName val="SC270_Elevator1"/>
      <sheetName val="SC450_UVIE1"/>
      <sheetName val="SC480_Calibration1"/>
      <sheetName val="SC490_Launch_Cradle1"/>
      <sheetName val="SC510_Leak-Test_ER1"/>
      <sheetName val="Rental_Equipment1"/>
      <sheetName val="FA5BE_NDE_cons_STR1"/>
      <sheetName val="__FA5BB_E&amp;I_Consumables1"/>
      <sheetName val="FA5AB_Building1"/>
      <sheetName val="FA5AB_Seafastening1"/>
      <sheetName val="FA5AB_Const_Aids1"/>
      <sheetName val="FA5AC_Grillage_L__Bridge1"/>
      <sheetName val="SC500_TIMBER1"/>
      <sheetName val="FA5AD__DSF1"/>
      <sheetName val="FA5D_Barge_Skidways1"/>
      <sheetName val="FA5BA_Hydro_Test1"/>
      <sheetName val="FA5BA_Hydro_Test_(Inertized)1"/>
      <sheetName val="FA5BD_Consumables1"/>
      <sheetName val="FA5BD_GRE_Consumables1"/>
      <sheetName val="FA5BF_Blasting1"/>
      <sheetName val="FA5BG_(PWHT)1"/>
      <sheetName val="FA8B1_DownTime_1"/>
      <sheetName val="Yard_Office1"/>
      <sheetName val="MDR_Office1"/>
      <sheetName val="Client_Office_PEM1"/>
      <sheetName val="Client_Office_GE1"/>
      <sheetName val="Rate_Forecasts1"/>
      <sheetName val="SC220_GRE_Trainning1"/>
      <sheetName val="Sensitivity_classification2"/>
      <sheetName val="Fechas,_costes_lab_y_coef1"/>
      <sheetName val="Book_Earnings_and_ROCE2"/>
      <sheetName val="Cashflow_and_Earnings_Profile2"/>
      <sheetName val="Block_316__12-2-962"/>
      <sheetName val="Block_212__8-22-962"/>
      <sheetName val="Govt_Take2"/>
      <sheetName val="Exxon_Cashflow2"/>
      <sheetName val="Social_Cashflow2"/>
      <sheetName val="PPT_graphic2"/>
      <sheetName val="Data_initialization2"/>
      <sheetName val="Book_calculations2"/>
      <sheetName val="Block_212__5-15-962"/>
      <sheetName val="Sum_DRAFT2"/>
      <sheetName val="NCA_MP2"/>
      <sheetName val="PMT_Bdgt2"/>
      <sheetName val="CA_Bdgt2"/>
      <sheetName val="3P_Bdgt2"/>
      <sheetName val="BD_Bdgt_DRAFT2"/>
      <sheetName val="RATES_P&amp;B102"/>
      <sheetName val="RATES_P&amp;B112"/>
      <sheetName val="FOREX_Table2"/>
      <sheetName val="Change_Order_Categorization2"/>
      <sheetName val="Cost_Centre2"/>
      <sheetName val="PC_-_E,P_C&amp;I1"/>
      <sheetName val="Spares_LB1"/>
      <sheetName val="Spares_RL1"/>
      <sheetName val="EAGLE_LOUISIANA_VOs1"/>
      <sheetName val="EAGLE_TEXAS_VOs1"/>
      <sheetName val="FTE_G2_to_G31"/>
      <sheetName val="Notes"/>
      <sheetName val="Cashflow"/>
      <sheetName val="AR"/>
      <sheetName val="AR May"/>
      <sheetName val="AR LIVE"/>
      <sheetName val="Rec"/>
      <sheetName val="Taxes"/>
      <sheetName val="AR 0307 - July"/>
      <sheetName val="AR 3006 - July"/>
      <sheetName val="Ithaca"/>
      <sheetName val="Arctic repayments"/>
      <sheetName val="Kestrel repayments"/>
      <sheetName val="Other PMTs"/>
      <sheetName val="Phoenix"/>
      <sheetName val="Seagreen"/>
      <sheetName val="Vega"/>
      <sheetName val="Brazil"/>
      <sheetName val="Forward FX Rates"/>
      <sheetName val="Calendar"/>
      <sheetName val="Instruction"/>
      <sheetName val="Budget Percentage"/>
      <sheetName val="Budget Summary"/>
      <sheetName val="Budget Summary by Month"/>
      <sheetName val="OOK PMT AS SOLD"/>
      <sheetName val="OOK ENG AS SOLD"/>
      <sheetName val="IK PMT AS SOLD "/>
      <sheetName val="OOK PMT FORECAST"/>
      <sheetName val="ZCL DATA run on 18012021"/>
      <sheetName val="OOK ENG FORECAST"/>
      <sheetName val="Variance"/>
      <sheetName val="IK PMTENG FORECAST"/>
      <sheetName val="IK - Saudi Interns"/>
      <sheetName val="WBR 2020"/>
      <sheetName val="ZCL DATA TRANSFERRED"/>
      <sheetName val="Escalation"/>
      <sheetName val="WBR2019"/>
      <sheetName val="Project Exchange"/>
      <sheetName val="OOK PMT MANPOWER AS SOLD"/>
      <sheetName val="OOK ENG MANPOWER AS SOLD"/>
      <sheetName val="IK PMT MANPOWER AS SOLD"/>
      <sheetName val="Staffing - 47"/>
      <sheetName val="Staffing - 48"/>
      <sheetName val="Staffing - 49"/>
      <sheetName val="Accruals file"/>
      <sheetName val="PMSR"/>
      <sheetName val="PMSR ACWP"/>
      <sheetName val="SAP"/>
      <sheetName val="SAP PT"/>
      <sheetName val="RCE"/>
      <sheetName val="Packs"/>
      <sheetName val="SAP for check"/>
      <sheetName val="SAP for check PT"/>
      <sheetName val="REVENUE REC"/>
      <sheetName val="Procurement"/>
      <sheetName val="SAP check PT"/>
      <sheetName val="First Sheet"/>
      <sheetName val="CURRENCY"/>
      <sheetName val="PC_-_E,P_C&amp;I2"/>
      <sheetName val="Exchange_Rates1"/>
      <sheetName val="data"/>
      <sheetName val="MTO"/>
      <sheetName val="A. TUBULARS &amp; CONES_R01_200511"/>
      <sheetName val="B. SEAMLESS PIPES_R01_200511"/>
      <sheetName val="D. PLATES_R01_200511"/>
      <sheetName val="C. ROLLED SHAPES_R01_200511"/>
      <sheetName val="F. FASTENES_R01_200511"/>
      <sheetName val="G. GRATING &amp; TREAD_R01_200511"/>
      <sheetName val="MEC R01"/>
      <sheetName val="M. MISCELLANEOUS_R01_200511"/>
      <sheetName val="JAN 2019"/>
      <sheetName val="FEB 2019"/>
      <sheetName val="MAR 2019"/>
      <sheetName val="APR 2019"/>
      <sheetName val="MAY 2019"/>
      <sheetName val="JUN 2019"/>
      <sheetName val="JUL 2019"/>
      <sheetName val="AUG 2019"/>
      <sheetName val="SEP 2019"/>
      <sheetName val="OCT 2019"/>
      <sheetName val="NOV 2019"/>
      <sheetName val="DEC 2019"/>
      <sheetName val="Input Data"/>
      <sheetName val="2. Price Sheet"/>
      <sheetName val="Data painting"/>
      <sheetName val="A"/>
      <sheetName val="WIP"/>
      <sheetName val="BQMPALOC"/>
      <sheetName val="CutOffDates"/>
      <sheetName val="TIPO 1"/>
      <sheetName val="BQMP"/>
      <sheetName val="Data_painting"/>
      <sheetName val="4_x_5_MTA_2018_start_up"/>
      <sheetName val="Data_painting1"/>
      <sheetName val="Code_Mob_Chart1"/>
      <sheetName val="4_x_5_MTA_2018_start_up1"/>
      <sheetName val="갑지"/>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BM"/>
      <sheetName val="Wellhrs"/>
      <sheetName val="LISTE DEROULANTE"/>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sheetData sheetId="59"/>
      <sheetData sheetId="60" refreshError="1"/>
      <sheetData sheetId="61"/>
      <sheetData sheetId="62"/>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refreshError="1"/>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sheetData sheetId="405"/>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refreshError="1"/>
      <sheetData sheetId="432" refreshError="1"/>
      <sheetData sheetId="43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 val="BQMPALOC"/>
      <sheetName val="CRDIDX"/>
      <sheetName val="PROGALL"/>
      <sheetName val="2538M"/>
      <sheetName val="ORGZN"/>
      <sheetName val="STAFSCH"/>
      <sheetName val="SUB_Map"/>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
      <sheetName val="TEMP_FAC"/>
      <sheetName val="7000(rev)"/>
      <sheetName val="Overall Project"/>
      <sheetName val="Overall Process"/>
      <sheetName val="Overall Utility"/>
      <sheetName val="1000"/>
      <sheetName val="FWBS 1000"/>
      <sheetName val="2000"/>
      <sheetName val="FWBS 2000"/>
      <sheetName val="3000"/>
      <sheetName val="FWBS 3000"/>
      <sheetName val="5000"/>
      <sheetName val="FWBS 5000"/>
      <sheetName val="6000"/>
      <sheetName val="FWBS 6000"/>
      <sheetName val="7000"/>
      <sheetName val="FWBS 7000"/>
      <sheetName val="8000"/>
      <sheetName val="FWBS 8000"/>
      <sheetName val="9000"/>
      <sheetName val="FWBS 9000"/>
      <sheetName val="A000"/>
      <sheetName val="FWBS A000"/>
      <sheetName val="B000"/>
      <sheetName val="FWBS B000"/>
      <sheetName val="Z000"/>
      <sheetName val="FWBS Z000"/>
      <sheetName val="SUMMARY"/>
      <sheetName val="3000-A"/>
      <sheetName val="5000-A"/>
      <sheetName val="6000-A"/>
      <sheetName val="9000-A"/>
      <sheetName val="管道资料"/>
      <sheetName val="9DATA"/>
      <sheetName val="A000-A"/>
      <sheetName val="0DATA"/>
      <sheetName val="9管道资料"/>
      <sheetName val="TYPE-A"/>
      <sheetName val="Final(1)summary"/>
      <sheetName val="12CGOU"/>
      <sheetName val="B"/>
      <sheetName val="Chart"/>
      <sheetName val="COA-17"/>
      <sheetName val="C-18"/>
      <sheetName val="95신규호표"/>
      <sheetName val="SALA-002"/>
      <sheetName val="SUM_FSBLT"/>
      <sheetName val="FWBS_9000"/>
      <sheetName val="Overall_Project"/>
      <sheetName val="Overall_Process"/>
      <sheetName val="Overall_Utility"/>
      <sheetName val="FWBS_1000"/>
      <sheetName val="FWBS_2000"/>
      <sheetName val="FWBS_3000"/>
      <sheetName val="FWBS_5000"/>
      <sheetName val="FWBS_6000"/>
      <sheetName val="FWBS_7000"/>
      <sheetName val="FWBS_8000"/>
      <sheetName val="FWBS_A000"/>
      <sheetName val="FWBS_B000"/>
      <sheetName val="FWBS_Z000"/>
      <sheetName val="Cash2"/>
      <sheetName val="Z"/>
      <sheetName val="A"/>
      <sheetName val="INVOICE_CERT EIV'S"/>
      <sheetName val="산근"/>
      <sheetName val="Planning&amp;reporting"/>
      <sheetName val="DRUM"/>
      <sheetName val="집계표"/>
      <sheetName val="EE-PROP"/>
      <sheetName val="PNTEXT"/>
      <sheetName val="Basic"/>
      <sheetName val="Building BD"/>
      <sheetName val="Onerous Terms"/>
      <sheetName val="0000"/>
      <sheetName val="EQUIPMENT"/>
      <sheetName val="실제 도면출도"/>
      <sheetName val="자금운영"/>
      <sheetName val="도"/>
      <sheetName val="jobhist"/>
      <sheetName val=" Sum"/>
      <sheetName val="INSTR"/>
      <sheetName val="嗔5喸5"/>
      <sheetName val="표지"/>
      <sheetName val="D-623D"/>
      <sheetName val="TTL"/>
      <sheetName val="MTP"/>
      <sheetName val="SOHAR(2nd)"/>
      <sheetName val="공사비 내역 (가)"/>
      <sheetName val="33628-Rev. A"/>
      <sheetName val="ENE-CAL"/>
      <sheetName val="plan&amp;section of foundation"/>
      <sheetName val="design criteria"/>
      <sheetName val="CAL"/>
      <sheetName val="대비표"/>
      <sheetName val="#REF"/>
      <sheetName val="w't table"/>
      <sheetName val="BQMP"/>
      <sheetName val="SUM_FSBLT1"/>
      <sheetName val="FWBS_90001"/>
      <sheetName val="Overall_Project1"/>
      <sheetName val="Overall_Process1"/>
      <sheetName val="Overall_Utility1"/>
      <sheetName val="FWBS_10001"/>
      <sheetName val="FWBS_20001"/>
      <sheetName val="FWBS_30001"/>
      <sheetName val="FWBS_50001"/>
      <sheetName val="FWBS_60001"/>
      <sheetName val="FWBS_70001"/>
      <sheetName val="FWBS_80001"/>
      <sheetName val="FWBS_A0001"/>
      <sheetName val="FWBS_B0001"/>
      <sheetName val="FWBS_Z0001"/>
      <sheetName val="CASH"/>
      <sheetName val="PRO_DCI"/>
      <sheetName val="INST_DCI"/>
      <sheetName val="HVAC_DCI"/>
      <sheetName val="PIPE_DCI"/>
      <sheetName val="DESCRIPTION"/>
      <sheetName val="BM DATA SHEET"/>
      <sheetName val="Eq. Mobilization"/>
      <sheetName val="당초"/>
      <sheetName val="Progress Tab"/>
      <sheetName val="BATCH"/>
      <sheetName val="具志川H社"/>
      <sheetName val="ORIGINAL"/>
      <sheetName val="공사비SUM"/>
      <sheetName val=""/>
      <sheetName val="입찰내역 발주처 양식"/>
      <sheetName val="BM"/>
      <sheetName val="집계표(OPTION)"/>
      <sheetName val="Sheet1"/>
      <sheetName val="기계내역서"/>
      <sheetName val="合成単価作成表-BLDG"/>
      <sheetName val="WIP"/>
      <sheetName val="REINF."/>
      <sheetName val="SKETCH"/>
      <sheetName val="기성내역"/>
      <sheetName val="INVOICE_CERT_EIV'S"/>
      <sheetName val="LinerWt"/>
      <sheetName val="Sheet4"/>
      <sheetName val="M 11"/>
      <sheetName val="PIPING"/>
      <sheetName val="Sheet13"/>
      <sheetName val="Sheet14"/>
      <sheetName val="PC CATCH PIT 1X1X1.2M"/>
      <sheetName val="PC CATCH PIT .6X.6X1.0M"/>
      <sheetName val="PC COVER 100MM THK .95x.3"/>
      <sheetName val="PC COVER 250MM THK 2.2x.3"/>
      <sheetName val="Chiet tinh dz35"/>
      <sheetName val="Kuan&amp;Har(PT)"/>
      <sheetName val="Alat"/>
      <sheetName val="AC"/>
      <sheetName val="7102"/>
      <sheetName val="member design"/>
      <sheetName val="working load at the btm ft."/>
      <sheetName val="soil bearing check"/>
      <sheetName val="기둥(원형)"/>
      <sheetName val="목표세부명세"/>
      <sheetName val="Running compatibility check A"/>
      <sheetName val="상반기손익차2총괄"/>
      <sheetName val="3. GROUNDING SYSTEM"/>
      <sheetName val="Adjusted Bids"/>
      <sheetName val="EQT-ESTN"/>
      <sheetName val="List"/>
      <sheetName val="Concept Offshore"/>
      <sheetName val="SUM_FSBLT2"/>
      <sheetName val="Overall_Project2"/>
      <sheetName val="Overall_Process2"/>
      <sheetName val="Overall_Utility2"/>
      <sheetName val="FWBS_10002"/>
      <sheetName val="FWBS_20002"/>
      <sheetName val="FWBS_30002"/>
      <sheetName val="FWBS_50002"/>
      <sheetName val="FWBS_60002"/>
      <sheetName val="FWBS_70002"/>
      <sheetName val="FWBS_80002"/>
      <sheetName val="FWBS_90002"/>
      <sheetName val="FWBS_A0002"/>
      <sheetName val="FWBS_B0002"/>
      <sheetName val="FWBS_Z0002"/>
      <sheetName val="Onerous_Terms"/>
      <sheetName val="Building_BD"/>
      <sheetName val="_Sum"/>
      <sheetName val="실제_도면출도"/>
      <sheetName val="공사비_내역_(가)"/>
      <sheetName val="33628-Rev__A"/>
      <sheetName val="plan&amp;section_of_foundation"/>
      <sheetName val="design_criteria"/>
      <sheetName val="w't_table"/>
      <sheetName val="BM_DATA_SHEET"/>
      <sheetName val="Eq__Mobilization"/>
      <sheetName val="Progress_Tab"/>
      <sheetName val="입찰내역_발주처_양식"/>
      <sheetName val="INVOICE_CERT_EIV'S1"/>
      <sheetName val="M_11"/>
      <sheetName val="REINF_"/>
      <sheetName val="Running_compatibility_check_A"/>
      <sheetName val="3__GROUNDING_SYSTEM"/>
      <sheetName val="Running compatibility check "/>
      <sheetName val="Hoja1"/>
      <sheetName val="뜃맟뭁돽띿맟?-BLDG"/>
      <sheetName val="Auxi"/>
      <sheetName val="Building_BD1"/>
      <sheetName val="Onerous_Terms1"/>
      <sheetName val="_Sum1"/>
      <sheetName val="A(Rev.3)"/>
      <sheetName val="Breakdown-1"/>
      <sheetName val="Pipe"/>
      <sheetName val="Add"/>
      <sheetName val="SUM_FSBLT3"/>
      <sheetName val="FWBS_90003"/>
      <sheetName val="Overall_Project3"/>
      <sheetName val="Overall_Process3"/>
      <sheetName val="Overall_Utility3"/>
      <sheetName val="FWBS_10003"/>
      <sheetName val="FWBS_20003"/>
      <sheetName val="FWBS_30003"/>
      <sheetName val="FWBS_50003"/>
      <sheetName val="FWBS_60003"/>
      <sheetName val="FWBS_70003"/>
      <sheetName val="FWBS_80003"/>
      <sheetName val="FWBS_A0003"/>
      <sheetName val="FWBS_B0003"/>
      <sheetName val="FWBS_Z0003"/>
      <sheetName val="실제_도면출도1"/>
      <sheetName val="INVOICE_CERT_EIV'S2"/>
      <sheetName val="공사비_내역_(가)1"/>
      <sheetName val="plan&amp;section_of_foundation1"/>
      <sheetName val="design_criteria1"/>
      <sheetName val="w't_table1"/>
      <sheetName val="Eq__Mobilization1"/>
      <sheetName val="BM_DATA_SHEET1"/>
      <sheetName val="33628-Rev__A1"/>
      <sheetName val="Progress_Tab1"/>
      <sheetName val="입찰내역_발주처_양식1"/>
      <sheetName val="M_111"/>
      <sheetName val="REINF_1"/>
      <sheetName val="PC_CATCH_PIT_1X1X1_2M"/>
      <sheetName val="PC_CATCH_PIT__6X_6X1_0M"/>
      <sheetName val="PC_COVER_100MM_THK__95x_3"/>
      <sheetName val="PC_COVER_250MM_THK_2_2x_3"/>
      <sheetName val="Adjusted_Bids"/>
      <sheetName val="member_design"/>
      <sheetName val="Concept_Offshore"/>
      <sheetName val="working_load_at_the_btm_ft_"/>
      <sheetName val="soil_bearing_check"/>
      <sheetName val="Chiet_tinh_dz35"/>
      <sheetName val="Running compatibility check _x0"/>
      <sheetName val="基数"/>
      <sheetName val="[Planning&amp;reporting.xlsM9000-A"/>
      <sheetName val="설비"/>
      <sheetName val="공문"/>
      <sheetName val="FitOutConfCentre"/>
      <sheetName val="RFP002"/>
      <sheetName val="코드"/>
      <sheetName val="자바라1"/>
      <sheetName val="C,E"/>
      <sheetName val="산출내역서"/>
      <sheetName val="Proposal"/>
      <sheetName val="Onerous_Terms2"/>
      <sheetName val="Building_BD2"/>
      <sheetName val="_Sum2"/>
      <sheetName val="실제_도면출도2"/>
      <sheetName val="공사비_내역_(가)2"/>
      <sheetName val="plan&amp;section_of_foundation2"/>
      <sheetName val="design_criteria2"/>
      <sheetName val="w't_table2"/>
      <sheetName val="BM_DATA_SHEET2"/>
      <sheetName val="Progress_Tab2"/>
      <sheetName val="Eq__Mobilization2"/>
      <sheetName val="33628-Rev__A2"/>
      <sheetName val="입찰내역_발주처_양식2"/>
      <sheetName val="M_112"/>
      <sheetName val="SUM_FSBLT4"/>
      <sheetName val="Overall_Project4"/>
      <sheetName val="Overall_Process4"/>
      <sheetName val="Overall_Utility4"/>
      <sheetName val="FWBS_10004"/>
      <sheetName val="FWBS_20004"/>
      <sheetName val="FWBS_30004"/>
      <sheetName val="FWBS_50004"/>
      <sheetName val="FWBS_60004"/>
      <sheetName val="FWBS_70004"/>
      <sheetName val="FWBS_80004"/>
      <sheetName val="FWBS_90004"/>
      <sheetName val="FWBS_A0004"/>
      <sheetName val="FWBS_B0004"/>
      <sheetName val="FWBS_Z0004"/>
      <sheetName val="INVOICE_CERT_EIV'S3"/>
      <sheetName val="Onerous_Terms3"/>
      <sheetName val="Building_BD3"/>
      <sheetName val="_Sum3"/>
      <sheetName val="실제_도면출도3"/>
      <sheetName val="공사비_내역_(가)3"/>
      <sheetName val="plan&amp;section_of_foundation3"/>
      <sheetName val="design_criteria3"/>
      <sheetName val="w't_table3"/>
      <sheetName val="BM_DATA_SHEET3"/>
      <sheetName val="Progress_Tab3"/>
      <sheetName val="Eq__Mobilization3"/>
      <sheetName val="33628-Rev__A3"/>
      <sheetName val="입찰내역_발주처_양식3"/>
      <sheetName val="M_113"/>
      <sheetName val="A (2)"/>
      <sheetName val="1100"/>
      <sheetName val="datasheet"/>
      <sheetName val="설계내역서"/>
      <sheetName val="CALCULATION"/>
      <sheetName val="MCCSUM"/>
      <sheetName val="List of WorkPacks"/>
      <sheetName val="List of Dates"/>
      <sheetName val="Database"/>
      <sheetName val="Masterfile"/>
      <sheetName val="FWBS codes"/>
      <sheetName val="STANDARD DESCRIPTION"/>
      <sheetName val="STANDARD DESCRIPTION - 20150519"/>
      <sheetName val="Drawings Summary"/>
      <sheetName val="Instr Drawing List"/>
      <sheetName val="INDEX-Areas B000,C000,D000,E000"/>
      <sheetName val="STANDARD DESCRIPTION 20150715"/>
      <sheetName val="Sheet2"/>
      <sheetName val="DropDown Selections"/>
      <sheetName val="Structural Comp"/>
      <sheetName val="뜃맟뭁돽띿맟_-BLDG"/>
      <sheetName val="Running compatibility check ?A?"/>
      <sheetName val="Running compatibility check _A_"/>
      <sheetName val="Cashflow Analysis"/>
      <sheetName val="Direct Prices"/>
      <sheetName val="Лист1"/>
      <sheetName val="Structural_Comp"/>
      <sheetName val="salary"/>
      <sheetName val="Backup"/>
      <sheetName val="MTO"/>
      <sheetName val="Sheet"/>
      <sheetName val="3__GROUNDING_SYSTEM1"/>
      <sheetName val="Running_compatibility_check_"/>
      <sheetName val="A(Rev_3)"/>
      <sheetName val="REINF_2"/>
      <sheetName val="3__GROUNDING_SYSTEM2"/>
      <sheetName val="member_design1"/>
      <sheetName val="Adjusted_Bids1"/>
      <sheetName val="PC_CATCH_PIT_1X1X1_2M1"/>
      <sheetName val="PC_CATCH_PIT__6X_6X1_0M1"/>
      <sheetName val="PC_COVER_100MM_THK__95x_31"/>
      <sheetName val="PC_COVER_250MM_THK_2_2x_31"/>
      <sheetName val="working_load_at_the_btm_ft_1"/>
      <sheetName val="soil_bearing_check1"/>
      <sheetName val="Concept_Offshore1"/>
      <sheetName val="Chiet_tinh_dz351"/>
      <sheetName val="Running_compatibility_check_1"/>
      <sheetName val="A(Rev_3)1"/>
      <sheetName val="SUM_FSBLT5"/>
      <sheetName val="Overall_Project5"/>
      <sheetName val="Overall_Process5"/>
      <sheetName val="Overall_Utility5"/>
      <sheetName val="FWBS_10005"/>
      <sheetName val="FWBS_20005"/>
      <sheetName val="FWBS_30005"/>
      <sheetName val="FWBS_50005"/>
      <sheetName val="FWBS_60005"/>
      <sheetName val="FWBS_70005"/>
      <sheetName val="FWBS_80005"/>
      <sheetName val="FWBS_90005"/>
      <sheetName val="FWBS_A0005"/>
      <sheetName val="FWBS_B0005"/>
      <sheetName val="FWBS_Z0005"/>
      <sheetName val="INVOICE_CERT_EIV'S4"/>
      <sheetName val="Onerous_Terms4"/>
      <sheetName val="Building_BD4"/>
      <sheetName val="_Sum4"/>
      <sheetName val="REINF_3"/>
      <sheetName val="3__GROUNDING_SYSTEM3"/>
      <sheetName val="member_design2"/>
      <sheetName val="Adjusted_Bids2"/>
      <sheetName val="PC_CATCH_PIT_1X1X1_2M2"/>
      <sheetName val="PC_CATCH_PIT__6X_6X1_0M2"/>
      <sheetName val="PC_COVER_100MM_THK__95x_32"/>
      <sheetName val="PC_COVER_250MM_THK_2_2x_32"/>
      <sheetName val="working_load_at_the_btm_ft_2"/>
      <sheetName val="soil_bearing_check2"/>
      <sheetName val="Concept_Offshore2"/>
      <sheetName val="Chiet_tinh_dz352"/>
      <sheetName val="Running_compatibility_check_2"/>
      <sheetName val="A(Rev_3)2"/>
      <sheetName val="SUM_FSBLT6"/>
      <sheetName val="Overall_Project6"/>
      <sheetName val="Overall_Process6"/>
      <sheetName val="Overall_Utility6"/>
      <sheetName val="FWBS_10006"/>
      <sheetName val="FWBS_20006"/>
      <sheetName val="FWBS_30006"/>
      <sheetName val="FWBS_50006"/>
      <sheetName val="FWBS_60006"/>
      <sheetName val="FWBS_70006"/>
      <sheetName val="FWBS_80006"/>
      <sheetName val="FWBS_90006"/>
      <sheetName val="FWBS_A0006"/>
      <sheetName val="FWBS_B0006"/>
      <sheetName val="FWBS_Z0006"/>
      <sheetName val="INVOICE_CERT_EIV'S5"/>
      <sheetName val="Onerous_Terms5"/>
      <sheetName val="Building_BD5"/>
      <sheetName val="_Sum5"/>
      <sheetName val="plan&amp;section_of_foundation4"/>
      <sheetName val="design_criteria4"/>
      <sheetName val="실제_도면출도4"/>
      <sheetName val="공사비_내역_(가)4"/>
      <sheetName val="BM_DATA_SHEET4"/>
      <sheetName val="Progress_Tab4"/>
      <sheetName val="w't_table4"/>
      <sheetName val="Eq__Mobilization4"/>
      <sheetName val="33628-Rev__A4"/>
      <sheetName val="입찰내역_발주처_양식4"/>
      <sheetName val="M_114"/>
      <sheetName val="REINF_4"/>
      <sheetName val="3__GROUNDING_SYSTEM4"/>
      <sheetName val="member_design3"/>
      <sheetName val="Adjusted_Bids3"/>
      <sheetName val="PC_CATCH_PIT_1X1X1_2M3"/>
      <sheetName val="PC_CATCH_PIT__6X_6X1_0M3"/>
      <sheetName val="PC_COVER_100MM_THK__95x_33"/>
      <sheetName val="PC_COVER_250MM_THK_2_2x_33"/>
      <sheetName val="working_load_at_the_btm_ft_3"/>
      <sheetName val="soil_bearing_check3"/>
      <sheetName val="Concept_Offshore3"/>
      <sheetName val="Chiet_tinh_dz353"/>
      <sheetName val="Running_compatibility_check_3"/>
      <sheetName val="A(Rev_3)3"/>
      <sheetName val="SUM_FSBLT7"/>
      <sheetName val="Overall_Project7"/>
      <sheetName val="Overall_Process7"/>
      <sheetName val="Overall_Utility7"/>
      <sheetName val="FWBS_10007"/>
      <sheetName val="FWBS_20007"/>
      <sheetName val="FWBS_30007"/>
      <sheetName val="FWBS_50007"/>
      <sheetName val="FWBS_60007"/>
      <sheetName val="FWBS_70007"/>
      <sheetName val="FWBS_80007"/>
      <sheetName val="FWBS_90007"/>
      <sheetName val="FWBS_A0007"/>
      <sheetName val="FWBS_B0007"/>
      <sheetName val="FWBS_Z0007"/>
      <sheetName val="INVOICE_CERT_EIV'S6"/>
      <sheetName val="Onerous_Terms6"/>
      <sheetName val="Building_BD6"/>
      <sheetName val="_Sum6"/>
      <sheetName val="plan&amp;section_of_foundation5"/>
      <sheetName val="design_criteria5"/>
      <sheetName val="실제_도면출도5"/>
      <sheetName val="공사비_내역_(가)5"/>
      <sheetName val="BM_DATA_SHEET5"/>
      <sheetName val="Progress_Tab5"/>
      <sheetName val="w't_table5"/>
      <sheetName val="Eq__Mobilization5"/>
      <sheetName val="33628-Rev__A5"/>
      <sheetName val="입찰내역_발주처_양식5"/>
      <sheetName val="M_115"/>
      <sheetName val="REINF_5"/>
      <sheetName val="3__GROUNDING_SYSTEM5"/>
      <sheetName val="member_design4"/>
      <sheetName val="Adjusted_Bids4"/>
      <sheetName val="PC_CATCH_PIT_1X1X1_2M4"/>
      <sheetName val="PC_CATCH_PIT__6X_6X1_0M4"/>
      <sheetName val="PC_COVER_100MM_THK__95x_34"/>
      <sheetName val="PC_COVER_250MM_THK_2_2x_34"/>
      <sheetName val="working_load_at_the_btm_ft_4"/>
      <sheetName val="soil_bearing_check4"/>
      <sheetName val="Concept_Offshore4"/>
      <sheetName val="Chiet_tinh_dz354"/>
      <sheetName val="Running_compatibility_check_4"/>
      <sheetName val="A(Rev_3)4"/>
      <sheetName val="Petty"/>
      <sheetName val="J"/>
      <sheetName val="DATOS"/>
      <sheetName val="WORKSHEET CS"/>
      <sheetName val="DATA"/>
      <sheetName val="CODE"/>
      <sheetName val="_Planning&amp;reporting.xlsM9000-A"/>
      <sheetName val="[Planning&amp;reporting_xlsM9000-A"/>
      <sheetName val="Cashflow_Analysis"/>
      <sheetName val="00-Summary Information-ABB"/>
      <sheetName val="FWBS_codes"/>
      <sheetName val="STANDARD_DESCRIPTION"/>
      <sheetName val="STANDARD_DESCRIPTION_-_20150519"/>
      <sheetName val="Drawings_Summary"/>
      <sheetName val="Instr_Drawing_List"/>
      <sheetName val="INDEX-Areas_B000,C000,D000,E000"/>
      <sheetName val="STANDARD_DESCRIPTION_20150715"/>
      <sheetName val="DropDown_Selections"/>
      <sheetName val="DO NOT DELETE"/>
      <sheetName val="Lists"/>
      <sheetName val="Time Rates "/>
      <sheetName val="Running_compatibility_check__x0"/>
      <sheetName val="Running_compatibility_check_?A?"/>
      <sheetName val="Running_compatibility_check__A_"/>
      <sheetName val="List_of_WorkPacks"/>
      <sheetName val="List_of_Dates"/>
      <sheetName val="A_(2)"/>
      <sheetName val="BID"/>
      <sheetName val="page 6"/>
      <sheetName val="P-Ins &amp; Bonds"/>
      <sheetName val="P-Site fac"/>
      <sheetName val="P-Clients fac"/>
      <sheetName val="P Staff fac"/>
      <sheetName val="factor "/>
      <sheetName val="CASHFLOWS"/>
      <sheetName val="vlookup - do not print"/>
      <sheetName val="BAG-2"/>
      <sheetName val="Rate Analysis"/>
      <sheetName val="차액보증"/>
      <sheetName val="19.05.2010"/>
      <sheetName val="Earthworks ERP"/>
      <sheetName val="24.06.2010"/>
      <sheetName val="Small Structures ERP"/>
      <sheetName val="Large Structures ERP"/>
      <sheetName val="Tunnelling ERP"/>
      <sheetName val="0124"/>
      <sheetName val="Notes"/>
      <sheetName val="SUM_FSBLT9"/>
      <sheetName val="Overall_Project9"/>
      <sheetName val="Overall_Process9"/>
      <sheetName val="Overall_Utility9"/>
      <sheetName val="FWBS_10009"/>
      <sheetName val="FWBS_20009"/>
      <sheetName val="FWBS_30009"/>
      <sheetName val="FWBS_50009"/>
      <sheetName val="FWBS_60009"/>
      <sheetName val="FWBS_70009"/>
      <sheetName val="FWBS_80009"/>
      <sheetName val="FWBS_90009"/>
      <sheetName val="FWBS_A0009"/>
      <sheetName val="FWBS_B0009"/>
      <sheetName val="FWBS_Z0009"/>
      <sheetName val="실제_도면출도7"/>
      <sheetName val="INVOICE_CERT_EIV'S8"/>
      <sheetName val="Building_BD8"/>
      <sheetName val="Onerous_Terms8"/>
      <sheetName val="_Sum8"/>
      <sheetName val="plan&amp;section_of_foundation7"/>
      <sheetName val="design_criteria7"/>
      <sheetName val="공사비_내역_(가)7"/>
      <sheetName val="33628-Rev__A7"/>
      <sheetName val="w't_table7"/>
      <sheetName val="BM_DATA_SHEET7"/>
      <sheetName val="Progress_Tab7"/>
      <sheetName val="Eq__Mobilization7"/>
      <sheetName val="입찰내역_발주처_양식7"/>
      <sheetName val="REINF_7"/>
      <sheetName val="M_117"/>
      <sheetName val="PC_CATCH_PIT_1X1X1_2M6"/>
      <sheetName val="PC_CATCH_PIT__6X_6X1_0M6"/>
      <sheetName val="PC_COVER_100MM_THK__95x_36"/>
      <sheetName val="PC_COVER_250MM_THK_2_2x_36"/>
      <sheetName val="Chiet_tinh_dz356"/>
      <sheetName val="member_design6"/>
      <sheetName val="working_load_at_the_btm_ft_6"/>
      <sheetName val="soil_bearing_check6"/>
      <sheetName val="3__GROUNDING_SYSTEM7"/>
      <sheetName val="Structural_Comp2"/>
      <sheetName val="Adjusted_Bids6"/>
      <sheetName val="Concept_Offshore6"/>
      <sheetName val="Running_compatibility_check_6"/>
      <sheetName val="List_of_WorkPacks1"/>
      <sheetName val="List_of_Dates1"/>
      <sheetName val="FWBS_codes2"/>
      <sheetName val="STANDARD_DESCRIPTION2"/>
      <sheetName val="STANDARD_DESCRIPTION_-_20150512"/>
      <sheetName val="Drawings_Summary2"/>
      <sheetName val="Instr_Drawing_List2"/>
      <sheetName val="INDEX-Areas_B000,C000,D000,E002"/>
      <sheetName val="STANDARD_DESCRIPTION_201507152"/>
      <sheetName val="DropDown_Selections2"/>
      <sheetName val="A(Rev_3)6"/>
      <sheetName val="[Planning&amp;reporting_xlsM9000-A2"/>
      <sheetName val="Running_compatibility_check__x1"/>
      <sheetName val="Cashflow_Analysis2"/>
      <sheetName val="Running_compatibility_check_?A1"/>
      <sheetName val="Running_compatibility_check__A1"/>
      <sheetName val="A_(2)1"/>
      <sheetName val="Direct_Prices1"/>
      <sheetName val="WORKSHEET_CS1"/>
      <sheetName val="_Planning&amp;reporting_xlsM9000-A1"/>
      <sheetName val="00-Summary_Information-ABB1"/>
      <sheetName val="DO_NOT_DELETE1"/>
      <sheetName val="Time_Rates_1"/>
      <sheetName val="SUM_FSBLT8"/>
      <sheetName val="Overall_Project8"/>
      <sheetName val="Overall_Process8"/>
      <sheetName val="Overall_Utility8"/>
      <sheetName val="FWBS_10008"/>
      <sheetName val="FWBS_20008"/>
      <sheetName val="FWBS_30008"/>
      <sheetName val="FWBS_50008"/>
      <sheetName val="FWBS_60008"/>
      <sheetName val="FWBS_70008"/>
      <sheetName val="FWBS_80008"/>
      <sheetName val="FWBS_90008"/>
      <sheetName val="FWBS_A0008"/>
      <sheetName val="FWBS_B0008"/>
      <sheetName val="FWBS_Z0008"/>
      <sheetName val="실제_도면출도6"/>
      <sheetName val="INVOICE_CERT_EIV'S7"/>
      <sheetName val="Building_BD7"/>
      <sheetName val="Onerous_Terms7"/>
      <sheetName val="_Sum7"/>
      <sheetName val="plan&amp;section_of_foundation6"/>
      <sheetName val="design_criteria6"/>
      <sheetName val="공사비_내역_(가)6"/>
      <sheetName val="33628-Rev__A6"/>
      <sheetName val="w't_table6"/>
      <sheetName val="BM_DATA_SHEET6"/>
      <sheetName val="Progress_Tab6"/>
      <sheetName val="Eq__Mobilization6"/>
      <sheetName val="입찰내역_발주처_양식6"/>
      <sheetName val="REINF_6"/>
      <sheetName val="M_116"/>
      <sheetName val="PC_CATCH_PIT_1X1X1_2M5"/>
      <sheetName val="PC_CATCH_PIT__6X_6X1_0M5"/>
      <sheetName val="PC_COVER_100MM_THK__95x_35"/>
      <sheetName val="PC_COVER_250MM_THK_2_2x_35"/>
      <sheetName val="Chiet_tinh_dz355"/>
      <sheetName val="member_design5"/>
      <sheetName val="working_load_at_the_btm_ft_5"/>
      <sheetName val="soil_bearing_check5"/>
      <sheetName val="3__GROUNDING_SYSTEM6"/>
      <sheetName val="Structural_Comp1"/>
      <sheetName val="Adjusted_Bids5"/>
      <sheetName val="Concept_Offshore5"/>
      <sheetName val="Running_compatibility_check_5"/>
      <sheetName val="FWBS_codes1"/>
      <sheetName val="STANDARD_DESCRIPTION1"/>
      <sheetName val="STANDARD_DESCRIPTION_-_20150511"/>
      <sheetName val="Drawings_Summary1"/>
      <sheetName val="Instr_Drawing_List1"/>
      <sheetName val="INDEX-Areas_B000,C000,D000,E001"/>
      <sheetName val="STANDARD_DESCRIPTION_201507151"/>
      <sheetName val="DropDown_Selections1"/>
      <sheetName val="A(Rev_3)5"/>
      <sheetName val="[Planning&amp;reporting_xlsM9000-A1"/>
      <sheetName val="Cashflow_Analysis1"/>
      <sheetName val="Direct_Prices"/>
      <sheetName val="WORKSHEET_CS"/>
      <sheetName val="_Planning&amp;reporting_xlsM9000-A"/>
      <sheetName val="00-Summary_Information-ABB"/>
      <sheetName val="DO_NOT_DELETE"/>
      <sheetName val="Time_Rates_"/>
      <sheetName val="Depreciation"/>
      <sheetName val="EmpList"/>
      <sheetName val="Personnel"/>
      <sheetName val="Calendar"/>
      <sheetName val="Orçamento"/>
      <sheetName val="COMPLEXALL"/>
      <sheetName val="ITB COST"/>
      <sheetName val="Civil Weekly"/>
      <sheetName val="0.0 Cover"/>
      <sheetName val="Hoja 3"/>
      <sheetName val="Cutoff"/>
      <sheetName val=" N Finansal Eğri"/>
      <sheetName val="1"/>
      <sheetName val="손익차9월2"/>
      <sheetName val="MOS"/>
      <sheetName val="Pricing Summary"/>
      <sheetName val="Net Cost - Final Base"/>
      <sheetName val="7.6Net Cost Agreed on Dec-04 R1"/>
      <sheetName val="Net Cost Agreed on Dec-04 Rev1"/>
      <sheetName val="7.6 Net Cost Agreed on Dec-04"/>
      <sheetName val="Net Cost Agreed on Dec-04"/>
      <sheetName val="Total for Check"/>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pg.4"/>
      <sheetName val="Subcon A"/>
      <sheetName val="갑지"/>
      <sheetName val="도급양식"/>
      <sheetName val="예산"/>
      <sheetName val="pg_4"/>
      <sheetName val="Subcon_A"/>
      <sheetName val="bill 2"/>
      <sheetName val="insulation"/>
      <sheetName val="MATERIAL'S PRICE"/>
      <sheetName val="pg_41"/>
      <sheetName val="Subcon_A1"/>
      <sheetName val="bill_2"/>
      <sheetName val="MATERIAL'S_PRICE"/>
      <sheetName val="page_6"/>
      <sheetName val="inter"/>
      <sheetName val="sum"/>
      <sheetName val="예산M11A"/>
      <sheetName val="유림콘도"/>
      <sheetName val="JK Price sheet"/>
      <sheetName val="TP Price sheet"/>
      <sheetName val="Phase 1 JK UTSE"/>
      <sheetName val="Phase 2 JK UTSE"/>
      <sheetName val="Phase 1 and 2 JK UTSE"/>
      <sheetName val="Phase 1 TP UTSE"/>
      <sheetName val="Phase 2 TP UTSE"/>
      <sheetName val="Phase 1 and 2 TP UTSE"/>
      <sheetName val="Cash Flow (BL)"/>
      <sheetName val="Cash Flow (UTSE)"/>
      <sheetName val="Estimation"/>
      <sheetName val="스케즐"/>
      <sheetName val="총괄"/>
      <sheetName val="견적서표지0204-2 (2)"/>
      <sheetName val="Piping Spool"/>
      <sheetName val="Cost Definition"/>
      <sheetName val="견적 원가 "/>
      <sheetName val="부산제일극장"/>
      <sheetName val="Sand"/>
      <sheetName val="Geotextile for geotube"/>
      <sheetName val="Geotube"/>
      <sheetName val="Hohlquader"/>
      <sheetName val="RD01"/>
      <sheetName val="Settings"/>
      <sheetName val="유림골조"/>
      <sheetName val="FAB별"/>
      <sheetName val="Specs"/>
      <sheetName val="PROJ_INFO"/>
      <sheetName val="FOREX"/>
      <sheetName val="AEROGEL CAL"/>
      <sheetName val="CRYG THKMM"/>
      <sheetName val="QUOTES"/>
      <sheetName val="PVBF"/>
      <sheetName val="SCAFF"/>
      <sheetName val="INDIRECTS"/>
      <sheetName val="LABBASIS"/>
      <sheetName val="MATBASIS"/>
      <sheetName val="TKOFF"/>
      <sheetName val="PSUM"/>
      <sheetName val="ANALYSIS"/>
      <sheetName val="ITB REVIEW"/>
      <sheetName val="SPCS SUMM."/>
      <sheetName val="ESTI. SUMM."/>
      <sheetName val="Price Summary"/>
      <sheetName val="BOQ_Insulation_Piping"/>
      <sheetName val="BOQ_Insulation_Equipment"/>
      <sheetName val="Acc Stock-INSUL"/>
      <sheetName val="Inert Balls"/>
      <sheetName val="Menu"/>
      <sheetName val="Drop Down"/>
      <sheetName val="Source Data"/>
      <sheetName val="CAPEX Categories"/>
      <sheetName val="RFP003_Building - B"/>
      <sheetName val="RFP005"/>
      <sheetName val="RFP006"/>
      <sheetName val="RFP012"/>
      <sheetName val="RFP009"/>
      <sheetName val="RFP004"/>
      <sheetName val="PERHITUNGAN  KEEKONOMIAN"/>
      <sheetName val="SENSITIVITAS"/>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Benchmark"/>
      <sheetName val="목록박스"/>
      <sheetName val="Cable Schedule"/>
      <sheetName val="EQUI"/>
      <sheetName val="2.04"/>
      <sheetName val="2.05"/>
      <sheetName val="2.07 &amp; 2.08"/>
      <sheetName val="3.01"/>
      <sheetName val="3.02"/>
      <sheetName val="3.03"/>
      <sheetName val="ratios"/>
      <sheetName val="ecart Personnel"/>
      <sheetName val="Ecart Others"/>
      <sheetName val="Other costs"/>
      <sheetName val="3000 Steel str"/>
      <sheetName val="5000 Equipments"/>
      <sheetName val="6000 Piping"/>
      <sheetName val="7000 Instrumentation"/>
      <sheetName val="8000 Electrical"/>
      <sheetName val="per supplier"/>
      <sheetName val="Pivot ledger"/>
      <sheetName val="Ledger"/>
      <sheetName val="Pivot ENT"/>
      <sheetName val="ENT"/>
      <sheetName val="Pivot MAD"/>
      <sheetName val="MAD"/>
      <sheetName val="Prod"/>
      <sheetName val="97 사업추정(WEKI)"/>
      <sheetName val="INDIRECT OH&amp;P "/>
      <sheetName val="Hoja2"/>
      <sheetName val="Horas"/>
      <sheetName val="Overall MTO - 20191001 (old)"/>
      <sheetName val="MTO for BMBQ"/>
      <sheetName val="PCWBS Map"/>
      <sheetName val="Paint&amp;Ins"/>
      <sheetName val="reff"/>
      <sheetName val="Valve"/>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S"/>
      <sheetName val="Tgh JGC-Inv I clp"/>
      <sheetName val="PCS "/>
      <sheetName val="Progress Statement-SI"/>
      <sheetName val="Progress Payment-3110"/>
      <sheetName val="회사99"/>
      <sheetName val="Summary (3)"/>
      <sheetName val="RRW Scaff"/>
      <sheetName val="RRW Oct-2019-1st Lot-13-10-19"/>
      <sheetName val="RRW Oct-2019-2st Lot-15-10-19"/>
      <sheetName val="Sheet16"/>
      <sheetName val="PROGRAM"/>
      <sheetName val="CASHFLOW"/>
      <sheetName val="GRAPH_DATA"/>
      <sheetName val="Report Wizard"/>
      <sheetName val="Initial Plan"/>
      <sheetName val="Progress"/>
      <sheetName val="S3-Costing"/>
      <sheetName val="S4-Costing"/>
      <sheetName val="ABBR"/>
      <sheetName val="Salary 2013"/>
      <sheetName val="Finansal tamamlanma Eğrisi"/>
      <sheetName val="1.INV"/>
      <sheetName val="2.Calculation Sheet"/>
      <sheetName val="Price Sheet"/>
      <sheetName val="3. Progress"/>
      <sheetName val="4. EDR"/>
      <sheetName val="BOM SUM"/>
      <sheetName val="Eng. Boq -1"/>
      <sheetName val="PFP,TIE COAT &amp; TOP FLG PAINTED"/>
      <sheetName val="Shop Modifications"/>
      <sheetName val="JI-2036 - Preservation"/>
      <sheetName val="Re-Application "/>
      <sheetName val="Sheet3"/>
      <sheetName val="L-FRAMES"/>
      <sheetName val="MM"/>
      <sheetName val="OLD (2)"/>
      <sheetName val="MLCL"/>
      <sheetName val="DB-Weight"/>
      <sheetName val="DB-EQL"/>
      <sheetName val="DB-BOLT SIZE"/>
      <sheetName val="REQ LIST"/>
      <sheetName val="DESC NEW PMC"/>
      <sheetName val="MTO_2020.03.11"/>
      <sheetName val="BM_PIVOT"/>
      <sheetName val="BQ_2020.03.03"/>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7422CW00"/>
      <sheetName val="P-산#1-1(WOWA1)"/>
      <sheetName val="부하계산서"/>
      <sheetName val="배5월출고"/>
      <sheetName val="BQ-E20-02(Rp)"/>
      <sheetName val="MIBK원단위"/>
      <sheetName val="BAND(200)"/>
      <sheetName val="OUTER AREA(겹침없음)"/>
      <sheetName val="EG-09"/>
      <sheetName val="LOADDAT"/>
      <sheetName val="sheet6"/>
      <sheetName val="DATA-DEP.(13-17)"/>
      <sheetName val="DATA-KBPL(17-25)"/>
      <sheetName val="DATA-GCC(25-34.7)"/>
      <sheetName val="St.-Con(0-17)"/>
      <sheetName val="St.-Con.(17-34)"/>
      <sheetName val="개시대사 (2)"/>
      <sheetName val="BLDG_DCI"/>
      <sheetName val="BLDG_MCI"/>
      <sheetName val="DIV-03"/>
      <sheetName val="Sal"/>
      <sheetName val="Harsat"/>
      <sheetName val="Equiv.Length"/>
      <sheetName val="S-Curve (Weekly)"/>
      <sheetName val="Price Summary (1)"/>
      <sheetName val="Price Summary (2)"/>
      <sheetName val="DESBASTE"/>
      <sheetName val="Item#9.3"/>
      <sheetName val="Item#1.9"/>
      <sheetName val="Item#2.6"/>
      <sheetName val="Item#3.8"/>
      <sheetName val="Item#4.10"/>
      <sheetName val="Item#5.8"/>
      <sheetName val="Item#6.7"/>
      <sheetName val="Item#7.21"/>
      <sheetName val="Item#8.7"/>
      <sheetName val="8-31-98"/>
      <sheetName val="worksheet inchican"/>
      <sheetName val="REBAR"/>
      <sheetName val="Arch"/>
      <sheetName val="DESBAST"/>
      <sheetName val="チューブ仕様"/>
      <sheetName val="LLEGADA"/>
      <sheetName val="GAE8'97"/>
      <sheetName val="2.2 띠장의 설계"/>
      <sheetName val="2.223M_due to adj profit"/>
      <sheetName val="Land Dev't. Ph-1"/>
      <sheetName val="INTERIOR WALLS"/>
      <sheetName val="CPA_EQP"/>
      <sheetName val="S-Curve"/>
      <sheetName val="5-Digit"/>
      <sheetName val="CFA"/>
      <sheetName val="Material Price"/>
      <sheetName val="combined 9-30"/>
      <sheetName val="Ex-Rate"/>
      <sheetName val="Budget"/>
      <sheetName val="GESTION FICHE"/>
      <sheetName val="TRADUCTION LISTES"/>
      <sheetName val="L V Separator"/>
      <sheetName val="TACE"/>
      <sheetName val="SUM_FSBLT10"/>
      <sheetName val="FWBS_900010"/>
      <sheetName val="Overall_Project10"/>
      <sheetName val="Overall_Process10"/>
      <sheetName val="Overall_Utility10"/>
      <sheetName val="FWBS_100010"/>
      <sheetName val="FWBS_200010"/>
      <sheetName val="FWBS_300010"/>
      <sheetName val="FWBS_500010"/>
      <sheetName val="FWBS_600010"/>
      <sheetName val="FWBS_700010"/>
      <sheetName val="FWBS_800010"/>
      <sheetName val="FWBS_A00010"/>
      <sheetName val="FWBS_B00010"/>
      <sheetName val="FWBS_Z00010"/>
      <sheetName val="INVOICE_CERT_EIV'S9"/>
      <sheetName val="Onerous_Terms9"/>
      <sheetName val="Building_BD9"/>
      <sheetName val="_Sum9"/>
      <sheetName val="plan&amp;section_of_foundation8"/>
      <sheetName val="design_criteria8"/>
      <sheetName val="실제_도면출도8"/>
      <sheetName val="공사비_내역_(가)8"/>
      <sheetName val="Progress_Tab8"/>
      <sheetName val="w't_table8"/>
      <sheetName val="BM_DATA_SHEET8"/>
      <sheetName val="Eq__Mobilization8"/>
      <sheetName val="33628-Rev__A8"/>
      <sheetName val="입찰내역_발주처_양식8"/>
      <sheetName val="REINF_8"/>
      <sheetName val="M_118"/>
      <sheetName val="PC_CATCH_PIT_1X1X1_2M7"/>
      <sheetName val="PC_CATCH_PIT__6X_6X1_0M7"/>
      <sheetName val="PC_COVER_100MM_THK__95x_37"/>
      <sheetName val="PC_COVER_250MM_THK_2_2x_37"/>
      <sheetName val="Chiet_tinh_dz357"/>
      <sheetName val="member_design7"/>
      <sheetName val="working_load_at_the_btm_ft_7"/>
      <sheetName val="soil_bearing_check7"/>
      <sheetName val="3__GROUNDING_SYSTEM8"/>
      <sheetName val="Structural_Comp3"/>
      <sheetName val="Adjusted_Bids7"/>
      <sheetName val="Concept_Offshore7"/>
      <sheetName val="Running_compatibility_check_7"/>
      <sheetName val="A(Rev_3)7"/>
      <sheetName val="[Planning&amp;reporting_xlsM9000-A3"/>
      <sheetName val="Running_compatibility_check__x2"/>
      <sheetName val="Cashflow_Analysis3"/>
      <sheetName val="Running_compatibility_check_?A2"/>
      <sheetName val="Running_compatibility_check__A2"/>
      <sheetName val="A_(2)2"/>
      <sheetName val="Direct_Prices2"/>
      <sheetName val="List_of_WorkPacks2"/>
      <sheetName val="List_of_Dates2"/>
      <sheetName val="FWBS_codes3"/>
      <sheetName val="STANDARD_DESCRIPTION3"/>
      <sheetName val="STANDARD_DESCRIPTION_-_20150513"/>
      <sheetName val="Drawings_Summary3"/>
      <sheetName val="Instr_Drawing_List3"/>
      <sheetName val="INDEX-Areas_B000,C000,D000,E003"/>
      <sheetName val="STANDARD_DESCRIPTION_201507153"/>
      <sheetName val="DropDown_Selections3"/>
      <sheetName val="WORKSHEET_CS2"/>
      <sheetName val="_Planning&amp;reporting_xlsM9000-A2"/>
      <sheetName val="00-Summary_Information-ABB2"/>
      <sheetName val="DO_NOT_DELETE2"/>
      <sheetName val="Time_Rates_2"/>
      <sheetName val="P-Ins_&amp;_Bonds"/>
      <sheetName val="P-Site_fac"/>
      <sheetName val="P-Clients_fac"/>
      <sheetName val="P_Staff_fac"/>
      <sheetName val="factor_"/>
      <sheetName val="vlookup_-_do_not_print"/>
      <sheetName val="Rate_Analysis"/>
      <sheetName val="19_05_2010"/>
      <sheetName val="Earthworks_ERP"/>
      <sheetName val="24_06_2010"/>
      <sheetName val="Small_Structures_ERP"/>
      <sheetName val="Large_Structures_ERP"/>
      <sheetName val="Tunnelling_ERP"/>
      <sheetName val="SUM_FSBLT11"/>
      <sheetName val="FWBS_900011"/>
      <sheetName val="Overall_Project11"/>
      <sheetName val="Overall_Process11"/>
      <sheetName val="Overall_Utility11"/>
      <sheetName val="FWBS_100011"/>
      <sheetName val="FWBS_200011"/>
      <sheetName val="FWBS_300011"/>
      <sheetName val="FWBS_500011"/>
      <sheetName val="FWBS_600011"/>
      <sheetName val="FWBS_700011"/>
      <sheetName val="FWBS_800011"/>
      <sheetName val="FWBS_A00011"/>
      <sheetName val="FWBS_B00011"/>
      <sheetName val="FWBS_Z00011"/>
      <sheetName val="INVOICE_CERT_EIV'S10"/>
      <sheetName val="Onerous_Terms10"/>
      <sheetName val="Building_BD10"/>
      <sheetName val="_Sum10"/>
      <sheetName val="plan&amp;section_of_foundation9"/>
      <sheetName val="design_criteria9"/>
      <sheetName val="실제_도면출도9"/>
      <sheetName val="공사비_내역_(가)9"/>
      <sheetName val="Progress_Tab9"/>
      <sheetName val="w't_table9"/>
      <sheetName val="BM_DATA_SHEET9"/>
      <sheetName val="Eq__Mobilization9"/>
      <sheetName val="33628-Rev__A9"/>
      <sheetName val="입찰내역_발주처_양식9"/>
      <sheetName val="REINF_9"/>
      <sheetName val="M_119"/>
      <sheetName val="PC_CATCH_PIT_1X1X1_2M8"/>
      <sheetName val="PC_CATCH_PIT__6X_6X1_0M8"/>
      <sheetName val="PC_COVER_100MM_THK__95x_38"/>
      <sheetName val="PC_COVER_250MM_THK_2_2x_38"/>
      <sheetName val="Chiet_tinh_dz358"/>
      <sheetName val="member_design8"/>
      <sheetName val="working_load_at_the_btm_ft_8"/>
      <sheetName val="soil_bearing_check8"/>
      <sheetName val="3__GROUNDING_SYSTEM9"/>
      <sheetName val="Structural_Comp4"/>
      <sheetName val="Adjusted_Bids8"/>
      <sheetName val="Concept_Offshore8"/>
      <sheetName val="Running_compatibility_check_8"/>
      <sheetName val="A(Rev_3)8"/>
      <sheetName val="[Planning&amp;reporting_xlsM9000-A4"/>
      <sheetName val="Running_compatibility_check__x3"/>
      <sheetName val="Cashflow_Analysis4"/>
      <sheetName val="Running_compatibility_check_?A3"/>
      <sheetName val="Running_compatibility_check__A3"/>
      <sheetName val="A_(2)3"/>
      <sheetName val="Direct_Prices3"/>
      <sheetName val="List_of_WorkPacks3"/>
      <sheetName val="List_of_Dates3"/>
      <sheetName val="FWBS_codes4"/>
      <sheetName val="STANDARD_DESCRIPTION4"/>
      <sheetName val="STANDARD_DESCRIPTION_-_20150514"/>
      <sheetName val="Drawings_Summary4"/>
      <sheetName val="Instr_Drawing_List4"/>
      <sheetName val="INDEX-Areas_B000,C000,D000,E004"/>
      <sheetName val="STANDARD_DESCRIPTION_201507154"/>
      <sheetName val="DropDown_Selections4"/>
      <sheetName val="WORKSHEET_CS3"/>
      <sheetName val="_Planning&amp;reporting_xlsM9000-A3"/>
      <sheetName val="00-Summary_Information-ABB3"/>
      <sheetName val="DO_NOT_DELETE3"/>
      <sheetName val="Time_Rates_3"/>
      <sheetName val="page_61"/>
      <sheetName val="P-Ins_&amp;_Bonds1"/>
      <sheetName val="P-Site_fac1"/>
      <sheetName val="P-Clients_fac1"/>
      <sheetName val="P_Staff_fac1"/>
      <sheetName val="factor_1"/>
      <sheetName val="vlookup_-_do_not_print1"/>
      <sheetName val="Rate_Analysis1"/>
      <sheetName val="19_05_20101"/>
      <sheetName val="Earthworks_ERP1"/>
      <sheetName val="24_06_20101"/>
      <sheetName val="Small_Structures_ERP1"/>
      <sheetName val="Large_Structures_ERP1"/>
      <sheetName val="Tunnelling_ERP1"/>
      <sheetName val="12 - MAT'L CLASSIFIC. FACTORS"/>
      <sheetName val="1 - PREFAB STR STEEL"/>
      <sheetName val="8 - SKIDS, VESSELS &amp; EQPT"/>
      <sheetName val="5 - STG PLANT - MISC  ITEMS"/>
      <sheetName val="14 - HEIGHT FACTORS"/>
      <sheetName val="10 - STEAM TURBINE PUMPS"/>
      <sheetName val="16 - ASTM CS PIPE ERECT"/>
      <sheetName val="15 - ASTM CS PIPE FAB"/>
      <sheetName val="7 - SAND BLAST &amp; PAINT"/>
      <sheetName val="breakdown"/>
      <sheetName val="마감물량"/>
      <sheetName val="Substation Column"/>
      <sheetName val="laborrates"/>
      <sheetName val="100(4)"/>
      <sheetName val="合成単価作成表_BLDG"/>
      <sheetName val="RefG"/>
      <sheetName val="IRR sponsor"/>
      <sheetName val="SG"/>
      <sheetName val="Pricing_Summary"/>
      <sheetName val="Net_Cost_-_Final_Base"/>
      <sheetName val="7_6Net_Cost_Agreed_on_Dec-04_R1"/>
      <sheetName val="Net_Cost_Agreed_on_Dec-04_Rev1"/>
      <sheetName val="7_6_Net_Cost_Agreed_on_Dec-04"/>
      <sheetName val="Net_Cost_Agreed_on_Dec-04"/>
      <sheetName val="Total_for_Check"/>
      <sheetName val="ITB_COST"/>
      <sheetName val="Civil_Weekly"/>
      <sheetName val="견적서표지0204-2_(2)"/>
      <sheetName val="Piping_Spool"/>
      <sheetName val="Cost_Definition"/>
      <sheetName val="견적_원가_"/>
      <sheetName val="pg_42"/>
      <sheetName val="Subcon_A2"/>
      <sheetName val="bill_21"/>
      <sheetName val="MATERIAL'S_PRICE1"/>
      <sheetName val="_N_Finansal_Eğri"/>
      <sheetName val="2_04"/>
      <sheetName val="2_05"/>
      <sheetName val="2_07_&amp;_2_08"/>
      <sheetName val="3_01"/>
      <sheetName val="3_02"/>
      <sheetName val="3_03"/>
      <sheetName val="ecart_Personnel"/>
      <sheetName val="Ecart_Others"/>
      <sheetName val="Other_costs"/>
      <sheetName val="3000_Steel_str"/>
      <sheetName val="5000_Equipments"/>
      <sheetName val="6000_Piping"/>
      <sheetName val="7000_Instrumentation"/>
      <sheetName val="8000_Electrical"/>
      <sheetName val="per_supplier"/>
      <sheetName val="Pivot_ledger"/>
      <sheetName val="Pivot_ENT"/>
      <sheetName val="Pivot_MAD"/>
      <sheetName val="INSULATION R1"/>
      <sheetName val="BOQ LIST"/>
      <sheetName val="17安"/>
      <sheetName val="Part"/>
      <sheetName val="Setup"/>
      <sheetName val="PDS U-1400"/>
      <sheetName val="SPT vs PHI"/>
      <sheetName val="01-D.PERS"/>
      <sheetName val="Fig 4-14"/>
      <sheetName val="Fig 5-17"/>
      <sheetName val="IMPULSE"/>
      <sheetName val="Manpower List-1"/>
      <sheetName val="DAILY"/>
      <sheetName val="SUMMARY FOR DPR"/>
      <sheetName val="Index Daily Alloaction"/>
      <sheetName val="Manpower List"/>
      <sheetName val="A &amp; B"/>
      <sheetName val="conta_rapor"/>
      <sheetName val="sonuç"/>
      <sheetName val="Follow-up"/>
      <sheetName val="Sayfa1"/>
      <sheetName val="Insulatıon_status"/>
      <sheetName val="SOS_PLC &amp; Panel"/>
      <sheetName val="2000년_#1_HB"/>
      <sheetName val="Planilla CND"/>
      <sheetName val="Restricted"/>
      <sheetName val="전체계좌"/>
      <sheetName val="8104"/>
      <sheetName val="1771"/>
      <sheetName val="CASH-FLOW"/>
      <sheetName val="Table_Rates Data"/>
      <sheetName val="95삼성급(본사)"/>
      <sheetName val="APP-9"/>
      <sheetName val="MAPP"/>
      <sheetName val="rek det 1-3"/>
      <sheetName val="BP"/>
      <sheetName val="Comp equip"/>
      <sheetName val="Mach &amp; equip"/>
      <sheetName val="单价"/>
      <sheetName val="eqpmad2"/>
      <sheetName val="Financ. Overview"/>
      <sheetName val="Toolbox"/>
      <sheetName val="최적단면"/>
      <sheetName val="单价分析表2"/>
      <sheetName val="MECHANICAL（水处理厂2)"/>
      <sheetName val="XLR_NoRangeSheet"/>
      <sheetName val="内河船舶单价"/>
      <sheetName val="待摊费"/>
      <sheetName val="人工费"/>
      <sheetName val="quant"/>
      <sheetName val="材料"/>
      <sheetName val="4 代码列表"/>
      <sheetName val="人工SDP.2"/>
      <sheetName val="参数"/>
      <sheetName val="材料SDP.1"/>
      <sheetName val="Prec.OTS"/>
      <sheetName val="COLUMNS"/>
      <sheetName val="VESSELS "/>
      <sheetName val="Page 1"/>
      <sheetName val="pw&amp;shs"/>
      <sheetName val="주관사업"/>
      <sheetName val="SEX"/>
      <sheetName val="351BQMCN"/>
      <sheetName val="DAF-4"/>
      <sheetName val="Hrg Satuan"/>
      <sheetName val="analisa"/>
      <sheetName val="schbhn"/>
      <sheetName val="schalt"/>
      <sheetName val="schtng"/>
      <sheetName val="Bill rekap"/>
      <sheetName val="ESCON"/>
      <sheetName val="Div2"/>
      <sheetName val="ANALIS.2"/>
      <sheetName val="ANALIS.1"/>
      <sheetName val="Harga Satuan"/>
      <sheetName val="BHN"/>
      <sheetName val="ALT"/>
      <sheetName val="SUB"/>
      <sheetName val="UPH"/>
      <sheetName val="Aggr"/>
      <sheetName val="analis standar(8m)"/>
      <sheetName val="DAF-3"/>
      <sheetName val="REQDELTA"/>
      <sheetName val="bhn "/>
      <sheetName val="Testing"/>
      <sheetName val="BAG-III"/>
      <sheetName val="I_KAMAR"/>
      <sheetName val="D-3109"/>
      <sheetName val="Mall"/>
      <sheetName val="AHS"/>
      <sheetName val="STR"/>
      <sheetName val="NP"/>
      <sheetName val="TOTAL SCHEDULE"/>
      <sheetName val="BILL"/>
      <sheetName val="SALES"/>
      <sheetName val="PERHITUNGAN__KEEKONOMIAN"/>
      <sheetName val="RFP003_Building_-_B"/>
      <sheetName val="Total_Staff"/>
      <sheetName val="0__SUMMARY"/>
      <sheetName val="1__Engineering"/>
      <sheetName val="2__Check_point"/>
      <sheetName val="II_Changes_1"/>
      <sheetName val="III_Changes_2"/>
      <sheetName val="Qty_"/>
      <sheetName val="OQC_Summary"/>
      <sheetName val="6_Unit_Rates"/>
      <sheetName val="AEROGEL_CAL"/>
      <sheetName val="CRYG_THKMM"/>
      <sheetName val="ITB_REVIEW"/>
      <sheetName val="SPCS_SUMM_"/>
      <sheetName val="ESTI__SUMM_"/>
      <sheetName val="Price_Summary"/>
      <sheetName val="Acc_Stock-INSUL"/>
      <sheetName val="97_사업추정(WEKI)"/>
      <sheetName val="Drop_Down"/>
      <sheetName val="Source_Data"/>
      <sheetName val="Overall_MTO_-_20191001_(old)"/>
      <sheetName val="MTO_for_BMBQ"/>
      <sheetName val="BQ_Reff"/>
      <sheetName val="Sum_of_Comparison-20191007"/>
      <sheetName val="Joint_No_"/>
      <sheetName val="Unit_Weight"/>
      <sheetName val="Detail_PMC"/>
      <sheetName val="Detail_PMC_(for_full_desc)"/>
      <sheetName val="Bolt_Size"/>
      <sheetName val="NDE_Req"/>
      <sheetName val="Tgh_JGC-Inv_I_clp"/>
      <sheetName val="PCS_"/>
      <sheetName val="Progress_Statement-SI"/>
      <sheetName val="Progress_Payment-3110"/>
      <sheetName val="0_0_Cover"/>
      <sheetName val="Hoja_3"/>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CAPEX_Categories"/>
      <sheetName val="Cable_Schedule"/>
      <sheetName val="INDIRECT_OH&amp;P_"/>
      <sheetName val="JK_Price_sheet"/>
      <sheetName val="TP_Price_sheet"/>
      <sheetName val="Phase_1_JK_UTSE"/>
      <sheetName val="Phase_2_JK_UTSE"/>
      <sheetName val="Phase_1_and_2_JK_UTSE"/>
      <sheetName val="Phase_1_TP_UTSE"/>
      <sheetName val="Phase_2_TP_UTSE"/>
      <sheetName val="Phase_1_and_2_TP_UTSE"/>
      <sheetName val="Cash_Flow_(BL)"/>
      <sheetName val="Cash_Flow_(UTSE)"/>
      <sheetName val="Summary_(3)"/>
      <sheetName val="RRW_Scaff"/>
      <sheetName val="RRW_Oct-2019-1st_Lot-13-10-19"/>
      <sheetName val="RRW_Oct-2019-2st_Lot-15-10-19"/>
      <sheetName val="Report_Wizard"/>
      <sheetName val="Initial_Plan"/>
      <sheetName val="DB-BOLT_SIZE"/>
      <sheetName val="REQ_LIST"/>
      <sheetName val="DESC_NEW_PMC"/>
      <sheetName val="MTO_2020_03_11"/>
      <sheetName val="BQ_2020_03_03"/>
      <sheetName val="MTO_2020_03_03_(VDR)"/>
      <sheetName val="BQ_2020_03_03_(VDR)"/>
      <sheetName val="WEIGHT_&amp;_PAINT"/>
      <sheetName val="FW_JGC"/>
      <sheetName val="FW_VENDOR"/>
      <sheetName val="BQ_2020_02_25"/>
      <sheetName val="BM_BOLT_&amp;_NUT"/>
      <sheetName val="RT_TABLE"/>
      <sheetName val="BRANCH_&amp;_REDUCING_TABLE"/>
      <sheetName val="DESC_OLD_PMC"/>
      <sheetName val="SHORT_CODE_LIST"/>
      <sheetName val="Geotextile_for_geotube"/>
      <sheetName val="Salary_2013"/>
      <sheetName val="Finansal_tamamlanma_Eğrisi"/>
      <sheetName val="1_INV"/>
      <sheetName val="2_Calculation_Sheet"/>
      <sheetName val="Price_Sheet"/>
      <sheetName val="3__Progress"/>
      <sheetName val="4__EDR"/>
      <sheetName val="BOM_SUM"/>
      <sheetName val="Eng__Boq_-1"/>
      <sheetName val="PFP,TIE_COAT_&amp;_TOP_FLG_PAINTED"/>
      <sheetName val="Shop_Modifications"/>
      <sheetName val="JI-2036_-_Preservation"/>
      <sheetName val="Re-Application_"/>
      <sheetName val="OLD_(2)"/>
      <sheetName val="DATA-DEP_(13-17)"/>
      <sheetName val="DATA-GCC(25-34_7)"/>
      <sheetName val="St_-Con(0-17)"/>
      <sheetName val="St_-Con_(17-34)"/>
      <sheetName val="개시대사_(2)"/>
      <sheetName val="Equiv_Length"/>
      <sheetName val="S-Curve_(Weekly)"/>
      <sheetName val="Price_Summary_(1)"/>
      <sheetName val="Price_Summary_(2)"/>
      <sheetName val="Item#9_3"/>
      <sheetName val="Item#1_9"/>
      <sheetName val="Item#2_6"/>
      <sheetName val="Item#3_8"/>
      <sheetName val="Item#4_10"/>
      <sheetName val="Item#5_8"/>
      <sheetName val="Item#6_7"/>
      <sheetName val="Item#7_21"/>
      <sheetName val="Item#8_7"/>
      <sheetName val="worksheet_inchican"/>
      <sheetName val="2_2_띠장의_설계"/>
      <sheetName val="2_223M_due_to_adj_profit"/>
      <sheetName val="Land_Dev't__Ph-1"/>
      <sheetName val="INTERIOR_WALLS"/>
      <sheetName val="Material_Price"/>
      <sheetName val="combined_9-30"/>
      <sheetName val="GESTION_FICHE"/>
      <sheetName val="TRADUCTION_LISTES"/>
      <sheetName val="Inert_Balls"/>
      <sheetName val="Prec_OTS"/>
      <sheetName val="INSULATION_R1"/>
      <sheetName val="노임단가"/>
      <sheetName val="교량대비"/>
      <sheetName val="내역서"/>
      <sheetName val="page_62"/>
      <sheetName val="ITB_COST1"/>
      <sheetName val="Civil_Weekly1"/>
      <sheetName val="Pricing_Summary1"/>
      <sheetName val="Net_Cost_-_Final_Base1"/>
      <sheetName val="7_6Net_Cost_Agreed_on_Dec-04_R2"/>
      <sheetName val="Net_Cost_Agreed_on_Dec-04_Rev11"/>
      <sheetName val="7_6_Net_Cost_Agreed_on_Dec-041"/>
      <sheetName val="Net_Cost_Agreed_on_Dec-041"/>
      <sheetName val="Total_for_Check1"/>
      <sheetName val="_N_Finansal_Eğri1"/>
      <sheetName val="0_0_Cover1"/>
      <sheetName val="Hoja_31"/>
      <sheetName val="Drop_Down1"/>
      <sheetName val="Source_Data1"/>
      <sheetName val="CAPEX_Categories1"/>
      <sheetName val="RFP003_Building_-_B1"/>
      <sheetName val="pg_43"/>
      <sheetName val="Subcon_A3"/>
      <sheetName val="bill_22"/>
      <sheetName val="MATERIAL'S_PRICE2"/>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견적서표지0204-2_(2)1"/>
      <sheetName val="Piping_Spool1"/>
      <sheetName val="Cost_Definition1"/>
      <sheetName val="견적_원가_1"/>
      <sheetName val="page_63"/>
      <sheetName val="P-Ins_&amp;_Bonds2"/>
      <sheetName val="P-Site_fac2"/>
      <sheetName val="P-Clients_fac2"/>
      <sheetName val="P_Staff_fac2"/>
      <sheetName val="factor_2"/>
      <sheetName val="vlookup_-_do_not_print2"/>
      <sheetName val="Rate_Analysis2"/>
      <sheetName val="ITB_COST2"/>
      <sheetName val="19_05_20102"/>
      <sheetName val="Earthworks_ERP2"/>
      <sheetName val="24_06_20102"/>
      <sheetName val="Small_Structures_ERP2"/>
      <sheetName val="Large_Structures_ERP2"/>
      <sheetName val="Tunnelling_ERP2"/>
      <sheetName val="Civil_Weekly2"/>
      <sheetName val="Pricing_Summary2"/>
      <sheetName val="Net_Cost_-_Final_Base2"/>
      <sheetName val="7_6Net_Cost_Agreed_on_Dec-04_R3"/>
      <sheetName val="Net_Cost_Agreed_on_Dec-04_Rev12"/>
      <sheetName val="7_6_Net_Cost_Agreed_on_Dec-042"/>
      <sheetName val="Net_Cost_Agreed_on_Dec-042"/>
      <sheetName val="Total_for_Check2"/>
      <sheetName val="_N_Finansal_Eğri2"/>
      <sheetName val="0_0_Cover2"/>
      <sheetName val="Hoja_32"/>
      <sheetName val="Drop_Down2"/>
      <sheetName val="Source_Data2"/>
      <sheetName val="CAPEX_Categories2"/>
      <sheetName val="RFP003_Building_-_B2"/>
      <sheetName val="pg_44"/>
      <sheetName val="Subcon_A4"/>
      <sheetName val="bill_23"/>
      <sheetName val="MATERIAL'S_PRICE3"/>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견적서표지0204-2_(2)2"/>
      <sheetName val="Piping_Spool2"/>
      <sheetName val="Cost_Definition2"/>
      <sheetName val="견적_원가_2"/>
      <sheetName val="SUM_FSBLT12"/>
      <sheetName val="FWBS_900012"/>
      <sheetName val="Overall_Project12"/>
      <sheetName val="Overall_Process12"/>
      <sheetName val="Overall_Utility12"/>
      <sheetName val="FWBS_100012"/>
      <sheetName val="FWBS_200012"/>
      <sheetName val="FWBS_300012"/>
      <sheetName val="FWBS_500012"/>
      <sheetName val="FWBS_600012"/>
      <sheetName val="FWBS_700012"/>
      <sheetName val="FWBS_800012"/>
      <sheetName val="FWBS_A00012"/>
      <sheetName val="FWBS_B00012"/>
      <sheetName val="FWBS_Z00012"/>
      <sheetName val="INVOICE_CERT_EIV'S11"/>
      <sheetName val="Onerous_Terms11"/>
      <sheetName val="Building_BD11"/>
      <sheetName val="_Sum11"/>
      <sheetName val="실제_도면출도10"/>
      <sheetName val="공사비_내역_(가)10"/>
      <sheetName val="plan&amp;section_of_foundation10"/>
      <sheetName val="design_criteria10"/>
      <sheetName val="w't_table10"/>
      <sheetName val="33628-Rev__A10"/>
      <sheetName val="Progress_Tab10"/>
      <sheetName val="BM_DATA_SHEET10"/>
      <sheetName val="Eq__Mobilization10"/>
      <sheetName val="입찰내역_발주처_양식10"/>
      <sheetName val="M_1110"/>
      <sheetName val="REINF_10"/>
      <sheetName val="PC_CATCH_PIT_1X1X1_2M9"/>
      <sheetName val="PC_CATCH_PIT__6X_6X1_0M9"/>
      <sheetName val="PC_COVER_100MM_THK__95x_39"/>
      <sheetName val="PC_COVER_250MM_THK_2_2x_39"/>
      <sheetName val="Chiet_tinh_dz359"/>
      <sheetName val="member_design9"/>
      <sheetName val="3__GROUNDING_SYSTEM10"/>
      <sheetName val="working_load_at_the_btm_ft_9"/>
      <sheetName val="soil_bearing_check9"/>
      <sheetName val="Adjusted_Bids9"/>
      <sheetName val="Concept_Offshore9"/>
      <sheetName val="A(Rev_3)9"/>
      <sheetName val="Running_compatibility_check_9"/>
      <sheetName val="Running_compatibility_check__x4"/>
      <sheetName val="Running_compatibility_check_?A4"/>
      <sheetName val="Running_compatibility_check__A4"/>
      <sheetName val="List_of_WorkPacks4"/>
      <sheetName val="List_of_Dates4"/>
      <sheetName val="A_(2)4"/>
      <sheetName val="WORKSHEET_CS4"/>
      <sheetName val="DO_NOT_Delete4"/>
      <sheetName val="00-Summary_Information-ABB4"/>
      <sheetName val="Direct_Prices4"/>
      <sheetName val="_Planning&amp;reporting_xlsM9000-A4"/>
      <sheetName val="page_64"/>
      <sheetName val="P-Ins_&amp;_Bonds3"/>
      <sheetName val="P-Site_fac3"/>
      <sheetName val="P-Clients_fac3"/>
      <sheetName val="P_Staff_fac3"/>
      <sheetName val="factor_3"/>
      <sheetName val="vlookup_-_do_not_print3"/>
      <sheetName val="Rate_Analysis3"/>
      <sheetName val="ITB_COST3"/>
      <sheetName val="19_05_20103"/>
      <sheetName val="Earthworks_ERP3"/>
      <sheetName val="24_06_20103"/>
      <sheetName val="Small_Structures_ERP3"/>
      <sheetName val="Large_Structures_ERP3"/>
      <sheetName val="Tunnelling_ERP3"/>
      <sheetName val="Civil_Weekly3"/>
      <sheetName val="Pricing_Summary3"/>
      <sheetName val="Net_Cost_-_Final_Base3"/>
      <sheetName val="7_6Net_Cost_Agreed_on_Dec-04_R4"/>
      <sheetName val="Net_Cost_Agreed_on_Dec-04_Rev13"/>
      <sheetName val="7_6_Net_Cost_Agreed_on_Dec-043"/>
      <sheetName val="Net_Cost_Agreed_on_Dec-043"/>
      <sheetName val="Total_for_Check3"/>
      <sheetName val="_N_Finansal_Eğri3"/>
      <sheetName val="0_0_Cover3"/>
      <sheetName val="Hoja_33"/>
      <sheetName val="Drop_Down3"/>
      <sheetName val="Source_Data3"/>
      <sheetName val="CAPEX_Categories3"/>
      <sheetName val="RFP003_Building_-_B3"/>
      <sheetName val="pg_45"/>
      <sheetName val="Subcon_A5"/>
      <sheetName val="bill_24"/>
      <sheetName val="MATERIAL'S_PRICE4"/>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견적서표지0204-2_(2)3"/>
      <sheetName val="Piping_Spool3"/>
      <sheetName val="Cost_Definition3"/>
      <sheetName val="견적_원가_3"/>
      <sheetName val="PERHITUNGAN__KEEKONOMIAN1"/>
      <sheetName val="Total_Staff1"/>
      <sheetName val="0__SUMMARY1"/>
      <sheetName val="1__Engineering1"/>
      <sheetName val="2__Check_point1"/>
      <sheetName val="II_Changes_11"/>
      <sheetName val="III_Changes_21"/>
      <sheetName val="Qty_1"/>
      <sheetName val="OQC_Summary1"/>
      <sheetName val="6_Unit_Rates1"/>
      <sheetName val="AEROGEL_CAL1"/>
      <sheetName val="CRYG_THKMM1"/>
      <sheetName val="ITB_REVIEW1"/>
      <sheetName val="SPCS_SUMM_1"/>
      <sheetName val="ESTI__SUMM_1"/>
      <sheetName val="Price_Summary1"/>
      <sheetName val="Acc_Stock-INSUL1"/>
      <sheetName val="97_사업추정(WEKI)1"/>
      <sheetName val="Overall_MTO_-_20191001_(old)1"/>
      <sheetName val="MTO_for_BMBQ1"/>
      <sheetName val="BQ_Reff1"/>
      <sheetName val="Sum_of_Comparison-201910071"/>
      <sheetName val="Joint_No_1"/>
      <sheetName val="Unit_Weight1"/>
      <sheetName val="Detail_PMC1"/>
      <sheetName val="Detail_PMC_(for_full_desc)1"/>
      <sheetName val="Bolt_Size1"/>
      <sheetName val="NDE_Req1"/>
      <sheetName val="Tgh_JGC-Inv_I_clp1"/>
      <sheetName val="PCS_1"/>
      <sheetName val="Progress_Statement-SI1"/>
      <sheetName val="Progress_Payment-31101"/>
      <sheetName val="2_041"/>
      <sheetName val="2_051"/>
      <sheetName val="2_07_&amp;_2_081"/>
      <sheetName val="3_011"/>
      <sheetName val="3_021"/>
      <sheetName val="3_031"/>
      <sheetName val="ecart_Personnel1"/>
      <sheetName val="Ecart_Others1"/>
      <sheetName val="Other_costs1"/>
      <sheetName val="3000_Steel_str1"/>
      <sheetName val="5000_Equipments1"/>
      <sheetName val="6000_Piping1"/>
      <sheetName val="7000_Instrumentation1"/>
      <sheetName val="8000_Electrical1"/>
      <sheetName val="per_supplier1"/>
      <sheetName val="Pivot_ledger1"/>
      <sheetName val="Pivot_ENT1"/>
      <sheetName val="Pivot_MAD1"/>
      <sheetName val="JK_Price_sheet1"/>
      <sheetName val="TP_Price_sheet1"/>
      <sheetName val="Phase_1_JK_UTSE1"/>
      <sheetName val="Phase_2_JK_UTSE1"/>
      <sheetName val="Phase_1_and_2_JK_UTSE1"/>
      <sheetName val="Phase_1_TP_UTSE1"/>
      <sheetName val="Phase_2_TP_UTSE1"/>
      <sheetName val="Phase_1_and_2_TP_UTSE1"/>
      <sheetName val="Cash_Flow_(BL)1"/>
      <sheetName val="Cash_Flow_(UTSE)1"/>
      <sheetName val="INDIRECT_OH&amp;P_1"/>
      <sheetName val="Salary_20131"/>
      <sheetName val="Summary_(3)1"/>
      <sheetName val="RRW_Scaff1"/>
      <sheetName val="RRW_Oct-2019-1st_Lot-13-10-191"/>
      <sheetName val="RRW_Oct-2019-2st_Lot-15-10-191"/>
      <sheetName val="Cable_Schedule1"/>
      <sheetName val="Report_Wizard1"/>
      <sheetName val="Initial_Plan1"/>
      <sheetName val="GeneralFeedDevices_Labels"/>
      <sheetName val="CalmingSection_Labels"/>
      <sheetName val="Welcome"/>
      <sheetName val="tifico"/>
      <sheetName val="QMS Rev 3"/>
      <sheetName val="QMS Rev 2"/>
      <sheetName val="Rebar Assembly Progress"/>
      <sheetName val="GI Steps Progress Final"/>
      <sheetName val="QW Trench"/>
      <sheetName val="Page 1 of 5"/>
      <sheetName val="Sheet 14"/>
      <sheetName val="Riesgos y Oportunidades"/>
      <sheetName val="Process"/>
      <sheetName val="Manpower_List-1"/>
      <sheetName val="SUMMARY_FOR_DPR"/>
      <sheetName val="Index_Daily_Alloaction"/>
      <sheetName val="Manpower_List"/>
      <sheetName val="A_&amp;_B"/>
      <sheetName val="Manpower_List-11"/>
      <sheetName val="SUMMARY_FOR_DPR1"/>
      <sheetName val="Index_Daily_Alloaction1"/>
      <sheetName val="Manpower_List1"/>
      <sheetName val="A_&amp;_B1"/>
      <sheetName val="Vaccari  EST INQ-Stat. Summ "/>
      <sheetName val="견적의뢰"/>
      <sheetName val="OUTER_AREA(겹침없음)"/>
      <sheetName val="Prog-Chart"/>
      <sheetName val="kalibrasi-Tank"/>
      <sheetName val="뜃맟뭁돽띿맟_r"/>
      <sheetName val="뜃맟뭁돽띿맟_㥲ꖄ쐀㬣ꠂ"/>
      <sheetName val="뜃맟뭁돽띿맟_衲裿㤁䲄쐀"/>
      <sheetName val="Komponen Upah"/>
      <sheetName val="Inkindo 2015"/>
      <sheetName val="노임이"/>
      <sheetName val="Estimate"/>
      <sheetName val="Raw Data"/>
      <sheetName val="AOP Summary-2"/>
      <sheetName val="Fig_4-14"/>
      <sheetName val="Fig_5-17"/>
      <sheetName val="Table"/>
      <sheetName val="ANX3A65"/>
      <sheetName val="PLSt 03  "/>
      <sheetName val="П 7 курс аванса"/>
      <sheetName val="Rekapitulasi"/>
      <sheetName val="INFO UMUM"/>
      <sheetName val="DET 1"/>
      <sheetName val="DET 2"/>
      <sheetName val="BASIC PRICE"/>
      <sheetName val="QUARRY"/>
      <sheetName val=" GULF"/>
      <sheetName val="ENG-101"/>
      <sheetName val="DIV.1"/>
      <sheetName val="WKFRM"/>
      <sheetName val="6PILE  (돌출)"/>
      <sheetName val="0.품의서(전체)"/>
      <sheetName val="LAST UPDATE"/>
      <sheetName val="personnel loading"/>
      <sheetName val="MAY 00-Bobbins"/>
      <sheetName val="U_A Input"/>
      <sheetName val="Equipt Rental"/>
      <sheetName val="Activity(new)"/>
      <sheetName val="Total(new)"/>
      <sheetName val="UPA(Part C,D,E,G,H)"/>
      <sheetName val="UPA(Part F)"/>
      <sheetName val="Materials"/>
      <sheetName val="일위대가 (Part C,D,E,G,H)"/>
      <sheetName val="실행철강하도"/>
      <sheetName val="BOQ건축"/>
      <sheetName val="손익차총괄2"/>
      <sheetName val="CIM"/>
      <sheetName val="h-013211-2"/>
      <sheetName val="FlujoTJ"/>
      <sheetName val="BD_LL"/>
      <sheetName val="Daily Forwards"/>
      <sheetName val="调价系数"/>
      <sheetName val="Condicion"/>
      <sheetName val="13-List"/>
      <sheetName val="total1"/>
      <sheetName val="sis.xlm"/>
      <sheetName val="Tipo de Cambio"/>
      <sheetName val="운반"/>
      <sheetName val="HRG BAHAN &amp; UPAH okk"/>
      <sheetName val="Analis Kusen okk"/>
      <sheetName val="Inputs_Sens"/>
      <sheetName val="IS_Sum_CM"/>
      <sheetName val="RAB"/>
      <sheetName val="Bahan"/>
      <sheetName val="BUL"/>
      <sheetName val="MC-1"/>
      <sheetName val="Retaining wall &amp; Top Up"/>
      <sheetName val="매립"/>
      <sheetName val="Table_Rates_Data"/>
      <sheetName val="Summary_(3)2"/>
      <sheetName val="RRW_Scaff2"/>
      <sheetName val="RRW_Oct-2019-1st_Lot-13-10-192"/>
      <sheetName val="RRW_Oct-2019-2st_Lot-15-10-192"/>
      <sheetName val="JK_Price_sheet2"/>
      <sheetName val="TP_Price_sheet2"/>
      <sheetName val="Phase_1_JK_UTSE2"/>
      <sheetName val="Phase_2_JK_UTSE2"/>
      <sheetName val="Phase_1_and_2_JK_UTSE2"/>
      <sheetName val="Phase_1_TP_UTSE2"/>
      <sheetName val="Phase_2_TP_UTSE2"/>
      <sheetName val="Phase_1_and_2_TP_UTSE2"/>
      <sheetName val="Cash_Flow_(BL)2"/>
      <sheetName val="Cash_Flow_(UTSE)2"/>
      <sheetName val="2_042"/>
      <sheetName val="2_052"/>
      <sheetName val="2_07_&amp;_2_082"/>
      <sheetName val="3_012"/>
      <sheetName val="3_022"/>
      <sheetName val="3_032"/>
      <sheetName val="ecart_Personnel2"/>
      <sheetName val="Ecart_Others2"/>
      <sheetName val="Other_costs2"/>
      <sheetName val="3000_Steel_str2"/>
      <sheetName val="5000_Equipments2"/>
      <sheetName val="6000_Piping2"/>
      <sheetName val="7000_Instrumentation2"/>
      <sheetName val="8000_Electrical2"/>
      <sheetName val="per_supplier2"/>
      <sheetName val="Pivot_ledger2"/>
      <sheetName val="Pivot_ENT2"/>
      <sheetName val="Pivot_MAD2"/>
      <sheetName val="PERHITUNGAN__KEEKONOMIAN2"/>
      <sheetName val="Total_Staff2"/>
      <sheetName val="0__SUMMARY2"/>
      <sheetName val="1__Engineering2"/>
      <sheetName val="2__Check_point2"/>
      <sheetName val="II_Changes_12"/>
      <sheetName val="III_Changes_22"/>
      <sheetName val="Qty_2"/>
      <sheetName val="OQC_Summary2"/>
      <sheetName val="6_Unit_Rates2"/>
      <sheetName val="AEROGEL_CAL2"/>
      <sheetName val="CRYG_THKMM2"/>
      <sheetName val="ITB_REVIEW2"/>
      <sheetName val="SPCS_SUMM_2"/>
      <sheetName val="ESTI__SUMM_2"/>
      <sheetName val="Price_Summary2"/>
      <sheetName val="Acc_Stock-INSUL2"/>
      <sheetName val="97_사업추정(WEKI)2"/>
      <sheetName val="Overall_MTO_-_20191001_(old)2"/>
      <sheetName val="MTO_for_BMBQ2"/>
      <sheetName val="BQ_Reff2"/>
      <sheetName val="Sum_of_Comparison-201910072"/>
      <sheetName val="Joint_No_2"/>
      <sheetName val="Unit_Weight2"/>
      <sheetName val="Detail_PMC2"/>
      <sheetName val="Detail_PMC_(for_full_desc)2"/>
      <sheetName val="Bolt_Size2"/>
      <sheetName val="NDE_Req2"/>
      <sheetName val="Tgh_JGC-Inv_I_clp2"/>
      <sheetName val="PCS_2"/>
      <sheetName val="Progress_Statement-SI2"/>
      <sheetName val="Progress_Payment-31102"/>
      <sheetName val="Manpower_List-12"/>
      <sheetName val="SUMMARY_FOR_DPR2"/>
      <sheetName val="Index_Daily_Alloaction2"/>
      <sheetName val="Manpower_List2"/>
      <sheetName val="A_&amp;_B2"/>
      <sheetName val="VESSELS_"/>
      <sheetName val="方案1表二"/>
      <sheetName val="HIOS 93 thru 96"/>
      <sheetName val="Assumptions"/>
      <sheetName val="Running compatibility check _x0000_A_x0000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refreshError="1"/>
      <sheetData sheetId="247" refreshError="1"/>
      <sheetData sheetId="248" refreshError="1"/>
      <sheetData sheetId="249" refreshError="1"/>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refreshError="1"/>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sheetData sheetId="755"/>
      <sheetData sheetId="756"/>
      <sheetData sheetId="757"/>
      <sheetData sheetId="758"/>
      <sheetData sheetId="759"/>
      <sheetData sheetId="760"/>
      <sheetData sheetId="76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refreshError="1"/>
      <sheetData sheetId="801" refreshError="1"/>
      <sheetData sheetId="802"/>
      <sheetData sheetId="803"/>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sheetData sheetId="829" refreshError="1"/>
      <sheetData sheetId="830"/>
      <sheetData sheetId="831"/>
      <sheetData sheetId="832"/>
      <sheetData sheetId="833"/>
      <sheetData sheetId="834"/>
      <sheetData sheetId="835"/>
      <sheetData sheetId="836"/>
      <sheetData sheetId="837"/>
      <sheetData sheetId="838"/>
      <sheetData sheetId="839"/>
      <sheetData sheetId="840"/>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sheetData sheetId="1221"/>
      <sheetData sheetId="1222"/>
      <sheetData sheetId="1223"/>
      <sheetData sheetId="1224"/>
      <sheetData sheetId="1225"/>
      <sheetData sheetId="1226"/>
      <sheetData sheetId="1227"/>
      <sheetData sheetId="1228"/>
      <sheetData sheetId="1229"/>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refreshError="1"/>
      <sheetData sheetId="1431" refreshError="1"/>
      <sheetData sheetId="1432" refreshError="1"/>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refreshError="1"/>
      <sheetData sheetId="1686" refreshError="1"/>
      <sheetData sheetId="1687" refreshError="1"/>
      <sheetData sheetId="1688" refreshError="1"/>
      <sheetData sheetId="1689"/>
      <sheetData sheetId="1690"/>
      <sheetData sheetId="1691"/>
      <sheetData sheetId="1692"/>
      <sheetData sheetId="1693"/>
      <sheetData sheetId="1694" refreshError="1"/>
      <sheetData sheetId="1695" refreshError="1"/>
      <sheetData sheetId="1696" refreshError="1"/>
      <sheetData sheetId="1697"/>
      <sheetData sheetId="1698"/>
      <sheetData sheetId="1699"/>
      <sheetData sheetId="1700"/>
      <sheetData sheetId="1701"/>
      <sheetData sheetId="1702"/>
      <sheetData sheetId="1703"/>
      <sheetData sheetId="1704"/>
      <sheetData sheetId="1705"/>
      <sheetData sheetId="1706"/>
      <sheetData sheetId="1707"/>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refreshError="1"/>
      <sheetData sheetId="1848" refreshError="1"/>
      <sheetData sheetId="1849" refreshError="1"/>
      <sheetData sheetId="185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ies"/>
      <sheetName val="Economic setup"/>
      <sheetName val="Fiscal &amp; PSC Variations"/>
      <sheetName val="Output"/>
      <sheetName val="Summary Results"/>
      <sheetName val="P&amp;B Summary"/>
      <sheetName val="Cashflow Analysis"/>
      <sheetName val="US Tax Sensitivity"/>
      <sheetName val="Book Earnings and ROCE"/>
      <sheetName val="Cashflow and Earnings Profile"/>
      <sheetName val="Blk. 212 Bonga Expl.  8-30-97 "/>
      <sheetName val="Expl. blk. 212  8-22-96"/>
      <sheetName val="Expl. blk. 212  8-15-97 mid-yr"/>
      <sheetName val="Blk 316 Abo Expl. "/>
      <sheetName val="Blk 219 Ngolo Expl"/>
      <sheetName val="Blk 219 Ngolo Expl. (2)"/>
      <sheetName val="Prices"/>
      <sheetName val="Inflation"/>
      <sheetName val="Financing"/>
      <sheetName val="Transportation"/>
      <sheetName val="PPT graphic"/>
      <sheetName val="Schedules"/>
      <sheetName val="Data initialization"/>
      <sheetName val="Module1"/>
      <sheetName val="Module2"/>
      <sheetName val="Module3"/>
      <sheetName val="US Tax Sensitivity (3)"/>
      <sheetName val="US Tax Sensitivity (2)"/>
      <sheetName val=""/>
      <sheetName val="Menu"/>
      <sheetName val="DATA BASE_From_COSMOS"/>
      <sheetName val="산근"/>
      <sheetName val="기성내역"/>
      <sheetName val="갑지"/>
      <sheetName val="Economic_setup"/>
      <sheetName val="Fiscal_&amp;_PSC_Variations"/>
      <sheetName val="Summary_Results"/>
      <sheetName val="P&amp;B_Summary"/>
      <sheetName val="Cashflow_Analysis"/>
      <sheetName val="US_Tax_Sensitivity"/>
      <sheetName val="Book_Earnings_and_ROCE"/>
      <sheetName val="Cashflow_and_Earnings_Profile"/>
      <sheetName val="Blk__212_Bonga_Expl___8-30-97_"/>
      <sheetName val="Expl__blk__212__8-22-96"/>
      <sheetName val="Expl__blk__212__8-15-97_mid-yr"/>
      <sheetName val="Blk_316_Abo_Expl__"/>
      <sheetName val="Blk_219_Ngolo_Expl"/>
      <sheetName val="Blk_219_Ngolo_Expl__(2)"/>
      <sheetName val="PPT_graphic"/>
      <sheetName val="Data_initialization"/>
      <sheetName val="US_Tax_Sensitivity_(3)"/>
      <sheetName val="US_Tax_Sensitivity_(2)"/>
      <sheetName val="Economic_setup1"/>
      <sheetName val="Fiscal_&amp;_PSC_Variations1"/>
      <sheetName val="Summary_Results1"/>
      <sheetName val="P&amp;B_Summary1"/>
      <sheetName val="Cashflow_Analysis1"/>
      <sheetName val="US_Tax_Sensitivity1"/>
      <sheetName val="Book_Earnings_and_ROCE1"/>
      <sheetName val="Cashflow_and_Earnings_Profile1"/>
      <sheetName val="Blk__212_Bonga_Expl___8-30-97_1"/>
      <sheetName val="Expl__blk__212__8-22-961"/>
      <sheetName val="Expl__blk__212__8-15-97_mid-yr1"/>
      <sheetName val="Blk_316_Abo_Expl__1"/>
      <sheetName val="Blk_219_Ngolo_Expl1"/>
      <sheetName val="Blk_219_Ngolo_Expl__(2)1"/>
      <sheetName val="PPT_graphic1"/>
      <sheetName val="Data_initialization1"/>
      <sheetName val="US_Tax_Sensitivity_(3)1"/>
      <sheetName val="US_Tax_Sensitivity_(2)1"/>
      <sheetName val="DATA_BASE_From_COSMOS"/>
      <sheetName val="OrgRates2000"/>
      <sheetName val="운반"/>
      <sheetName val="ProArcInfo"/>
      <sheetName val="SILICATE"/>
      <sheetName val="EQUIPOS"/>
      <sheetName val="Finansal tamamlanma Eğrisi"/>
      <sheetName val="BQMPALOC"/>
      <sheetName val="Analisa"/>
      <sheetName val="WIP"/>
      <sheetName val="Takeoff"/>
      <sheetName val="E1"/>
      <sheetName val="Units"/>
      <sheetName val="人工时台账"/>
      <sheetName val="Home Office"/>
      <sheetName val="당초"/>
      <sheetName val="Bond &amp; Stamp"/>
      <sheetName val="Summary"/>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SSS_SSE MOD "/>
      <sheetName val="Sheet1"/>
      <sheetName val="Sheet2"/>
      <sheetName val="TIPO 1"/>
      <sheetName val="Eq. Mobilization"/>
      <sheetName val="T6"/>
      <sheetName val="4. VO and VORRegister "/>
      <sheetName val="MH Unit Rate Table-NET"/>
      <sheetName val="Economic_setup2"/>
      <sheetName val="Fiscal_&amp;_PSC_Variations2"/>
      <sheetName val="Summary_Results2"/>
      <sheetName val="P&amp;B_Summary2"/>
      <sheetName val="Cashflow_Analysis2"/>
      <sheetName val="US_Tax_Sensitivity2"/>
      <sheetName val="Book_Earnings_and_ROCE2"/>
      <sheetName val="Cashflow_and_Earnings_Profile2"/>
      <sheetName val="Blk__212_Bonga_Expl___8-30-97_2"/>
      <sheetName val="Expl__blk__212__8-22-962"/>
      <sheetName val="Expl__blk__212__8-15-97_mid-yr2"/>
      <sheetName val="Blk_316_Abo_Expl__2"/>
      <sheetName val="Blk_219_Ngolo_Expl2"/>
      <sheetName val="Blk_219_Ngolo_Expl__(2)2"/>
      <sheetName val="PPT_graphic2"/>
      <sheetName val="Data_initialization2"/>
      <sheetName val="US_Tax_Sensitivity_(3)2"/>
      <sheetName val="US_Tax_Sensitivity_(2)2"/>
      <sheetName val="DATA_BASE_From_COSMOS1"/>
      <sheetName val="4__VO_and_VORRegister_"/>
      <sheetName val="MH_Unit_Rate_Table-NET"/>
      <sheetName val="Finansal_tamamlanma_Eğrisi"/>
      <sheetName val="Home_Office"/>
      <sheetName val="Economic_setup3"/>
      <sheetName val="Fiscal_&amp;_PSC_Variations3"/>
      <sheetName val="Summary_Results3"/>
      <sheetName val="P&amp;B_Summary3"/>
      <sheetName val="Cashflow_Analysis3"/>
      <sheetName val="US_Tax_Sensitivity3"/>
      <sheetName val="Book_Earnings_and_ROCE3"/>
      <sheetName val="Cashflow_and_Earnings_Profile3"/>
      <sheetName val="Blk__212_Bonga_Expl___8-30-97_3"/>
      <sheetName val="Expl__blk__212__8-22-963"/>
      <sheetName val="Expl__blk__212__8-15-97_mid-yr3"/>
      <sheetName val="Blk_316_Abo_Expl__3"/>
      <sheetName val="Blk_219_Ngolo_Expl3"/>
      <sheetName val="Blk_219_Ngolo_Expl__(2)3"/>
      <sheetName val="PPT_graphic3"/>
      <sheetName val="Data_initialization3"/>
      <sheetName val="US_Tax_Sensitivity_(3)3"/>
      <sheetName val="US_Tax_Sensitivity_(2)3"/>
      <sheetName val="DATA_BASE_From_COSMOS2"/>
      <sheetName val="4__VO_and_VORRegister_1"/>
      <sheetName val="MH_Unit_Rate_Table-NET1"/>
      <sheetName val="Lista"/>
      <sheetName val="FitOutConfCentre"/>
      <sheetName val="TemplateMngr"/>
      <sheetName val="Fiscal Inputs"/>
      <sheetName val="laroux"/>
      <sheetName val="Riesgos y Oportunidades"/>
      <sheetName val="Piping Design Data"/>
      <sheetName val="EQUIPMENT -2"/>
      <sheetName val="l1en 0290 cost 31-03-2015"/>
      <sheetName val="TARIFS"/>
      <sheetName val="TABLO-3"/>
      <sheetName val="12CGOU"/>
      <sheetName val="I&amp;C"/>
      <sheetName val="I&amp;C - Cabling "/>
      <sheetName val="Construction COST BASE COMPAR"/>
      <sheetName val="Resumen Tabs. GAS"/>
      <sheetName val="CIVIL WORKS _GAS"/>
      <sheetName val="Resumen Tabs. GIS"/>
      <sheetName val="CIVIL WORKS _GIS"/>
      <sheetName val="PILING_GIS"/>
      <sheetName val="Buildings List"/>
      <sheetName val="EXC-BOW"/>
      <sheetName val="1 BOP"/>
      <sheetName val="Summary MEC "/>
      <sheetName val="Am. II OH&amp;P ICC"/>
      <sheetName val="PIPING"/>
      <sheetName val="Cronograma"/>
      <sheetName val="Histograma"/>
      <sheetName val="ACC"/>
      <sheetName val="INS_Piping"/>
      <sheetName val="PAINT_Piping"/>
      <sheetName val="  INST 2 BOP"/>
      <sheetName val="  INST 1 BOP"/>
      <sheetName val="bqmp"/>
      <sheetName val="Rail"/>
      <sheetName val="Trucks &amp; Containers"/>
      <sheetName val="Input"/>
      <sheetName val="ALLOWANCE"/>
      <sheetName val="MH RATE"/>
      <sheetName val="EQT-ESTN"/>
      <sheetName val="Personnel"/>
      <sheetName val="ERECIN"/>
      <sheetName val="Cal"/>
      <sheetName val="drum"/>
      <sheetName val="Bond_&amp;_Stamp"/>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SSS_SSE_MOD_"/>
      <sheetName val="Finansal_tamamlanma_Eğrisi1"/>
      <sheetName val="Home_Office1"/>
      <sheetName val="Bond_&amp;_Stamp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SSS_SSE_MOD_1"/>
      <sheetName val="A"/>
      <sheetName val="inter"/>
      <sheetName val="XZLC003_PART1"/>
      <sheetName val="ESCON"/>
      <sheetName val="SEX"/>
      <sheetName val="tifico"/>
      <sheetName val="I&amp;C_-_Cabling_"/>
      <sheetName val="Construction_COST_BASE_COMPAR"/>
      <sheetName val="Resumen_Tabs__GAS"/>
      <sheetName val="CIVIL_WORKS__GAS"/>
      <sheetName val="Resumen_Tabs__GIS"/>
      <sheetName val="CIVIL_WORKS__GIS"/>
      <sheetName val="Buildings_List"/>
      <sheetName val="1_BOP"/>
      <sheetName val="Summary_MEC_"/>
      <sheetName val="Am__II_OH&amp;P_ICC"/>
      <sheetName val="__INST_2_BOP"/>
      <sheetName val="__INST_1_BOP"/>
      <sheetName val="Riesgos_y_Oportunidades"/>
      <sheetName val="Piping_Design_Data"/>
      <sheetName val="EQUIPMENT_-2"/>
      <sheetName val="Trucks_&amp;_Containers"/>
      <sheetName val="MH_RATE"/>
      <sheetName val="Economic_setup4"/>
      <sheetName val="Fiscal_&amp;_PSC_Variations4"/>
      <sheetName val="Summary_Results4"/>
      <sheetName val="P&amp;B_Summary4"/>
      <sheetName val="Cashflow_Analysis4"/>
      <sheetName val="US_Tax_Sensitivity4"/>
      <sheetName val="Book_Earnings_and_ROCE4"/>
      <sheetName val="Cashflow_and_Earnings_Profile4"/>
      <sheetName val="Blk__212_Bonga_Expl___8-30-97_4"/>
      <sheetName val="Expl__blk__212__8-22-964"/>
      <sheetName val="Expl__blk__212__8-15-97_mid-yr4"/>
      <sheetName val="Blk_316_Abo_Expl__4"/>
      <sheetName val="Blk_219_Ngolo_Expl4"/>
      <sheetName val="Blk_219_Ngolo_Expl__(2)4"/>
      <sheetName val="PPT_graphic4"/>
      <sheetName val="Data_initialization4"/>
      <sheetName val="US_Tax_Sensitivity_(3)4"/>
      <sheetName val="US_Tax_Sensitivity_(2)4"/>
      <sheetName val="DATA_BASE_From_COSMOS3"/>
      <sheetName val="Finansal_tamamlanma_Eğrisi2"/>
      <sheetName val="Home_Office2"/>
      <sheetName val="Bond_&amp;_Stamp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SSS_SSE_MOD_2"/>
      <sheetName val="l1en_0290_cost_31-03-2015"/>
      <sheetName val="B"/>
      <sheetName val="石炭性状"/>
      <sheetName val="EQUIPMENT-PRICE"/>
      <sheetName val="MANPOWER-RATES"/>
      <sheetName val="노임단가"/>
      <sheetName val="AC"/>
      <sheetName val="PipeTable"/>
      <sheetName val="DAFTAR BAHAN DAN UPAH"/>
      <sheetName val="Курсы"/>
      <sheetName val="Register"/>
      <sheetName val="Riesgos_y_Oportunidades1"/>
      <sheetName val="Piping_Design_Data1"/>
      <sheetName val="EQUIPMENT_-21"/>
      <sheetName val="l1en_0290_cost_31-03-20151"/>
      <sheetName val="Topsides Fab Detail"/>
      <sheetName val="Validation"/>
      <sheetName val="Working Interest and EFs"/>
      <sheetName val="Lookups"/>
      <sheetName val="LOOK UP KEY"/>
      <sheetName val="BP Economics"/>
      <sheetName val="Dropdown options for lookups"/>
      <sheetName val="Global &amp; PSA Inputs"/>
      <sheetName val="15. DEMOUNTING"/>
      <sheetName val="16.EQUIP. ERECTION (UNIT RATES)"/>
      <sheetName val="19. FIREPROOFING"/>
      <sheetName val="3.METALLIC PIPING ERECTION"/>
      <sheetName val="2.METALLIC PIPING PREFABR."/>
      <sheetName val="3a.METALLIC PIPING ER_REVAMPING"/>
      <sheetName val="14. MISCELLANEOUS "/>
      <sheetName val="8.NDT "/>
      <sheetName val="6.NON METALLIC PIPING ERECTION"/>
      <sheetName val="5.NON METALLIC PIPING PREFABR."/>
      <sheetName val="17. PAINTING "/>
      <sheetName val="12.PIPING PRESSURE TEST"/>
      <sheetName val="9.PWHT"/>
      <sheetName val="4.STEAM TRACING"/>
      <sheetName val="11.SUPPORTS"/>
      <sheetName val="7.TIE-INS (UNIT RATES)"/>
      <sheetName val="10.VALVES AND FLANGED CONN."/>
      <sheetName val="13.WRAPPING"/>
      <sheetName val="G2TempSheet"/>
      <sheetName val="Utility and Fire flange"/>
      <sheetName val="Uls"/>
      <sheetName val="template"/>
      <sheetName val="6PILE  (돌출)"/>
      <sheetName val="GJB"/>
      <sheetName val="SPT vs PHI"/>
      <sheetName val="TIPO_1"/>
      <sheetName val="Eq__Mobilization"/>
      <sheetName val="FA RM-MAC'07"/>
      <sheetName val="cashflow"/>
      <sheetName val="PROCPLAN-TOTAL"/>
    </sheetNames>
    <sheetDataSet>
      <sheetData sheetId="0">
        <row r="23">
          <cell r="E23">
            <v>0.1</v>
          </cell>
        </row>
      </sheetData>
      <sheetData sheetId="1">
        <row r="4">
          <cell r="N4">
            <v>28</v>
          </cell>
        </row>
      </sheetData>
      <sheetData sheetId="2">
        <row r="5">
          <cell r="E5" t="str">
            <v>n</v>
          </cell>
        </row>
      </sheetData>
      <sheetData sheetId="3"/>
      <sheetData sheetId="4"/>
      <sheetData sheetId="5"/>
      <sheetData sheetId="6" refreshError="1">
        <row r="1">
          <cell r="A1" t="str">
            <v>NIGERIA DEEPWATER ECONOMICS</v>
          </cell>
        </row>
        <row r="63">
          <cell r="E63">
            <v>1991</v>
          </cell>
          <cell r="F63">
            <v>1992</v>
          </cell>
          <cell r="G63">
            <v>1993</v>
          </cell>
          <cell r="H63">
            <v>1994</v>
          </cell>
          <cell r="I63">
            <v>1995</v>
          </cell>
          <cell r="J63">
            <v>1996</v>
          </cell>
          <cell r="K63">
            <v>1997</v>
          </cell>
          <cell r="L63">
            <v>1998</v>
          </cell>
          <cell r="M63">
            <v>1999</v>
          </cell>
          <cell r="N63">
            <v>2000</v>
          </cell>
          <cell r="O63">
            <v>2001</v>
          </cell>
          <cell r="P63">
            <v>2002</v>
          </cell>
          <cell r="Q63">
            <v>2003</v>
          </cell>
          <cell r="R63">
            <v>2004</v>
          </cell>
          <cell r="S63">
            <v>2005</v>
          </cell>
          <cell r="T63">
            <v>2006</v>
          </cell>
          <cell r="U63">
            <v>2007</v>
          </cell>
          <cell r="V63">
            <v>2008</v>
          </cell>
          <cell r="W63">
            <v>2009</v>
          </cell>
          <cell r="X63">
            <v>2010</v>
          </cell>
          <cell r="Y63">
            <v>2011</v>
          </cell>
          <cell r="Z63">
            <v>2012</v>
          </cell>
          <cell r="AA63">
            <v>2013</v>
          </cell>
          <cell r="AB63">
            <v>2014</v>
          </cell>
          <cell r="AC63">
            <v>2015</v>
          </cell>
          <cell r="AD63">
            <v>2016</v>
          </cell>
          <cell r="AE63">
            <v>2017</v>
          </cell>
          <cell r="AF63">
            <v>2018</v>
          </cell>
          <cell r="AG63">
            <v>2019</v>
          </cell>
          <cell r="AH63">
            <v>2020</v>
          </cell>
          <cell r="AI63">
            <v>2021</v>
          </cell>
          <cell r="AJ63">
            <v>2022</v>
          </cell>
          <cell r="AK63">
            <v>2023</v>
          </cell>
          <cell r="AL63">
            <v>2024</v>
          </cell>
          <cell r="AM63">
            <v>2025</v>
          </cell>
          <cell r="AN63">
            <v>2026</v>
          </cell>
          <cell r="AO63">
            <v>2027</v>
          </cell>
          <cell r="AP63">
            <v>2028</v>
          </cell>
          <cell r="AQ63">
            <v>2029</v>
          </cell>
          <cell r="AR63">
            <v>2030</v>
          </cell>
          <cell r="AS63">
            <v>2031</v>
          </cell>
          <cell r="AT63">
            <v>2032</v>
          </cell>
          <cell r="AU63">
            <v>2033</v>
          </cell>
          <cell r="AV63">
            <v>2034</v>
          </cell>
          <cell r="AW63">
            <v>2035</v>
          </cell>
          <cell r="AX63">
            <v>2036</v>
          </cell>
          <cell r="AY63">
            <v>2037</v>
          </cell>
          <cell r="AZ63">
            <v>2038</v>
          </cell>
          <cell r="BA63">
            <v>2039</v>
          </cell>
          <cell r="BB63">
            <v>2040</v>
          </cell>
          <cell r="BC63">
            <v>2041</v>
          </cell>
          <cell r="BD63">
            <v>2042</v>
          </cell>
          <cell r="BE63">
            <v>2043</v>
          </cell>
          <cell r="BF63">
            <v>2044</v>
          </cell>
          <cell r="BG63">
            <v>2045</v>
          </cell>
          <cell r="BH63">
            <v>2046</v>
          </cell>
          <cell r="BI63">
            <v>2047</v>
          </cell>
          <cell r="BJ63">
            <v>2048</v>
          </cell>
          <cell r="BK63">
            <v>2049</v>
          </cell>
          <cell r="BL63">
            <v>2050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6">
          <cell r="H6" t="str">
            <v>&gt; (m)</v>
          </cell>
        </row>
      </sheetData>
      <sheetData sheetId="22"/>
      <sheetData sheetId="23"/>
      <sheetData sheetId="24"/>
      <sheetData sheetId="25"/>
      <sheetData sheetId="26" refreshError="1"/>
      <sheetData sheetId="27" refreshError="1"/>
      <sheetData sheetId="28">
        <row r="63">
          <cell r="E63">
            <v>1991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1">
          <cell r="A1" t="str">
            <v>NIGERIA DEEPWATER ECONOMICS</v>
          </cell>
        </row>
      </sheetData>
      <sheetData sheetId="53">
        <row r="1">
          <cell r="A1" t="str">
            <v>NIGERIA DEEPWATER ECONOMICS</v>
          </cell>
        </row>
      </sheetData>
      <sheetData sheetId="54">
        <row r="1">
          <cell r="A1" t="str">
            <v>NIGERIA DEEPWATER ECONOMICS</v>
          </cell>
        </row>
      </sheetData>
      <sheetData sheetId="55">
        <row r="1">
          <cell r="A1" t="str">
            <v>NIGERIA DEEPWATER ECONOMICS</v>
          </cell>
        </row>
      </sheetData>
      <sheetData sheetId="56">
        <row r="1">
          <cell r="A1" t="str">
            <v>NIGERIA DEEPWATER ECONOMICS</v>
          </cell>
        </row>
      </sheetData>
      <sheetData sheetId="57">
        <row r="1">
          <cell r="A1" t="str">
            <v>NIGERIA DEEPWATER ECONOMICS</v>
          </cell>
        </row>
      </sheetData>
      <sheetData sheetId="58">
        <row r="1">
          <cell r="A1" t="str">
            <v>NIGERIA DEEPWATER ECONOMICS</v>
          </cell>
        </row>
      </sheetData>
      <sheetData sheetId="59">
        <row r="1">
          <cell r="A1" t="str">
            <v>NIGERIA DEEPWATER ECONOMICS</v>
          </cell>
        </row>
      </sheetData>
      <sheetData sheetId="60">
        <row r="1">
          <cell r="A1" t="str">
            <v>NIGERIA DEEPWATER ECONOMICS</v>
          </cell>
        </row>
      </sheetData>
      <sheetData sheetId="61">
        <row r="1">
          <cell r="A1" t="str">
            <v>NIGERIA DEEPWATER ECONOMICS</v>
          </cell>
        </row>
      </sheetData>
      <sheetData sheetId="62">
        <row r="1">
          <cell r="A1" t="str">
            <v>NIGERIA DEEPWATER ECONOMICS</v>
          </cell>
        </row>
      </sheetData>
      <sheetData sheetId="63"/>
      <sheetData sheetId="64">
        <row r="1">
          <cell r="A1" t="str">
            <v>NIGERIA DEEPWATER ECONOMICS</v>
          </cell>
        </row>
      </sheetData>
      <sheetData sheetId="65">
        <row r="63">
          <cell r="E63" t="str">
            <v>江苏恒和安装</v>
          </cell>
        </row>
      </sheetData>
      <sheetData sheetId="66">
        <row r="63">
          <cell r="E63" t="str">
            <v>江苏恒和安装</v>
          </cell>
        </row>
      </sheetData>
      <sheetData sheetId="67">
        <row r="63">
          <cell r="E63" t="str">
            <v>江苏恒和安装</v>
          </cell>
        </row>
      </sheetData>
      <sheetData sheetId="68"/>
      <sheetData sheetId="69">
        <row r="63">
          <cell r="E63" t="str">
            <v>江苏恒和安装</v>
          </cell>
        </row>
      </sheetData>
      <sheetData sheetId="70">
        <row r="63">
          <cell r="E63" t="str">
            <v>江苏恒和安装</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63">
          <cell r="E63" t="str">
            <v>江苏恒和安装</v>
          </cell>
        </row>
      </sheetData>
      <sheetData sheetId="84" refreshError="1"/>
      <sheetData sheetId="85" refreshError="1"/>
      <sheetData sheetId="86" refreshError="1"/>
      <sheetData sheetId="87">
        <row r="63">
          <cell r="E63">
            <v>0</v>
          </cell>
        </row>
      </sheetData>
      <sheetData sheetId="88">
        <row r="63">
          <cell r="E63">
            <v>0</v>
          </cell>
        </row>
      </sheetData>
      <sheetData sheetId="89">
        <row r="63">
          <cell r="E63">
            <v>0</v>
          </cell>
        </row>
      </sheetData>
      <sheetData sheetId="90">
        <row r="63">
          <cell r="E63">
            <v>0</v>
          </cell>
        </row>
      </sheetData>
      <sheetData sheetId="91"/>
      <sheetData sheetId="92"/>
      <sheetData sheetId="93">
        <row r="1">
          <cell r="A1" t="str">
            <v>NIGERIA DEEPWATER ECONOMICS</v>
          </cell>
        </row>
      </sheetData>
      <sheetData sheetId="94"/>
      <sheetData sheetId="95">
        <row r="1">
          <cell r="A1" t="str">
            <v>NIGERIA DEEPWATER ECONOMICS</v>
          </cell>
        </row>
      </sheetData>
      <sheetData sheetId="96"/>
      <sheetData sheetId="97">
        <row r="1">
          <cell r="A1" t="str">
            <v>NIGERIA DEEPWATER ECONOMICS</v>
          </cell>
        </row>
      </sheetData>
      <sheetData sheetId="98"/>
      <sheetData sheetId="99">
        <row r="1">
          <cell r="A1" t="str">
            <v>NIGERIA DEEPWATER ECONOMICS</v>
          </cell>
        </row>
      </sheetData>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ow r="4">
          <cell r="N4">
            <v>28</v>
          </cell>
        </row>
      </sheetData>
      <sheetData sheetId="121">
        <row r="5">
          <cell r="E5" t="str">
            <v>n</v>
          </cell>
        </row>
      </sheetData>
      <sheetData sheetId="122"/>
      <sheetData sheetId="123"/>
      <sheetData sheetId="124">
        <row r="1">
          <cell r="A1" t="str">
            <v>NIGERIA DEEPWATER ECONOMICS</v>
          </cell>
        </row>
      </sheetData>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ow r="4">
          <cell r="N4">
            <v>28</v>
          </cell>
        </row>
      </sheetData>
      <sheetData sheetId="144">
        <row r="5">
          <cell r="E5" t="str">
            <v>n</v>
          </cell>
        </row>
      </sheetData>
      <sheetData sheetId="145"/>
      <sheetData sheetId="146"/>
      <sheetData sheetId="147">
        <row r="1">
          <cell r="A1" t="str">
            <v>NIGERIA DEEPWATER ECONOMICS</v>
          </cell>
        </row>
      </sheetData>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row r="63">
          <cell r="E63">
            <v>0</v>
          </cell>
        </row>
      </sheetData>
      <sheetData sheetId="210"/>
      <sheetData sheetId="211"/>
      <sheetData sheetId="212"/>
      <sheetData sheetId="213"/>
      <sheetData sheetId="214">
        <row r="1">
          <cell r="A1" t="str">
            <v>NIGERIA DEEPWATER ECONOMICS</v>
          </cell>
        </row>
      </sheetData>
      <sheetData sheetId="215"/>
      <sheetData sheetId="216"/>
      <sheetData sheetId="217"/>
      <sheetData sheetId="218"/>
      <sheetData sheetId="219"/>
      <sheetData sheetId="220"/>
      <sheetData sheetId="221"/>
      <sheetData sheetId="222">
        <row r="63">
          <cell r="E63">
            <v>0</v>
          </cell>
        </row>
      </sheetData>
      <sheetData sheetId="223"/>
      <sheetData sheetId="224"/>
      <sheetData sheetId="225"/>
      <sheetData sheetId="226"/>
      <sheetData sheetId="227">
        <row r="1">
          <cell r="A1" t="str">
            <v>NIGERIA DEEPWATER ECONOMICS</v>
          </cell>
        </row>
      </sheetData>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row r="4">
          <cell r="N4">
            <v>28</v>
          </cell>
        </row>
      </sheetData>
      <sheetData sheetId="256">
        <row r="5">
          <cell r="E5" t="str">
            <v>n</v>
          </cell>
        </row>
      </sheetData>
      <sheetData sheetId="257"/>
      <sheetData sheetId="258"/>
      <sheetData sheetId="259">
        <row r="1">
          <cell r="A1" t="str">
            <v>NIGERIA DEEPWATER ECONOMICS</v>
          </cell>
        </row>
      </sheetData>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ow r="63">
          <cell r="E63">
            <v>0</v>
          </cell>
        </row>
      </sheetData>
      <sheetData sheetId="278">
        <row r="63">
          <cell r="E63">
            <v>0</v>
          </cell>
        </row>
      </sheetData>
      <sheetData sheetId="279"/>
      <sheetData sheetId="280"/>
      <sheetData sheetId="281">
        <row r="1">
          <cell r="A1" t="str">
            <v>NIGERIA DEEPWATER ECONOMICS</v>
          </cell>
        </row>
      </sheetData>
      <sheetData sheetId="282">
        <row r="1">
          <cell r="A1" t="str">
            <v>NIGERIA DEEPWATER ECONOMICS</v>
          </cell>
        </row>
      </sheetData>
      <sheetData sheetId="283">
        <row r="1">
          <cell r="A1" t="str">
            <v>NIGERIA DEEPWATER ECONOMICS</v>
          </cell>
        </row>
      </sheetData>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refreshError="1"/>
      <sheetData sheetId="338" refreshError="1"/>
      <sheetData sheetId="33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ll-Down Menus"/>
      <sheetName val="P. 1"/>
      <sheetName val="P. 2"/>
      <sheetName val="P. 3"/>
      <sheetName val="P. 4"/>
      <sheetName val="P. 5"/>
      <sheetName val="P. 6"/>
      <sheetName val="P. 7"/>
      <sheetName val="P. 8"/>
    </sheetNames>
    <sheetDataSet>
      <sheetData sheetId="0"/>
      <sheetData sheetId="1"/>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
      <sheetName val="집계표_OPTION_"/>
      <sheetName val="당초"/>
      <sheetName val="단가(자재)"/>
      <sheetName val="단가(노임)"/>
      <sheetName val="기초목록"/>
      <sheetName val="노임단가"/>
      <sheetName val="예산"/>
      <sheetName val="KP1590_E"/>
      <sheetName val="VC2 10.99"/>
      <sheetName val="영업3"/>
      <sheetName val="영업2"/>
      <sheetName val="1월"/>
      <sheetName val="Sheet1"/>
      <sheetName val="BQMPALOC"/>
      <sheetName val="inter"/>
      <sheetName val="공문"/>
      <sheetName val="금액내역서"/>
      <sheetName val="??"/>
      <sheetName val="ERECIN"/>
      <sheetName val="INPUT DATA"/>
      <sheetName val="집계표 (25,26ဩ"/>
      <sheetName val="BQ_Utl_Off"/>
      <sheetName val="General Data"/>
      <sheetName val="»ê±Ù"/>
      <sheetName val="12CGOU"/>
      <sheetName val="경영혁신본부"/>
      <sheetName val="Final(1)summary"/>
      <sheetName val="BD集計用"/>
      <sheetName val="수입"/>
      <sheetName val="BM DATA SHEET"/>
      <sheetName val="Form 0"/>
      <sheetName val="COVER"/>
      <sheetName val="95삼성급(본사)"/>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___"/>
      <sheetName val="연돌일위집계"/>
      <sheetName val="갑지"/>
      <sheetName val="세금자료"/>
      <sheetName val="DESCRIPTION"/>
      <sheetName val="Form D-1"/>
      <sheetName val="Form B-1"/>
      <sheetName val="Form F-1"/>
      <sheetName val="Assist(B-1)"/>
      <sheetName val="Form A"/>
      <sheetName val="입출재고현황 (2)"/>
      <sheetName val="__"/>
      <sheetName val="뜃맟뭁돽띿맟?-BLDG"/>
      <sheetName val="기성내역"/>
      <sheetName val="LABOR &amp; 자재"/>
      <sheetName val="제작도"/>
      <sheetName val="DHEQSUPT"/>
      <sheetName val="SANDAN"/>
      <sheetName val="M-EQPT-Z"/>
      <sheetName val="SALA-002"/>
      <sheetName val="DRUM"/>
      <sheetName val="POWER"/>
      <sheetName val="ESCON"/>
      <sheetName val="eq_data"/>
      <sheetName val="뜃맟뭁돽띿맟_-BLDG"/>
      <sheetName val="CB"/>
      <sheetName val="내역ࠜĀ_x0000_M4)"/>
      <sheetName val="주간기성"/>
      <sheetName val="INPUT_DATA"/>
      <sheetName val="General_Data"/>
      <sheetName val="집계표_(25,26ဩ"/>
      <sheetName val="Form_0"/>
      <sheetName val="노임단가표"/>
      <sheetName val="간접비 총괄"/>
      <sheetName val="TTL"/>
      <sheetName val="Lup2"/>
      <sheetName val="BOROUGE2"/>
      <sheetName val="???(OPTION)"/>
      <sheetName val="B"/>
      <sheetName val="3.공통공사대비"/>
      <sheetName val="Price Schedule"/>
      <sheetName val="간접비내역-1"/>
      <sheetName val="당진1,2호기전선관설치및접지4차공사내역서-을지"/>
      <sheetName val="Q&amp;pl-V"/>
      <sheetName val="PRICES"/>
      <sheetName val="INSTR"/>
      <sheetName val="h-013211-2"/>
      <sheetName val="표지"/>
      <sheetName val="Cash2"/>
      <sheetName val="Z"/>
      <sheetName val="내역서 耰&quot;_x0000__x0000_"/>
      <sheetName val="_x0008_"/>
      <sheetName val="비교검토"/>
      <sheetName val="내역서 耰&quot;??"/>
      <sheetName val="24V"/>
      <sheetName val="Rate Analysis"/>
      <sheetName val="合成単価作成表-BLDG"/>
      <sheetName val="CTEMCOST"/>
      <sheetName val="F4-F7"/>
      <sheetName val="CAL."/>
      <sheetName val="EQT-ESTN"/>
      <sheetName val="???¡§????"/>
      <sheetName val="????¢ç¢®¡¿????"/>
      <sheetName val="??????????¢ç??????"/>
      <sheetName val="???????¢ç¢®¢¯????"/>
      <sheetName val="???????®¡¿????"/>
      <sheetName val="??????????????????"/>
      <sheetName val="IN"/>
      <sheetName val="WE'T"/>
      <sheetName val="EQUIPMENT -2"/>
      <sheetName val="찍기"/>
      <sheetName val="A"/>
      <sheetName val="EQUIP"/>
      <sheetName val="실행"/>
      <sheetName val="물량"/>
      <sheetName val="WEIGHT LIST"/>
      <sheetName val="산#2-1 (2)"/>
      <sheetName val="POL6차-PIPING"/>
      <sheetName val="산#3-1"/>
      <sheetName val="BEND LOSS"/>
      <sheetName val="공사비 내역 (가)"/>
      <sheetName val="내역"/>
      <sheetName val="6PILE  (돌출)"/>
      <sheetName val="단면 (2)"/>
      <sheetName val="___(OPTION)"/>
      <sheetName val="내역ࠜĀ_x005f_x005f_x005f_x0000_M4)"/>
      <sheetName val="내역ࠜĀ_x005f_x0000_M4)"/>
      <sheetName val="내역ࠜĀ"/>
      <sheetName val="Data"/>
      <sheetName val="LEGEND"/>
      <sheetName val="jobhist"/>
      <sheetName val="PROCURE"/>
      <sheetName val="기계내역서"/>
      <sheetName val="고압수량(철거)"/>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Static Equip"/>
      <sheetName val="CAT_5"/>
      <sheetName val="Form A "/>
      <sheetName val="당초내역서"/>
      <sheetName val="내역서 耰&quot;_x005f_x0000__x005f_x0000_"/>
      <sheetName val="_x005f_x0008_"/>
      <sheetName val="SOURCE"/>
      <sheetName val="___¡§____"/>
      <sheetName val="____¢ç¢®¡¿____"/>
      <sheetName val="__________¢ç______"/>
      <sheetName val="_______¢ç¢®¢¯____"/>
      <sheetName val="_______®¡¿____"/>
      <sheetName val="__________________"/>
      <sheetName val="Sheet6"/>
      <sheetName val="갑지(추정)"/>
      <sheetName val="ELEC_DCI"/>
      <sheetName val="INST_DCI"/>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01"/>
      <sheetName val="General_Data1"/>
      <sheetName val="Form_D-1"/>
      <sheetName val="Form_B-1"/>
      <sheetName val="Form_F-1"/>
      <sheetName val="Form_A"/>
      <sheetName val="LABOR_&amp;_자재"/>
      <sheetName val="입출재고현황_(2)"/>
      <sheetName val="3_공통공사대비"/>
      <sheetName val="Compare"/>
      <sheetName val="3.Breakdown Direct Paint"/>
      <sheetName val="Spl"/>
      <sheetName val="BID"/>
      <sheetName val="Quantity"/>
      <sheetName val="내역서 耰&quot;__"/>
      <sheetName val="Summary Sheets"/>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국내"/>
      <sheetName val="간접비_총괄"/>
      <sheetName val="Price_Schedule"/>
      <sheetName val="내역서_耰&quot;"/>
      <sheetName val=""/>
      <sheetName val="EQUIPMENT_-2"/>
      <sheetName val="CAL_"/>
      <sheetName val="Rate_Analysis"/>
      <sheetName val="내역서_耰&quot;??"/>
      <sheetName val="PBS"/>
      <sheetName val="내역ࠜĀ?M4)"/>
      <sheetName val="경영혁신본뷀"/>
      <sheetName val="electrical"/>
      <sheetName val="2.2 STAFF Scedule"/>
      <sheetName val="BCPAB"/>
      <sheetName val="PI"/>
      <sheetName val="입찰품의서"/>
      <sheetName val="EQUIP LIST"/>
      <sheetName val="Z- GENERAL PRICE SUMMARY"/>
      <sheetName val=" Estimate  "/>
      <sheetName val="갑지1"/>
      <sheetName val="내역서 耰&quot;_x005f_x005f_x005f_x0000__x005f_x005f_x0000"/>
      <sheetName val="_x005f_x005f_x005f_x0008_"/>
      <sheetName val="9906"/>
      <sheetName val="계측 내역서"/>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SummaryC"/>
      <sheetName val="Detail"/>
      <sheetName val="인부신상자료"/>
      <sheetName val="Sheet1 (2)"/>
      <sheetName val="수로보호공"/>
      <sheetName val="데이타"/>
      <sheetName val="식재인부"/>
      <sheetName val="입력시트"/>
      <sheetName val="견적"/>
      <sheetName val="내역ࠜĀ_M4)"/>
      <sheetName val="CIVIL"/>
      <sheetName val="ERECT"/>
      <sheetName val="PROSUM"/>
      <sheetName val="EQUIPOS"/>
      <sheetName val="내역ࠜĀ_x005f_x005f_x005f_x005f_x005f_x005f_x005f_x0000_M4"/>
      <sheetName val="내역서 耰&quot;_x005f_x005f_x005f_x005f_x005f_x005f_x005f_x0000_"/>
      <sheetName val="_x005f_x005f_x005f_x005f_x005f_x005f_x005f_x0008_"/>
      <sheetName val="Q-7100-001"/>
      <sheetName val="Administrative Prices"/>
      <sheetName val="Calc"/>
      <sheetName val="WBS 44"/>
      <sheetName val="WBS 41"/>
      <sheetName val="Precios por Administración"/>
      <sheetName val="Resumen"/>
      <sheetName val="Precios Unitarios"/>
      <sheetName val="Subcon A"/>
      <sheetName val="AILC004"/>
      <sheetName val="7. 월별투입내역서"/>
      <sheetName val="내역서_耰&quot;__"/>
      <sheetName val="직재"/>
      <sheetName val="I一般比"/>
      <sheetName val="cable-data"/>
      <sheetName val="T 3"/>
      <sheetName val="HORI. VESSEL"/>
      <sheetName val="cable"/>
      <sheetName val="배관내역"/>
      <sheetName val="수주추정"/>
      <sheetName val="Insts"/>
      <sheetName val="Vind - BtB"/>
      <sheetName val="LV induction motors"/>
      <sheetName val="인원계획"/>
      <sheetName val="BSD (2)"/>
      <sheetName val="MP MOB"/>
      <sheetName val="BATCH"/>
      <sheetName val="내역ࠜĀ_x005f_x005f_x005f_x005f_x005f_x005f_x005f_x005f_x0"/>
      <sheetName val="내역서 耰&quot;_x005f_x005f_x005f_x005f_x005f_x005f_x005f_x005f_"/>
      <sheetName val="All_2"/>
      <sheetName val="내역서"/>
      <sheetName val="Sheet4"/>
      <sheetName val="Form B"/>
      <sheetName val="Material Selections"/>
      <sheetName val="_x0002__x0000_뻘N_x0000__x0000__x0001_ࠀ역서"/>
      <sheetName val="M_DB"/>
      <sheetName val="trf(36%)"/>
      <sheetName val="Monthly Load"/>
      <sheetName val="Weekly Load"/>
      <sheetName val="금융"/>
      <sheetName val="_x005f_x005f_x005f_x005f_x005f_x005f_x005f_x005f_x005f_x005f_"/>
      <sheetName val="Lstsub"/>
      <sheetName val="[SANDAN.XLS??"/>
      <sheetName val="Hot"/>
      <sheetName val="Piping BQ for one turbine"/>
      <sheetName val="criteria"/>
      <sheetName val="sum"/>
      <sheetName val="Summary"/>
      <sheetName val="변경집계표"/>
      <sheetName val="DB@Acess"/>
      <sheetName val="집계표"/>
      <sheetName val="97 사업추정(WEKI)"/>
      <sheetName val="Direct"/>
      <sheetName val="FORM-12"/>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Indirect Cost"/>
      <sheetName val="Unit"/>
      <sheetName val="BOQ-B.DOWN"/>
      <sheetName val="Eq. Mobilization"/>
      <sheetName val="DCS"/>
      <sheetName val="FWBS7000,8000"/>
      <sheetName val="ANALYSER"/>
      <sheetName val="출금실적"/>
      <sheetName val="경영현황"/>
      <sheetName val="RFP002"/>
      <sheetName val="일일총괄"/>
      <sheetName val="_x0004__x0000__x000d__x0000__x0003__x0000__x0004__x0000__x0016__x0000__x000d__x0000__x0004_"/>
      <sheetName val="_x000a__x0000__x001b__x0000__x0006__x0000__x0006__x0000__x0008__x0000__x000a__x0000__x0000_"/>
      <sheetName val="Basic_Rate"/>
      <sheetName val="appendix_2_5_final_accounts"/>
      <sheetName val="Format"/>
      <sheetName val="Labour"/>
      <sheetName val="Material"/>
      <sheetName val="Sheet1_(2)"/>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Form1.SQP"/>
      <sheetName val="총괄표"/>
      <sheetName val="TDTKP"/>
      <sheetName val="DK-KH"/>
      <sheetName val="수량집계"/>
      <sheetName val="총괄집계표"/>
      <sheetName val="내역서 (∮ἀ嘆ɶ_x0000_᠀㬁_x0000_"/>
      <sheetName val="당초_xd8b4_∸ἀ"/>
      <sheetName val="Cal"/>
      <sheetName val="BM-Elec"/>
      <sheetName val="BM-Inst"/>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1350-A"/>
      <sheetName val="목표세부명세"/>
      <sheetName val="중기일위대가"/>
      <sheetName val="중기"/>
      <sheetName val="BREAKDOWN(철거설치)"/>
      <sheetName val="BREAKDOWN(신규설치)"/>
      <sheetName val="SS2"/>
      <sheetName val="품셈"/>
      <sheetName val="HP-Steamdrum"/>
      <sheetName val="한강운반비"/>
      <sheetName val="97"/>
      <sheetName val="MANP"/>
      <sheetName val="C"/>
      <sheetName val="Equipment List"/>
      <sheetName val="info"/>
      <sheetName val="TP"/>
      <sheetName val="General"/>
      <sheetName val="Menus"/>
      <sheetName val="Resource table"/>
      <sheetName val="Resource"/>
      <sheetName val="D-623D"/>
      <sheetName val="SCHEDD TAMBAHAN"/>
      <sheetName val="Preliminaries"/>
      <sheetName val="piping"/>
      <sheetName val="Mech"/>
      <sheetName val="Fire Protection"/>
      <sheetName val="Buildings"/>
      <sheetName val="Instrument"/>
      <sheetName val="입찰내역 발주처 양식"/>
      <sheetName val="원가"/>
      <sheetName val="Total"/>
      <sheetName val="AG Pipe Qty Analysis"/>
      <sheetName val="Heavy Equipments"/>
      <sheetName val="공정계획(내부계획25%,내부w.f)"/>
      <sheetName val="SFN ORIG"/>
      <sheetName val="SFN"/>
      <sheetName val="R2564AHDTS"/>
      <sheetName val="CPS"/>
      <sheetName val="_x0002_?뻘N??_x0001_ࠀ역서"/>
      <sheetName val="LOB"/>
      <sheetName val="COVER-P"/>
      <sheetName val="Utility and Fire flange"/>
      <sheetName val="Dir Manpower Other Exp."/>
      <sheetName val="7422CW00"/>
      <sheetName val="사급자재집계표"/>
      <sheetName val="HVAC(사급자재)"/>
      <sheetName val="U-W"/>
      <sheetName val="결과조달"/>
      <sheetName val="w't table"/>
      <sheetName val="_SANDAN.XLS__"/>
      <sheetName val="_x0002_"/>
      <sheetName val="수량산출서"/>
      <sheetName val="mto-rev0B"/>
      <sheetName val="내역서 (∮ἀ嘆ɶ"/>
      <sheetName val="ITB COST"/>
      <sheetName val="4-3LEVEL-5 epic.4"/>
      <sheetName val="단가 (2)"/>
      <sheetName val="MODULE CONFIRM"/>
      <sheetName val="이자율"/>
      <sheetName val="도"/>
      <sheetName val="Proposal"/>
      <sheetName val="부대비율"/>
      <sheetName val="상반기손익차2총괄"/>
      <sheetName val="breakdown_of_wage_rate"/>
      <sheetName val="Indirect_Cost"/>
      <sheetName val="생산계획"/>
      <sheetName val="VLOOKUP"/>
      <sheetName val="cal-foamglass"/>
      <sheetName val="연습"/>
      <sheetName val="운반"/>
      <sheetName val="실행예산 MM"/>
      <sheetName val="강재"/>
      <sheetName val="OD5000"/>
      <sheetName val="배수내역"/>
      <sheetName val="판가반영"/>
      <sheetName val="공사내역"/>
      <sheetName val="INPUT"/>
      <sheetName val="분전반계산서(석관)"/>
      <sheetName val="실행내역"/>
      <sheetName val="WIND"/>
      <sheetName val="FWBS 1530"/>
      <sheetName val="노임9월"/>
      <sheetName val="견적대비표"/>
      <sheetName val="VIZ4"/>
      <sheetName val="VIZ7"/>
      <sheetName val="UZ"/>
      <sheetName val="K_SURFACES"/>
      <sheetName val="Administrative_Prices"/>
      <sheetName val="WBS_44"/>
      <sheetName val="WBS_41"/>
      <sheetName val="Precios_por_Administración"/>
      <sheetName val="Precios_Unitarios"/>
      <sheetName val="Subcon_A"/>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CHANNEL"/>
      <sheetName val="PROTECTION "/>
      <sheetName val="CIBATU5OO"/>
      <sheetName val="Labor"/>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Rekapitulasi"/>
      <sheetName val="BAG-2"/>
      <sheetName val="Overall"/>
      <sheetName val="salary"/>
      <sheetName val="_x0004_"/>
      <sheetName val="_x000a_"/>
      <sheetName val="내역서 耰&quot;"/>
      <sheetName val="SUM "/>
      <sheetName val="Multi-currency"/>
      <sheetName val="내역ࠜĀM4)"/>
      <sheetName val="dc1"/>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설계명세1-1"/>
      <sheetName val="FWBS"/>
      <sheetName val="Cash In-Cash Out Actual"/>
      <sheetName val="실행(ALT1)"/>
      <sheetName val="내역서1999.8최종"/>
      <sheetName val="실행철강하도"/>
      <sheetName val="전기"/>
      <sheetName val="PROGRESS"/>
      <sheetName val="Database"/>
      <sheetName val="SILICATE"/>
      <sheetName val="REDUCER"/>
      <sheetName val="plan&amp;section of foundation"/>
      <sheetName val="DESIGN CRITERIA"/>
      <sheetName val="working load at the btm ft."/>
      <sheetName val="stability check"/>
      <sheetName val="design load"/>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DESIGN"/>
      <sheetName val="일위대가(계측기설치)"/>
      <sheetName val="EP0618"/>
      <sheetName val="CÓDIGOS"/>
      <sheetName val="MTP"/>
      <sheetName val="Checklist-Parameters"/>
      <sheetName val="Fillermetal"/>
      <sheetName val="Updating Form-Oct 2011"/>
      <sheetName val="Weld Consumable"/>
      <sheetName val="WQT"/>
      <sheetName val="NDE Cost-Summary"/>
      <sheetName val="9July Above Ground Pipe"/>
      <sheetName val="M 11"/>
      <sheetName val="Process Data 1"/>
      <sheetName val="첨부1-집행내역(요약)"/>
      <sheetName val="BOQ"/>
      <sheetName val="Sum (Case-3)"/>
      <sheetName val="Man Power &amp; Comp"/>
      <sheetName val="MP-PLAN"/>
      <sheetName val="L-TIGA"/>
      <sheetName val="Data List"/>
      <sheetName val="MP_PLAN"/>
      <sheetName val="10"/>
      <sheetName val="5"/>
      <sheetName val="1"/>
      <sheetName val="PNT"/>
      <sheetName val="D7(1)"/>
      <sheetName val="5-ALAT(1)"/>
      <sheetName val="4-Basic Price"/>
      <sheetName val="Rekap"/>
      <sheetName val="AHS"/>
      <sheetName val="Evaluasi Penw"/>
      <sheetName val="master"/>
      <sheetName val="MTO"/>
      <sheetName val="Elect_BOM"/>
      <sheetName val="Elect"/>
      <sheetName val="BQ"/>
      <sheetName val="aa_piping"/>
      <sheetName val="CABLE_DATA"/>
      <sheetName val="CIVIL_UP"/>
      <sheetName val="ETUDE_de_Prix__(2)"/>
      <sheetName val="選單"/>
      <sheetName val="Unit Price "/>
      <sheetName val="Closeout Control"/>
      <sheetName val="SEX"/>
      <sheetName val="Currency Rate"/>
      <sheetName val="Personnel"/>
      <sheetName val="ANALISA"/>
      <sheetName val="예산-내부"/>
      <sheetName val="영업소실적"/>
      <sheetName val="PROJECT BRIEF"/>
      <sheetName val="tggwan(mac)"/>
      <sheetName val="CUADRO DE PRECIOS"/>
      <sheetName val="Site Findings Status Sheet"/>
      <sheetName val="Weekl_x0004__x0000__x0016__x0000__x000d__x0000_"/>
      <sheetName val="_x0000__x000e__x0000__x0005_"/>
      <sheetName val="Hoja2"/>
      <sheetName val="경제지표"/>
      <sheetName val="1100-1200-1300-1910-2140-LEV 2"/>
      <sheetName val="Library"/>
      <sheetName val="??-BLDG"/>
      <sheetName val="Unt rate"/>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ANX3A11"/>
      <sheetName val="5.) Time Delays"/>
      <sheetName val="KP_List"/>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DB"/>
      <sheetName val="내역서_(N_x0009__x000e__x000e__x000e__x0009__x0009__x0012__x0010__x000a_"/>
      <sheetName val="ഀࠀကЀЀԀЀԀ̀ᤀഀ؀Ѐༀ"/>
      <sheetName val="노임이"/>
      <sheetName val=" _x0000__x001b__x0000__x0006__x0000__x0006__x0000__x0008__x0000_ _x0000__x0000_"/>
      <sheetName val="내역서_(N _x000e__x000e__x000e_  _x0012__x0010__x000a_"/>
      <sheetName val="CONFIG"/>
      <sheetName val="Datos"/>
      <sheetName val="할증 "/>
      <sheetName val="경상"/>
      <sheetName val="골조시행"/>
      <sheetName val="RAB AR&amp;STR"/>
      <sheetName val="I-KAMAR"/>
      <sheetName val="Pipe-Hot"/>
      <sheetName val="99. FWBS(Ref)"/>
      <sheetName val="99. Change Rate"/>
      <sheetName val="배수공"/>
      <sheetName val="Rates &amp; Legend"/>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_x0002__x0000_뻘N_x0000__x0000__"/>
      <sheetName val="Engineering&amp;Management"/>
      <sheetName val="Tools &amp; Settings"/>
      <sheetName val="Data Summary"/>
      <sheetName val="Resources"/>
      <sheetName val="FFA"/>
      <sheetName val="Currencies"/>
      <sheetName val="Crew Costs"/>
      <sheetName val="Spread Costs"/>
      <sheetName val="Unique List_Misc"/>
      <sheetName val="Codes.Pers"/>
      <sheetName val="In-House Summary"/>
      <sheetName val="7422CW_x0013__x0000_"/>
      <sheetName val="_x0004__x0000__x000d__x0000__x0"/>
      <sheetName val="_x000a__x0000__x001b__x0000__x0"/>
      <sheetName val="_x0002__뻘N___x0001_ࠀ역서"/>
      <sheetName val="내역서_耰&quot;_x005f_x0000__x0000"/>
      <sheetName val="Discounted Cash Flow"/>
      <sheetName val="Ocean Transporation Charge"/>
      <sheetName val="HVAC"/>
      <sheetName val="예가표"/>
      <sheetName val="Cash Flow bulanan"/>
      <sheetName val="schalt"/>
      <sheetName val="schtng"/>
      <sheetName val="schbhn"/>
      <sheetName val="H.Satuan"/>
      <sheetName val="I_KAMAR"/>
      <sheetName val="SCH"/>
      <sheetName val="Direct PMS"/>
      <sheetName val="경비실"/>
      <sheetName val="OPT_x0012__x0000__x0010__x0000__x000a__x0000_"/>
      <sheetName val="_x0000__x0013__x0000__x0014_"/>
      <sheetName val="SFN_ORIG1"/>
      <sheetName val="AG_Pipe_Qty_Analysis1"/>
      <sheetName val="Equipment_List1"/>
      <sheetName val="Form1_SQP1"/>
      <sheetName val="공정계획(내부계획25%,내부w_f)1"/>
      <sheetName val="Heavy_Equipments1"/>
      <sheetName val="내역서_(∮ἀ嘆ɶ"/>
      <sheetName val="ITB_COST1"/>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검측서"/>
      <sheetName val="UP MINOR"/>
      <sheetName val="Item code"/>
      <sheetName val="업체코드"/>
      <sheetName val="장산"/>
      <sheetName val="시행분석"/>
      <sheetName val="AUX"/>
      <sheetName val="Aux."/>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Pengesahan "/>
      <sheetName val="BILL"/>
      <sheetName val="  "/>
      <sheetName val=" "/>
      <sheetName val="breakdown of wage ra`f"/>
      <sheetName val="breakdown of wage ra"/>
      <sheetName val="breakdown of wage rað-"/>
      <sheetName val="2.Overall Summary "/>
      <sheetName val="OCT.FDN"/>
      <sheetName val="D-3109"/>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Bill rekap"/>
      <sheetName val="Harga Satuan"/>
      <sheetName val="LISTRIK"/>
      <sheetName val="F ALARM"/>
      <sheetName val="Chart_Cable"/>
      <sheetName val="Exchange Rate"/>
      <sheetName val="예산실적전체당월"/>
      <sheetName val="00-Summary Information-ABB"/>
      <sheetName val="BD"/>
      <sheetName val="General Notes"/>
      <sheetName val="물량표"/>
      <sheetName val="PABS,Site info"/>
      <sheetName val="2. 현장 자금투입 집계표"/>
      <sheetName val="_도면 및 도서 제출목록 및 일정_170202.xlsx"/>
      <sheetName val="TYPE"/>
      <sheetName val="수량산출"/>
      <sheetName val="CAL1"/>
      <sheetName val="BQ_IMPORT"/>
      <sheetName val="Process Data (2)"/>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내역서_耰&quot;_x005f_x005f_x005f_x0000_"/>
      <sheetName val="내역서_耰&quot;_x005f_x005f_x005f_x005f_"/>
      <sheetName val="Currency_Rate"/>
      <sheetName val="4-Basic_Price"/>
      <sheetName val="Evaluasi_Penw"/>
      <sheetName val="Man_Power_&amp;_Comp"/>
      <sheetName val="Data_List"/>
      <sheetName val="Material_Price"/>
      <sheetName val="Codes_Pers"/>
      <sheetName val="Sum_(Case-3)"/>
      <sheetName val="PROJECT_BRIEF"/>
      <sheetName val="In-House_Summary"/>
      <sheetName val="7422CW"/>
      <sheetName val="내역ࠜĀ_x005f_x0000_M4"/>
      <sheetName val="내역서 耰&quot;_x005f_x0000_"/>
      <sheetName val="내역ࠜĀ_x005f_x005f_x0"/>
      <sheetName val="내역서 耰&quot;_x005f_x005f_"/>
      <sheetName val="내역서 耰&quot;_x0000__x0000"/>
      <sheetName val="_x005f_x005f_"/>
      <sheetName val="내역서_耰&quot;_x0000__x0000"/>
      <sheetName val="Weekl_x0004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손익차9월2"/>
      <sheetName val="OPT_x0012_"/>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00__x0000_6"/>
      <sheetName val="내역서_耰&quot;_x005f_x0000__x0005"/>
      <sheetName val="내역서_耰&quot;_x005f_x005f_x00005"/>
      <sheetName val="내역서_耰&quot;_x005f_x005f_x005f5"/>
      <sheetName val="내역서_耰&quot;_x005f_x0000_"/>
      <sheetName val="내역서_耰&quot;_x005f_x005f_"/>
      <sheetName val="내역ࠜĀ_x0000_M4"/>
      <sheetName val="내역ࠜĀ_x0"/>
      <sheetName val="내역서 耰&quot;_"/>
      <sheetName val="_"/>
      <sheetName val="내역서_耰&quot;_x0000__x0001"/>
      <sheetName val="내역서_耰&quot;_x00001"/>
      <sheetName val="내역서_耰&quot;_x005f1"/>
      <sheetName val="내역서_耰&quot;_x0000__x0002"/>
      <sheetName val="내역서_耰&quot;_x00002"/>
      <sheetName val="내역서_耰&quot;_x005f2"/>
      <sheetName val="Others"/>
      <sheetName val="Sheet5"/>
      <sheetName val="0. Resource　Code"/>
      <sheetName val="Direct_PMS"/>
      <sheetName val="5_)_Time_Delays"/>
      <sheetName val="OPT_x000a_"/>
      <sheetName val="Weekl_x000a_"/>
      <sheetName val="Aux_"/>
      <sheetName val="breakdown of wage rap"/>
      <sheetName val="breakdown of wage ra"/>
      <sheetName val="DISCIPLINE"/>
      <sheetName val="9_1차이내역"/>
      <sheetName val="pipeline-1"/>
      <sheetName val="BQMP"/>
      <sheetName val="Analysis"/>
      <sheetName val="EVA-004-MEC"/>
      <sheetName val="Distribution Table"/>
      <sheetName val="BA1047集約"/>
      <sheetName val="Raw data"/>
      <sheetName val="PWA"/>
      <sheetName val="__x0000__x001b__x0000__x0006__x"/>
      <sheetName val="_뻘N__ࠀ역서"/>
      <sheetName val="차트 (2)"/>
      <sheetName val="당초?∸ἀ"/>
      <sheetName val="Codes"/>
      <sheetName val="Material code"/>
      <sheetName val="도면자료제출일정"/>
      <sheetName val="DROP DOWN"/>
      <sheetName val="EE-PROP"/>
      <sheetName val="DATA MENTAH"/>
      <sheetName val="Linelist LNGC Process"/>
      <sheetName val="Air Cooler-E"/>
      <sheetName val="유림골조"/>
      <sheetName val="개시대사 (2)"/>
      <sheetName val="Action Item"/>
      <sheetName val="Rating"/>
      <sheetName val="ID.CD"/>
      <sheetName val="내역서_耰&quot;6"/>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design_criteria1"/>
      <sheetName val="TQ Format"/>
      <sheetName val="USDKRW"/>
      <sheetName val="Inquiry"/>
      <sheetName val="품셈TABLE"/>
      <sheetName val="환율"/>
      <sheetName val="7422CW_x0013_"/>
      <sheetName val="HO_Site Rates-2011"/>
      <sheetName val="定额"/>
      <sheetName val="MD"/>
      <sheetName val="2003상반기노임기준"/>
      <sheetName val="용접품"/>
      <sheetName val="절단품"/>
      <sheetName val="breakdown of wage raÐ¾"/>
      <sheetName val="Additional data"/>
      <sheetName val="drg"/>
      <sheetName val="BM"/>
      <sheetName val="바닥판_x0000_⽷_x0000_"/>
      <sheetName val="Values"/>
      <sheetName val="Equipment Spec List"/>
      <sheetName val="대운산출"/>
      <sheetName val="Header"/>
      <sheetName val="LEGENDA"/>
      <sheetName val="208"/>
      <sheetName val="인산"/>
      <sheetName val="C-301E~305E"/>
      <sheetName val="SPEC LIST(EQUP, SYS)"/>
      <sheetName val="配管単価"/>
      <sheetName val="Mat"/>
      <sheetName val="제출계산서"/>
      <sheetName val="tifico"/>
      <sheetName val="EQUIPMENT_-_x0000_"/>
      <sheetName val="Orçamento"/>
      <sheetName val="Cashflow Analysis"/>
      <sheetName val="Al Taweelah"/>
      <sheetName val="TJ1Q47"/>
      <sheetName val="Particular Sch"/>
      <sheetName val="공사비SUM"/>
      <sheetName val="백분율"/>
      <sheetName val="33628-Rev. A"/>
      <sheetName val="내역(한신APT)"/>
      <sheetName val="내역서_(N _x000e__x000e__x000e_  _x0012__x0010_ "/>
      <sheetName val="热力"/>
      <sheetName val="PHSB"/>
      <sheetName val="AN"/>
      <sheetName val="14-Eng rate"/>
      <sheetName val="공사비집계"/>
      <sheetName val="구분"/>
      <sheetName val="기기리스트"/>
      <sheetName val="11.자재단가"/>
      <sheetName val="리스크 분류체계"/>
      <sheetName val="Risk"/>
      <sheetName val="손익차총괄2"/>
      <sheetName val="Drop-Downs"/>
      <sheetName val="내역서_耰&quot;_x0000__x0000_"/>
      <sheetName val="내역서_耰&quot;_x0000__x0000_1"/>
      <sheetName val="Attach 4-18"/>
      <sheetName val="{}"/>
      <sheetName val="내역서 ᢐ_x001f__x0000__x0000_"/>
      <sheetName val="2_Overall_Summary_"/>
      <sheetName val="Données"/>
      <sheetName val="GraphData"/>
      <sheetName val="BHANDUP"/>
      <sheetName val="Register"/>
      <sheetName val="INPUT DATA OF SCHEDULE"/>
      <sheetName val="CONST"/>
      <sheetName val="Finansal tamamlanma Eğrisi"/>
      <sheetName val="SIVA"/>
      <sheetName val="Admin Manu 2-Equipment Type ID"/>
      <sheetName val="#¡REF"/>
      <sheetName val="WIP"/>
      <sheetName val="_x0004__x000d__x0003__x0004__x0016__x000d__x0004_"/>
      <sheetName val="_x000a__x001b__x0006__x0006__x0008__x000a_"/>
      <sheetName val="Weekl_x0004__x0016__x000d_"/>
      <sheetName val="_x000e__x0005_"/>
      <sheetName val=" _x001b__x0006__x0006__x0008_ "/>
      <sheetName val="_x0004__x000d__x0"/>
      <sheetName val="_x000a__x001b__x0"/>
      <sheetName val="OPT_x0012__x0010__x000a_"/>
      <sheetName val="_x0013__x0014_"/>
      <sheetName val="내역서 耰&quot;_x0000"/>
      <sheetName val="내역서_耰&quot;_x0000"/>
      <sheetName val="내역ࠜĀM4"/>
      <sheetName val="내역서_耰&quot;_x0001"/>
      <sheetName val="내역서_耰&quot;_x0002"/>
      <sheetName val="__x001b__x0006__x"/>
      <sheetName val="EQUIPMENT_-"/>
      <sheetName val="내역서 ᢐ_x001f_"/>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Benchmark"/>
      <sheetName val="Grafico"/>
      <sheetName val="Master List"/>
      <sheetName val="내역서 (∮ἀ嘆ɶ?᠀㬁?"/>
      <sheetName val="당초_xd8b4_➴ȭ"/>
      <sheetName val=" _x001b__x0006__x"/>
      <sheetName val="Weekl_x0004__x0016__x000"/>
      <sheetName val="내역서_(N _x000e__x000e__x00"/>
      <sheetName val="내역서_(N _x000e__x000e__x000e_  _"/>
      <sheetName val="__-BLDG"/>
      <sheetName val="C1C2"/>
      <sheetName val="LIFE &amp; REP PROVN"/>
      <sheetName val="O&amp;M CREW"/>
      <sheetName val="EXPAN-1"/>
      <sheetName val="TABELE"/>
      <sheetName val="Fig 4-14"/>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General_Data9"/>
      <sheetName val="집계표_(25,26ဩ9"/>
      <sheetName val="Form_09"/>
      <sheetName val="Form_D-18"/>
      <sheetName val="Form_B-18"/>
      <sheetName val="Form_F-18"/>
      <sheetName val="Form_A8"/>
      <sheetName val="LABOR_&amp;_자재8"/>
      <sheetName val="입출재고현황_(2)8"/>
      <sheetName val="3_공통공사대비8"/>
      <sheetName val="간접비_총괄8"/>
      <sheetName val="Price_Schedule8"/>
      <sheetName val="CAL_8"/>
      <sheetName val="Rate_Analysis8"/>
      <sheetName val="WEIGHT_LIST7"/>
      <sheetName val="산#2-1_(2)7"/>
      <sheetName val="BEND_LOSS7"/>
      <sheetName val="공사비_내역_(가)7"/>
      <sheetName val="EQUIPMENT_-28"/>
      <sheetName val="6PILE__(돌출)7"/>
      <sheetName val="내역서_耰&quot;??8"/>
      <sheetName val="Static_Equip7"/>
      <sheetName val="단면_(2)7"/>
      <sheetName val="Form_A_7"/>
      <sheetName val="Man_Hole6"/>
      <sheetName val="3_Breakdown_Direct_Paint7"/>
      <sheetName val="내역서_耰&quot;_x005f_x0000__x005f_x0000_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내역서_耰&quot;__8"/>
      <sheetName val="Summary_Sheets7"/>
      <sheetName val="Civil_17"/>
      <sheetName val="Civil_27"/>
      <sheetName val="Civil_37"/>
      <sheetName val="Site_17"/>
      <sheetName val="Site_27"/>
      <sheetName val="Site_37"/>
      <sheetName val="Site_Faci7"/>
      <sheetName val="Monthly_Load6"/>
      <sheetName val="Weekly_Load6"/>
      <sheetName val="내역서_耰&quot;_x005f_x005f_x005f_x0000__x005f_x005f_x0006"/>
      <sheetName val="Precios_Unitarios6"/>
      <sheetName val="2_2_STAFF_Scedule6"/>
      <sheetName val="내역서_耰&quot;_x005f_x005f_x005f_x005f_x005f_x005f_x00006"/>
      <sheetName val="Administrative_Prices6"/>
      <sheetName val="WBS_446"/>
      <sheetName val="WBS_416"/>
      <sheetName val="Precios_por_Administración6"/>
      <sheetName val="Subcon_A6"/>
      <sheetName val="내역서_耰&quot;_x005f_x005f_x005f_x005f_x005f_x005f_x005f6"/>
      <sheetName val="Sheet1_(2)7"/>
      <sheetName val="7__월별투입내역서6"/>
      <sheetName val="계측_내역서6"/>
      <sheetName val="Z-_GENERAL_PRICE_SUMMARY6"/>
      <sheetName val="_Estimate__6"/>
      <sheetName val="T_36"/>
      <sheetName val="HORI__VESSEL6"/>
      <sheetName val="EQUIP_LIST6"/>
      <sheetName val="Form_B6"/>
      <sheetName val="Vind_-_BtB6"/>
      <sheetName val="LV_induction_motors6"/>
      <sheetName val="BSD_(2)6"/>
      <sheetName val="MP_MOB6"/>
      <sheetName val="BM_DATA_SHEET7"/>
      <sheetName val="[SANDAN_XLS??6"/>
      <sheetName val="Piping_BQ_for_one_turbine6"/>
      <sheetName val="97_사업추정(WEKI)6"/>
      <sheetName val="breakdown_of_wage_rate6"/>
      <sheetName val="Indirect_Cost6"/>
      <sheetName val="Material_Selections6"/>
      <sheetName val="Eq__Mobilization6"/>
      <sheetName val="SFN_ORIG6"/>
      <sheetName val="Resource_table6"/>
      <sheetName val="AG_Pipe_Qty_Analysis6"/>
      <sheetName val="Utility_and_Fire_flange6"/>
      <sheetName val="Equipment_List6"/>
      <sheetName val="Form1_SQP6"/>
      <sheetName val="공정계획(내부계획25%,내부w_f)6"/>
      <sheetName val="_SANDAN_XLS__6"/>
      <sheetName val="Heavy_Equipments6"/>
      <sheetName val="입찰내역_발주처_양식6"/>
      <sheetName val="BOQ-B_DOWN5"/>
      <sheetName val="w't_table6"/>
      <sheetName val="실행예산_MM5"/>
      <sheetName val="Dir_Manpower_Other_Exp_6"/>
      <sheetName val="SCHEDD_TAMBAHAN6"/>
      <sheetName val="Fire_Protection6"/>
      <sheetName val="단가_(2)5"/>
      <sheetName val="4-3LEVEL-5_epic_45"/>
      <sheetName val="FWBS_15305"/>
      <sheetName val="MODULE_CONFIRM5"/>
      <sheetName val="내역서_(∮ἀ嘆ɶ5"/>
      <sheetName val="ITB_COST6"/>
      <sheetName val="PROTECTION_5"/>
      <sheetName val="Cash_In-Cash_Out_Actual5"/>
      <sheetName val="CUADRO_DE_PRECIOS5"/>
      <sheetName val="Updating_Form-Oct_20111"/>
      <sheetName val="Weld_Consumable1"/>
      <sheetName val="NDE_Cost-Summary1"/>
      <sheetName val="9July_Above_Ground_Pipe1"/>
      <sheetName val="M_111"/>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1100-1200-1300-1910-2140-LEV_21"/>
      <sheetName val="Currency_Rate1"/>
      <sheetName val="4-Basic_Price1"/>
      <sheetName val="Evaluasi_Penw1"/>
      <sheetName val="Man_Power_&amp;_Comp1"/>
      <sheetName val="Data_List1"/>
      <sheetName val="Material_Price1"/>
      <sheetName val="Closeout_Control1"/>
      <sheetName val="Site_Findings_Status_Sheet1"/>
      <sheetName val="Tools_&amp;_Settings1"/>
      <sheetName val="Data_Summary1"/>
      <sheetName val="Crew_Costs1"/>
      <sheetName val="Spread_Costs1"/>
      <sheetName val="Unique_List_Misc1"/>
      <sheetName val="Sum_(Case-3)1"/>
      <sheetName val="In-House_Summary1"/>
      <sheetName val="PROJECT_BRIEF1"/>
      <sheetName val="Direct_PMS1"/>
      <sheetName val="내역서_耰&quot;_x005f_x005f_x005f_x0000_1"/>
      <sheetName val="내역서_耰&quot;_x005f_x005f_x005f_x005f_1"/>
      <sheetName val="5_)_Time_Delays1"/>
      <sheetName val="Aux_1"/>
      <sheetName val="Codes_Pers1"/>
      <sheetName val="00-Summary_Information-ABB"/>
      <sheetName val="PABS,Site_info"/>
      <sheetName val="0__Resource　Code"/>
      <sheetName val="__1"/>
      <sheetName val="_1"/>
      <sheetName val="breakdown_of_wage_ra`f"/>
      <sheetName val="breakdown_of_wage_ra"/>
      <sheetName val="breakdown_of_wage_rað-"/>
      <sheetName val="Material_code"/>
      <sheetName val="__x"/>
      <sheetName val="Precios Unitariԯ"/>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16"/>
      <sheetName val="50"/>
      <sheetName val="Drop"/>
      <sheetName val="Dropdown"/>
      <sheetName val="Tender data"/>
      <sheetName val="Activity Form"/>
      <sheetName val="GM 000"/>
      <sheetName val="날개벽"/>
      <sheetName val="Pulldown"/>
      <sheetName val="2857Q&amp;PL"/>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Unt_rate1"/>
      <sheetName val="2__현장_자금투입_집계표1"/>
      <sheetName val="_도면_및_도서_제출목록_및_일정_170202_xlsx1"/>
      <sheetName val="Rates_&amp;_Legend1"/>
      <sheetName val="Cash_Flow_bulanan1"/>
      <sheetName val="H_Satuan1"/>
      <sheetName val="Discounted_Cash_Flow1"/>
      <sheetName val="Ocean_Transporation_Charge1"/>
      <sheetName val="Pengesahan_1"/>
      <sheetName val="OCT_FDN1"/>
      <sheetName val="General_Notes1"/>
      <sheetName val="BO䁑-B_䁄OWN1"/>
      <sheetName val="Exchange_Rate1"/>
      <sheetName val="Harga_Satuan1"/>
      <sheetName val="F_ALARM1"/>
      <sheetName val="DATA_MENTAH"/>
      <sheetName val="차트_(2)1"/>
      <sheetName val="Bill_rekap1"/>
      <sheetName val="breakdown_of_wage_rap"/>
      <sheetName val="Weekl"/>
      <sheetName val="Process_Data_(2)1"/>
      <sheetName val="실행집"/>
      <sheetName val="Raw_data"/>
      <sheetName val="breakdown_of_wage_ra"/>
      <sheetName val="Precios_Unitariԯ"/>
      <sheetName val="내역서_(N____x000a_1"/>
      <sheetName val="TQ_Format"/>
      <sheetName val="DROP_DOWN"/>
      <sheetName val="개시대사_(2)"/>
      <sheetName val="Action_Item"/>
      <sheetName val="ID_CD"/>
      <sheetName val="breakdown_of_wage_raÐ¾"/>
      <sheetName val="Additional_data"/>
      <sheetName val="Distribution_Table"/>
      <sheetName val="HO_Site_Rates-2011"/>
      <sheetName val="내역서_(N____"/>
      <sheetName val="단가"/>
      <sheetName val="95TOTREV"/>
      <sheetName val="일위대가 "/>
      <sheetName val="98수문일위"/>
      <sheetName val="SECL 리스크 분류체계 (2)"/>
      <sheetName val="내역서_耰&quot;_x0004"/>
      <sheetName val="내역서_耰&quot;_x0003"/>
      <sheetName val="내역서_耰&quot;_x0005"/>
      <sheetName val="내역서_耰&quot;_x00004"/>
      <sheetName val="내역서_耰&quot;_x005f4"/>
      <sheetName val="내역서_耰&quot;_x00003"/>
      <sheetName val="내역서_耰&quot;_x005f3"/>
      <sheetName val="내역서_耰&quot;_x00005"/>
      <sheetName val="내역서_耰&quot;_x005f5"/>
      <sheetName val="내역서_耰&quot;_"/>
      <sheetName val="내역서_耰&quot;7"/>
      <sheetName val="SUM_"/>
      <sheetName val="Equipment_Spec_List"/>
      <sheetName val="SPEC_LIST(EQUP,_SYS)"/>
      <sheetName val="내역서_(N _x000e__x000e__x000e_  _x0012__x0010__"/>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E-160"/>
      <sheetName val="CASH"/>
      <sheetName val="Basis(site)"/>
      <sheetName val="Itembalance Report (18-sep-18)"/>
      <sheetName val="BUDGET SUMMARY "/>
      <sheetName val="Leyenda"/>
      <sheetName val="내역서_耰&quot;_x005f_x0000__x0006"/>
      <sheetName val="내역서_耰&quot;_x005f_x005f_x00006"/>
      <sheetName val="내역서_耰&quot;_x005f_x005f_x005f6"/>
      <sheetName val="내역서_耰&quot;_x005f_x0000_1"/>
      <sheetName val="내역서_耰&quot;_x005f_x005f_1"/>
      <sheetName val="BSD ᯷㧓_x0001_"/>
      <sheetName val="Direct Histogram Rev. A (f)"/>
      <sheetName val="광통신 견적내역서1"/>
      <sheetName val="Basic"/>
      <sheetName val="B_Down"/>
      <sheetName val="Scheme Area Details_Block__ C2"/>
      <sheetName val="1.설계기준"/>
      <sheetName val="FORM-0"/>
      <sheetName val="SUPTMTO"/>
      <sheetName val="ABUT수량-A1"/>
      <sheetName val="서부산시설"/>
      <sheetName val="Cash Flow"/>
      <sheetName val="Yield"/>
      <sheetName val="5. 월별투입내역서"/>
      <sheetName val="List register"/>
      <sheetName val="목록"/>
      <sheetName val="Wellhrs"/>
      <sheetName val="Rate"/>
      <sheetName val="터파기및재료"/>
      <sheetName val="Demand"/>
      <sheetName val="Occ"/>
      <sheetName val="인사자료총집계"/>
      <sheetName val="간접비"/>
      <sheetName val="조명시설"/>
      <sheetName val="설산1.나"/>
      <sheetName val="본사S"/>
      <sheetName val="건축내역"/>
      <sheetName val="견적서"/>
      <sheetName val="간접노무비"/>
      <sheetName val="BM #1"/>
      <sheetName val="TABLAS"/>
      <sheetName val="Cost Code"/>
      <sheetName val="Data Ref"/>
      <sheetName val="Interdept Rate"/>
      <sheetName val="전표분개장(공종별)"/>
      <sheetName val="노무비집계"/>
      <sheetName val="공통가설"/>
      <sheetName val="자재비"/>
      <sheetName val="감모비"/>
      <sheetName val="ADMON"/>
      <sheetName val="EQUIPOS DE SEGURIDAD"/>
      <sheetName val="MATERIALES CONSUMIBLES"/>
      <sheetName val="PERSONAL INDIRECTO "/>
      <sheetName val="REF for VV"/>
      <sheetName val="REF"/>
      <sheetName val=" _x001b__x0"/>
      <sheetName val="OPT_x0012__x0010_ "/>
      <sheetName val="Weekl "/>
      <sheetName val="내역서_(N___ "/>
      <sheetName val="내역서_(N    "/>
      <sheetName val=" _x0"/>
      <sheetName val="OPT "/>
      <sheetName val="급여"/>
      <sheetName val="Land Dev't. Ph-1"/>
      <sheetName val="4300 UTILITY BLDG (2)"/>
      <sheetName val="0000"/>
      <sheetName val="P-Ins &amp; Bonds"/>
      <sheetName val="INSTLIST 1"/>
      <sheetName val="인원聈2"/>
      <sheetName val="design_criteria2"/>
      <sheetName val="Air_Cooler-E"/>
      <sheetName val="Al_Taweelah"/>
      <sheetName val="Particular_Sch"/>
      <sheetName val="Index"/>
      <sheetName val="_x005f_x005f_x005f_x005f_x005f_x005f_x00ည톐ឮ"/>
      <sheetName val="OPT"/>
      <sheetName val="공사"/>
      <sheetName val="단가대비표"/>
      <sheetName val="총괄"/>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달력"/>
      <sheetName val="입찰안"/>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breakdown_of_wage_ra1"/>
      <sheetName val="Material_code1"/>
      <sheetName val="Aux_2"/>
      <sheetName val="OCT_FDN2"/>
      <sheetName val="Exchange_Rate2"/>
      <sheetName val="DATA_MENTAH1"/>
      <sheetName val="General_Notes2"/>
      <sheetName val="PABS,Site_info1"/>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1"/>
      <sheetName val="Distribution_Table1"/>
      <sheetName val="차트_(2)2"/>
      <sheetName val="DROP_DOWN1"/>
      <sheetName val="Linelist_LNGC_Process1"/>
      <sheetName val="Action_Item1"/>
      <sheetName val="ID_CD1"/>
      <sheetName val="Equipment_Spec_List1"/>
      <sheetName val="내역서_(N____x000a_2"/>
      <sheetName val="개시대사_(2)1"/>
      <sheetName val="SPEC_LIST(EQUP,_SYS)1"/>
      <sheetName val="Air_Cooler-E1"/>
      <sheetName val="Al_Taweelah1"/>
      <sheetName val="Particular_Sch1"/>
      <sheetName val="Linelist_LNGC_Process"/>
      <sheetName val="Graph"/>
      <sheetName val="MC-1"/>
      <sheetName val="Tables 3.1 to 3.5 EXH G"/>
      <sheetName val="SPEC(RECEPTACLE)"/>
      <sheetName val="SPEC(CABLE &amp; WIRE)"/>
      <sheetName val="Att-1 CTCI MH rate"/>
      <sheetName val="LOADDAT"/>
      <sheetName val="Perm. Test"/>
      <sheetName val="Galian 1"/>
      <sheetName val="Analisa-Harga"/>
      <sheetName val="Analisa Lump sum"/>
      <sheetName val="data-pendukung"/>
      <sheetName val="CH-RANC"/>
      <sheetName val="351BQMCN"/>
      <sheetName val="rap"/>
      <sheetName val="As"/>
      <sheetName val="Sec I ML"/>
      <sheetName val="35"/>
      <sheetName val="37"/>
      <sheetName val="64.4"/>
      <sheetName val="64.5"/>
      <sheetName val="22"/>
      <sheetName val="36.2"/>
      <sheetName val="36.1"/>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Depreciation"/>
      <sheetName val="Validation"/>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내역서_(N___ 1"/>
      <sheetName val="6.공정표"/>
      <sheetName val="Har_mat"/>
      <sheetName val="chitimc"/>
      <sheetName val="dongia (2)"/>
      <sheetName val="LKVL-CK-HT-GD1"/>
      <sheetName val="주차구획선수량"/>
      <sheetName val="本体取纏"/>
      <sheetName val="鉄骨纏め"/>
      <sheetName val="34"/>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NP"/>
      <sheetName val="Enron Form"/>
      <sheetName val="表三甲"/>
      <sheetName val="合成単価作成表_BLDG"/>
      <sheetName val="회사99"/>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7-2"/>
      <sheetName val="Folha1"/>
      <sheetName val="SPT vs PHI"/>
      <sheetName val="품의서(지출)"/>
      <sheetName val="Offer"/>
      <sheetName val="TR Rev vs Commit"/>
      <sheetName val="TR +MMHE PL report"/>
      <sheetName val="P23P2724 _ Commitment "/>
      <sheetName val="FAB별"/>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최종(1)사용"/>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05. Curva S"/>
      <sheetName val="CCL"/>
      <sheetName val="공통부대비"/>
      <sheetName val="PI-18031-M3-BOQ"/>
      <sheetName val="Void"/>
      <sheetName val="05__Curva_S"/>
      <sheetName val="Other data"/>
      <sheetName val="MOD-MOI-DOT"/>
      <sheetName val="Budget"/>
      <sheetName val="F&amp;C"/>
      <sheetName val="EQUI-CONS"/>
      <sheetName val="PROGRAM"/>
      <sheetName val="CASHFLOW"/>
      <sheetName val="DATASHT"/>
      <sheetName val="Up"/>
      <sheetName val="부재치수입력"/>
      <sheetName val="OPT_x0012__x0010_"/>
      <sheetName val="Vehicle Log"/>
      <sheetName val="내역서_耰&quot;_x0006"/>
      <sheetName val="내역서_耰&quot;8"/>
      <sheetName val="내역서_耰&quot;_x00006"/>
      <sheetName val="내역서_耰&quot;_x005f6"/>
      <sheetName val="내역서_耰&quot;_x005f_x0000__x0007"/>
      <sheetName val="내역서_耰&quot;_x005f_x005f_x00007"/>
      <sheetName val="내역서_耰&quot;_x005f_x005f_x005f7"/>
      <sheetName val="내역서_耰&quot;_2"/>
      <sheetName val="당초_∸ἀ"/>
      <sheetName val="내역서 (∮ἀ嘆ɶ_᠀㬁_"/>
      <sheetName val="내역서_(∮ἀ嘆ɶ_᠀㬁_"/>
      <sheetName val="M&amp;E Summary"/>
      <sheetName val="rev summary"/>
      <sheetName val="M&amp;E Prelims"/>
      <sheetName val="A-ELECT&amp;ELV"/>
      <sheetName val="B-FP (2)"/>
      <sheetName val="C-ACMV"/>
      <sheetName val="D-P&amp;S"/>
      <sheetName val="Sch.6"/>
      <sheetName val="equiplist"/>
      <sheetName val="Sch.1"/>
      <sheetName val="재공품기초자료"/>
      <sheetName val="하치장수불부"/>
      <sheetName val="산수배수"/>
      <sheetName val="손익합산"/>
      <sheetName val="5. Work load(현재원기준)"/>
      <sheetName val="MEMBER"/>
      <sheetName val="SoW"/>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Lookup"/>
      <sheetName val="RefG"/>
      <sheetName val="IRR sponsor"/>
      <sheetName val="4-Lane bridge"/>
      <sheetName val="6BPRO"/>
      <sheetName val="2013电气概算 价目表 (营改增调整)"/>
      <sheetName val="06定额"/>
      <sheetName val="TESİSAT"/>
      <sheetName val="1.11.b"/>
      <sheetName val="금융비용"/>
      <sheetName val="을지"/>
      <sheetName val="BazaEL"/>
      <sheetName val="eqpmad2"/>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DESBASTE"/>
      <sheetName val="Cash-Flow"/>
      <sheetName val="Master Data"/>
      <sheetName val="ind'l cp"/>
      <sheetName val="coutprod"/>
      <sheetName val="LAST UPDATE"/>
      <sheetName val="author_spending"/>
      <sheetName val="0.품의서(전체)"/>
      <sheetName val="3.부제O호표"/>
      <sheetName val="5.소모재료비"/>
      <sheetName val="8.시멘트제원표"/>
      <sheetName val="2.품제O호표"/>
      <sheetName val="FitOutConfCentre"/>
      <sheetName val="광통신_견적내역서1"/>
      <sheetName val="변수데이타"/>
      <sheetName val="Settings"/>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Map"/>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304-06"/>
      <sheetName val="name"/>
      <sheetName val="tblg denda"/>
      <sheetName val="F1.4"/>
      <sheetName val="Manpower Categories"/>
      <sheetName val="InD Mpower"/>
      <sheetName val="CodeSheet"/>
      <sheetName val="CodeSheet(신2)"/>
      <sheetName val="내역서(실행)"/>
      <sheetName val="Equipt Rental"/>
      <sheetName val="CFA"/>
      <sheetName val="EQ"/>
      <sheetName val="EQ USED (CORRECTED)"/>
      <sheetName val="CERTIFICATE"/>
      <sheetName val="Rebar Constant"/>
      <sheetName val="CONCRETE TYPE"/>
      <sheetName val="기준표"/>
      <sheetName val="Welder"/>
      <sheetName val="MASTER_RATE ANALYSIS"/>
      <sheetName val="Intro"/>
      <sheetName val="CASHFLOWS"/>
      <sheetName val="MN T.B."/>
      <sheetName val="Headings"/>
      <sheetName val="INDIGINEOUS ITEMS "/>
      <sheetName val="Core Data"/>
      <sheetName val="final abstract"/>
      <sheetName val="Option"/>
      <sheetName val="실행대비"/>
      <sheetName val="Sheet"/>
      <sheetName val="Statprod gab"/>
      <sheetName val="L 1"/>
      <sheetName val="External Issues"/>
      <sheetName val="BSD_᯷㧓"/>
      <sheetName val="Tender_data"/>
      <sheetName val="Scheme_Area_Details_Block___C2"/>
      <sheetName val="Cash_Flow"/>
      <sheetName val="5__월별투입내역서"/>
      <sheetName val="GM_000"/>
      <sheetName val="1_설계기준"/>
      <sheetName val="일위대가_"/>
      <sheetName val="Equip_Mstr"/>
      <sheetName val="Costing"/>
      <sheetName val="Equip_Mstr FOR 3A1"/>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5.Cennik"/>
      <sheetName val="5_Cennik"/>
      <sheetName val="Powierzchnie"/>
      <sheetName val=" 토목 처리장도급내역서 "/>
      <sheetName val="Garph Work-Cost"/>
      <sheetName val="Order_Summary"/>
      <sheetName val="Order_Summary_New"/>
      <sheetName val="Insulation 150108"/>
      <sheetName val="Sheet 14"/>
      <sheetName val="동상부 Tact 기준 반입일정 및 수량_0217"/>
      <sheetName val="견적의뢰"/>
      <sheetName val="영동(D)"/>
      <sheetName val="Tubing"/>
      <sheetName val="대비"/>
      <sheetName val="경영상태"/>
      <sheetName val="MOTORDATA"/>
      <sheetName val="구매DWG-정산용"/>
      <sheetName val="Analisa_Fave"/>
      <sheetName val="Harsat_Bahan"/>
      <sheetName val="Harsat_Subkon"/>
      <sheetName val="Harsat_Upah"/>
      <sheetName val="Agregat_Halus_&amp;_Kasar"/>
      <sheetName val="Master_1_0"/>
      <sheetName val="HARGA_MATERIAL"/>
      <sheetName val="Harga_Sat_APP"/>
      <sheetName val="Rekap Biaya"/>
      <sheetName val="Kuantitas &amp; Harga"/>
      <sheetName val="Nopember (2)"/>
      <sheetName val="Nopember"/>
      <sheetName val="GRAND REKAP"/>
      <sheetName val="HARSAT"/>
      <sheetName val="analisa (2)"/>
      <sheetName val="HargaDasar"/>
      <sheetName val="D-4-Struktur"/>
      <sheetName val="Analisa 2"/>
      <sheetName val="tblg_denda"/>
      <sheetName val="LRK "/>
      <sheetName val="Units"/>
      <sheetName val="Chap 2- Page 4 "/>
      <sheetName val="Instrumentation&amp;Automation"/>
      <sheetName val="SD_Trains_2019"/>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breakdown_of_wage_ra2"/>
      <sheetName val="Finansal_tamamlanma_Eğrisi1"/>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Kodlamalar"/>
      <sheetName val="Kod_Location"/>
      <sheetName val="Eng_Hrs (HO)"/>
      <sheetName val="ENE-CAL"/>
      <sheetName val="원가조정 내역"/>
      <sheetName val="RAB_AR&amp;STR3"/>
      <sheetName val="할증_3"/>
      <sheetName val="BO䁑-B_䁄OWN3"/>
      <sheetName val="내역서_耰&quot;_x005f_x0000__x00004"/>
      <sheetName val="Ocean_Transporation_Charge3"/>
      <sheetName val="Exchange_Rate3"/>
      <sheetName val="99__FWBS(Ref)3"/>
      <sheetName val="99__Change_Rate3"/>
      <sheetName val="UP_MINOR3"/>
      <sheetName val="Cash_Flow_bulanan3"/>
      <sheetName val="H_Satuan3"/>
      <sheetName val="Bill_rekap3"/>
      <sheetName val="2__현장_자금투입_집계표3"/>
      <sheetName val="Item_code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Unt_rate3"/>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General_Notes3"/>
      <sheetName val="_도면_및_도서_제출목록_및_일정_170202_xlsx3"/>
      <sheetName val="Rates_&amp;_Legend3"/>
      <sheetName val="Discounted_Cash_Flow3"/>
      <sheetName val="OCT_FDN3"/>
      <sheetName val="Pengesahan_3"/>
      <sheetName val="Air_Cooler-E2"/>
      <sheetName val="DROP_DOWN2"/>
      <sheetName val="차트_(2)3"/>
      <sheetName val="Harga_Satuan3"/>
      <sheetName val="F_ALARM3"/>
      <sheetName val="DATA_MENTAH2"/>
      <sheetName val="HO_Site_Rates-20112"/>
      <sheetName val="Particular_Sch2"/>
      <sheetName val="Al_Taweelah2"/>
      <sheetName val="ID_CD2"/>
      <sheetName val="Equipment_Spec_List2"/>
      <sheetName val="개시대사_(2)2"/>
      <sheetName val="SPEC_LIST(EQUP,_SYS)2"/>
      <sheetName val="내역서_(N____x000a_3"/>
      <sheetName val="TQ_Format2"/>
      <sheetName val="breakdown_of_wage_raÐ¾2"/>
      <sheetName val="Additional_data2"/>
      <sheetName val="Linelist_LNGC_Process2"/>
      <sheetName val="33628-Rev__A1"/>
      <sheetName val="INPUT_DATA_OF_SCHEDULE1"/>
      <sheetName val="14-Eng_rate1"/>
      <sheetName val="Master_List1"/>
      <sheetName val="Admin_Manu_2-Equipment_Type_ID1"/>
      <sheetName val="Fig_4-14"/>
      <sheetName val="설산1_나"/>
      <sheetName val="BM_#1"/>
      <sheetName val="Itembalance_Report_(18-sep-18)1"/>
      <sheetName val="BUDGET_SUMMARY_1"/>
      <sheetName val="REF_for_VV"/>
      <sheetName val="__x0"/>
      <sheetName val="SECL_리스크_분류체계_(2)"/>
      <sheetName val="Cost_Code"/>
      <sheetName val="Data_Ref"/>
      <sheetName val="Interdept_Rate"/>
      <sheetName val="Tgh_JGC-Inv_I_clp"/>
      <sheetName val="PCS_"/>
      <sheetName val="Progress_Statement-SI"/>
      <sheetName val="Progress_Payment-3110"/>
      <sheetName val="Direct_Histogram_Rev__A_(f)"/>
      <sheetName val="Weekl_1"/>
      <sheetName val="내역서_(N____2"/>
      <sheetName val="내역서_(N____3"/>
      <sheetName val="OPT_1"/>
      <sheetName val="6_공정표"/>
      <sheetName val="Activity_Form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Tables_3_1_to_3_5_EXH_G"/>
      <sheetName val="Perm__Test"/>
      <sheetName val="Galian_1"/>
      <sheetName val="Analisa_Lump_sum"/>
      <sheetName val="Sec_I_ML"/>
      <sheetName val="EQUIPOS_DE_SEGURIDAD"/>
      <sheetName val="MATERIALES_CONSUMIBLES"/>
      <sheetName val="PERSONAL_INDIRECTO_"/>
      <sheetName val="Land_Dev't__Ph-1"/>
      <sheetName val="4300_UTILITY_BLDG_(2)"/>
      <sheetName val="P-Ins_&amp;_Bonds"/>
      <sheetName val="INSTLIST_1"/>
      <sheetName val="List_register"/>
      <sheetName val="Att-1_CTCI_MH_rate"/>
      <sheetName val="64_4"/>
      <sheetName val="64_5"/>
      <sheetName val="36_2"/>
      <sheetName val="36_1"/>
      <sheetName val="SPEC(CABLE_&amp;_WIRE)"/>
      <sheetName val="dongia_(2)"/>
      <sheetName val="Enron_Form"/>
      <sheetName val="SUMMARY_MTO_02_2_35"/>
      <sheetName val="N_G_METERING_CALC_"/>
      <sheetName val="N_G_METERING"/>
      <sheetName val="N_G_METERING_(2)"/>
      <sheetName val="CUMENE_METERING"/>
      <sheetName val="N2_METERING_"/>
      <sheetName val="H2_METERING__"/>
      <sheetName val="CO_METERING"/>
      <sheetName val="SPT_vs_PHI"/>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TR_Rev_vs_Commit"/>
      <sheetName val="TR_+MMHE_PL_report"/>
      <sheetName val="P23P2724___Commitment_"/>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5__Work_load(현재원기준)"/>
      <sheetName val="1_11_b"/>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0_품의서(전체)"/>
      <sheetName val="LAST_UPDATE"/>
      <sheetName val="External_Issues"/>
      <sheetName val="G_R300경비"/>
      <sheetName val="AS포장복구_"/>
      <sheetName val="중기조종사_단위단가"/>
      <sheetName val="설_계"/>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내역서(전체)"/>
      <sheetName val="EXR"/>
      <sheetName val="빙장비사양"/>
      <sheetName val="장비사양"/>
      <sheetName val="철거산출근거"/>
      <sheetName val="Scaffolding Volume"/>
      <sheetName val="Statprod_gab"/>
      <sheetName val="L_1"/>
      <sheetName val="design_criteria3"/>
      <sheetName val="64_41"/>
      <sheetName val="64_51"/>
      <sheetName val="36_21"/>
      <sheetName val="36_11"/>
      <sheetName val="Statprod_gab1"/>
      <sheetName val="L_11"/>
      <sheetName val="Analisa (ok punya)"/>
      <sheetName val="SAT-DAS"/>
      <sheetName val="P2-Project Data"/>
      <sheetName val="Raw Ref"/>
      <sheetName val="Cost Codes"/>
      <sheetName val="Addendum No.1 BILL 2"/>
      <sheetName val="Expenses"/>
      <sheetName val="Code 07"/>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1234"/>
      <sheetName val="P Staff fac"/>
      <sheetName val="beam-reinft-IIInd floor"/>
      <sheetName val="P-Site fac"/>
      <sheetName val="P-Clients fac"/>
      <sheetName val="Drop-Down"/>
      <sheetName val="-0.5 TABLA PRESUPUESTOS"/>
      <sheetName val="Sithe-PPL"/>
      <sheetName val="ﾄﾞﾊﾞｲFUEL GAS追見"/>
      <sheetName val="見積書"/>
      <sheetName val="InsertListDrawing 1 "/>
      <sheetName val="ANAL"/>
      <sheetName val="VAT TU DIEN"/>
      <sheetName val="bldg list"/>
      <sheetName val="당초�ἀ"/>
      <sheetName val="MFG &amp; DEL"/>
      <sheetName val="SKEDULmaterial"/>
      <sheetName val="Up &amp; bhn"/>
      <sheetName val="Str"/>
      <sheetName val="HRG BHN"/>
      <sheetName val="lab_eng"/>
      <sheetName val="eqp"/>
      <sheetName val="lab"/>
      <sheetName val="UPAH"/>
      <sheetName val="pricelist"/>
      <sheetName val="HAL-1"/>
      <sheetName val="a.h ars sum"/>
      <sheetName val="a.h ars"/>
      <sheetName val="3"/>
      <sheetName val="DAF.HRG"/>
      <sheetName val="Urai _Resap pengikat"/>
      <sheetName val="Kolom UT"/>
      <sheetName val="HB "/>
      <sheetName val="7.공정표"/>
      <sheetName val="sdm"/>
      <sheetName val="Alat (2)"/>
      <sheetName val="RAB-NEGO"/>
      <sheetName val="DAF-2"/>
      <sheetName val="Anl"/>
      <sheetName val="AC"/>
      <sheetName val="breakdown of FA113"/>
      <sheetName val="DivLabor_Report"/>
      <sheetName val="Precios_Unitariԯ1"/>
      <sheetName val="PERSONNELIST"/>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집계표_(25,26ဩ12"/>
      <sheetName val="INPUT_DATA12"/>
      <sheetName val="입출재고현황_(2)11"/>
      <sheetName val="Form_012"/>
      <sheetName val="Form_D-111"/>
      <sheetName val="Form_B-111"/>
      <sheetName val="Form_F-111"/>
      <sheetName val="Form_A11"/>
      <sheetName val="General_Data12"/>
      <sheetName val="LABOR_&amp;_자재11"/>
      <sheetName val="Price_Schedule11"/>
      <sheetName val="간접비_총괄11"/>
      <sheetName val="3_공통공사대비11"/>
      <sheetName val="Rate_Analysis11"/>
      <sheetName val="내역서_耰&quot;??11"/>
      <sheetName val="EQUIPMENT_-211"/>
      <sheetName val="CAL_11"/>
      <sheetName val="WEIGHT_LIST10"/>
      <sheetName val="산#2-1_(2)10"/>
      <sheetName val="BEND_LOSS10"/>
      <sheetName val="공사비_내역_(가)10"/>
      <sheetName val="6PILE__(돌출)10"/>
      <sheetName val="단면_(2)10"/>
      <sheetName val="BM_DATA_SHEET10"/>
      <sheetName val="Static_Equip10"/>
      <sheetName val="Form_A_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3_Breakdown_Direct_Paint10"/>
      <sheetName val="내역서_耰&quot;_x005f_x0000__x005f_x0000_10"/>
      <sheetName val="내역서_耰&quot;__11"/>
      <sheetName val="Summary_Sheets10"/>
      <sheetName val="Civil_110"/>
      <sheetName val="Civil_210"/>
      <sheetName val="Civil_310"/>
      <sheetName val="Site_110"/>
      <sheetName val="Site_210"/>
      <sheetName val="Site_310"/>
      <sheetName val="Site_Faci10"/>
      <sheetName val="EQUIP_LIST9"/>
      <sheetName val="Z-_GENERAL_PRICE_SUMMARY9"/>
      <sheetName val="_Estimate__9"/>
      <sheetName val="2_2_STAFF_Scedule9"/>
      <sheetName val="내역서_耰&quot;_x005f_x005f_x005f_x0000__x005f_x005f_x0009"/>
      <sheetName val="계측_내역서9"/>
      <sheetName val="Man_Hole9"/>
      <sheetName val="Sheet1_(2)10"/>
      <sheetName val="내역서_耰&quot;_x005f_x005f_x005f_x005f_x005f_x005f_x00009"/>
      <sheetName val="Administrative_Prices9"/>
      <sheetName val="WBS_449"/>
      <sheetName val="WBS_419"/>
      <sheetName val="Precios_por_Administración9"/>
      <sheetName val="Precios_Unitarios9"/>
      <sheetName val="Subcon_A9"/>
      <sheetName val="7__월별투입내역서9"/>
      <sheetName val="T_39"/>
      <sheetName val="HORI__VESSEL9"/>
      <sheetName val="Vind_-_BtB9"/>
      <sheetName val="LV_induction_motors9"/>
      <sheetName val="BSD_(2)9"/>
      <sheetName val="Monthly_Load9"/>
      <sheetName val="Weekly_Load9"/>
      <sheetName val="MP_MOB9"/>
      <sheetName val="Form_B9"/>
      <sheetName val="Material_Selections9"/>
      <sheetName val="CUADRO_DE_PRECIOS8"/>
      <sheetName val="내역서_耰&quot;_x005f_x005f_x005f_x005f_x005f_x005f_x005f9"/>
      <sheetName val="breakdown_of_wage_rate9"/>
      <sheetName val="Indirect_Cost9"/>
      <sheetName val="97_사업추정(WEKI)9"/>
      <sheetName val="Eq__Mobilization9"/>
      <sheetName val="[SANDAN_XLS??9"/>
      <sheetName val="Piping_BQ_for_one_turbine9"/>
      <sheetName val="Utility_and_Fire_flange9"/>
      <sheetName val="Resource_table9"/>
      <sheetName val="SFN_ORIG9"/>
      <sheetName val="Equipment_List9"/>
      <sheetName val="Form1_SQP9"/>
      <sheetName val="공정계획(내부계획25%,내부w_f)9"/>
      <sheetName val="_SANDAN_XLS__9"/>
      <sheetName val="w't_table9"/>
      <sheetName val="Heavy_Equipments9"/>
      <sheetName val="실행예산_MM8"/>
      <sheetName val="AG_Pipe_Qty_Analysis9"/>
      <sheetName val="SCHEDD_TAMBAHAN9"/>
      <sheetName val="Fire_Protection9"/>
      <sheetName val="입찰내역_발주처_양식9"/>
      <sheetName val="FWBS_15308"/>
      <sheetName val="단가_(2)8"/>
      <sheetName val="4-3LEVEL-5_epic_48"/>
      <sheetName val="BOQ-B_DOWN8"/>
      <sheetName val="Dir_Manpower_Other_Exp_9"/>
      <sheetName val="ITB_COST9"/>
      <sheetName val="내역서_耰&quot;9"/>
      <sheetName val="내역서_(∮ἀ嘆ɶ8"/>
      <sheetName val="MODULE_CONFIRM8"/>
      <sheetName val="Unit_Price_4"/>
      <sheetName val="PROTECTION_8"/>
      <sheetName val="Cash_In-Cash_Out_Actual8"/>
      <sheetName val="내역서1999_8최종4"/>
      <sheetName val="plan&amp;section_of_foundation5"/>
      <sheetName val="working_load_at_the_btm_ft_5"/>
      <sheetName val="stability_check5"/>
      <sheetName val="design_load5"/>
      <sheetName val="Updating_Form-Oct_20114"/>
      <sheetName val="Weld_Consumable4"/>
      <sheetName val="NDE_Cost-Summary4"/>
      <sheetName val="9July_Above_Ground_Pipe4"/>
      <sheetName val="M_114"/>
      <sheetName val="Process_Data_1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Closeout_Control4"/>
      <sheetName val="Direct_PMS4"/>
      <sheetName val="PROJECT_BRIEF4"/>
      <sheetName val="Site_Findings_Status_Sheet4"/>
      <sheetName val="Sum_(Case-3)4"/>
      <sheetName val="Man_Power_&amp;_Comp4"/>
      <sheetName val="Data_List4"/>
      <sheetName val="4-Basic_Price4"/>
      <sheetName val="Evaluasi_Penw4"/>
      <sheetName val="Currency_Rate4"/>
      <sheetName val="5_)_Time_Delays4"/>
      <sheetName val="Aux_4"/>
      <sheetName val="1100-1200-1300-1910-2140-LEV_24"/>
      <sheetName val="Material_Price4"/>
      <sheetName val="내역서_耰&quot;_x005f_x005f_x005f_x0000_4"/>
      <sheetName val="내역서_耰&quot;_x005f_x005f_x005f_x005f_4"/>
      <sheetName val="Codes_Pers4"/>
      <sheetName val="Tools_&amp;_Settings4"/>
      <sheetName val="Data_Summary4"/>
      <sheetName val="Crew_Costs4"/>
      <sheetName val="Spread_Costs4"/>
      <sheetName val="Unique_List_Misc4"/>
      <sheetName val="In-House_Summary4"/>
      <sheetName val="00-Summary_Information-ABB3"/>
      <sheetName val="__4"/>
      <sheetName val="_4"/>
      <sheetName val="breakdown_of_wage_ra`f3"/>
      <sheetName val="breakdown_of_wage_ra3"/>
      <sheetName val="breakdown_of_wage_rað-3"/>
      <sheetName val="Process_Data_(2)4"/>
      <sheetName val="Material_code3"/>
      <sheetName val="내역서_耰&quot;_x005f_x0000_4"/>
      <sheetName val="내역서_耰&quot;_x005f_x005f_4"/>
      <sheetName val="2_Overall_Summary_3"/>
      <sheetName val="0__Resource　Code3"/>
      <sheetName val="breakdown_of_wage_rap3"/>
      <sheetName val="PABS,Site_info3"/>
      <sheetName val="Distribution_Table3"/>
      <sheetName val="Raw_data3"/>
      <sheetName val="Action_Item3"/>
      <sheetName val="내역서_耰&quot;_3"/>
      <sheetName val="Cashflow_Analysis2"/>
      <sheetName val="Finansal_tamamlanma_Eğrisi2"/>
      <sheetName val="Attach_4-182"/>
      <sheetName val="SUM_2"/>
      <sheetName val="내역서_(∮ἀ嘆ɶ?᠀㬁?2"/>
      <sheetName val="광통신_견적내역서12"/>
      <sheetName val="리스크_분류체계2"/>
      <sheetName val="11_자재단가2"/>
      <sheetName val="LIFE_&amp;_REP_PROVN2"/>
      <sheetName val="O&amp;M_CREW2"/>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내역서_(N__x002"/>
      <sheetName val="GM_0001"/>
      <sheetName val="RESUMEN_CD"/>
      <sheetName val="BOQ_REV6"/>
      <sheetName val="Maliyet_Ozet"/>
      <sheetName val="1_1-1_2"/>
      <sheetName val="1_3-_1_4"/>
      <sheetName val="3_1"/>
      <sheetName val="3_2"/>
      <sheetName val="4_1(a)"/>
      <sheetName val="4_1(b)"/>
      <sheetName val="4_1_(c)"/>
      <sheetName val="5_1"/>
      <sheetName val="Tender_data1"/>
      <sheetName val="Scheme_Area_Details_Block___C21"/>
      <sheetName val="Cash_Flow1"/>
      <sheetName val="5__월별투입내역서1"/>
      <sheetName val="일위대가_1"/>
      <sheetName val="1_설계기준1"/>
      <sheetName val="2013电气概算_价目表_(营改增调整)"/>
      <sheetName val="CONCRETE_TYPE"/>
      <sheetName val="Sch_6"/>
      <sheetName val="IRR_sponsor"/>
      <sheetName val="4-Lane_bridge"/>
      <sheetName val="Existing_PC_Pavement"/>
      <sheetName val="List_Equip"/>
      <sheetName val="Process_C_(1-166)"/>
      <sheetName val="Master_Data"/>
      <sheetName val="ind'l_cp"/>
      <sheetName val="TRUCK_HAUL_CYCLE-waste"/>
      <sheetName val="Equipt_Rental"/>
      <sheetName val="EQ_USED_(CORRECTED)"/>
      <sheetName val="Rebar_Constant"/>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내역서_(N____11"/>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0_5_TABLA_PRESUPUESTOS"/>
      <sheetName val="ﾄﾞﾊﾞｲFUEL_GAS追見"/>
      <sheetName val="Pomoćni"/>
      <sheetName val="breakdown_of_wage_ra3"/>
      <sheetName val="SI-1"/>
      <sheetName val="revenue"/>
      <sheetName val="sga"/>
      <sheetName val="engineering"/>
      <sheetName val="Item_code4"/>
      <sheetName val="design_criteria4"/>
      <sheetName val="RAB_AR&amp;STR4"/>
      <sheetName val="내역서_耰&quot;_x005f_x0000__x00005"/>
      <sheetName val="할증_4"/>
      <sheetName val="Air_Cooler-E3"/>
      <sheetName val="2__현장_자금투입_집계표4"/>
      <sheetName val="UP_MINOR4"/>
      <sheetName val="Equip_Rental_Summary_by_Contr4"/>
      <sheetName val="Project_Equip_Rental_Summary4"/>
      <sheetName val="Contractor_Indirect_Sumry4"/>
      <sheetName val="Project_Indirect_Sumry4"/>
      <sheetName val="COA_Sumry_by_Area4"/>
      <sheetName val="COA_Sumry_by_Contr4"/>
      <sheetName val="COA_Sumry_by_RG4"/>
      <sheetName val="TDC_COA_Grp_Sumry4"/>
      <sheetName val="TDC_COA_Grp_Sumry_by_Area4"/>
      <sheetName val="TDC_COA_Grp_Sumry_by_RG4"/>
      <sheetName val="Equipment_Sumry4"/>
      <sheetName val="TDC_Item_Dets-Full4"/>
      <sheetName val="TDC_Item_Dets-IPM-Full4"/>
      <sheetName val="TDC_Item_Sumry_by_Area4"/>
      <sheetName val="TDC_Item_Sumry_by_RG4"/>
      <sheetName val="TDC_Key_Qty_Sumry_by_RG4"/>
      <sheetName val="List_-_Equipment_by_Area4"/>
      <sheetName val="List_-_Equipment_by_Contr4"/>
      <sheetName val="Equipment_-_Unit_Costs_by_Mat4"/>
      <sheetName val="List_-_Equipment_by_Rep_Grp4"/>
      <sheetName val="Craft_Summary_by_Contr4"/>
      <sheetName val="Project_Craft_Summary4"/>
      <sheetName val="Project_Metrics4"/>
      <sheetName val="99__FWBS(Ref)4"/>
      <sheetName val="99__Change_Rate4"/>
      <sheetName val="Unt_rate4"/>
      <sheetName val="SUMMARY_(0A)4"/>
      <sheetName val="SUMMARY_(1A)4"/>
      <sheetName val="SUMMARY_(1B)4"/>
      <sheetName val="SUMMARY_(03)4"/>
      <sheetName val="F1(Cable_Rack)4"/>
      <sheetName val="F2(Cable_Rack)4"/>
      <sheetName val="F3(Cable_Rack)4"/>
      <sheetName val="F1_(POLYMER)4"/>
      <sheetName val="F2_(POLYMER)4"/>
      <sheetName val="F3_(POLYMER)4"/>
      <sheetName val="F4_(POLYMER)4"/>
      <sheetName val="F5(_Polymerization_)4"/>
      <sheetName val="F6_(_Polymerization_)4"/>
      <sheetName val="B1_(Grid_A-7,_-6)4"/>
      <sheetName val="B1_(Grid_A,_B)4"/>
      <sheetName val="B1_(Grid_C-7,_-6)4"/>
      <sheetName val="B2_(Grid_-7_B,_C)_(1)4"/>
      <sheetName val="B2_(Grid_-7_B,_C)_(2)4"/>
      <sheetName val="B2_(Grid_-6_B,_C)_(1)4"/>
      <sheetName val="B2_(Grid_-6_B,_C)_(2)4"/>
      <sheetName val="F1_(MONOMER)4"/>
      <sheetName val="F2_(MONOMER)4"/>
      <sheetName val="F3_(MONOMER)4"/>
      <sheetName val="90K060C_(MONOMER)4"/>
      <sheetName val="F1_(EXTRUSION)4"/>
      <sheetName val="F2_(EXTRUSION)4"/>
      <sheetName val="F3_(EXTRUSION)4"/>
      <sheetName val="F4_(EXTRUSION)4"/>
      <sheetName val="F5_(EXTRUSION)4"/>
      <sheetName val="F6A_(EXTRUSION)4"/>
      <sheetName val="F6D_(EXTRUSION)4"/>
      <sheetName val="F7_(EXTRUSION)4"/>
      <sheetName val="F8_(EXTRUSION)4"/>
      <sheetName val="F9_(EXTRUSION)4"/>
      <sheetName val="F10_(EXTRUSION)4"/>
      <sheetName val="F11_(EXTRUSION)4"/>
      <sheetName val="B1_(Grid_F-5`,_4`)4"/>
      <sheetName val="B2_(Grid_F,E-4`)4"/>
      <sheetName val="B2_(Grid_F,E-5`)4"/>
      <sheetName val="B3_(Grid_C,B-4`)4"/>
      <sheetName val="B4_(Grid_B,A-4`)4"/>
      <sheetName val="B5_(Grid_E-5`)_&amp;_(Grid_D-5`)4"/>
      <sheetName val="B6_(Grid_E,D-5')4"/>
      <sheetName val="B7_(Grid_E,D-5')4"/>
      <sheetName val="95D040,_A5064"/>
      <sheetName val="95P040AB,_A5074"/>
      <sheetName val="95X020-U08,_A6024"/>
      <sheetName val="95X020-U07,_A6064"/>
      <sheetName val="95E040,_A5094"/>
      <sheetName val="95D024;025,_A6154"/>
      <sheetName val="95X020-U05,_A6014"/>
      <sheetName val="95X020-U02,_A2044"/>
      <sheetName val="Extruder_FDN4"/>
      <sheetName val="BOG_COMP__FDN4"/>
      <sheetName val="SOG_COMP__FDN4"/>
      <sheetName val="1G1_(Ground_Beam)4"/>
      <sheetName val="1G2-1(Ground_Beam)4"/>
      <sheetName val="1G2-2(Ground_Beam)4"/>
      <sheetName val="P15,_164"/>
      <sheetName val="LO_CONSOLE_FDN4"/>
      <sheetName val="OIL_COOLER_FDN4"/>
      <sheetName val="CW_CONSOLE_FDN_(SOG)4"/>
      <sheetName val="PD3_(SOG)4"/>
      <sheetName val="SF1_(SOG)4"/>
      <sheetName val="SF2_(SOG)4"/>
      <sheetName val="SLAB_(1S1-1)4"/>
      <sheetName val="SLAB_(1S1-2)4"/>
      <sheetName val="SLAB_(1S1-3)4"/>
      <sheetName val="COLUMN_(+5500)4"/>
      <sheetName val="COLUMN_(+12500)4"/>
      <sheetName val="COLUMN_(+15500)4"/>
      <sheetName val="ETC_4"/>
      <sheetName val="Discounted_Cash_Flow4"/>
      <sheetName val="Ocean_Transporation_Charge4"/>
      <sheetName val="Cash_Flow_bulanan4"/>
      <sheetName val="H_Satuan4"/>
      <sheetName val="OCT_FDN4"/>
      <sheetName val="General_Notes4"/>
      <sheetName val="BO䁑-B_䁄OWN4"/>
      <sheetName val="_도면_및_도서_제출목록_및_일정_170202_xlsx4"/>
      <sheetName val="Rates_&amp;_Legend4"/>
      <sheetName val="Pengesahan_4"/>
      <sheetName val="Harga_Satuan4"/>
      <sheetName val="F_ALARM4"/>
      <sheetName val="Exchange_Rate4"/>
      <sheetName val="Bill_rekap4"/>
      <sheetName val="차트_(2)4"/>
      <sheetName val="DATA_MENTAH3"/>
      <sheetName val="Equipment_Spec_List3"/>
      <sheetName val="SPEC_LIST(EQUP,_SYS)3"/>
      <sheetName val="DROP_DOWN3"/>
      <sheetName val="ID_CD3"/>
      <sheetName val="개시대사_(2)3"/>
      <sheetName val="내역서_(N____x000a_4"/>
      <sheetName val="HO_Site_Rates-20113"/>
      <sheetName val="Al_Taweelah3"/>
      <sheetName val="Particular_Sch3"/>
      <sheetName val="5__Work_load(현재원기준)1"/>
      <sheetName val="Linelist_LNGC_Process3"/>
      <sheetName val="Direct_Histogram_Rev__A_(f)1"/>
      <sheetName val="Fig_4-141"/>
      <sheetName val="설산1_나1"/>
      <sheetName val="Tables_3_1_to_3_5_EXH_G1"/>
      <sheetName val="EQUIPOS_DE_SEGURIDAD1"/>
      <sheetName val="MATERIALES_CONSUMIBLES1"/>
      <sheetName val="PERSONAL_INDIRECTO_1"/>
      <sheetName val="BM_#11"/>
      <sheetName val="SECL_리스크_분류체계_(2)1"/>
      <sheetName val="Cost_Code1"/>
      <sheetName val="Data_Ref1"/>
      <sheetName val="Interdept_Rate1"/>
      <sheetName val="Analisa_Fave1"/>
      <sheetName val="Harsat_Bahan1"/>
      <sheetName val="Harsat_Subkon1"/>
      <sheetName val="Harsat_Upah1"/>
      <sheetName val="Master_1_01"/>
      <sheetName val="Agregat_Halus_&amp;_Kasar1"/>
      <sheetName val="HARGA_MATERIAL1"/>
      <sheetName val="Harga_Sat_APP1"/>
      <sheetName val="Tgh_JGC-Inv_I_clp1"/>
      <sheetName val="PCS_1"/>
      <sheetName val="Progress_Statement-SI1"/>
      <sheetName val="Progress_Payment-31101"/>
      <sheetName val="REF_for_VV1"/>
      <sheetName val="Weekl_2"/>
      <sheetName val="내역서_(N____4"/>
      <sheetName val="__x01"/>
      <sheetName val="OPT_2"/>
      <sheetName val="INSTLIST_11"/>
      <sheetName val="Land_Dev't__Ph-11"/>
      <sheetName val="4300_UTILITY_BLDG_(2)1"/>
      <sheetName val="P-Ins_&amp;_Bonds1"/>
      <sheetName val="Perm__Test1"/>
      <sheetName val="Galian_11"/>
      <sheetName val="Analisa_Lump_sum1"/>
      <sheetName val="Sec_I_ML1"/>
      <sheetName val="List_register1"/>
      <sheetName val="Att-1_CTCI_MH_rate1"/>
      <sheetName val="dongia_(2)1"/>
      <sheetName val="KUWATI(Total)_14"/>
      <sheetName val="집계표_(TOTAL)14"/>
      <sheetName val="집계표_(CIVIL-23)14"/>
      <sheetName val="집계표_(FGRU)14"/>
      <sheetName val="집계표_(25,26)14"/>
      <sheetName val="집계표_(MEROX)14"/>
      <sheetName val="집계표_(NITROGEN)14"/>
      <sheetName val="집계표_(M4)14"/>
      <sheetName val="집계표_(CIVIL4)14"/>
      <sheetName val="집계표_(CIVIL6)14"/>
      <sheetName val="집계표_(CIVIL7)14"/>
      <sheetName val="내역서(DEMO_TOTAL)14"/>
      <sheetName val="내역서_(CIVIL-23)14"/>
      <sheetName val="내역서_(fgru)14"/>
      <sheetName val="내역서_(25&amp;26)14"/>
      <sheetName val="내역서_(MEROX)14"/>
      <sheetName val="내역서_(NITROGEN)14"/>
      <sheetName val="내역서_(M4)14"/>
      <sheetName val="내역서_(CIVIL-4)14"/>
      <sheetName val="내역서_(CIVIL-6)14"/>
      <sheetName val="내역서_(CIVIL-7)14"/>
      <sheetName val="OPTION_214"/>
      <sheetName val="OPTION_314"/>
      <sheetName val="2002년_현장공사비_국내_실적14"/>
      <sheetName val="2003년국내현장공사비_실적14"/>
      <sheetName val="VC2_10_9914"/>
      <sheetName val="WEIGHT_LIST11"/>
      <sheetName val="산#2-1_(2)11"/>
      <sheetName val="BEND_LOSS11"/>
      <sheetName val="INPUT_DATA13"/>
      <sheetName val="집계표_(25,26ဩ13"/>
      <sheetName val="Form_013"/>
      <sheetName val="General_Data13"/>
      <sheetName val="LABOR_&amp;_자재12"/>
      <sheetName val="입출재고현황_(2)12"/>
      <sheetName val="Form_D-112"/>
      <sheetName val="Form_B-112"/>
      <sheetName val="Form_F-112"/>
      <sheetName val="Form_A12"/>
      <sheetName val="3_공통공사대비12"/>
      <sheetName val="간접비_총괄12"/>
      <sheetName val="Price_Schedule12"/>
      <sheetName val="CAL_12"/>
      <sheetName val="Rate_Analysis12"/>
      <sheetName val="단면_(2)11"/>
      <sheetName val="EQUIPMENT_-212"/>
      <sheetName val="공사비_내역_(가)11"/>
      <sheetName val="내역서_耰&quot;??12"/>
      <sheetName val="내역서_耰&quot;_x005f_x0000__x005f_x0000_11"/>
      <sheetName val="6PILE__(돌출)11"/>
      <sheetName val="Static_Equip11"/>
      <sheetName val="Form_A_11"/>
      <sheetName val="3_Breakdown_Direct_Paint11"/>
      <sheetName val="내역서_耰&quot;__12"/>
      <sheetName val="Summary_Sheets11"/>
      <sheetName val="Civil_111"/>
      <sheetName val="Civil_211"/>
      <sheetName val="Civil_311"/>
      <sheetName val="Site_111"/>
      <sheetName val="Site_211"/>
      <sheetName val="Site_311"/>
      <sheetName val="Site_Faci11"/>
      <sheetName val="7__월별투입내역서10"/>
      <sheetName val="Man_Hole10"/>
      <sheetName val="Sheet1_(2)11"/>
      <sheetName val="Áý°èÇ¥_(TOTAL)10"/>
      <sheetName val="Áý°èÇ¥_(CIVIL-23)10"/>
      <sheetName val="Áý°èÇ¥_(FGRU)10"/>
      <sheetName val="Áý°èÇ¥_(25,26)10"/>
      <sheetName val="Áý°èÇ¥_(MEROX)10"/>
      <sheetName val="Áý°èÇ¥_(NITROGEN)10"/>
      <sheetName val="Áý°èÇ¥_(M4)10"/>
      <sheetName val="Áý°èÇ¥_(CIVIL4)10"/>
      <sheetName val="Áý°èÇ¥_(CIVIL6)10"/>
      <sheetName val="Áý°èÇ¥_(CIVIL7)10"/>
      <sheetName val="³»¿ª¼­(DEMO_TOTAL)10"/>
      <sheetName val="³»¿ª¼­_(CIVIL-23)10"/>
      <sheetName val="³»¿ª¼­_(fgru)10"/>
      <sheetName val="³»¿ª¼­_(25&amp;26)10"/>
      <sheetName val="³»¿ª¼­_(MEROX)10"/>
      <sheetName val="³»¿ª¼­_(NITROGEN)10"/>
      <sheetName val="³»¿ª¼­_(M4)10"/>
      <sheetName val="³»¿ª¼­_(CIVIL-4)10"/>
      <sheetName val="³»¿ª¼­_(CIVIL-6)10"/>
      <sheetName val="³»¿ª¼­_(CIVIL-7)10"/>
      <sheetName val="2002³â_ÇöÀå°ø»çºñ_±¹³»_½ÇÀû10"/>
      <sheetName val="2003³â±¹³»ÇöÀå°ø»çºñ_½ÇÀû10"/>
      <sheetName val="계측_내역서10"/>
      <sheetName val="내역서_耰&quot;_x005f_x005f_x005f_x0000__x005f_x005f_x0010"/>
      <sheetName val="2_2_STAFF_Scedule10"/>
      <sheetName val="내역서_耰&quot;_x005f_x005f_x005f_x005f_x005f_x005f_x00010"/>
      <sheetName val="Z-_GENERAL_PRICE_SUMMARY10"/>
      <sheetName val="_Estimate__10"/>
      <sheetName val="T_310"/>
      <sheetName val="HORI__VESSEL10"/>
      <sheetName val="MP_MOB10"/>
      <sheetName val="BM_DATA_SHEET11"/>
      <sheetName val="w't_table10"/>
      <sheetName val="Administrative_Prices10"/>
      <sheetName val="WBS_4410"/>
      <sheetName val="WBS_4110"/>
      <sheetName val="Precios_por_Administración10"/>
      <sheetName val="Precios_Unitarios10"/>
      <sheetName val="Subcon_A10"/>
      <sheetName val="EQUIP_LIST10"/>
      <sheetName val="Vind_-_BtB10"/>
      <sheetName val="LV_induction_motors10"/>
      <sheetName val="BSD_(2)10"/>
      <sheetName val="Form_B10"/>
      <sheetName val="내역서_耰&quot;_x005f_x005f_x005f_x005f_x005f_x005f_x00510"/>
      <sheetName val="97_사업추정(WEKI)10"/>
      <sheetName val="[SANDAN_XLS??10"/>
      <sheetName val="Eq__Mobilization10"/>
      <sheetName val="Monthly_Load10"/>
      <sheetName val="Weekly_Load10"/>
      <sheetName val="breakdown_of_wage_rate10"/>
      <sheetName val="Indirect_Cost10"/>
      <sheetName val="Material_Selections10"/>
      <sheetName val="Piping_BQ_for_one_turbine10"/>
      <sheetName val="Item_code5"/>
      <sheetName val="공정계획(내부계획25%,내부w_f)10"/>
      <sheetName val="Utility_and_Fire_flange10"/>
      <sheetName val="SFN_ORIG10"/>
      <sheetName val="Resource_table10"/>
      <sheetName val="AG_Pipe_Qty_Analysis10"/>
      <sheetName val="Equipment_List10"/>
      <sheetName val="Form1_SQP10"/>
      <sheetName val="_SANDAN_XLS__10"/>
      <sheetName val="Heavy_Equipments10"/>
      <sheetName val="입찰내역_발주처_양식10"/>
      <sheetName val="BOQ-B_DOWN9"/>
      <sheetName val="실행예산_MM9"/>
      <sheetName val="Dir_Manpower_Other_Exp_10"/>
      <sheetName val="SCHEDD_TAMBAHAN10"/>
      <sheetName val="Fire_Protection10"/>
      <sheetName val="단가_(2)9"/>
      <sheetName val="4-3LEVEL-5_epic_49"/>
      <sheetName val="FWBS_15309"/>
      <sheetName val="MODULE_CONFIRM9"/>
      <sheetName val="내역서_(∮ἀ嘆ɶ9"/>
      <sheetName val="ITB_COST10"/>
      <sheetName val="PROTECTION_9"/>
      <sheetName val="Cash_In-Cash_Out_Actual9"/>
      <sheetName val="5_)_Time_Delays5"/>
      <sheetName val="Site_Findings_Status_Sheet5"/>
      <sheetName val="CUADRO_DE_PRECIOS9"/>
      <sheetName val="plan&amp;section_of_foundation6"/>
      <sheetName val="working_load_at_the_btm_ft_6"/>
      <sheetName val="stability_check6"/>
      <sheetName val="design_criteria5"/>
      <sheetName val="design_load6"/>
      <sheetName val="1100-1200-1300-1910-2140-LEV_25"/>
      <sheetName val="Material_Price5"/>
      <sheetName val="TDC_COA_Sumry5"/>
      <sheetName val="TDC_Item_Dets5"/>
      <sheetName val="TDC_Item_Sumry5"/>
      <sheetName val="TDC_Key_Qty_Sumry5"/>
      <sheetName val="List_-_Components5"/>
      <sheetName val="List_-_Equipment5"/>
      <sheetName val="COA_Sumry_-_Std_Imp5"/>
      <sheetName val="Contr_TDC_-_Std_Imp5"/>
      <sheetName val="Item_Sumry_-_Std_Imp5"/>
      <sheetName val="Unit_Costs_-_Std_Imp5"/>
      <sheetName val="Unit_MH_-_Std_Imp5"/>
      <sheetName val="Proj_TIC_-_Std_Imp5"/>
      <sheetName val="내역서1999_8최종5"/>
      <sheetName val="Closeout_Control5"/>
      <sheetName val="Currency_Rate5"/>
      <sheetName val="Unit_Price_5"/>
      <sheetName val="4-Basic_Price5"/>
      <sheetName val="Evaluasi_Penw5"/>
      <sheetName val="Man_Power_&amp;_Comp5"/>
      <sheetName val="Data_List5"/>
      <sheetName val="RAB_AR&amp;STR5"/>
      <sheetName val="PROJECT_BRIEF5"/>
      <sheetName val="내역서_耰&quot;_x005f_x005f_x005f_x0000_5"/>
      <sheetName val="내역서_耰&quot;_x005f_x005f_x005f_x005f_5"/>
      <sheetName val="내역서_耰&quot;_x005f_x0000__x00006"/>
      <sheetName val="Updating_Form-Oct_20115"/>
      <sheetName val="Weld_Consumable5"/>
      <sheetName val="NDE_Cost-Summary5"/>
      <sheetName val="9July_Above_Ground_Pipe5"/>
      <sheetName val="M_115"/>
      <sheetName val="Process_Data_15"/>
      <sheetName val="Sum_(Case-3)5"/>
      <sheetName val="할증_5"/>
      <sheetName val="Air_Cooler-E4"/>
      <sheetName val="2__현장_자금투입_집계표5"/>
      <sheetName val="Tools_&amp;_Settings5"/>
      <sheetName val="Data_Summary5"/>
      <sheetName val="Crew_Costs5"/>
      <sheetName val="Spread_Costs5"/>
      <sheetName val="Unique_List_Misc5"/>
      <sheetName val="UP_MINOR5"/>
      <sheetName val="Equip_Rental_Summary_by_Contr5"/>
      <sheetName val="Project_Equip_Rental_Summary5"/>
      <sheetName val="Contractor_Indirect_Sumry5"/>
      <sheetName val="Project_Indirect_Sumry5"/>
      <sheetName val="COA_Sumry_by_Area5"/>
      <sheetName val="COA_Sumry_by_Contr5"/>
      <sheetName val="COA_Sumry_by_RG5"/>
      <sheetName val="TDC_COA_Grp_Sumry5"/>
      <sheetName val="TDC_COA_Grp_Sumry_by_Area5"/>
      <sheetName val="TDC_COA_Grp_Sumry_by_RG5"/>
      <sheetName val="Equipment_Sumry5"/>
      <sheetName val="TDC_Item_Dets-Full5"/>
      <sheetName val="TDC_Item_Dets-IPM-Full5"/>
      <sheetName val="TDC_Item_Sumry_by_Area5"/>
      <sheetName val="TDC_Item_Sumry_by_RG5"/>
      <sheetName val="TDC_Key_Qty_Sumry_by_RG5"/>
      <sheetName val="List_-_Equipment_by_Area5"/>
      <sheetName val="List_-_Equipment_by_Contr5"/>
      <sheetName val="Equipment_-_Unit_Costs_by_Mat5"/>
      <sheetName val="List_-_Equipment_by_Rep_Grp5"/>
      <sheetName val="Craft_Summary_by_Contr5"/>
      <sheetName val="Project_Craft_Summary5"/>
      <sheetName val="Project_Metrics5"/>
      <sheetName val="99__FWBS(Ref)5"/>
      <sheetName val="99__Change_Rate5"/>
      <sheetName val="In-House_Summary5"/>
      <sheetName val="Unt_rate5"/>
      <sheetName val="SUMMARY_(0A)5"/>
      <sheetName val="SUMMARY_(1A)5"/>
      <sheetName val="SUMMARY_(1B)5"/>
      <sheetName val="SUMMARY_(03)5"/>
      <sheetName val="F1(Cable_Rack)5"/>
      <sheetName val="F2(Cable_Rack)5"/>
      <sheetName val="F3(Cable_Rack)5"/>
      <sheetName val="F1_(POLYMER)5"/>
      <sheetName val="F2_(POLYMER)5"/>
      <sheetName val="F3_(POLYMER)5"/>
      <sheetName val="F4_(POLYMER)5"/>
      <sheetName val="F5(_Polymerization_)5"/>
      <sheetName val="F6_(_Polymerization_)5"/>
      <sheetName val="B1_(Grid_A-7,_-6)5"/>
      <sheetName val="B1_(Grid_A,_B)5"/>
      <sheetName val="B1_(Grid_C-7,_-6)5"/>
      <sheetName val="B2_(Grid_-7_B,_C)_(1)5"/>
      <sheetName val="B2_(Grid_-7_B,_C)_(2)5"/>
      <sheetName val="B2_(Grid_-6_B,_C)_(1)5"/>
      <sheetName val="B2_(Grid_-6_B,_C)_(2)5"/>
      <sheetName val="F1_(MONOMER)5"/>
      <sheetName val="F2_(MONOMER)5"/>
      <sheetName val="F3_(MONOMER)5"/>
      <sheetName val="90K060C_(MONOMER)5"/>
      <sheetName val="F1_(EXTRUSION)5"/>
      <sheetName val="F2_(EXTRUSION)5"/>
      <sheetName val="F3_(EXTRUSION)5"/>
      <sheetName val="F4_(EXTRUSION)5"/>
      <sheetName val="F5_(EXTRUSION)5"/>
      <sheetName val="F6A_(EXTRUSION)5"/>
      <sheetName val="F6D_(EXTRUSION)5"/>
      <sheetName val="F7_(EXTRUSION)5"/>
      <sheetName val="F8_(EXTRUSION)5"/>
      <sheetName val="F9_(EXTRUSION)5"/>
      <sheetName val="F10_(EXTRUSION)5"/>
      <sheetName val="F11_(EXTRUSION)5"/>
      <sheetName val="B1_(Grid_F-5`,_4`)5"/>
      <sheetName val="B2_(Grid_F,E-4`)5"/>
      <sheetName val="B2_(Grid_F,E-5`)5"/>
      <sheetName val="B3_(Grid_C,B-4`)5"/>
      <sheetName val="B4_(Grid_B,A-4`)5"/>
      <sheetName val="B5_(Grid_E-5`)_&amp;_(Grid_D-5`)5"/>
      <sheetName val="B6_(Grid_E,D-5')5"/>
      <sheetName val="B7_(Grid_E,D-5')5"/>
      <sheetName val="95D040,_A5065"/>
      <sheetName val="95P040AB,_A5075"/>
      <sheetName val="95X020-U08,_A6025"/>
      <sheetName val="95X020-U07,_A6065"/>
      <sheetName val="95E040,_A5095"/>
      <sheetName val="95D024;025,_A6155"/>
      <sheetName val="95X020-U05,_A6015"/>
      <sheetName val="95X020-U02,_A2045"/>
      <sheetName val="Extruder_FDN5"/>
      <sheetName val="BOG_COMP__FDN5"/>
      <sheetName val="SOG_COMP__FDN5"/>
      <sheetName val="1G1_(Ground_Beam)5"/>
      <sheetName val="1G2-1(Ground_Beam)5"/>
      <sheetName val="1G2-2(Ground_Beam)5"/>
      <sheetName val="P15,_165"/>
      <sheetName val="LO_CONSOLE_FDN5"/>
      <sheetName val="OIL_COOLER_FDN5"/>
      <sheetName val="CW_CONSOLE_FDN_(SOG)5"/>
      <sheetName val="PD3_(SOG)5"/>
      <sheetName val="SF1_(SOG)5"/>
      <sheetName val="SF2_(SOG)5"/>
      <sheetName val="SLAB_(1S1-1)5"/>
      <sheetName val="SLAB_(1S1-2)5"/>
      <sheetName val="SLAB_(1S1-3)5"/>
      <sheetName val="COLUMN_(+5500)5"/>
      <sheetName val="COLUMN_(+12500)5"/>
      <sheetName val="COLUMN_(+15500)5"/>
      <sheetName val="ETC_5"/>
      <sheetName val="Discounted_Cash_Flow5"/>
      <sheetName val="Ocean_Transporation_Charge5"/>
      <sheetName val="Cash_Flow_bulanan5"/>
      <sheetName val="H_Satuan5"/>
      <sheetName val="OCT_FDN5"/>
      <sheetName val="Codes_Pers5"/>
      <sheetName val="General_Notes5"/>
      <sheetName val="BO䁑-B_䁄OWN5"/>
      <sheetName val="_도면_및_도서_제출목록_및_일정_170202_xlsx5"/>
      <sheetName val="Direct_PMS5"/>
      <sheetName val="Aux_5"/>
      <sheetName val="Rates_&amp;_Legend5"/>
      <sheetName val="Pengesahan_5"/>
      <sheetName val="00-Summary_Information-ABB4"/>
      <sheetName val="Harga_Satuan5"/>
      <sheetName val="F_ALARM5"/>
      <sheetName val="Distribution_Table4"/>
      <sheetName val="2_Overall_Summary_4"/>
      <sheetName val="__5"/>
      <sheetName val="_5"/>
      <sheetName val="breakdown_of_wage_ra`f4"/>
      <sheetName val="breakdown_of_wage_ra4"/>
      <sheetName val="breakdown_of_wage_rað-4"/>
      <sheetName val="Raw_data4"/>
      <sheetName val="Exchange_Rate5"/>
      <sheetName val="Bill_rekap5"/>
      <sheetName val="차트_(2)5"/>
      <sheetName val="Action_Item4"/>
      <sheetName val="PABS,Site_info4"/>
      <sheetName val="0__Resource　Code4"/>
      <sheetName val="Material_code4"/>
      <sheetName val="DATA_MENTAH4"/>
      <sheetName val="breakdown_of_wage_rap4"/>
      <sheetName val="내역서_耰&quot;_x005f_x0000_5"/>
      <sheetName val="내역서_耰&quot;_x005f_x005f_5"/>
      <sheetName val="Process_Data_(2)5"/>
      <sheetName val="breakdown_of_wage_ra4"/>
      <sheetName val="HO_Site_Rates-20114"/>
      <sheetName val="Particular_Sch4"/>
      <sheetName val="내역서_耰&quot;_4"/>
      <sheetName val="DROP_DOWN4"/>
      <sheetName val="Al_Taweelah4"/>
      <sheetName val="ID_CD4"/>
      <sheetName val="Equipment_Spec_List4"/>
      <sheetName val="개시대사_(2)4"/>
      <sheetName val="SPEC_LIST(EQUP,_SYS)4"/>
      <sheetName val="내역서_(N____x000a_5"/>
      <sheetName val="INPUT_DATA_OF_SCHEDULE2"/>
      <sheetName val="Linelist_LNGC_Process4"/>
      <sheetName val="SUM_3"/>
      <sheetName val="Tender_data2"/>
      <sheetName val="TQ_Format3"/>
      <sheetName val="breakdown_of_wage_raÐ¾3"/>
      <sheetName val="Additional_data3"/>
      <sheetName val="33628-Rev__A2"/>
      <sheetName val="Master_List2"/>
      <sheetName val="Cash_Flow2"/>
      <sheetName val="Scheme_Area_Details_Block___C22"/>
      <sheetName val="14-Eng_rate2"/>
      <sheetName val="Admin_Manu_2-Equipment_Type_ID2"/>
      <sheetName val="Fig_4-142"/>
      <sheetName val="GM_0002"/>
      <sheetName val="Itembalance_Report_(18-sep-18)2"/>
      <sheetName val="BUDGET_SUMMARY_2"/>
      <sheetName val="Activity_Form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Tables_3_1_to_3_5_EXH_G2"/>
      <sheetName val="EQUIPOS_DE_SEGURIDAD2"/>
      <sheetName val="MATERIALES_CONSUMIBLES2"/>
      <sheetName val="PERSONAL_INDIRECTO_2"/>
      <sheetName val="설산1_나2"/>
      <sheetName val="일위대가_2"/>
      <sheetName val="SECL_리스크_분류체계_(2)2"/>
      <sheetName val="5__월별투입내역서2"/>
      <sheetName val="1_설계기준2"/>
      <sheetName val="BM_#12"/>
      <sheetName val="Cost_Code2"/>
      <sheetName val="Data_Ref2"/>
      <sheetName val="Interdept_Rate2"/>
      <sheetName val="REF_for_VV2"/>
      <sheetName val="Weekl_3"/>
      <sheetName val="내역서_(N____5"/>
      <sheetName val="내역서_(N____6"/>
      <sheetName val="__x02"/>
      <sheetName val="OPT_3"/>
      <sheetName val="P-Ins_&amp;_Bonds2"/>
      <sheetName val="Land_Dev't__Ph-12"/>
      <sheetName val="4300_UTILITY_BLDG_(2)2"/>
      <sheetName val="INSTLIST_12"/>
      <sheetName val="Analisa_Fave2"/>
      <sheetName val="Harsat_Bahan2"/>
      <sheetName val="Harsat_Subkon2"/>
      <sheetName val="Harsat_Upah2"/>
      <sheetName val="Master_1_02"/>
      <sheetName val="Agregat_Halus_&amp;_Kasar2"/>
      <sheetName val="HARGA_MATERIAL2"/>
      <sheetName val="Harga_Sat_APP2"/>
      <sheetName val="Tgh_JGC-Inv_I_clp2"/>
      <sheetName val="PCS_2"/>
      <sheetName val="Progress_Statement-SI2"/>
      <sheetName val="Progress_Payment-31102"/>
      <sheetName val="Direct_Histogram_Rev__A_(f)2"/>
      <sheetName val="List_register2"/>
      <sheetName val="Att-1_CTCI_MH_rate2"/>
      <sheetName val="Perm__Test2"/>
      <sheetName val="Galian_12"/>
      <sheetName val="Analisa_Lump_sum2"/>
      <sheetName val="Sec_I_ML2"/>
      <sheetName val="dongia_(2)2"/>
      <sheetName val="64_42"/>
      <sheetName val="64_52"/>
      <sheetName val="36_22"/>
      <sheetName val="36_12"/>
      <sheetName val="5__Work_load(현재원기준)2"/>
      <sheetName val="공통비총괄표"/>
      <sheetName val="FC04_2030"/>
      <sheetName val="FC04_203099"/>
      <sheetName val="TABLE-A"/>
      <sheetName val="PCV"/>
      <sheetName val="Dsr Hitung"/>
      <sheetName val="내역서_(N   _"/>
      <sheetName val="Mat Tower"/>
      <sheetName val="RT13526 CPI"/>
      <sheetName val="RT15918"/>
      <sheetName val="OE (KSB)"/>
      <sheetName val="TEST1"/>
      <sheetName val="Sew-Tahan"/>
      <sheetName val="Mobilisasi"/>
      <sheetName val="Default"/>
      <sheetName val="harga"/>
      <sheetName val="4-MVAC"/>
      <sheetName val="G_SUMMARY"/>
      <sheetName val="Memb Schd"/>
      <sheetName val="PPC"/>
      <sheetName val="Tableau"/>
      <sheetName val="Coef et données"/>
      <sheetName val="SAP"/>
      <sheetName val="Pag_hal"/>
      <sheetName val="SAT-BHN"/>
      <sheetName val="Load"/>
      <sheetName val="Data_ST"/>
      <sheetName val="VV_Ped"/>
      <sheetName val="DPKlah"/>
      <sheetName val="HARVEST02"/>
      <sheetName val="Inputs - Results"/>
      <sheetName val="CONTENT"/>
      <sheetName val="GENERAL "/>
      <sheetName val="Spec"/>
      <sheetName val="PCT"/>
      <sheetName val="Comb"/>
      <sheetName val="Tank Loading"/>
      <sheetName val="Fdn Calc"/>
      <sheetName val="PHT"/>
      <sheetName val="Resume"/>
      <sheetName val="ATTACHMENT"/>
      <sheetName val="LATERAL OCDI BH-02"/>
      <sheetName val="Lateral Broms"/>
      <sheetName val="N-SPT corr"/>
      <sheetName val="Curve N-SPT"/>
      <sheetName val="COST BD"/>
      <sheetName val="Peralatan"/>
      <sheetName val="MSP-Operator Building-Area C"/>
      <sheetName val="galian saluran"/>
      <sheetName val="Ana. PU"/>
      <sheetName val="tr-28202"/>
      <sheetName val="Statprod_gab2"/>
      <sheetName val="L_12"/>
      <sheetName val="Analisa_(ok_punya)"/>
      <sheetName val="Perhit.Alat"/>
      <sheetName val="CF"/>
      <sheetName val="05 Analisa Teknik"/>
      <sheetName val="내역ࠜĀ_x005f"/>
      <sheetName val="내역서 耰&quot;_x005f"/>
      <sheetName val="_x005f_x005f_x005f_x005F_x005f_x005f_"/>
      <sheetName val="당초?ἀ"/>
      <sheetName val="_x0004_?_x000d_?_x0003_?_x0004_?_x0016_?_x000d_?_x0004_"/>
      <sheetName val="_x000a_?_x001b_?_x0006_?_x0006_?_x0008_?_x000a_??"/>
      <sheetName val="내역서_耰&quot;_x005f"/>
      <sheetName val=" ?_x001b_?_x0006_?_x0006_?_x0008_? ??"/>
      <sheetName val="Weekl_x0004_?_x0016_?_x000d_?"/>
      <sheetName val="?_x000e_?_x0005_"/>
      <sheetName val="_x0002_?뻘N??_"/>
      <sheetName val="_x0004_?_x000d_?_x0"/>
      <sheetName val="_x000a_?_x001b_?_x0"/>
      <sheetName val="7422CW_x0013_?"/>
      <sheetName val="OPT_x0012_?_x0010_?_x000a_?"/>
      <sheetName val="?_x0013_?_x0014_"/>
      <sheetName val="Analisa SNI STANDART "/>
      <sheetName val="Site"/>
      <sheetName val="MRS"/>
      <sheetName val="P&amp;L"/>
      <sheetName val="Monthly S Curve SPK"/>
      <sheetName val="Schedul"/>
      <sheetName val="1.B"/>
      <sheetName val="EVAL-ANAL"/>
      <sheetName val="div-6"/>
      <sheetName val="RKP"/>
      <sheetName val="div-2"/>
      <sheetName val="GAEYO"/>
      <sheetName val="CEQ_Master"/>
      <sheetName val="Man_Master"/>
      <sheetName val="여흥"/>
      <sheetName val="Diary"/>
      <sheetName val="RSC"/>
      <sheetName val="TTL_Qty"/>
      <sheetName val="QTY"/>
      <sheetName val="Week ending"/>
      <sheetName val="Planners Workload"/>
      <sheetName val="Setup"/>
      <sheetName val="@"/>
      <sheetName val="05__Curva_S1"/>
      <sheetName val="Other_data"/>
      <sheetName val="SWALE (구산)"/>
      <sheetName val="뜃맟뭁돽띿맟-BLDG"/>
      <sheetName val="(OPTION)"/>
      <sheetName val="¢ç¢®¡¿"/>
      <sheetName val="¢ç"/>
      <sheetName val="¡§"/>
      <sheetName val="¢ç¢®¢¯"/>
      <sheetName val="®¡¿"/>
      <sheetName val="SANDAN.XLS"/>
      <sheetName val="SANDAN_XLS"/>
      <sheetName val="SANDAN_XLS1"/>
      <sheetName val="SANDAN_XLS2"/>
      <sheetName val="-BLDG"/>
      <sheetName val="SANDAN_XLS3"/>
      <sheetName val="SANDAN_XLS4"/>
      <sheetName val="SANDAN_XLS5"/>
      <sheetName val="SANDAN_XLS6"/>
      <sheetName val="SANDAN_XLS7"/>
      <sheetName val="Tabla"/>
      <sheetName val="배합비(99-05-25)"/>
      <sheetName val="UPAH &amp; BHN ARS"/>
      <sheetName val="AHS ARS"/>
      <sheetName val="Analisa HSP"/>
      <sheetName val="입찰내역 발주처 양卤"/>
      <sheetName val="Analisa Neraca"/>
      <sheetName val="Condition"/>
      <sheetName val="InD_Mpower"/>
      <sheetName val="내역서_(∮ἀ嘆ɶ_᠀㬁_1"/>
      <sheetName val="สรุปยอดเหล็กตาม_Cost_Record_VY_"/>
      <sheetName val="แนบ_PR"/>
      <sheetName val="OR21_Final_Forecast_Rev_2"/>
      <sheetName val="Summary_Forecast_Budget_1&amp;2"/>
      <sheetName val="Summary_Forecast_Budget_Rev_2"/>
      <sheetName val="Backup_OR21_"/>
      <sheetName val="Budget_for_ENT"/>
      <sheetName val="ADJ__D-Wall&amp;BR_Ent__Rev_2_1"/>
      <sheetName val="Rebar+Conพื้น_Waste10%"/>
      <sheetName val="Backup_D-Wall_Ent__13_07_19"/>
      <sheetName val="Backup_BR_ENT__13_07_19"/>
      <sheetName val="Final_Forecast_72111"/>
      <sheetName val="IMP_OR21_2019_07_11"/>
      <sheetName val="Concrete_72112"/>
      <sheetName val="หินเกล็ด_"/>
      <sheetName val="เปรียบเทียบBudget_BR_"/>
      <sheetName val="ADJ__BR_Ent__Rev_2_1_(2)"/>
      <sheetName val="แผนงานBarrette_Pile"/>
      <sheetName val="BOQ__VI_03_09_19_"/>
      <sheetName val="Backup_BR_BMA"/>
      <sheetName val="Sum_Budget&amp;Rev_1"/>
      <sheetName val="Sum_Budget_Rev_1"/>
      <sheetName val="Sum_Budget&amp;Rev_1_Rebar"/>
      <sheetName val="Sum_Budget_Rev_2_Rebar"/>
      <sheetName val="Rebar+Conพื้น_Waste10%_Rev_00"/>
      <sheetName val="Rebar+Conพื้น_Waste10%_Rev_01_"/>
      <sheetName val="Equip_Rev_00_Budget"/>
      <sheetName val="Budget_Waterpoofing"/>
      <sheetName val="ABB_Summary"/>
      <sheetName val="Man_power_rate"/>
      <sheetName val="Const_equip_rate"/>
      <sheetName val="01-Gang_Rate_&amp;_Info"/>
      <sheetName val="05-Sum_Cost"/>
      <sheetName val="06-Indirect_Loading"/>
      <sheetName val="07-Heavy_Equipment"/>
      <sheetName val="08-RR_Check_List"/>
      <sheetName val="1)_Risk_and_Opportunities"/>
      <sheetName val="2)_Full_Cost_Calculation"/>
      <sheetName val="F1_4"/>
      <sheetName val="tblg_denda1"/>
      <sheetName val="LRK_"/>
      <sheetName val="Insulation_150108"/>
      <sheetName val="Vehicle_Log"/>
      <sheetName val="M&amp;E_Summary"/>
      <sheetName val="rev_summary"/>
      <sheetName val="M&amp;E_Prelims"/>
      <sheetName val="B-FP_(2)"/>
      <sheetName val="Sch_1"/>
      <sheetName val="PLSt 03  "/>
      <sheetName val="П 7 курс аванса"/>
      <sheetName val="IncStat 03-04"/>
      <sheetName val="IncStat 03  "/>
      <sheetName val="Авансы по СНГ"/>
      <sheetName val="09월"/>
      <sheetName val="10월"/>
      <sheetName val="자금신청서"/>
      <sheetName val="ENE-CAL 1"/>
      <sheetName val="매립"/>
      <sheetName val="phuluc1"/>
      <sheetName val="TONGKE1P"/>
      <sheetName val="TKThep"/>
      <sheetName val="Bang KL"/>
      <sheetName val="소화실적"/>
      <sheetName val="계수"/>
      <sheetName val="수주계획('22)"/>
      <sheetName val="수주계획(22)"/>
      <sheetName val="전계가"/>
      <sheetName val="Monomers"/>
      <sheetName val="BQ_E20_02_Rp_"/>
      <sheetName val="ANAL.BOW"/>
      <sheetName val="Isolasi Luar Dalam"/>
      <sheetName val="Isolasi Luar"/>
      <sheetName val="график финансирования"/>
      <sheetName val="내역서_(N___ 2"/>
      <sheetName val="파이프류"/>
      <sheetName val="변수"/>
      <sheetName val="CAP"/>
      <sheetName val="Data Ref."/>
      <sheetName val="KKS System Codes"/>
      <sheetName val="Price Schedule Code"/>
      <sheetName val="REF.ONLY"/>
      <sheetName val="Assmpns"/>
      <sheetName val="일위"/>
      <sheetName val="JGSummit Package 2 (CTCI)"/>
      <sheetName val="Appendix A"/>
      <sheetName val="MAY 00-Bobbins"/>
      <sheetName val="BALAN1"/>
      <sheetName val="2.2 띠장의 설계"/>
      <sheetName val="(10) Other Costs5"/>
      <sheetName val="7.6.3.J.Inline Instrument"/>
      <sheetName val="F-31"/>
      <sheetName val="6.2 Floor Finishes"/>
      <sheetName val="Addition-ProtectionSummary"/>
      <sheetName val="Project D"/>
      <sheetName val="ARCH"/>
      <sheetName val="Tender Summary"/>
      <sheetName val="SPT_vs_PHI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05__Curva_S2"/>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Other_data1"/>
      <sheetName val="RESUMEN_CD1"/>
      <sheetName val="BOQ_REV61"/>
      <sheetName val="Maliyet_Ozet1"/>
      <sheetName val="1_1-1_21"/>
      <sheetName val="1_3-_1_41"/>
      <sheetName val="3_11"/>
      <sheetName val="3_21"/>
      <sheetName val="4_1(a)1"/>
      <sheetName val="4_1(b)1"/>
      <sheetName val="4_1_(c)1"/>
      <sheetName val="5_11"/>
      <sheetName val="Consortium_VP1"/>
      <sheetName val="Summary_MONTH1"/>
      <sheetName val="DESICON_SUM1"/>
      <sheetName val="DES_TCF_Rental1"/>
      <sheetName val="DES_TCF_Maints_pers1"/>
      <sheetName val="DES_TCF_Heavy_Equipment1"/>
      <sheetName val="BANK_BOND1"/>
      <sheetName val="PHC_WAREHOUSE_-_INFOONLY1"/>
      <sheetName val="CATERING_CONTROL1"/>
      <sheetName val="SUB_CONTRACT1"/>
      <sheetName val="SPDC_-_INFONLY1"/>
      <sheetName val="VENDOR_SCHEDUL1"/>
      <sheetName val="VENDOR_PRESENCE_-_COMM1"/>
      <sheetName val="VENDOR_PRESENCE_-_RECH1"/>
      <sheetName val="VENDOR_PRESENCE_-_COMM_1"/>
      <sheetName val="CONTRACT_RATES1"/>
      <sheetName val="SPEC(CABLE_&amp;_WIRE)1"/>
      <sheetName val="Enron_Form1"/>
      <sheetName val="SUMMARY_MTO_02_2_351"/>
      <sheetName val="N_G_METERING_CALC_1"/>
      <sheetName val="N_G_METERING1"/>
      <sheetName val="N_G_METERING_(2)1"/>
      <sheetName val="CUMENE_METERING1"/>
      <sheetName val="N2_METERING_1"/>
      <sheetName val="H2_METERING__1"/>
      <sheetName val="CO_METERING1"/>
      <sheetName val="6_공정표1"/>
      <sheetName val="Bill_4_7_Predestain_Bridge_1"/>
      <sheetName val="Bill_4_7_Predestain1"/>
      <sheetName val="1_1_FT_type_11"/>
      <sheetName val="1_2_FT_type_1A1"/>
      <sheetName val="1_3_FT_type_21"/>
      <sheetName val="1_4_FT_type_31"/>
      <sheetName val="1_5_FT_type_41"/>
      <sheetName val="2_1_CL_Outside1"/>
      <sheetName val="2_2_CL_Inside1"/>
      <sheetName val="2_3_CL_Ramp1"/>
      <sheetName val="3_1_CB_Outside1"/>
      <sheetName val="3_2_CB_Inside1"/>
      <sheetName val="4_Stair1"/>
      <sheetName val="5_Ramp1"/>
      <sheetName val="6_Handrail1"/>
      <sheetName val="Invoice_(Interim_No_28)1"/>
      <sheetName val="Cost_Summary1"/>
      <sheetName val="Direct_Cost1"/>
      <sheetName val="Direct_Cost_(2)1"/>
      <sheetName val="Summary_(3)1"/>
      <sheetName val="Indirect_Cost_Summary1"/>
      <sheetName val="1_11_b1"/>
      <sheetName val="5_Cennik1"/>
      <sheetName val="XZLC003_PART1"/>
      <sheetName val="INPUT_TABLE"/>
      <sheetName val="LDB"/>
      <sheetName val="8-31-98"/>
      <sheetName val="combined 9-30"/>
      <sheetName val="worksheet inchican"/>
      <sheetName val="combined_9-30"/>
      <sheetName val="worksheet_inchican"/>
      <sheetName val="combined_9-301"/>
      <sheetName val="worksheet_inchican1"/>
      <sheetName val="8_31_98"/>
      <sheetName val="combined 9_30"/>
      <sheetName val="bar chart-rev"/>
      <sheetName val="combined_9_30"/>
      <sheetName val="bar_chart-rev"/>
      <sheetName val="combined_9_301"/>
      <sheetName val="bar_chart-rev1"/>
      <sheetName val="MATERIAL'S PRICE"/>
      <sheetName val="combined_9-303"/>
      <sheetName val="worksheet_inchican3"/>
      <sheetName val="combined_9_303"/>
      <sheetName val="bar_chart-rev3"/>
      <sheetName val="MATERIAL'S_PRICE1"/>
      <sheetName val="combined_9-302"/>
      <sheetName val="worksheet_inchican2"/>
      <sheetName val="combined_9_302"/>
      <sheetName val="bar_chart-rev2"/>
      <sheetName val="MATERIAL'S_PRICE"/>
      <sheetName val="arch-derivation"/>
      <sheetName val="Schedule S-Curve Revision#3"/>
      <sheetName val="Schedule_S-Curve_Revision#31"/>
      <sheetName val="Schedule_S-Curve_Revision#3"/>
      <sheetName val="PC &amp; PVS"/>
      <sheetName val="combined_9-304"/>
      <sheetName val="worksheet_inchican4"/>
      <sheetName val="combined_9_304"/>
      <sheetName val="bar_chart-rev4"/>
      <sheetName val="MATERIAL'S_PRICE2"/>
      <sheetName val="combined_9-305"/>
      <sheetName val="worksheet_inchican5"/>
      <sheetName val="combined_9_305"/>
      <sheetName val="bar_chart-rev5"/>
      <sheetName val="MATERIAL'S_PRICE3"/>
      <sheetName val="2.223M_due to adj profit"/>
      <sheetName val="derive"/>
      <sheetName val="Factor"/>
      <sheetName val="deriv"/>
      <sheetName val="Inchican Road Accomplishment"/>
      <sheetName val="Bill3-Basement"/>
      <sheetName val="combined_9-306"/>
      <sheetName val="worksheet_inchican6"/>
      <sheetName val="combined_9_306"/>
      <sheetName val="bar_chart-rev6"/>
      <sheetName val="MATERIAL'S_PRICE4"/>
      <sheetName val="Schedule_S-Curve_Revision#32"/>
      <sheetName val="PC_&amp;_PVS"/>
      <sheetName val="combined_9-307"/>
      <sheetName val="worksheet_inchican7"/>
      <sheetName val="combined_9_307"/>
      <sheetName val="bar_chart-rev7"/>
      <sheetName val="MATERIAL'S_PRICE5"/>
      <sheetName val="Schedule_S-Curve_Revision#33"/>
      <sheetName val="PC_&amp;_PVS1"/>
      <sheetName val="combined_9-308"/>
      <sheetName val="worksheet_inchican8"/>
      <sheetName val="combined_9_308"/>
      <sheetName val="bar_chart-rev8"/>
      <sheetName val="MATERIAL'S_PRICE6"/>
      <sheetName val="Schedule_S-Curve_Revision#34"/>
      <sheetName val="PC_&amp;_PVS2"/>
      <sheetName val="Shut down"/>
      <sheetName val="Building"/>
      <sheetName val="HSBC"/>
      <sheetName val="bill 2"/>
      <sheetName val="combined_9-309"/>
      <sheetName val="worksheet_inchican9"/>
      <sheetName val="combined_9_309"/>
      <sheetName val="bar_chart-rev9"/>
      <sheetName val="MATERIAL'S_PRICE7"/>
      <sheetName val="Schedule_S-Curve_Revision#36"/>
      <sheetName val="Schedule_S-Curve_Revision#35"/>
      <sheetName val="P2P"/>
      <sheetName val="combined_9-3010"/>
      <sheetName val="worksheet_inchican10"/>
      <sheetName val="combined_9_3010"/>
      <sheetName val="bar_chart-rev10"/>
      <sheetName val="MATERIAL'S_PRICE8"/>
      <sheetName val="PC_&amp;_PVS4"/>
      <sheetName val="PC_&amp;_PVS3"/>
      <sheetName val="factors"/>
      <sheetName val="s-31-98"/>
      <sheetName val="sorksheet inchican"/>
      <sheetName val="sombined 9-30"/>
      <sheetName val="30120302(PT3)-Nov"/>
      <sheetName val="S-Curve"/>
      <sheetName val="OPT1"/>
      <sheetName val="03"/>
      <sheetName val="REBAR"/>
      <sheetName val="PH 5"/>
      <sheetName val="Inchican_Road_Accomplishment"/>
      <sheetName val="Inchican_Road_Accomplishment2"/>
      <sheetName val="4-Lane_bridge2"/>
      <sheetName val="Inchican_Road_Accomplishment1"/>
      <sheetName val="4-Lane_bridge1"/>
      <sheetName val="MU"/>
      <sheetName val="CONTRACT-SUM"/>
      <sheetName val="remaining billing"/>
      <sheetName val="Hac.Lots"/>
      <sheetName val="Res.Lots"/>
      <sheetName val="Spine Road"/>
      <sheetName val="CSA"/>
      <sheetName val="INPUT DATA HERE"/>
      <sheetName val="combined_9-3011"/>
      <sheetName val="worksheet_inchican11"/>
      <sheetName val="combined_9_3011"/>
      <sheetName val="bar_chart-rev11"/>
      <sheetName val="MATERIAL'S_PRICE9"/>
      <sheetName val="Schedule_S-Curve_Revision#37"/>
      <sheetName val="PC_&amp;_PVS5"/>
      <sheetName val="2_223M_due_to_adj_profit"/>
      <sheetName val="bill_2"/>
      <sheetName val="Shut_down"/>
      <sheetName val="sorksheet_inchican"/>
      <sheetName val="sombined_9-30"/>
      <sheetName val="PH_5"/>
      <sheetName val="conditions"/>
      <sheetName val="openings"/>
      <sheetName val="option Y1"/>
      <sheetName val="Poundage"/>
      <sheetName val="4-Lane_bridge3"/>
      <sheetName val="Inchican_Road_Accomplishment3"/>
      <sheetName val="Land_Dev't__Ph-13"/>
      <sheetName val="remaining_billing"/>
      <sheetName val="Hac_Lots"/>
      <sheetName val="Res_Lots"/>
      <sheetName val="Spine_Road"/>
      <sheetName val="derivationB2&amp;B3"/>
      <sheetName val="Summary (overall)"/>
      <sheetName val="breakdown"/>
      <sheetName val="Adimi bldg"/>
      <sheetName val="Pump House"/>
      <sheetName val="Fuel Regu Station"/>
      <sheetName val="combined_9-3012"/>
      <sheetName val="worksheet_inchican12"/>
      <sheetName val="combined_9_3012"/>
      <sheetName val="bar_chart-rev12"/>
      <sheetName val="MATERIAL'S_PRICE10"/>
      <sheetName val="Schedule_S-Curve_Revision#38"/>
      <sheetName val="PC_&amp;_PVS6"/>
      <sheetName val="2_223M_due_to_adj_profit1"/>
      <sheetName val="4-Lane_bridge4"/>
      <sheetName val="Inchican_Road_Accomplishment4"/>
      <sheetName val="Land_Dev't__Ph-14"/>
      <sheetName val="bill_21"/>
      <sheetName val="Shut_down1"/>
      <sheetName val="sorksheet_inchican1"/>
      <sheetName val="sombined_9-301"/>
      <sheetName val="PH_51"/>
      <sheetName val="remaining_billing1"/>
      <sheetName val="Hac_Lots1"/>
      <sheetName val="Res_Lots1"/>
      <sheetName val="Spine_Road1"/>
      <sheetName val="INPUT_DATA_HERE"/>
      <sheetName val="option_Y1"/>
      <sheetName val="combined_9-3013"/>
      <sheetName val="worksheet_inchican13"/>
      <sheetName val="combined_9_3013"/>
      <sheetName val="bar_chart-rev13"/>
      <sheetName val="MATERIAL'S_PRICE11"/>
      <sheetName val="Schedule_S-Curve_Revision#39"/>
      <sheetName val="PC_&amp;_PVS7"/>
      <sheetName val="2_223M_due_to_adj_profit2"/>
      <sheetName val="4-Lane_bridge5"/>
      <sheetName val="Inchican_Road_Accomplishment5"/>
      <sheetName val="Land_Dev't__Ph-15"/>
      <sheetName val="bill_22"/>
      <sheetName val="Shut_down2"/>
      <sheetName val="sorksheet_inchican2"/>
      <sheetName val="sombined_9-302"/>
      <sheetName val="PH_52"/>
      <sheetName val="remaining_billing2"/>
      <sheetName val="Hac_Lots2"/>
      <sheetName val="Res_Lots2"/>
      <sheetName val="Spine_Road2"/>
      <sheetName val="INPUT_DATA_HERE1"/>
      <sheetName val="option_Y11"/>
      <sheetName val="combined_9-3014"/>
      <sheetName val="worksheet_inchican14"/>
      <sheetName val="combined_9_3014"/>
      <sheetName val="bar_chart-rev14"/>
      <sheetName val="MATERIAL'S_PRICE12"/>
      <sheetName val="Schedule_S-Curve_Revision#310"/>
      <sheetName val="PC_&amp;_PVS8"/>
      <sheetName val="2_223M_due_to_adj_profit3"/>
      <sheetName val="4-Lane_bridge6"/>
      <sheetName val="Inchican_Road_Accomplishment6"/>
      <sheetName val="Land_Dev't__Ph-16"/>
      <sheetName val="bill_23"/>
      <sheetName val="Shut_down3"/>
      <sheetName val="sorksheet_inchican3"/>
      <sheetName val="sombined_9-303"/>
      <sheetName val="PH_53"/>
      <sheetName val="remaining_billing3"/>
      <sheetName val="Hac_Lots3"/>
      <sheetName val="Res_Lots3"/>
      <sheetName val="Spine_Road3"/>
      <sheetName val="INPUT_DATA_HERE2"/>
      <sheetName val="option_Y12"/>
      <sheetName val="combined_9-3015"/>
      <sheetName val="worksheet_inchican15"/>
      <sheetName val="combined_9_3015"/>
      <sheetName val="bar_chart-rev15"/>
      <sheetName val="MATERIAL'S_PRICE13"/>
      <sheetName val="Schedule_S-Curve_Revision#311"/>
      <sheetName val="PC_&amp;_PVS9"/>
      <sheetName val="2_223M_due_to_adj_profit4"/>
      <sheetName val="4-Lane_bridge7"/>
      <sheetName val="Inchican_Road_Accomplishment7"/>
      <sheetName val="Land_Dev't__Ph-17"/>
      <sheetName val="bill_24"/>
      <sheetName val="Shut_down4"/>
      <sheetName val="sorksheet_inchican4"/>
      <sheetName val="sombined_9-304"/>
      <sheetName val="PH_54"/>
      <sheetName val="remaining_billing4"/>
      <sheetName val="Hac_Lots4"/>
      <sheetName val="Res_Lots4"/>
      <sheetName val="Spine_Road4"/>
      <sheetName val="INPUT_DATA_HERE3"/>
      <sheetName val="option_Y13"/>
      <sheetName val="combined_9-3016"/>
      <sheetName val="worksheet_inchican16"/>
      <sheetName val="combined_9_3016"/>
      <sheetName val="bar_chart-rev16"/>
      <sheetName val="MATERIAL'S_PRICE14"/>
      <sheetName val="Schedule_S-Curve_Revision#312"/>
      <sheetName val="PC_&amp;_PVS10"/>
      <sheetName val="2_223M_due_to_adj_profit5"/>
      <sheetName val="4-Lane_bridge8"/>
      <sheetName val="Inchican_Road_Accomplishment8"/>
      <sheetName val="Land_Dev't__Ph-18"/>
      <sheetName val="bill_25"/>
      <sheetName val="Shut_down5"/>
      <sheetName val="sorksheet_inchican5"/>
      <sheetName val="sombined_9-305"/>
      <sheetName val="PH_55"/>
      <sheetName val="remaining_billing5"/>
      <sheetName val="Hac_Lots5"/>
      <sheetName val="Res_Lots5"/>
      <sheetName val="Spine_Road5"/>
      <sheetName val="INPUT_DATA_HERE4"/>
      <sheetName val="option_Y14"/>
      <sheetName val="combined_9-3017"/>
      <sheetName val="worksheet_inchican17"/>
      <sheetName val="combined_9_3017"/>
      <sheetName val="bar_chart-rev17"/>
      <sheetName val="MATERIAL'S_PRICE15"/>
      <sheetName val="Schedule_S-Curve_Revision#313"/>
      <sheetName val="PC_&amp;_PVS11"/>
      <sheetName val="2_223M_due_to_adj_profit6"/>
      <sheetName val="Material_Price6"/>
      <sheetName val="4-Lane_bridge9"/>
      <sheetName val="Inchican_Road_Accomplishment9"/>
      <sheetName val="Land_Dev't__Ph-19"/>
      <sheetName val="bill_26"/>
      <sheetName val="Shut_down6"/>
      <sheetName val="sorksheet_inchican6"/>
      <sheetName val="sombined_9-306"/>
      <sheetName val="PH_56"/>
      <sheetName val="remaining_billing6"/>
      <sheetName val="Hac_Lots6"/>
      <sheetName val="Res_Lots6"/>
      <sheetName val="Spine_Road6"/>
      <sheetName val="INPUT_DATA_HERE5"/>
      <sheetName val="option_Y15"/>
      <sheetName val="combined_9-3018"/>
      <sheetName val="worksheet_inchican18"/>
      <sheetName val="combined_9_3018"/>
      <sheetName val="bar_chart-rev18"/>
      <sheetName val="MATERIAL'S_PRICE16"/>
      <sheetName val="Schedule_S-Curve_Revision#314"/>
      <sheetName val="PC_&amp;_PVS12"/>
      <sheetName val="2_223M_due_to_adj_profit7"/>
      <sheetName val="Material_Price7"/>
      <sheetName val="4-Lane_bridge10"/>
      <sheetName val="Inchican_Road_Accomplishment10"/>
      <sheetName val="Land_Dev't__Ph-110"/>
      <sheetName val="bill_27"/>
      <sheetName val="Shut_down7"/>
      <sheetName val="remaining_billing7"/>
      <sheetName val="Hac_Lots7"/>
      <sheetName val="Res_Lots7"/>
      <sheetName val="Spine_Road7"/>
      <sheetName val="sorksheet_inchican7"/>
      <sheetName val="sombined_9-307"/>
      <sheetName val="INPUT_DATA_HERE6"/>
      <sheetName val="PH_57"/>
      <sheetName val="option_Y16"/>
      <sheetName val="combined_9-3019"/>
      <sheetName val="worksheet_inchican19"/>
      <sheetName val="combined_9_3019"/>
      <sheetName val="bar_chart-rev19"/>
      <sheetName val="MATERIAL'S_PRICE17"/>
      <sheetName val="Schedule_S-Curve_Revision#315"/>
      <sheetName val="PC_&amp;_PVS13"/>
      <sheetName val="2_223M_due_to_adj_profit8"/>
      <sheetName val="Material_Price8"/>
      <sheetName val="4-Lane_bridge11"/>
      <sheetName val="Inchican_Road_Accomplishment11"/>
      <sheetName val="Land_Dev't__Ph-111"/>
      <sheetName val="bill_28"/>
      <sheetName val="Shut_down8"/>
      <sheetName val="sorksheet_inchican8"/>
      <sheetName val="sombined_9-308"/>
      <sheetName val="PH_58"/>
      <sheetName val="remaining_billing8"/>
      <sheetName val="Hac_Lots8"/>
      <sheetName val="Res_Lots8"/>
      <sheetName val="Spine_Road8"/>
      <sheetName val="INPUT_DATA_HERE7"/>
      <sheetName val="option_Y17"/>
      <sheetName val="combined_9-3020"/>
      <sheetName val="worksheet_inchican20"/>
      <sheetName val="combined_9_3020"/>
      <sheetName val="bar_chart-rev20"/>
      <sheetName val="MATERIAL'S_PRICE18"/>
      <sheetName val="Schedule_S-Curve_Revision#316"/>
      <sheetName val="PC_&amp;_PVS14"/>
      <sheetName val="2_223M_due_to_adj_profit9"/>
      <sheetName val="Material_Price9"/>
      <sheetName val="4-Lane_bridge12"/>
      <sheetName val="Inchican_Road_Accomplishment12"/>
      <sheetName val="Land_Dev't__Ph-112"/>
      <sheetName val="bill_29"/>
      <sheetName val="Shut_down9"/>
      <sheetName val="sorksheet_inchican9"/>
      <sheetName val="sombined_9-309"/>
      <sheetName val="PH_59"/>
      <sheetName val="remaining_billing9"/>
      <sheetName val="Hac_Lots9"/>
      <sheetName val="Res_Lots9"/>
      <sheetName val="Spine_Road9"/>
      <sheetName val="INPUT_DATA_HERE8"/>
      <sheetName val="option_Y18"/>
      <sheetName val="combined_9-3021"/>
      <sheetName val="worksheet_inchican21"/>
      <sheetName val="combined_9_3021"/>
      <sheetName val="bar_chart-rev21"/>
      <sheetName val="MATERIAL'S_PRICE19"/>
      <sheetName val="Schedule_S-Curve_Revision#317"/>
      <sheetName val="PC_&amp;_PVS15"/>
      <sheetName val="2_223M_due_to_adj_profit10"/>
      <sheetName val="Material_Price10"/>
      <sheetName val="4-Lane_bridge13"/>
      <sheetName val="Inchican_Road_Accomplishment13"/>
      <sheetName val="Land_Dev't__Ph-113"/>
      <sheetName val="bill_210"/>
      <sheetName val="Shut_down10"/>
      <sheetName val="sorksheet_inchican10"/>
      <sheetName val="sombined_9-3010"/>
      <sheetName val="PH_510"/>
      <sheetName val="remaining_billing10"/>
      <sheetName val="Hac_Lots10"/>
      <sheetName val="Res_Lots10"/>
      <sheetName val="Spine_Road10"/>
      <sheetName val="INPUT_DATA_HERE9"/>
      <sheetName val="option_Y19"/>
      <sheetName val="combined_9-3022"/>
      <sheetName val="worksheet_inchican22"/>
      <sheetName val="combined_9_3022"/>
      <sheetName val="bar_chart-rev22"/>
      <sheetName val="MATERIAL'S_PRICE20"/>
      <sheetName val="Schedule_S-Curve_Revision#318"/>
      <sheetName val="PC_&amp;_PVS16"/>
      <sheetName val="2_223M_due_to_adj_profit11"/>
      <sheetName val="Material_Price11"/>
      <sheetName val="4-Lane_bridge14"/>
      <sheetName val="Inchican_Road_Accomplishment14"/>
      <sheetName val="Land_Dev't__Ph-114"/>
      <sheetName val="bill_211"/>
      <sheetName val="Shut_down11"/>
      <sheetName val="sorksheet_inchican11"/>
      <sheetName val="sombined_9-3011"/>
      <sheetName val="PH_511"/>
      <sheetName val="remaining_billing11"/>
      <sheetName val="Hac_Lots11"/>
      <sheetName val="Res_Lots11"/>
      <sheetName val="Spine_Road11"/>
      <sheetName val="INPUT_DATA_HERE10"/>
      <sheetName val="option_Y110"/>
      <sheetName val="combined_9-3023"/>
      <sheetName val="worksheet_inchican23"/>
      <sheetName val="combined_9_3023"/>
      <sheetName val="bar_chart-rev23"/>
      <sheetName val="MATERIAL'S_PRICE21"/>
      <sheetName val="Schedule_S-Curve_Revision#319"/>
      <sheetName val="PC_&amp;_PVS17"/>
      <sheetName val="2_223M_due_to_adj_profit12"/>
      <sheetName val="Material_Price12"/>
      <sheetName val="4-Lane_bridge15"/>
      <sheetName val="Inchican_Road_Accomplishment15"/>
      <sheetName val="Land_Dev't__Ph-115"/>
      <sheetName val="bill_212"/>
      <sheetName val="Shut_down12"/>
      <sheetName val="sorksheet_inchican12"/>
      <sheetName val="sombined_9-3012"/>
      <sheetName val="PH_512"/>
      <sheetName val="remaining_billing12"/>
      <sheetName val="Hac_Lots12"/>
      <sheetName val="Res_Lots12"/>
      <sheetName val="Spine_Road12"/>
      <sheetName val="INPUT_DATA_HERE11"/>
      <sheetName val="option_Y111"/>
      <sheetName val="Footing Tie Beam"/>
      <sheetName val="combined_9-3024"/>
      <sheetName val="worksheet_inchican24"/>
      <sheetName val="combined_9_3024"/>
      <sheetName val="bar_chart-rev24"/>
      <sheetName val="MATERIAL'S_PRICE22"/>
      <sheetName val="Schedule_S-Curve_Revision#320"/>
      <sheetName val="PC_&amp;_PVS18"/>
      <sheetName val="2_223M_due_to_adj_profit13"/>
      <sheetName val="Material_Price13"/>
      <sheetName val="4-Lane_bridge16"/>
      <sheetName val="Inchican_Road_Accomplishment16"/>
      <sheetName val="Land_Dev't__Ph-116"/>
      <sheetName val="bill_213"/>
      <sheetName val="Shut_down13"/>
      <sheetName val="sorksheet_inchican13"/>
      <sheetName val="sombined_9-3013"/>
      <sheetName val="PH_513"/>
      <sheetName val="remaining_billing13"/>
      <sheetName val="Hac_Lots13"/>
      <sheetName val="Res_Lots13"/>
      <sheetName val="Spine_Road13"/>
      <sheetName val="INPUT_DATA_HERE12"/>
      <sheetName val="option_Y112"/>
      <sheetName val="UTILITIES"/>
      <sheetName val="FINAL NEGO"/>
      <sheetName val="DISCUSSION"/>
      <sheetName val="SIGN-OFF"/>
      <sheetName val="RFP Codes"/>
      <sheetName val="Bill summary of cost"/>
      <sheetName val="unit price"/>
      <sheetName val="Schedule S-Curve (new scheme)"/>
      <sheetName val="UPA-struc"/>
      <sheetName val="Fire Suppression"/>
      <sheetName val="revised#1"/>
      <sheetName val="Materials"/>
      <sheetName val="lookups"/>
      <sheetName val="tabulation (comparison)"/>
      <sheetName val="area comp 2011 01 18"/>
      <sheetName val="combined_9-3025"/>
      <sheetName val="worksheet_inchican25"/>
      <sheetName val="combined_9_3025"/>
      <sheetName val="bar_chart-rev25"/>
      <sheetName val="MATERIAL'S_PRICE23"/>
      <sheetName val="PC_&amp;_PVS19"/>
      <sheetName val="Schedule_S-Curve_Revision#321"/>
      <sheetName val="Land_Dev't__Ph-117"/>
      <sheetName val="4-Lane_bridge17"/>
      <sheetName val="2_223M_due_to_adj_profit14"/>
      <sheetName val="Material_Price14"/>
      <sheetName val="Inchican_Road_Accomplishment17"/>
      <sheetName val="Shut_down14"/>
      <sheetName val="bill_214"/>
      <sheetName val="sorksheet_inchican14"/>
      <sheetName val="sombined_9-3014"/>
      <sheetName val="PH_514"/>
      <sheetName val="option_Y113"/>
      <sheetName val="remaining_billing14"/>
      <sheetName val="Hac_Lots14"/>
      <sheetName val="Res_Lots14"/>
      <sheetName val="Spine_Road14"/>
      <sheetName val="INPUT_DATA_HERE13"/>
      <sheetName val="Summary_(overall)"/>
      <sheetName val="Adimi_bldg"/>
      <sheetName val="Pump_House"/>
      <sheetName val="Fuel_Regu_Station"/>
      <sheetName val="FINAL_NEGO"/>
      <sheetName val="Footing_Tie_Beam"/>
      <sheetName val="RFP_Codes"/>
      <sheetName val="Bill_summary_of_cost"/>
      <sheetName val="unit_price"/>
      <sheetName val="Schedule_S-Curve_(new_scheme)"/>
      <sheetName val="Fire_Suppression"/>
      <sheetName val="tabulation_(comparison)"/>
      <sheetName val="area_comp_2011_01_18"/>
      <sheetName val="Addendum_No_1_BILL_2"/>
      <sheetName val="Tabulation "/>
      <sheetName val="afis"/>
      <sheetName val="COLUMN"/>
      <sheetName val="3.-RESOURCE LIST"/>
      <sheetName val="0.-SUMMARY"/>
      <sheetName val="3.2.AUX"/>
      <sheetName val="3.3.AUX-2"/>
      <sheetName val="見管SＴ"/>
      <sheetName val="見管ＧＴ"/>
      <sheetName val="GRAND SUM"/>
      <sheetName val="VCC 11110-461"/>
      <sheetName val="S1BOQ"/>
      <sheetName val="C1 (calcolo)"/>
      <sheetName val="TABLO-3"/>
      <sheetName val="CC"/>
      <sheetName val="5.5FWBS CODE"/>
      <sheetName val="JKT"/>
      <sheetName val="1195 B1"/>
      <sheetName val="page 6"/>
      <sheetName val="Capel KI"/>
      <sheetName val="Capel PK"/>
      <sheetName val="Summary HS Pipa CS"/>
      <sheetName val="AsumsiDasar"/>
      <sheetName val="Raw Data-Combined"/>
      <sheetName val="Rates"/>
      <sheetName val="Spread"/>
      <sheetName val="TRNS-C1"/>
      <sheetName val="plumbing"/>
      <sheetName val="MANPOWER-RATES"/>
      <sheetName val="EQUIPMENT-PRICE"/>
      <sheetName val="Instrument Proc"/>
      <sheetName val="MTO Civil Work"/>
      <sheetName val="Sched 3 (Construction)"/>
      <sheetName val="Sched 1 (Engineering)"/>
      <sheetName val="Sched 2 (Procurement "/>
      <sheetName val="JOB Code"/>
      <sheetName val="Days"/>
      <sheetName val="COVER_RECAP_INSTALL (2)"/>
      <sheetName val="COVER_RECAP_INSTALL"/>
      <sheetName val="Rekap Summary"/>
      <sheetName val="Rekap Breakdown"/>
      <sheetName val="Mapping"/>
      <sheetName val="Acceptance"/>
      <sheetName val="ISR"/>
      <sheetName val="Detail Eng"/>
      <sheetName val="Equiv.Length"/>
      <sheetName val="lkalibrasi BENENAIN"/>
      <sheetName val="HSATUAN"/>
      <sheetName val="Terbilang"/>
      <sheetName val="har-sat"/>
      <sheetName val="Harga Mat "/>
      <sheetName val="Definitions"/>
      <sheetName val="_x005f_x005f_x00ည톐ឮ"/>
      <sheetName val="Integrated-S Curve"/>
      <sheetName val="변경내역대비표(2)"/>
      <sheetName val="Lists"/>
      <sheetName val="Riser-1"/>
      <sheetName val="6_2_Floor_Finishes"/>
      <sheetName val="CC8"/>
      <sheetName val="SOR"/>
      <sheetName val="FR"/>
      <sheetName val="Elektrikal"/>
      <sheetName val="PESANTREN"/>
      <sheetName val="G"/>
      <sheetName val=" hrg bhn"/>
      <sheetName val="BAHAN"/>
      <sheetName val="Page1"/>
      <sheetName val="Home Office"/>
      <sheetName val="Process Piping"/>
      <sheetName val="REQDELTA"/>
      <sheetName val="기준"/>
      <sheetName val="IndirectSum"/>
      <sheetName val="2공구산출내역"/>
      <sheetName val="MSH51C"/>
      <sheetName val="Micro"/>
      <sheetName val="Macro"/>
      <sheetName val="Accountingword"/>
      <sheetName val="Main Control"/>
      <sheetName val="upa"/>
      <sheetName val="Ra  stair"/>
      <sheetName val="热工设备"/>
      <sheetName val="仪表设备"/>
      <sheetName val="Man Power"/>
      <sheetName val="grafik"/>
      <sheetName val="OP-DSU"/>
      <sheetName val="pro ra op"/>
      <sheetName val="analis standar(8m)"/>
      <sheetName val="Ex_Rate"/>
      <sheetName val="ShareCapital "/>
      <sheetName val="Inventories"/>
      <sheetName val="BAG_2"/>
      <sheetName val="HS"/>
      <sheetName val="Koordinat"/>
      <sheetName val="3-DIV4"/>
      <sheetName val="ANALIS"/>
      <sheetName val="_x005f_x0002__x005f_x0000_뻘N_x005f_x0000__x005f_x0000__"/>
      <sheetName val="내역서 (∮ἀ嘆ɶ_x005f_x0000_᠀㬁_x005f_x0000_"/>
      <sheetName val="당초_x005f_xd8b4_∸ἀ"/>
      <sheetName val="_x005f_x0002__뻘N___x005f_x0001_ࠀ역서"/>
      <sheetName val="_x005f_x0002_"/>
      <sheetName val="_x005f_x0004__x005f_x0000__x005f_x000d__x005f_x0000__x0"/>
      <sheetName val="_x005f_x000a__x005f_x0000__x005f_x001b__x005f_x0000__x0"/>
      <sheetName val="_x005f_x000a__x005f_x000a_"/>
      <sheetName val="_x005f_x0004_"/>
      <sheetName val="_x005f_x000a_"/>
      <sheetName val=" _x005f_x0000__x005f_x001b__x005f_x0000__x005f_x0006__x"/>
      <sheetName val="내역서 耰&quot;_x005f_x005f_x005f_x0000__x0000"/>
      <sheetName val="_x005f_x005f_x005f_x005f_x005f_x005f_x005f_x005f_"/>
      <sheetName val="Weekl_x005f_x0004__x005f_x0000__x005f_x0016__x000"/>
      <sheetName val="_x005f_x0000__x005f_x000e__x005f_x0000__x005f_x0005_"/>
      <sheetName val="내역서_(N_x005f_x0009__x005f_x000e__x005f_x000e__x00"/>
      <sheetName val="내역서_(N _x005f_x000e__x005f_x000e__x005f_x000e_  _"/>
      <sheetName val="내역서_耰&quot;_x005f_x005f_x005f_x0000__x0000"/>
      <sheetName val="7422CW_x005f_x0013__x005f_x0000_"/>
      <sheetName val="OPT_x005f_x0012__x005f_x0000__x005f_x0010__x005f_x0000_"/>
      <sheetName val="_x005f_x0000__x005f_x0013__x005f_x0000__x005f_x0014_"/>
      <sheetName val="Weekl_x005f_x0004_"/>
      <sheetName val="내역서_耰&quot;_x005f_x005f_x005f_x0000__x0001"/>
      <sheetName val="내역서_耰&quot;_x005f_x005f_x005f_x005f_x00001"/>
      <sheetName val="내역서_耰&quot;_x005f_x005f_x005f_x005f_x005f1"/>
      <sheetName val="내역서_耰&quot;_x005f_x005f_x005f_x0000__x0002"/>
      <sheetName val="내역서_耰&quot;_x005f_x005f_x005f_x005f_x00002"/>
      <sheetName val="내역서_耰&quot;_x005f_x005f_x005f_x005f_x005f2"/>
      <sheetName val="실행집_x005f_x0005_"/>
      <sheetName val="내역서_耰&quot;_x005f_x005f_x005f_x0000__x00001"/>
      <sheetName val="Weekl_x005f_x000a_"/>
      <sheetName val="내역서_(N____x005f_x000a_"/>
      <sheetName val="내역서_(N   _x005f_x000a_"/>
      <sheetName val="_x005f_x000a__x0"/>
      <sheetName val="OPT_x005f_x000a_"/>
      <sheetName val="9-1차이내역"/>
      <sheetName val="Bangunan Utama"/>
      <sheetName val="daf-3(OK)"/>
      <sheetName val="daf-7(OK)"/>
      <sheetName val="Hrg.Sat"/>
      <sheetName val="음료실행"/>
      <sheetName val="Áý°èÇ¥_(TOTAN)5"/>
      <sheetName val="단가표"/>
      <sheetName val="_______x005f_x005f_x005f_x0000__x005f_x005f_x00_2"/>
      <sheetName val="_____x005f_x005f_x005f_x005f_x005f_x005f_x005f_x0000__2"/>
      <sheetName val="_______x005f_x005f_x005f_x005f_x005f_x005f_x000_2"/>
      <sheetName val="Section 1"/>
      <sheetName val="GKP"/>
      <sheetName val="renc mgn"/>
      <sheetName val="내역서 耰&quot;_x005f_x0000__x005f_x005f_x0000"/>
      <sheetName val="SCOPES"/>
      <sheetName val="분양가표"/>
      <sheetName val="Mucluc"/>
      <sheetName val="Dinh muc CP KTCB khac"/>
      <sheetName val="TH May TC"/>
      <sheetName val="KLDT DIEN"/>
      <sheetName val="PTVT DIEN"/>
      <sheetName val="TH kinh phi"/>
      <sheetName val="Thong ke thiet bi"/>
      <sheetName val="TH vat tu"/>
      <sheetName val="Earthwork"/>
      <sheetName val="BREAKDOWN-PRICE"/>
      <sheetName val="A.SIS"/>
      <sheetName val="BQ-E20-02(Rp)"/>
      <sheetName val="gia vt"/>
      <sheetName val="1.BILL MOI THAU CAN THUONG"/>
      <sheetName val="PHAN NGAM"/>
      <sheetName val="SITE-E"/>
      <sheetName val="sch6-rm"/>
      <sheetName val="침하계"/>
      <sheetName val="hs-str"/>
      <sheetName val="hs_str"/>
      <sheetName val="Rekap Addendum"/>
      <sheetName val="6"/>
      <sheetName val="7"/>
      <sheetName val="8"/>
      <sheetName val="9"/>
      <sheetName val="11"/>
      <sheetName val="12"/>
      <sheetName val="13"/>
      <sheetName val="14"/>
      <sheetName val="15"/>
      <sheetName val="17"/>
      <sheetName val="18"/>
      <sheetName val="19"/>
      <sheetName val="20"/>
      <sheetName val="4"/>
      <sheetName val="AT 2"/>
      <sheetName val="Jateng"/>
      <sheetName val="Jatim"/>
      <sheetName val="Steel-Twr"/>
      <sheetName val="Alat"/>
      <sheetName val="EST_EQUIPOS"/>
      <sheetName val="내역서_耰&quot;10"/>
      <sheetName val="TR_Rev_vs_Commit1"/>
      <sheetName val="TR_+MMHE_PL_report1"/>
      <sheetName val="P23P2724___Commitment_1"/>
      <sheetName val="Precios_Unitariԯ2"/>
      <sheetName val="สรุปยอดเหล็กตาม_Cost_Record_VY1"/>
      <sheetName val="แนบ_PR1"/>
      <sheetName val="OR21_Final_Forecast_Rev_21"/>
      <sheetName val="Summary_Forecast_Budget_1&amp;21"/>
      <sheetName val="Summary_Forecast_Budget_Rev_21"/>
      <sheetName val="Backup_OR21_1"/>
      <sheetName val="Budget_for_ENT1"/>
      <sheetName val="ADJ__D-Wall&amp;BR_Ent__Rev_2_11"/>
      <sheetName val="Rebar+Conพื้น_Waste10%1"/>
      <sheetName val="Backup_D-Wall_Ent__13_07_191"/>
      <sheetName val="Backup_BR_ENT__13_07_191"/>
      <sheetName val="Final_Forecast_721111"/>
      <sheetName val="IMP_OR21_2019_07_111"/>
      <sheetName val="Concrete_721121"/>
      <sheetName val="หินเกล็ด_1"/>
      <sheetName val="เปรียบเทียบBudget_BR_1"/>
      <sheetName val="ADJ__BR_Ent__Rev_2_1_(2)1"/>
      <sheetName val="แผนงานBarrette_Pile1"/>
      <sheetName val="BOQ__VI_03_09_19_1"/>
      <sheetName val="Backup_BR_BMA1"/>
      <sheetName val="Sum_Budget&amp;Rev_11"/>
      <sheetName val="Sum_Budget_Rev_11"/>
      <sheetName val="Sum_Budget&amp;Rev_1_Rebar1"/>
      <sheetName val="Sum_Budget_Rev_2_Rebar1"/>
      <sheetName val="Rebar+Conพื้น_Waste10%_Rev_001"/>
      <sheetName val="Rebar+Conพื้น_Waste10%_Rev_01_1"/>
      <sheetName val="Equip_Rev_00_Budget1"/>
      <sheetName val="Budget_Waterpoofing1"/>
      <sheetName val="Sch_61"/>
      <sheetName val="InD_Mpower1"/>
      <sheetName val="내역서_(∮ἀ嘆ɶ_᠀㬁_2"/>
      <sheetName val="Vehicle_Log1"/>
      <sheetName val="M&amp;E_Summary1"/>
      <sheetName val="rev_summary1"/>
      <sheetName val="M&amp;E_Prelims1"/>
      <sheetName val="B-FP_(2)1"/>
      <sheetName val="Sch_11"/>
      <sheetName val="A__ENGINEERING1"/>
      <sheetName val="B-1__배관자재1"/>
      <sheetName val="B-2__전기자재1"/>
      <sheetName val="B-3__계장자재1"/>
      <sheetName val="B-4__기계자재1"/>
      <sheetName val="C-1__공통가설1"/>
      <sheetName val="C-2__토목1"/>
      <sheetName val="C-4__철골1"/>
      <sheetName val="C-5__기계1"/>
      <sheetName val="C-6__배관1"/>
      <sheetName val="C-7__전기1"/>
      <sheetName val="C-8__계장1"/>
      <sheetName val="C-9__중장비1"/>
      <sheetName val="C-10__소방설비1"/>
      <sheetName val="C-11__보온1"/>
      <sheetName val="C-12__CMS1"/>
      <sheetName val="IRR_sponsor1"/>
      <sheetName val="2013电气概算_价目表_(营改增调整)1"/>
      <sheetName val="내역서_(N____12"/>
      <sheetName val="List_Equip1"/>
      <sheetName val="Process_C_(1-166)1"/>
      <sheetName val="TRUCK_HAUL_CYCLE-waste1"/>
      <sheetName val="Existing_PC_Pavement1"/>
      <sheetName val="Master_Data1"/>
      <sheetName val="ind'l_cp1"/>
      <sheetName val="LAST_UPDATE1"/>
      <sheetName val="0_품의서(전체)1"/>
      <sheetName val="3_부제O호표1"/>
      <sheetName val="5_소모재료비1"/>
      <sheetName val="8_시멘트제원표1"/>
      <sheetName val="2_품제O호표1"/>
      <sheetName val="본부_SHOP1"/>
      <sheetName val="#6_MDU_일반1"/>
      <sheetName val="#6_MDU엄반장1"/>
      <sheetName val="#6MDU_기계1"/>
      <sheetName val="HOU_COMP`1"/>
      <sheetName val="FCC_OBL-SHOP1"/>
      <sheetName val="NEW_FCC_OBL1"/>
      <sheetName val="#4_MDU1"/>
      <sheetName val="#6_SHOP1"/>
      <sheetName val="NRC_OBL-조연식1"/>
      <sheetName val="광양-조연식_반장1"/>
      <sheetName val="#5MDU_REV1"/>
      <sheetName val="LBO_PROJECT1"/>
      <sheetName val="VENDOR_LIST1"/>
      <sheetName val="BOP_LINE_LIST1"/>
      <sheetName val="ABB_Summary1"/>
      <sheetName val="Man_power_rate1"/>
      <sheetName val="Const_equip_rate1"/>
      <sheetName val="01-Gang_Rate_&amp;_Info1"/>
      <sheetName val="05-Sum_Cost1"/>
      <sheetName val="06-Indirect_Loading1"/>
      <sheetName val="07-Heavy_Equipment1"/>
      <sheetName val="08-RR_Check_List1"/>
      <sheetName val="1)_Risk_and_Opportunities1"/>
      <sheetName val="2)_Full_Cost_Calculation1"/>
      <sheetName val="tblg_denda2"/>
      <sheetName val="F1_41"/>
      <sheetName val="Manpower_Categories1"/>
      <sheetName val="Equipt_Rental1"/>
      <sheetName val="EQ_USED_(CORRECTED)1"/>
      <sheetName val="Rebar_Constant1"/>
      <sheetName val="CONCRETE_TYPE1"/>
      <sheetName val="External_Issues1"/>
      <sheetName val="Equip_Mstr_FOR_3A11"/>
      <sheetName val="G_R300경비1"/>
      <sheetName val="AS포장복구_1"/>
      <sheetName val="중기조종사_단위단가1"/>
      <sheetName val="설_계1"/>
      <sheetName val="5_Cennik2"/>
      <sheetName val="_토목_처리장도급내역서_1"/>
      <sheetName val="Garph_Work-Cost1"/>
      <sheetName val="LRK_1"/>
      <sheetName val="Insulation_1501081"/>
      <sheetName val="동상부_Tact_기준_반입일정_및_수량_02171"/>
      <sheetName val="MASTER_RATE_ANALYSIS1"/>
      <sheetName val="MN_T_B_1"/>
      <sheetName val="INDIGINEOUS_ITEMS_1"/>
      <sheetName val="Core_Data1"/>
      <sheetName val="final_abstract1"/>
      <sheetName val="Manpower_Categories"/>
      <sheetName val="Equip_Mstr_FOR_3A1"/>
      <sheetName val="_토목_처리장도급내역서_"/>
      <sheetName val="Garph_Work-Cost"/>
      <sheetName val="동상부_Tact_기준_반입일정_및_수량_0217"/>
      <sheetName val="MASTER_RATE_ANALYSIS"/>
      <sheetName val="MN_T_B_"/>
      <sheetName val="INDIGINEOUS_ITEMS_"/>
      <sheetName val="Core_Data"/>
      <sheetName val="final_abstract"/>
      <sheetName val="KUWATI(Total)_15"/>
      <sheetName val="OPTION_215"/>
      <sheetName val="OPTION_315"/>
      <sheetName val="집계표_(TOTAL)15"/>
      <sheetName val="집계표_(CIVIL-23)15"/>
      <sheetName val="집계표_(FGRU)15"/>
      <sheetName val="집계표_(25,26)15"/>
      <sheetName val="집계표_(MEROX)15"/>
      <sheetName val="집계표_(NITROGEN)15"/>
      <sheetName val="집계표_(M4)15"/>
      <sheetName val="집계표_(CIVIL4)15"/>
      <sheetName val="집계표_(CIVIL6)15"/>
      <sheetName val="집계표_(CIVIL7)15"/>
      <sheetName val="내역서(DEMO_TOTAL)15"/>
      <sheetName val="내역서_(CIVIL-23)15"/>
      <sheetName val="내역서_(fgru)15"/>
      <sheetName val="내역서_(25&amp;26)15"/>
      <sheetName val="내역서_(MEROX)15"/>
      <sheetName val="내역서_(NITROGEN)15"/>
      <sheetName val="내역서_(M4)15"/>
      <sheetName val="내역서_(CIVIL-4)15"/>
      <sheetName val="내역서_(CIVIL-6)15"/>
      <sheetName val="내역서_(CIVIL-7)15"/>
      <sheetName val="2002년_현장공사비_국내_실적15"/>
      <sheetName val="2003년국내현장공사비_실적15"/>
      <sheetName val="VC2_10_9915"/>
      <sheetName val="INPUT_DATA14"/>
      <sheetName val="집계표_(25,26ဩ14"/>
      <sheetName val="General_Data14"/>
      <sheetName val="Form_014"/>
      <sheetName val="LABOR_&amp;_자재13"/>
      <sheetName val="입출재고현황_(2)13"/>
      <sheetName val="Form_D-113"/>
      <sheetName val="Form_B-113"/>
      <sheetName val="Form_F-113"/>
      <sheetName val="Form_A13"/>
      <sheetName val="3_공통공사대비13"/>
      <sheetName val="간접비_총괄13"/>
      <sheetName val="Rate_Analysis13"/>
      <sheetName val="Price_Schedule13"/>
      <sheetName val="CAL_13"/>
      <sheetName val="EQUIPMENT_-213"/>
      <sheetName val="Z-_GENERAL_PRICE_SUMMARY11"/>
      <sheetName val="_Estimate__11"/>
      <sheetName val="WEIGHT_LIST12"/>
      <sheetName val="산#2-1_(2)12"/>
      <sheetName val="BEND_LOSS12"/>
      <sheetName val="공사비_내역_(가)12"/>
      <sheetName val="내역서_耰&quot;??13"/>
      <sheetName val="단면_(2)12"/>
      <sheetName val="6PILE__(돌출)12"/>
      <sheetName val="Static_Equip12"/>
      <sheetName val="Form_A_12"/>
      <sheetName val="내역서_耰&quot;_x005f_x0000__x005f_x0000_12"/>
      <sheetName val="3_Breakdown_Direct_Paint12"/>
      <sheetName val="Áý°èÇ¥_(TOTAL)11"/>
      <sheetName val="Áý°èÇ¥_(CIVIL-23)11"/>
      <sheetName val="Áý°èÇ¥_(FGRU)11"/>
      <sheetName val="Áý°èÇ¥_(25,26)11"/>
      <sheetName val="Áý°èÇ¥_(MEROX)11"/>
      <sheetName val="Áý°èÇ¥_(NITROGEN)11"/>
      <sheetName val="Áý°èÇ¥_(M4)11"/>
      <sheetName val="Áý°èÇ¥_(CIVIL4)11"/>
      <sheetName val="Áý°èÇ¥_(CIVIL6)11"/>
      <sheetName val="Áý°èÇ¥_(CIVIL7)11"/>
      <sheetName val="³»¿ª¼­(DEMO_TOTAL)11"/>
      <sheetName val="³»¿ª¼­_(CIVIL-23)11"/>
      <sheetName val="³»¿ª¼­_(fgru)11"/>
      <sheetName val="³»¿ª¼­_(25&amp;26)11"/>
      <sheetName val="³»¿ª¼­_(MEROX)11"/>
      <sheetName val="³»¿ª¼­_(NITROGEN)11"/>
      <sheetName val="³»¿ª¼­_(M4)11"/>
      <sheetName val="³»¿ª¼­_(CIVIL-4)11"/>
      <sheetName val="³»¿ª¼­_(CIVIL-6)11"/>
      <sheetName val="³»¿ª¼­_(CIVIL-7)11"/>
      <sheetName val="2002³â_ÇöÀå°ø»çºñ_±¹³»_½ÇÀû11"/>
      <sheetName val="2003³â±¹³»ÇöÀå°ø»çºñ_½ÇÀû11"/>
      <sheetName val="내역서_耰&quot;__13"/>
      <sheetName val="Summary_Sheets12"/>
      <sheetName val="Man_Hole11"/>
      <sheetName val="Sheet1_(2)12"/>
      <sheetName val="Civil_112"/>
      <sheetName val="Civil_212"/>
      <sheetName val="Civil_312"/>
      <sheetName val="Site_112"/>
      <sheetName val="Site_212"/>
      <sheetName val="Site_312"/>
      <sheetName val="Site_Faci12"/>
      <sheetName val="내역서_耰&quot;_x005f_x005f_x005f_x0000__x005f_x005f_x0011"/>
      <sheetName val="7__월별투입내역서11"/>
      <sheetName val="계측_내역서11"/>
      <sheetName val="2_2_STAFF_Scedule11"/>
      <sheetName val="내역서_耰&quot;_x005f_x005f_x005f_x005f_x005f_x005f_x00011"/>
      <sheetName val="T_311"/>
      <sheetName val="HORI__VESSEL11"/>
      <sheetName val="EQUIP_LIST11"/>
      <sheetName val="MP_MOB11"/>
      <sheetName val="Form_B11"/>
      <sheetName val="Precios_Unitarios11"/>
      <sheetName val="Administrative_Prices11"/>
      <sheetName val="WBS_4411"/>
      <sheetName val="WBS_4111"/>
      <sheetName val="Precios_por_Administración11"/>
      <sheetName val="Subcon_A11"/>
      <sheetName val="Monthly_Load11"/>
      <sheetName val="Weekly_Load11"/>
      <sheetName val="BM_DATA_SHEET12"/>
      <sheetName val="Vind_-_BtB11"/>
      <sheetName val="LV_induction_motors11"/>
      <sheetName val="BSD_(2)11"/>
      <sheetName val="내역서_耰&quot;_x005f_x005f_x005f_x005f_x005f_x005f_x00511"/>
      <sheetName val="Material_Selections11"/>
      <sheetName val="breakdown_of_wage_rate11"/>
      <sheetName val="Indirect_Cost11"/>
      <sheetName val="97_사업추정(WEKI)11"/>
      <sheetName val="[SANDAN_XLS??11"/>
      <sheetName val="Piping_BQ_for_one_turbine11"/>
      <sheetName val="Utility_and_Fire_flange11"/>
      <sheetName val="_SANDAN_XLS__11"/>
      <sheetName val="Eq__Mobilization11"/>
      <sheetName val="Fire_Protection11"/>
      <sheetName val="입찰내역_발주처_양식11"/>
      <sheetName val="Heavy_Equipments11"/>
      <sheetName val="AG_Pipe_Qty_Analysis11"/>
      <sheetName val="FWBS_153010"/>
      <sheetName val="Resource_table11"/>
      <sheetName val="Equipment_List11"/>
      <sheetName val="Form1_SQP11"/>
      <sheetName val="공정계획(내부계획25%,내부w_f)11"/>
      <sheetName val="SFN_ORIG11"/>
      <sheetName val="Currency_Rate6"/>
      <sheetName val="w't_table11"/>
      <sheetName val="SCHEDD_TAMBAHAN11"/>
      <sheetName val="실행예산_MM10"/>
      <sheetName val="MODULE_CONFIRM10"/>
      <sheetName val="ITB_COST11"/>
      <sheetName val="내역서_(∮ἀ嘆ɶ10"/>
      <sheetName val="Dir_Manpower_Other_Exp_11"/>
      <sheetName val="4-3LEVEL-5_epic_410"/>
      <sheetName val="단가_(2)10"/>
      <sheetName val="BOQ-B_DOWN10"/>
      <sheetName val="Cash_In-Cash_Out_Actual10"/>
      <sheetName val="PROTECTION_10"/>
      <sheetName val="내역서1999_8최종6"/>
      <sheetName val="Unit_Price_6"/>
      <sheetName val="plan&amp;section_of_foundation7"/>
      <sheetName val="working_load_at_the_btm_ft_7"/>
      <sheetName val="stability_check7"/>
      <sheetName val="design_load7"/>
      <sheetName val="TDC_COA_Sumry6"/>
      <sheetName val="TDC_Item_Dets6"/>
      <sheetName val="TDC_Item_Sumry6"/>
      <sheetName val="TDC_Key_Qty_Sumry6"/>
      <sheetName val="List_-_Components6"/>
      <sheetName val="List_-_Equipment6"/>
      <sheetName val="COA_Sumry_-_Std_Imp6"/>
      <sheetName val="Contr_TDC_-_Std_Imp6"/>
      <sheetName val="Item_Sumry_-_Std_Imp6"/>
      <sheetName val="Unit_Costs_-_Std_Imp6"/>
      <sheetName val="Unit_MH_-_Std_Imp6"/>
      <sheetName val="Proj_TIC_-_Std_Imp6"/>
      <sheetName val="Updating_Form-Oct_20116"/>
      <sheetName val="Weld_Consumable6"/>
      <sheetName val="NDE_Cost-Summary6"/>
      <sheetName val="9July_Above_Ground_Pipe6"/>
      <sheetName val="M_116"/>
      <sheetName val="Process_Data_16"/>
      <sheetName val="Sum_(Case-3)6"/>
      <sheetName val="Man_Power_&amp;_Comp6"/>
      <sheetName val="Data_List6"/>
      <sheetName val="4-Basic_Price6"/>
      <sheetName val="Evaluasi_Penw6"/>
      <sheetName val="Closeout_Control6"/>
      <sheetName val="PROJECT_BRIEF6"/>
      <sheetName val="CUADRO_DE_PRECIOS10"/>
      <sheetName val="Site_Findings_Status_Sheet6"/>
      <sheetName val="5_)_Time_Delays6"/>
      <sheetName val="Unt_rate6"/>
      <sheetName val="1100-1200-1300-1910-2140-LEV_26"/>
      <sheetName val="내역서_耰&quot;_x005f_x005f_x005f_x0000_6"/>
      <sheetName val="내역서_耰&quot;_x005f_x005f_x005f_x005f_6"/>
      <sheetName val="내역서_耰&quot;_x005f_x0000__x00007"/>
      <sheetName val="99__FWBS(Ref)6"/>
      <sheetName val="99__Change_Rate6"/>
      <sheetName val="할증_6"/>
      <sheetName val="RAB_AR&amp;STR6"/>
      <sheetName val="Equip_Rental_Summary_by_Contr6"/>
      <sheetName val="Project_Equip_Rental_Summary6"/>
      <sheetName val="Contractor_Indirect_Sumry6"/>
      <sheetName val="Project_Indirect_Sumry6"/>
      <sheetName val="COA_Sumry_by_Area6"/>
      <sheetName val="COA_Sumry_by_Contr6"/>
      <sheetName val="COA_Sumry_by_RG6"/>
      <sheetName val="TDC_COA_Grp_Sumry6"/>
      <sheetName val="TDC_COA_Grp_Sumry_by_Area6"/>
      <sheetName val="TDC_COA_Grp_Sumry_by_RG6"/>
      <sheetName val="Equipment_Sumry6"/>
      <sheetName val="TDC_Item_Dets-Full6"/>
      <sheetName val="TDC_Item_Dets-IPM-Full6"/>
      <sheetName val="TDC_Item_Sumry_by_Area6"/>
      <sheetName val="TDC_Item_Sumry_by_RG6"/>
      <sheetName val="TDC_Key_Qty_Sumry_by_RG6"/>
      <sheetName val="List_-_Equipment_by_Area6"/>
      <sheetName val="List_-_Equipment_by_Contr6"/>
      <sheetName val="Equipment_-_Unit_Costs_by_Mat6"/>
      <sheetName val="List_-_Equipment_by_Rep_Grp6"/>
      <sheetName val="Craft_Summary_by_Contr6"/>
      <sheetName val="Project_Craft_Summary6"/>
      <sheetName val="Project_Metrics6"/>
      <sheetName val="Discounted_Cash_Flow6"/>
      <sheetName val="Ocean_Transporation_Charge6"/>
      <sheetName val="SUMMARY_(0A)6"/>
      <sheetName val="SUMMARY_(1A)6"/>
      <sheetName val="SUMMARY_(1B)6"/>
      <sheetName val="SUMMARY_(03)6"/>
      <sheetName val="F1(Cable_Rack)6"/>
      <sheetName val="F2(Cable_Rack)6"/>
      <sheetName val="F3(Cable_Rack)6"/>
      <sheetName val="F1_(POLYMER)6"/>
      <sheetName val="F2_(POLYMER)6"/>
      <sheetName val="F3_(POLYMER)6"/>
      <sheetName val="F4_(POLYMER)6"/>
      <sheetName val="F5(_Polymerization_)6"/>
      <sheetName val="F6_(_Polymerization_)6"/>
      <sheetName val="B1_(Grid_A-7,_-6)6"/>
      <sheetName val="B1_(Grid_A,_B)6"/>
      <sheetName val="B1_(Grid_C-7,_-6)6"/>
      <sheetName val="B2_(Grid_-7_B,_C)_(1)6"/>
      <sheetName val="B2_(Grid_-7_B,_C)_(2)6"/>
      <sheetName val="B2_(Grid_-6_B,_C)_(1)6"/>
      <sheetName val="B2_(Grid_-6_B,_C)_(2)6"/>
      <sheetName val="F1_(MONOMER)6"/>
      <sheetName val="F2_(MONOMER)6"/>
      <sheetName val="F3_(MONOMER)6"/>
      <sheetName val="90K060C_(MONOMER)6"/>
      <sheetName val="F1_(EXTRUSION)6"/>
      <sheetName val="F2_(EXTRUSION)6"/>
      <sheetName val="F3_(EXTRUSION)6"/>
      <sheetName val="F4_(EXTRUSION)6"/>
      <sheetName val="F5_(EXTRUSION)6"/>
      <sheetName val="F6A_(EXTRUSION)6"/>
      <sheetName val="F6D_(EXTRUSION)6"/>
      <sheetName val="F7_(EXTRUSION)6"/>
      <sheetName val="F8_(EXTRUSION)6"/>
      <sheetName val="F9_(EXTRUSION)6"/>
      <sheetName val="F10_(EXTRUSION)6"/>
      <sheetName val="F11_(EXTRUSION)6"/>
      <sheetName val="B1_(Grid_F-5`,_4`)6"/>
      <sheetName val="B2_(Grid_F,E-4`)6"/>
      <sheetName val="B2_(Grid_F,E-5`)6"/>
      <sheetName val="B3_(Grid_C,B-4`)6"/>
      <sheetName val="B4_(Grid_B,A-4`)6"/>
      <sheetName val="B5_(Grid_E-5`)_&amp;_(Grid_D-5`)6"/>
      <sheetName val="B6_(Grid_E,D-5')6"/>
      <sheetName val="B7_(Grid_E,D-5')6"/>
      <sheetName val="95D040,_A5066"/>
      <sheetName val="95P040AB,_A5076"/>
      <sheetName val="95X020-U08,_A6026"/>
      <sheetName val="95X020-U07,_A6066"/>
      <sheetName val="95E040,_A5096"/>
      <sheetName val="95D024;025,_A6156"/>
      <sheetName val="95X020-U05,_A6016"/>
      <sheetName val="95X020-U02,_A2046"/>
      <sheetName val="Extruder_FDN6"/>
      <sheetName val="BOG_COMP__FDN6"/>
      <sheetName val="SOG_COMP__FDN6"/>
      <sheetName val="1G1_(Ground_Beam)6"/>
      <sheetName val="1G2-1(Ground_Beam)6"/>
      <sheetName val="1G2-2(Ground_Beam)6"/>
      <sheetName val="P15,_166"/>
      <sheetName val="LO_CONSOLE_FDN6"/>
      <sheetName val="OIL_COOLER_FDN6"/>
      <sheetName val="CW_CONSOLE_FDN_(SOG)6"/>
      <sheetName val="PD3_(SOG)6"/>
      <sheetName val="SF1_(SOG)6"/>
      <sheetName val="SF2_(SOG)6"/>
      <sheetName val="SLAB_(1S1-1)6"/>
      <sheetName val="SLAB_(1S1-2)6"/>
      <sheetName val="SLAB_(1S1-3)6"/>
      <sheetName val="COLUMN_(+5500)6"/>
      <sheetName val="COLUMN_(+12500)6"/>
      <sheetName val="COLUMN_(+15500)6"/>
      <sheetName val="ETC_6"/>
      <sheetName val="Cash_Flow_bulanan6"/>
      <sheetName val="H_Satuan6"/>
      <sheetName val="In-House_Summary6"/>
      <sheetName val="Tools_&amp;_Settings6"/>
      <sheetName val="Data_Summary6"/>
      <sheetName val="Crew_Costs6"/>
      <sheetName val="Spread_Costs6"/>
      <sheetName val="Unique_List_Misc6"/>
      <sheetName val="Codes_Pers6"/>
      <sheetName val="Direct_PMS6"/>
      <sheetName val="UP_MINOR6"/>
      <sheetName val="Item_code6"/>
      <sheetName val="Aux_6"/>
      <sheetName val="Pengesahan_6"/>
      <sheetName val="__6"/>
      <sheetName val="_6"/>
      <sheetName val="breakdown_of_wage_ra`f5"/>
      <sheetName val="breakdown_of_wage_ra5"/>
      <sheetName val="breakdown_of_wage_rað-5"/>
      <sheetName val="2_Overall_Summary_5"/>
      <sheetName val="Rates_&amp;_Legend6"/>
      <sheetName val="OCT_FDN6"/>
      <sheetName val="BO䁑-B_䁄OWN6"/>
      <sheetName val="Bill_rekap6"/>
      <sheetName val="Harga_Satuan6"/>
      <sheetName val="F_ALARM6"/>
      <sheetName val="0__Resource　Code5"/>
      <sheetName val="breakdown_of_wage_rap5"/>
      <sheetName val="00-Summary_Information-ABB5"/>
      <sheetName val="breakdown_of_wage_ra5"/>
      <sheetName val="Exchange_Rate6"/>
      <sheetName val="General_Notes6"/>
      <sheetName val="내역서_耰&quot;_x005f_x0000_6"/>
      <sheetName val="내역서_耰&quot;_x005f_x005f_6"/>
      <sheetName val="Process_Data_(2)6"/>
      <sheetName val="PABS,Site_info5"/>
      <sheetName val="내역서_耰&quot;_5"/>
      <sheetName val="2__현장_자금투입_집계표6"/>
      <sheetName val="_도면_및_도서_제출목록_및_일정_170202_xlsx6"/>
      <sheetName val="Distribution_Table5"/>
      <sheetName val="Raw_data5"/>
      <sheetName val="차트_(2)6"/>
      <sheetName val="Material_code5"/>
      <sheetName val="DROP_DOWN5"/>
      <sheetName val="개시대사_(2)5"/>
      <sheetName val="DATA_MENTAH5"/>
      <sheetName val="내역서_(N____x000a_6"/>
      <sheetName val="TQ_Format4"/>
      <sheetName val="HO_Site_Rates-20115"/>
      <sheetName val="Linelist_LNGC_Process5"/>
      <sheetName val="Equipment_Spec_List5"/>
      <sheetName val="SPEC_LIST(EQUP,_SYS)5"/>
      <sheetName val="Action_Item5"/>
      <sheetName val="ID_CD5"/>
      <sheetName val="Air_Cooler-E5"/>
      <sheetName val="SUM_4"/>
      <sheetName val="Al_Taweelah5"/>
      <sheetName val="Particular_Sch5"/>
      <sheetName val="breakdown_of_wage_raÐ¾4"/>
      <sheetName val="Additional_data4"/>
      <sheetName val="11_자재단가3"/>
      <sheetName val="LIFE_&amp;_REP_PROVN3"/>
      <sheetName val="O&amp;M_CREW3"/>
      <sheetName val="33628-Rev__A3"/>
      <sheetName val="Cashflow_Analysis3"/>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Attach_4-183"/>
      <sheetName val="INPUT_DATA_OF_SCHEDULE3"/>
      <sheetName val="OIL_SEPARATOR3"/>
      <sheetName val="CATCH_BASIN3"/>
      <sheetName val="FW_Post_Indicator_Valve_24&quot;3"/>
      <sheetName val="FW_Post_Indicator_Valve_20&quot;3"/>
      <sheetName val="FW_Post_Indicator_Valve_6&quot;3"/>
      <sheetName val="Fire_Monitor_or_Hydrant_6&quot;_FDN3"/>
      <sheetName val="SUMP_VB3"/>
      <sheetName val="CLEANOUT_4&quot;3"/>
      <sheetName val="Not_reqd3"/>
      <sheetName val="호환성_보고서3"/>
      <sheetName val="Finansal_tamamlanma_Eğrisi3"/>
      <sheetName val="Master_List3"/>
      <sheetName val="Scheme_Area_Details_Block___C23"/>
      <sheetName val="14-Eng_rate3"/>
      <sheetName val="리스크_분류체계3"/>
      <sheetName val="Tender_data3"/>
      <sheetName val="Activity_Form3"/>
      <sheetName val="GM_0003"/>
      <sheetName val="Admin_Manu_2-Equipment_Type_ID3"/>
      <sheetName val="일위대가_3"/>
      <sheetName val="SECL_리스크_분류체계_(2)3"/>
      <sheetName val="1_설계기준3"/>
      <sheetName val="Cash_Flow3"/>
      <sheetName val="REF_for_VV3"/>
      <sheetName val="P-Ins_&amp;_Bonds3"/>
      <sheetName val="INSTLIST_13"/>
      <sheetName val="내역서_(∮ἀ嘆ɶ?᠀㬁?3"/>
      <sheetName val="Fig_4-143"/>
      <sheetName val="Itembalance_Report_(18-sep-18)3"/>
      <sheetName val="BUDGET_SUMMARY_3"/>
      <sheetName val="광통신_견적내역서13"/>
      <sheetName val="5__월별투입내역서3"/>
      <sheetName val="Att-1_CTCI_MH_rate3"/>
      <sheetName val="설산1_나3"/>
      <sheetName val="Analisa_Fave3"/>
      <sheetName val="Harsat_Bahan3"/>
      <sheetName val="Harsat_Subkon3"/>
      <sheetName val="Harsat_Upah3"/>
      <sheetName val="Master_1_03"/>
      <sheetName val="Agregat_Halus_&amp;_Kasar3"/>
      <sheetName val="HARGA_MATERIAL3"/>
      <sheetName val="Harga_Sat_APP3"/>
      <sheetName val="Tgh_JGC-Inv_I_clp3"/>
      <sheetName val="PCS_3"/>
      <sheetName val="Progress_Statement-SI3"/>
      <sheetName val="Progress_Payment-31103"/>
      <sheetName val="Perm__Test3"/>
      <sheetName val="Galian_13"/>
      <sheetName val="Analisa_Lump_sum3"/>
      <sheetName val="Sec_I_ML3"/>
      <sheetName val="dongia_(2)3"/>
      <sheetName val="BM_#13"/>
      <sheetName val="Weekl_4"/>
      <sheetName val="내역서_(N____7"/>
      <sheetName val="내역서_(N____8"/>
      <sheetName val="__x03"/>
      <sheetName val="OPT_4"/>
      <sheetName val="내역서_(N__x003"/>
      <sheetName val="List_register3"/>
      <sheetName val="Direct_Histogram_Rev__A_(f)3"/>
      <sheetName val="Tables_3_1_to_3_5_EXH_G3"/>
      <sheetName val="64_43"/>
      <sheetName val="64_53"/>
      <sheetName val="36_23"/>
      <sheetName val="36_13"/>
      <sheetName val="EQUIPOS_DE_SEGURIDAD3"/>
      <sheetName val="MATERIALES_CONSUMIBLES3"/>
      <sheetName val="PERSONAL_INDIRECTO_3"/>
      <sheetName val="Cost_Code3"/>
      <sheetName val="Data_Ref3"/>
      <sheetName val="Interdept_Rate3"/>
      <sheetName val="4300_UTILITY_BLDG_(2)3"/>
      <sheetName val="5__Work_load(현재원기준)3"/>
      <sheetName val="GRAND_REKAP"/>
      <sheetName val="analisa_(2)"/>
      <sheetName val="Analisa_2"/>
      <sheetName val="Up_&amp;_bhn"/>
      <sheetName val="HRG_BHN"/>
      <sheetName val="Alat_(2)"/>
      <sheetName val="Rekap_Biaya"/>
      <sheetName val="Kuantitas_&amp;_Harga"/>
      <sheetName val="Nopember_(2)"/>
      <sheetName val="Ramp_data"/>
      <sheetName val="Lower_Ground"/>
      <sheetName val="Cap_Cost"/>
      <sheetName val="RLV_Calc"/>
      <sheetName val="Costs_(dev)"/>
      <sheetName val="Bluewater_NPV_-_sell_January"/>
      <sheetName val="Upper_Ground"/>
      <sheetName val="PARK_NE"/>
      <sheetName val="Financial_Summary"/>
      <sheetName val="D&amp;C_Calcs"/>
      <sheetName val="CA_Upside_Downside_Old"/>
      <sheetName val="EASEL_CA_Example"/>
      <sheetName val="Urai__Resap_pengikat"/>
      <sheetName val="DAF_HRG"/>
      <sheetName val="7_공정표"/>
      <sheetName val="Kolom_UT"/>
      <sheetName val="HB_"/>
      <sheetName val="Memb_Schd"/>
      <sheetName val="Coef_et_données"/>
      <sheetName val="Eng_Hrs_(HO)"/>
      <sheetName val="MFG_&amp;_DEL"/>
      <sheetName val="원가조정_내역"/>
      <sheetName val="InsertListDrawing_1_"/>
      <sheetName val="P_Staff_fac"/>
      <sheetName val="beam-reinft-IIInd_floor"/>
      <sheetName val="P-Site_fac"/>
      <sheetName val="P-Clients_fac"/>
      <sheetName val="P2-Project_Data"/>
      <sheetName val="a_h_ars_sum"/>
      <sheetName val="a_h_ars"/>
      <sheetName val="KUWATI(Total)_16"/>
      <sheetName val="OPTION_216"/>
      <sheetName val="OPTION_316"/>
      <sheetName val="집계표_(TOTAL)16"/>
      <sheetName val="집계표_(CIVIL-23)16"/>
      <sheetName val="집계표_(FGRU)16"/>
      <sheetName val="집계표_(25,26)16"/>
      <sheetName val="집계표_(MEROX)16"/>
      <sheetName val="집계표_(NITROGEN)16"/>
      <sheetName val="집계표_(M4)16"/>
      <sheetName val="집계표_(CIVIL4)16"/>
      <sheetName val="집계표_(CIVIL6)16"/>
      <sheetName val="집계표_(CIVIL7)16"/>
      <sheetName val="내역서(DEMO_TOTAL)16"/>
      <sheetName val="내역서_(CIVIL-23)16"/>
      <sheetName val="내역서_(fgru)16"/>
      <sheetName val="내역서_(25&amp;26)16"/>
      <sheetName val="내역서_(MEROX)16"/>
      <sheetName val="내역서_(NITROGEN)16"/>
      <sheetName val="내역서_(M4)16"/>
      <sheetName val="내역서_(CIVIL-4)16"/>
      <sheetName val="내역서_(CIVIL-6)16"/>
      <sheetName val="내역서_(CIVIL-7)16"/>
      <sheetName val="2002년_현장공사비_국내_실적16"/>
      <sheetName val="2003년국내현장공사비_실적16"/>
      <sheetName val="VC2_10_9916"/>
      <sheetName val="INPUT_DATA15"/>
      <sheetName val="집계표_(25,26ဩ15"/>
      <sheetName val="General_Data15"/>
      <sheetName val="Form_015"/>
      <sheetName val="LABOR_&amp;_자재14"/>
      <sheetName val="입출재고현황_(2)14"/>
      <sheetName val="Form_D-114"/>
      <sheetName val="Form_B-114"/>
      <sheetName val="Form_F-114"/>
      <sheetName val="Form_A14"/>
      <sheetName val="3_공통공사대비14"/>
      <sheetName val="간접비_총괄14"/>
      <sheetName val="Rate_Analysis14"/>
      <sheetName val="Price_Schedule14"/>
      <sheetName val="CAL_14"/>
      <sheetName val="EQUIPMENT_-214"/>
      <sheetName val="Z-_GENERAL_PRICE_SUMMARY12"/>
      <sheetName val="_Estimate__12"/>
      <sheetName val="WEIGHT_LIST13"/>
      <sheetName val="산#2-1_(2)13"/>
      <sheetName val="BEND_LOSS13"/>
      <sheetName val="공사비_내역_(가)13"/>
      <sheetName val="내역서_耰&quot;??14"/>
      <sheetName val="단면_(2)13"/>
      <sheetName val="6PILE__(돌출)13"/>
      <sheetName val="Static_Equip13"/>
      <sheetName val="Form_A_13"/>
      <sheetName val="내역서_耰&quot;_x005f_x0000__x005f_x0000_13"/>
      <sheetName val="3_Breakdown_Direct_Paint13"/>
      <sheetName val="Áý°èÇ¥_(TOTAL)12"/>
      <sheetName val="Áý°èÇ¥_(CIVIL-23)12"/>
      <sheetName val="Áý°èÇ¥_(FGRU)12"/>
      <sheetName val="Áý°èÇ¥_(25,26)12"/>
      <sheetName val="Áý°èÇ¥_(MEROX)12"/>
      <sheetName val="Áý°èÇ¥_(NITROGEN)12"/>
      <sheetName val="Áý°èÇ¥_(M4)12"/>
      <sheetName val="Áý°èÇ¥_(CIVIL4)12"/>
      <sheetName val="Áý°èÇ¥_(CIVIL6)12"/>
      <sheetName val="Áý°èÇ¥_(CIVIL7)12"/>
      <sheetName val="³»¿ª¼­(DEMO_TOTAL)12"/>
      <sheetName val="³»¿ª¼­_(CIVIL-23)12"/>
      <sheetName val="³»¿ª¼­_(fgru)12"/>
      <sheetName val="³»¿ª¼­_(25&amp;26)12"/>
      <sheetName val="³»¿ª¼­_(MEROX)12"/>
      <sheetName val="³»¿ª¼­_(NITROGEN)12"/>
      <sheetName val="³»¿ª¼­_(M4)12"/>
      <sheetName val="³»¿ª¼­_(CIVIL-4)12"/>
      <sheetName val="³»¿ª¼­_(CIVIL-6)12"/>
      <sheetName val="³»¿ª¼­_(CIVIL-7)12"/>
      <sheetName val="2002³â_ÇöÀå°ø»çºñ_±¹³»_½ÇÀû12"/>
      <sheetName val="2003³â±¹³»ÇöÀå°ø»çºñ_½ÇÀû12"/>
      <sheetName val="내역서_耰&quot;__14"/>
      <sheetName val="Summary_Sheets13"/>
      <sheetName val="Man_Hole12"/>
      <sheetName val="Sheet1_(2)13"/>
      <sheetName val="Civil_113"/>
      <sheetName val="Civil_213"/>
      <sheetName val="Civil_313"/>
      <sheetName val="Site_113"/>
      <sheetName val="Site_213"/>
      <sheetName val="Site_313"/>
      <sheetName val="Site_Faci13"/>
      <sheetName val="내역서_耰&quot;_x005f_x005f_x005f_x0000__x005f_x005f_x0012"/>
      <sheetName val="7__월별투입내역서12"/>
      <sheetName val="계측_내역서12"/>
      <sheetName val="2_2_STAFF_Scedule12"/>
      <sheetName val="내역서_耰&quot;_x005f_x005f_x005f_x005f_x005f_x005f_x00012"/>
      <sheetName val="T_312"/>
      <sheetName val="HORI__VESSEL12"/>
      <sheetName val="EQUIP_LIST12"/>
      <sheetName val="MP_MOB12"/>
      <sheetName val="Form_B12"/>
      <sheetName val="Precios_Unitarios12"/>
      <sheetName val="Administrative_Prices12"/>
      <sheetName val="WBS_4412"/>
      <sheetName val="WBS_4112"/>
      <sheetName val="Precios_por_Administración12"/>
      <sheetName val="Subcon_A12"/>
      <sheetName val="Monthly_Load12"/>
      <sheetName val="Weekly_Load12"/>
      <sheetName val="BM_DATA_SHEET13"/>
      <sheetName val="Vind_-_BtB12"/>
      <sheetName val="LV_induction_motors12"/>
      <sheetName val="BSD_(2)12"/>
      <sheetName val="내역서_耰&quot;_x005f_x005f_x005f_x005f_x005f_x005f_x00512"/>
      <sheetName val="Material_Selections12"/>
      <sheetName val="내역서_耰&quot;11"/>
      <sheetName val="breakdown_of_wage_rate12"/>
      <sheetName val="Indirect_Cost12"/>
      <sheetName val="97_사업추정(WEKI)12"/>
      <sheetName val="[SANDAN_XLS??12"/>
      <sheetName val="Piping_BQ_for_one_turbine12"/>
      <sheetName val="Utility_and_Fire_flange12"/>
      <sheetName val="_SANDAN_XLS__12"/>
      <sheetName val="Eq__Mobilization12"/>
      <sheetName val="Fire_Protection12"/>
      <sheetName val="입찰내역_발주처_양식12"/>
      <sheetName val="Heavy_Equipments12"/>
      <sheetName val="AG_Pipe_Qty_Analysis12"/>
      <sheetName val="FWBS_153011"/>
      <sheetName val="Resource_table12"/>
      <sheetName val="Equipment_List12"/>
      <sheetName val="Form1_SQP12"/>
      <sheetName val="공정계획(내부계획25%,내부w_f)12"/>
      <sheetName val="SFN_ORIG12"/>
      <sheetName val="Currency_Rate7"/>
      <sheetName val="w't_table12"/>
      <sheetName val="SCHEDD_TAMBAHAN12"/>
      <sheetName val="실행예산_MM11"/>
      <sheetName val="MODULE_CONFIRM11"/>
      <sheetName val="ITB_COST12"/>
      <sheetName val="내역서_(∮ἀ嘆ɶ11"/>
      <sheetName val="Dir_Manpower_Other_Exp_12"/>
      <sheetName val="4-3LEVEL-5_epic_411"/>
      <sheetName val="단가_(2)11"/>
      <sheetName val="BOQ-B_DOWN11"/>
      <sheetName val="Cash_In-Cash_Out_Actual11"/>
      <sheetName val="PROTECTION_11"/>
      <sheetName val="내역서1999_8최종7"/>
      <sheetName val="Unit_Price_7"/>
      <sheetName val="plan&amp;section_of_foundation8"/>
      <sheetName val="working_load_at_the_btm_ft_8"/>
      <sheetName val="stability_check8"/>
      <sheetName val="design_load8"/>
      <sheetName val="TDC_COA_Sumry7"/>
      <sheetName val="TDC_Item_Dets7"/>
      <sheetName val="TDC_Item_Sumry7"/>
      <sheetName val="TDC_Key_Qty_Sumry7"/>
      <sheetName val="List_-_Components7"/>
      <sheetName val="List_-_Equipment7"/>
      <sheetName val="COA_Sumry_-_Std_Imp7"/>
      <sheetName val="Contr_TDC_-_Std_Imp7"/>
      <sheetName val="Item_Sumry_-_Std_Imp7"/>
      <sheetName val="Unit_Costs_-_Std_Imp7"/>
      <sheetName val="Unit_MH_-_Std_Imp7"/>
      <sheetName val="Proj_TIC_-_Std_Imp7"/>
      <sheetName val="Updating_Form-Oct_20117"/>
      <sheetName val="Weld_Consumable7"/>
      <sheetName val="NDE_Cost-Summary7"/>
      <sheetName val="9July_Above_Ground_Pipe7"/>
      <sheetName val="M_117"/>
      <sheetName val="Process_Data_17"/>
      <sheetName val="Sum_(Case-3)7"/>
      <sheetName val="Man_Power_&amp;_Comp7"/>
      <sheetName val="Data_List7"/>
      <sheetName val="4-Basic_Price7"/>
      <sheetName val="Evaluasi_Penw7"/>
      <sheetName val="Closeout_Control7"/>
      <sheetName val="PROJECT_BRIEF7"/>
      <sheetName val="CUADRO_DE_PRECIOS11"/>
      <sheetName val="Site_Findings_Status_Sheet7"/>
      <sheetName val="5_)_Time_Delays7"/>
      <sheetName val="Unt_rate7"/>
      <sheetName val="1100-1200-1300-1910-2140-LEV_27"/>
      <sheetName val="내역서_耰&quot;_x005f_x005f_x005f_x0000_7"/>
      <sheetName val="내역서_耰&quot;_x005f_x005f_x005f_x005f_7"/>
      <sheetName val="내역서_耰&quot;_x005f_x0000__x00008"/>
      <sheetName val="99__FWBS(Ref)7"/>
      <sheetName val="99__Change_Rate7"/>
      <sheetName val="할증_7"/>
      <sheetName val="RAB_AR&amp;STR7"/>
      <sheetName val="Equip_Rental_Summary_by_Contr7"/>
      <sheetName val="Project_Equip_Rental_Summary7"/>
      <sheetName val="Contractor_Indirect_Sumry7"/>
      <sheetName val="Project_Indirect_Sumry7"/>
      <sheetName val="COA_Sumry_by_Area7"/>
      <sheetName val="COA_Sumry_by_Contr7"/>
      <sheetName val="COA_Sumry_by_RG7"/>
      <sheetName val="TDC_COA_Grp_Sumry7"/>
      <sheetName val="TDC_COA_Grp_Sumry_by_Area7"/>
      <sheetName val="TDC_COA_Grp_Sumry_by_RG7"/>
      <sheetName val="Equipment_Sumry7"/>
      <sheetName val="TDC_Item_Dets-Full7"/>
      <sheetName val="TDC_Item_Dets-IPM-Full7"/>
      <sheetName val="TDC_Item_Sumry_by_Area7"/>
      <sheetName val="TDC_Item_Sumry_by_RG7"/>
      <sheetName val="TDC_Key_Qty_Sumry_by_RG7"/>
      <sheetName val="List_-_Equipment_by_Area7"/>
      <sheetName val="List_-_Equipment_by_Contr7"/>
      <sheetName val="Equipment_-_Unit_Costs_by_Mat7"/>
      <sheetName val="List_-_Equipment_by_Rep_Grp7"/>
      <sheetName val="Craft_Summary_by_Contr7"/>
      <sheetName val="Project_Craft_Summary7"/>
      <sheetName val="Project_Metrics7"/>
      <sheetName val="Discounted_Cash_Flow7"/>
      <sheetName val="Ocean_Transporation_Charge7"/>
      <sheetName val="SUMMARY_(0A)7"/>
      <sheetName val="SUMMARY_(1A)7"/>
      <sheetName val="SUMMARY_(1B)7"/>
      <sheetName val="SUMMARY_(03)7"/>
      <sheetName val="F1(Cable_Rack)7"/>
      <sheetName val="F2(Cable_Rack)7"/>
      <sheetName val="F3(Cable_Rack)7"/>
      <sheetName val="F1_(POLYMER)7"/>
      <sheetName val="F2_(POLYMER)7"/>
      <sheetName val="F3_(POLYMER)7"/>
      <sheetName val="F4_(POLYMER)7"/>
      <sheetName val="F5(_Polymerization_)7"/>
      <sheetName val="F6_(_Polymerization_)7"/>
      <sheetName val="B1_(Grid_A-7,_-6)7"/>
      <sheetName val="B1_(Grid_A,_B)7"/>
      <sheetName val="B1_(Grid_C-7,_-6)7"/>
      <sheetName val="B2_(Grid_-7_B,_C)_(1)7"/>
      <sheetName val="B2_(Grid_-7_B,_C)_(2)7"/>
      <sheetName val="B2_(Grid_-6_B,_C)_(1)7"/>
      <sheetName val="B2_(Grid_-6_B,_C)_(2)7"/>
      <sheetName val="F1_(MONOMER)7"/>
      <sheetName val="F2_(MONOMER)7"/>
      <sheetName val="F3_(MONOMER)7"/>
      <sheetName val="90K060C_(MONOMER)7"/>
      <sheetName val="F1_(EXTRUSION)7"/>
      <sheetName val="F2_(EXTRUSION)7"/>
      <sheetName val="F3_(EXTRUSION)7"/>
      <sheetName val="F4_(EXTRUSION)7"/>
      <sheetName val="F5_(EXTRUSION)7"/>
      <sheetName val="F6A_(EXTRUSION)7"/>
      <sheetName val="F6D_(EXTRUSION)7"/>
      <sheetName val="F7_(EXTRUSION)7"/>
      <sheetName val="F8_(EXTRUSION)7"/>
      <sheetName val="F9_(EXTRUSION)7"/>
      <sheetName val="F10_(EXTRUSION)7"/>
      <sheetName val="F11_(EXTRUSION)7"/>
      <sheetName val="B1_(Grid_F-5`,_4`)7"/>
      <sheetName val="B2_(Grid_F,E-4`)7"/>
      <sheetName val="B2_(Grid_F,E-5`)7"/>
      <sheetName val="B3_(Grid_C,B-4`)7"/>
      <sheetName val="B4_(Grid_B,A-4`)7"/>
      <sheetName val="B5_(Grid_E-5`)_&amp;_(Grid_D-5`)7"/>
      <sheetName val="B6_(Grid_E,D-5')7"/>
      <sheetName val="B7_(Grid_E,D-5')7"/>
      <sheetName val="95D040,_A5067"/>
      <sheetName val="95P040AB,_A5077"/>
      <sheetName val="95X020-U08,_A6027"/>
      <sheetName val="95X020-U07,_A6067"/>
      <sheetName val="95E040,_A5097"/>
      <sheetName val="95D024;025,_A6157"/>
      <sheetName val="95X020-U05,_A6017"/>
      <sheetName val="95X020-U02,_A2047"/>
      <sheetName val="Extruder_FDN7"/>
      <sheetName val="BOG_COMP__FDN7"/>
      <sheetName val="SOG_COMP__FDN7"/>
      <sheetName val="1G1_(Ground_Beam)7"/>
      <sheetName val="1G2-1(Ground_Beam)7"/>
      <sheetName val="1G2-2(Ground_Beam)7"/>
      <sheetName val="P15,_167"/>
      <sheetName val="LO_CONSOLE_FDN7"/>
      <sheetName val="OIL_COOLER_FDN7"/>
      <sheetName val="CW_CONSOLE_FDN_(SOG)7"/>
      <sheetName val="PD3_(SOG)7"/>
      <sheetName val="SF1_(SOG)7"/>
      <sheetName val="SF2_(SOG)7"/>
      <sheetName val="SLAB_(1S1-1)7"/>
      <sheetName val="SLAB_(1S1-2)7"/>
      <sheetName val="SLAB_(1S1-3)7"/>
      <sheetName val="COLUMN_(+5500)7"/>
      <sheetName val="COLUMN_(+12500)7"/>
      <sheetName val="COLUMN_(+15500)7"/>
      <sheetName val="ETC_7"/>
      <sheetName val="Cash_Flow_bulanan7"/>
      <sheetName val="H_Satuan7"/>
      <sheetName val="In-House_Summary7"/>
      <sheetName val="Tools_&amp;_Settings7"/>
      <sheetName val="Data_Summary7"/>
      <sheetName val="Crew_Costs7"/>
      <sheetName val="Spread_Costs7"/>
      <sheetName val="Unique_List_Misc7"/>
      <sheetName val="Codes_Pers7"/>
      <sheetName val="Direct_PMS7"/>
      <sheetName val="UP_MINOR7"/>
      <sheetName val="Item_code7"/>
      <sheetName val="Aux_7"/>
      <sheetName val="Pengesahan_7"/>
      <sheetName val="__7"/>
      <sheetName val="_7"/>
      <sheetName val="breakdown_of_wage_ra`f6"/>
      <sheetName val="breakdown_of_wage_ra6"/>
      <sheetName val="breakdown_of_wage_rað-6"/>
      <sheetName val="2_Overall_Summary_6"/>
      <sheetName val="Rates_&amp;_Legend7"/>
      <sheetName val="OCT_FDN7"/>
      <sheetName val="BO䁑-B_䁄OWN7"/>
      <sheetName val="Bill_rekap7"/>
      <sheetName val="Harga_Satuan7"/>
      <sheetName val="F_ALARM7"/>
      <sheetName val="0__Resource　Code6"/>
      <sheetName val="breakdown_of_wage_rap6"/>
      <sheetName val="00-Summary_Information-ABB6"/>
      <sheetName val="breakdown_of_wage_ra6"/>
      <sheetName val="Exchange_Rate7"/>
      <sheetName val="General_Notes7"/>
      <sheetName val="내역서_耰&quot;_x005f_x0000_7"/>
      <sheetName val="내역서_耰&quot;_x005f_x005f_7"/>
      <sheetName val="Process_Data_(2)7"/>
      <sheetName val="PABS,Site_info6"/>
      <sheetName val="내역서_耰&quot;_6"/>
      <sheetName val="2__현장_자금투입_집계표7"/>
      <sheetName val="_도면_및_도서_제출목록_및_일정_170202_xlsx7"/>
      <sheetName val="Distribution_Table6"/>
      <sheetName val="Raw_data6"/>
      <sheetName val="차트_(2)7"/>
      <sheetName val="Material_code6"/>
      <sheetName val="DROP_DOWN6"/>
      <sheetName val="개시대사_(2)6"/>
      <sheetName val="DATA_MENTAH6"/>
      <sheetName val="내역서_(N____x000a_7"/>
      <sheetName val="TQ_Format5"/>
      <sheetName val="HO_Site_Rates-20116"/>
      <sheetName val="Linelist_LNGC_Process6"/>
      <sheetName val="Equipment_Spec_List6"/>
      <sheetName val="SPEC_LIST(EQUP,_SYS)6"/>
      <sheetName val="Action_Item6"/>
      <sheetName val="ID_CD6"/>
      <sheetName val="Air_Cooler-E6"/>
      <sheetName val="SUM_5"/>
      <sheetName val="Al_Taweelah6"/>
      <sheetName val="Particular_Sch6"/>
      <sheetName val="breakdown_of_wage_raÐ¾5"/>
      <sheetName val="Additional_data5"/>
      <sheetName val="11_자재단가4"/>
      <sheetName val="LIFE_&amp;_REP_PROVN4"/>
      <sheetName val="O&amp;M_CREW4"/>
      <sheetName val="33628-Rev__A4"/>
      <sheetName val="Cashflow_Analysis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Attach_4-184"/>
      <sheetName val="INPUT_DATA_OF_SCHEDULE4"/>
      <sheetName val="OIL_SEPARATOR4"/>
      <sheetName val="CATCH_BASIN4"/>
      <sheetName val="FW_Post_Indicator_Valve_24&quot;4"/>
      <sheetName val="FW_Post_Indicator_Valve_20&quot;4"/>
      <sheetName val="FW_Post_Indicator_Valve_6&quot;4"/>
      <sheetName val="Fire_Monitor_or_Hydrant_6&quot;_FDN4"/>
      <sheetName val="SUMP_VB4"/>
      <sheetName val="CLEANOUT_4&quot;4"/>
      <sheetName val="Not_reqd4"/>
      <sheetName val="호환성_보고서4"/>
      <sheetName val="Finansal_tamamlanma_Eğrisi4"/>
      <sheetName val="Master_List4"/>
      <sheetName val="Scheme_Area_Details_Block___C24"/>
      <sheetName val="14-Eng_rate4"/>
      <sheetName val="리스크_분류체계4"/>
      <sheetName val="Tender_data4"/>
      <sheetName val="Activity_Form4"/>
      <sheetName val="GM_0004"/>
      <sheetName val="Admin_Manu_2-Equipment_Type_ID4"/>
      <sheetName val="일위대가_4"/>
      <sheetName val="SECL_리스크_분류체계_(2)4"/>
      <sheetName val="1_설계기준4"/>
      <sheetName val="Cash_Flow4"/>
      <sheetName val="REF_for_VV4"/>
      <sheetName val="P-Ins_&amp;_Bonds4"/>
      <sheetName val="INSTLIST_14"/>
      <sheetName val="내역서_(∮ἀ嘆ɶ?᠀㬁?4"/>
      <sheetName val="Fig_4-144"/>
      <sheetName val="Itembalance_Report_(18-sep-18)4"/>
      <sheetName val="BUDGET_SUMMARY_4"/>
      <sheetName val="광통신_견적내역서14"/>
      <sheetName val="5__월별투입내역서4"/>
      <sheetName val="Att-1_CTCI_MH_rate4"/>
      <sheetName val="SUMMARY_MTO_02_2_352"/>
      <sheetName val="N_G_METERING_CALC_2"/>
      <sheetName val="N_G_METERING2"/>
      <sheetName val="N_G_METERING_(2)2"/>
      <sheetName val="CUMENE_METERING2"/>
      <sheetName val="N2_METERING_2"/>
      <sheetName val="H2_METERING__2"/>
      <sheetName val="CO_METERING2"/>
      <sheetName val="Bill_4_7_Predestain_Bridge_2"/>
      <sheetName val="Bill_4_7_Predestain2"/>
      <sheetName val="1_1_FT_type_12"/>
      <sheetName val="1_2_FT_type_1A2"/>
      <sheetName val="1_3_FT_type_22"/>
      <sheetName val="1_4_FT_type_32"/>
      <sheetName val="1_5_FT_type_42"/>
      <sheetName val="2_1_CL_Outside2"/>
      <sheetName val="2_2_CL_Inside2"/>
      <sheetName val="2_3_CL_Ramp2"/>
      <sheetName val="3_1_CB_Outside2"/>
      <sheetName val="3_2_CB_Inside2"/>
      <sheetName val="4_Stair2"/>
      <sheetName val="5_Ramp2"/>
      <sheetName val="6_Handrail2"/>
      <sheetName val="Invoice_(Interim_No_28)2"/>
      <sheetName val="Cost_Summary2"/>
      <sheetName val="Direct_Cost2"/>
      <sheetName val="Direct_Cost_(2)2"/>
      <sheetName val="Summary_(3)2"/>
      <sheetName val="Indirect_Cost_Summary2"/>
      <sheetName val="TR_Rev_vs_Commit2"/>
      <sheetName val="TR_+MMHE_PL_report2"/>
      <sheetName val="P23P2724___Commitment_2"/>
      <sheetName val="설산1_나4"/>
      <sheetName val="Analisa_Fave4"/>
      <sheetName val="Harsat_Bahan4"/>
      <sheetName val="Harsat_Subkon4"/>
      <sheetName val="Harsat_Upah4"/>
      <sheetName val="Master_1_04"/>
      <sheetName val="Agregat_Halus_&amp;_Kasar4"/>
      <sheetName val="HARGA_MATERIAL4"/>
      <sheetName val="Harga_Sat_APP4"/>
      <sheetName val="Tgh_JGC-Inv_I_clp4"/>
      <sheetName val="PCS_4"/>
      <sheetName val="Progress_Statement-SI4"/>
      <sheetName val="Progress_Payment-31104"/>
      <sheetName val="Perm__Test4"/>
      <sheetName val="Galian_14"/>
      <sheetName val="Analisa_Lump_sum4"/>
      <sheetName val="Sec_I_ML4"/>
      <sheetName val="dongia_(2)4"/>
      <sheetName val="BM_#14"/>
      <sheetName val="Weekl_5"/>
      <sheetName val="내역서_(N____9"/>
      <sheetName val="내역서_(N____10"/>
      <sheetName val="__x04"/>
      <sheetName val="OPT_5"/>
      <sheetName val="내역서_(N__x004"/>
      <sheetName val="List_register4"/>
      <sheetName val="Direct_Histogram_Rev__A_(f)4"/>
      <sheetName val="Tables_3_1_to_3_5_EXH_G4"/>
      <sheetName val="64_44"/>
      <sheetName val="64_54"/>
      <sheetName val="36_24"/>
      <sheetName val="36_14"/>
      <sheetName val="Precios_Unitariԯ3"/>
      <sheetName val="EQUIPOS_DE_SEGURIDAD4"/>
      <sheetName val="MATERIALES_CONSUMIBLES4"/>
      <sheetName val="PERSONAL_INDIRECTO_4"/>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SPT_vs_PHI2"/>
      <sheetName val="05__Curva_S3"/>
      <sheetName val="Cost_Code4"/>
      <sheetName val="Data_Ref4"/>
      <sheetName val="Interdept_Rate4"/>
      <sheetName val="4300_UTILITY_BLDG_(2)4"/>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สรุปยอดเหล็กตาม_Cost_Record_VY2"/>
      <sheetName val="แนบ_PR2"/>
      <sheetName val="OR21_Final_Forecast_Rev_22"/>
      <sheetName val="Summary_Forecast_Budget_1&amp;22"/>
      <sheetName val="Summary_Forecast_Budget_Rev_22"/>
      <sheetName val="Backup_OR21_2"/>
      <sheetName val="Budget_for_ENT2"/>
      <sheetName val="ADJ__D-Wall&amp;BR_Ent__Rev_2_12"/>
      <sheetName val="Rebar+Conพื้น_Waste10%2"/>
      <sheetName val="Backup_D-Wall_Ent__13_07_192"/>
      <sheetName val="Backup_BR_ENT__13_07_192"/>
      <sheetName val="Final_Forecast_721112"/>
      <sheetName val="IMP_OR21_2019_07_112"/>
      <sheetName val="Concrete_721122"/>
      <sheetName val="หินเกล็ด_2"/>
      <sheetName val="เปรียบเทียบBudget_BR_2"/>
      <sheetName val="ADJ__BR_Ent__Rev_2_1_(2)2"/>
      <sheetName val="แผนงานBarrette_Pile2"/>
      <sheetName val="BOQ__VI_03_09_19_2"/>
      <sheetName val="Backup_BR_BMA2"/>
      <sheetName val="Sum_Budget&amp;Rev_12"/>
      <sheetName val="Sum_Budget_Rev_12"/>
      <sheetName val="Sum_Budget&amp;Rev_1_Rebar2"/>
      <sheetName val="Sum_Budget_Rev_2_Rebar2"/>
      <sheetName val="Rebar+Conพื้น_Waste10%_Rev_002"/>
      <sheetName val="Rebar+Conพื้น_Waste10%_Rev_01_2"/>
      <sheetName val="Equip_Rev_00_Budget2"/>
      <sheetName val="Budget_Waterpoofing2"/>
      <sheetName val="Enron_Form2"/>
      <sheetName val="IRR_sponsor2"/>
      <sheetName val="Consortium_VP2"/>
      <sheetName val="Summary_MONTH2"/>
      <sheetName val="DESICON_SUM2"/>
      <sheetName val="DES_TCF_Rental2"/>
      <sheetName val="DES_TCF_Maints_pers2"/>
      <sheetName val="DES_TCF_Heavy_Equipment2"/>
      <sheetName val="BANK_BOND2"/>
      <sheetName val="PHC_WAREHOUSE_-_INFOONLY2"/>
      <sheetName val="CATERING_CONTROL2"/>
      <sheetName val="SUB_CONTRACT2"/>
      <sheetName val="SPDC_-_INFONLY2"/>
      <sheetName val="VENDOR_SCHEDUL2"/>
      <sheetName val="VENDOR_PRESENCE_-_COMM2"/>
      <sheetName val="VENDOR_PRESENCE_-_RECH2"/>
      <sheetName val="VENDOR_PRESENCE_-_COMM_2"/>
      <sheetName val="CONTRACT_RATES2"/>
      <sheetName val="Sch_62"/>
      <sheetName val="2013电气概算_价目表_(营改增调整)2"/>
      <sheetName val="1_11_b2"/>
      <sheetName val="SPEC(CABLE_&amp;_WIRE)2"/>
      <sheetName val="RESUMEN_CD2"/>
      <sheetName val="BOQ_REV62"/>
      <sheetName val="Maliyet_Ozet2"/>
      <sheetName val="1_1-1_22"/>
      <sheetName val="1_3-_1_42"/>
      <sheetName val="3_12"/>
      <sheetName val="3_22"/>
      <sheetName val="4_1(a)2"/>
      <sheetName val="4_1(b)2"/>
      <sheetName val="4_1_(c)2"/>
      <sheetName val="5_12"/>
      <sheetName val="내역서_(N____13"/>
      <sheetName val="6_공정표2"/>
      <sheetName val="List_Equip2"/>
      <sheetName val="Process_C_(1-166)2"/>
      <sheetName val="TRUCK_HAUL_CYCLE-waste2"/>
      <sheetName val="Existing_PC_Pavement2"/>
      <sheetName val="Master_Data2"/>
      <sheetName val="ind'l_cp2"/>
      <sheetName val="LAST_UPDATE2"/>
      <sheetName val="0_품의서(전체)2"/>
      <sheetName val="3_부제O호표2"/>
      <sheetName val="5_소모재료비2"/>
      <sheetName val="8_시멘트제원표2"/>
      <sheetName val="2_품제O호표2"/>
      <sheetName val="본부_SHOP2"/>
      <sheetName val="#6_MDU_일반2"/>
      <sheetName val="#6_MDU엄반장2"/>
      <sheetName val="#6MDU_기계2"/>
      <sheetName val="HOU_COMP`2"/>
      <sheetName val="FCC_OBL-SHOP2"/>
      <sheetName val="NEW_FCC_OBL2"/>
      <sheetName val="#4_MDU2"/>
      <sheetName val="#6_SHOP2"/>
      <sheetName val="NRC_OBL-조연식2"/>
      <sheetName val="광양-조연식_반장2"/>
      <sheetName val="#5MDU_REV2"/>
      <sheetName val="LBO_PROJECT2"/>
      <sheetName val="VENDOR_LIST2"/>
      <sheetName val="BOP_LINE_LIST2"/>
      <sheetName val="5__Work_load(현재원기준)4"/>
      <sheetName val="A__ENGINEERING2"/>
      <sheetName val="B-1__배관자재2"/>
      <sheetName val="B-2__전기자재2"/>
      <sheetName val="B-3__계장자재2"/>
      <sheetName val="B-4__기계자재2"/>
      <sheetName val="C-1__공통가설2"/>
      <sheetName val="C-2__토목2"/>
      <sheetName val="C-4__철골2"/>
      <sheetName val="C-5__기계2"/>
      <sheetName val="C-6__배관2"/>
      <sheetName val="C-7__전기2"/>
      <sheetName val="C-8__계장2"/>
      <sheetName val="C-9__중장비2"/>
      <sheetName val="C-10__소방설비2"/>
      <sheetName val="C-11__보온2"/>
      <sheetName val="C-12__CMS2"/>
      <sheetName val="Equipt_Rental2"/>
      <sheetName val="EQ_USED_(CORRECTED)2"/>
      <sheetName val="Rebar_Constant2"/>
      <sheetName val="CONCRETE_TYPE2"/>
      <sheetName val="Other_data2"/>
      <sheetName val="내역서_(∮ἀ嘆ɶ_᠀㬁_3"/>
      <sheetName val="InD_Mpower2"/>
      <sheetName val="ABB_Summary2"/>
      <sheetName val="Man_power_rate2"/>
      <sheetName val="Const_equip_rate2"/>
      <sheetName val="01-Gang_Rate_&amp;_Info2"/>
      <sheetName val="05-Sum_Cost2"/>
      <sheetName val="06-Indirect_Loading2"/>
      <sheetName val="07-Heavy_Equipment2"/>
      <sheetName val="08-RR_Check_List2"/>
      <sheetName val="1)_Risk_and_Opportunities2"/>
      <sheetName val="2)_Full_Cost_Calculation2"/>
      <sheetName val="Vehicle_Log2"/>
      <sheetName val="M&amp;E_Summary2"/>
      <sheetName val="rev_summary2"/>
      <sheetName val="M&amp;E_Prelims2"/>
      <sheetName val="B-FP_(2)2"/>
      <sheetName val="Sch_12"/>
      <sheetName val="tblg_denda3"/>
      <sheetName val="F1_42"/>
      <sheetName val="Manpower_Categories2"/>
      <sheetName val="External_Issues2"/>
      <sheetName val="Statprod_gab3"/>
      <sheetName val="L_13"/>
      <sheetName val="Equip_Mstr_FOR_3A12"/>
      <sheetName val="G_R300경비2"/>
      <sheetName val="AS포장복구_2"/>
      <sheetName val="중기조종사_단위단가2"/>
      <sheetName val="설_계2"/>
      <sheetName val="5_Cennik3"/>
      <sheetName val="_토목_처리장도급내역서_2"/>
      <sheetName val="Garph_Work-Cost2"/>
      <sheetName val="LRK_2"/>
      <sheetName val="Insulation_1501082"/>
      <sheetName val="동상부_Tact_기준_반입일정_및_수량_02172"/>
      <sheetName val="MASTER_RATE_ANALYSIS2"/>
      <sheetName val="MN_T_B_2"/>
      <sheetName val="INDIGINEOUS_ITEMS_2"/>
      <sheetName val="Core_Data2"/>
      <sheetName val="final_abstract2"/>
      <sheetName val="GRAND_REKAP1"/>
      <sheetName val="analisa_(2)1"/>
      <sheetName val="Analisa_21"/>
      <sheetName val="Up_&amp;_bhn1"/>
      <sheetName val="HRG_BHN1"/>
      <sheetName val="Analisa_(ok_punya)1"/>
      <sheetName val="Alat_(2)1"/>
      <sheetName val="Rekap_Biaya1"/>
      <sheetName val="Kuantitas_&amp;_Harga1"/>
      <sheetName val="Nopember_(2)1"/>
      <sheetName val="Ramp_data1"/>
      <sheetName val="Lower_Ground1"/>
      <sheetName val="Cap_Cost1"/>
      <sheetName val="RLV_Calc1"/>
      <sheetName val="Costs_(dev)1"/>
      <sheetName val="Bluewater_NPV_-_sell_January1"/>
      <sheetName val="Upper_Ground1"/>
      <sheetName val="PARK_NE1"/>
      <sheetName val="Financial_Summary1"/>
      <sheetName val="D&amp;C_Calcs1"/>
      <sheetName val="CA_Upside_Downside_Old1"/>
      <sheetName val="EASEL_CA_Example1"/>
      <sheetName val="Urai__Resap_pengikat1"/>
      <sheetName val="DAF_HRG1"/>
      <sheetName val="7_공정표1"/>
      <sheetName val="Kolom_UT1"/>
      <sheetName val="HB_1"/>
      <sheetName val="Memb_Schd1"/>
      <sheetName val="Coef_et_données1"/>
      <sheetName val="Eng_Hrs_(HO)1"/>
      <sheetName val="MFG_&amp;_DEL1"/>
      <sheetName val="원가조정_내역1"/>
      <sheetName val="InsertListDrawing_1_1"/>
      <sheetName val="P_Staff_fac1"/>
      <sheetName val="beam-reinft-IIInd_floor1"/>
      <sheetName val="P-Site_fac1"/>
      <sheetName val="P-Clients_fac1"/>
      <sheetName val="P2-Project_Data1"/>
      <sheetName val="a_h_ars_sum1"/>
      <sheetName val="a_h_ars1"/>
      <sheetName val="KUWATI(Total)_17"/>
      <sheetName val="OPTION_217"/>
      <sheetName val="OPTION_317"/>
      <sheetName val="집계표_(TOTAL)17"/>
      <sheetName val="집계표_(CIVIL-23)17"/>
      <sheetName val="집계표_(FGRU)17"/>
      <sheetName val="집계표_(25,26)17"/>
      <sheetName val="집계표_(MEROX)17"/>
      <sheetName val="집계표_(NITROGEN)17"/>
      <sheetName val="집계표_(M4)17"/>
      <sheetName val="집계표_(CIVIL4)17"/>
      <sheetName val="집계표_(CIVIL6)17"/>
      <sheetName val="집계표_(CIVIL7)17"/>
      <sheetName val="내역서(DEMO_TOTAL)17"/>
      <sheetName val="내역서_(CIVIL-23)17"/>
      <sheetName val="내역서_(fgru)17"/>
      <sheetName val="내역서_(25&amp;26)17"/>
      <sheetName val="내역서_(MEROX)17"/>
      <sheetName val="내역서_(NITROGEN)17"/>
      <sheetName val="내역서_(M4)17"/>
      <sheetName val="내역서_(CIVIL-4)17"/>
      <sheetName val="내역서_(CIVIL-6)17"/>
      <sheetName val="내역서_(CIVIL-7)17"/>
      <sheetName val="2002년_현장공사비_국내_실적17"/>
      <sheetName val="2003년국내현장공사비_실적17"/>
      <sheetName val="VC2_10_9917"/>
      <sheetName val="INPUT_DATA16"/>
      <sheetName val="집계표_(25,26ဩ16"/>
      <sheetName val="General_Data16"/>
      <sheetName val="Form_016"/>
      <sheetName val="LABOR_&amp;_자재15"/>
      <sheetName val="입출재고현황_(2)15"/>
      <sheetName val="Form_D-115"/>
      <sheetName val="Form_B-115"/>
      <sheetName val="Form_F-115"/>
      <sheetName val="Form_A15"/>
      <sheetName val="3_공통공사대비15"/>
      <sheetName val="간접비_총괄15"/>
      <sheetName val="Rate_Analysis15"/>
      <sheetName val="Price_Schedule15"/>
      <sheetName val="CAL_15"/>
      <sheetName val="EQUIPMENT_-215"/>
      <sheetName val="Z-_GENERAL_PRICE_SUMMARY13"/>
      <sheetName val="_Estimate__13"/>
      <sheetName val="WEIGHT_LIST14"/>
      <sheetName val="산#2-1_(2)14"/>
      <sheetName val="BEND_LOSS14"/>
      <sheetName val="공사비_내역_(가)14"/>
      <sheetName val="내역서_耰&quot;??15"/>
      <sheetName val="단면_(2)14"/>
      <sheetName val="6PILE__(돌출)14"/>
      <sheetName val="Static_Equip14"/>
      <sheetName val="Form_A_14"/>
      <sheetName val="내역서_耰&quot;_x005f_x0000__x005f_x0000_14"/>
      <sheetName val="3_Breakdown_Direct_Paint14"/>
      <sheetName val="Áý°èÇ¥_(TOTAL)13"/>
      <sheetName val="Áý°èÇ¥_(CIVIL-23)13"/>
      <sheetName val="Áý°èÇ¥_(FGRU)13"/>
      <sheetName val="Áý°èÇ¥_(25,26)13"/>
      <sheetName val="Áý°èÇ¥_(MEROX)13"/>
      <sheetName val="Áý°èÇ¥_(NITROGEN)13"/>
      <sheetName val="Áý°èÇ¥_(M4)13"/>
      <sheetName val="Áý°èÇ¥_(CIVIL4)13"/>
      <sheetName val="Áý°èÇ¥_(CIVIL6)13"/>
      <sheetName val="Áý°èÇ¥_(CIVIL7)13"/>
      <sheetName val="³»¿ª¼­(DEMO_TOTAL)13"/>
      <sheetName val="³»¿ª¼­_(CIVIL-23)13"/>
      <sheetName val="³»¿ª¼­_(fgru)13"/>
      <sheetName val="³»¿ª¼­_(25&amp;26)13"/>
      <sheetName val="³»¿ª¼­_(MEROX)13"/>
      <sheetName val="³»¿ª¼­_(NITROGEN)13"/>
      <sheetName val="³»¿ª¼­_(M4)13"/>
      <sheetName val="³»¿ª¼­_(CIVIL-4)13"/>
      <sheetName val="³»¿ª¼­_(CIVIL-6)13"/>
      <sheetName val="³»¿ª¼­_(CIVIL-7)13"/>
      <sheetName val="2002³â_ÇöÀå°ø»çºñ_±¹³»_½ÇÀû13"/>
      <sheetName val="2003³â±¹³»ÇöÀå°ø»çºñ_½ÇÀû13"/>
      <sheetName val="내역서_耰&quot;__15"/>
      <sheetName val="Summary_Sheets14"/>
      <sheetName val="Man_Hole13"/>
      <sheetName val="Sheet1_(2)14"/>
      <sheetName val="Civil_114"/>
      <sheetName val="Civil_214"/>
      <sheetName val="Civil_314"/>
      <sheetName val="Site_114"/>
      <sheetName val="Site_214"/>
      <sheetName val="Site_314"/>
      <sheetName val="Site_Faci14"/>
      <sheetName val="내역서_耰&quot;_x005f_x005f_x005f_x0000__x005f_x005f_x0013"/>
      <sheetName val="7__월별투입내역서13"/>
      <sheetName val="계측_내역서13"/>
      <sheetName val="2_2_STAFF_Scedule13"/>
      <sheetName val="내역서_耰&quot;_x005f_x005f_x005f_x005f_x005f_x005f_x00013"/>
      <sheetName val="T_313"/>
      <sheetName val="HORI__VESSEL13"/>
      <sheetName val="EQUIP_LIST13"/>
      <sheetName val="MP_MOB13"/>
      <sheetName val="Form_B13"/>
      <sheetName val="Precios_Unitarios13"/>
      <sheetName val="Administrative_Prices13"/>
      <sheetName val="WBS_4413"/>
      <sheetName val="WBS_4113"/>
      <sheetName val="Precios_por_Administración13"/>
      <sheetName val="Subcon_A13"/>
      <sheetName val="Monthly_Load13"/>
      <sheetName val="Weekly_Load13"/>
      <sheetName val="BM_DATA_SHEET14"/>
      <sheetName val="Vind_-_BtB13"/>
      <sheetName val="LV_induction_motors13"/>
      <sheetName val="BSD_(2)13"/>
      <sheetName val="내역서_耰&quot;_x005f_x005f_x005f_x005f_x005f_x005f_x00513"/>
      <sheetName val="Material_Selections13"/>
      <sheetName val="내역서_耰&quot;12"/>
      <sheetName val="breakdown_of_wage_rate13"/>
      <sheetName val="Indirect_Cost13"/>
      <sheetName val="97_사업추정(WEKI)13"/>
      <sheetName val="[SANDAN_XLS??13"/>
      <sheetName val="Piping_BQ_for_one_turbine13"/>
      <sheetName val="Utility_and_Fire_flange13"/>
      <sheetName val="_SANDAN_XLS__13"/>
      <sheetName val="Eq__Mobilization13"/>
      <sheetName val="Fire_Protection13"/>
      <sheetName val="입찰내역_발주처_양식13"/>
      <sheetName val="Heavy_Equipments13"/>
      <sheetName val="AG_Pipe_Qty_Analysis13"/>
      <sheetName val="FWBS_153012"/>
      <sheetName val="Resource_table13"/>
      <sheetName val="Equipment_List13"/>
      <sheetName val="Form1_SQP13"/>
      <sheetName val="공정계획(내부계획25%,내부w_f)13"/>
      <sheetName val="SFN_ORIG13"/>
      <sheetName val="Currency_Rate8"/>
      <sheetName val="w't_table13"/>
      <sheetName val="SCHEDD_TAMBAHAN13"/>
      <sheetName val="실행예산_MM12"/>
      <sheetName val="MODULE_CONFIRM12"/>
      <sheetName val="ITB_COST13"/>
      <sheetName val="내역서_(∮ἀ嘆ɶ12"/>
      <sheetName val="Dir_Manpower_Other_Exp_13"/>
      <sheetName val="4-3LEVEL-5_epic_412"/>
      <sheetName val="단가_(2)12"/>
      <sheetName val="BOQ-B_DOWN12"/>
      <sheetName val="Cash_In-Cash_Out_Actual12"/>
      <sheetName val="PROTECTION_12"/>
      <sheetName val="내역서1999_8최종8"/>
      <sheetName val="Unit_Price_8"/>
      <sheetName val="plan&amp;section_of_foundation9"/>
      <sheetName val="working_load_at_the_btm_ft_9"/>
      <sheetName val="stability_check9"/>
      <sheetName val="design_load9"/>
      <sheetName val="TDC_COA_Sumry8"/>
      <sheetName val="TDC_Item_Dets8"/>
      <sheetName val="TDC_Item_Sumry8"/>
      <sheetName val="TDC_Key_Qty_Sumry8"/>
      <sheetName val="List_-_Components8"/>
      <sheetName val="List_-_Equipment8"/>
      <sheetName val="COA_Sumry_-_Std_Imp8"/>
      <sheetName val="Contr_TDC_-_Std_Imp8"/>
      <sheetName val="Item_Sumry_-_Std_Imp8"/>
      <sheetName val="Unit_Costs_-_Std_Imp8"/>
      <sheetName val="Unit_MH_-_Std_Imp8"/>
      <sheetName val="Proj_TIC_-_Std_Imp8"/>
      <sheetName val="Updating_Form-Oct_20118"/>
      <sheetName val="Weld_Consumable8"/>
      <sheetName val="NDE_Cost-Summary8"/>
      <sheetName val="9July_Above_Ground_Pipe8"/>
      <sheetName val="M_118"/>
      <sheetName val="Process_Data_18"/>
      <sheetName val="Sum_(Case-3)8"/>
      <sheetName val="Man_Power_&amp;_Comp8"/>
      <sheetName val="Data_List8"/>
      <sheetName val="4-Basic_Price8"/>
      <sheetName val="Evaluasi_Penw8"/>
      <sheetName val="Closeout_Control8"/>
      <sheetName val="PROJECT_BRIEF8"/>
      <sheetName val="CUADRO_DE_PRECIOS12"/>
      <sheetName val="Site_Findings_Status_Sheet8"/>
      <sheetName val="5_)_Time_Delays8"/>
      <sheetName val="Unt_rate8"/>
      <sheetName val="1100-1200-1300-1910-2140-LEV_28"/>
      <sheetName val="내역서_耰&quot;_x005f_x005f_x005f_x0000_8"/>
      <sheetName val="내역서_耰&quot;_x005f_x005f_x005f_x005f_8"/>
      <sheetName val="내역서_耰&quot;_x005f_x0000__x00009"/>
      <sheetName val="99__FWBS(Ref)8"/>
      <sheetName val="99__Change_Rate8"/>
      <sheetName val="할증_8"/>
      <sheetName val="RAB_AR&amp;STR8"/>
      <sheetName val="Equip_Rental_Summary_by_Contr8"/>
      <sheetName val="Project_Equip_Rental_Summary8"/>
      <sheetName val="Contractor_Indirect_Sumry8"/>
      <sheetName val="Project_Indirect_Sumry8"/>
      <sheetName val="COA_Sumry_by_Area8"/>
      <sheetName val="COA_Sumry_by_Contr8"/>
      <sheetName val="COA_Sumry_by_RG8"/>
      <sheetName val="TDC_COA_Grp_Sumry8"/>
      <sheetName val="TDC_COA_Grp_Sumry_by_Area8"/>
      <sheetName val="TDC_COA_Grp_Sumry_by_RG8"/>
      <sheetName val="Equipment_Sumry8"/>
      <sheetName val="TDC_Item_Dets-Full8"/>
      <sheetName val="TDC_Item_Dets-IPM-Full8"/>
      <sheetName val="TDC_Item_Sumry_by_Area8"/>
      <sheetName val="TDC_Item_Sumry_by_RG8"/>
      <sheetName val="TDC_Key_Qty_Sumry_by_RG8"/>
      <sheetName val="List_-_Equipment_by_Area8"/>
      <sheetName val="List_-_Equipment_by_Contr8"/>
      <sheetName val="Equipment_-_Unit_Costs_by_Mat8"/>
      <sheetName val="List_-_Equipment_by_Rep_Grp8"/>
      <sheetName val="Craft_Summary_by_Contr8"/>
      <sheetName val="Project_Craft_Summary8"/>
      <sheetName val="Project_Metrics8"/>
      <sheetName val="Discounted_Cash_Flow8"/>
      <sheetName val="Ocean_Transporation_Charge8"/>
      <sheetName val="SUMMARY_(0A)8"/>
      <sheetName val="SUMMARY_(1A)8"/>
      <sheetName val="SUMMARY_(1B)8"/>
      <sheetName val="SUMMARY_(03)8"/>
      <sheetName val="F1(Cable_Rack)8"/>
      <sheetName val="F2(Cable_Rack)8"/>
      <sheetName val="F3(Cable_Rack)8"/>
      <sheetName val="F1_(POLYMER)8"/>
      <sheetName val="F2_(POLYMER)8"/>
      <sheetName val="F3_(POLYMER)8"/>
      <sheetName val="F4_(POLYMER)8"/>
      <sheetName val="F5(_Polymerization_)8"/>
      <sheetName val="F6_(_Polymerization_)8"/>
      <sheetName val="B1_(Grid_A-7,_-6)8"/>
      <sheetName val="B1_(Grid_A,_B)8"/>
      <sheetName val="B1_(Grid_C-7,_-6)8"/>
      <sheetName val="B2_(Grid_-7_B,_C)_(1)8"/>
      <sheetName val="B2_(Grid_-7_B,_C)_(2)8"/>
      <sheetName val="B2_(Grid_-6_B,_C)_(1)8"/>
      <sheetName val="B2_(Grid_-6_B,_C)_(2)8"/>
      <sheetName val="F1_(MONOMER)8"/>
      <sheetName val="F2_(MONOMER)8"/>
      <sheetName val="F3_(MONOMER)8"/>
      <sheetName val="90K060C_(MONOMER)8"/>
      <sheetName val="F1_(EXTRUSION)8"/>
      <sheetName val="F2_(EXTRUSION)8"/>
      <sheetName val="F3_(EXTRUSION)8"/>
      <sheetName val="F4_(EXTRUSION)8"/>
      <sheetName val="F5_(EXTRUSION)8"/>
      <sheetName val="F6A_(EXTRUSION)8"/>
      <sheetName val="F6D_(EXTRUSION)8"/>
      <sheetName val="F7_(EXTRUSION)8"/>
      <sheetName val="F8_(EXTRUSION)8"/>
      <sheetName val="F9_(EXTRUSION)8"/>
      <sheetName val="F10_(EXTRUSION)8"/>
      <sheetName val="F11_(EXTRUSION)8"/>
      <sheetName val="B1_(Grid_F-5`,_4`)8"/>
      <sheetName val="B2_(Grid_F,E-4`)8"/>
      <sheetName val="B2_(Grid_F,E-5`)8"/>
      <sheetName val="B3_(Grid_C,B-4`)8"/>
      <sheetName val="B4_(Grid_B,A-4`)8"/>
      <sheetName val="B5_(Grid_E-5`)_&amp;_(Grid_D-5`)8"/>
      <sheetName val="B6_(Grid_E,D-5')8"/>
      <sheetName val="B7_(Grid_E,D-5')8"/>
      <sheetName val="95D040,_A5068"/>
      <sheetName val="95P040AB,_A5078"/>
      <sheetName val="95X020-U08,_A6028"/>
      <sheetName val="95X020-U07,_A6068"/>
      <sheetName val="95E040,_A5098"/>
      <sheetName val="95D024;025,_A6158"/>
      <sheetName val="95X020-U05,_A6018"/>
      <sheetName val="95X020-U02,_A2048"/>
      <sheetName val="Extruder_FDN8"/>
      <sheetName val="BOG_COMP__FDN8"/>
      <sheetName val="SOG_COMP__FDN8"/>
      <sheetName val="1G1_(Ground_Beam)8"/>
      <sheetName val="1G2-1(Ground_Beam)8"/>
      <sheetName val="1G2-2(Ground_Beam)8"/>
      <sheetName val="P15,_168"/>
      <sheetName val="LO_CONSOLE_FDN8"/>
      <sheetName val="OIL_COOLER_FDN8"/>
      <sheetName val="CW_CONSOLE_FDN_(SOG)8"/>
      <sheetName val="PD3_(SOG)8"/>
      <sheetName val="SF1_(SOG)8"/>
      <sheetName val="SF2_(SOG)8"/>
      <sheetName val="SLAB_(1S1-1)8"/>
      <sheetName val="SLAB_(1S1-2)8"/>
      <sheetName val="SLAB_(1S1-3)8"/>
      <sheetName val="COLUMN_(+5500)8"/>
      <sheetName val="COLUMN_(+12500)8"/>
      <sheetName val="COLUMN_(+15500)8"/>
      <sheetName val="ETC_8"/>
      <sheetName val="Cash_Flow_bulanan8"/>
      <sheetName val="H_Satuan8"/>
      <sheetName val="In-House_Summary8"/>
      <sheetName val="Tools_&amp;_Settings8"/>
      <sheetName val="Data_Summary8"/>
      <sheetName val="Crew_Costs8"/>
      <sheetName val="Spread_Costs8"/>
      <sheetName val="Unique_List_Misc8"/>
      <sheetName val="Codes_Pers8"/>
      <sheetName val="Direct_PMS8"/>
      <sheetName val="UP_MINOR8"/>
      <sheetName val="Item_code8"/>
      <sheetName val="Aux_8"/>
      <sheetName val="Pengesahan_8"/>
      <sheetName val="__8"/>
      <sheetName val="_8"/>
      <sheetName val="breakdown_of_wage_ra`f7"/>
      <sheetName val="breakdown_of_wage_ra7"/>
      <sheetName val="breakdown_of_wage_rað-7"/>
      <sheetName val="2_Overall_Summary_7"/>
      <sheetName val="Rates_&amp;_Legend8"/>
      <sheetName val="OCT_FDN8"/>
      <sheetName val="BO䁑-B_䁄OWN8"/>
      <sheetName val="Bill_rekap8"/>
      <sheetName val="Harga_Satuan8"/>
      <sheetName val="F_ALARM8"/>
      <sheetName val="0__Resource　Code7"/>
      <sheetName val="breakdown_of_wage_rap7"/>
      <sheetName val="00-Summary_Information-ABB7"/>
      <sheetName val="breakdown_of_wage_ra7"/>
      <sheetName val="Exchange_Rate8"/>
      <sheetName val="General_Notes8"/>
      <sheetName val="내역서_耰&quot;_x005f_x0000_8"/>
      <sheetName val="내역서_耰&quot;_x005f_x005f_8"/>
      <sheetName val="Process_Data_(2)8"/>
      <sheetName val="PABS,Site_info7"/>
      <sheetName val="내역서_耰&quot;_7"/>
      <sheetName val="2__현장_자금투입_집계표8"/>
      <sheetName val="_도면_및_도서_제출목록_및_일정_170202_xlsx8"/>
      <sheetName val="Distribution_Table7"/>
      <sheetName val="Raw_data7"/>
      <sheetName val="차트_(2)8"/>
      <sheetName val="Material_code7"/>
      <sheetName val="DROP_DOWN7"/>
      <sheetName val="개시대사_(2)7"/>
      <sheetName val="DATA_MENTAH7"/>
      <sheetName val="내역서_(N____x000a_8"/>
      <sheetName val="TQ_Format6"/>
      <sheetName val="HO_Site_Rates-20117"/>
      <sheetName val="Linelist_LNGC_Process7"/>
      <sheetName val="Equipment_Spec_List7"/>
      <sheetName val="SPEC_LIST(EQUP,_SYS)7"/>
      <sheetName val="Action_Item7"/>
      <sheetName val="ID_CD7"/>
      <sheetName val="Air_Cooler-E7"/>
      <sheetName val="SUM_6"/>
      <sheetName val="Al_Taweelah7"/>
      <sheetName val="Particular_Sch7"/>
      <sheetName val="breakdown_of_wage_raÐ¾6"/>
      <sheetName val="Additional_data6"/>
      <sheetName val="11_자재단가5"/>
      <sheetName val="LIFE_&amp;_REP_PROVN5"/>
      <sheetName val="O&amp;M_CREW5"/>
      <sheetName val="33628-Rev__A5"/>
      <sheetName val="Cashflow_Analysis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Attach_4-185"/>
      <sheetName val="INPUT_DATA_OF_SCHEDULE5"/>
      <sheetName val="OIL_SEPARATOR5"/>
      <sheetName val="CATCH_BASIN5"/>
      <sheetName val="FW_Post_Indicator_Valve_24&quot;5"/>
      <sheetName val="FW_Post_Indicator_Valve_20&quot;5"/>
      <sheetName val="FW_Post_Indicator_Valve_6&quot;5"/>
      <sheetName val="Fire_Monitor_or_Hydrant_6&quot;_FDN5"/>
      <sheetName val="SUMP_VB5"/>
      <sheetName val="CLEANOUT_4&quot;5"/>
      <sheetName val="Not_reqd5"/>
      <sheetName val="호환성_보고서5"/>
      <sheetName val="Finansal_tamamlanma_Eğrisi5"/>
      <sheetName val="Master_List5"/>
      <sheetName val="Scheme_Area_Details_Block___C25"/>
      <sheetName val="14-Eng_rate5"/>
      <sheetName val="리스크_분류체계5"/>
      <sheetName val="Tender_data5"/>
      <sheetName val="Activity_Form5"/>
      <sheetName val="GM_0005"/>
      <sheetName val="Admin_Manu_2-Equipment_Type_ID5"/>
      <sheetName val="일위대가_5"/>
      <sheetName val="SECL_리스크_분류체계_(2)5"/>
      <sheetName val="1_설계기준5"/>
      <sheetName val="Cash_Flow5"/>
      <sheetName val="REF_for_VV5"/>
      <sheetName val="P-Ins_&amp;_Bonds5"/>
      <sheetName val="INSTLIST_15"/>
      <sheetName val="내역서_(∮ἀ嘆ɶ?᠀㬁?5"/>
      <sheetName val="Fig_4-145"/>
      <sheetName val="Itembalance_Report_(18-sep-18)5"/>
      <sheetName val="BUDGET_SUMMARY_5"/>
      <sheetName val="광통신_견적내역서15"/>
      <sheetName val="5__월별투입내역서5"/>
      <sheetName val="Att-1_CTCI_MH_rate5"/>
      <sheetName val="SUMMARY_MTO_02_2_353"/>
      <sheetName val="N_G_METERING_CALC_3"/>
      <sheetName val="N_G_METERING3"/>
      <sheetName val="N_G_METERING_(2)3"/>
      <sheetName val="CUMENE_METERING3"/>
      <sheetName val="N2_METERING_3"/>
      <sheetName val="H2_METERING__3"/>
      <sheetName val="CO_METERING3"/>
      <sheetName val="Bill_4_7_Predestain_Bridge_3"/>
      <sheetName val="Bill_4_7_Predestain3"/>
      <sheetName val="1_1_FT_type_13"/>
      <sheetName val="1_2_FT_type_1A3"/>
      <sheetName val="1_3_FT_type_23"/>
      <sheetName val="1_4_FT_type_33"/>
      <sheetName val="1_5_FT_type_43"/>
      <sheetName val="2_1_CL_Outside3"/>
      <sheetName val="2_2_CL_Inside3"/>
      <sheetName val="2_3_CL_Ramp3"/>
      <sheetName val="3_1_CB_Outside3"/>
      <sheetName val="3_2_CB_Inside3"/>
      <sheetName val="4_Stair3"/>
      <sheetName val="5_Ramp3"/>
      <sheetName val="6_Handrail3"/>
      <sheetName val="Invoice_(Interim_No_28)3"/>
      <sheetName val="Cost_Summary3"/>
      <sheetName val="Direct_Cost3"/>
      <sheetName val="Direct_Cost_(2)3"/>
      <sheetName val="Summary_(3)3"/>
      <sheetName val="Indirect_Cost_Summary3"/>
      <sheetName val="TR_Rev_vs_Commit3"/>
      <sheetName val="TR_+MMHE_PL_report3"/>
      <sheetName val="P23P2724___Commitment_3"/>
      <sheetName val="설산1_나5"/>
      <sheetName val="Analisa_Fave5"/>
      <sheetName val="Harsat_Bahan5"/>
      <sheetName val="Harsat_Subkon5"/>
      <sheetName val="Harsat_Upah5"/>
      <sheetName val="Master_1_05"/>
      <sheetName val="Agregat_Halus_&amp;_Kasar5"/>
      <sheetName val="HARGA_MATERIAL5"/>
      <sheetName val="Harga_Sat_APP5"/>
      <sheetName val="Tgh_JGC-Inv_I_clp5"/>
      <sheetName val="PCS_5"/>
      <sheetName val="Progress_Statement-SI5"/>
      <sheetName val="Progress_Payment-31105"/>
      <sheetName val="Perm__Test5"/>
      <sheetName val="Galian_15"/>
      <sheetName val="Analisa_Lump_sum5"/>
      <sheetName val="Sec_I_ML5"/>
      <sheetName val="dongia_(2)5"/>
      <sheetName val="BM_#15"/>
      <sheetName val="Weekl_6"/>
      <sheetName val="내역서_(N____14"/>
      <sheetName val="내역서_(N____15"/>
      <sheetName val="__x05"/>
      <sheetName val="OPT_6"/>
      <sheetName val="내역서_(N__x005"/>
      <sheetName val="List_register5"/>
      <sheetName val="Direct_Histogram_Rev__A_(f)5"/>
      <sheetName val="Tables_3_1_to_3_5_EXH_G5"/>
      <sheetName val="64_45"/>
      <sheetName val="64_55"/>
      <sheetName val="36_25"/>
      <sheetName val="36_15"/>
      <sheetName val="Precios_Unitariԯ4"/>
      <sheetName val="EQUIPOS_DE_SEGURIDAD5"/>
      <sheetName val="MATERIALES_CONSUMIBLES5"/>
      <sheetName val="PERSONAL_INDIRECTO_5"/>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SPT_vs_PHI3"/>
      <sheetName val="05__Curva_S4"/>
      <sheetName val="Cost_Code5"/>
      <sheetName val="Data_Ref5"/>
      <sheetName val="Interdept_Rate5"/>
      <sheetName val="4300_UTILITY_BLDG_(2)5"/>
      <sheetName val="Payment_Certificate-13"/>
      <sheetName val="Floor_wet3"/>
      <sheetName val="Floor_Balcony3"/>
      <sheetName val="Hard_scape_Floor3"/>
      <sheetName val="P03_Skirting3"/>
      <sheetName val="GF_wall3"/>
      <sheetName val="Kitchen_Wall_wet_LIN-7013"/>
      <sheetName val="Wall_wet_LIN-601_3"/>
      <sheetName val="BOQ_(2)3"/>
      <sheetName val="VO_Schedule-13"/>
      <sheetName val="HOLD_AMOUNT3"/>
      <sheetName val="Back_Charge_(2)3"/>
      <sheetName val="Temporary_Deductions-1_3"/>
      <sheetName val="Contracharges_Check_list-1_3"/>
      <sheetName val="PC_033"/>
      <sheetName val="Measurement_sheet3"/>
      <sheetName val="Material_Only3"/>
      <sheetName val="Man_power_supply3"/>
      <sheetName val="Camp_Deduction3"/>
      <sheetName val="สรุปยอดเหล็กตาม_Cost_Record_VY3"/>
      <sheetName val="แนบ_PR3"/>
      <sheetName val="OR21_Final_Forecast_Rev_23"/>
      <sheetName val="Summary_Forecast_Budget_1&amp;23"/>
      <sheetName val="Summary_Forecast_Budget_Rev_23"/>
      <sheetName val="Backup_OR21_3"/>
      <sheetName val="Budget_for_ENT3"/>
      <sheetName val="ADJ__D-Wall&amp;BR_Ent__Rev_2_13"/>
      <sheetName val="Rebar+Conพื้น_Waste10%3"/>
      <sheetName val="Backup_D-Wall_Ent__13_07_193"/>
      <sheetName val="Backup_BR_ENT__13_07_193"/>
      <sheetName val="Final_Forecast_721113"/>
      <sheetName val="IMP_OR21_2019_07_113"/>
      <sheetName val="Concrete_721123"/>
      <sheetName val="หินเกล็ด_3"/>
      <sheetName val="เปรียบเทียบBudget_BR_3"/>
      <sheetName val="ADJ__BR_Ent__Rev_2_1_(2)3"/>
      <sheetName val="แผนงานBarrette_Pile3"/>
      <sheetName val="BOQ__VI_03_09_19_3"/>
      <sheetName val="Backup_BR_BMA3"/>
      <sheetName val="Sum_Budget&amp;Rev_13"/>
      <sheetName val="Sum_Budget_Rev_13"/>
      <sheetName val="Sum_Budget&amp;Rev_1_Rebar3"/>
      <sheetName val="Sum_Budget_Rev_2_Rebar3"/>
      <sheetName val="Rebar+Conพื้น_Waste10%_Rev_003"/>
      <sheetName val="Rebar+Conพื้น_Waste10%_Rev_01_3"/>
      <sheetName val="Equip_Rev_00_Budget3"/>
      <sheetName val="Budget_Waterpoofing3"/>
      <sheetName val="Enron_Form3"/>
      <sheetName val="IRR_sponsor3"/>
      <sheetName val="Consortium_VP3"/>
      <sheetName val="Summary_MONTH3"/>
      <sheetName val="DESICON_SUM3"/>
      <sheetName val="DES_TCF_Rental3"/>
      <sheetName val="DES_TCF_Maints_pers3"/>
      <sheetName val="DES_TCF_Heavy_Equipment3"/>
      <sheetName val="BANK_BOND3"/>
      <sheetName val="PHC_WAREHOUSE_-_INFOONLY3"/>
      <sheetName val="CATERING_CONTROL3"/>
      <sheetName val="SUB_CONTRACT3"/>
      <sheetName val="SPDC_-_INFONLY3"/>
      <sheetName val="VENDOR_SCHEDUL3"/>
      <sheetName val="VENDOR_PRESENCE_-_COMM3"/>
      <sheetName val="VENDOR_PRESENCE_-_RECH3"/>
      <sheetName val="VENDOR_PRESENCE_-_COMM_3"/>
      <sheetName val="CONTRACT_RATES3"/>
      <sheetName val="Sch_63"/>
      <sheetName val="2013电气概算_价目表_(营改增调整)3"/>
      <sheetName val="1_11_b3"/>
      <sheetName val="SPEC(CABLE_&amp;_WIRE)3"/>
      <sheetName val="RESUMEN_CD3"/>
      <sheetName val="BOQ_REV63"/>
      <sheetName val="Maliyet_Ozet3"/>
      <sheetName val="1_1-1_23"/>
      <sheetName val="1_3-_1_43"/>
      <sheetName val="3_13"/>
      <sheetName val="3_23"/>
      <sheetName val="4_1(a)3"/>
      <sheetName val="4_1(b)3"/>
      <sheetName val="4_1_(c)3"/>
      <sheetName val="5_13"/>
      <sheetName val="내역서_(N____16"/>
      <sheetName val="6_공정표3"/>
      <sheetName val="List_Equip3"/>
      <sheetName val="Process_C_(1-166)3"/>
      <sheetName val="TRUCK_HAUL_CYCLE-waste3"/>
      <sheetName val="Existing_PC_Pavement3"/>
      <sheetName val="Master_Data3"/>
      <sheetName val="ind'l_cp3"/>
      <sheetName val="LAST_UPDATE3"/>
      <sheetName val="0_품의서(전체)3"/>
      <sheetName val="3_부제O호표3"/>
      <sheetName val="5_소모재료비3"/>
      <sheetName val="8_시멘트제원표3"/>
      <sheetName val="2_품제O호표3"/>
      <sheetName val="본부_SHOP3"/>
      <sheetName val="#6_MDU_일반3"/>
      <sheetName val="#6_MDU엄반장3"/>
      <sheetName val="#6MDU_기계3"/>
      <sheetName val="HOU_COMP`3"/>
      <sheetName val="FCC_OBL-SHOP3"/>
      <sheetName val="NEW_FCC_OBL3"/>
      <sheetName val="#4_MDU3"/>
      <sheetName val="#6_SHOP3"/>
      <sheetName val="NRC_OBL-조연식3"/>
      <sheetName val="광양-조연식_반장3"/>
      <sheetName val="#5MDU_REV3"/>
      <sheetName val="LBO_PROJECT3"/>
      <sheetName val="VENDOR_LIST3"/>
      <sheetName val="BOP_LINE_LIST3"/>
      <sheetName val="5__Work_load(현재원기준)5"/>
      <sheetName val="A__ENGINEERING3"/>
      <sheetName val="B-1__배관자재3"/>
      <sheetName val="B-2__전기자재3"/>
      <sheetName val="B-3__계장자재3"/>
      <sheetName val="B-4__기계자재3"/>
      <sheetName val="C-1__공통가설3"/>
      <sheetName val="C-2__토목3"/>
      <sheetName val="C-4__철골3"/>
      <sheetName val="C-5__기계3"/>
      <sheetName val="C-6__배관3"/>
      <sheetName val="C-7__전기3"/>
      <sheetName val="C-8__계장3"/>
      <sheetName val="C-9__중장비3"/>
      <sheetName val="C-10__소방설비3"/>
      <sheetName val="C-11__보온3"/>
      <sheetName val="C-12__CMS3"/>
      <sheetName val="Equipt_Rental3"/>
      <sheetName val="EQ_USED_(CORRECTED)3"/>
      <sheetName val="Rebar_Constant3"/>
      <sheetName val="CONCRETE_TYPE3"/>
      <sheetName val="Other_data3"/>
      <sheetName val="내역서_(∮ἀ嘆ɶ_᠀㬁_4"/>
      <sheetName val="InD_Mpower3"/>
      <sheetName val="ABB_Summary3"/>
      <sheetName val="Man_power_rate3"/>
      <sheetName val="Const_equip_rate3"/>
      <sheetName val="01-Gang_Rate_&amp;_Info3"/>
      <sheetName val="05-Sum_Cost3"/>
      <sheetName val="06-Indirect_Loading3"/>
      <sheetName val="07-Heavy_Equipment3"/>
      <sheetName val="08-RR_Check_List3"/>
      <sheetName val="1)_Risk_and_Opportunities3"/>
      <sheetName val="2)_Full_Cost_Calculation3"/>
      <sheetName val="Vehicle_Log3"/>
      <sheetName val="M&amp;E_Summary3"/>
      <sheetName val="rev_summary3"/>
      <sheetName val="M&amp;E_Prelims3"/>
      <sheetName val="B-FP_(2)3"/>
      <sheetName val="Sch_13"/>
      <sheetName val="tblg_denda4"/>
      <sheetName val="F1_43"/>
      <sheetName val="Manpower_Categories3"/>
      <sheetName val="External_Issues3"/>
      <sheetName val="Statprod_gab4"/>
      <sheetName val="L_14"/>
      <sheetName val="Equip_Mstr_FOR_3A13"/>
      <sheetName val="G_R300경비3"/>
      <sheetName val="AS포장복구_3"/>
      <sheetName val="중기조종사_단위단가3"/>
      <sheetName val="설_계3"/>
      <sheetName val="5_Cennik4"/>
      <sheetName val="_토목_처리장도급내역서_3"/>
      <sheetName val="Garph_Work-Cost3"/>
      <sheetName val="LRK_3"/>
      <sheetName val="Insulation_1501083"/>
      <sheetName val="동상부_Tact_기준_반입일정_및_수량_02173"/>
      <sheetName val="MASTER_RATE_ANALYSIS3"/>
      <sheetName val="MN_T_B_3"/>
      <sheetName val="INDIGINEOUS_ITEMS_3"/>
      <sheetName val="Core_Data3"/>
      <sheetName val="final_abstract3"/>
      <sheetName val="GRAND_REKAP2"/>
      <sheetName val="analisa_(2)2"/>
      <sheetName val="Analisa_22"/>
      <sheetName val="Up_&amp;_bhn2"/>
      <sheetName val="HRG_BHN2"/>
      <sheetName val="Analisa_(ok_punya)2"/>
      <sheetName val="Alat_(2)2"/>
      <sheetName val="Rekap_Biaya2"/>
      <sheetName val="Kuantitas_&amp;_Harga2"/>
      <sheetName val="Nopember_(2)2"/>
      <sheetName val="Ramp_data2"/>
      <sheetName val="Lower_Ground2"/>
      <sheetName val="Cap_Cost2"/>
      <sheetName val="RLV_Calc2"/>
      <sheetName val="Costs_(dev)2"/>
      <sheetName val="Bluewater_NPV_-_sell_January2"/>
      <sheetName val="Upper_Ground2"/>
      <sheetName val="PARK_NE2"/>
      <sheetName val="Financial_Summary2"/>
      <sheetName val="D&amp;C_Calcs2"/>
      <sheetName val="CA_Upside_Downside_Old2"/>
      <sheetName val="EASEL_CA_Example2"/>
      <sheetName val="Urai__Resap_pengikat2"/>
      <sheetName val="DAF_HRG2"/>
      <sheetName val="7_공정표2"/>
      <sheetName val="Kolom_UT2"/>
      <sheetName val="HB_2"/>
      <sheetName val="Memb_Schd2"/>
      <sheetName val="Coef_et_données2"/>
      <sheetName val="Eng_Hrs_(HO)2"/>
      <sheetName val="MFG_&amp;_DEL2"/>
      <sheetName val="원가조정_내역2"/>
      <sheetName val="InsertListDrawing_1_2"/>
      <sheetName val="P_Staff_fac2"/>
      <sheetName val="beam-reinft-IIInd_floor2"/>
      <sheetName val="P-Site_fac2"/>
      <sheetName val="P-Clients_fac2"/>
      <sheetName val="P2-Project_Data2"/>
      <sheetName val="a_h_ars_sum2"/>
      <sheetName val="a_h_ars2"/>
      <sheetName val="Chap_2-_Page_4_"/>
      <sheetName val="VAT_TU_DIEN"/>
      <sheetName val="bldg_list"/>
      <sheetName val="Scaffolding_Volume"/>
      <sheetName val="BQ Summary"/>
      <sheetName val="FittingR1"/>
      <sheetName val="Gasket"/>
      <sheetName val="Bolt"/>
      <sheetName val="LV induction _x0005_묠"/>
      <sheetName val="Rekap Analisa"/>
      <sheetName val="SchC"/>
      <sheetName val="SchA"/>
      <sheetName val="SewAlat"/>
      <sheetName val="ANALISA PEK.UMUM"/>
      <sheetName val="IN OUT"/>
      <sheetName val="7422CW_x005f_x0013_"/>
      <sheetName val="OPT_x005f_x0012_"/>
      <sheetName val="내역서 ᢐ_x005f_x001f_"/>
      <sheetName val="내역서_耰&quot;_x005f_x005f_x005f_x0000__x0003"/>
      <sheetName val="내역서_耰&quot;_x005f_x005f_x005f_x005f_x00003"/>
      <sheetName val="내역서_耰&quot;_x005f_x005f_x005f_x005f_x005f3"/>
      <sheetName val="내역서_耰&quot;_x005f_x005f_x005f_x0000__x0004"/>
      <sheetName val="내역서_耰&quot;_x005f_x005f_x005f_x005f_x00004"/>
      <sheetName val="내역서_耰&quot;_x005f_x005f_x005f_x005f_x005f4"/>
      <sheetName val="내역서_耰&quot;_x005f_x005f_x005f_x0000__x0005"/>
      <sheetName val="내역서_耰&quot;_x005f_x005f_x005f_x005f_x00005"/>
      <sheetName val="내역서_耰&quot;_x005f_x005f_x005f_x005f_x005f5"/>
      <sheetName val="내역서 ᢐ_x005f_x001f__x005f_x0000__x005f_x0000_"/>
      <sheetName val="EQUIPMENT_-_x005f_x0000_"/>
      <sheetName val="__x005f_x0000__x005f_x001b__x005f_x0000__x005f_x0006__x"/>
      <sheetName val="바닥판_x005f_x0000_⽷_x005f_x0000_"/>
      <sheetName val="내역서_耰&quot;_x005f_x005f_x005f_x0000__x00002"/>
      <sheetName val="내역서_(N____x005f_x000a_2"/>
      <sheetName val="내역서_(N____x005f_x000a_1"/>
      <sheetName val="내역서_耰&quot;_x005f_x005f_x005f_x0000__x00003"/>
      <sheetName val="Sat Bah _ Up"/>
      <sheetName val="DATA PROYEK"/>
      <sheetName val="rab me (by owner) "/>
      <sheetName val="BQ (by owner)"/>
      <sheetName val="rab me (fisik)"/>
      <sheetName val="abut2"/>
      <sheetName val="LIST ANHARSAT"/>
      <sheetName val="P. control"/>
      <sheetName val="EVAL"/>
      <sheetName val="Costing Detailed"/>
      <sheetName val="ER10_Old"/>
      <sheetName val="Basic Data Inputs"/>
      <sheetName val="BLN_PKG"/>
      <sheetName val="TEMP PROFILE"/>
      <sheetName val="_선택 속성(잠금)"/>
      <sheetName val="Drop-down lists"/>
      <sheetName val="AIRCOND"/>
      <sheetName val="EXTERNAL"/>
      <sheetName val="MDGAS"/>
      <sheetName val="BILL 1"/>
      <sheetName val="Step2 -&gt; Mat. Cost"/>
      <sheetName val="Team 3 S-Curve"/>
      <sheetName val="내역서_耰&quot;_x005f_x0000__x0008"/>
      <sheetName val="내역서_耰&quot;_x005f_x005f_x00008"/>
      <sheetName val="내역서_耰&quot;_x005f_x005f_x005f8"/>
      <sheetName val="내역서_耰&quot;_x00007"/>
      <sheetName val="내역서_耰&quot;_x005f7"/>
      <sheetName val="_x00ည톐ឮ"/>
      <sheetName val="내역서_耰&quot;_x0007"/>
      <sheetName val="MOBSCH"/>
      <sheetName val="p.mgmt"/>
      <sheetName val="PIP3C"/>
      <sheetName val="Dati base"/>
      <sheetName val="orig-sap"/>
      <sheetName val="Asset Mansys Sum"/>
      <sheetName val="Job List (2)"/>
      <sheetName val="Constn &amp; Install - LEV.4"/>
      <sheetName val="LEV.4 Project Managem"/>
      <sheetName val="Site Management"/>
      <sheetName val="Manhrs Sum"/>
      <sheetName val="rencst0599"/>
      <sheetName val="表三"/>
      <sheetName val="建筑定额 (2002)"/>
      <sheetName val="ADI"/>
      <sheetName val="运"/>
      <sheetName val="建筑定额"/>
      <sheetName val="原始数据"/>
      <sheetName val="经评"/>
      <sheetName val="G2TempSheet"/>
      <sheetName val="30万表三"/>
      <sheetName val="ADI Edison Termoelettrica"/>
      <sheetName val="uraian analisa"/>
      <sheetName val="8LT 12"/>
      <sheetName val="Basic Price"/>
      <sheetName val="TL"/>
      <sheetName val="mob"/>
      <sheetName val="igp-03"/>
      <sheetName val="PNT-QUOT-#3"/>
      <sheetName val="COAT&amp;WRAP-QIOT-#3"/>
      <sheetName val="价格取值"/>
      <sheetName val="Daily Forwards"/>
      <sheetName val="KUWATI(Total)_18"/>
      <sheetName val="OPTION_218"/>
      <sheetName val="OPTION_318"/>
      <sheetName val="집계표_(TOTAL)18"/>
      <sheetName val="집계표_(CIVIL-23)18"/>
      <sheetName val="집계표_(FGRU)18"/>
      <sheetName val="집계표_(25,26)18"/>
      <sheetName val="집계표_(MEROX)18"/>
      <sheetName val="집계표_(NITROGEN)18"/>
      <sheetName val="집계표_(M4)18"/>
      <sheetName val="집계표_(CIVIL4)18"/>
      <sheetName val="집계표_(CIVIL6)18"/>
      <sheetName val="집계표_(CIVIL7)18"/>
      <sheetName val="내역서(DEMO_TOTAL)18"/>
      <sheetName val="내역서_(CIVIL-23)18"/>
      <sheetName val="내역서_(fgru)18"/>
      <sheetName val="내역서_(25&amp;26)18"/>
      <sheetName val="내역서_(MEROX)18"/>
      <sheetName val="내역서_(NITROGEN)18"/>
      <sheetName val="내역서_(M4)18"/>
      <sheetName val="내역서_(CIVIL-4)18"/>
      <sheetName val="내역서_(CIVIL-6)18"/>
      <sheetName val="내역서_(CIVIL-7)18"/>
      <sheetName val="2002년_현장공사비_국내_실적18"/>
      <sheetName val="2003년국내현장공사비_실적18"/>
      <sheetName val="VC2_10_9918"/>
      <sheetName val="INPUT_DATA17"/>
      <sheetName val="집계표_(25,26ဩ17"/>
      <sheetName val="General_Data17"/>
      <sheetName val="Form_017"/>
      <sheetName val="LABOR_&amp;_자재16"/>
      <sheetName val="입출재고현황_(2)16"/>
      <sheetName val="Form_D-116"/>
      <sheetName val="Form_B-116"/>
      <sheetName val="Form_F-116"/>
      <sheetName val="Form_A16"/>
      <sheetName val="3_공통공사대비16"/>
      <sheetName val="간접비_총괄16"/>
      <sheetName val="Rate_Analysis16"/>
      <sheetName val="Price_Schedule16"/>
      <sheetName val="CAL_16"/>
      <sheetName val="EQUIPMENT_-216"/>
      <sheetName val="Z-_GENERAL_PRICE_SUMMARY14"/>
      <sheetName val="_Estimate__14"/>
      <sheetName val="WEIGHT_LIST15"/>
      <sheetName val="산#2-1_(2)15"/>
      <sheetName val="BEND_LOSS15"/>
      <sheetName val="공사비_내역_(가)15"/>
      <sheetName val="내역서_耰&quot;??16"/>
      <sheetName val="단면_(2)15"/>
      <sheetName val="6PILE__(돌출)15"/>
      <sheetName val="Static_Equip15"/>
      <sheetName val="Form_A_15"/>
      <sheetName val="내역서_耰&quot;_x005f_x0000__x005f_x0000_15"/>
      <sheetName val="3_Breakdown_Direct_Paint15"/>
      <sheetName val="Áý°èÇ¥_(TOTAL)14"/>
      <sheetName val="Áý°èÇ¥_(CIVIL-23)14"/>
      <sheetName val="Áý°èÇ¥_(FGRU)14"/>
      <sheetName val="Áý°èÇ¥_(25,26)14"/>
      <sheetName val="Áý°èÇ¥_(MEROX)14"/>
      <sheetName val="Áý°èÇ¥_(NITROGEN)14"/>
      <sheetName val="Áý°èÇ¥_(M4)14"/>
      <sheetName val="Áý°èÇ¥_(CIVIL4)14"/>
      <sheetName val="Áý°èÇ¥_(CIVIL6)14"/>
      <sheetName val="Áý°èÇ¥_(CIVIL7)14"/>
      <sheetName val="³»¿ª¼­(DEMO_TOTAL)14"/>
      <sheetName val="³»¿ª¼­_(CIVIL-23)14"/>
      <sheetName val="³»¿ª¼­_(fgru)14"/>
      <sheetName val="³»¿ª¼­_(25&amp;26)14"/>
      <sheetName val="³»¿ª¼­_(MEROX)14"/>
      <sheetName val="³»¿ª¼­_(NITROGEN)14"/>
      <sheetName val="³»¿ª¼­_(M4)14"/>
      <sheetName val="³»¿ª¼­_(CIVIL-4)14"/>
      <sheetName val="³»¿ª¼­_(CIVIL-6)14"/>
      <sheetName val="³»¿ª¼­_(CIVIL-7)14"/>
      <sheetName val="2002³â_ÇöÀå°ø»çºñ_±¹³»_½ÇÀû14"/>
      <sheetName val="2003³â±¹³»ÇöÀå°ø»çºñ_½ÇÀû14"/>
      <sheetName val="내역서_耰&quot;__16"/>
      <sheetName val="Summary_Sheets15"/>
      <sheetName val="Man_Hole14"/>
      <sheetName val="Sheet1_(2)15"/>
      <sheetName val="Civil_115"/>
      <sheetName val="Civil_215"/>
      <sheetName val="Civil_315"/>
      <sheetName val="Site_115"/>
      <sheetName val="Site_215"/>
      <sheetName val="Site_315"/>
      <sheetName val="Site_Faci15"/>
      <sheetName val="내역서_耰&quot;_x005f_x005f_x005f_x0000__x005f_x005f_x0014"/>
      <sheetName val="7__월별투입내역서14"/>
      <sheetName val="계측_내역서14"/>
      <sheetName val="2_2_STAFF_Scedule14"/>
      <sheetName val="내역서_耰&quot;_x005f_x005f_x005f_x005f_x005f_x005f_x00014"/>
      <sheetName val="T_314"/>
      <sheetName val="HORI__VESSEL14"/>
      <sheetName val="EQUIP_LIST14"/>
      <sheetName val="MP_MOB14"/>
      <sheetName val="Form_B14"/>
      <sheetName val="Precios_Unitarios14"/>
      <sheetName val="Administrative_Prices14"/>
      <sheetName val="WBS_4414"/>
      <sheetName val="WBS_4114"/>
      <sheetName val="Precios_por_Administración14"/>
      <sheetName val="Subcon_A14"/>
      <sheetName val="Monthly_Load14"/>
      <sheetName val="Weekly_Load14"/>
      <sheetName val="BM_DATA_SHEET15"/>
      <sheetName val="Vind_-_BtB14"/>
      <sheetName val="LV_induction_motors14"/>
      <sheetName val="BSD_(2)14"/>
      <sheetName val="내역서_耰&quot;_x005f_x005f_x005f_x005f_x005f_x005f_x00514"/>
      <sheetName val="Material_Selections14"/>
      <sheetName val="내역서_耰&quot;13"/>
      <sheetName val="breakdown_of_wage_rate14"/>
      <sheetName val="Indirect_Cost14"/>
      <sheetName val="97_사업추정(WEKI)14"/>
      <sheetName val="[SANDAN_XLS??14"/>
      <sheetName val="Piping_BQ_for_one_turbine14"/>
      <sheetName val="Utility_and_Fire_flange14"/>
      <sheetName val="_SANDAN_XLS__14"/>
      <sheetName val="Eq__Mobilization14"/>
      <sheetName val="Fire_Protection14"/>
      <sheetName val="입찰내역_발주처_양식14"/>
      <sheetName val="Heavy_Equipments14"/>
      <sheetName val="AG_Pipe_Qty_Analysis14"/>
      <sheetName val="FWBS_153013"/>
      <sheetName val="Resource_table14"/>
      <sheetName val="Equipment_List14"/>
      <sheetName val="Form1_SQP14"/>
      <sheetName val="공정계획(내부계획25%,내부w_f)14"/>
      <sheetName val="SFN_ORIG14"/>
      <sheetName val="Currency_Rate9"/>
      <sheetName val="w't_table14"/>
      <sheetName val="SCHEDD_TAMBAHAN14"/>
      <sheetName val="실행예산_MM13"/>
      <sheetName val="MODULE_CONFIRM13"/>
      <sheetName val="ITB_COST14"/>
      <sheetName val="내역서_(∮ἀ嘆ɶ13"/>
      <sheetName val="Dir_Manpower_Other_Exp_14"/>
      <sheetName val="4-3LEVEL-5_epic_413"/>
      <sheetName val="단가_(2)13"/>
      <sheetName val="BOQ-B_DOWN13"/>
      <sheetName val="Cash_In-Cash_Out_Actual13"/>
      <sheetName val="PROTECTION_13"/>
      <sheetName val="내역서1999_8최종9"/>
      <sheetName val="Unit_Price_9"/>
      <sheetName val="plan&amp;section_of_foundation10"/>
      <sheetName val="working_load_at_the_btm_ft_10"/>
      <sheetName val="stability_check10"/>
      <sheetName val="design_load10"/>
      <sheetName val="TDC_COA_Sumry9"/>
      <sheetName val="TDC_Item_Dets9"/>
      <sheetName val="TDC_Item_Sumry9"/>
      <sheetName val="TDC_Key_Qty_Sumry9"/>
      <sheetName val="List_-_Components9"/>
      <sheetName val="List_-_Equipment9"/>
      <sheetName val="COA_Sumry_-_Std_Imp9"/>
      <sheetName val="Contr_TDC_-_Std_Imp9"/>
      <sheetName val="Item_Sumry_-_Std_Imp9"/>
      <sheetName val="Unit_Costs_-_Std_Imp9"/>
      <sheetName val="Unit_MH_-_Std_Imp9"/>
      <sheetName val="Proj_TIC_-_Std_Imp9"/>
      <sheetName val="Updating_Form-Oct_20119"/>
      <sheetName val="Weld_Consumable9"/>
      <sheetName val="NDE_Cost-Summary9"/>
      <sheetName val="9July_Above_Ground_Pipe9"/>
      <sheetName val="M_119"/>
      <sheetName val="Process_Data_19"/>
      <sheetName val="Sum_(Case-3)9"/>
      <sheetName val="Man_Power_&amp;_Comp9"/>
      <sheetName val="Data_List9"/>
      <sheetName val="4-Basic_Price9"/>
      <sheetName val="Evaluasi_Penw9"/>
      <sheetName val="Closeout_Control9"/>
      <sheetName val="PROJECT_BRIEF9"/>
      <sheetName val="CUADRO_DE_PRECIOS13"/>
      <sheetName val="Site_Findings_Status_Sheet9"/>
      <sheetName val="5_)_Time_Delays9"/>
      <sheetName val="Unt_rate9"/>
      <sheetName val="1100-1200-1300-1910-2140-LEV_29"/>
      <sheetName val="내역서_耰&quot;_x005f_x005f_x005f_x0000_9"/>
      <sheetName val="내역서_耰&quot;_x005f_x005f_x005f_x005f_9"/>
      <sheetName val="내역서_耰&quot;_x005f_x0000__x000010"/>
      <sheetName val="RAB_AR&amp;STR9"/>
      <sheetName val="Equip_Rental_Summary_by_Contr9"/>
      <sheetName val="Project_Equip_Rental_Summary9"/>
      <sheetName val="Contractor_Indirect_Sumry9"/>
      <sheetName val="Project_Indirect_Sumry9"/>
      <sheetName val="COA_Sumry_by_Area9"/>
      <sheetName val="COA_Sumry_by_Contr9"/>
      <sheetName val="COA_Sumry_by_RG9"/>
      <sheetName val="TDC_COA_Grp_Sumry9"/>
      <sheetName val="TDC_COA_Grp_Sumry_by_Area9"/>
      <sheetName val="TDC_COA_Grp_Sumry_by_RG9"/>
      <sheetName val="Equipment_Sumry9"/>
      <sheetName val="TDC_Item_Dets-Full9"/>
      <sheetName val="TDC_Item_Dets-IPM-Full9"/>
      <sheetName val="TDC_Item_Sumry_by_Area9"/>
      <sheetName val="TDC_Item_Sumry_by_RG9"/>
      <sheetName val="TDC_Key_Qty_Sumry_by_RG9"/>
      <sheetName val="List_-_Equipment_by_Area9"/>
      <sheetName val="List_-_Equipment_by_Contr9"/>
      <sheetName val="Equipment_-_Unit_Costs_by_Mat9"/>
      <sheetName val="List_-_Equipment_by_Rep_Grp9"/>
      <sheetName val="Craft_Summary_by_Contr9"/>
      <sheetName val="Project_Craft_Summary9"/>
      <sheetName val="Project_Metrics9"/>
      <sheetName val="할증_9"/>
      <sheetName val="99__FWBS(Ref)9"/>
      <sheetName val="99__Change_Rate9"/>
      <sheetName val="Discounted_Cash_Flow9"/>
      <sheetName val="Ocean_Transporation_Charge9"/>
      <sheetName val="SUMMARY_(0A)9"/>
      <sheetName val="SUMMARY_(1A)9"/>
      <sheetName val="SUMMARY_(1B)9"/>
      <sheetName val="SUMMARY_(03)9"/>
      <sheetName val="F1(Cable_Rack)9"/>
      <sheetName val="F2(Cable_Rack)9"/>
      <sheetName val="F3(Cable_Rack)9"/>
      <sheetName val="F1_(POLYMER)9"/>
      <sheetName val="F2_(POLYMER)9"/>
      <sheetName val="F3_(POLYMER)9"/>
      <sheetName val="F4_(POLYMER)9"/>
      <sheetName val="F5(_Polymerization_)9"/>
      <sheetName val="F6_(_Polymerization_)9"/>
      <sheetName val="B1_(Grid_A-7,_-6)9"/>
      <sheetName val="B1_(Grid_A,_B)9"/>
      <sheetName val="B1_(Grid_C-7,_-6)9"/>
      <sheetName val="B2_(Grid_-7_B,_C)_(1)9"/>
      <sheetName val="B2_(Grid_-7_B,_C)_(2)9"/>
      <sheetName val="B2_(Grid_-6_B,_C)_(1)9"/>
      <sheetName val="B2_(Grid_-6_B,_C)_(2)9"/>
      <sheetName val="F1_(MONOMER)9"/>
      <sheetName val="F2_(MONOMER)9"/>
      <sheetName val="F3_(MONOMER)9"/>
      <sheetName val="90K060C_(MONOMER)9"/>
      <sheetName val="F1_(EXTRUSION)9"/>
      <sheetName val="F2_(EXTRUSION)9"/>
      <sheetName val="F3_(EXTRUSION)9"/>
      <sheetName val="F4_(EXTRUSION)9"/>
      <sheetName val="F5_(EXTRUSION)9"/>
      <sheetName val="F6A_(EXTRUSION)9"/>
      <sheetName val="F6D_(EXTRUSION)9"/>
      <sheetName val="F7_(EXTRUSION)9"/>
      <sheetName val="F8_(EXTRUSION)9"/>
      <sheetName val="F9_(EXTRUSION)9"/>
      <sheetName val="F10_(EXTRUSION)9"/>
      <sheetName val="F11_(EXTRUSION)9"/>
      <sheetName val="B1_(Grid_F-5`,_4`)9"/>
      <sheetName val="B2_(Grid_F,E-4`)9"/>
      <sheetName val="B2_(Grid_F,E-5`)9"/>
      <sheetName val="B3_(Grid_C,B-4`)9"/>
      <sheetName val="B4_(Grid_B,A-4`)9"/>
      <sheetName val="B5_(Grid_E-5`)_&amp;_(Grid_D-5`)9"/>
      <sheetName val="B6_(Grid_E,D-5')9"/>
      <sheetName val="B7_(Grid_E,D-5')9"/>
      <sheetName val="95D040,_A5069"/>
      <sheetName val="95P040AB,_A5079"/>
      <sheetName val="95X020-U08,_A6029"/>
      <sheetName val="95X020-U07,_A6069"/>
      <sheetName val="95E040,_A5099"/>
      <sheetName val="95D024;025,_A6159"/>
      <sheetName val="95X020-U05,_A6019"/>
      <sheetName val="95X020-U02,_A2049"/>
      <sheetName val="Extruder_FDN9"/>
      <sheetName val="BOG_COMP__FDN9"/>
      <sheetName val="SOG_COMP__FDN9"/>
      <sheetName val="1G1_(Ground_Beam)9"/>
      <sheetName val="1G2-1(Ground_Beam)9"/>
      <sheetName val="1G2-2(Ground_Beam)9"/>
      <sheetName val="P15,_169"/>
      <sheetName val="LO_CONSOLE_FDN9"/>
      <sheetName val="OIL_COOLER_FDN9"/>
      <sheetName val="CW_CONSOLE_FDN_(SOG)9"/>
      <sheetName val="PD3_(SOG)9"/>
      <sheetName val="SF1_(SOG)9"/>
      <sheetName val="SF2_(SOG)9"/>
      <sheetName val="SLAB_(1S1-1)9"/>
      <sheetName val="SLAB_(1S1-2)9"/>
      <sheetName val="SLAB_(1S1-3)9"/>
      <sheetName val="COLUMN_(+5500)9"/>
      <sheetName val="COLUMN_(+12500)9"/>
      <sheetName val="COLUMN_(+15500)9"/>
      <sheetName val="ETC_9"/>
      <sheetName val="Cash_Flow_bulanan9"/>
      <sheetName val="H_Satuan9"/>
      <sheetName val="In-House_Summary9"/>
      <sheetName val="Tools_&amp;_Settings9"/>
      <sheetName val="Data_Summary9"/>
      <sheetName val="Crew_Costs9"/>
      <sheetName val="Spread_Costs9"/>
      <sheetName val="Unique_List_Misc9"/>
      <sheetName val="Codes_Pers9"/>
      <sheetName val="Direct_PMS9"/>
      <sheetName val="UP_MINOR9"/>
      <sheetName val="Item_code9"/>
      <sheetName val="Aux_9"/>
      <sheetName val="Pengesahan_9"/>
      <sheetName val="__9"/>
      <sheetName val="_9"/>
      <sheetName val="breakdown_of_wage_ra`f8"/>
      <sheetName val="breakdown_of_wage_ra8"/>
      <sheetName val="breakdown_of_wage_rað-8"/>
      <sheetName val="2_Overall_Summary_8"/>
      <sheetName val="Rates_&amp;_Legend9"/>
      <sheetName val="OCT_FDN9"/>
      <sheetName val="BO䁑-B_䁄OWN9"/>
      <sheetName val="Bill_rekap9"/>
      <sheetName val="Harga_Satuan9"/>
      <sheetName val="F_ALARM9"/>
      <sheetName val="0__Resource　Code8"/>
      <sheetName val="breakdown_of_wage_rap8"/>
      <sheetName val="00-Summary_Information-ABB8"/>
      <sheetName val="breakdown_of_wage_ra8"/>
      <sheetName val="Exchange_Rate9"/>
      <sheetName val="General_Notes9"/>
      <sheetName val="내역서_耰&quot;_x005f_x0000_9"/>
      <sheetName val="내역서_耰&quot;_x005f_x005f_9"/>
      <sheetName val="Process_Data_(2)9"/>
      <sheetName val="PABS,Site_info8"/>
      <sheetName val="내역서_耰&quot;_8"/>
      <sheetName val="2__현장_자금투입_집계표9"/>
      <sheetName val="_도면_및_도서_제출목록_및_일정_170202_xlsx9"/>
      <sheetName val="Distribution_Table8"/>
      <sheetName val="Raw_data8"/>
      <sheetName val="차트_(2)9"/>
      <sheetName val="Material_code8"/>
      <sheetName val="DROP_DOWN8"/>
      <sheetName val="개시대사_(2)8"/>
      <sheetName val="DATA_MENTAH8"/>
      <sheetName val="내역서_(N____x000a_9"/>
      <sheetName val="TQ_Format7"/>
      <sheetName val="HO_Site_Rates-20118"/>
      <sheetName val="Linelist_LNGC_Process8"/>
      <sheetName val="Equipment_Spec_List8"/>
      <sheetName val="SPEC_LIST(EQUP,_SYS)8"/>
      <sheetName val="Action_Item8"/>
      <sheetName val="ID_CD8"/>
      <sheetName val="Air_Cooler-E8"/>
      <sheetName val="SUM_7"/>
      <sheetName val="Al_Taweelah8"/>
      <sheetName val="Particular_Sch8"/>
      <sheetName val="breakdown_of_wage_raÐ¾7"/>
      <sheetName val="Additional_data7"/>
      <sheetName val="11_자재단가6"/>
      <sheetName val="LIFE_&amp;_REP_PROVN6"/>
      <sheetName val="O&amp;M_CREW6"/>
      <sheetName val="33628-Rev__A6"/>
      <sheetName val="Cashflow_Analysis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Attach_4-186"/>
      <sheetName val="INPUT_DATA_OF_SCHEDULE6"/>
      <sheetName val="OIL_SEPARATOR6"/>
      <sheetName val="CATCH_BASIN6"/>
      <sheetName val="FW_Post_Indicator_Valve_24&quot;6"/>
      <sheetName val="FW_Post_Indicator_Valve_20&quot;6"/>
      <sheetName val="FW_Post_Indicator_Valve_6&quot;6"/>
      <sheetName val="Fire_Monitor_or_Hydrant_6&quot;_FDN6"/>
      <sheetName val="SUMP_VB6"/>
      <sheetName val="CLEANOUT_4&quot;6"/>
      <sheetName val="Not_reqd6"/>
      <sheetName val="호환성_보고서6"/>
      <sheetName val="Finansal_tamamlanma_Eğrisi6"/>
      <sheetName val="Master_List6"/>
      <sheetName val="Scheme_Area_Details_Block___C26"/>
      <sheetName val="14-Eng_rate6"/>
      <sheetName val="리스크_분류체계6"/>
      <sheetName val="Admin_Manu_2-Equipment_Type_ID6"/>
      <sheetName val="Activity_Form6"/>
      <sheetName val="내역서_(∮ἀ嘆ɶ?᠀㬁?6"/>
      <sheetName val="Itembalance_Report_(18-sep-18)6"/>
      <sheetName val="BUDGET_SUMMARY_6"/>
      <sheetName val="Tender_data6"/>
      <sheetName val="1_설계기준6"/>
      <sheetName val="광통신_견적내역서16"/>
      <sheetName val="Cash_Flow6"/>
      <sheetName val="5__월별투입내역서6"/>
      <sheetName val="Att-1_CTCI_MH_rate6"/>
      <sheetName val="SUMMARY_MTO_02_2_354"/>
      <sheetName val="N_G_METERING_CALC_4"/>
      <sheetName val="N_G_METERING4"/>
      <sheetName val="N_G_METERING_(2)4"/>
      <sheetName val="CUMENE_METERING4"/>
      <sheetName val="N2_METERING_4"/>
      <sheetName val="H2_METERING__4"/>
      <sheetName val="CO_METERING4"/>
      <sheetName val="SECL_리스크_분류체계_(2)6"/>
      <sheetName val="Direct_Histogram_Rev__A_(f)6"/>
      <sheetName val="Fig_4-146"/>
      <sheetName val="GM_0006"/>
      <sheetName val="일위대가_6"/>
      <sheetName val="REF_for_VV6"/>
      <sheetName val="P-Ins_&amp;_Bonds6"/>
      <sheetName val="INSTLIST_16"/>
      <sheetName val="TR_Rev_vs_Commit4"/>
      <sheetName val="TR_+MMHE_PL_report4"/>
      <sheetName val="P23P2724___Commitment_4"/>
      <sheetName val="설산1_나6"/>
      <sheetName val="Analisa_Fave6"/>
      <sheetName val="Harsat_Bahan6"/>
      <sheetName val="Harsat_Subkon6"/>
      <sheetName val="Harsat_Upah6"/>
      <sheetName val="Master_1_06"/>
      <sheetName val="Agregat_Halus_&amp;_Kasar6"/>
      <sheetName val="HARGA_MATERIAL6"/>
      <sheetName val="Harga_Sat_APP6"/>
      <sheetName val="Tgh_JGC-Inv_I_clp6"/>
      <sheetName val="PCS_6"/>
      <sheetName val="Progress_Statement-SI6"/>
      <sheetName val="Progress_Payment-31106"/>
      <sheetName val="Perm__Test6"/>
      <sheetName val="Galian_16"/>
      <sheetName val="Analisa_Lump_sum6"/>
      <sheetName val="Sec_I_ML6"/>
      <sheetName val="dongia_(2)6"/>
      <sheetName val="BM_#16"/>
      <sheetName val="Weekl_7"/>
      <sheetName val="내역서_(N____17"/>
      <sheetName val="내역서_(N____18"/>
      <sheetName val="__x06"/>
      <sheetName val="OPT_7"/>
      <sheetName val="내역서_(N__x006"/>
      <sheetName val="List_register6"/>
      <sheetName val="Tables_3_1_to_3_5_EXH_G6"/>
      <sheetName val="64_46"/>
      <sheetName val="64_56"/>
      <sheetName val="36_26"/>
      <sheetName val="36_16"/>
      <sheetName val="Bill_4_7_Predestain_Bridge_4"/>
      <sheetName val="Bill_4_7_Predestain4"/>
      <sheetName val="1_1_FT_type_14"/>
      <sheetName val="1_2_FT_type_1A4"/>
      <sheetName val="1_3_FT_type_24"/>
      <sheetName val="1_4_FT_type_34"/>
      <sheetName val="1_5_FT_type_44"/>
      <sheetName val="2_1_CL_Outside4"/>
      <sheetName val="2_2_CL_Inside4"/>
      <sheetName val="2_3_CL_Ramp4"/>
      <sheetName val="3_1_CB_Outside4"/>
      <sheetName val="3_2_CB_Inside4"/>
      <sheetName val="4_Stair4"/>
      <sheetName val="5_Ramp4"/>
      <sheetName val="6_Handrail4"/>
      <sheetName val="Invoice_(Interim_No_28)4"/>
      <sheetName val="Cost_Summary4"/>
      <sheetName val="Direct_Cost4"/>
      <sheetName val="Direct_Cost_(2)4"/>
      <sheetName val="Summary_(3)4"/>
      <sheetName val="Indirect_Cost_Summary4"/>
      <sheetName val="Precios_Unitariԯ5"/>
      <sheetName val="EQUIPOS_DE_SEGURIDAD6"/>
      <sheetName val="MATERIALES_CONSUMIBLES6"/>
      <sheetName val="PERSONAL_INDIRECTO_6"/>
      <sheetName val="1_자금요약4"/>
      <sheetName val="2_실행비투입4"/>
      <sheetName val="3_본사집계4"/>
      <sheetName val="3-1_본사투입4"/>
      <sheetName val="4_지사집계4"/>
      <sheetName val="4-1_지사투입4"/>
      <sheetName val="5_현장총집계4"/>
      <sheetName val="5-1_현금집계4"/>
      <sheetName val="5-2_현금출납4"/>
      <sheetName val="5-3_외상집계4"/>
      <sheetName val="5-4_외상투입4"/>
      <sheetName val="6_미지급금4"/>
      <sheetName val="5-5_기타공제집계4"/>
      <sheetName val="5-6_기타공제4"/>
      <sheetName val="7_기성현황(실)4"/>
      <sheetName val="8_한국인수당4"/>
      <sheetName val="8_한국인수당_(Master_file)4"/>
      <sheetName val="9_기타수입4"/>
      <sheetName val="10_투입집계4"/>
      <sheetName val="5-4_외상투입_(2)4"/>
      <sheetName val="16_기성현황(예)4"/>
      <sheetName val="17_자금요약24"/>
      <sheetName val="18_실행대비투입24"/>
      <sheetName val="SPT_vs_PHI4"/>
      <sheetName val="05__Curva_S5"/>
      <sheetName val="สรุปยอดเหล็กตาม_Cost_Record_VY4"/>
      <sheetName val="แนบ_PR4"/>
      <sheetName val="OR21_Final_Forecast_Rev_24"/>
      <sheetName val="Summary_Forecast_Budget_1&amp;24"/>
      <sheetName val="Summary_Forecast_Budget_Rev_24"/>
      <sheetName val="Backup_OR21_4"/>
      <sheetName val="Budget_for_ENT4"/>
      <sheetName val="ADJ__D-Wall&amp;BR_Ent__Rev_2_14"/>
      <sheetName val="Rebar+Conพื้น_Waste10%4"/>
      <sheetName val="Backup_D-Wall_Ent__13_07_194"/>
      <sheetName val="Backup_BR_ENT__13_07_194"/>
      <sheetName val="Final_Forecast_721114"/>
      <sheetName val="IMP_OR21_2019_07_114"/>
      <sheetName val="Concrete_721124"/>
      <sheetName val="หินเกล็ด_4"/>
      <sheetName val="เปรียบเทียบBudget_BR_4"/>
      <sheetName val="ADJ__BR_Ent__Rev_2_1_(2)4"/>
      <sheetName val="แผนงานBarrette_Pile4"/>
      <sheetName val="BOQ__VI_03_09_19_4"/>
      <sheetName val="Backup_BR_BMA4"/>
      <sheetName val="Sum_Budget&amp;Rev_14"/>
      <sheetName val="Sum_Budget_Rev_14"/>
      <sheetName val="Sum_Budget&amp;Rev_1_Rebar4"/>
      <sheetName val="Sum_Budget_Rev_2_Rebar4"/>
      <sheetName val="Rebar+Conพื้น_Waste10%_Rev_004"/>
      <sheetName val="Rebar+Conพื้น_Waste10%_Rev_01_4"/>
      <sheetName val="Equip_Rev_00_Budget4"/>
      <sheetName val="Budget_Waterpoofing4"/>
      <sheetName val="Consortium_VP4"/>
      <sheetName val="Summary_MONTH4"/>
      <sheetName val="DESICON_SUM4"/>
      <sheetName val="DES_TCF_Rental4"/>
      <sheetName val="DES_TCF_Maints_pers4"/>
      <sheetName val="DES_TCF_Heavy_Equipment4"/>
      <sheetName val="BANK_BOND4"/>
      <sheetName val="PHC_WAREHOUSE_-_INFOONLY4"/>
      <sheetName val="CATERING_CONTROL4"/>
      <sheetName val="SUB_CONTRACT4"/>
      <sheetName val="SPDC_-_INFONLY4"/>
      <sheetName val="VENDOR_SCHEDUL4"/>
      <sheetName val="VENDOR_PRESENCE_-_COMM4"/>
      <sheetName val="VENDOR_PRESENCE_-_RECH4"/>
      <sheetName val="VENDOR_PRESENCE_-_COMM_4"/>
      <sheetName val="CONTRACT_RATES4"/>
      <sheetName val="Sch_64"/>
      <sheetName val="InD_Mpower4"/>
      <sheetName val="Cost_Code6"/>
      <sheetName val="Data_Ref6"/>
      <sheetName val="Interdept_Rate6"/>
      <sheetName val="4300_UTILITY_BLDG_(2)6"/>
      <sheetName val="Payment_Certificate-14"/>
      <sheetName val="Floor_wet4"/>
      <sheetName val="Floor_Balcony4"/>
      <sheetName val="Hard_scape_Floor4"/>
      <sheetName val="P03_Skirting4"/>
      <sheetName val="GF_wall4"/>
      <sheetName val="Kitchen_Wall_wet_LIN-7014"/>
      <sheetName val="Wall_wet_LIN-601_4"/>
      <sheetName val="BOQ_(2)4"/>
      <sheetName val="VO_Schedule-14"/>
      <sheetName val="HOLD_AMOUNT4"/>
      <sheetName val="Back_Charge_(2)4"/>
      <sheetName val="Temporary_Deductions-1_4"/>
      <sheetName val="Contracharges_Check_list-1_4"/>
      <sheetName val="PC_034"/>
      <sheetName val="Measurement_sheet4"/>
      <sheetName val="Material_Only4"/>
      <sheetName val="Man_power_supply4"/>
      <sheetName val="Camp_Deduction4"/>
      <sheetName val="Enron_Form4"/>
      <sheetName val="내역서_(∮ἀ嘆ɶ_᠀㬁_5"/>
      <sheetName val="Vehicle_Log4"/>
      <sheetName val="RESUMEN_CD4"/>
      <sheetName val="BOQ_REV64"/>
      <sheetName val="Maliyet_Ozet4"/>
      <sheetName val="1_1-1_24"/>
      <sheetName val="1_3-_1_44"/>
      <sheetName val="3_14"/>
      <sheetName val="3_24"/>
      <sheetName val="4_1(a)4"/>
      <sheetName val="4_1(b)4"/>
      <sheetName val="4_1_(c)4"/>
      <sheetName val="5_14"/>
      <sheetName val="Other_data4"/>
      <sheetName val="M&amp;E_Summary4"/>
      <sheetName val="rev_summary4"/>
      <sheetName val="M&amp;E_Prelims4"/>
      <sheetName val="B-FP_(2)4"/>
      <sheetName val="Sch_14"/>
      <sheetName val="5__Work_load(현재원기준)6"/>
      <sheetName val="SPEC(CABLE_&amp;_WIRE)4"/>
      <sheetName val="6_공정표4"/>
      <sheetName val="A__ENGINEERING4"/>
      <sheetName val="B-1__배관자재4"/>
      <sheetName val="B-2__전기자재4"/>
      <sheetName val="B-3__계장자재4"/>
      <sheetName val="B-4__기계자재4"/>
      <sheetName val="C-1__공통가설4"/>
      <sheetName val="C-2__토목4"/>
      <sheetName val="C-4__철골4"/>
      <sheetName val="C-5__기계4"/>
      <sheetName val="C-6__배관4"/>
      <sheetName val="C-7__전기4"/>
      <sheetName val="C-8__계장4"/>
      <sheetName val="C-9__중장비4"/>
      <sheetName val="C-10__소방설비4"/>
      <sheetName val="C-11__보온4"/>
      <sheetName val="C-12__CMS4"/>
      <sheetName val="IRR_sponsor4"/>
      <sheetName val="2013电气概算_价目表_(营改增调整)4"/>
      <sheetName val="내역서_(N____19"/>
      <sheetName val="1_11_b4"/>
      <sheetName val="List_Equip4"/>
      <sheetName val="Process_C_(1-166)4"/>
      <sheetName val="TRUCK_HAUL_CYCLE-waste4"/>
      <sheetName val="Existing_PC_Pavement4"/>
      <sheetName val="Master_Data4"/>
      <sheetName val="ind'l_cp4"/>
      <sheetName val="LAST_UPDATE4"/>
      <sheetName val="0_품의서(전체)4"/>
      <sheetName val="3_부제O호표4"/>
      <sheetName val="5_소모재료비4"/>
      <sheetName val="8_시멘트제원표4"/>
      <sheetName val="2_품제O호표4"/>
      <sheetName val="본부_SHOP4"/>
      <sheetName val="#6_MDU_일반4"/>
      <sheetName val="#6_MDU엄반장4"/>
      <sheetName val="#6MDU_기계4"/>
      <sheetName val="HOU_COMP`4"/>
      <sheetName val="FCC_OBL-SHOP4"/>
      <sheetName val="NEW_FCC_OBL4"/>
      <sheetName val="#4_MDU4"/>
      <sheetName val="#6_SHOP4"/>
      <sheetName val="NRC_OBL-조연식4"/>
      <sheetName val="광양-조연식_반장4"/>
      <sheetName val="#5MDU_REV4"/>
      <sheetName val="LBO_PROJECT4"/>
      <sheetName val="VENDOR_LIST4"/>
      <sheetName val="BOP_LINE_LIST4"/>
      <sheetName val="ABB_Summary4"/>
      <sheetName val="Man_power_rate4"/>
      <sheetName val="Const_equip_rate4"/>
      <sheetName val="01-Gang_Rate_&amp;_Info4"/>
      <sheetName val="05-Sum_Cost4"/>
      <sheetName val="06-Indirect_Loading4"/>
      <sheetName val="07-Heavy_Equipment4"/>
      <sheetName val="08-RR_Check_List4"/>
      <sheetName val="1)_Risk_and_Opportunities4"/>
      <sheetName val="2)_Full_Cost_Calculation4"/>
      <sheetName val="tblg_denda5"/>
      <sheetName val="F1_44"/>
      <sheetName val="Manpower_Categories4"/>
      <sheetName val="Equipt_Rental4"/>
      <sheetName val="EQ_USED_(CORRECTED)4"/>
      <sheetName val="Rebar_Constant4"/>
      <sheetName val="CONCRETE_TYPE4"/>
      <sheetName val="External_Issues4"/>
      <sheetName val="Statprod_gab5"/>
      <sheetName val="L_15"/>
      <sheetName val="Equip_Mstr_FOR_3A14"/>
      <sheetName val="G_R300경비4"/>
      <sheetName val="AS포장복구_4"/>
      <sheetName val="중기조종사_단위단가4"/>
      <sheetName val="설_계4"/>
      <sheetName val="5_Cennik5"/>
      <sheetName val="_토목_처리장도급내역서_4"/>
      <sheetName val="Garph_Work-Cost4"/>
      <sheetName val="LRK_4"/>
      <sheetName val="Insulation_1501084"/>
      <sheetName val="동상부_Tact_기준_반입일정_및_수량_02174"/>
      <sheetName val="MASTER_RATE_ANALYSIS4"/>
      <sheetName val="MN_T_B_4"/>
      <sheetName val="INDIGINEOUS_ITEMS_4"/>
      <sheetName val="Core_Data4"/>
      <sheetName val="final_abstract4"/>
      <sheetName val="GRAND_REKAP3"/>
      <sheetName val="analisa_(2)3"/>
      <sheetName val="Analisa_23"/>
      <sheetName val="Up_&amp;_bhn3"/>
      <sheetName val="HRG_BHN3"/>
      <sheetName val="Analisa_(ok_punya)3"/>
      <sheetName val="Alat_(2)3"/>
      <sheetName val="Rekap_Biaya3"/>
      <sheetName val="Kuantitas_&amp;_Harga3"/>
      <sheetName val="Nopember_(2)3"/>
      <sheetName val="Ramp_data3"/>
      <sheetName val="Lower_Ground3"/>
      <sheetName val="Cap_Cost3"/>
      <sheetName val="RLV_Calc3"/>
      <sheetName val="Costs_(dev)3"/>
      <sheetName val="Bluewater_NPV_-_sell_January3"/>
      <sheetName val="Upper_Ground3"/>
      <sheetName val="PARK_NE3"/>
      <sheetName val="Financial_Summary3"/>
      <sheetName val="D&amp;C_Calcs3"/>
      <sheetName val="CA_Upside_Downside_Old3"/>
      <sheetName val="EASEL_CA_Example3"/>
      <sheetName val="Urai__Resap_pengikat3"/>
      <sheetName val="DAF_HRG3"/>
      <sheetName val="7_공정표3"/>
      <sheetName val="Kolom_UT3"/>
      <sheetName val="HB_3"/>
      <sheetName val="Memb_Schd3"/>
      <sheetName val="Coef_et_données3"/>
      <sheetName val="Eng_Hrs_(HO)3"/>
      <sheetName val="MFG_&amp;_DEL3"/>
      <sheetName val="원가조정_내역3"/>
      <sheetName val="InsertListDrawing_1_3"/>
      <sheetName val="P_Staff_fac3"/>
      <sheetName val="beam-reinft-IIInd_floor3"/>
      <sheetName val="P-Site_fac3"/>
      <sheetName val="P-Clients_fac3"/>
      <sheetName val="P2-Project_Data3"/>
      <sheetName val="a_h_ars_sum3"/>
      <sheetName val="a_h_ars3"/>
      <sheetName val="Chap_2-_Page_4_1"/>
      <sheetName val="VAT_TU_DIEN1"/>
      <sheetName val="bldg_list1"/>
      <sheetName val="Scaffolding_Volume1"/>
      <sheetName val="REF_ONLY"/>
      <sheetName val="PLSt_03__"/>
      <sheetName val="П_7_курс_аванса"/>
      <sheetName val="IncStat_03-04"/>
      <sheetName val="IncStat_03__"/>
      <sheetName val="Авансы_по_СНГ"/>
      <sheetName val="Process_Piping"/>
      <sheetName val="SWALE_(구산)"/>
      <sheetName val="Data_Ref_"/>
      <sheetName val="KKS_System_Codes"/>
      <sheetName val="Price_Schedule_Code"/>
      <sheetName val="Detail_Eng"/>
      <sheetName val="ENE-CAL_1"/>
      <sheetName val="내역서_(N____20"/>
      <sheetName val="Dsr_Hitung"/>
      <sheetName val="Mat_Tower"/>
      <sheetName val="RT13526_CPI"/>
      <sheetName val="Inputs_-_Results"/>
      <sheetName val="GENERAL_"/>
      <sheetName val="Tank_Loading"/>
      <sheetName val="Fdn_Calc"/>
      <sheetName val="LATERAL_OCDI_BH-02"/>
      <sheetName val="Lateral_Broms"/>
      <sheetName val="N-SPT_corr"/>
      <sheetName val="Curve_N-SPT"/>
      <sheetName val="COST_BD"/>
      <sheetName val="MSP-Operator_Building-Area_C"/>
      <sheetName val="Monthly_S_Curve_SPK"/>
      <sheetName val="UPAH_&amp;_BHN_ARS"/>
      <sheetName val="AHS_ARS"/>
      <sheetName val="Analisa_HSP"/>
      <sheetName val="입찰내역_발주처_양卤"/>
      <sheetName val="Analisa_Neraca"/>
      <sheetName val="-0_5_TABLA_PRESUPUESTOS1"/>
      <sheetName val="ﾄﾞﾊﾞｲFUEL_GAS追見1"/>
      <sheetName val="Sheet_14"/>
      <sheetName val="Raw_Ref"/>
      <sheetName val="Cost_Codes"/>
      <sheetName val="Code_07"/>
      <sheetName val="OE_(KSB)"/>
      <sheetName val="galian_saluran"/>
      <sheetName val="Ana__PU"/>
      <sheetName val="Perhit_Alat"/>
      <sheetName val="05_Analisa_Teknik"/>
      <sheetName val="?_x000a_????_x000a_?"/>
      <sheetName val="_x000a_?????_x000a_??"/>
      <sheetName val="_?????_??"/>
      <sheetName val="Weekl??_x000a_?"/>
      <sheetName val="?뻘N??_"/>
      <sheetName val="?_x000a_?_x0"/>
      <sheetName val="_x000a_??_x0"/>
      <sheetName val="7422CW?"/>
      <sheetName val="OPT??_x000a_?"/>
      <sheetName val="Analisa_SNI_STANDART_"/>
      <sheetName val="1_B"/>
      <sheetName val="Week_ending"/>
      <sheetName val="Planners_Workload"/>
      <sheetName val="breakdown_of_FA113"/>
      <sheetName val="SANDAN_XLS8"/>
      <sheetName val="Page 2"/>
      <sheetName val="Project Grading"/>
      <sheetName val="satuan"/>
      <sheetName val="DHSD"/>
      <sheetName val="kalibrasi-Tank"/>
      <sheetName val="terdistribusi"/>
      <sheetName val="MAT&amp;LABOR"/>
      <sheetName val="5대총괄"/>
      <sheetName val="ouse_Summary2_________________2"/>
      <sheetName val="Faktor"/>
      <sheetName val="luar"/>
      <sheetName val="RINC hotel"/>
      <sheetName val="RINC FIN T4 "/>
      <sheetName val="RINC FIN T4  _3_"/>
      <sheetName val="RINC FIN T4  _2_"/>
      <sheetName val="Breadown"/>
      <sheetName val="合成単価作成・-BLDG"/>
      <sheetName val="XL4Poppy"/>
      <sheetName val="내역서_(∮ἀ嘆ɶ᠀㬁1"/>
      <sheetName val="MAN-STD"/>
      <sheetName val="LV induction "/>
      <sheetName val="내역서(전기)"/>
      <sheetName val="본부소개"/>
      <sheetName val="NM2"/>
      <sheetName val="NW1"/>
      <sheetName val="NW2"/>
      <sheetName val="PW3"/>
      <sheetName val="PW4"/>
      <sheetName val="SC1"/>
      <sheetName val="DNW"/>
      <sheetName val="NE"/>
      <sheetName val="PM"/>
      <sheetName val="TR"/>
      <sheetName val="ENE-CAL_11"/>
      <sheetName val="2_x0010__x000a__x0003__x000d__x0008__x0010__x0004__x0004__x0004_"/>
      <sheetName val="9011 EXPAT_MANP"/>
      <sheetName val="2_x0010_"/>
      <sheetName val="PriceSummary"/>
      <sheetName val="App A Basis of Design"/>
      <sheetName val="CBA"/>
      <sheetName val="MH and Unit Cost"/>
      <sheetName val="BOQ_PAINTING"/>
      <sheetName val="Material Cost(as per Nation)"/>
      <sheetName val="VS P-Q"/>
      <sheetName val="Harga material_1"/>
      <sheetName val="abcdef"/>
      <sheetName val="bahan,upah,alat"/>
      <sheetName val="Peralatan (2)"/>
      <sheetName val="집계표(2 안)"/>
      <sheetName val="Plan1"/>
      <sheetName val="Pnl-10"/>
      <sheetName val="70"/>
      <sheetName val="AA"/>
      <sheetName val="AP110"/>
      <sheetName val="B-10"/>
      <sheetName val="BB-1"/>
      <sheetName val="C-5"/>
      <sheetName val="C-6"/>
      <sheetName val="C-6a"/>
      <sheetName val="F-1l2"/>
      <sheetName val="F-21"/>
      <sheetName val="F-4"/>
      <sheetName val="FF"/>
      <sheetName val="FF-2"/>
      <sheetName val="L"/>
      <sheetName val="M MM"/>
      <sheetName val="30a"/>
      <sheetName val="30-Note"/>
      <sheetName val="U-2"/>
      <sheetName val="Z- GENERAL PRIC橿⿂⒘ࡈ"/>
      <sheetName val="Z- GENERAL PRIC鋘@俀~橿⿂⍈"/>
      <sheetName val="Z- GENERAL PRIC_x0005_ẹ"/>
      <sheetName val="tabel berat"/>
      <sheetName val="daf_3_OK_"/>
      <sheetName val="daf_7_OK_"/>
      <sheetName val="L_TIGA"/>
      <sheetName val="SWALE_(구산)1"/>
      <sheetName val="REF_ONLY1"/>
      <sheetName val="Data_Ref_1"/>
      <sheetName val="KKS_System_Codes1"/>
      <sheetName val="Price_Schedule_Code1"/>
      <sheetName val="MC-P1"/>
      <sheetName val="IRR_sponsor5"/>
      <sheetName val="SPT_vs_PHI5"/>
      <sheetName val="1_자금요약5"/>
      <sheetName val="2_실행비투입5"/>
      <sheetName val="3_본사집계5"/>
      <sheetName val="3-1_본사투입5"/>
      <sheetName val="4_지사집계5"/>
      <sheetName val="4-1_지사투입5"/>
      <sheetName val="5_현장총집계5"/>
      <sheetName val="5-1_현금집계5"/>
      <sheetName val="5-2_현금출납5"/>
      <sheetName val="5-3_외상집계5"/>
      <sheetName val="5-4_외상투입5"/>
      <sheetName val="6_미지급금5"/>
      <sheetName val="5-5_기타공제집계5"/>
      <sheetName val="5-6_기타공제5"/>
      <sheetName val="7_기성현황(실)5"/>
      <sheetName val="8_한국인수당5"/>
      <sheetName val="8_한국인수당_(Master_file)5"/>
      <sheetName val="9_기타수입5"/>
      <sheetName val="10_투입집계5"/>
      <sheetName val="5-4_외상투입_(2)5"/>
      <sheetName val="16_기성현황(예)5"/>
      <sheetName val="17_자금요약25"/>
      <sheetName val="18_실행대비투입25"/>
      <sheetName val="Consortium_VP5"/>
      <sheetName val="Summary_MONTH5"/>
      <sheetName val="DESICON_SUM5"/>
      <sheetName val="DES_TCF_Rental5"/>
      <sheetName val="DES_TCF_Maints_pers5"/>
      <sheetName val="DES_TCF_Heavy_Equipment5"/>
      <sheetName val="BANK_BOND5"/>
      <sheetName val="PHC_WAREHOUSE_-_INFOONLY5"/>
      <sheetName val="CATERING_CONTROL5"/>
      <sheetName val="SUB_CONTRACT5"/>
      <sheetName val="SPDC_-_INFONLY5"/>
      <sheetName val="VENDOR_SCHEDUL5"/>
      <sheetName val="VENDOR_PRESENCE_-_COMM5"/>
      <sheetName val="VENDOR_PRESENCE_-_RECH5"/>
      <sheetName val="VENDOR_PRESENCE_-_COMM_5"/>
      <sheetName val="CONTRACT_RATES5"/>
      <sheetName val="2013电气概算_价目表_(营改增调整)5"/>
      <sheetName val="Payment_Certificate-15"/>
      <sheetName val="Floor_wet5"/>
      <sheetName val="Floor_Balcony5"/>
      <sheetName val="Hard_scape_Floor5"/>
      <sheetName val="P03_Skirting5"/>
      <sheetName val="GF_wall5"/>
      <sheetName val="Kitchen_Wall_wet_LIN-7015"/>
      <sheetName val="Wall_wet_LIN-601_5"/>
      <sheetName val="BOQ_(2)5"/>
      <sheetName val="VO_Schedule-15"/>
      <sheetName val="HOLD_AMOUNT5"/>
      <sheetName val="Back_Charge_(2)5"/>
      <sheetName val="Temporary_Deductions-1_5"/>
      <sheetName val="Contracharges_Check_list-1_5"/>
      <sheetName val="PC_035"/>
      <sheetName val="Measurement_sheet5"/>
      <sheetName val="Material_Only5"/>
      <sheetName val="Man_power_supply5"/>
      <sheetName val="Camp_Deduction5"/>
      <sheetName val="Other_data5"/>
      <sheetName val="Enron_Form5"/>
      <sheetName val="List_Equip5"/>
      <sheetName val="Process_C_(1-166)5"/>
      <sheetName val="TRUCK_HAUL_CYCLE-waste5"/>
      <sheetName val="Existing_PC_Pavement5"/>
      <sheetName val="Sch_65"/>
      <sheetName val="Master_Data5"/>
      <sheetName val="ind'l_cp5"/>
      <sheetName val="LAST_UPDATE5"/>
      <sheetName val="0_품의서(전체)5"/>
      <sheetName val="SUMMARY_MTO_02_2_355"/>
      <sheetName val="N_G_METERING_CALC_5"/>
      <sheetName val="N_G_METERING5"/>
      <sheetName val="N_G_METERING_(2)5"/>
      <sheetName val="CUMENE_METERING5"/>
      <sheetName val="N2_METERING_5"/>
      <sheetName val="H2_METERING__5"/>
      <sheetName val="CO_METERING5"/>
      <sheetName val="Daily Photo"/>
      <sheetName val="Manpower Status"/>
      <sheetName val="opstat"/>
      <sheetName val="costs"/>
      <sheetName val="Selling_Sheet_cons"/>
      <sheetName val="JGSummit_Package_2_(CTCI)"/>
      <sheetName val="MenuSheet"/>
      <sheetName val="Forecast"/>
      <sheetName val="Batam Forecast"/>
      <sheetName val="Batam Forecast_jun"/>
      <sheetName val="Fabrication Summary"/>
      <sheetName val="D6978 Mar 21 - FProj07"/>
      <sheetName val="Ecosys-Mar'21"/>
      <sheetName val="GEAC - Dec19"/>
      <sheetName val="breakdown_of_FA1131"/>
      <sheetName val="Sheet_141"/>
      <sheetName val="MSP-Operator_Building-Area_C1"/>
      <sheetName val="JGSummit_Package_2_(CTCI)1"/>
      <sheetName val="-0_5_TABLA_PRESUPUESTOS2"/>
      <sheetName val="ﾄﾞﾊﾞｲFUEL_GAS追見2"/>
      <sheetName val="BG Working Sheet"/>
      <sheetName val="당초?➴ȭ"/>
      <sheetName val="COS_REP.XLS"/>
      <sheetName val="ANL_TEK.6"/>
      <sheetName val="HM.MEK."/>
      <sheetName val="Volume"/>
      <sheetName val="내역서_耰&quot;_x005f_x0000__x005f_x005f_x0000"/>
      <sheetName val="내역서_耰&quot;_x005f_x0000__x005f_x005f_x0001"/>
      <sheetName val="내역서_耰&quot;_x005f_x0000__x005f_x005f_x0002"/>
      <sheetName val="내역서_耰&quot;_x005f_x0000__x005f_x005f_x0004"/>
      <sheetName val="내역서_耰&quot;_x005f_x0000__x005f_x005f_x0003"/>
      <sheetName val="내역서_耰&quot;_x005f_x0000__x005f_x005f_x0005"/>
      <sheetName val="내역서_耰&quot;_x005f_x0000__x005f_x005f_x0006"/>
      <sheetName val="내역서_耰&quot;_x005f_x0000__x005f_x005f_x0007"/>
      <sheetName val="_______x005f_x0000__x005f_x005f_x00_2"/>
      <sheetName val="_____x005f_x005f_x005f_x0000__2"/>
      <sheetName val="당초?ȭ"/>
      <sheetName val="내역서_耰&quot;_x005f_x0000__x005f_x005f_x0008"/>
      <sheetName val="Fire Fighting"/>
      <sheetName val="HARGA DASAR"/>
      <sheetName val="MACROS"/>
      <sheetName val="KR2&amp;KVCM(MAR 1-6'99)"/>
      <sheetName val="電源計画"/>
      <sheetName val="AnalisisHSPekerjaan"/>
      <sheetName val="ANALISA KONST BTN"/>
      <sheetName val="당초_ἀ"/>
      <sheetName val="_x0004___x000d___x0003___x0004___x0016___x000d___x0004_"/>
      <sheetName val="___x001b___x0006___x0006___x0008_____"/>
      <sheetName val=" __x001b___x0006___x0006___x0008__ __"/>
      <sheetName val="Weekl_x0004___x0016___x000d__"/>
      <sheetName val="__x000e___x0005_"/>
      <sheetName val="_x0002__뻘N___"/>
      <sheetName val="_x0004___x000d___x0"/>
      <sheetName val="___x001b___x0"/>
      <sheetName val="7422CW_x0013__"/>
      <sheetName val="OPT_x0012___x0010____"/>
      <sheetName val="__x0013___x0014_"/>
      <sheetName val="Bill of Qty"/>
      <sheetName val="ENG-101"/>
      <sheetName val="RKUPRKUF"/>
      <sheetName val="Bilanz Bus.plan 2002"/>
      <sheetName val="Mei LD"/>
      <sheetName val="Data Input"/>
      <sheetName val="financials"/>
      <sheetName val="C94151"/>
      <sheetName val="Project budget BTS"/>
      <sheetName val="손익예상"/>
      <sheetName val="piutang"/>
      <sheetName val="Well-20"/>
      <sheetName val="Well-7"/>
      <sheetName val="ChemCost-Lab"/>
      <sheetName val="Well-13"/>
      <sheetName val="Well-9"/>
      <sheetName val="Well Plan 1"/>
      <sheetName val="jadw"/>
      <sheetName val="DIV.3"/>
      <sheetName val="DIV.9"/>
      <sheetName val="00-MEMO"/>
      <sheetName val="07"/>
      <sheetName val="08"/>
      <sheetName val="06"/>
      <sheetName val="LOKASI RIG Litbang"/>
      <sheetName val="PACK"/>
      <sheetName val="2930"/>
      <sheetName val="2933"/>
      <sheetName val="2934"/>
      <sheetName val="Identitas"/>
      <sheetName val="struktur tdk dipakai"/>
      <sheetName val="H-Sat"/>
      <sheetName val="upah bahan"/>
      <sheetName val="AnalisaSIPIL RIIL"/>
      <sheetName val="Har Sat"/>
      <sheetName val="Basicprice"/>
      <sheetName val="Rek.Analisa"/>
      <sheetName val="HRG BAHAN &amp; UPAH okk"/>
      <sheetName val="sleksi"/>
      <sheetName val="TS"/>
      <sheetName val="TS MINGGUAN rev (2)"/>
      <sheetName val="DAF.ALAT"/>
      <sheetName val="ceklis"/>
      <sheetName val="LV induction mot_x0005_"/>
      <sheetName val="원가&amp;하도급원가"/>
      <sheetName val="건축(을)"/>
      <sheetName val="Sheet_x0005_ư"/>
      <sheetName val="Sheet_x0005_፠"/>
      <sheetName val="Sheet_x0005__xded0_"/>
      <sheetName val="Sheet_x0005_팠"/>
      <sheetName val="Sheet_x0005_⡰"/>
      <sheetName val="Sheet_x0005_㜰"/>
      <sheetName val="Sheet_x0005_븰"/>
      <sheetName val="적용단가"/>
      <sheetName val="리비아견적작업"/>
      <sheetName val="SUMMARY_철거"/>
      <sheetName val="내역(정지)"/>
      <sheetName val="차이내역"/>
      <sheetName val="내역서_(N____21"/>
      <sheetName val="ANAL_BOW"/>
      <sheetName val="Isolasi_Luar_Dalam"/>
      <sheetName val="Isolasi_Luar"/>
      <sheetName val="график_финансирования"/>
      <sheetName val="keyword"/>
      <sheetName val="TH VL, NC, DDHT Thanhphuoc"/>
      <sheetName val="현금흐름표"/>
      <sheetName val="COMPLEXALL"/>
      <sheetName val="Materials "/>
      <sheetName val="MAchinery(R1)"/>
      <sheetName val="State List"/>
      <sheetName val="TIE-INS"/>
      <sheetName val="black_out"/>
      <sheetName val="WK"/>
      <sheetName val="IPL_SCHEDULE"/>
      <sheetName val="DAILY"/>
      <sheetName val="SANDAN_XLS9"/>
      <sheetName val="내역서_(∮ἀ嘆ɶ᠀㬁2"/>
      <sheetName val="1.0_Criteria_New"/>
      <sheetName val="cost curve calc"/>
      <sheetName val="QPL"/>
      <sheetName val="TOWN"/>
      <sheetName val="ALAT1"/>
      <sheetName val="ALAT2 (TDK DIPAKAI)"/>
      <sheetName val="DIV10"/>
      <sheetName val="Fill this out first___"/>
      <sheetName val="Pesanan"/>
      <sheetName val="Penjualan"/>
      <sheetName val="FAI-1"/>
      <sheetName val="idx-03"/>
      <sheetName val="PERBULAN"/>
      <sheetName val="SUJAKA"/>
      <sheetName val="KALTIM"/>
      <sheetName val="KALSEL"/>
      <sheetName val="IDX06"/>
      <sheetName val="BLOK-BJR"/>
      <sheetName val="DPro"/>
      <sheetName val="PercenDiv"/>
      <sheetName val="pro_ra_op"/>
      <sheetName val="analis_standar(8m)"/>
      <sheetName val="renc_mgn"/>
      <sheetName val="ShareCapital_"/>
      <sheetName val="Instrument_Proc"/>
      <sheetName val="MTO_Civil_Work"/>
      <sheetName val="Sched_3_(Construction)"/>
      <sheetName val="Sched_1_(Engineering)"/>
      <sheetName val="Sched_2_(Procurement_"/>
      <sheetName val="lkalibrasi_BENENAIN"/>
      <sheetName val="Rekap_Addendum"/>
      <sheetName val="AT_2"/>
      <sheetName val="Ch"/>
      <sheetName val="Perhitungan RAB"/>
      <sheetName val="5-Peralatan"/>
      <sheetName val="trans"/>
      <sheetName val="INPUT DATAS"/>
      <sheetName val="PaintBreak"/>
      <sheetName val="INSSUBCON"/>
      <sheetName val="ABK.04.AWALR+CO+TAB.RUPS"/>
      <sheetName val="9 58&quot;_single"/>
      <sheetName val="COSTPERBBL"/>
      <sheetName val="Material_Price15"/>
      <sheetName val="Land_Dev't__Ph-118"/>
      <sheetName val="4-Lane_bridge18"/>
      <sheetName val="Addendum_No_1_BILL_21"/>
      <sheetName val="Home_Office"/>
      <sheetName val="7_6_3_J_Inline_Instrument"/>
      <sheetName val="6_2_Floor_Finishes1"/>
      <sheetName val="Project_D"/>
      <sheetName val="Tender_Summary"/>
      <sheetName val="MAY_00-Bobbins"/>
      <sheetName val="2_2_띠장의_설계"/>
      <sheetName val="(10)_Other_Costs5"/>
      <sheetName val="combined_9-3026"/>
      <sheetName val="worksheet_inchican26"/>
      <sheetName val="combined_9_3026"/>
      <sheetName val="bar_chart-rev26"/>
      <sheetName val="MATERIAL'S_PRICE24"/>
      <sheetName val="Schedule_S-Curve_Revision#322"/>
      <sheetName val="PC_&amp;_PVS20"/>
      <sheetName val="2_223M_due_to_adj_profit15"/>
      <sheetName val="Inchican_Road_Accomplishment18"/>
      <sheetName val="Shut_down15"/>
      <sheetName val="bill_215"/>
      <sheetName val="sorksheet_inchican15"/>
      <sheetName val="sombined_9-3015"/>
      <sheetName val="PH_515"/>
      <sheetName val="remaining_billing15"/>
      <sheetName val="Hac_Lots15"/>
      <sheetName val="Res_Lots15"/>
      <sheetName val="Spine_Road15"/>
      <sheetName val="INPUT_DATA_HERE14"/>
      <sheetName val="option_Y114"/>
      <sheetName val="Summary_(overall)1"/>
      <sheetName val="Adimi_bldg1"/>
      <sheetName val="Pump_House1"/>
      <sheetName val="Fuel_Regu_Station1"/>
      <sheetName val="Footing_Tie_Beam1"/>
      <sheetName val="FINAL_NEGO1"/>
      <sheetName val="RFP_Codes1"/>
      <sheetName val="Bill_summary_of_cost1"/>
      <sheetName val="unit_price1"/>
      <sheetName val="Schedule_S-Curve_(new_scheme)1"/>
      <sheetName val="Fire_Suppression1"/>
      <sheetName val="tabulation_(comparison)1"/>
      <sheetName val="area_comp_2011_01_181"/>
      <sheetName val="Tabulation_"/>
      <sheetName val="3_-RESOURCE_LIST"/>
      <sheetName val="0_-SUMMARY"/>
      <sheetName val="3_2_AUX"/>
      <sheetName val="3_3_AUX-2"/>
      <sheetName val="GRAND_SUM"/>
      <sheetName val="VCC_11110-461"/>
      <sheetName val="Appendix_A"/>
      <sheetName val="C1_(calcolo)"/>
      <sheetName val="5_5FWBS_CODE"/>
      <sheetName val="1195_B1"/>
      <sheetName val="page_6"/>
      <sheetName val="Capel_KI"/>
      <sheetName val="Capel_PK"/>
      <sheetName val="Summary_HS_Pipa_CS"/>
      <sheetName val="Raw_Data-Combined"/>
      <sheetName val="JOB_Code"/>
      <sheetName val="COVER_RECAP_INSTALL_(2)"/>
      <sheetName val="Rekap_Summary"/>
      <sheetName val="Rekap_Breakdown"/>
      <sheetName val="Equiv_Length"/>
      <sheetName val="Harga_Mat_"/>
      <sheetName val="Integrated-S_Curve"/>
      <sheetName val="Bang_KL"/>
      <sheetName val="_hrg_bhn"/>
      <sheetName val="Section_1"/>
      <sheetName val="Main_Control"/>
      <sheetName val="Ra__stair"/>
      <sheetName val="Man_Power"/>
      <sheetName val="내역서_(∮ἀ嘆ɶ_x005f_x0000_᠀㬁_x005f_x0000_"/>
      <sheetName val="내역서_(N__x005f_x000e__x005f_x000e__x005f_x000e____"/>
      <sheetName val="Bangunan_Utama"/>
      <sheetName val="Hrg_Sat"/>
      <sheetName val="Subcon Rate"/>
      <sheetName val="Z- GENERAL PRIC橿⿂"/>
      <sheetName val="Z- GENERAL PRIC鋘@俀~橿⿂"/>
      <sheetName val="Z- GENERAL PRIC"/>
      <sheetName val="PROC%"/>
      <sheetName val="LV induction mot"/>
      <sheetName val="Notes"/>
      <sheetName val="4B-H150"/>
      <sheetName val="8B1s-H440"/>
      <sheetName val="8B0s"/>
      <sheetName val="H244"/>
      <sheetName val="4334-Summary"/>
      <sheetName val="Eng_Hrs"/>
      <sheetName val="A-11 Steel Str"/>
      <sheetName val="A-03 Pile"/>
      <sheetName val="CONS."/>
      <sheetName val="내역서_耰&quot;_x0008"/>
      <sheetName val="내역서_耰&quot;_x00008"/>
      <sheetName val="내역서_耰&quot;_x005f8"/>
      <sheetName val="내역서_耰&quot;_x005f_x0000__x0009"/>
      <sheetName val="내역서_耰&quot;_x005f_x005f_x00009"/>
      <sheetName val="내역서_耰&quot;_x005f_x005f_x005f9"/>
      <sheetName val="내역서_耰&quot;_x005f_x0000__x0010"/>
      <sheetName val="내역서_耰&quot;_x005f_x005f_x00010"/>
      <sheetName val="내역서_耰&quot;_x005f_x005f_x00510"/>
      <sheetName val="Country (kVA-Hz.)"/>
      <sheetName val="Auftragskalkulation"/>
      <sheetName val="Projektinformation"/>
      <sheetName val="SEK Vertrieb"/>
      <sheetName val="Verkaufspreis"/>
      <sheetName val="Unterlieferantenspiegel"/>
      <sheetName val="Engineeringstunden"/>
      <sheetName val="Auftragsrisiko"/>
      <sheetName val="SEK Montage"/>
      <sheetName val="SEK IBN"/>
      <sheetName val="Konsortialanteile"/>
      <sheetName val="Fremdengineering"/>
      <sheetName val="ENGG_CVL"/>
      <sheetName val="PAD TR보호대기초"/>
      <sheetName val="가로등기초"/>
      <sheetName val="HANDHOLE(2)"/>
      <sheetName val="Vind -鴃宼蠀"/>
      <sheetName val="입력시|"/>
      <sheetName val="R05"/>
      <sheetName val="İnsan Gücü"/>
      <sheetName val="정산내역서"/>
      <sheetName val="견적단가"/>
      <sheetName val="계약단가"/>
      <sheetName val="ELECTRIC"/>
      <sheetName val="주요자재집계"/>
      <sheetName val="1.집계표(일반전기)"/>
      <sheetName val="2.집계표(선행공사)"/>
      <sheetName val="3.집계표(소방공사)"/>
      <sheetName val="전력간선"/>
      <sheetName val="동력"/>
      <sheetName val="CABLE TRAY"/>
      <sheetName val="전등,전열"/>
      <sheetName val="접지피뢰설비"/>
      <sheetName val="수변전"/>
      <sheetName val="전력제어_DUCT(완)"/>
      <sheetName val="아파트 기성내역서"/>
      <sheetName val="7IFS-5A"/>
      <sheetName val="단면가정"/>
      <sheetName val="설계조건"/>
      <sheetName val="HaulingLine hardware"/>
      <sheetName val="S Curve"/>
      <sheetName val="Branch Power"/>
      <sheetName val="Distrib"/>
      <sheetName val="Emergency"/>
      <sheetName val="Lighting"/>
      <sheetName val="C. letter 3rd QT"/>
      <sheetName val="P_ROBERTS"/>
      <sheetName val="DESBAST"/>
      <sheetName val="소비자가"/>
      <sheetName val="TBM-T6+5S(Alt1)"/>
      <sheetName val="cespiti cet2 piombino (2)"/>
      <sheetName val="建筑工程统计表06月份 "/>
      <sheetName val="FlujoTJ"/>
      <sheetName val="배포용표지"/>
      <sheetName val="Tra_bang"/>
      <sheetName val="HX"/>
      <sheetName val="ENE-CAL_12"/>
      <sheetName val="Dsr_Hitung1"/>
      <sheetName val="Mat_Tower1"/>
      <sheetName val="RT13526_CPI1"/>
      <sheetName val="Inputs_-_Results1"/>
      <sheetName val="GENERAL_1"/>
      <sheetName val="Tank_Loading1"/>
      <sheetName val="Fdn_Calc1"/>
      <sheetName val="LATERAL_OCDI_BH-021"/>
      <sheetName val="Lateral_Broms1"/>
      <sheetName val="N-SPT_corr1"/>
      <sheetName val="Curve_N-SPT1"/>
      <sheetName val="COST_BD1"/>
      <sheetName val="Monthly_S_Curve_SPK1"/>
      <sheetName val="Daily_Photo"/>
      <sheetName val="Manpower_Status"/>
      <sheetName val="LV_induction_묠"/>
      <sheetName val="__x005f_x0000__x005f_x001b__x005f_x0000__x005f_x0006__1"/>
      <sheetName val="내역서_耰&quot;_x005f_x005f_x005f_x0000__x00004"/>
      <sheetName val="내역서_(N____x005f_x000a_3"/>
      <sheetName val="Dinh_muc_CP_KTCB_khac"/>
      <sheetName val="TH_May_TC"/>
      <sheetName val="KLDT_DIEN"/>
      <sheetName val="PTVT_DIEN"/>
      <sheetName val="TH_kinh_phi"/>
      <sheetName val="Thong_ke_thiet_bi"/>
      <sheetName val="TH_vat_tu"/>
      <sheetName val="A_SIS"/>
      <sheetName val="gia_vt"/>
      <sheetName val="1_BILL_MOI_THAU_CAN_THUONG"/>
      <sheetName val="PHAN_NGAM"/>
      <sheetName val="집계표(2_안)"/>
      <sheetName val="uraian_analisa"/>
      <sheetName val="8LT_12"/>
      <sheetName val="Basic_Price"/>
      <sheetName val="Rekap_Analisa"/>
      <sheetName val="ANALISA_PEK_UMUM"/>
      <sheetName val="IN_OUT"/>
      <sheetName val="내역서_ᢐ_x005f_x001f_"/>
      <sheetName val="내역서_ᢐ_x005f_x001f__x005f_x0000__x005f_x0000_"/>
      <sheetName val="Sat_Bah___Up"/>
      <sheetName val="DATA_PROYEK"/>
      <sheetName val="rab_me_(by_owner)_"/>
      <sheetName val="BQ_(by_owner)"/>
      <sheetName val="rab_me_(fisik)"/>
      <sheetName val="LIST_ANHARSAT"/>
      <sheetName val="P__control"/>
      <sheetName val="Costing_Detailed"/>
      <sheetName val="Basic_Data_Inputs"/>
      <sheetName val="BILL_1"/>
      <sheetName val="Step2_-&gt;_Mat__Cost"/>
      <sheetName val="TEMP_PROFILE"/>
      <sheetName val="_선택_속성(잠금)"/>
      <sheetName val="Drop-down_lists"/>
      <sheetName val="建筑定额_(2002)"/>
      <sheetName val="ADI_Edison_Termoelettrica"/>
      <sheetName val="Daily_Forwards"/>
      <sheetName val="VS_P-Q"/>
      <sheetName val="BQ_Summary"/>
      <sheetName val="Sheetư"/>
      <sheetName val="Sheet፠"/>
      <sheetName val="Sheet팠"/>
      <sheetName val="Sheet⡰"/>
      <sheetName val="Sheet㜰"/>
      <sheetName val="Sheet븰"/>
      <sheetName val="LV_induction_"/>
      <sheetName val="LV_induction_mot"/>
      <sheetName val="Harga_material_1"/>
      <sheetName val="Peralatan_(2)"/>
      <sheetName val="Team_3_S-Curve"/>
      <sheetName val="MH_and_Unit_Cost"/>
      <sheetName val="Material_Cost(as_per_Nation)"/>
      <sheetName val="FA_LISTING"/>
      <sheetName val="FA-LISTING"/>
      <sheetName val="6MONTHS"/>
      <sheetName val="負荷集計（断熱不燃）"/>
      <sheetName val="NoDelete_NoHide"/>
      <sheetName val="报价说明 (3)"/>
      <sheetName val="报价说明 (4)"/>
      <sheetName val="2.履约阶段供应链管理计划"/>
      <sheetName val="XREF"/>
      <sheetName val="sis.xlm"/>
      <sheetName val="spot prices"/>
      <sheetName val="Forma E-17"/>
      <sheetName val="1999 BUDGET"/>
      <sheetName val="Boq(1)"/>
      <sheetName val="Risk Variables"/>
      <sheetName val="간접비 총괄표"/>
      <sheetName val="BOQ LIST"/>
      <sheetName val="石炭性状"/>
      <sheetName val="SUM-AIR-Submit"/>
      <sheetName val="Star Rate"/>
      <sheetName val="sch 1.2"/>
      <sheetName val="B_6"/>
      <sheetName val="B_7"/>
      <sheetName val="B_8"/>
      <sheetName val="B_9"/>
      <sheetName val="B_10 (4)"/>
      <sheetName val="AGG"/>
      <sheetName val="MT"/>
      <sheetName val="BP"/>
      <sheetName val="Cover-L"/>
      <sheetName val="Rev "/>
      <sheetName val="LIST"/>
      <sheetName val="支架原始数据"/>
      <sheetName val="材料规格"/>
      <sheetName val="Sheet1 (4)"/>
      <sheetName val="ISBL-J10"/>
      <sheetName val="BQ Working"/>
      <sheetName val="PipWT"/>
      <sheetName val="N-detail"/>
      <sheetName val="FACSUM"/>
      <sheetName val="04.09.19 Mufqi(2)"/>
      <sheetName val="04.09.19 Winda(2)"/>
      <sheetName val="Mufqi 29.08.19"/>
      <sheetName val="Ade 30.08.19"/>
      <sheetName val="Pramudibyo 30.08.19"/>
      <sheetName val="Aji 02.09.19"/>
      <sheetName val="Diah 02.09.19"/>
      <sheetName val=".09.19"/>
      <sheetName val="Kode"/>
      <sheetName val="Unit-P"/>
      <sheetName val="61004"/>
      <sheetName val="61005"/>
      <sheetName val="61006"/>
      <sheetName val="61007"/>
      <sheetName val="61008"/>
      <sheetName val="Own"/>
      <sheetName val="Dash"/>
      <sheetName val="skejul"/>
      <sheetName val="01A_ RAB"/>
      <sheetName val="27"/>
      <sheetName val="46"/>
      <sheetName val="33"/>
      <sheetName val="26"/>
      <sheetName val="42"/>
      <sheetName val="32"/>
      <sheetName val="41"/>
      <sheetName val="31"/>
      <sheetName val="64_6"/>
      <sheetName val="62"/>
      <sheetName val="24"/>
      <sheetName val="43"/>
      <sheetName val="53 "/>
      <sheetName val="54"/>
      <sheetName val="MH CIVIL"/>
      <sheetName val="30"/>
      <sheetName val="64_14"/>
      <sheetName val="64_1"/>
      <sheetName val="64_2"/>
      <sheetName val="64_3"/>
      <sheetName val="51"/>
      <sheetName val="38"/>
      <sheetName val="52"/>
      <sheetName val="23"/>
      <sheetName val="49"/>
      <sheetName val="29"/>
      <sheetName val="36_3"/>
      <sheetName val="36_4"/>
      <sheetName val="44"/>
      <sheetName val="45"/>
      <sheetName val="63"/>
      <sheetName val="div-4"/>
      <sheetName val="DIV 2"/>
      <sheetName val="DIV 7"/>
      <sheetName val="DIV 8"/>
      <sheetName val="UBA"/>
      <sheetName val="DIV 3"/>
      <sheetName val="SDHU&amp;B"/>
      <sheetName val="S"/>
      <sheetName val="가격조사서"/>
      <sheetName val="TEKNIS"/>
      <sheetName val="Mob2"/>
      <sheetName val="MR EUR"/>
      <sheetName val="changes"/>
      <sheetName val="Ind. Budget"/>
      <sheetName val="1) COMMON FACILITIES"/>
      <sheetName val="Basisdaten"/>
      <sheetName val="SA516-60,70 (정리)"/>
      <sheetName val="ENQ222394AL NASR_Steel Report"/>
      <sheetName val="DP"/>
      <sheetName val="범례"/>
      <sheetName val="КС2_24.1-8 (4.1.8.11.200)corr"/>
      <sheetName val="SWALE_(구산)2"/>
      <sheetName val="Chap_2-_Page_4_2"/>
      <sheetName val="VAT_TU_DIEN2"/>
      <sheetName val="bldg_list2"/>
      <sheetName val="UPAH_&amp;_BHN_ARS1"/>
      <sheetName val="AHS_ARS1"/>
      <sheetName val="Analisa_HSP1"/>
      <sheetName val="입찰내역_발주처_양卤1"/>
      <sheetName val="Analisa_Neraca1"/>
      <sheetName val="내역서_(N____22"/>
      <sheetName val="Data_Ref_2"/>
      <sheetName val="KKS_System_Codes2"/>
      <sheetName val="Price_Schedule_Code2"/>
      <sheetName val="REF_ONLY2"/>
      <sheetName val="ANAL_BOW1"/>
      <sheetName val="Isolasi_Luar_Dalam1"/>
      <sheetName val="Isolasi_Luar1"/>
      <sheetName val="график_финансирования1"/>
      <sheetName val="SANDAN_XLS10"/>
      <sheetName val="Project_D1"/>
      <sheetName val="Tender_Summary1"/>
      <sheetName val="Ana__PU1"/>
      <sheetName val="Ra__stair1"/>
      <sheetName val="1195_B11"/>
      <sheetName val="Capel_KI1"/>
      <sheetName val="Capel_PK1"/>
      <sheetName val="page_61"/>
      <sheetName val="Raw_Data-Combined1"/>
      <sheetName val="Summary_HS_Pipa_CS1"/>
      <sheetName val="galian_saluran1"/>
      <sheetName val="Perhit_Alat1"/>
      <sheetName val="05_Analisa_Teknik1"/>
      <sheetName val="Analisa_SNI_STANDART_1"/>
      <sheetName val="1_B1"/>
      <sheetName val="lkalibrasi_BENENAIN1"/>
      <sheetName val="Rekap_Addendum1"/>
      <sheetName val="AT_21"/>
      <sheetName val="_hrg_bhn1"/>
      <sheetName val="Harga_Mat_1"/>
      <sheetName val="Section_11"/>
      <sheetName val="OE_(KSB)1"/>
      <sheetName val="6_2_Floor_Finishes2"/>
      <sheetName val="cost_curve_calc"/>
      <sheetName val="КС2_24_1-8_(4_1_8_11_200)corr"/>
      <sheetName val="2_x000a__x000a_"/>
      <sheetName val="9011_EXPAT_MANP"/>
      <sheetName val="App_A_Basis_of_Design"/>
      <sheetName val="SEK_Vertrieb"/>
      <sheetName val="SEK_Montage"/>
      <sheetName val="SEK_IBN"/>
      <sheetName val="Z-_GENERAL_PRIC橿⿂⒘ࡈ"/>
      <sheetName val="Z-_GENERAL_PRIC鋘@俀~橿⿂⍈"/>
      <sheetName val="Z-_GENERAL_PRICẹ"/>
      <sheetName val="tabel_berat"/>
      <sheetName val="BQ_Working"/>
      <sheetName val="MR_EUR"/>
      <sheetName val="Ind__Budget"/>
      <sheetName val="Star_Rate"/>
      <sheetName val="분석"/>
      <sheetName val="DO NOT DELETE"/>
      <sheetName val="첨부 #8 기자재 Cost Summary"/>
      <sheetName val="Considerations"/>
      <sheetName val="Dia Inch"/>
      <sheetName val="JP-I.500155"/>
      <sheetName val="PBAC budget"/>
      <sheetName val="3.6M RETAINING WALL"/>
      <sheetName val="指數Case"/>
      <sheetName val="TRENCH"/>
      <sheetName val="Cost Control"/>
      <sheetName val="Factor Sheet"/>
      <sheetName val="Cost Factor Sheet"/>
      <sheetName val="Ragama"/>
      <sheetName val="Price Sheet"/>
      <sheetName val="Room Type"/>
      <sheetName val="Basement2 DB"/>
      <sheetName val="FAC"/>
      <sheetName val="COST"/>
      <sheetName val="BOQ SUM"/>
      <sheetName val="MALZEME"/>
      <sheetName val="UNIT RATE"/>
      <sheetName val="내역서_(N___ 3"/>
      <sheetName val="내역서_(N___ 4"/>
      <sheetName val="내역서_(N___ 5"/>
      <sheetName val="_x0004_? ?_x0003_?_x0004_?_x0016_? ?_x0004_"/>
      <sheetName val="Weekl_x0004_?_x0016_? ?"/>
      <sheetName val="_x0004_? ?_x0"/>
      <sheetName val=" ?_x001b_?_x0"/>
      <sheetName val="OPT_x0012_?_x0010_? ?"/>
      <sheetName val="내역서_(N___ 6"/>
      <sheetName val="내역서_(N___ 7"/>
      <sheetName val="내역서_(N___ 8"/>
      <sheetName val="KUWATI(Total)_19"/>
      <sheetName val="집계표_(TOTAL)19"/>
      <sheetName val="집계표_(CIVIL-23)19"/>
      <sheetName val="집계표_(FGRU)19"/>
      <sheetName val="집계표_(25,26)19"/>
      <sheetName val="집계표_(MEROX)19"/>
      <sheetName val="집계표_(NITROGEN)19"/>
      <sheetName val="집계표_(M4)19"/>
      <sheetName val="집계표_(CIVIL4)19"/>
      <sheetName val="집계표_(CIVIL6)19"/>
      <sheetName val="집계표_(CIVIL7)19"/>
      <sheetName val="내역서(DEMO_TOTAL)19"/>
      <sheetName val="내역서_(CIVIL-23)19"/>
      <sheetName val="내역서_(fgru)19"/>
      <sheetName val="내역서_(25&amp;26)19"/>
      <sheetName val="내역서_(MEROX)19"/>
      <sheetName val="내역서_(NITROGEN)19"/>
      <sheetName val="내역서_(M4)19"/>
      <sheetName val="내역서_(CIVIL-4)19"/>
      <sheetName val="내역서_(CIVIL-6)19"/>
      <sheetName val="내역서_(CIVIL-7)19"/>
      <sheetName val="OPTION_219"/>
      <sheetName val="OPTION_319"/>
      <sheetName val="2002년_현장공사비_국내_실적19"/>
      <sheetName val="2003년국내현장공사비_실적19"/>
      <sheetName val="VC2_10_9919"/>
      <sheetName val="INPUT_DATA18"/>
      <sheetName val="집계표_(25,26ဩ18"/>
      <sheetName val="Form_018"/>
      <sheetName val="General_Data18"/>
      <sheetName val="입출재고현황_(2)17"/>
      <sheetName val="Form_D-117"/>
      <sheetName val="Form_B-117"/>
      <sheetName val="Form_F-117"/>
      <sheetName val="Form_A17"/>
      <sheetName val="LABOR_&amp;_자재17"/>
      <sheetName val="3_공통공사대비17"/>
      <sheetName val="간접비_총괄17"/>
      <sheetName val="Price_Schedule17"/>
      <sheetName val="CAL_17"/>
      <sheetName val="Rate_Analysis17"/>
      <sheetName val="WEIGHT_LIST16"/>
      <sheetName val="산#2-1_(2)16"/>
      <sheetName val="BEND_LOSS16"/>
      <sheetName val="공사비_내역_(가)16"/>
      <sheetName val="내역서_耰&quot;??17"/>
      <sheetName val="EQUIPMENT_-217"/>
      <sheetName val="6PILE__(돌출)16"/>
      <sheetName val="Static_Equip16"/>
      <sheetName val="Form_A_16"/>
      <sheetName val="단면_(2)16"/>
      <sheetName val="내역서_耰&quot;_x005f_x0000__x005f_x0000_16"/>
      <sheetName val="3_Breakdown_Direct_Paint16"/>
      <sheetName val="내역서_耰&quot;__17"/>
      <sheetName val="Summary_Sheets16"/>
      <sheetName val="Civil_116"/>
      <sheetName val="Civil_216"/>
      <sheetName val="Civil_316"/>
      <sheetName val="Site_116"/>
      <sheetName val="Site_216"/>
      <sheetName val="Site_316"/>
      <sheetName val="Site_Faci16"/>
      <sheetName val="Áý°èÇ¥_(TOTAL)15"/>
      <sheetName val="Áý°èÇ¥_(CIVIL-23)15"/>
      <sheetName val="Áý°èÇ¥_(FGRU)15"/>
      <sheetName val="Áý°èÇ¥_(25,26)15"/>
      <sheetName val="Áý°èÇ¥_(MEROX)15"/>
      <sheetName val="Áý°èÇ¥_(NITROGEN)15"/>
      <sheetName val="Áý°èÇ¥_(M4)15"/>
      <sheetName val="Áý°èÇ¥_(CIVIL4)15"/>
      <sheetName val="Áý°èÇ¥_(CIVIL6)15"/>
      <sheetName val="Áý°èÇ¥_(CIVIL7)15"/>
      <sheetName val="³»¿ª¼­(DEMO_TOTAL)15"/>
      <sheetName val="³»¿ª¼­_(CIVIL-23)15"/>
      <sheetName val="³»¿ª¼­_(fgru)15"/>
      <sheetName val="³»¿ª¼­_(25&amp;26)15"/>
      <sheetName val="³»¿ª¼­_(MEROX)15"/>
      <sheetName val="³»¿ª¼­_(NITROGEN)15"/>
      <sheetName val="³»¿ª¼­_(M4)15"/>
      <sheetName val="³»¿ª¼­_(CIVIL-4)15"/>
      <sheetName val="³»¿ª¼­_(CIVIL-6)15"/>
      <sheetName val="³»¿ª¼­_(CIVIL-7)15"/>
      <sheetName val="2002³â_ÇöÀå°ø»çºñ_±¹³»_½ÇÀû15"/>
      <sheetName val="2003³â±¹³»ÇöÀå°ø»çºñ_½ÇÀû15"/>
      <sheetName val="내역서_耰&quot;_x005f_x005f_x005f_x0000__x005f_x005f_x0015"/>
      <sheetName val="2_2_STAFF_Scedule15"/>
      <sheetName val="Man_Hole15"/>
      <sheetName val="7__월별투입내역서15"/>
      <sheetName val="계측_내역서15"/>
      <sheetName val="내역서_耰&quot;_x005f_x005f_x005f_x005f_x005f_x005f_x00015"/>
      <sheetName val="Z-_GENERAL_PRICE_SUMMARY15"/>
      <sheetName val="_Estimate__15"/>
      <sheetName val="T_315"/>
      <sheetName val="Sheet1_(2)16"/>
      <sheetName val="HORI__VESSEL15"/>
      <sheetName val="EQUIP_LIST15"/>
      <sheetName val="BM_DATA_SHEET16"/>
      <sheetName val="Vind_-_BtB15"/>
      <sheetName val="LV_induction_motors15"/>
      <sheetName val="BSD_(2)15"/>
      <sheetName val="Precios_Unitarios15"/>
      <sheetName val="Administrative_Prices15"/>
      <sheetName val="WBS_4415"/>
      <sheetName val="WBS_4115"/>
      <sheetName val="Precios_por_Administración15"/>
      <sheetName val="Subcon_A15"/>
      <sheetName val="내역서_耰&quot;_x005f_x005f_x005f_x005f_x005f_x005f_x00515"/>
      <sheetName val="MP_MOB15"/>
      <sheetName val="Form_B15"/>
      <sheetName val="Monthly_Load15"/>
      <sheetName val="Weekly_Load15"/>
      <sheetName val="[SANDAN_XLS??15"/>
      <sheetName val="breakdown_of_wage_rate15"/>
      <sheetName val="Indirect_Cost15"/>
      <sheetName val="97_사업추정(WEKI)15"/>
      <sheetName val="Eq__Mobilization15"/>
      <sheetName val="Piping_BQ_for_one_turbine15"/>
      <sheetName val="Material_Selections15"/>
      <sheetName val="Resource_table15"/>
      <sheetName val="Utility_and_Fire_flange15"/>
      <sheetName val="Heavy_Equipments15"/>
      <sheetName val="AG_Pipe_Qty_Analysis15"/>
      <sheetName val="_SANDAN_XLS__15"/>
      <sheetName val="입찰내역_발주처_양식15"/>
      <sheetName val="Equipment_List15"/>
      <sheetName val="Form1_SQP15"/>
      <sheetName val="공정계획(내부계획25%,내부w_f)15"/>
      <sheetName val="FWBS_153014"/>
      <sheetName val="Fire_Protection15"/>
      <sheetName val="SFN_ORIG15"/>
      <sheetName val="내역서_(∮ἀ嘆ɶ14"/>
      <sheetName val="w't_table15"/>
      <sheetName val="SCHEDD_TAMBAHAN15"/>
      <sheetName val="Dir_Manpower_Other_Exp_15"/>
      <sheetName val="실행예산_MM14"/>
      <sheetName val="MODULE_CONFIRM14"/>
      <sheetName val="ITB_COST15"/>
      <sheetName val="4-3LEVEL-5_epic_414"/>
      <sheetName val="단가_(2)14"/>
      <sheetName val="BOQ-B_DOWN14"/>
      <sheetName val="내역서1999_8최종10"/>
      <sheetName val="Cash_In-Cash_Out_Actual14"/>
      <sheetName val="PROTECTION_14"/>
      <sheetName val="plan&amp;section_of_foundation11"/>
      <sheetName val="working_load_at_the_btm_ft_11"/>
      <sheetName val="stability_check11"/>
      <sheetName val="design_load11"/>
      <sheetName val="Updating_Form-Oct_201110"/>
      <sheetName val="Weld_Consumable10"/>
      <sheetName val="NDE_Cost-Summary10"/>
      <sheetName val="9July_Above_Ground_Pipe10"/>
      <sheetName val="M_1110"/>
      <sheetName val="Process_Data_110"/>
      <sheetName val="TDC_COA_Sumry10"/>
      <sheetName val="TDC_Item_Dets10"/>
      <sheetName val="TDC_Item_Sumry10"/>
      <sheetName val="TDC_Key_Qty_Sumry10"/>
      <sheetName val="List_-_Components10"/>
      <sheetName val="List_-_Equipment10"/>
      <sheetName val="COA_Sumry_-_Std_Imp10"/>
      <sheetName val="Contr_TDC_-_Std_Imp10"/>
      <sheetName val="Item_Sumry_-_Std_Imp10"/>
      <sheetName val="Unit_Costs_-_Std_Imp10"/>
      <sheetName val="Unit_MH_-_Std_Imp10"/>
      <sheetName val="Proj_TIC_-_Std_Imp10"/>
      <sheetName val="PROJECT_BRIEF10"/>
      <sheetName val="Unit_Price_10"/>
      <sheetName val="CUADRO_DE_PRECIOS14"/>
      <sheetName val="Closeout_Control10"/>
      <sheetName val="Site_Findings_Status_Sheet10"/>
      <sheetName val="Sum_(Case-3)10"/>
      <sheetName val="Man_Power_&amp;_Comp10"/>
      <sheetName val="Data_List10"/>
      <sheetName val="4-Basic_Price10"/>
      <sheetName val="Evaluasi_Penw10"/>
      <sheetName val="Currency_Rate10"/>
      <sheetName val="1100-1200-1300-1910-2140-LEV_10"/>
      <sheetName val="5_)_Time_Delays10"/>
      <sheetName val="Material_Price16"/>
      <sheetName val="내역서_耰&quot;_x005f_x005f_x005f_x0000_10"/>
      <sheetName val="내역서_耰&quot;_x005f_x005f_x005f_x005f_10"/>
      <sheetName val="내역서_耰&quot;_x005f_x0000__x000011"/>
      <sheetName val="할증_10"/>
      <sheetName val="RAB_AR&amp;STR10"/>
      <sheetName val="Unt_rate10"/>
      <sheetName val="SUMMARY_(0A)10"/>
      <sheetName val="SUMMARY_(1A)10"/>
      <sheetName val="SUMMARY_(1B)10"/>
      <sheetName val="SUMMARY_(03)10"/>
      <sheetName val="F1(Cable_Rack)10"/>
      <sheetName val="F2(Cable_Rack)10"/>
      <sheetName val="F3(Cable_Rack)10"/>
      <sheetName val="F1_(POLYMER)10"/>
      <sheetName val="F2_(POLYMER)10"/>
      <sheetName val="F3_(POLYMER)10"/>
      <sheetName val="F4_(POLYMER)10"/>
      <sheetName val="F5(_Polymerization_)10"/>
      <sheetName val="F6_(_Polymerization_)10"/>
      <sheetName val="B1_(Grid_A-7,_-6)10"/>
      <sheetName val="B1_(Grid_A,_B)10"/>
      <sheetName val="B1_(Grid_C-7,_-6)10"/>
      <sheetName val="B2_(Grid_-7_B,_C)_(1)10"/>
      <sheetName val="B2_(Grid_-7_B,_C)_(2)10"/>
      <sheetName val="B2_(Grid_-6_B,_C)_(1)10"/>
      <sheetName val="B2_(Grid_-6_B,_C)_(2)10"/>
      <sheetName val="F1_(MONOMER)10"/>
      <sheetName val="F2_(MONOMER)10"/>
      <sheetName val="F3_(MONOMER)10"/>
      <sheetName val="90K060C_(MONOMER)10"/>
      <sheetName val="F1_(EXTRUSION)10"/>
      <sheetName val="F2_(EXTRUSION)10"/>
      <sheetName val="F3_(EXTRUSION)10"/>
      <sheetName val="F4_(EXTRUSION)10"/>
      <sheetName val="F5_(EXTRUSION)10"/>
      <sheetName val="F6A_(EXTRUSION)10"/>
      <sheetName val="F6D_(EXTRUSION)10"/>
      <sheetName val="F7_(EXTRUSION)10"/>
      <sheetName val="F8_(EXTRUSION)10"/>
      <sheetName val="F9_(EXTRUSION)10"/>
      <sheetName val="F10_(EXTRUSION)10"/>
      <sheetName val="F11_(EXTRUSION)10"/>
      <sheetName val="B1_(Grid_F-5`,_4`)10"/>
      <sheetName val="B2_(Grid_F,E-4`)10"/>
      <sheetName val="B2_(Grid_F,E-5`)10"/>
      <sheetName val="B3_(Grid_C,B-4`)10"/>
      <sheetName val="B4_(Grid_B,A-4`)10"/>
      <sheetName val="B5_(Grid_E-5`)_&amp;_(Grid_D-5`)10"/>
      <sheetName val="B6_(Grid_E,D-5')10"/>
      <sheetName val="B7_(Grid_E,D-5')10"/>
      <sheetName val="95D040,_A50610"/>
      <sheetName val="95P040AB,_A50710"/>
      <sheetName val="95X020-U08,_A60210"/>
      <sheetName val="95X020-U07,_A60610"/>
      <sheetName val="95E040,_A50910"/>
      <sheetName val="95D024;025,_A61510"/>
      <sheetName val="95X020-U05,_A60110"/>
      <sheetName val="95X020-U02,_A20410"/>
      <sheetName val="Extruder_FDN10"/>
      <sheetName val="BOG_COMP__FDN10"/>
      <sheetName val="SOG_COMP__FDN10"/>
      <sheetName val="1G1_(Ground_Beam)10"/>
      <sheetName val="1G2-1(Ground_Beam)10"/>
      <sheetName val="1G2-2(Ground_Beam)10"/>
      <sheetName val="P15,_1610"/>
      <sheetName val="LO_CONSOLE_FDN10"/>
      <sheetName val="OIL_COOLER_FDN10"/>
      <sheetName val="CW_CONSOLE_FDN_(SOG)10"/>
      <sheetName val="PD3_(SOG)10"/>
      <sheetName val="SF1_(SOG)10"/>
      <sheetName val="SF2_(SOG)10"/>
      <sheetName val="SLAB_(1S1-1)10"/>
      <sheetName val="SLAB_(1S1-2)10"/>
      <sheetName val="SLAB_(1S1-3)10"/>
      <sheetName val="COLUMN_(+5500)10"/>
      <sheetName val="COLUMN_(+12500)10"/>
      <sheetName val="COLUMN_(+15500)10"/>
      <sheetName val="ETC_10"/>
      <sheetName val="Tools_&amp;_Settings10"/>
      <sheetName val="Data_Summary10"/>
      <sheetName val="Crew_Costs10"/>
      <sheetName val="Spread_Costs10"/>
      <sheetName val="Unique_List_Misc10"/>
      <sheetName val="UP_MINOR10"/>
      <sheetName val="Equip_Rental_Summary_by_Contr10"/>
      <sheetName val="Project_Equip_Rental_Summary10"/>
      <sheetName val="Contractor_Indirect_Sumry10"/>
      <sheetName val="Project_Indirect_Sumry10"/>
      <sheetName val="COA_Sumry_by_Area10"/>
      <sheetName val="COA_Sumry_by_Contr10"/>
      <sheetName val="COA_Sumry_by_RG10"/>
      <sheetName val="TDC_COA_Grp_Sumry10"/>
      <sheetName val="TDC_COA_Grp_Sumry_by_Area10"/>
      <sheetName val="TDC_COA_Grp_Sumry_by_RG10"/>
      <sheetName val="Equipment_Sumry10"/>
      <sheetName val="TDC_Item_Dets-Full10"/>
      <sheetName val="TDC_Item_Dets-IPM-Full10"/>
      <sheetName val="TDC_Item_Sumry_by_Area10"/>
      <sheetName val="TDC_Item_Sumry_by_RG10"/>
      <sheetName val="TDC_Key_Qty_Sumry_by_RG10"/>
      <sheetName val="List_-_Equipment_by_Area10"/>
      <sheetName val="List_-_Equipment_by_Contr10"/>
      <sheetName val="Equipment_-_Unit_Costs_by_Mat10"/>
      <sheetName val="List_-_Equipment_by_Rep_Grp10"/>
      <sheetName val="Craft_Summary_by_Contr10"/>
      <sheetName val="Project_Craft_Summary10"/>
      <sheetName val="Project_Metrics10"/>
      <sheetName val="99__FWBS(Ref)10"/>
      <sheetName val="99__Change_Rate10"/>
      <sheetName val="Item_code10"/>
      <sheetName val="In-House_Summary10"/>
      <sheetName val="2__현장_자금투입_집계표10"/>
      <sheetName val="_도면_및_도서_제출목록_및_일정_170202_xls10"/>
      <sheetName val="Direct_PMS10"/>
      <sheetName val="Aux_10"/>
      <sheetName val="Codes_Pers10"/>
      <sheetName val="Rates_&amp;_Legend10"/>
      <sheetName val="Discounted_Cash_Flow10"/>
      <sheetName val="Ocean_Transporation_Charge10"/>
      <sheetName val="Cash_Flow_bulanan10"/>
      <sheetName val="H_Satuan10"/>
      <sheetName val="OCT_FDN10"/>
      <sheetName val="Exchange_Rate10"/>
      <sheetName val="General_Notes10"/>
      <sheetName val="BO䁑-B_䁄OWN10"/>
      <sheetName val="Pengesahan_10"/>
      <sheetName val="차트_(2)10"/>
      <sheetName val="00-Summary_Information-ABB9"/>
      <sheetName val="PABS,Site_info9"/>
      <sheetName val="Harga_Satuan10"/>
      <sheetName val="F_ALARM10"/>
      <sheetName val="DATA_MENTAH9"/>
      <sheetName val="2_Overall_Summary_9"/>
      <sheetName val="Bill_rekap10"/>
      <sheetName val="breakdown_of_wage_ra9"/>
      <sheetName val="breakdown_of_wage_ra`f9"/>
      <sheetName val="__10"/>
      <sheetName val="_10"/>
      <sheetName val="breakdown_of_wage_rað-9"/>
      <sheetName val="breakdown_of_wage_rap9"/>
      <sheetName val="내역서_耰&quot;_x005f_x0000_10"/>
      <sheetName val="내역서_耰&quot;_x005f_x005f_10"/>
      <sheetName val="Process_Data_(2)10"/>
      <sheetName val="breakdown_of_wage_ra9"/>
      <sheetName val="Raw_data9"/>
      <sheetName val="내역서_(N____x000a_10"/>
      <sheetName val="0__Resource　Code9"/>
      <sheetName val="Material_code9"/>
      <sheetName val="TQ_Format8"/>
      <sheetName val="내역서_耰&quot;14"/>
      <sheetName val="SUM_8"/>
      <sheetName val="Distribution_Table9"/>
      <sheetName val="HO_Site_Rates-20119"/>
      <sheetName val="Particular_Sch9"/>
      <sheetName val="내역서_耰&quot;_9"/>
      <sheetName val="DROP_DOWN9"/>
      <sheetName val="Al_Taweelah9"/>
      <sheetName val="Air_Cooler-E9"/>
      <sheetName val="Action_Item9"/>
      <sheetName val="ID_CD9"/>
      <sheetName val="Equipment_Spec_List9"/>
      <sheetName val="개시대사_(2)9"/>
      <sheetName val="SPEC_LIST(EQUP,_SYS)9"/>
      <sheetName val="Linelist_LNGC_Process9"/>
      <sheetName val="리스크_분류체계7"/>
      <sheetName val="SECL_리스크_분류체계_(2)7"/>
      <sheetName val="INPUT_DATA_OF_SCHEDULE7"/>
      <sheetName val="Cashflow_Analysis7"/>
      <sheetName val="breakdown_of_wage_raÐ¾8"/>
      <sheetName val="Additional_data8"/>
      <sheetName val="11_자재단가7"/>
      <sheetName val="LIFE_&amp;_REP_PROVN7"/>
      <sheetName val="O&amp;M_CREW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33628-Rev__A7"/>
      <sheetName val="14-Eng_rate7"/>
      <sheetName val="Attach_4-187"/>
      <sheetName val="OIL_SEPARATOR7"/>
      <sheetName val="CATCH_BASIN7"/>
      <sheetName val="FW_Post_Indicator_Valve_24&quot;7"/>
      <sheetName val="FW_Post_Indicator_Valve_20&quot;7"/>
      <sheetName val="FW_Post_Indicator_Valve_6&quot;7"/>
      <sheetName val="Fire_Monitor_or_Hydrant_6&quot;_FDN7"/>
      <sheetName val="SUMP_VB7"/>
      <sheetName val="CLEANOUT_4&quot;7"/>
      <sheetName val="Not_reqd7"/>
      <sheetName val="호환성_보고서7"/>
      <sheetName val="Finansal_tamamlanma_Eğrisi7"/>
      <sheetName val="Master_List7"/>
      <sheetName val="Scheme_Area_Details_Block___C27"/>
      <sheetName val="Admin_Manu_2-Equipment_Type_ID7"/>
      <sheetName val="SUMMARY_MTO_02_2_356"/>
      <sheetName val="N_G_METERING_CALC_6"/>
      <sheetName val="N_G_METERING6"/>
      <sheetName val="N_G_METERING_(2)6"/>
      <sheetName val="CUMENE_METERING6"/>
      <sheetName val="N2_METERING_6"/>
      <sheetName val="H2_METERING__6"/>
      <sheetName val="CO_METERING6"/>
      <sheetName val="Tender_data7"/>
      <sheetName val="Activity_Form7"/>
      <sheetName val="GM_0007"/>
      <sheetName val="일위대가_7"/>
      <sheetName val="Cash_Flow7"/>
      <sheetName val="Direct_Histogram_Rev__A_(f)7"/>
      <sheetName val="광통신_견적내역서17"/>
      <sheetName val="내역서_(∮ἀ嘆ɶ?᠀㬁?7"/>
      <sheetName val="Fig_4-147"/>
      <sheetName val="Itembalance_Report_(18-sep-18)7"/>
      <sheetName val="BUDGET_SUMMARY_7"/>
      <sheetName val="1_설계기준7"/>
      <sheetName val="5__월별투입내역서7"/>
      <sheetName val="Att-1_CTCI_MH_rate7"/>
      <sheetName val="REF_for_VV7"/>
      <sheetName val="Bill_4_7_Predestain_Bridge_5"/>
      <sheetName val="Bill_4_7_Predestain5"/>
      <sheetName val="1_1_FT_type_15"/>
      <sheetName val="1_2_FT_type_1A5"/>
      <sheetName val="1_3_FT_type_25"/>
      <sheetName val="1_4_FT_type_35"/>
      <sheetName val="1_5_FT_type_45"/>
      <sheetName val="2_1_CL_Outside5"/>
      <sheetName val="2_2_CL_Inside5"/>
      <sheetName val="2_3_CL_Ramp5"/>
      <sheetName val="3_1_CB_Outside5"/>
      <sheetName val="3_2_CB_Inside5"/>
      <sheetName val="4_Stair5"/>
      <sheetName val="5_Ramp5"/>
      <sheetName val="6_Handrail5"/>
      <sheetName val="Invoice_(Interim_No_28)5"/>
      <sheetName val="Cost_Summary5"/>
      <sheetName val="Direct_Cost5"/>
      <sheetName val="Direct_Cost_(2)5"/>
      <sheetName val="Summary_(3)5"/>
      <sheetName val="Indirect_Cost_Summary5"/>
      <sheetName val="List_register7"/>
      <sheetName val="TR_Rev_vs_Commit5"/>
      <sheetName val="TR_+MMHE_PL_report5"/>
      <sheetName val="P23P2724___Commitment_5"/>
      <sheetName val="설산1_나7"/>
      <sheetName val="Analisa_Fave7"/>
      <sheetName val="Harsat_Bahan7"/>
      <sheetName val="Harsat_Subkon7"/>
      <sheetName val="Harsat_Upah7"/>
      <sheetName val="Master_1_07"/>
      <sheetName val="Agregat_Halus_&amp;_Kasar7"/>
      <sheetName val="HARGA_MATERIAL7"/>
      <sheetName val="Harga_Sat_APP7"/>
      <sheetName val="Tgh_JGC-Inv_I_clp7"/>
      <sheetName val="PCS_7"/>
      <sheetName val="Progress_Statement-SI7"/>
      <sheetName val="Progress_Payment-31107"/>
      <sheetName val="Perm__Test7"/>
      <sheetName val="Galian_17"/>
      <sheetName val="Analisa_Lump_sum7"/>
      <sheetName val="Sec_I_ML7"/>
      <sheetName val="dongia_(2)7"/>
      <sheetName val="BM_#17"/>
      <sheetName val="Weekl_8"/>
      <sheetName val="내역서_(N____23"/>
      <sheetName val="__x07"/>
      <sheetName val="OPT_8"/>
      <sheetName val="내역서_(N__x007"/>
      <sheetName val="Tables_3_1_to_3_5_EXH_G7"/>
      <sheetName val="64_47"/>
      <sheetName val="64_57"/>
      <sheetName val="36_27"/>
      <sheetName val="36_17"/>
      <sheetName val="Cost_Code7"/>
      <sheetName val="Data_Ref7"/>
      <sheetName val="Interdept_Rate7"/>
      <sheetName val="INSTLIST_17"/>
      <sheetName val="P-Ins_&amp;_Bonds7"/>
      <sheetName val="EQUIPOS_DE_SEGURIDAD7"/>
      <sheetName val="MATERIALES_CONSUMIBLES7"/>
      <sheetName val="PERSONAL_INDIRECTO_7"/>
      <sheetName val="Land_Dev't__Ph-119"/>
      <sheetName val="4300_UTILITY_BLDG_(2)7"/>
      <sheetName val="SPT_vs_PHI6"/>
      <sheetName val="1_자금요약6"/>
      <sheetName val="2_실행비투입6"/>
      <sheetName val="3_본사집계6"/>
      <sheetName val="3-1_본사투입6"/>
      <sheetName val="4_지사집계6"/>
      <sheetName val="4-1_지사투입6"/>
      <sheetName val="5_현장총집계6"/>
      <sheetName val="5-1_현금집계6"/>
      <sheetName val="5-2_현금출납6"/>
      <sheetName val="5-3_외상집계6"/>
      <sheetName val="5-4_외상투입6"/>
      <sheetName val="6_미지급금6"/>
      <sheetName val="5-5_기타공제집계6"/>
      <sheetName val="5-6_기타공제6"/>
      <sheetName val="7_기성현황(실)6"/>
      <sheetName val="8_한국인수당6"/>
      <sheetName val="8_한국인수당_(Master_file)6"/>
      <sheetName val="9_기타수입6"/>
      <sheetName val="10_투입집계6"/>
      <sheetName val="5-4_외상투입_(2)6"/>
      <sheetName val="16_기성현황(예)6"/>
      <sheetName val="17_자금요약26"/>
      <sheetName val="18_실행대비투입26"/>
      <sheetName val="05__Curva_S6"/>
      <sheetName val="Payment_Certificate-16"/>
      <sheetName val="Floor_wet6"/>
      <sheetName val="Floor_Balcony6"/>
      <sheetName val="Hard_scape_Floor6"/>
      <sheetName val="P03_Skirting6"/>
      <sheetName val="GF_wall6"/>
      <sheetName val="Kitchen_Wall_wet_LIN-7016"/>
      <sheetName val="Wall_wet_LIN-601_6"/>
      <sheetName val="BOQ_(2)6"/>
      <sheetName val="VO_Schedule-16"/>
      <sheetName val="HOLD_AMOUNT6"/>
      <sheetName val="Back_Charge_(2)6"/>
      <sheetName val="Temporary_Deductions-1_6"/>
      <sheetName val="Contracharges_Check_list-1_6"/>
      <sheetName val="PC_036"/>
      <sheetName val="Measurement_sheet6"/>
      <sheetName val="Material_Only6"/>
      <sheetName val="Man_power_supply6"/>
      <sheetName val="Camp_Deduction6"/>
      <sheetName val="Enron_Form6"/>
      <sheetName val="IRR_sponsor6"/>
      <sheetName val="4-Lane_bridge19"/>
      <sheetName val="Consortium_VP6"/>
      <sheetName val="Summary_MONTH6"/>
      <sheetName val="DESICON_SUM6"/>
      <sheetName val="DES_TCF_Rental6"/>
      <sheetName val="DES_TCF_Maints_pers6"/>
      <sheetName val="DES_TCF_Heavy_Equipment6"/>
      <sheetName val="BANK_BOND6"/>
      <sheetName val="PHC_WAREHOUSE_-_INFOONLY6"/>
      <sheetName val="CATERING_CONTROL6"/>
      <sheetName val="SUB_CONTRACT6"/>
      <sheetName val="SPDC_-_INFONLY6"/>
      <sheetName val="VENDOR_SCHEDUL6"/>
      <sheetName val="VENDOR_PRESENCE_-_COMM6"/>
      <sheetName val="VENDOR_PRESENCE_-_RECH6"/>
      <sheetName val="VENDOR_PRESENCE_-_COMM_6"/>
      <sheetName val="CONTRACT_RATES6"/>
      <sheetName val="Sch_66"/>
      <sheetName val="2013电气概算_价目表_(营改增调整)6"/>
      <sheetName val="สรุปยอดเหล็กตาม_Cost_Record_VY5"/>
      <sheetName val="แนบ_PR5"/>
      <sheetName val="OR21_Final_Forecast_Rev_25"/>
      <sheetName val="Summary_Forecast_Budget_1&amp;25"/>
      <sheetName val="Summary_Forecast_Budget_Rev_25"/>
      <sheetName val="Backup_OR21_5"/>
      <sheetName val="Budget_for_ENT5"/>
      <sheetName val="ADJ__D-Wall&amp;BR_Ent__Rev_2_15"/>
      <sheetName val="Rebar+Conพื้น_Waste10%5"/>
      <sheetName val="Backup_D-Wall_Ent__13_07_195"/>
      <sheetName val="Backup_BR_ENT__13_07_195"/>
      <sheetName val="Final_Forecast_721115"/>
      <sheetName val="IMP_OR21_2019_07_115"/>
      <sheetName val="Concrete_721125"/>
      <sheetName val="หินเกล็ด_5"/>
      <sheetName val="เปรียบเทียบBudget_BR_5"/>
      <sheetName val="ADJ__BR_Ent__Rev_2_1_(2)5"/>
      <sheetName val="แผนงานBarrette_Pile5"/>
      <sheetName val="BOQ__VI_03_09_19_5"/>
      <sheetName val="Backup_BR_BMA5"/>
      <sheetName val="Sum_Budget&amp;Rev_15"/>
      <sheetName val="Sum_Budget_Rev_15"/>
      <sheetName val="Sum_Budget&amp;Rev_1_Rebar5"/>
      <sheetName val="Sum_Budget_Rev_2_Rebar5"/>
      <sheetName val="Rebar+Conพื้น_Waste10%_Rev_005"/>
      <sheetName val="Rebar+Conพื้น_Waste10%_Rev_01_5"/>
      <sheetName val="Equip_Rev_00_Budget5"/>
      <sheetName val="Budget_Waterpoofing5"/>
      <sheetName val="1_11_b5"/>
      <sheetName val="Precios_Unitariԯ6"/>
      <sheetName val="SPEC(CABLE_&amp;_WIRE)5"/>
      <sheetName val="RESUMEN_CD5"/>
      <sheetName val="BOQ_REV65"/>
      <sheetName val="Maliyet_Ozet5"/>
      <sheetName val="1_1-1_25"/>
      <sheetName val="1_3-_1_45"/>
      <sheetName val="3_15"/>
      <sheetName val="3_25"/>
      <sheetName val="4_1(a)5"/>
      <sheetName val="4_1(b)5"/>
      <sheetName val="4_1_(c)5"/>
      <sheetName val="5_15"/>
      <sheetName val="내역서_(N____110"/>
      <sheetName val="6_공정표5"/>
      <sheetName val="List_Equip6"/>
      <sheetName val="Process_C_(1-166)6"/>
      <sheetName val="TRUCK_HAUL_CYCLE-waste6"/>
      <sheetName val="Existing_PC_Pavement6"/>
      <sheetName val="Master_Data6"/>
      <sheetName val="ind'l_cp6"/>
      <sheetName val="LAST_UPDATE6"/>
      <sheetName val="0_품의서(전체)6"/>
      <sheetName val="3_부제O호표5"/>
      <sheetName val="5_소모재료비5"/>
      <sheetName val="8_시멘트제원표5"/>
      <sheetName val="2_품제O호표5"/>
      <sheetName val="본부_SHOP5"/>
      <sheetName val="#6_MDU_일반5"/>
      <sheetName val="#6_MDU엄반장5"/>
      <sheetName val="#6MDU_기계5"/>
      <sheetName val="HOU_COMP`5"/>
      <sheetName val="FCC_OBL-SHOP5"/>
      <sheetName val="NEW_FCC_OBL5"/>
      <sheetName val="#4_MDU5"/>
      <sheetName val="#6_SHOP5"/>
      <sheetName val="NRC_OBL-조연식5"/>
      <sheetName val="광양-조연식_반장5"/>
      <sheetName val="#5MDU_REV5"/>
      <sheetName val="LBO_PROJECT5"/>
      <sheetName val="VENDOR_LIST5"/>
      <sheetName val="BOP_LINE_LIST5"/>
      <sheetName val="5__Work_load(현재원기준)7"/>
      <sheetName val="A__ENGINEERING5"/>
      <sheetName val="B-1__배관자재5"/>
      <sheetName val="B-2__전기자재5"/>
      <sheetName val="B-3__계장자재5"/>
      <sheetName val="B-4__기계자재5"/>
      <sheetName val="C-1__공통가설5"/>
      <sheetName val="C-2__토목5"/>
      <sheetName val="C-4__철골5"/>
      <sheetName val="C-5__기계5"/>
      <sheetName val="C-6__배관5"/>
      <sheetName val="C-7__전기5"/>
      <sheetName val="C-8__계장5"/>
      <sheetName val="C-9__중장비5"/>
      <sheetName val="C-10__소방설비5"/>
      <sheetName val="C-11__보온5"/>
      <sheetName val="C-12__CMS5"/>
      <sheetName val="Equipt_Rental5"/>
      <sheetName val="EQ_USED_(CORRECTED)5"/>
      <sheetName val="Rebar_Constant5"/>
      <sheetName val="CONCRETE_TYPE5"/>
      <sheetName val="Other_data6"/>
      <sheetName val="External_Issues5"/>
      <sheetName val="ABB_Summary5"/>
      <sheetName val="Man_power_rate5"/>
      <sheetName val="Const_equip_rate5"/>
      <sheetName val="01-Gang_Rate_&amp;_Info5"/>
      <sheetName val="05-Sum_Cost5"/>
      <sheetName val="06-Indirect_Loading5"/>
      <sheetName val="07-Heavy_Equipment5"/>
      <sheetName val="08-RR_Check_List5"/>
      <sheetName val="1)_Risk_and_Opportunities5"/>
      <sheetName val="2)_Full_Cost_Calculation5"/>
      <sheetName val="Vehicle_Log5"/>
      <sheetName val="Statprod_gab6"/>
      <sheetName val="L_16"/>
      <sheetName val="동상부_Tact_기준_반입일정_및_수량_02175"/>
      <sheetName val="5_Cennik6"/>
      <sheetName val="tblg_denda6"/>
      <sheetName val="_토목_처리장도급내역서_5"/>
      <sheetName val="G_R300경비5"/>
      <sheetName val="AS포장복구_5"/>
      <sheetName val="중기조종사_단위단가5"/>
      <sheetName val="설_계5"/>
      <sheetName val="Equip_Mstr_FOR_3A15"/>
      <sheetName val="F1_45"/>
      <sheetName val="내역서_(∮ἀ嘆ɶ_᠀㬁_6"/>
      <sheetName val="M&amp;E_Summary5"/>
      <sheetName val="rev_summary5"/>
      <sheetName val="M&amp;E_Prelims5"/>
      <sheetName val="B-FP_(2)5"/>
      <sheetName val="Sch_15"/>
      <sheetName val="Manpower_Categories5"/>
      <sheetName val="Garph_Work-Cost5"/>
      <sheetName val="Scaffolding_Volume2"/>
      <sheetName val="Rekap_Biaya4"/>
      <sheetName val="Kuantitas_&amp;_Harga4"/>
      <sheetName val="Nopember_(2)4"/>
      <sheetName val="GRAND_REKAP4"/>
      <sheetName val="analisa_(2)4"/>
      <sheetName val="Analisa_24"/>
      <sheetName val="LRK_5"/>
      <sheetName val="MASTER_RATE_ANALYSIS5"/>
      <sheetName val="MN_T_B_5"/>
      <sheetName val="INDIGINEOUS_ITEMS_5"/>
      <sheetName val="Core_Data5"/>
      <sheetName val="final_abstract5"/>
      <sheetName val="InD_Mpower5"/>
      <sheetName val="P_Staff_fac4"/>
      <sheetName val="beam-reinft-IIInd_floor4"/>
      <sheetName val="P-Site_fac4"/>
      <sheetName val="P-Clients_fac4"/>
      <sheetName val="Eng_Hrs_(HO)4"/>
      <sheetName val="원가조정_내역4"/>
      <sheetName val="InsertListDrawing_1_4"/>
      <sheetName val="Analisa_(ok_punya)4"/>
      <sheetName val="Up_&amp;_bhn4"/>
      <sheetName val="HRG_BHN4"/>
      <sheetName val="Alat_(2)4"/>
      <sheetName val="Ramp_data4"/>
      <sheetName val="Lower_Ground4"/>
      <sheetName val="Cap_Cost4"/>
      <sheetName val="RLV_Calc4"/>
      <sheetName val="Costs_(dev)4"/>
      <sheetName val="Bluewater_NPV_-_sell_January4"/>
      <sheetName val="Upper_Ground4"/>
      <sheetName val="PARK_NE4"/>
      <sheetName val="Financial_Summary4"/>
      <sheetName val="D&amp;C_Calcs4"/>
      <sheetName val="CA_Upside_Downside_Old4"/>
      <sheetName val="EASEL_CA_Example4"/>
      <sheetName val="Urai__Resap_pengikat4"/>
      <sheetName val="DAF_HRG4"/>
      <sheetName val="7_공정표4"/>
      <sheetName val="Kolom_UT4"/>
      <sheetName val="HB_4"/>
      <sheetName val="Memb_Schd4"/>
      <sheetName val="Coef_et_données4"/>
      <sheetName val="MFG_&amp;_DEL4"/>
      <sheetName val="P2-Project_Data4"/>
      <sheetName val="a_h_ars_sum4"/>
      <sheetName val="a_h_ars4"/>
      <sheetName val="Insulation_1501085"/>
      <sheetName val="PLSt_03__1"/>
      <sheetName val="П_7_курс_аванса1"/>
      <sheetName val="IncStat_03-041"/>
      <sheetName val="IncStat_03__1"/>
      <sheetName val="Авансы_по_СНГ1"/>
      <sheetName val="Sheet_142"/>
      <sheetName val="Raw_Ref1"/>
      <sheetName val="Cost_Codes1"/>
      <sheetName val="Addendum_No_1_BILL_22"/>
      <sheetName val="Code_071"/>
      <sheetName val="JGSummit_Package_2_(CTCI)2"/>
      <sheetName val="내역서_(N____24"/>
      <sheetName val="Dsr_Hitung2"/>
      <sheetName val="Mat_Tower2"/>
      <sheetName val="RT13526_CPI2"/>
      <sheetName val="Inputs_-_Results2"/>
      <sheetName val="GENERAL_2"/>
      <sheetName val="Tank_Loading2"/>
      <sheetName val="Fdn_Calc2"/>
      <sheetName val="LATERAL_OCDI_BH-022"/>
      <sheetName val="Lateral_Broms2"/>
      <sheetName val="N-SPT_corr2"/>
      <sheetName val="Curve_N-SPT2"/>
      <sheetName val="COST_BD2"/>
      <sheetName val="MSP-Operator_Building-Area_C2"/>
      <sheetName val="ENE-CAL_13"/>
      <sheetName val="내역서_(N____25"/>
      <sheetName val="Monthly_S_Curve_SPK2"/>
      <sheetName val="Week_ending1"/>
      <sheetName val="Planners_Workload1"/>
      <sheetName val="Appendix_A1"/>
      <sheetName val="7_6_3_J_Inline_Instrument1"/>
      <sheetName val="-0_5_TABLA_PRESUPUESTOS3"/>
      <sheetName val="ﾄﾞﾊﾞｲFUEL_GAS追見3"/>
      <sheetName val="내역서_耰&quot;_x005f9"/>
      <sheetName val="MAY_00-Bobbins1"/>
      <sheetName val="2_2_띠장의_설계1"/>
      <sheetName val="(10)_Other_Costs51"/>
      <sheetName val="breakdown_of_FA1132"/>
      <sheetName val="combined_9-3027"/>
      <sheetName val="worksheet_inchican27"/>
      <sheetName val="combined_9_3027"/>
      <sheetName val="bar_chart-rev27"/>
      <sheetName val="MATERIAL'S_PRICE25"/>
      <sheetName val="Schedule_S-Curve_Revision#323"/>
      <sheetName val="PC_&amp;_PVS21"/>
      <sheetName val="2_223M_due_to_adj_profit16"/>
      <sheetName val="Inchican_Road_Accomplishment19"/>
      <sheetName val="Shut_down16"/>
      <sheetName val="bill_216"/>
      <sheetName val="sorksheet_inchican16"/>
      <sheetName val="sombined_9-3016"/>
      <sheetName val="PH_516"/>
      <sheetName val="remaining_billing16"/>
      <sheetName val="Hac_Lots16"/>
      <sheetName val="Res_Lots16"/>
      <sheetName val="Spine_Road16"/>
      <sheetName val="INPUT_DATA_HERE15"/>
      <sheetName val="option_Y115"/>
      <sheetName val="Summary_(overall)2"/>
      <sheetName val="Adimi_bldg2"/>
      <sheetName val="Pump_House2"/>
      <sheetName val="Fuel_Regu_Station2"/>
      <sheetName val="Footing_Tie_Beam2"/>
      <sheetName val="FINAL_NEGO2"/>
      <sheetName val="RFP_Codes2"/>
      <sheetName val="Bill_summary_of_cost2"/>
      <sheetName val="unit_price2"/>
      <sheetName val="Schedule_S-Curve_(new_scheme)2"/>
      <sheetName val="Fire_Suppression2"/>
      <sheetName val="tabulation_(comparison)2"/>
      <sheetName val="area_comp_2011_01_182"/>
      <sheetName val="Tabulation_1"/>
      <sheetName val="3_-RESOURCE_LIST1"/>
      <sheetName val="0_-SUMMARY1"/>
      <sheetName val="3_2_AUX1"/>
      <sheetName val="3_3_AUX-21"/>
      <sheetName val="GRAND_SUM1"/>
      <sheetName val="VCC_11110-4611"/>
      <sheetName val="C1_(calcolo)1"/>
      <sheetName val="5_5FWBS_CODE1"/>
      <sheetName val="Instrument_Proc1"/>
      <sheetName val="MTO_Civil_Work1"/>
      <sheetName val="Sched_3_(Construction)1"/>
      <sheetName val="Sched_1_(Engineering)1"/>
      <sheetName val="Sched_2_(Procurement_1"/>
      <sheetName val="JOB_Code1"/>
      <sheetName val="COVER_RECAP_INSTALL_(2)1"/>
      <sheetName val="Rekap_Summary1"/>
      <sheetName val="Rekap_Breakdown1"/>
      <sheetName val="Detail_Eng1"/>
      <sheetName val="Equiv_Length1"/>
      <sheetName val="Integrated-S_Curve1"/>
      <sheetName val="Bang_KL1"/>
      <sheetName val="Main_Control1"/>
      <sheetName val="Man_Power1"/>
      <sheetName val="pro_ra_op1"/>
      <sheetName val="analis_standar(8m)1"/>
      <sheetName val="ShareCapital_1"/>
      <sheetName val="내역서_(∮ἀ嘆ɶ_x005f_x0000_᠀㬁_x005f_x0000_1"/>
      <sheetName val="__x005f_x0000__x005f_x001b__x005f_x0000__x005f_x0006__2"/>
      <sheetName val="내역서_耰&quot;_x005f_x005f_x005f_x0000__x00005"/>
      <sheetName val="내역서_(N__x005f_x000e__x005f_x000e__x005f_x000e___1"/>
      <sheetName val="내역서_(N____x005f_x000a_4"/>
      <sheetName val="Bangunan_Utama1"/>
      <sheetName val="Hrg_Sat1"/>
      <sheetName val="Home_Office1"/>
      <sheetName val="Process_Piping1"/>
      <sheetName val="renc_mgn1"/>
      <sheetName val="내역서_耰&quot;_x005f_x0000__x005f_x005f_x00001"/>
      <sheetName val="Dinh_muc_CP_KTCB_khac1"/>
      <sheetName val="TH_May_TC1"/>
      <sheetName val="KLDT_DIEN1"/>
      <sheetName val="PTVT_DIEN1"/>
      <sheetName val="TH_kinh_phi1"/>
      <sheetName val="Thong_ke_thiet_bi1"/>
      <sheetName val="TH_vat_tu1"/>
      <sheetName val="A_SIS1"/>
      <sheetName val="gia_vt1"/>
      <sheetName val="1_BILL_MOI_THAU_CAN_THUONG1"/>
      <sheetName val="PHAN_NGAM1"/>
      <sheetName val="建筑定额_(2002)1"/>
      <sheetName val="ADI_Edison_Termoelettrica1"/>
      <sheetName val="BQ_Summary1"/>
      <sheetName val="Rekap_Analisa1"/>
      <sheetName val="ANALISA_PEK_UMUM1"/>
      <sheetName val="IN_OUT1"/>
      <sheetName val="내역서_ᢐ_x005f_x001f_1"/>
      <sheetName val="내역서_ᢐ_x005f_x001f__x005f_x0000__x005f_x0000_1"/>
      <sheetName val="Sat_Bah___Up1"/>
      <sheetName val="DATA_PROYEK1"/>
      <sheetName val="rab_me_(by_owner)_1"/>
      <sheetName val="BQ_(by_owner)1"/>
      <sheetName val="rab_me_(fisik)1"/>
      <sheetName val="LIST_ANHARSAT1"/>
      <sheetName val="p_mgmt"/>
      <sheetName val="Dati_base"/>
      <sheetName val="Asset_Mansys_Sum"/>
      <sheetName val="Job_List_(2)"/>
      <sheetName val="Constn_&amp;_Install_-_LEV_4"/>
      <sheetName val="LEV_4_Project_Managem"/>
      <sheetName val="Site_Management"/>
      <sheetName val="Manhrs_Sum"/>
      <sheetName val="BILL_11"/>
      <sheetName val="Step2_-&gt;_Mat__Cost1"/>
      <sheetName val="BG_Working_Sheet"/>
      <sheetName val="P__control1"/>
      <sheetName val="Costing_Detailed1"/>
      <sheetName val="Basic_Data_Inputs1"/>
      <sheetName val="TEMP_PROFILE1"/>
      <sheetName val="_선택_속성(잠금)1"/>
      <sheetName val="Drop-down_lists1"/>
      <sheetName val="Team_3_S-Curve1"/>
      <sheetName val="LV_induction_1"/>
      <sheetName val="Daily_Forwards1"/>
      <sheetName val="ANALISA_KONST_BTN"/>
      <sheetName val="uraian_analisa1"/>
      <sheetName val="8LT_121"/>
      <sheetName val="Basic_Price1"/>
      <sheetName val="VS_P-Q1"/>
      <sheetName val="집계표(2_안)1"/>
      <sheetName val="Harga_material_11"/>
      <sheetName val="Peralatan_(2)1"/>
      <sheetName val="Daily_Photo1"/>
      <sheetName val="Manpower_Status1"/>
      <sheetName val="MH_and_Unit_Cost1"/>
      <sheetName val="Material_Cost(as_per_Nation)1"/>
      <sheetName val="TH_VL,_NC,_DDHT_Thanhphuoc"/>
      <sheetName val="Project_Grading"/>
      <sheetName val="Fire_Fighting"/>
      <sheetName val="HARGA_DASAR"/>
      <sheetName val="KR2&amp;KVCM(MAR_1-6'99)"/>
      <sheetName val="RINC_hotel"/>
      <sheetName val="RINC_FIN_T4_"/>
      <sheetName val="RINC_FIN_T4___3_"/>
      <sheetName val="RINC_FIN_T4___2_"/>
      <sheetName val="Page_21"/>
      <sheetName val="Bilanz_Bus_plan_2002"/>
      <sheetName val="Mei_LD"/>
      <sheetName val="Data_Input"/>
      <sheetName val="Project_budget_BTS"/>
      <sheetName val="Well_Plan_1"/>
      <sheetName val="1_0_Criteria_New"/>
      <sheetName val="__x000a______x000a__"/>
      <sheetName val="_________"/>
      <sheetName val="_________1"/>
      <sheetName val="Weekl___x000a__"/>
      <sheetName val="_뻘N___"/>
      <sheetName val="__x000a___x0"/>
      <sheetName val="____x0"/>
      <sheetName val="7422CW_"/>
      <sheetName val="OPT____"/>
      <sheetName val="ANL_TEK_6"/>
      <sheetName val="HM_MEK_"/>
      <sheetName val="Bill_of_Qty"/>
      <sheetName val="ALAT2_(TDK_DIPAKAI)"/>
      <sheetName val="Fill_this_out_first___"/>
      <sheetName val="Perhitungan_RAB"/>
      <sheetName val="INPUT_DATAS"/>
      <sheetName val="ABK_04_AWALR+CO+TAB_RUPS"/>
      <sheetName val="9_58&quot;_single"/>
      <sheetName val="LV_induction_mot1"/>
      <sheetName val="Z-_GENERAL_PRIC橿⿂"/>
      <sheetName val="Z-_GENERAL_PRIC鋘@俀~橿⿂"/>
      <sheetName val="Z-_GENERAL_PRIC"/>
      <sheetName val="A-11_Steel_Str"/>
      <sheetName val="A-03_Pile"/>
      <sheetName val="CONS_"/>
      <sheetName val="Country_(kVA-Hz_)"/>
      <sheetName val="Materials_"/>
      <sheetName val="PAD_TR보호대기초"/>
      <sheetName val="Vind_-鴃宼蠀"/>
      <sheetName val="İnsan_Gücü"/>
      <sheetName val="1_집계표(일반전기)"/>
      <sheetName val="2_집계표(선행공사)"/>
      <sheetName val="3_집계표(소방공사)"/>
      <sheetName val="CABLE_TRAY"/>
      <sheetName val="아파트_기성내역서"/>
      <sheetName val="HaulingLine_hardware"/>
      <sheetName val="S_Curve"/>
      <sheetName val="Branch_Power"/>
      <sheetName val="C__letter_3rd_QT"/>
      <sheetName val="cespiti_cet2_piombino_(2)"/>
      <sheetName val="建筑工程统计表06月份_"/>
      <sheetName val="报价说明_(3)"/>
      <sheetName val="报价说明_(4)"/>
      <sheetName val="2_履约阶段供应链管理计划"/>
      <sheetName val="sis_xlm"/>
      <sheetName val="spot_prices"/>
      <sheetName val="Forma_E-17"/>
      <sheetName val="1999_BUDGET"/>
      <sheetName val="M_MM"/>
      <sheetName val="Batam_Forecast"/>
      <sheetName val="Batam_Forecast_jun"/>
      <sheetName val="Fabrication_Summary"/>
      <sheetName val="D6978_Mar_21_-_FProj07"/>
      <sheetName val="GEAC_-_Dec19"/>
      <sheetName val="COS_REP_XLS"/>
      <sheetName val="DIV_3"/>
      <sheetName val="DIV_9"/>
      <sheetName val="LOKASI_RIG_Litbang"/>
      <sheetName val="struktur_tdk_dipakai"/>
      <sheetName val="upah_bahan"/>
      <sheetName val="AnalisaSIPIL_RIIL"/>
      <sheetName val="Har_Sat"/>
      <sheetName val="Rek_Analisa"/>
      <sheetName val="HRG_BAHAN_&amp;_UPAH_okk"/>
      <sheetName val="TS_MINGGUAN_rev_(2)"/>
      <sheetName val="DAF_ALAT"/>
      <sheetName val="State_List"/>
      <sheetName val="sch_1_2"/>
      <sheetName val="B_10_(4)"/>
      <sheetName val="Rev_"/>
      <sheetName val="Sheet1_(4)"/>
      <sheetName val="샘플표지"/>
      <sheetName val="일위대가(가설)"/>
      <sheetName val="Tmp1"/>
      <sheetName val="B表"/>
      <sheetName val="チューブ仕様"/>
      <sheetName val="Breakdown Instrument"/>
      <sheetName val="XLR_NoRangeSheet"/>
      <sheetName val="Hujan BUlanan"/>
      <sheetName val="Gas Specific Gravities and GHV"/>
      <sheetName val="ELXX"/>
      <sheetName val="Bored Pile"/>
      <sheetName val="mat'ls"/>
      <sheetName val="03-13 Anticipated"/>
      <sheetName val="03-13 Approved"/>
      <sheetName val="hauling"/>
      <sheetName val="IS"/>
      <sheetName val="PR-BF"/>
      <sheetName val="CP_TU_AD"/>
      <sheetName val="SHL"/>
      <sheetName val="Pivot Table"/>
      <sheetName val="SUP-DET"/>
      <sheetName val="GRSummary"/>
      <sheetName val="WITHOUT C&amp;I PROFIT (3)"/>
      <sheetName val="CCD-SF-405"/>
      <sheetName val="Dynamic Query"/>
      <sheetName val="GENDATA Sht 1"/>
      <sheetName val="Issue Log "/>
      <sheetName val="Basic Rate"/>
      <sheetName val="PROG."/>
      <sheetName val="Calc Sheet"/>
      <sheetName val="ECA"/>
      <sheetName val="2. Steel Structural"/>
      <sheetName val="Material Groups"/>
      <sheetName val="Material Kind"/>
      <sheetName val="Unit of Measurement "/>
      <sheetName val="Projekt4"/>
      <sheetName val="Base_Data"/>
      <sheetName val="PipTable"/>
      <sheetName val="82巴基斯坦tapal"/>
      <sheetName val="Batam_Forecast2"/>
      <sheetName val="Batam_Forecast_jun2"/>
      <sheetName val="Fabrication_Summary2"/>
      <sheetName val="D6978_Mar_21_-_FProj072"/>
      <sheetName val="GEAC_-_Dec192"/>
      <sheetName val="Batam_Forecast1"/>
      <sheetName val="Batam_Forecast_jun1"/>
      <sheetName val="Fabrication_Summary1"/>
      <sheetName val="D6978_Mar_21_-_FProj071"/>
      <sheetName val="GEAC_-_Dec191"/>
      <sheetName val="Unit-1"/>
      <sheetName val="내역서_(∮ἀ嘆ɶ᠀㬁3"/>
      <sheetName val="LM001"/>
      <sheetName val="LM002"/>
      <sheetName val="LM003"/>
      <sheetName val="LM005"/>
      <sheetName val="LM006"/>
      <sheetName val="LM008"/>
      <sheetName val="LM004"/>
      <sheetName val="1)_COMMON_FACILITIES"/>
      <sheetName val="월간보고자료FORM2"/>
      <sheetName val="PSV2701F"/>
      <sheetName val="Embank"/>
      <sheetName val="anal rab"/>
      <sheetName val="H_ Dasar"/>
      <sheetName val="HRG BH"/>
      <sheetName val="Prosentase"/>
      <sheetName val="ALT"/>
      <sheetName val="U,B"/>
      <sheetName val="giathanh1"/>
      <sheetName val="CHITIET VL-NC-TT -1p"/>
      <sheetName val="gtrinh"/>
      <sheetName val="TONG HOP VL-NC"/>
      <sheetName val="chitiet"/>
      <sheetName val="TONGKE3p "/>
      <sheetName val="DONGIA"/>
      <sheetName val="lam-moi"/>
      <sheetName val="thao-go"/>
      <sheetName val="DON GIA"/>
      <sheetName val="DG"/>
      <sheetName val="TONGKE-HT"/>
      <sheetName val="t-h HA THE"/>
      <sheetName val="THPDMoi  (2)"/>
      <sheetName val="TONG HOP VL-NC TT"/>
      <sheetName val="TNHCHINH"/>
      <sheetName val="TH XL"/>
      <sheetName val="CHITIET VL-NC"/>
      <sheetName val="Tiepdia"/>
      <sheetName val="TDTKP1"/>
      <sheetName val="VCV-BE-TONG"/>
      <sheetName val="HARGA SAT"/>
      <sheetName val="F3a"/>
      <sheetName val="G1"/>
      <sheetName val="G3"/>
      <sheetName val="G4a"/>
      <sheetName val="F4b"/>
      <sheetName val="F5a"/>
      <sheetName val="plant"/>
      <sheetName val="data_val"/>
      <sheetName val="D-3 (M)"/>
      <sheetName val="D-7 (M)"/>
      <sheetName val="Anls-Um"/>
      <sheetName val="01A- RAB"/>
      <sheetName val="SLNK"/>
      <sheetName val="bahan-mos"/>
      <sheetName val="Cycle Time"/>
      <sheetName val="UtilitasTM"/>
      <sheetName val="rekap harga satuan pek"/>
      <sheetName val="PERSIAPAN"/>
      <sheetName val="tanah"/>
      <sheetName val="pembesian"/>
      <sheetName val="A-ALAT"/>
      <sheetName val="design_criteria6"/>
      <sheetName val="rab j17"/>
      <sheetName val="________"/>
      <sheetName val="Weekl____"/>
      <sheetName val="첨부2. 물량소화계획 상세"/>
      <sheetName val="spread-sheet"/>
      <sheetName val="RekapDataProyek-hide4print"/>
      <sheetName val="install_valve"/>
      <sheetName val="Deliverable list"/>
      <sheetName val="setting"/>
      <sheetName val="Gol"/>
      <sheetName val="Asm"/>
      <sheetName val="PrBS"/>
      <sheetName val="PrDepr"/>
      <sheetName val="PrIS"/>
      <sheetName val="Indirect_Const"/>
      <sheetName val="COMBINE"/>
      <sheetName val="HB"/>
      <sheetName val="member design"/>
      <sheetName val="Data basic price jgan diprint"/>
      <sheetName val="Sewa Alat"/>
      <sheetName val="BQ ARS"/>
      <sheetName val="DAFTAR ISI"/>
      <sheetName val="DAFTAR TBL _ FORM"/>
      <sheetName val="Tanggapan"/>
      <sheetName val="ELKP"/>
      <sheetName val="Harga ME "/>
      <sheetName val="Form 4 _ 4_A"/>
      <sheetName val="T-3.2 UP Material"/>
      <sheetName val="Analisa STR"/>
      <sheetName val="formminat"/>
      <sheetName val="anal alat"/>
      <sheetName val="Daf 1"/>
      <sheetName val="Data SRL"/>
      <sheetName val="Data Prod_Graf"/>
      <sheetName val="Curup"/>
      <sheetName val="Prabu"/>
      <sheetName val="Process"/>
      <sheetName val="Refinery"/>
      <sheetName val="Fructose"/>
      <sheetName val="RAB J18 "/>
      <sheetName val="HARGA J18"/>
      <sheetName val="analisa J18"/>
      <sheetName val="Cash Out Table"/>
      <sheetName val="Net Cash Table"/>
      <sheetName val="본사공가현황"/>
      <sheetName val="앉음벽 (2)"/>
      <sheetName val="WORKER"/>
      <sheetName val="5.새들부해석 및 철근배근"/>
      <sheetName val="reinforce"/>
      <sheetName val="Executive Summary (Aug 25)"/>
      <sheetName val="P-J"/>
      <sheetName val="P.M 별"/>
      <sheetName val="5.세운W-A"/>
      <sheetName val="Rek.An"/>
      <sheetName val="Rencana Anggaran Biaya"/>
      <sheetName val="BCC CABLE DATA"/>
      <sheetName val="FJR CABLE DATA"/>
      <sheetName val="JRT CABLE DATA"/>
      <sheetName val="PD CABLE DATA "/>
      <sheetName val="TBA CABLE DATA"/>
      <sheetName val="TY CABLE DATA"/>
      <sheetName val="5a. Code_E"/>
      <sheetName val="LstsÙÁ"/>
      <sheetName val="DE-110"/>
      <sheetName val="WBS"/>
      <sheetName val="coastal"/>
      <sheetName val="3. PE Unit "/>
      <sheetName val="Cut to spoil (sound rock)"/>
      <sheetName val="Cut to spoil (soft rock)"/>
      <sheetName val="Divertions"/>
      <sheetName val="Extra over haulages.."/>
      <sheetName val="Fill from borrow"/>
      <sheetName val="Milling 10.6 TO 58"/>
      <sheetName val="Obliteration"/>
      <sheetName val="Removal Top Soil"/>
      <sheetName val="Removal unsuitable"/>
      <sheetName val="Subbase"/>
      <sheetName val="Site clearance"/>
      <sheetName val="Eqpt"/>
      <sheetName val="Drn"/>
      <sheetName val="Issue Detail (2nd Stage)"/>
      <sheetName val="PUNCH DESCRIPTION"/>
      <sheetName val="p17 POP 2"/>
      <sheetName val="p16 POP 1"/>
      <sheetName val="p14 cooling mp 2"/>
      <sheetName val="p15 cooling mp 3"/>
      <sheetName val="Committed Cost"/>
      <sheetName val="Div26 - Elect"/>
      <sheetName val="proj"/>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Riesgos y Oportunidades"/>
      <sheetName val="Man. Sum."/>
      <sheetName val="unit mh study"/>
      <sheetName val="penalties"/>
      <sheetName val="Offer Sum."/>
      <sheetName val="Indirect Pers."/>
      <sheetName val="endirek ad-sa"/>
      <sheetName val="Support Pers."/>
      <sheetName val="Indirect Pers. Assumptions"/>
      <sheetName val="Feuil1"/>
      <sheetName val="Machinery"/>
      <sheetName val="Scaffolding"/>
      <sheetName val="Mob-demob"/>
      <sheetName val="ind. cost of direct"/>
      <sheetName val="Net Salary of a Direct"/>
      <sheetName val="Direct Cost Sum."/>
      <sheetName val="Furniture"/>
      <sheetName val="Water Cons."/>
      <sheetName val="Ind Sale"/>
      <sheetName val="GWP3 Outfitting Works Indirect "/>
      <sheetName val="Parameter"/>
      <sheetName val="SubContractingDetail"/>
      <sheetName val="Ключ"/>
      <sheetName val="archi(본사)"/>
      <sheetName val="간접비NE"/>
      <sheetName val="0226"/>
      <sheetName val="FPF-Unit Rates"/>
      <sheetName val="PNT-Unit Rates"/>
      <sheetName val="E1"/>
      <sheetName val="1 间接人工费"/>
      <sheetName val="CW"/>
      <sheetName val="RELACION COSTE"/>
      <sheetName val="NC"/>
      <sheetName val="Named Range"/>
      <sheetName val="Floor Level"/>
      <sheetName val="DataSheet"/>
      <sheetName val="Chemreq"/>
      <sheetName val="19. drill CD6"/>
      <sheetName val="MASTER AR"/>
      <sheetName val="Sheet_x0005_"/>
      <sheetName val="Cause Categories"/>
      <sheetName val="Change Order Log"/>
      <sheetName val="11FEB"/>
      <sheetName val="Control Panel"/>
      <sheetName val="基础资料"/>
      <sheetName val="using rjs409 progress data"/>
      <sheetName val="公司"/>
      <sheetName val="公司部门"/>
      <sheetName val="Summary F-217 R6"/>
      <sheetName val="BEU btm nozz @ tsht"/>
      <sheetName val="401_1"/>
      <sheetName val="401_2"/>
      <sheetName val="401_3"/>
      <sheetName val="401_4"/>
      <sheetName val="401_5"/>
      <sheetName val="401_7"/>
      <sheetName val="Cover Sheet"/>
      <sheetName val="BOKOR TOPSIDE LS_3.17M480R"/>
      <sheetName val="ZKPAOINCURREDTS"/>
      <sheetName val="ZKPAOBALANCETSJKT"/>
      <sheetName val="ZKPAOBALANCETS"/>
      <sheetName val="ZKPAOINCURREDJKT"/>
      <sheetName val="ZKPAOPRJKT"/>
      <sheetName val="ZKPAOPRTS"/>
      <sheetName val="MPP"/>
      <sheetName val="S&amp;M Opex"/>
      <sheetName val="골조"/>
      <sheetName val="ExchRate"/>
      <sheetName val="지계"/>
      <sheetName val="Solieu"/>
      <sheetName val="Xuly Data"/>
      <sheetName val="환경기계공정표 (3)"/>
      <sheetName val="Project Information In-Out"/>
      <sheetName val="機器リスト"/>
      <sheetName val="Fee Rate Summary"/>
      <sheetName val="교각계산"/>
      <sheetName val="Sheet15"/>
      <sheetName val="Sheet13"/>
      <sheetName val="APT"/>
      <sheetName val="New Rates"/>
      <sheetName val="OOC Form"/>
      <sheetName val="사통"/>
      <sheetName val="J直材4"/>
      <sheetName val="원하도급내역서(당초)"/>
      <sheetName val="WITHOUT_C&amp;I_PROFIT_(3)"/>
      <sheetName val="ENQ222394AL_NASR_Steel_Report"/>
      <sheetName val="Dynamic_Query"/>
      <sheetName val="설비원가"/>
      <sheetName val="배관쳻᫥"/>
      <sheetName val="배관䳝ᇪ"/>
      <sheetName val="배관᳝᧪"/>
      <sheetName val="8&gt;한국인수당 (Master file)"/>
      <sheetName val="N賃率-職"/>
      <sheetName val="공사사진"/>
      <sheetName val="잡철물"/>
      <sheetName val="TOWER 12TON"/>
      <sheetName val="TOWER 10TON"/>
      <sheetName val="인원칠ᦑ"/>
      <sheetName val="날개벽수량표"/>
      <sheetName val="샘플수"/>
      <sheetName val="FS-LT"/>
      <sheetName val="5-ALAT"/>
      <sheetName val="4-BASIC"/>
      <sheetName val="AP 'S ANALYSIS"/>
      <sheetName val="DATA(입력)"/>
      <sheetName val="배명(단가)"/>
      <sheetName val="drop down list"/>
      <sheetName val="Data Sheet"/>
      <sheetName val="@risk rents and incentives"/>
      <sheetName val="Car park lease"/>
      <sheetName val="Net rent analysis"/>
      <sheetName val="cost project"/>
      <sheetName val="Results"/>
      <sheetName val="co-no.2"/>
      <sheetName val="Labor abs-NMR"/>
      <sheetName val="Malaysia incl. RET"/>
      <sheetName val="GM &amp; TA"/>
      <sheetName val="Scaff-Rose"/>
      <sheetName val="Zone 1"/>
      <sheetName val="Zone 2"/>
      <sheetName val="Zone 3"/>
      <sheetName val="Zone 4"/>
      <sheetName val="Zone 5"/>
      <sheetName val="0. Index"/>
      <sheetName val="内訳書"/>
      <sheetName val="Chart Data"/>
      <sheetName val="단중"/>
      <sheetName val="품셈표"/>
      <sheetName val="당초_ȭ"/>
      <sheetName val="당초_➴ȭ"/>
      <sheetName val="TWO PASS"/>
      <sheetName val="THREE PASS"/>
      <sheetName val="Fuel"/>
      <sheetName val="D.Base"/>
      <sheetName val="BBM"/>
      <sheetName val="Neraca"/>
      <sheetName val="R-L"/>
      <sheetName val="DETANAL-AUG"/>
      <sheetName val="YRACCT"/>
      <sheetName val="ocean voyage"/>
      <sheetName val="내역서_耰&quot;_x0009"/>
      <sheetName val="내역서_耰&quot;_x0010"/>
      <sheetName val="내역서_耰&quot;_x00009"/>
      <sheetName val="내역서_耰&quot;_x00010"/>
      <sheetName val="내역서_耰&quot;_x00510"/>
      <sheetName val="_______x005f_x0000__x00_2"/>
      <sheetName val="_______x005f_x005f_x000_2"/>
      <sheetName val="TOSHIBA-Structure"/>
      <sheetName val="Perhitungan"/>
      <sheetName val="REN2000"/>
      <sheetName val="STEP1.a-JUL03"/>
      <sheetName val="Equip COA Sumry"/>
      <sheetName val="Admin"/>
      <sheetName val="PEF24_0I_mnpwr"/>
      <sheetName val="PEF25_0I_mnhr"/>
      <sheetName val="Penjumlahan"/>
      <sheetName val="AGREGAT"/>
      <sheetName val="Rekap Bill"/>
      <sheetName val="Menu"/>
      <sheetName val="Daf Alat"/>
      <sheetName val="Jdw Alat"/>
      <sheetName val="S Penawar"/>
      <sheetName val="O"/>
      <sheetName val="UPH,BHN,ALT"/>
      <sheetName val="Analis harga"/>
      <sheetName val="Content-i"/>
      <sheetName val="Sat Bah &amp; Up"/>
      <sheetName val=" PE-F-42 MR 9 Manpower"/>
      <sheetName val="TABEL BAJA"/>
      <sheetName val="BAG-III"/>
      <sheetName val="Analis Kusen okk"/>
      <sheetName val="Subkon"/>
      <sheetName val="Electrikal"/>
      <sheetName val="Elektronik"/>
      <sheetName val="Item Kompensasi"/>
      <sheetName val="rekap str+ars"/>
      <sheetName val="struktur"/>
      <sheetName val="SOHAR(2nd)"/>
      <sheetName val="내역ࠜĀ_x005f_x005f_x005f_x005F_x005f_x0000_M4"/>
      <sheetName val="내역서 耰&quot;_x005f_x005f_x005f_x005F_x005f_x0000_"/>
      <sheetName val="_x005f_x005f_x005f_x005F_x005f_x0008_"/>
      <sheetName val="내역ࠜĀ_x005f_x005f_x005f_x005F_x005f_x005f_x0"/>
      <sheetName val="내역서 耰&quot;_x005f_x005f_x005f_x005F_x005f_x005f_"/>
      <sheetName val="내역서_耰&quot;_x005f_x005f_x005f_x005F_x005f_x0000_"/>
      <sheetName val="내역서_耰&quot;_x005f_x005f_x005f_x005F_x005f_x005f_"/>
      <sheetName val="내역서 耰&quot;?_x0000"/>
      <sheetName val="내역서_耰&quot;?_x0000"/>
      <sheetName val="내역ࠜĀ?M4"/>
      <sheetName val="내역서_耰&quot;?_x0001"/>
      <sheetName val="내역서_耰&quot;?_x0002"/>
      <sheetName val="_?_x001b_?_x0006__x"/>
      <sheetName val="바닥판?⽷?"/>
      <sheetName val="EQUIPMENT_-?"/>
      <sheetName val="내역서 ᢐ_x001f_??"/>
      <sheetName val=" ?_x001b_?_x0006__x"/>
      <sheetName val="Weekl_x0004_?_x0016__x000"/>
      <sheetName val="내역서_耰&quot;_x005f_x005f_x005f_x005F_x00006"/>
      <sheetName val="내역서_耰&quot;_x005f_x005f_x005f_x005F_x005f6"/>
      <sheetName val="Precios Unitariԯ?"/>
      <sheetName val="내역서_耰&quot;?_x0004"/>
      <sheetName val="내역서_耰&quot;?_x0003"/>
      <sheetName val="내역서_耰&quot;?_x0005"/>
      <sheetName val="OPT_x0012_?_x0010_?"/>
      <sheetName val="내역서 耰&quot;?"/>
      <sheetName val="내역서_耰&quot;?"/>
      <sheetName val="내역서_耰&quot;?_x00001"/>
      <sheetName val="내역서_耰&quot;_x005f_x005f_x005f_x005F_x00007"/>
      <sheetName val="내역서_耰&quot;_x005f_x005f_x005f_x005F_x005f7"/>
      <sheetName val="_x005f_x005f_x005f_x005F_x00ည톐ឮ"/>
      <sheetName val="내역서_耰&quot;?_x0006"/>
      <sheetName val="?_x0004_"/>
      <sheetName val="내역서_耰&quot;_x005f_x005f_x005f_x005F_x00008"/>
      <sheetName val="내역서_耰&quot;_x005f_x005f_x005f_x005F_x005f8"/>
      <sheetName val="Site??"/>
      <sheetName val="내역서_耰&quot;?_x00002"/>
      <sheetName val="내역서_耰&quot;?1"/>
      <sheetName val="내역서_耰&quot;?_x00003"/>
      <sheetName val="내역서_耰&quot;?2"/>
      <sheetName val="내역서_耰&quot;_x005f_x0000__x005f_x005f_x0009"/>
      <sheetName val="내역서_耰&quot;_x005f_x005f_x005f_x005F_x00009"/>
      <sheetName val="내역서_耰&quot;_x005f_x005f_x005f_x005F_x005f9"/>
      <sheetName val="내역서_耰&quot;_x005f_x0000__x005f_x005f_x0010"/>
      <sheetName val="내역서_耰&quot;_x005f_x005f_x005f_x005F_x00010"/>
      <sheetName val="내역서_耰&quot;_x005f_x005f_x005f_x005F_x00510"/>
      <sheetName val="data-hujan"/>
      <sheetName val="23.FILTH "/>
      <sheetName val="29Formalin"/>
      <sheetName val="24TVBN"/>
      <sheetName val="02.01E.coli"/>
      <sheetName val="실행예산갑지"/>
      <sheetName val="현장관리비"/>
      <sheetName val=" anal hrg sat"/>
      <sheetName val="HS_TRG"/>
      <sheetName val="RAB KapukII"/>
      <sheetName val="BAU"/>
      <sheetName val="개산공사비"/>
      <sheetName val="부하계산서"/>
      <sheetName val="U4350"/>
      <sheetName val="Introduction"/>
      <sheetName val="Cover (sh 1)"/>
      <sheetName val="Instructions"/>
      <sheetName val="SI No.25"/>
      <sheetName val="Additional Work"/>
      <sheetName val="DPA"/>
      <sheetName val="D -12"/>
      <sheetName val="2004"/>
      <sheetName val="SPK"/>
      <sheetName val="BA"/>
      <sheetName val="A H S P"/>
      <sheetName val="Harga Bahan"/>
      <sheetName val="HSA &amp; PAB"/>
      <sheetName val="Format Report-for analysis only"/>
      <sheetName val="Rekap BQ-Pompong"/>
      <sheetName val="Page 2api"/>
      <sheetName val="1.Unit Price"/>
      <sheetName val="_x0004__ __x0003___x0004___x0016__ __x0004_"/>
      <sheetName val="Weekl_x0004___x0016__ _"/>
      <sheetName val="_x0004__ __x0"/>
      <sheetName val="Absen 4"/>
      <sheetName val="Evaluasi Teknis _B_"/>
      <sheetName val="Jadwal"/>
      <sheetName val="Koreksi Aritmatika"/>
      <sheetName val="Kreteria"/>
      <sheetName val="Range HPS"/>
      <sheetName val="Cover1"/>
      <sheetName val="Pt"/>
      <sheetName val="Rkap1998"/>
      <sheetName val="lm7-11"/>
      <sheetName val="laru-kbn"/>
      <sheetName val="REALABO"/>
      <sheetName val="SS MH"/>
      <sheetName val="__x001b__x0006__x0006__x0008__"/>
      <sheetName val="__x001b__x0"/>
      <sheetName val="OPT_x0012__x0010__"/>
      <sheetName val="2_x0010___x0003__x000d__x0008__x0010__x0004__x0004__x0004_"/>
      <sheetName val="Grand summary Lot#1"/>
      <sheetName val="Part1 Preliminaries &amp; General"/>
      <sheetName val="Part2 Wastewater System"/>
      <sheetName val="Part3 Stormwater Drainage Syste"/>
      <sheetName val="Part4 Dayworks"/>
      <sheetName val="Part5 O&amp;M Equipment"/>
      <sheetName val="Part6 Training"/>
      <sheetName val="Saisie"/>
      <sheetName val="MTO 18 Jul07&amp;19Nov08"/>
      <sheetName val="GIAVLIEU"/>
      <sheetName val="Analisa HS"/>
      <sheetName val="HPS PC"/>
      <sheetName val="Pile Cap"/>
      <sheetName val="SUR-HARGA"/>
      <sheetName val="COMM"/>
      <sheetName val="기타 (3)"/>
      <sheetName val="基本"/>
      <sheetName val="att4建造-电气"/>
      <sheetName val="att4建造-仪表"/>
      <sheetName val="RENUN"/>
      <sheetName val="VA_code"/>
      <sheetName val="bs分析"/>
      <sheetName val="PROJECT MPP"/>
      <sheetName val="UOP"/>
      <sheetName val="coverpage"/>
      <sheetName val="FA"/>
      <sheetName val="8000"/>
      <sheetName val="Billing"/>
      <sheetName val="HO mhrs-sum"/>
      <sheetName val="FB"/>
      <sheetName val="CS mhrs-sum"/>
      <sheetName val="FC"/>
      <sheetName val="SP"/>
      <sheetName val="分包资金计划台账"/>
      <sheetName val="1 Cover"/>
      <sheetName val="Varible"/>
      <sheetName val="Inputdata"/>
      <sheetName val="Progress Tables"/>
      <sheetName val="Twr (15)"/>
      <sheetName val="Shedule"/>
      <sheetName val="D8(1)"/>
      <sheetName val="Analisa ME"/>
      <sheetName val="MTL(AG)"/>
      <sheetName val="rumus"/>
      <sheetName val="Time Schedule"/>
      <sheetName val="Cancelled"/>
      <sheetName val="Data1"/>
      <sheetName val="DataMO"/>
      <sheetName val="RFI_Bolt"/>
      <sheetName val="sc"/>
      <sheetName val="?????????"/>
      <sheetName val="기성"/>
      <sheetName val="_x005f_x005f_x005f_x005f_x005f_x005f_x00Ȋ䀀"/>
      <sheetName val="_x005f_x005f_x005f_x005f_x005f_x005f_x00《䕩堤"/>
      <sheetName val="MOTOR OPERATED VALVE LIST_1"/>
      <sheetName val="Sheet_x0005_�"/>
      <sheetName val="输煤冲洗水泵房"/>
      <sheetName val="Chap_2-_Page_4_3"/>
      <sheetName val="VAT_TU_DIEN3"/>
      <sheetName val="bldg_list3"/>
      <sheetName val="OE_(KSB)2"/>
      <sheetName val="galian_saluran2"/>
      <sheetName val="Ana__PU2"/>
      <sheetName val="Perhit_Alat2"/>
      <sheetName val="05_Analisa_Teknik2"/>
      <sheetName val="Analisa_SNI_STANDART_2"/>
      <sheetName val="1_B2"/>
      <sheetName val="SWALE_(구산)3"/>
      <sheetName val="SANDAN_XLS11"/>
      <sheetName val="Data_Ref_3"/>
      <sheetName val="KKS_System_Codes3"/>
      <sheetName val="Price_Schedule_Code3"/>
      <sheetName val="UPAH_&amp;_BHN_ARS2"/>
      <sheetName val="AHS_ARS2"/>
      <sheetName val="Analisa_HSP2"/>
      <sheetName val="입찰내역_발주처_양卤2"/>
      <sheetName val="Analisa_Neraca2"/>
      <sheetName val="Harga_Mat_2"/>
      <sheetName val="REF_ONLY3"/>
      <sheetName val="Project_D2"/>
      <sheetName val="Tender_Summary2"/>
      <sheetName val="내역서_(N____26"/>
      <sheetName val="ANAL_BOW2"/>
      <sheetName val="Isolasi_Luar_Dalam2"/>
      <sheetName val="Isolasi_Luar2"/>
      <sheetName val="график_финансирования2"/>
      <sheetName val="6_2_Floor_Finishes3"/>
      <sheetName val="1195_B12"/>
      <sheetName val="page_62"/>
      <sheetName val="Capel_KI2"/>
      <sheetName val="Capel_PK2"/>
      <sheetName val="Summary_HS_Pipa_CS2"/>
      <sheetName val="Raw_Data-Combined2"/>
      <sheetName val="lkalibrasi_BENENAIN2"/>
      <sheetName val="_hrg_bhn2"/>
      <sheetName val="Rekap_Addendum2"/>
      <sheetName val="AT_22"/>
      <sheetName val="Section_12"/>
      <sheetName val="Ra__stair2"/>
      <sheetName val="9011_EXPAT_MANP1"/>
      <sheetName val="App_A_Basis_of_Design1"/>
      <sheetName val="tabel_berat1"/>
      <sheetName val="cost_curve_calc1"/>
      <sheetName val="Subcon_Rate"/>
      <sheetName val="SEK_Vertrieb1"/>
      <sheetName val="SEK_Montage1"/>
      <sheetName val="SEK_IBN1"/>
      <sheetName val="JP-I_500155"/>
      <sheetName val="Risk_Variables"/>
      <sheetName val="간접비_총괄표"/>
      <sheetName val="BOQ_LIST"/>
      <sheetName val="PBAC_budget"/>
      <sheetName val="3_6M_RETAINING_WALL"/>
      <sheetName val="DO_NOT_DELETE"/>
      <sheetName val="MR_EUR1"/>
      <sheetName val="Ind__Budget1"/>
      <sheetName val="BQ_Working1"/>
      <sheetName val="Star_Rate1"/>
      <sheetName val="04_09_19_Mufqi(2)"/>
      <sheetName val="04_09_19_Winda(2)"/>
      <sheetName val="Mufqi_29_08_19"/>
      <sheetName val="Ade_30_08_19"/>
      <sheetName val="Pramudibyo_30_08_19"/>
      <sheetName val="Aji_02_09_19"/>
      <sheetName val="Diah_02_09_19"/>
      <sheetName val="_09_19"/>
      <sheetName val="01A__RAB"/>
      <sheetName val="53_"/>
      <sheetName val="MH_CIVIL"/>
      <sheetName val="DIV_21"/>
      <sheetName val="DIV_7"/>
      <sheetName val="DIV_81"/>
      <sheetName val="DIV_31"/>
      <sheetName val="SA516-60,70_(정리)"/>
      <sheetName val="КС2_24_1-8_(4_1_8_11_200)corr1"/>
      <sheetName val="첨부_#8_기자재_Cost_Summary"/>
      <sheetName val="Dia_Inch"/>
      <sheetName val="Cost_Control"/>
      <sheetName val="Factor_Sheet"/>
      <sheetName val="Cost_Factor_Sheet"/>
      <sheetName val="Price_Sheet"/>
      <sheetName val="Room_Type"/>
      <sheetName val="Basement2_DB"/>
      <sheetName val="BOQ_SUM"/>
      <sheetName val="2_x0010_ _x0003__x000d__x0008__x0010__x0004__x0004__x0004_"/>
      <sheetName val="내역서_(N___ 9"/>
      <sheetName val="? ???? ?"/>
      <sheetName val=" ????? ??"/>
      <sheetName val="Weekl?? ?"/>
      <sheetName val="? ?_x0"/>
      <sheetName val=" ??_x0"/>
      <sheetName val="OPT?? ?"/>
      <sheetName val="탈황2팀(밸브)"/>
      <sheetName val="gVL"/>
      <sheetName val="임대"/>
      <sheetName val="9911실적(공장)"/>
      <sheetName val="정산표"/>
      <sheetName val="회사정보"/>
      <sheetName val="선수금(29)"/>
      <sheetName val="호남2"/>
      <sheetName val="계정code"/>
      <sheetName val="BOJUNGGM"/>
      <sheetName val="(참조)RCM_Final_수정_감사실"/>
      <sheetName val="공사기성"/>
      <sheetName val="1100A"/>
      <sheetName val="대차대조표"/>
      <sheetName val="손익계산서"/>
      <sheetName val="이익잉여금"/>
      <sheetName val="통장출금액"/>
      <sheetName val="은행"/>
      <sheetName val="COBS"/>
      <sheetName val="지점장"/>
      <sheetName val="산출"/>
      <sheetName val="리스"/>
      <sheetName val="(참고) 리스크 맵"/>
      <sheetName val="CM_history"/>
      <sheetName val="보험"/>
      <sheetName val="질의(금액)참조"/>
      <sheetName val="합손"/>
      <sheetName val="상각률표"/>
      <sheetName val="fmv"/>
      <sheetName val="99.7월 당월회수 실적"/>
      <sheetName val="선급금"/>
      <sheetName val="당월"/>
      <sheetName val="4b Consolidated PL"/>
      <sheetName val="현장"/>
      <sheetName val="하수급견적대비"/>
      <sheetName val="손익항목표"/>
      <sheetName val="외환익"/>
      <sheetName val="신공항A-9(원가수정)"/>
      <sheetName val="시산"/>
      <sheetName val="Scoping"/>
      <sheetName val="ROMM"/>
      <sheetName val="Materiality - Fin.(계획)"/>
      <sheetName val="Lead"/>
      <sheetName val="LU"/>
      <sheetName val="Dropdowns"/>
      <sheetName val="Workings"/>
      <sheetName val="Controls"/>
      <sheetName val="CMA Reconciliation"/>
      <sheetName val="Financial Statements"/>
      <sheetName val="select ---&gt; hide"/>
      <sheetName val="Balance Sheet"/>
      <sheetName val="Income Statement"/>
      <sheetName val="32.1"/>
      <sheetName val="이자비용 (2)"/>
      <sheetName val="감가상각"/>
      <sheetName val="DB명세"/>
      <sheetName val="Currency"/>
      <sheetName val="SAPHDB.05"/>
      <sheetName val="SAPHDB.06"/>
      <sheetName val="SAPHDB.10"/>
      <sheetName val="SAPHDB.14"/>
      <sheetName val="SAPHDB.15"/>
      <sheetName val="SAPHDB.16"/>
      <sheetName val="SUPER_T3"/>
      <sheetName val="Set Parameters"/>
      <sheetName val="Non-Statistical Sampling"/>
      <sheetName val="portfolio"/>
      <sheetName val="ins"/>
      <sheetName val="Non-Statistical Sampling Master"/>
      <sheetName val="Materiality - Components(계획)"/>
      <sheetName val="IT Function"/>
      <sheetName val="정리기입"/>
      <sheetName val="SAP.23a"/>
      <sheetName val="SAP.24a"/>
      <sheetName val="SAP.25a"/>
      <sheetName val="SAP.26a"/>
      <sheetName val="SAP.13a"/>
      <sheetName val="SAP.21a"/>
      <sheetName val="SAP.15a"/>
      <sheetName val="SAP.18a"/>
      <sheetName val="SAP.05a"/>
      <sheetName val="SAP.11a"/>
      <sheetName val="SAP.27a"/>
      <sheetName val="Rules"/>
      <sheetName val="AR Drop Downs"/>
      <sheetName val="Control Activities"/>
      <sheetName val="Two Step Revenue Testing Master"/>
      <sheetName val="OS명세"/>
      <sheetName val="ELBLOCK(981021)"/>
      <sheetName val="ARP Q3 Security Access Review"/>
      <sheetName val="AB1 Q3 Security Access Review"/>
      <sheetName val="6월추가불출"/>
      <sheetName val="12-31-2000"/>
      <sheetName val="AB1 FY12"/>
      <sheetName val="SAP011"/>
      <sheetName val="f5"/>
      <sheetName val="f4"/>
      <sheetName val="유형자산"/>
      <sheetName val="F456"/>
      <sheetName val="Global Data"/>
      <sheetName val="vapoc-00p12"/>
      <sheetName val="wi"/>
      <sheetName val="Section"/>
      <sheetName val="감가상각LS"/>
      <sheetName val="LS (2)"/>
      <sheetName val="건물 (2)"/>
      <sheetName val="유선방송설비 (2)"/>
      <sheetName val="차량운반구 (2)"/>
      <sheetName val="전송선로설비 (2)"/>
      <sheetName val="집기비품 (2)"/>
      <sheetName val="공구기구 (2)"/>
      <sheetName val="구축물 (2)"/>
      <sheetName val="컨버터 (2)"/>
      <sheetName val="LS "/>
      <sheetName val="PAJE,PRJE"/>
      <sheetName val="PAY"/>
      <sheetName val="KUWATI(Total)_20"/>
      <sheetName val="집계표_(TOTAL)20"/>
      <sheetName val="집계표_(CIVIL-23)20"/>
      <sheetName val="집계표_(FGRU)20"/>
      <sheetName val="집계표_(25,26)20"/>
      <sheetName val="집계표_(MEROX)20"/>
      <sheetName val="집계표_(NITROGEN)20"/>
      <sheetName val="집계표_(M4)20"/>
      <sheetName val="집계표_(CIVIL4)20"/>
      <sheetName val="집계표_(CIVIL6)20"/>
      <sheetName val="집계표_(CIVIL7)20"/>
      <sheetName val="내역서(DEMO_TOTAL)20"/>
      <sheetName val="내역서_(CIVIL-23)20"/>
      <sheetName val="내역서_(fgru)20"/>
      <sheetName val="내역서_(25&amp;26)20"/>
      <sheetName val="내역서_(MEROX)20"/>
      <sheetName val="내역서_(NITROGEN)20"/>
      <sheetName val="내역서_(M4)20"/>
      <sheetName val="내역서_(CIVIL-4)20"/>
      <sheetName val="내역서_(CIVIL-6)20"/>
      <sheetName val="내역서_(CIVIL-7)20"/>
      <sheetName val="OPTION_220"/>
      <sheetName val="OPTION_320"/>
      <sheetName val="2002년_현장공사비_국내_실적20"/>
      <sheetName val="2003년국내현장공사비_실적20"/>
      <sheetName val="VC2_10_9920"/>
      <sheetName val="INPUT_DATA19"/>
      <sheetName val="집계표_(25,26ဩ19"/>
      <sheetName val="입출재고현황_(2)18"/>
      <sheetName val="Form_019"/>
      <sheetName val="Form_D-118"/>
      <sheetName val="Form_B-118"/>
      <sheetName val="Form_F-118"/>
      <sheetName val="Form_A18"/>
      <sheetName val="General_Data19"/>
      <sheetName val="LABOR_&amp;_자재18"/>
      <sheetName val="간접비_총괄18"/>
      <sheetName val="3_공통공사대비18"/>
      <sheetName val="Price_Schedule18"/>
      <sheetName val="Rate_Analysis18"/>
      <sheetName val="EQUIPMENT_-218"/>
      <sheetName val="CAL_18"/>
      <sheetName val="내역서_耰&quot;??18"/>
      <sheetName val="WEIGHT_LIST17"/>
      <sheetName val="산#2-1_(2)17"/>
      <sheetName val="BEND_LOSS17"/>
      <sheetName val="공사비_내역_(가)17"/>
      <sheetName val="Form_A_17"/>
      <sheetName val="단면_(2)17"/>
      <sheetName val="Static_Equip17"/>
      <sheetName val="3_Breakdown_Direct_Paint17"/>
      <sheetName val="6PILE__(돌출)17"/>
      <sheetName val="Man_Hole16"/>
      <sheetName val="내역서_耰&quot;_x005f_x0000__x005f_x0000_17"/>
      <sheetName val="Áý°èÇ¥_(TOTAL)16"/>
      <sheetName val="Áý°èÇ¥_(CIVIL-23)16"/>
      <sheetName val="Áý°èÇ¥_(FGRU)16"/>
      <sheetName val="Áý°èÇ¥_(25,26)16"/>
      <sheetName val="Áý°èÇ¥_(MEROX)16"/>
      <sheetName val="Áý°èÇ¥_(NITROGEN)16"/>
      <sheetName val="Áý°èÇ¥_(M4)16"/>
      <sheetName val="Áý°èÇ¥_(CIVIL4)16"/>
      <sheetName val="Áý°èÇ¥_(CIVIL6)16"/>
      <sheetName val="Áý°èÇ¥_(CIVIL7)16"/>
      <sheetName val="³»¿ª¼­(DEMO_TOTAL)16"/>
      <sheetName val="³»¿ª¼­_(CIVIL-23)16"/>
      <sheetName val="³»¿ª¼­_(fgru)16"/>
      <sheetName val="³»¿ª¼­_(25&amp;26)16"/>
      <sheetName val="³»¿ª¼­_(MEROX)16"/>
      <sheetName val="³»¿ª¼­_(NITROGEN)16"/>
      <sheetName val="³»¿ª¼­_(M4)16"/>
      <sheetName val="³»¿ª¼­_(CIVIL-4)16"/>
      <sheetName val="³»¿ª¼­_(CIVIL-6)16"/>
      <sheetName val="³»¿ª¼­_(CIVIL-7)16"/>
      <sheetName val="2002³â_ÇöÀå°ø»çºñ_±¹³»_½ÇÀû16"/>
      <sheetName val="2003³â±¹³»ÇöÀå°ø»çºñ_½ÇÀû16"/>
      <sheetName val="Civil_117"/>
      <sheetName val="Civil_217"/>
      <sheetName val="Civil_317"/>
      <sheetName val="Site_117"/>
      <sheetName val="Site_217"/>
      <sheetName val="Site_317"/>
      <sheetName val="Site_Faci17"/>
      <sheetName val="내역서_耰&quot;__18"/>
      <sheetName val="Summary_Sheets17"/>
      <sheetName val="Administrative_Prices16"/>
      <sheetName val="WBS_4416"/>
      <sheetName val="WBS_4116"/>
      <sheetName val="Precios_por_Administración16"/>
      <sheetName val="Precios_Unitarios16"/>
      <sheetName val="Subcon_A16"/>
      <sheetName val="Sheet1_(2)17"/>
      <sheetName val="내역서_耰&quot;_x005f_x005f_x005f_x0000__x005f_x005f_x0016"/>
      <sheetName val="계측_내역서16"/>
      <sheetName val="2_2_STAFF_Scedule16"/>
      <sheetName val="7__월별투입내역서16"/>
      <sheetName val="내역서_耰&quot;_x005f_x005f_x005f_x005f_x005f_x005f_x00016"/>
      <sheetName val="Z-_GENERAL_PRICE_SUMMARY16"/>
      <sheetName val="_Estimate__16"/>
      <sheetName val="T_316"/>
      <sheetName val="HORI__VESSEL16"/>
      <sheetName val="BM_DATA_SHEET17"/>
      <sheetName val="내역서_耰&quot;_x005f_x005f_x005f_x005f_x005f_x005f_x00516"/>
      <sheetName val="Vind_-_BtB16"/>
      <sheetName val="LV_induction_motors16"/>
      <sheetName val="BSD_(2)16"/>
      <sheetName val="EQUIP_LIST16"/>
      <sheetName val="MP_MOB16"/>
      <sheetName val="Form_B16"/>
      <sheetName val="97_사업추정(WEKI)16"/>
      <sheetName val="Monthly_Load16"/>
      <sheetName val="Weekly_Load16"/>
      <sheetName val="breakdown_of_wage_rate16"/>
      <sheetName val="Indirect_Cost16"/>
      <sheetName val="Material_Selections16"/>
      <sheetName val="[SANDAN_XLS??16"/>
      <sheetName val="Piping_BQ_for_one_turbine16"/>
      <sheetName val="Eq__Mobilization16"/>
      <sheetName val="Utility_and_Fire_flange16"/>
      <sheetName val="Heavy_Equipments16"/>
      <sheetName val="AG_Pipe_Qty_Analysis16"/>
      <sheetName val="_SANDAN_XLS__16"/>
      <sheetName val="입찰내역_발주처_양식16"/>
      <sheetName val="Resource_table16"/>
      <sheetName val="Equipment_List16"/>
      <sheetName val="Form1_SQP16"/>
      <sheetName val="공정계획(내부계획25%,내부w_f)16"/>
      <sheetName val="SCHEDD_TAMBAHAN16"/>
      <sheetName val="w't_table16"/>
      <sheetName val="SFN_ORIG16"/>
      <sheetName val="Fire_Protection16"/>
      <sheetName val="FWBS_153015"/>
      <sheetName val="내역서_(∮ἀ嘆ɶ15"/>
      <sheetName val="Dir_Manpower_Other_Exp_16"/>
      <sheetName val="실행예산_MM15"/>
      <sheetName val="BOQ-B_DOWN15"/>
      <sheetName val="단가_(2)15"/>
      <sheetName val="4-3LEVEL-5_epic_415"/>
      <sheetName val="ITB_COST16"/>
      <sheetName val="MODULE_CONFIRM15"/>
      <sheetName val="PROTECTION_15"/>
      <sheetName val="1100-1200-1300-1910-2140-LEV_11"/>
      <sheetName val="Cash_In-Cash_Out_Actual15"/>
      <sheetName val="Material_Price17"/>
      <sheetName val="TDC_COA_Sumry11"/>
      <sheetName val="TDC_Item_Dets11"/>
      <sheetName val="TDC_Item_Sumry11"/>
      <sheetName val="TDC_Key_Qty_Sumry11"/>
      <sheetName val="List_-_Components11"/>
      <sheetName val="List_-_Equipment11"/>
      <sheetName val="COA_Sumry_-_Std_Imp11"/>
      <sheetName val="Contr_TDC_-_Std_Imp11"/>
      <sheetName val="Item_Sumry_-_Std_Imp11"/>
      <sheetName val="Unit_Costs_-_Std_Imp11"/>
      <sheetName val="Unit_MH_-_Std_Imp11"/>
      <sheetName val="Proj_TIC_-_Std_Imp11"/>
      <sheetName val="plan&amp;section_of_foundation12"/>
      <sheetName val="Unit_Price_11"/>
      <sheetName val="내역서1999_8최종11"/>
      <sheetName val="CUADRO_DE_PRECIOS15"/>
      <sheetName val="In-House_Summary11"/>
      <sheetName val="Updating_Form-Oct_201111"/>
      <sheetName val="Weld_Consumable11"/>
      <sheetName val="NDE_Cost-Summary11"/>
      <sheetName val="9July_Above_Ground_Pipe11"/>
      <sheetName val="M_1111"/>
      <sheetName val="Process_Data_111"/>
      <sheetName val="working_load_at_the_btm_ft_12"/>
      <sheetName val="stability_check12"/>
      <sheetName val="design_load12"/>
      <sheetName val="Currency_Rate11"/>
      <sheetName val="4-Basic_Price11"/>
      <sheetName val="Evaluasi_Penw11"/>
      <sheetName val="Man_Power_&amp;_Comp11"/>
      <sheetName val="Data_List11"/>
      <sheetName val="Closeout_Control11"/>
      <sheetName val="Site_Findings_Status_Sheet11"/>
      <sheetName val="내역서_耰&quot;_x005f_x005f_x005f_x0000_11"/>
      <sheetName val="내역서_耰&quot;_x005f_x005f_x005f_x005f_11"/>
      <sheetName val="내역서_耰&quot;_x005f_x0000__x000012"/>
      <sheetName val="Direct_PMS11"/>
      <sheetName val="Sum_(Case-3)11"/>
      <sheetName val="PROJECT_BRIEF11"/>
      <sheetName val="Tools_&amp;_Settings11"/>
      <sheetName val="Data_Summary11"/>
      <sheetName val="Crew_Costs11"/>
      <sheetName val="Spread_Costs11"/>
      <sheetName val="Unique_List_Misc11"/>
      <sheetName val="Codes_Pers11"/>
      <sheetName val="할증_11"/>
      <sheetName val="5_)_Time_Delays11"/>
      <sheetName val="Pengesahan_11"/>
      <sheetName val="RAB_AR&amp;STR11"/>
      <sheetName val="99__FWBS(Ref)11"/>
      <sheetName val="99__Change_Rate11"/>
      <sheetName val="Equip_Rental_Summary_by_Contr11"/>
      <sheetName val="Project_Equip_Rental_Summary11"/>
      <sheetName val="Contractor_Indirect_Sumry11"/>
      <sheetName val="Project_Indirect_Sumry11"/>
      <sheetName val="COA_Sumry_by_Area11"/>
      <sheetName val="COA_Sumry_by_Contr11"/>
      <sheetName val="COA_Sumry_by_RG11"/>
      <sheetName val="TDC_COA_Grp_Sumry11"/>
      <sheetName val="TDC_COA_Grp_Sumry_by_Area11"/>
      <sheetName val="TDC_COA_Grp_Sumry_by_RG11"/>
      <sheetName val="Equipment_Sumry11"/>
      <sheetName val="TDC_Item_Dets-Full11"/>
      <sheetName val="TDC_Item_Dets-IPM-Full11"/>
      <sheetName val="TDC_Item_Sumry_by_Area11"/>
      <sheetName val="TDC_Item_Sumry_by_RG11"/>
      <sheetName val="TDC_Key_Qty_Sumry_by_RG11"/>
      <sheetName val="List_-_Equipment_by_Area11"/>
      <sheetName val="List_-_Equipment_by_Contr11"/>
      <sheetName val="Equipment_-_Unit_Costs_by_Mat11"/>
      <sheetName val="List_-_Equipment_by_Rep_Grp11"/>
      <sheetName val="Craft_Summary_by_Contr11"/>
      <sheetName val="Project_Craft_Summary11"/>
      <sheetName val="Project_Metrics11"/>
      <sheetName val="00-Summary_Information-ABB10"/>
      <sheetName val="Unt_rate11"/>
      <sheetName val="__11"/>
      <sheetName val="_11"/>
      <sheetName val="SUMMARY_(0A)11"/>
      <sheetName val="SUMMARY_(1A)11"/>
      <sheetName val="SUMMARY_(1B)11"/>
      <sheetName val="SUMMARY_(03)11"/>
      <sheetName val="F1(Cable_Rack)11"/>
      <sheetName val="F2(Cable_Rack)11"/>
      <sheetName val="F3(Cable_Rack)11"/>
      <sheetName val="F1_(POLYMER)11"/>
      <sheetName val="F2_(POLYMER)11"/>
      <sheetName val="F3_(POLYMER)11"/>
      <sheetName val="F4_(POLYMER)11"/>
      <sheetName val="F5(_Polymerization_)11"/>
      <sheetName val="F6_(_Polymerization_)11"/>
      <sheetName val="B1_(Grid_A-7,_-6)11"/>
      <sheetName val="B1_(Grid_A,_B)11"/>
      <sheetName val="B1_(Grid_C-7,_-6)11"/>
      <sheetName val="B2_(Grid_-7_B,_C)_(1)11"/>
      <sheetName val="B2_(Grid_-7_B,_C)_(2)11"/>
      <sheetName val="B2_(Grid_-6_B,_C)_(1)11"/>
      <sheetName val="B2_(Grid_-6_B,_C)_(2)11"/>
      <sheetName val="F1_(MONOMER)11"/>
      <sheetName val="F2_(MONOMER)11"/>
      <sheetName val="F3_(MONOMER)11"/>
      <sheetName val="90K060C_(MONOMER)11"/>
      <sheetName val="F1_(EXTRUSION)11"/>
      <sheetName val="F2_(EXTRUSION)11"/>
      <sheetName val="F3_(EXTRUSION)11"/>
      <sheetName val="F4_(EXTRUSION)11"/>
      <sheetName val="F5_(EXTRUSION)11"/>
      <sheetName val="F6A_(EXTRUSION)11"/>
      <sheetName val="F6D_(EXTRUSION)11"/>
      <sheetName val="F7_(EXTRUSION)11"/>
      <sheetName val="F8_(EXTRUSION)11"/>
      <sheetName val="F9_(EXTRUSION)11"/>
      <sheetName val="F10_(EXTRUSION)11"/>
      <sheetName val="F11_(EXTRUSION)11"/>
      <sheetName val="B1_(Grid_F-5`,_4`)11"/>
      <sheetName val="B2_(Grid_F,E-4`)11"/>
      <sheetName val="B2_(Grid_F,E-5`)11"/>
      <sheetName val="B3_(Grid_C,B-4`)11"/>
      <sheetName val="B4_(Grid_B,A-4`)11"/>
      <sheetName val="B5_(Grid_E-5`)_&amp;_(Grid_D-5`)11"/>
      <sheetName val="B6_(Grid_E,D-5')11"/>
      <sheetName val="B7_(Grid_E,D-5')11"/>
      <sheetName val="95D040,_A50611"/>
      <sheetName val="95P040AB,_A50711"/>
      <sheetName val="95X020-U08,_A60211"/>
      <sheetName val="95X020-U07,_A60611"/>
      <sheetName val="95E040,_A50911"/>
      <sheetName val="95D024;025,_A61511"/>
      <sheetName val="95X020-U05,_A60111"/>
      <sheetName val="95X020-U02,_A20411"/>
      <sheetName val="Extruder_FDN11"/>
      <sheetName val="BOG_COMP__FDN11"/>
      <sheetName val="SOG_COMP__FDN11"/>
      <sheetName val="1G1_(Ground_Beam)11"/>
      <sheetName val="1G2-1(Ground_Beam)11"/>
      <sheetName val="1G2-2(Ground_Beam)11"/>
      <sheetName val="P15,_1611"/>
      <sheetName val="LO_CONSOLE_FDN11"/>
      <sheetName val="OIL_COOLER_FDN11"/>
      <sheetName val="CW_CONSOLE_FDN_(SOG)11"/>
      <sheetName val="PD3_(SOG)11"/>
      <sheetName val="SF1_(SOG)11"/>
      <sheetName val="SF2_(SOG)11"/>
      <sheetName val="SLAB_(1S1-1)11"/>
      <sheetName val="SLAB_(1S1-2)11"/>
      <sheetName val="SLAB_(1S1-3)11"/>
      <sheetName val="COLUMN_(+5500)11"/>
      <sheetName val="COLUMN_(+12500)11"/>
      <sheetName val="COLUMN_(+15500)11"/>
      <sheetName val="ETC_11"/>
      <sheetName val="breakdown_of_wage_ra`f10"/>
      <sheetName val="breakdown_of_wage_ra10"/>
      <sheetName val="breakdown_of_wage_rað-10"/>
      <sheetName val="UP_MINOR11"/>
      <sheetName val="Discounted_Cash_Flow11"/>
      <sheetName val="Ocean_Transporation_Charge11"/>
      <sheetName val="Cash_Flow_bulanan11"/>
      <sheetName val="H_Satuan11"/>
      <sheetName val="Item_code11"/>
      <sheetName val="BO䁑-B_䁄OWN11"/>
      <sheetName val="Aux_11"/>
      <sheetName val="OCT_FDN11"/>
      <sheetName val="Bill_rekap11"/>
      <sheetName val="Harga_Satuan11"/>
      <sheetName val="F_ALARM11"/>
      <sheetName val="2_Overall_Summary_10"/>
      <sheetName val="Exchange_Rate11"/>
      <sheetName val="General_Notes11"/>
      <sheetName val="PABS,Site_info10"/>
      <sheetName val="0__Resource　Code10"/>
      <sheetName val="내역서_耰&quot;_x005f_x0000_11"/>
      <sheetName val="내역서_耰&quot;_x005f_x005f_11"/>
      <sheetName val="breakdown_of_wage_rap10"/>
      <sheetName val="breakdown_of_wage_ra10"/>
      <sheetName val="Process_Data_(2)11"/>
      <sheetName val="차트_(2)11"/>
      <sheetName val="2__현장_자금투입_집계표11"/>
      <sheetName val="Rates_&amp;_Legend11"/>
      <sheetName val="DATA_MENTAH10"/>
      <sheetName val="내역서_耰&quot;_10"/>
      <sheetName val="Material_code10"/>
      <sheetName val="_도면_및_도서_제출목록_및_일정_170202_xls11"/>
      <sheetName val="Raw_data10"/>
      <sheetName val="Distribution_Table10"/>
      <sheetName val="DROP_DOWN10"/>
      <sheetName val="개시대사_(2)10"/>
      <sheetName val="Action_Item10"/>
      <sheetName val="ID_CD10"/>
      <sheetName val="Equipment_Spec_List10"/>
      <sheetName val="SPEC_LIST(EQUP,_SYS)10"/>
      <sheetName val="Cashflow_Analysis8"/>
      <sheetName val="Finansal_tamamlanma_Eğrisi8"/>
      <sheetName val="내역서_(N____x000a_11"/>
      <sheetName val="HO_Site_Rates-201110"/>
      <sheetName val="Linelist_LNGC_Process10"/>
      <sheetName val="TQ_Format9"/>
      <sheetName val="breakdown_of_wage_raÐ¾9"/>
      <sheetName val="Additional_data9"/>
      <sheetName val="Particular_Sch10"/>
      <sheetName val="11_자재단가8"/>
      <sheetName val="Al_Taweelah10"/>
      <sheetName val="Air_Cooler-E10"/>
      <sheetName val="LIFE_&amp;_REP_PROVN8"/>
      <sheetName val="O&amp;M_CREW8"/>
      <sheetName val="SUM_9"/>
      <sheetName val="내역서_(∮ἀ嘆ɶ?᠀㬁?8"/>
      <sheetName val="INPUT_DATA_OF_SCHEDULE8"/>
      <sheetName val="Master_List8"/>
      <sheetName val="Attach_4-188"/>
      <sheetName val="33628-Rev__A8"/>
      <sheetName val="Admin_Manu_2-Equipment_Type_ID8"/>
      <sheetName val="OIL_SEPARATOR8"/>
      <sheetName val="CATCH_BASIN8"/>
      <sheetName val="FW_Post_Indicator_Valve_24&quot;8"/>
      <sheetName val="FW_Post_Indicator_Valve_20&quot;8"/>
      <sheetName val="FW_Post_Indicator_Valve_6&quot;8"/>
      <sheetName val="Fire_Monitor_or_Hydrant_6&quot;_FDN8"/>
      <sheetName val="SUMP_VB8"/>
      <sheetName val="CLEANOUT_4&quot;8"/>
      <sheetName val="Not_reqd8"/>
      <sheetName val="호환성_보고서8"/>
      <sheetName val="Fig_4-148"/>
      <sheetName val="GM_0008"/>
      <sheetName val="Tender_data8"/>
      <sheetName val="Itembalance_Report_(18-sep-18)8"/>
      <sheetName val="BUDGET_SUMMARY_8"/>
      <sheetName val="EQUIPOS_DE_SEGURIDAD8"/>
      <sheetName val="MATERIALES_CONSUMIBLES8"/>
      <sheetName val="PERSONAL_INDIRECTO_8"/>
      <sheetName val="Scheme_Area_Details_Block___C28"/>
      <sheetName val="14-Eng_rate8"/>
      <sheetName val="리스크_분류체계8"/>
      <sheetName val="Activity_Form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1_설계기준8"/>
      <sheetName val="광통신_견적내역서18"/>
      <sheetName val="Cash_Flow8"/>
      <sheetName val="5__월별투입내역서8"/>
      <sheetName val="Tables_3_1_to_3_5_EXH_G8"/>
      <sheetName val="List_register8"/>
      <sheetName val="Direct_Histogram_Rev__A_(f)8"/>
      <sheetName val="SECL_리스크_분류체계_(2)8"/>
      <sheetName val="REF_for_VV8"/>
      <sheetName val="설산1_나8"/>
      <sheetName val="일위대가_8"/>
      <sheetName val="05__Curva_S7"/>
      <sheetName val="P-Ins_&amp;_Bonds8"/>
      <sheetName val="INSTLIST_18"/>
      <sheetName val="Weekl_9"/>
      <sheetName val="내역서_(N____27"/>
      <sheetName val="내역서_(N____28"/>
      <sheetName val="__x08"/>
      <sheetName val="OPT_9"/>
      <sheetName val="Att-1_CTCI_MH_rate8"/>
      <sheetName val="Cost_Code8"/>
      <sheetName val="Data_Ref8"/>
      <sheetName val="Interdept_Rate8"/>
      <sheetName val="BM_#18"/>
      <sheetName val="Analisa_Fave8"/>
      <sheetName val="Harsat_Bahan8"/>
      <sheetName val="Harsat_Subkon8"/>
      <sheetName val="Harsat_Upah8"/>
      <sheetName val="Master_1_08"/>
      <sheetName val="Agregat_Halus_&amp;_Kasar8"/>
      <sheetName val="HARGA_MATERIAL8"/>
      <sheetName val="Harga_Sat_APP8"/>
      <sheetName val="Tgh_JGC-Inv_I_clp8"/>
      <sheetName val="PCS_8"/>
      <sheetName val="Progress_Statement-SI8"/>
      <sheetName val="Progress_Payment-31108"/>
      <sheetName val="Perm__Test8"/>
      <sheetName val="Galian_18"/>
      <sheetName val="Analisa_Lump_sum8"/>
      <sheetName val="Sec_I_ML8"/>
      <sheetName val="dongia_(2)8"/>
      <sheetName val="내역서_(N__x008"/>
      <sheetName val="64_48"/>
      <sheetName val="64_58"/>
      <sheetName val="36_28"/>
      <sheetName val="36_18"/>
      <sheetName val="Land_Dev't__Ph-120"/>
      <sheetName val="4300_UTILITY_BLDG_(2)8"/>
      <sheetName val="RESUMEN_CD6"/>
      <sheetName val="BOQ_REV66"/>
      <sheetName val="Maliyet_Ozet6"/>
      <sheetName val="1_1-1_26"/>
      <sheetName val="1_3-_1_46"/>
      <sheetName val="3_16"/>
      <sheetName val="3_26"/>
      <sheetName val="4_1(a)6"/>
      <sheetName val="4_1(b)6"/>
      <sheetName val="4_1_(c)6"/>
      <sheetName val="5_16"/>
      <sheetName val="1_11_b6"/>
      <sheetName val="SPEC(CABLE_&amp;_WIRE)6"/>
      <sheetName val="6_공정표6"/>
      <sheetName val="Bill_4_7_Predestain_Bridge_6"/>
      <sheetName val="Bill_4_7_Predestain6"/>
      <sheetName val="1_1_FT_type_16"/>
      <sheetName val="1_2_FT_type_1A6"/>
      <sheetName val="1_3_FT_type_26"/>
      <sheetName val="1_4_FT_type_36"/>
      <sheetName val="1_5_FT_type_46"/>
      <sheetName val="2_1_CL_Outside6"/>
      <sheetName val="2_2_CL_Inside6"/>
      <sheetName val="2_3_CL_Ramp6"/>
      <sheetName val="3_1_CB_Outside6"/>
      <sheetName val="3_2_CB_Inside6"/>
      <sheetName val="4_Stair6"/>
      <sheetName val="5_Ramp6"/>
      <sheetName val="6_Handrail6"/>
      <sheetName val="Invoice_(Interim_No_28)6"/>
      <sheetName val="Cost_Summary6"/>
      <sheetName val="Direct_Cost6"/>
      <sheetName val="Direct_Cost_(2)6"/>
      <sheetName val="Summary_(3)6"/>
      <sheetName val="Indirect_Cost_Summary6"/>
      <sheetName val="TR_Rev_vs_Commit6"/>
      <sheetName val="TR_+MMHE_PL_report6"/>
      <sheetName val="P23P2724___Commitment_6"/>
      <sheetName val="Ramp_data5"/>
      <sheetName val="Lower_Ground5"/>
      <sheetName val="Cap_Cost5"/>
      <sheetName val="RLV_Calc5"/>
      <sheetName val="Costs_(dev)5"/>
      <sheetName val="Bluewater_NPV_-_sell_January5"/>
      <sheetName val="Upper_Ground5"/>
      <sheetName val="PARK_NE5"/>
      <sheetName val="Financial_Summary5"/>
      <sheetName val="D&amp;C_Calcs5"/>
      <sheetName val="CA_Upside_Downside_Old5"/>
      <sheetName val="EASEL_CA_Example5"/>
      <sheetName val="내역서_(∮ἀ嘆ɶ_᠀㬁_7"/>
      <sheetName val="Vehicle_Log6"/>
      <sheetName val="M&amp;E_Summary6"/>
      <sheetName val="rev_summary6"/>
      <sheetName val="M&amp;E_Prelims6"/>
      <sheetName val="B-FP_(2)6"/>
      <sheetName val="Sch_16"/>
      <sheetName val="5_Cennik7"/>
      <sheetName val="내역서_(N____111"/>
      <sheetName val="External_Issues6"/>
      <sheetName val="Manpower_Categories6"/>
      <sheetName val="tblg_denda7"/>
      <sheetName val="F1_46"/>
      <sheetName val="5__Work_load(현재원기준)8"/>
      <sheetName val="4-Lane_bridge20"/>
      <sheetName val="P_Staff_fac5"/>
      <sheetName val="beam-reinft-IIInd_floor5"/>
      <sheetName val="P-Site_fac5"/>
      <sheetName val="P-Clients_fac5"/>
      <sheetName val="CONCRETE_TYPE6"/>
      <sheetName val="MFG_&amp;_DEL5"/>
      <sheetName val="A__ENGINEERING6"/>
      <sheetName val="B-1__배관자재6"/>
      <sheetName val="B-2__전기자재6"/>
      <sheetName val="B-3__계장자재6"/>
      <sheetName val="B-4__기계자재6"/>
      <sheetName val="C-1__공통가설6"/>
      <sheetName val="C-2__토목6"/>
      <sheetName val="C-4__철골6"/>
      <sheetName val="C-5__기계6"/>
      <sheetName val="C-6__배관6"/>
      <sheetName val="C-7__전기6"/>
      <sheetName val="C-8__계장6"/>
      <sheetName val="C-9__중장비6"/>
      <sheetName val="C-10__소방설비6"/>
      <sheetName val="C-11__보온6"/>
      <sheetName val="C-12__CMS6"/>
      <sheetName val="G_R300경비6"/>
      <sheetName val="AS포장복구_6"/>
      <sheetName val="중기조종사_단위단가6"/>
      <sheetName val="설_계6"/>
      <sheetName val="_토목_처리장도급내역서_6"/>
      <sheetName val="3_부제O호표6"/>
      <sheetName val="5_소모재료비6"/>
      <sheetName val="8_시멘트제원표6"/>
      <sheetName val="2_품제O호표6"/>
      <sheetName val="본부_SHOP6"/>
      <sheetName val="#6_MDU_일반6"/>
      <sheetName val="#6_MDU엄반장6"/>
      <sheetName val="#6MDU_기계6"/>
      <sheetName val="HOU_COMP`6"/>
      <sheetName val="FCC_OBL-SHOP6"/>
      <sheetName val="NEW_FCC_OBL6"/>
      <sheetName val="#4_MDU6"/>
      <sheetName val="#6_SHOP6"/>
      <sheetName val="NRC_OBL-조연식6"/>
      <sheetName val="광양-조연식_반장6"/>
      <sheetName val="#5MDU_REV6"/>
      <sheetName val="LBO_PROJECT6"/>
      <sheetName val="VENDOR_LIST6"/>
      <sheetName val="BOP_LINE_LIST6"/>
      <sheetName val="Equip_Mstr_FOR_3A16"/>
      <sheetName val="สรุปยอดเหล็กตาม_Cost_Record_VY6"/>
      <sheetName val="แนบ_PR6"/>
      <sheetName val="OR21_Final_Forecast_Rev_26"/>
      <sheetName val="Summary_Forecast_Budget_1&amp;26"/>
      <sheetName val="Summary_Forecast_Budget_Rev_26"/>
      <sheetName val="Backup_OR21_6"/>
      <sheetName val="Budget_for_ENT6"/>
      <sheetName val="ADJ__D-Wall&amp;BR_Ent__Rev_2_16"/>
      <sheetName val="Rebar+Conพื้น_Waste10%6"/>
      <sheetName val="Backup_D-Wall_Ent__13_07_196"/>
      <sheetName val="Backup_BR_ENT__13_07_196"/>
      <sheetName val="Final_Forecast_721116"/>
      <sheetName val="IMP_OR21_2019_07_116"/>
      <sheetName val="Concrete_721126"/>
      <sheetName val="หินเกล็ด_6"/>
      <sheetName val="เปรียบเทียบBudget_BR_6"/>
      <sheetName val="ADJ__BR_Ent__Rev_2_1_(2)6"/>
      <sheetName val="แผนงานBarrette_Pile6"/>
      <sheetName val="BOQ__VI_03_09_19_6"/>
      <sheetName val="Backup_BR_BMA6"/>
      <sheetName val="Sum_Budget&amp;Rev_16"/>
      <sheetName val="Sum_Budget_Rev_16"/>
      <sheetName val="Sum_Budget&amp;Rev_1_Rebar6"/>
      <sheetName val="Sum_Budget_Rev_2_Rebar6"/>
      <sheetName val="Rebar+Conพื้น_Waste10%_Rev_006"/>
      <sheetName val="Rebar+Conพื้น_Waste10%_Rev_01_6"/>
      <sheetName val="Equip_Rev_00_Budget6"/>
      <sheetName val="Budget_Waterpoofing6"/>
      <sheetName val="ABB_Summary6"/>
      <sheetName val="Man_power_rate6"/>
      <sheetName val="Const_equip_rate6"/>
      <sheetName val="01-Gang_Rate_&amp;_Info6"/>
      <sheetName val="05-Sum_Cost6"/>
      <sheetName val="06-Indirect_Loading6"/>
      <sheetName val="07-Heavy_Equipment6"/>
      <sheetName val="08-RR_Check_List6"/>
      <sheetName val="1)_Risk_and_Opportunities6"/>
      <sheetName val="2)_Full_Cost_Calculation6"/>
      <sheetName val="동상부_Tact_기준_반입일정_및_수량_02176"/>
      <sheetName val="Equipt_Rental6"/>
      <sheetName val="EQ_USED_(CORRECTED)6"/>
      <sheetName val="Rebar_Constant6"/>
      <sheetName val="Statprod_gab7"/>
      <sheetName val="L_17"/>
      <sheetName val="Eng_Hrs_(HO)5"/>
      <sheetName val="Garph_Work-Cost6"/>
      <sheetName val="LRK_6"/>
      <sheetName val="GRAND_REKAP5"/>
      <sheetName val="analisa_(2)5"/>
      <sheetName val="Analisa_25"/>
      <sheetName val="Up_&amp;_bhn5"/>
      <sheetName val="HRG_BHN5"/>
      <sheetName val="Analisa_(ok_punya)5"/>
      <sheetName val="Alat_(2)5"/>
      <sheetName val="InsertListDrawing_1_5"/>
      <sheetName val="InD_Mpower6"/>
      <sheetName val="Rekap_Biaya5"/>
      <sheetName val="Kuantitas_&amp;_Harga5"/>
      <sheetName val="Nopember_(2)5"/>
      <sheetName val="Chap_2-_Page_4_4"/>
      <sheetName val="VAT_TU_DIEN4"/>
      <sheetName val="bldg_list4"/>
      <sheetName val="P2-Project_Data5"/>
      <sheetName val="a_h_ars_sum5"/>
      <sheetName val="a_h_ars5"/>
      <sheetName val="DAF_HRG5"/>
      <sheetName val="Urai__Resap_pengikat5"/>
      <sheetName val="Kolom_UT5"/>
      <sheetName val="HB_5"/>
      <sheetName val="7_공정표5"/>
      <sheetName val="SWALE_(구산)4"/>
      <sheetName val="REF_ONLY4"/>
      <sheetName val="Memb_Schd5"/>
      <sheetName val="Coef_et_données5"/>
      <sheetName val="원가조정_내역5"/>
      <sheetName val="Data_Ref_4"/>
      <sheetName val="KKS_System_Codes4"/>
      <sheetName val="Price_Schedule_Code4"/>
      <sheetName val="내역서_(N____29"/>
      <sheetName val="Dsr_Hitung3"/>
      <sheetName val="Mat_Tower3"/>
      <sheetName val="RT13526_CPI3"/>
      <sheetName val="Inputs_-_Results3"/>
      <sheetName val="GENERAL_3"/>
      <sheetName val="Tank_Loading3"/>
      <sheetName val="Fdn_Calc3"/>
      <sheetName val="LATERAL_OCDI_BH-023"/>
      <sheetName val="Lateral_Broms3"/>
      <sheetName val="N-SPT_corr3"/>
      <sheetName val="Curve_N-SPT3"/>
      <sheetName val="COST_BD3"/>
      <sheetName val="MSP-Operator_Building-Area_C3"/>
      <sheetName val="Monthly_S_Curve_SPK3"/>
      <sheetName val="UPAH_&amp;_BHN_ARS3"/>
      <sheetName val="AHS_ARS3"/>
      <sheetName val="Analisa_HSP3"/>
      <sheetName val="입찰내역_발주처_양卤3"/>
      <sheetName val="Analisa_Neraca3"/>
      <sheetName val="ENE-CAL_14"/>
      <sheetName val="Scaffolding_Volume3"/>
      <sheetName val="ANAL_BOW3"/>
      <sheetName val="Isolasi_Luar_Dalam3"/>
      <sheetName val="Isolasi_Luar3"/>
      <sheetName val="내역서_(N____210"/>
      <sheetName val="график_финансирования3"/>
      <sheetName val="OE_(KSB)3"/>
      <sheetName val="Ana__PU3"/>
      <sheetName val="galian_saluran3"/>
      <sheetName val="Perhit_Alat3"/>
      <sheetName val="05_Analisa_Teknik3"/>
      <sheetName val="내역서_耰&quot;_x005f10"/>
      <sheetName val="Analisa_SNI_STANDART_3"/>
      <sheetName val="1_B3"/>
      <sheetName val="MASTER_RATE_ANALYSIS6"/>
      <sheetName val="MN_T_B_6"/>
      <sheetName val="INDIGINEOUS_ITEMS_6"/>
      <sheetName val="Core_Data6"/>
      <sheetName val="final_abstract6"/>
      <sheetName val="Appendix_A2"/>
      <sheetName val="-0_5_TABLA_PRESUPUESTOS4"/>
      <sheetName val="ﾄﾞﾊﾞｲFUEL_GAS追見4"/>
      <sheetName val="breakdown_of_FA1133"/>
      <sheetName val="Insulation_1501086"/>
      <sheetName val="Sheet_143"/>
      <sheetName val="SANDAN_XLS12"/>
      <sheetName val="Project_D3"/>
      <sheetName val="Tender_Summary3"/>
      <sheetName val="PLSt_03__2"/>
      <sheetName val="П_7_курс_аванса2"/>
      <sheetName val="IncStat_03-042"/>
      <sheetName val="IncStat_03__2"/>
      <sheetName val="Авансы_по_СНГ2"/>
      <sheetName val="Home_Office2"/>
      <sheetName val="6_2_Floor_Finishes4"/>
      <sheetName val="C1_(calcolo)2"/>
      <sheetName val="Week_ending2"/>
      <sheetName val="Planners_Workload2"/>
      <sheetName val="MAY_00-Bobbins2"/>
      <sheetName val="2_2_띠장의_설계2"/>
      <sheetName val="Raw_Ref2"/>
      <sheetName val="Cost_Codes2"/>
      <sheetName val="(10)_Other_Costs52"/>
      <sheetName val="Ra__stair3"/>
      <sheetName val="Addendum_No_1_BILL_23"/>
      <sheetName val="7_6_3_J_Inline_Instrument2"/>
      <sheetName val="Bang_KL2"/>
      <sheetName val="Harga_Mat_3"/>
      <sheetName val="Code_072"/>
      <sheetName val="combined_9-3028"/>
      <sheetName val="worksheet_inchican28"/>
      <sheetName val="combined_9_3028"/>
      <sheetName val="bar_chart-rev28"/>
      <sheetName val="MATERIAL'S_PRICE26"/>
      <sheetName val="Schedule_S-Curve_Revision#324"/>
      <sheetName val="PC_&amp;_PVS22"/>
      <sheetName val="2_223M_due_to_adj_profit17"/>
      <sheetName val="Inchican_Road_Accomplishment20"/>
      <sheetName val="Shut_down17"/>
      <sheetName val="bill_217"/>
      <sheetName val="sorksheet_inchican17"/>
      <sheetName val="sombined_9-3017"/>
      <sheetName val="PH_517"/>
      <sheetName val="remaining_billing17"/>
      <sheetName val="Hac_Lots17"/>
      <sheetName val="Res_Lots17"/>
      <sheetName val="Spine_Road17"/>
      <sheetName val="INPUT_DATA_HERE16"/>
      <sheetName val="option_Y116"/>
      <sheetName val="Summary_(overall)3"/>
      <sheetName val="Adimi_bldg3"/>
      <sheetName val="Pump_House3"/>
      <sheetName val="Fuel_Regu_Station3"/>
      <sheetName val="Footing_Tie_Beam3"/>
      <sheetName val="FINAL_NEGO3"/>
      <sheetName val="RFP_Codes3"/>
      <sheetName val="Bill_summary_of_cost3"/>
      <sheetName val="unit_price3"/>
      <sheetName val="Schedule_S-Curve_(new_scheme)3"/>
      <sheetName val="Fire_Suppression3"/>
      <sheetName val="tabulation_(comparison)3"/>
      <sheetName val="area_comp_2011_01_183"/>
      <sheetName val="Tabulation_2"/>
      <sheetName val="3_-RESOURCE_LIST2"/>
      <sheetName val="0_-SUMMARY2"/>
      <sheetName val="3_2_AUX2"/>
      <sheetName val="3_3_AUX-22"/>
      <sheetName val="GRAND_SUM2"/>
      <sheetName val="VCC_11110-4612"/>
      <sheetName val="JGSummit_Package_2_(CTCI)3"/>
      <sheetName val="5_5FWBS_CODE2"/>
      <sheetName val="1195_B13"/>
      <sheetName val="page_63"/>
      <sheetName val="Capel_KI3"/>
      <sheetName val="Capel_PK3"/>
      <sheetName val="Summary_HS_Pipa_CS3"/>
      <sheetName val="Raw_Data-Combined3"/>
      <sheetName val="Instrument_Proc2"/>
      <sheetName val="MTO_Civil_Work2"/>
      <sheetName val="Sched_3_(Construction)2"/>
      <sheetName val="Sched_1_(Engineering)2"/>
      <sheetName val="Sched_2_(Procurement_2"/>
      <sheetName val="JOB_Code2"/>
      <sheetName val="COVER_RECAP_INSTALL_(2)2"/>
      <sheetName val="Rekap_Summary2"/>
      <sheetName val="Rekap_Breakdown2"/>
      <sheetName val="Detail_Eng2"/>
      <sheetName val="Equiv_Length2"/>
      <sheetName val="lkalibrasi_BENENAIN3"/>
      <sheetName val="Integrated-S_Curve2"/>
      <sheetName val="_hrg_bhn3"/>
      <sheetName val="Main_Control2"/>
      <sheetName val="Man_Power2"/>
      <sheetName val="pro_ra_op2"/>
      <sheetName val="analis_standar(8m)2"/>
      <sheetName val="ShareCapital_2"/>
      <sheetName val="내역서_(∮ἀ嘆ɶ_x005f_x0000_᠀㬁_x005f_x0000_2"/>
      <sheetName val="__x005f_x0000__x005f_x001b__x005f_x0000__x005f_x0006__3"/>
      <sheetName val="내역서_耰&quot;_x005f_x005f_x005f_x0000__x00006"/>
      <sheetName val="내역서_(N__x005f_x000e__x005f_x000e__x005f_x000e___2"/>
      <sheetName val="내역서_(N____x005f_x000a_5"/>
      <sheetName val="Bangunan_Utama2"/>
      <sheetName val="Hrg_Sat2"/>
      <sheetName val="BILL_12"/>
      <sheetName val="Step2_-&gt;_Mat__Cost2"/>
      <sheetName val="Team_3_S-Curve2"/>
      <sheetName val="Rekap_Addendum3"/>
      <sheetName val="AT_23"/>
      <sheetName val="Section_13"/>
      <sheetName val="MH_and_Unit_Cost2"/>
      <sheetName val="Material_Cost(as_per_Nation)2"/>
      <sheetName val="Materials_1"/>
      <sheetName val="Rekap_Analisa2"/>
      <sheetName val="ANALISA_PEK_UMUM2"/>
      <sheetName val="IN_OUT2"/>
      <sheetName val="내역서_ᢐ_x005f_x001f_2"/>
      <sheetName val="내역서_ᢐ_x005f_x001f__x005f_x0000__x005f_x0000_2"/>
      <sheetName val="Sat_Bah___Up2"/>
      <sheetName val="DATA_PROYEK2"/>
      <sheetName val="rab_me_(by_owner)_2"/>
      <sheetName val="BQ_(by_owner)2"/>
      <sheetName val="rab_me_(fisik)2"/>
      <sheetName val="LIST_ANHARSAT2"/>
      <sheetName val="BQ_Working2"/>
      <sheetName val="P__control2"/>
      <sheetName val="Costing_Detailed2"/>
      <sheetName val="Basic_Data_Inputs2"/>
      <sheetName val="Star_Rate2"/>
      <sheetName val="LV_induction_2"/>
      <sheetName val="TEMP_PROFILE2"/>
      <sheetName val="_선택_속성(잠금)2"/>
      <sheetName val="Drop-down_lists2"/>
      <sheetName val="9011_EXPAT_MANP2"/>
      <sheetName val="App_A_Basis_of_Design2"/>
      <sheetName val="renc_mgn2"/>
      <sheetName val="BQ_Summary2"/>
      <sheetName val="Dinh_muc_CP_KTCB_khac2"/>
      <sheetName val="TH_May_TC2"/>
      <sheetName val="KLDT_DIEN2"/>
      <sheetName val="PTVT_DIEN2"/>
      <sheetName val="TH_kinh_phi2"/>
      <sheetName val="Thong_ke_thiet_bi2"/>
      <sheetName val="TH_vat_tu2"/>
      <sheetName val="A_SIS2"/>
      <sheetName val="gia_vt2"/>
      <sheetName val="1_BILL_MOI_THAU_CAN_THUONG2"/>
      <sheetName val="PHAN_NGAM2"/>
      <sheetName val="tabel_berat2"/>
      <sheetName val="Process_Piping2"/>
      <sheetName val="MR_EUR2"/>
      <sheetName val="Ind__Budget2"/>
      <sheetName val="내역서_耰&quot;_x005f_x0000__x005f_x005f_x00002"/>
      <sheetName val="Daily_Photo2"/>
      <sheetName val="Manpower_Status2"/>
      <sheetName val="ENQ222394AL_NASR_Steel_Report1"/>
      <sheetName val="uraian_analisa2"/>
      <sheetName val="8LT_122"/>
      <sheetName val="Basic_Price2"/>
      <sheetName val="집계표(2_안)2"/>
      <sheetName val="Dynamic_Query1"/>
      <sheetName val="cost_curve_calc2"/>
      <sheetName val="1_0_Criteria_New1"/>
      <sheetName val="SEK_Vertrieb2"/>
      <sheetName val="SEK_Montage2"/>
      <sheetName val="SEK_IBN2"/>
      <sheetName val="VS_P-Q2"/>
      <sheetName val="建筑定额_(2002)2"/>
      <sheetName val="ADI_Edison_Termoelettrica2"/>
      <sheetName val="Daily_Forwards2"/>
      <sheetName val="Harga_material_12"/>
      <sheetName val="Peralatan_(2)2"/>
      <sheetName val="İnsan_Gücü1"/>
      <sheetName val="LV_induction_mot2"/>
      <sheetName val="RINC_hotel1"/>
      <sheetName val="RINC_FIN_T4_1"/>
      <sheetName val="RINC_FIN_T4___3_1"/>
      <sheetName val="RINC_FIN_T4___2_1"/>
      <sheetName val="КС2_24_1-8_(4_1_8_11_200)corr2"/>
      <sheetName val="Project_Grading1"/>
      <sheetName val="Fire_Fighting1"/>
      <sheetName val="HARGA_DASAR1"/>
      <sheetName val="KR2&amp;KVCM(MAR_1-6'99)1"/>
      <sheetName val="ANALISA_KONST_BTN1"/>
      <sheetName val="Page_22"/>
      <sheetName val="Bilanz_Bus_plan_20021"/>
      <sheetName val="Mei_LD1"/>
      <sheetName val="Data_Input1"/>
      <sheetName val="Project_budget_BTS1"/>
      <sheetName val="Well_Plan_11"/>
      <sheetName val="ANL_TEK_61"/>
      <sheetName val="HM_MEK_1"/>
      <sheetName val="PAD_TR보호대기초1"/>
      <sheetName val="Bill_of_Qty1"/>
      <sheetName val="ALAT2_(TDK_DIPAKAI)1"/>
      <sheetName val="Fill_this_out_first___1"/>
      <sheetName val="Z-_GENERAL_PRIC橿⿂1"/>
      <sheetName val="Z-_GENERAL_PRIC鋘@俀~橿⿂1"/>
      <sheetName val="Z-_GENERAL_PRIC1"/>
      <sheetName val="TH_VL,_NC,_DDHT_Thanhphuoc1"/>
      <sheetName val="报价说明_(3)1"/>
      <sheetName val="报价说明_(4)1"/>
      <sheetName val="2_履约阶段供应链管理计划1"/>
      <sheetName val="sis_xlm1"/>
      <sheetName val="spot_prices1"/>
      <sheetName val="Forma_E-171"/>
      <sheetName val="1999_BUDGET1"/>
      <sheetName val="M_MM1"/>
      <sheetName val="JIB CRANE,HOIST"/>
      <sheetName val="2002년_현장공사비_국내_ꠀꌕ⠃"/>
      <sheetName val="실행예산_MM_x0019_2"/>
      <sheetName val="ITB_COST13볷檼謀谁臛픉_x0016_"/>
      <sheetName val="배製㤁"/>
      <sheetName val="011C101"/>
      <sheetName val="15.2 - HVAC Works"/>
      <sheetName val="Sheet233"/>
      <sheetName val="Sheet229"/>
      <sheetName val="[SANDAN.XLS€??"/>
      <sheetName val="Mix Design"/>
      <sheetName val="업무처리전"/>
      <sheetName val="用水量"/>
      <sheetName val="입상내역"/>
      <sheetName val="L V Separator"/>
      <sheetName val="SITE DEV,T"/>
      <sheetName val="Change_Order_Log"/>
      <sheetName val="Bored_Pile"/>
      <sheetName val="03-13_Anticipated"/>
      <sheetName val="03-13_Approved"/>
      <sheetName val="Change_Order_Log1"/>
      <sheetName val="수량집계표"/>
      <sheetName val="MIJIBI"/>
      <sheetName val="unit_weight"/>
      <sheetName val="1)_COMMON_FACILITIES1"/>
      <sheetName val="ES-aLL"/>
      <sheetName val="HASAT"/>
      <sheetName val="Unit Price Analysis"/>
      <sheetName val="Piping_BQ_fMrZone_turbine7"/>
      <sheetName val="3_Breakdown_Direct_Saent9"/>
      <sheetName val="ocean_voyage"/>
      <sheetName val="anal_rab"/>
      <sheetName val="Pivot_Table"/>
      <sheetName val="일위대가-1"/>
      <sheetName val="old BREADKOWN"/>
      <sheetName val="Blk A"/>
      <sheetName val="경비"/>
      <sheetName val="지질조사분석"/>
      <sheetName val="Bill 2K"/>
      <sheetName val="ESTRECAP"/>
      <sheetName val="PDA2"/>
      <sheetName val="ExSum"/>
      <sheetName val="방배2E"/>
      <sheetName val="CONSTANT"/>
      <sheetName val="form"/>
      <sheetName val="CHECKLIST"/>
      <sheetName val="Angkatan Mewah"/>
      <sheetName val="March"/>
      <sheetName val="FOL - Bar"/>
      <sheetName val="7.조직표 (수정)"/>
      <sheetName val="TCS"/>
      <sheetName val="#REF!"/>
      <sheetName val="원가계산서구조조정"/>
      <sheetName val="토적표"/>
      <sheetName val="Gas_Specific_Gravities_and_GHV"/>
      <sheetName val="Issue_Log_"/>
      <sheetName val="Material_Groups"/>
      <sheetName val="Material_Kind"/>
      <sheetName val="P_M_별"/>
      <sheetName val="내역서_(CIVI鷘ș痰"/>
      <sheetName val="내역서_(CIVI痰ā㨬Õ"/>
      <sheetName val="내역서_(CIVI"/>
      <sheetName val="내역서_(∮ἀ嘆ɶ᠀㬁4"/>
      <sheetName val="사업부배부A"/>
      <sheetName val="S. Détail Matériel"/>
      <sheetName val="SUMMARY_MTO_02_2_357"/>
      <sheetName val="N_G_METERING_CALC_7"/>
      <sheetName val="N_G_METERING7"/>
      <sheetName val="N_G_METERING_(2)7"/>
      <sheetName val="CUMENE_METERING7"/>
      <sheetName val="N2_METERING_7"/>
      <sheetName val="H2_METERING__7"/>
      <sheetName val="CO_METERING7"/>
      <sheetName val="SPT_vs_PHI7"/>
      <sheetName val="1_자금요약7"/>
      <sheetName val="2_실행비투입7"/>
      <sheetName val="3_본사집계7"/>
      <sheetName val="3-1_본사투입7"/>
      <sheetName val="4_지사집계7"/>
      <sheetName val="4-1_지사투입7"/>
      <sheetName val="5_현장총집계7"/>
      <sheetName val="5-1_현금집계7"/>
      <sheetName val="5-2_현금출납7"/>
      <sheetName val="5-3_외상집계7"/>
      <sheetName val="5-4_외상투입7"/>
      <sheetName val="6_미지급금7"/>
      <sheetName val="5-5_기타공제집계7"/>
      <sheetName val="5-6_기타공제7"/>
      <sheetName val="7_기성현황(실)7"/>
      <sheetName val="8_한국인수당7"/>
      <sheetName val="8_한국인수당_(Master_file)7"/>
      <sheetName val="9_기타수입7"/>
      <sheetName val="10_투입집계7"/>
      <sheetName val="5-4_외상투입_(2)7"/>
      <sheetName val="16_기성현황(예)7"/>
      <sheetName val="17_자금요약27"/>
      <sheetName val="18_실행대비투입27"/>
      <sheetName val="Payment_Certificate-17"/>
      <sheetName val="Floor_wet7"/>
      <sheetName val="Floor_Balcony7"/>
      <sheetName val="Hard_scape_Floor7"/>
      <sheetName val="P03_Skirting7"/>
      <sheetName val="GF_wall7"/>
      <sheetName val="Kitchen_Wall_wet_LIN-7017"/>
      <sheetName val="Wall_wet_LIN-601_7"/>
      <sheetName val="BOQ_(2)7"/>
      <sheetName val="VO_Schedule-17"/>
      <sheetName val="HOLD_AMOUNT7"/>
      <sheetName val="Back_Charge_(2)7"/>
      <sheetName val="Temporary_Deductions-1_7"/>
      <sheetName val="Contracharges_Check_list-1_7"/>
      <sheetName val="PC_037"/>
      <sheetName val="Measurement_sheet7"/>
      <sheetName val="Material_Only7"/>
      <sheetName val="Man_power_supply7"/>
      <sheetName val="Camp_Deduction7"/>
      <sheetName val="Enron_Form7"/>
      <sheetName val="IRR_sponsor7"/>
      <sheetName val="Consortium_VP7"/>
      <sheetName val="Summary_MONTH7"/>
      <sheetName val="DESICON_SUM7"/>
      <sheetName val="DES_TCF_Rental7"/>
      <sheetName val="DES_TCF_Maints_pers7"/>
      <sheetName val="DES_TCF_Heavy_Equipment7"/>
      <sheetName val="BANK_BOND7"/>
      <sheetName val="PHC_WAREHOUSE_-_INFOONLY7"/>
      <sheetName val="CATERING_CONTROL7"/>
      <sheetName val="SUB_CONTRACT7"/>
      <sheetName val="SPDC_-_INFONLY7"/>
      <sheetName val="VENDOR_SCHEDUL7"/>
      <sheetName val="VENDOR_PRESENCE_-_COMM7"/>
      <sheetName val="VENDOR_PRESENCE_-_RECH7"/>
      <sheetName val="VENDOR_PRESENCE_-_COMM_7"/>
      <sheetName val="CONTRACT_RATES7"/>
      <sheetName val="Sch_67"/>
      <sheetName val="2013电气概算_价目表_(营改增调整)7"/>
      <sheetName val="List_Equip7"/>
      <sheetName val="Process_C_(1-166)7"/>
      <sheetName val="TRUCK_HAUL_CYCLE-waste7"/>
      <sheetName val="Existing_PC_Pavement7"/>
      <sheetName val="Master_Data7"/>
      <sheetName val="ind'l_cp7"/>
      <sheetName val="LAST_UPDATE7"/>
      <sheetName val="0_품의서(전체)7"/>
      <sheetName val="Other_data7"/>
      <sheetName val="p_mgmt1"/>
      <sheetName val="Dati_base1"/>
      <sheetName val="Asset_Mansys_Sum1"/>
      <sheetName val="Job_List_(2)1"/>
      <sheetName val="Constn_&amp;_Install_-_LEV_41"/>
      <sheetName val="LEV_4_Project_Managem1"/>
      <sheetName val="Site_Management1"/>
      <sheetName val="Manhrs_Sum1"/>
      <sheetName val="BG_Working_Sheet1"/>
      <sheetName val="Batam_Forecast3"/>
      <sheetName val="Batam_Forecast_jun3"/>
      <sheetName val="Fabrication_Summary3"/>
      <sheetName val="D6978_Mar_21_-_FProj073"/>
      <sheetName val="GEAC_-_Dec193"/>
      <sheetName val="State_List1"/>
      <sheetName val="COS_REP_XLS1"/>
      <sheetName val="DIV_91"/>
      <sheetName val="LOKASI_RIG_Litbang1"/>
      <sheetName val="struktur_tdk_dipakai1"/>
      <sheetName val="upah_bahan1"/>
      <sheetName val="AnalisaSIPIL_RIIL1"/>
      <sheetName val="Har_Sat1"/>
      <sheetName val="Rek_Analisa1"/>
      <sheetName val="HRG_BAHAN_&amp;_UPAH_okk1"/>
      <sheetName val="TS_MINGGUAN_rev_(2)1"/>
      <sheetName val="DAF_ALAT1"/>
      <sheetName val="Perhitungan_RAB1"/>
      <sheetName val="INPUT_DATAS1"/>
      <sheetName val="ABK_04_AWALR+CO+TAB_RUPS1"/>
      <sheetName val="9_58&quot;_single1"/>
      <sheetName val="A-11_Steel_Str1"/>
      <sheetName val="A-03_Pile1"/>
      <sheetName val="CONS_1"/>
      <sheetName val="Country_(kVA-Hz_)1"/>
      <sheetName val="Vind_-鴃宼蠀1"/>
      <sheetName val="1_집계표(일반전기)1"/>
      <sheetName val="2_집계표(선행공사)1"/>
      <sheetName val="3_집계표(소방공사)1"/>
      <sheetName val="CABLE_TRAY1"/>
      <sheetName val="아파트_기성내역서1"/>
      <sheetName val="HaulingLine_hardware1"/>
      <sheetName val="S_Curve1"/>
      <sheetName val="Branch_Power1"/>
      <sheetName val="C__letter_3rd_QT1"/>
      <sheetName val="cespiti_cet2_piombino_(2)1"/>
      <sheetName val="建筑工程统计表06月份_1"/>
      <sheetName val="내역서_耰&quot;15"/>
      <sheetName val="Precios_Unitariԯ7"/>
      <sheetName val="sch_1_21"/>
      <sheetName val="B_10_(4)1"/>
      <sheetName val="Rev_1"/>
      <sheetName val="Sheet1_(4)1"/>
      <sheetName val="내역서_(N____31"/>
      <sheetName val="내역서_(N____41"/>
      <sheetName val="내역서_(N____51"/>
      <sheetName val="?_????_?"/>
      <sheetName val="Weekl??_?"/>
      <sheetName val="?_?_x0"/>
      <sheetName val="_??_x0"/>
      <sheetName val="OPT??_?"/>
      <sheetName val="내역서_(N____61"/>
      <sheetName val="내역서_(N____71"/>
      <sheetName val="내역서_(N____81"/>
      <sheetName val="내역서_耰&quot;_x000010"/>
      <sheetName val="PROG_"/>
      <sheetName val="WITHOUT_C&amp;I_PROFIT_(3)1"/>
      <sheetName val="2__Steel_Structural"/>
      <sheetName val="Unit_of_Measurement_"/>
      <sheetName val="Calc_Sheet"/>
      <sheetName val="H__Dasar"/>
      <sheetName val="HRG_BH"/>
      <sheetName val="CHITIET_VL-NC-TT_-1p"/>
      <sheetName val="TONG_HOP_VL-NC"/>
      <sheetName val="TONGKE3p_"/>
      <sheetName val="DON_GIA"/>
      <sheetName val="t-h_HA_THE"/>
      <sheetName val="THPDMoi__(2)"/>
      <sheetName val="TONG_HOP_VL-NC_TT"/>
      <sheetName val="TH_XL"/>
      <sheetName val="CHITIET_VL-NC"/>
      <sheetName val="HARGA_SAT"/>
      <sheetName val="DIV_32"/>
      <sheetName val="Unit_Rate"/>
      <sheetName val="D-3_(M)"/>
      <sheetName val="D-7_(M)"/>
      <sheetName val="01A-_RAB"/>
      <sheetName val="Cycle_Time"/>
      <sheetName val="rekap_harga_satuan_pek"/>
      <sheetName val="rab_j17"/>
      <sheetName val="첨부2__물량소화계획_상세"/>
      <sheetName val="Breakdown_Instrument"/>
      <sheetName val="Hujan_BUlanan"/>
      <sheetName val="Deliverable_list"/>
      <sheetName val="member_design"/>
      <sheetName val="Data_basic_price_jgan_diprint"/>
      <sheetName val="Sewa_Alat"/>
      <sheetName val="BQ_ARS"/>
      <sheetName val="DAFTAR_ISI"/>
      <sheetName val="DAFTAR_TBL___FORM"/>
      <sheetName val="Harga_ME_"/>
      <sheetName val="Form_4___4_A"/>
      <sheetName val="T-3_2_UP_Material"/>
      <sheetName val="Analisa_STR"/>
      <sheetName val="anal_alat"/>
      <sheetName val="Daf_1"/>
      <sheetName val="Data_SRL"/>
      <sheetName val="Data_Prod_Graf"/>
      <sheetName val="RAB_J18_"/>
      <sheetName val="HARGA_J18"/>
      <sheetName val="analisa_J18"/>
      <sheetName val="Cash_Out_Table"/>
      <sheetName val="Net_Cash_Table"/>
      <sheetName val="Basic_Rate1"/>
      <sheetName val="앉음벽_(2)"/>
      <sheetName val="5_새들부해석_및_철근배근"/>
      <sheetName val="Executive_Summary_(Aug_25)"/>
      <sheetName val="5_세운W-A"/>
      <sheetName val="Rek_An"/>
      <sheetName val="Rencana_Anggaran_Biaya"/>
      <sheetName val="BCC_CABLE_DATA"/>
      <sheetName val="FJR_CABLE_DATA"/>
      <sheetName val="JRT_CABLE_DATA"/>
      <sheetName val="PD_CABLE_DATA_"/>
      <sheetName val="TBA_CABLE_DATA"/>
      <sheetName val="TY_CABLE_DATA"/>
      <sheetName val="5a__Code_E"/>
      <sheetName val="PUNCH_DESCRIPTION"/>
      <sheetName val="GENDATA_Sht_1"/>
      <sheetName val="RELACION_COSTE"/>
      <sheetName val="Sheet"/>
      <sheetName val="New_Rates"/>
      <sheetName val="OOC_Form"/>
      <sheetName val="Fee_Rate_Summary"/>
      <sheetName val="Committed_Cost"/>
      <sheetName val="Div26_-_Elect"/>
      <sheetName val="Cut_to_spoil_(sound_rock)"/>
      <sheetName val="Cut_to_spoil_(soft_rock)"/>
      <sheetName val="Extra_over_haulages__"/>
      <sheetName val="Fill_from_borrow"/>
      <sheetName val="Milling_10_6_TO_58"/>
      <sheetName val="Removal_Top_Soil"/>
      <sheetName val="Removal_unsuitable"/>
      <sheetName val="Site_clearance"/>
      <sheetName val="Data_Sheet1"/>
      <sheetName val="@risk_rents_and_incentives"/>
      <sheetName val="Car_park_lease"/>
      <sheetName val="Net_rent_analysis"/>
      <sheetName val="cost_project"/>
      <sheetName val="co-no_2"/>
      <sheetName val="Labor_abs-NMR"/>
      <sheetName val="Malaysia_incl__RET"/>
      <sheetName val="GM_&amp;_TA"/>
      <sheetName val="Zone_1"/>
      <sheetName val="Zone_2"/>
      <sheetName val="Zone_3"/>
      <sheetName val="Zone_4"/>
      <sheetName val="Zone_5"/>
      <sheetName val="0__Index"/>
      <sheetName val="Issue_Detail_(2nd_Stage)"/>
      <sheetName val="환경기계공정표_(3)"/>
      <sheetName val="Project_Information_In-Out"/>
      <sheetName val="Cause_Categories"/>
      <sheetName val="3__PE_Unit_"/>
      <sheetName val="FPF-Unit_Rates"/>
      <sheetName val="PNT-Unit_Rates"/>
      <sheetName val="1_间接人工费"/>
      <sheetName val="Chart_Data"/>
      <sheetName val="S&amp;M_Opex"/>
      <sheetName val="Man__Sum_"/>
      <sheetName val="unit_mh_study"/>
      <sheetName val="Offer_Sum_"/>
      <sheetName val="Indirect_Pers_"/>
      <sheetName val="endirek_ad-sa"/>
      <sheetName val="Support_Pers_"/>
      <sheetName val="Indirect_Pers__Assumptions"/>
      <sheetName val="ind__cost_of_direct"/>
      <sheetName val="Net_Salary_of_a_Direct"/>
      <sheetName val="Direct_Cost_Sum_"/>
      <sheetName val="Water_Cons_"/>
      <sheetName val="Ind_Sale"/>
      <sheetName val="GWP3_Outfitting_Works_Indirect_"/>
      <sheetName val="19__drill_CD6"/>
      <sheetName val="Named_Range"/>
      <sheetName val="Floor_Level"/>
      <sheetName val="MASTER_AR"/>
      <sheetName val="8&gt;한국인수당_(Master_file)"/>
      <sheetName val="Ca_máy"/>
      <sheetName val="Cước_VC_+_ĐM_CP_Tư_vấn"/>
      <sheetName val="Dự_toán"/>
      <sheetName val="Đơn_Giá_TH"/>
      <sheetName val="Nhân_công"/>
      <sheetName val="Phân_tích"/>
      <sheetName val="Hệ_số"/>
      <sheetName val="C_P_Thiết_bị"/>
      <sheetName val="T_H_Kinh_phí"/>
      <sheetName val="Vật_tư"/>
      <sheetName val="Trang_bìa"/>
      <sheetName val="TWO_PASS"/>
      <sheetName val="THREE_PASS"/>
      <sheetName val="D_Base"/>
      <sheetName val="STEP1_a-JUL03"/>
      <sheetName val="Equip_COA_Sumry"/>
      <sheetName val="Rekap_Bill"/>
      <sheetName val="Jdw_Alat"/>
      <sheetName val="S_Penawar"/>
      <sheetName val="Analis_harga"/>
      <sheetName val="Sat_Bah_&amp;_Up"/>
      <sheetName val="_PE-F-42_MR_9_Manpower"/>
      <sheetName val="TABEL_BAJA"/>
      <sheetName val="Analis_Kusen_okk"/>
      <sheetName val="Item_Kompensasi"/>
      <sheetName val="rekap_str+ars"/>
      <sheetName val="TOWER_12TON"/>
      <sheetName val="TOWER_10TON"/>
      <sheetName val="내역서_耰&quot;_x005f_x005f_x005f_x005F_x005f_x0000_1"/>
      <sheetName val="내역서_耰&quot;_x005f_x005f_x005f_x005F_x005f_x005f_1"/>
      <sheetName val="내역서_耰&quot;?_x00004"/>
      <sheetName val="_??_x"/>
      <sheetName val="내역서_ᢐ??"/>
      <sheetName val="_??_x1"/>
      <sheetName val="Weekl?_x000"/>
      <sheetName val="Precios_Unitariԯ?"/>
      <sheetName val="OPT??"/>
      <sheetName val="내역서_耰&quot;?3"/>
      <sheetName val="?"/>
      <sheetName val="AP_'S_ANALYSIS"/>
      <sheetName val="23_FILTH_"/>
      <sheetName val="02_01E_coli"/>
      <sheetName val="_anal_hrg_sat"/>
      <sheetName val="RAB_KapukII"/>
      <sheetName val="BOKOR_TOPSIDE_LS_3_17M480R"/>
      <sheetName val="Riesgos_y_Oportunidades"/>
      <sheetName val="Cover_(sh_1)"/>
      <sheetName val="Control_Panel"/>
      <sheetName val="using_rjs409_progress_data"/>
      <sheetName val="Summary_F-217_R6"/>
      <sheetName val="BEU_btm_nozz_@_tsht"/>
      <sheetName val="Cover_Sheet"/>
      <sheetName val="SI_No_25"/>
      <sheetName val="Additional_Work"/>
      <sheetName val="D_-12"/>
      <sheetName val="A_H_S_P"/>
      <sheetName val="Harga_Bahan"/>
      <sheetName val="HSA_&amp;_PAB"/>
      <sheetName val="Format_Report-for_analysis_only"/>
      <sheetName val="Rekap_BQ-Pompong"/>
      <sheetName val="Page_2api"/>
      <sheetName val="1_Unit_Price"/>
      <sheetName val="Absen_4"/>
      <sheetName val="Evaluasi_Teknis__B_"/>
      <sheetName val="Koreksi_Aritmatika"/>
      <sheetName val="Range_HPS"/>
      <sheetName val="SS_MH"/>
      <sheetName val="2__x000a_"/>
      <sheetName val="Grand_summary_Lot#1"/>
      <sheetName val="Part1_Preliminaries_&amp;_General"/>
      <sheetName val="Part2_Wastewater_System"/>
      <sheetName val="Part3_Stormwater_Drainage_Syste"/>
      <sheetName val="Part4_Dayworks"/>
      <sheetName val="Part5_O&amp;M_Equipment"/>
      <sheetName val="Part6_Training"/>
      <sheetName val="p17_POP_2"/>
      <sheetName val="p16_POP_1"/>
      <sheetName val="p14_cooling_mp_2"/>
      <sheetName val="p15_cooling_mp_3"/>
      <sheetName val="Xuly_Data"/>
      <sheetName val="MTO_18_Jul07&amp;19Nov08"/>
      <sheetName val="REC. SALV."/>
      <sheetName val="WORK INDEX"/>
      <sheetName val="Part 3-Cladding"/>
      <sheetName val="MOS"/>
      <sheetName val="S-CURVE_OLD"/>
      <sheetName val="WTPLN_Rev A"/>
      <sheetName val="ค่าขนส่ง"/>
      <sheetName val="nHDD"/>
      <sheetName val="ค่าขนส่ง(6ล้อ)"/>
      <sheetName val="ค่าขนส่ง(พ่วง)"/>
      <sheetName val="Mat_Source"/>
      <sheetName val="Form1"/>
      <sheetName val="ได้ราคาคอนกรีต-เหล็กเสริม"/>
      <sheetName val="Form3"/>
      <sheetName val="ได้งานตีเส้น"/>
      <sheetName val="ข้อมูลวัสดุและค่าดำเนินการ"/>
      <sheetName val="concrete&amp;งานไม้แบบ"/>
      <sheetName val="ราคาวัสดุ"/>
      <sheetName val="_x005f_x005f_x005f_x005f_x005f_x005f_x00Ȋ"/>
      <sheetName val="Lookup Table"/>
      <sheetName val="D 5243-ARAMCO"/>
      <sheetName val="D-4801 OXY"/>
      <sheetName val="ctTBA"/>
      <sheetName val="1.FACTORY"/>
      <sheetName val="C1"/>
      <sheetName val="C2"/>
      <sheetName val="Phiếu YCNT-CVXD"/>
      <sheetName val="T12"/>
      <sheetName val="T22"/>
      <sheetName val="QT2"/>
      <sheetName val="KC52"/>
      <sheetName val="BW"/>
      <sheetName val="PW"/>
      <sheetName val="LINTER"/>
      <sheetName val="BT LINTER"/>
      <sheetName val="LAN CAN"/>
      <sheetName val="TRẦN THẠCH CAO"/>
      <sheetName val="SƠN TRONG NHÀ"/>
      <sheetName val="SƠN NGOÀI NHÀ"/>
      <sheetName val="CỬA THÉP"/>
      <sheetName val="SƠN EPOXY"/>
      <sheetName val="TĂNG CỨNG NỀN"/>
      <sheetName val="CỐNG THOÁT NƯỚC"/>
      <sheetName val="BIỂN HIỆU"/>
      <sheetName val="NẮP GANG"/>
      <sheetName val="RO"/>
      <sheetName val="MA"/>
      <sheetName val="VL"/>
      <sheetName val="OTH"/>
      <sheetName val="WT"/>
      <sheetName val="SL"/>
      <sheetName val="KC82"/>
      <sheetName val="BBNT-Đ"/>
      <sheetName val="BBNT-C"/>
      <sheetName val="BBLM- Cọc"/>
      <sheetName val="BBNT-F"/>
      <sheetName val="NTCV- C"/>
      <sheetName val="BBNT-L"/>
      <sheetName val="BBNT-T"/>
      <sheetName val="VL13"/>
      <sheetName val="tblTHK"/>
      <sheetName val="쬏+쫶&amp;쫹AN.XLS]______x005f_x001f__x000_4"/>
      <sheetName val="쬏+쫶&amp;쫹AN.XLS]______x005f_x001f__x000_2"/>
      <sheetName val="쬏+쫶&amp;쫹AN.XLS]______x005f_x001f__x000_3"/>
      <sheetName val="GL"/>
      <sheetName val="구의33고"/>
      <sheetName val="HSDM"/>
      <sheetName val="MAPDC"/>
      <sheetName val="RPP-6"/>
      <sheetName val="Hsatuan-OK"/>
      <sheetName val="NAMES"/>
      <sheetName val="DaftarHarga"/>
      <sheetName val="Monitor"/>
      <sheetName val="BHN-ALAT"/>
      <sheetName val="bhn-upah"/>
      <sheetName val="MAP2"/>
      <sheetName val="anal-mpu"/>
      <sheetName val="ADD"/>
      <sheetName val="ANALISA "/>
      <sheetName val="Metode"/>
      <sheetName val="ANALISA railing"/>
      <sheetName val="BELAGIO"/>
      <sheetName val="ARTAGDING"/>
      <sheetName val="POMALA"/>
      <sheetName val="SEMANAN"/>
      <sheetName val="BKPM"/>
      <sheetName val="차액보증"/>
      <sheetName val="Rot-Pack"/>
      <sheetName val="STEP"/>
      <sheetName val="공정회의자료(월요일 10시까지)"/>
      <sheetName val="Divisi Operasi"/>
      <sheetName val="Divisi Produksi &amp; Distribusi"/>
      <sheetName val="HARGA ALAT"/>
      <sheetName val="BOQ INTERN"/>
      <sheetName val="BL"/>
      <sheetName val="hsat-SD"/>
      <sheetName val="an-satuan"/>
      <sheetName val="Rekap-SD"/>
      <sheetName val="BOQ EXTERN"/>
      <sheetName val="skets"/>
      <sheetName val="Sumber Daya"/>
      <sheetName val="AVP"/>
      <sheetName val="DCF"/>
      <sheetName val="Estimates"/>
      <sheetName val="Valuation Summary"/>
      <sheetName val="Ownership"/>
      <sheetName val="Shares Traded"/>
      <sheetName val="Public &amp; Private Valuation"/>
      <sheetName val="Momentum"/>
      <sheetName val="rap rinci"/>
      <sheetName val="11421"/>
      <sheetName val="ArusKas"/>
      <sheetName val="CIMB IDR"/>
      <sheetName val="REKAP A BESAR"/>
      <sheetName val="Bunga"/>
      <sheetName val="RAB_DURI"/>
      <sheetName val="Mark-up"/>
      <sheetName val="Alat &amp; Bahan"/>
      <sheetName val="CONSUMABLE"/>
      <sheetName val="______"/>
      <sheetName val="_____x005f_x0000__2"/>
      <sheetName val="_______x000_2"/>
      <sheetName val="내역서_耰&quot;_x005f_x0000__x0011"/>
      <sheetName val="내역서_耰&quot;_x005f_x005f_x00011"/>
      <sheetName val="내역서_耰&quot;_x005f_x005f_x00511"/>
      <sheetName val="내역서_耰&quot;_x005f_x0000__x0012"/>
      <sheetName val="내역서_耰&quot;_x005f_x005f_x00012"/>
      <sheetName val="내역서_耰&quot;_x005f_x005f_x00512"/>
      <sheetName val="내역서_耰&quot;_x005f_x0000__x0013"/>
      <sheetName val="내역서_耰&quot;_x005f_x005f_x00013"/>
      <sheetName val="내역서_耰&quot;_x005f_x005f_x00513"/>
      <sheetName val="내역서_耰&quot;_x005f_x0000__x0014"/>
      <sheetName val="내역서_耰&quot;_x005f_x005f_x00014"/>
      <sheetName val="내역서_耰&quot;_x005f_x005f_x00514"/>
      <sheetName val="내역서_(N__x000e__x000e__x000e____"/>
      <sheetName val="내역서_ᢐ_x001f_"/>
      <sheetName val="砂石料"/>
      <sheetName val="장비명"/>
      <sheetName val="JER3"/>
      <sheetName val="화전내"/>
      <sheetName val="드롭"/>
      <sheetName val="데구"/>
      <sheetName val="U-TYPE(1)"/>
      <sheetName val="VST재료산출"/>
      <sheetName val="인원_x0008_"/>
      <sheetName val="gd_02"/>
      <sheetName val="jj"/>
      <sheetName val="表四"/>
      <sheetName val="表一丙"/>
      <sheetName val="土建b2"/>
      <sheetName val="建筑b2"/>
      <sheetName val="补给水"/>
      <sheetName val="厂外单项土方"/>
      <sheetName val="厂外单项临时"/>
      <sheetName val="地基处理"/>
      <sheetName val="表4"/>
      <sheetName val="燃料"/>
      <sheetName val="水质净化"/>
      <sheetName val="热力系统"/>
      <sheetName val="Tbl 1y 4"/>
      <sheetName val="表二"/>
      <sheetName val="cash budget"/>
      <sheetName val="PLAGCoct03"/>
      <sheetName val="单价"/>
      <sheetName val="综合预算价格"/>
      <sheetName val="2001概算定额"/>
      <sheetName val="예산작성기준(전기)"/>
      <sheetName val="LIMA-CANTA"/>
      <sheetName val="집계표(실적)"/>
      <sheetName val="⑤-1. 기계"/>
      <sheetName val="L01 Actual Cashflow  Rev 3"/>
      <sheetName val="Material List "/>
      <sheetName val="REQ_REMARKS"/>
      <sheetName val="Project data"/>
      <sheetName val="Customize Your Invoice"/>
      <sheetName val="Parking B"/>
      <sheetName val="Progress %"/>
      <sheetName val="UC"/>
      <sheetName val="pricing"/>
      <sheetName val="Dir-Conc "/>
      <sheetName val="OPTION_221"/>
      <sheetName val="OPTION_321"/>
      <sheetName val="KUWATI(Total)_21"/>
      <sheetName val="집계표_(TOTAL)21"/>
      <sheetName val="집계표_(CIVIL-23)21"/>
      <sheetName val="집계표_(FGRU)21"/>
      <sheetName val="집계표_(25,26)21"/>
      <sheetName val="집계표_(MEROX)21"/>
      <sheetName val="집계표_(NITROGEN)21"/>
      <sheetName val="집계표_(M4)21"/>
      <sheetName val="집계표_(CIVIL4)21"/>
      <sheetName val="집계표_(CIVIL6)21"/>
      <sheetName val="집계표_(CIVIL7)21"/>
      <sheetName val="내역서(DEMO_TOTAL)21"/>
      <sheetName val="내역서_(CIVIL-23)21"/>
      <sheetName val="내역서_(fgru)21"/>
      <sheetName val="내역서_(25&amp;26)21"/>
      <sheetName val="내역서_(MEROX)21"/>
      <sheetName val="내역서_(NITROGEN)21"/>
      <sheetName val="내역서_(M4)21"/>
      <sheetName val="내역서_(CIVIL-4)21"/>
      <sheetName val="내역서_(CIVIL-6)21"/>
      <sheetName val="내역서_(CIVIL-7)21"/>
      <sheetName val="2002년_현장공사비_국내_실적21"/>
      <sheetName val="2003년국내현장공사비_실적21"/>
      <sheetName val="VC2_10_9921"/>
      <sheetName val="집계표_(25,26ဩ20"/>
      <sheetName val="INPUT_DATA20"/>
      <sheetName val="Form_020"/>
      <sheetName val="General_Data20"/>
      <sheetName val="Form_D-119"/>
      <sheetName val="Form_B-119"/>
      <sheetName val="Form_F-119"/>
      <sheetName val="Form_A19"/>
      <sheetName val="LABOR_&amp;_자재19"/>
      <sheetName val="입출재고현황_(2)19"/>
      <sheetName val="WEIGHT_LIST18"/>
      <sheetName val="산#2-1_(2)18"/>
      <sheetName val="BEND_LOSS18"/>
      <sheetName val="단면_(2)18"/>
      <sheetName val="3_공통공사대비19"/>
      <sheetName val="간접비_총괄19"/>
      <sheetName val="Price_Schedule19"/>
      <sheetName val="CAL_19"/>
      <sheetName val="Rate_Analysis19"/>
      <sheetName val="EQUIPMENT_-219"/>
      <sheetName val="내역서_耰&quot;??19"/>
      <sheetName val="공사비_내역_(가)18"/>
      <sheetName val="6PILE__(돌출)18"/>
      <sheetName val="Static_Equip18"/>
      <sheetName val="Form_A_18"/>
      <sheetName val="내역서_耰&quot;_x005f_x0000__x005f_x0000_18"/>
      <sheetName val="3_Breakdown_Direct_Paint18"/>
      <sheetName val="내역서_耰&quot;__19"/>
      <sheetName val="Summary_Sheets18"/>
      <sheetName val="Civil_118"/>
      <sheetName val="Civil_218"/>
      <sheetName val="Civil_318"/>
      <sheetName val="Site_118"/>
      <sheetName val="Site_218"/>
      <sheetName val="Site_318"/>
      <sheetName val="Site_Faci18"/>
      <sheetName val="7__월별투입내역서17"/>
      <sheetName val="Man_Hole17"/>
      <sheetName val="Sheet1_(2)18"/>
      <sheetName val="Áý°èÇ¥_(TOTAL)17"/>
      <sheetName val="Áý°èÇ¥_(CIVIL-23)17"/>
      <sheetName val="Áý°èÇ¥_(FGRU)17"/>
      <sheetName val="Áý°èÇ¥_(25,26)17"/>
      <sheetName val="Áý°èÇ¥_(MEROX)17"/>
      <sheetName val="Áý°èÇ¥_(NITROGEN)17"/>
      <sheetName val="Áý°èÇ¥_(M4)17"/>
      <sheetName val="Áý°èÇ¥_(CIVIL4)17"/>
      <sheetName val="Áý°èÇ¥_(CIVIL6)17"/>
      <sheetName val="Áý°èÇ¥_(CIVIL7)17"/>
      <sheetName val="³»¿ª¼­(DEMO_TOTAL)17"/>
      <sheetName val="³»¿ª¼­_(CIVIL-23)17"/>
      <sheetName val="³»¿ª¼­_(fgru)17"/>
      <sheetName val="³»¿ª¼­_(25&amp;26)17"/>
      <sheetName val="³»¿ª¼­_(MEROX)17"/>
      <sheetName val="³»¿ª¼­_(NITROGEN)17"/>
      <sheetName val="³»¿ª¼­_(M4)17"/>
      <sheetName val="³»¿ª¼­_(CIVIL-4)17"/>
      <sheetName val="³»¿ª¼­_(CIVIL-6)17"/>
      <sheetName val="³»¿ª¼­_(CIVIL-7)17"/>
      <sheetName val="2002³â_ÇöÀå°ø»çºñ_±¹³»_½ÇÀû17"/>
      <sheetName val="2003³â±¹³»ÇöÀå°ø»çºñ_½ÇÀû17"/>
      <sheetName val="계측_내역서17"/>
      <sheetName val="Form_B17"/>
      <sheetName val="내역서_耰&quot;_x005f_x005f_x005f_x0000__x005f_x005f_x0017"/>
      <sheetName val="2_2_STAFF_Scedule17"/>
      <sheetName val="내역서_耰&quot;_x005f_x005f_x005f_x005f_x005f_x005f_x00017"/>
      <sheetName val="Z-_GENERAL_PRICE_SUMMARY17"/>
      <sheetName val="_Estimate__17"/>
      <sheetName val="T_317"/>
      <sheetName val="HORI__VESSEL17"/>
      <sheetName val="EQUIP_LIST17"/>
      <sheetName val="Precios_Unitarios17"/>
      <sheetName val="MP_MOB17"/>
      <sheetName val="Vind_-_BtB17"/>
      <sheetName val="LV_induction_motors17"/>
      <sheetName val="BSD_(2)17"/>
      <sheetName val="Administrative_Prices17"/>
      <sheetName val="WBS_4417"/>
      <sheetName val="WBS_4117"/>
      <sheetName val="Precios_por_Administración17"/>
      <sheetName val="Subcon_A17"/>
      <sheetName val="BM_DATA_SHEET18"/>
      <sheetName val="Material_Selections17"/>
      <sheetName val="Monthly_Load17"/>
      <sheetName val="Weekly_Load17"/>
      <sheetName val="내역서_耰&quot;_x005f_x005f_x005f_x005f_x005f_x005f_x00517"/>
      <sheetName val="97_사업추정(WEKI)17"/>
      <sheetName val="Eq__Mobilization17"/>
      <sheetName val="[SANDAN_XLS??17"/>
      <sheetName val="breakdown_of_wage_rate17"/>
      <sheetName val="Indirect_Cost17"/>
      <sheetName val="Piping_BQ_for_one_turbine17"/>
      <sheetName val="Resource_table17"/>
      <sheetName val="Utility_and_Fire_flange17"/>
      <sheetName val="Equipment_List17"/>
      <sheetName val="Form1_SQP17"/>
      <sheetName val="공정계획(내부계획25%,내부w_f)17"/>
      <sheetName val="Heavy_Equipments17"/>
      <sheetName val="AG_Pipe_Qty_Analysis17"/>
      <sheetName val="4-3LEVEL-5_epic_416"/>
      <sheetName val="단가_(2)16"/>
      <sheetName val="w't_table17"/>
      <sheetName val="SCHEDD_TAMBAHAN17"/>
      <sheetName val="_SANDAN_XLS__17"/>
      <sheetName val="SFN_ORIG17"/>
      <sheetName val="Fire_Protection17"/>
      <sheetName val="입찰내역_발주처_양식17"/>
      <sheetName val="BOQ-B_DOWN16"/>
      <sheetName val="Dir_Manpower_Other_Exp_17"/>
      <sheetName val="내역서_(∮ἀ嘆ɶ16"/>
      <sheetName val="ITB_COST17"/>
      <sheetName val="MODULE_CONFIRM16"/>
      <sheetName val="Cash_In-Cash_Out_Actual16"/>
      <sheetName val="실행예산_MM16"/>
      <sheetName val="FWBS_153016"/>
      <sheetName val="plan&amp;section_of_foundation13"/>
      <sheetName val="working_load_at_the_btm_ft_13"/>
      <sheetName val="stability_check13"/>
      <sheetName val="design_criteria8"/>
      <sheetName val="design_load13"/>
      <sheetName val="PROTECTION_16"/>
      <sheetName val="TDC_COA_Sumry12"/>
      <sheetName val="TDC_Item_Dets12"/>
      <sheetName val="TDC_Item_Sumry12"/>
      <sheetName val="TDC_Key_Qty_Sumry12"/>
      <sheetName val="List_-_Components12"/>
      <sheetName val="List_-_Equipment12"/>
      <sheetName val="COA_Sumry_-_Std_Imp12"/>
      <sheetName val="Contr_TDC_-_Std_Imp12"/>
      <sheetName val="Item_Sumry_-_Std_Imp12"/>
      <sheetName val="Unit_Costs_-_Std_Imp12"/>
      <sheetName val="Unit_MH_-_Std_Imp12"/>
      <sheetName val="Proj_TIC_-_Std_Imp12"/>
      <sheetName val="Currency_Rate12"/>
      <sheetName val="Unit_Price_12"/>
      <sheetName val="4-Basic_Price12"/>
      <sheetName val="Evaluasi_Penw12"/>
      <sheetName val="Man_Power_&amp;_Comp12"/>
      <sheetName val="Data_List12"/>
      <sheetName val="PROJECT_BRIEF12"/>
      <sheetName val="내역서1999_8최종12"/>
      <sheetName val="Sum_(Case-3)12"/>
      <sheetName val="할증_12"/>
      <sheetName val="RAB_AR&amp;STR12"/>
      <sheetName val="UP_MINOR12"/>
      <sheetName val="Updating_Form-Oct_201112"/>
      <sheetName val="Weld_Consumable12"/>
      <sheetName val="NDE_Cost-Summary12"/>
      <sheetName val="9July_Above_Ground_Pipe12"/>
      <sheetName val="M_1112"/>
      <sheetName val="Process_Data_112"/>
      <sheetName val="1100-1200-1300-1910-2140-LEV_12"/>
      <sheetName val="Material_Price18"/>
      <sheetName val="CUADRO_DE_PRECIOS16"/>
      <sheetName val="Tools_&amp;_Settings12"/>
      <sheetName val="Data_Summary12"/>
      <sheetName val="Crew_Costs12"/>
      <sheetName val="Spread_Costs12"/>
      <sheetName val="Unique_List_Misc12"/>
      <sheetName val="Closeout_Control12"/>
      <sheetName val="내역서_耰&quot;_x005f_x005f_x005f_x0000_12"/>
      <sheetName val="내역서_耰&quot;_x005f_x005f_x005f_x005f_12"/>
      <sheetName val="내역서_耰&quot;_x005f_x0000__x000013"/>
      <sheetName val="Site_Findings_Status_Sheet12"/>
      <sheetName val="Equip_Rental_Summary_by_Contr12"/>
      <sheetName val="Project_Equip_Rental_Summary12"/>
      <sheetName val="Contractor_Indirect_Sumry12"/>
      <sheetName val="Project_Indirect_Sumry12"/>
      <sheetName val="COA_Sumry_by_Area12"/>
      <sheetName val="COA_Sumry_by_Contr12"/>
      <sheetName val="COA_Sumry_by_RG12"/>
      <sheetName val="TDC_COA_Grp_Sumry12"/>
      <sheetName val="TDC_COA_Grp_Sumry_by_Area12"/>
      <sheetName val="TDC_COA_Grp_Sumry_by_RG12"/>
      <sheetName val="Equipment_Sumry12"/>
      <sheetName val="TDC_Item_Dets-Full12"/>
      <sheetName val="TDC_Item_Dets-IPM-Full12"/>
      <sheetName val="TDC_Item_Sumry_by_Area12"/>
      <sheetName val="TDC_Item_Sumry_by_RG12"/>
      <sheetName val="TDC_Key_Qty_Sumry_by_RG12"/>
      <sheetName val="List_-_Equipment_by_Area12"/>
      <sheetName val="List_-_Equipment_by_Contr12"/>
      <sheetName val="Equipment_-_Unit_Costs_by_Mat12"/>
      <sheetName val="List_-_Equipment_by_Rep_Grp12"/>
      <sheetName val="Craft_Summary_by_Contr12"/>
      <sheetName val="Project_Craft_Summary12"/>
      <sheetName val="Project_Metrics12"/>
      <sheetName val="99__FWBS(Ref)12"/>
      <sheetName val="99__Change_Rate12"/>
      <sheetName val="5_)_Time_Delays12"/>
      <sheetName val="Item_code12"/>
      <sheetName val="In-House_Summary12"/>
      <sheetName val="Unt_rate12"/>
      <sheetName val="SUMMARY_(0A)12"/>
      <sheetName val="SUMMARY_(1A)12"/>
      <sheetName val="SUMMARY_(1B)12"/>
      <sheetName val="SUMMARY_(03)12"/>
      <sheetName val="F1(Cable_Rack)12"/>
      <sheetName val="F2(Cable_Rack)12"/>
      <sheetName val="F3(Cable_Rack)12"/>
      <sheetName val="F1_(POLYMER)12"/>
      <sheetName val="F2_(POLYMER)12"/>
      <sheetName val="F3_(POLYMER)12"/>
      <sheetName val="F4_(POLYMER)12"/>
      <sheetName val="F5(_Polymerization_)12"/>
      <sheetName val="F6_(_Polymerization_)12"/>
      <sheetName val="B1_(Grid_A-7,_-6)12"/>
      <sheetName val="B1_(Grid_A,_B)12"/>
      <sheetName val="B1_(Grid_C-7,_-6)12"/>
      <sheetName val="B2_(Grid_-7_B,_C)_(1)12"/>
      <sheetName val="B2_(Grid_-7_B,_C)_(2)12"/>
      <sheetName val="B2_(Grid_-6_B,_C)_(1)12"/>
      <sheetName val="B2_(Grid_-6_B,_C)_(2)12"/>
      <sheetName val="F1_(MONOMER)12"/>
      <sheetName val="F2_(MONOMER)12"/>
      <sheetName val="F3_(MONOMER)12"/>
      <sheetName val="90K060C_(MONOMER)12"/>
      <sheetName val="F1_(EXTRUSION)12"/>
      <sheetName val="F2_(EXTRUSION)12"/>
      <sheetName val="F3_(EXTRUSION)12"/>
      <sheetName val="F4_(EXTRUSION)12"/>
      <sheetName val="F5_(EXTRUSION)12"/>
      <sheetName val="F6A_(EXTRUSION)12"/>
      <sheetName val="F6D_(EXTRUSION)12"/>
      <sheetName val="F7_(EXTRUSION)12"/>
      <sheetName val="F8_(EXTRUSION)12"/>
      <sheetName val="F9_(EXTRUSION)12"/>
      <sheetName val="F10_(EXTRUSION)12"/>
      <sheetName val="F11_(EXTRUSION)12"/>
      <sheetName val="B1_(Grid_F-5`,_4`)12"/>
      <sheetName val="B2_(Grid_F,E-4`)12"/>
      <sheetName val="B2_(Grid_F,E-5`)12"/>
      <sheetName val="B3_(Grid_C,B-4`)12"/>
      <sheetName val="B4_(Grid_B,A-4`)12"/>
      <sheetName val="B5_(Grid_E-5`)_&amp;_(Grid_D-5`)12"/>
      <sheetName val="B6_(Grid_E,D-5')12"/>
      <sheetName val="B7_(Grid_E,D-5')12"/>
      <sheetName val="95D040,_A50612"/>
      <sheetName val="95P040AB,_A50712"/>
      <sheetName val="95X020-U08,_A60212"/>
      <sheetName val="95X020-U07,_A60612"/>
      <sheetName val="95E040,_A50912"/>
      <sheetName val="95D024;025,_A61512"/>
      <sheetName val="95X020-U05,_A60112"/>
      <sheetName val="95X020-U02,_A20412"/>
      <sheetName val="Extruder_FDN12"/>
      <sheetName val="BOG_COMP__FDN12"/>
      <sheetName val="SOG_COMP__FDN12"/>
      <sheetName val="1G1_(Ground_Beam)12"/>
      <sheetName val="1G2-1(Ground_Beam)12"/>
      <sheetName val="1G2-2(Ground_Beam)12"/>
      <sheetName val="P15,_1612"/>
      <sheetName val="LO_CONSOLE_FDN12"/>
      <sheetName val="OIL_COOLER_FDN12"/>
      <sheetName val="CW_CONSOLE_FDN_(SOG)12"/>
      <sheetName val="PD3_(SOG)12"/>
      <sheetName val="SF1_(SOG)12"/>
      <sheetName val="SF2_(SOG)12"/>
      <sheetName val="SLAB_(1S1-1)12"/>
      <sheetName val="SLAB_(1S1-2)12"/>
      <sheetName val="SLAB_(1S1-3)12"/>
      <sheetName val="COLUMN_(+5500)12"/>
      <sheetName val="COLUMN_(+12500)12"/>
      <sheetName val="COLUMN_(+15500)12"/>
      <sheetName val="ETC_12"/>
      <sheetName val="Direct_PMS12"/>
      <sheetName val="Codes_Pers12"/>
      <sheetName val="Ocean_Transporation_Charge12"/>
      <sheetName val="Raw_data11"/>
      <sheetName val="2__현장_자금투입_집계표12"/>
      <sheetName val="_도면_및_도서_제출목록_및_일정_170202_xls12"/>
      <sheetName val="Aux_12"/>
      <sheetName val="Rates_&amp;_Legend12"/>
      <sheetName val="General_Notes12"/>
      <sheetName val="BO䁑-B_䁄OWN12"/>
      <sheetName val="Discounted_Cash_Flow12"/>
      <sheetName val="Cash_Flow_bulanan12"/>
      <sheetName val="H_Satuan12"/>
      <sheetName val="Pengesahan_12"/>
      <sheetName val="OCT_FDN12"/>
      <sheetName val="Bill_rekap12"/>
      <sheetName val="Exchange_Rate12"/>
      <sheetName val="Process_Data_(2)12"/>
      <sheetName val="__12"/>
      <sheetName val="_12"/>
      <sheetName val="breakdown_of_wage_ra`f11"/>
      <sheetName val="breakdown_of_wage_ra11"/>
      <sheetName val="breakdown_of_wage_rað-11"/>
      <sheetName val="00-Summary_Information-ABB11"/>
      <sheetName val="내역서_耰&quot;_x005f_x0000_12"/>
      <sheetName val="내역서_耰&quot;_x005f_x005f_12"/>
      <sheetName val="2_Overall_Summary_11"/>
      <sheetName val="breakdown_of_wage_rap11"/>
      <sheetName val="breakdown_of_wage_ra11"/>
      <sheetName val="0__Resource　Code11"/>
      <sheetName val="DROP_DOWN11"/>
      <sheetName val="Action_Item11"/>
      <sheetName val="ID_CD11"/>
      <sheetName val="개시대사_(2)11"/>
      <sheetName val="Material_code11"/>
      <sheetName val="PABS,Site_info11"/>
      <sheetName val="Harga_Satuan12"/>
      <sheetName val="F_ALARM12"/>
      <sheetName val="Equipment_Spec_List11"/>
      <sheetName val="차트_(2)12"/>
      <sheetName val="SPEC_LIST(EQUP,_SYS)11"/>
      <sheetName val="Distribution_Table11"/>
      <sheetName val="Air_Cooler-E11"/>
      <sheetName val="DATA_MENTAH11"/>
      <sheetName val="HO_Site_Rates-201111"/>
      <sheetName val="Al_Taweelah11"/>
      <sheetName val="Particular_Sch11"/>
      <sheetName val="SUM_10"/>
      <sheetName val="내역서_(N____x000a_12"/>
      <sheetName val="내역서_耰&quot;_11"/>
      <sheetName val="Linelist_LNGC_Process11"/>
      <sheetName val="TQ_Format10"/>
      <sheetName val="breakdown_of_wage_raÐ¾10"/>
      <sheetName val="Additional_data10"/>
      <sheetName val="33628-Rev__A9"/>
      <sheetName val="11_자재단가9"/>
      <sheetName val="Cashflow_Analysis9"/>
      <sheetName val="Finansal_tamamlanma_Eğrisi9"/>
      <sheetName val="INPUT_DATA_OF_SCHEDULE9"/>
      <sheetName val="LIFE_&amp;_REP_PROVN9"/>
      <sheetName val="O&amp;M_CREW9"/>
      <sheetName val="Tender_data9"/>
      <sheetName val="Attach_4-189"/>
      <sheetName val="내역서_(∮ἀ嘆ɶ?᠀㬁?9"/>
      <sheetName val="Scheme_Area_Details_Block___C29"/>
      <sheetName val="14-Eng_rate9"/>
      <sheetName val="리스크_분류체계9"/>
      <sheetName val="광통신_견적내역서19"/>
      <sheetName val="Cash_Flow9"/>
      <sheetName val="5__월별투입내역서9"/>
      <sheetName val="Cost_Code9"/>
      <sheetName val="Data_Ref9"/>
      <sheetName val="Interdept_Rate9"/>
      <sheetName val="Itembalance_Report_(18-sep-18)9"/>
      <sheetName val="BUDGET_SUMMARY_9"/>
      <sheetName val="OIL_SEPARATOR9"/>
      <sheetName val="CATCH_BASIN9"/>
      <sheetName val="FW_Post_Indicator_Valve_24&quot;9"/>
      <sheetName val="FW_Post_Indicator_Valve_20&quot;9"/>
      <sheetName val="FW_Post_Indicator_Valve_6&quot;9"/>
      <sheetName val="Fire_Monitor_or_Hydrant_6&quot;_FDN9"/>
      <sheetName val="SUMP_VB9"/>
      <sheetName val="CLEANOUT_4&quot;9"/>
      <sheetName val="Not_reqd9"/>
      <sheetName val="호환성_보고서9"/>
      <sheetName val="GM_0009"/>
      <sheetName val="Admin_Manu_2-Equipment_Type_ID9"/>
      <sheetName val="1_설계기준9"/>
      <sheetName val="일위대가_9"/>
      <sheetName val="Master_List9"/>
      <sheetName val="설산1_나9"/>
      <sheetName val="REF_for_VV9"/>
      <sheetName val="BM_#19"/>
      <sheetName val="Activity_Form9"/>
      <sheetName val="EQUIPOS_DE_SEGURIDAD9"/>
      <sheetName val="MATERIALES_CONSUMIBLES9"/>
      <sheetName val="PERSONAL_INDIRECTO_9"/>
      <sheetName val="Weekl_10"/>
      <sheetName val="내역서_(N____30"/>
      <sheetName val="__x09"/>
      <sheetName val="OPT_10"/>
      <sheetName val="SECL_리스크_분류체계_(2)9"/>
      <sheetName val="Land_Dev't__Ph-121"/>
      <sheetName val="4300_UTILITY_BLDG_(2)9"/>
      <sheetName val="P-Ins_&amp;_Bonds9"/>
      <sheetName val="INSTLIST_19"/>
      <sheetName val="Fig_4-149"/>
      <sheetName val="Analisa_Fave9"/>
      <sheetName val="Harsat_Bahan9"/>
      <sheetName val="Harsat_Subkon9"/>
      <sheetName val="Harsat_Upah9"/>
      <sheetName val="Master_1_09"/>
      <sheetName val="Agregat_Halus_&amp;_Kasar9"/>
      <sheetName val="HARGA_MATERIAL9"/>
      <sheetName val="Harga_Sat_APP9"/>
      <sheetName val="Tgh_JGC-Inv_I_clp9"/>
      <sheetName val="PCS_9"/>
      <sheetName val="Progress_Statement-SI9"/>
      <sheetName val="Progress_Payment-31109"/>
      <sheetName val="Direct_Histogram_Rev__A_(f)9"/>
      <sheetName val="Tables_3_1_to_3_5_EXH_G9"/>
      <sheetName val="Schedule_9"/>
      <sheetName val="Loading_Struc9"/>
      <sheetName val="Loading_Pip9"/>
      <sheetName val="Loading_Overall_(BASE_Proposal9"/>
      <sheetName val="Steel_Structure9"/>
      <sheetName val="PIPING_AG-UG_NEW_UNITS9"/>
      <sheetName val="MEC_PIPING_PREFABR9"/>
      <sheetName val="Working_File-Pip9"/>
      <sheetName val="Equip_ISBL_&amp;_OSBL_9"/>
      <sheetName val="List_register9"/>
      <sheetName val="5__Work_load(현재원기준)9"/>
      <sheetName val="Perm__Test9"/>
      <sheetName val="Galian_19"/>
      <sheetName val="Analisa_Lump_sum9"/>
      <sheetName val="Sec_I_ML9"/>
      <sheetName val="Att-1_CTCI_MH_rate9"/>
      <sheetName val="64_49"/>
      <sheetName val="64_59"/>
      <sheetName val="36_29"/>
      <sheetName val="36_19"/>
      <sheetName val="dongia_(2)9"/>
      <sheetName val="SPEC(CABLE_&amp;_WIRE)7"/>
      <sheetName val="_토목_처리장도급내역서_7"/>
      <sheetName val="내역서_(N__x009"/>
      <sheetName val="05__Curva_S8"/>
      <sheetName val="TR_Rev_vs_Commit7"/>
      <sheetName val="TR_+MMHE_PL_report7"/>
      <sheetName val="P23P2724___Commitment_7"/>
      <sheetName val="สรุปยอดเหล็กตาม_Cost_Record_VY7"/>
      <sheetName val="แนบ_PR7"/>
      <sheetName val="OR21_Final_Forecast_Rev_27"/>
      <sheetName val="Summary_Forecast_Budget_1&amp;27"/>
      <sheetName val="Summary_Forecast_Budget_Rev_27"/>
      <sheetName val="Backup_OR21_7"/>
      <sheetName val="Budget_for_ENT7"/>
      <sheetName val="ADJ__D-Wall&amp;BR_Ent__Rev_2_17"/>
      <sheetName val="Rebar+Conพื้น_Waste10%7"/>
      <sheetName val="Backup_D-Wall_Ent__13_07_197"/>
      <sheetName val="Backup_BR_ENT__13_07_197"/>
      <sheetName val="Final_Forecast_721117"/>
      <sheetName val="IMP_OR21_2019_07_117"/>
      <sheetName val="Concrete_721127"/>
      <sheetName val="หินเกล็ด_7"/>
      <sheetName val="เปรียบเทียบBudget_BR_7"/>
      <sheetName val="ADJ__BR_Ent__Rev_2_1_(2)7"/>
      <sheetName val="แผนงานBarrette_Pile7"/>
      <sheetName val="BOQ__VI_03_09_19_7"/>
      <sheetName val="Backup_BR_BMA7"/>
      <sheetName val="Sum_Budget&amp;Rev_17"/>
      <sheetName val="Sum_Budget_Rev_17"/>
      <sheetName val="Sum_Budget&amp;Rev_1_Rebar7"/>
      <sheetName val="Sum_Budget_Rev_2_Rebar7"/>
      <sheetName val="Rebar+Conพื้น_Waste10%_Rev_007"/>
      <sheetName val="Rebar+Conพื้น_Waste10%_Rev_01_7"/>
      <sheetName val="Equip_Rev_00_Budget7"/>
      <sheetName val="Budget_Waterpoofing7"/>
      <sheetName val="Bill_4_7_Predestain_Bridge_7"/>
      <sheetName val="Bill_4_7_Predestain7"/>
      <sheetName val="1_1_FT_type_17"/>
      <sheetName val="1_2_FT_type_1A7"/>
      <sheetName val="1_3_FT_type_27"/>
      <sheetName val="1_4_FT_type_37"/>
      <sheetName val="1_5_FT_type_47"/>
      <sheetName val="2_1_CL_Outside7"/>
      <sheetName val="2_2_CL_Inside7"/>
      <sheetName val="2_3_CL_Ramp7"/>
      <sheetName val="3_1_CB_Outside7"/>
      <sheetName val="3_2_CB_Inside7"/>
      <sheetName val="4_Stair7"/>
      <sheetName val="5_Ramp7"/>
      <sheetName val="6_Handrail7"/>
      <sheetName val="Invoice_(Interim_No_28)7"/>
      <sheetName val="Cost_Summary7"/>
      <sheetName val="Direct_Cost7"/>
      <sheetName val="Direct_Cost_(2)7"/>
      <sheetName val="Summary_(3)7"/>
      <sheetName val="Indirect_Cost_Summary7"/>
      <sheetName val="RESUMEN_CD7"/>
      <sheetName val="BOQ_REV67"/>
      <sheetName val="Maliyet_Ozet7"/>
      <sheetName val="1_1-1_27"/>
      <sheetName val="1_3-_1_47"/>
      <sheetName val="3_17"/>
      <sheetName val="3_27"/>
      <sheetName val="4_1(a)7"/>
      <sheetName val="4_1(b)7"/>
      <sheetName val="4_1_(c)7"/>
      <sheetName val="5_17"/>
      <sheetName val="내역서_(N____112"/>
      <sheetName val="6_공정표7"/>
      <sheetName val="4-Lane_bridge21"/>
      <sheetName val="1_11_b7"/>
      <sheetName val="3_부제O호표7"/>
      <sheetName val="5_소모재료비7"/>
      <sheetName val="8_시멘트제원표7"/>
      <sheetName val="2_품제O호표7"/>
      <sheetName val="본부_SHOP7"/>
      <sheetName val="#6_MDU_일반7"/>
      <sheetName val="#6_MDU엄반장7"/>
      <sheetName val="#6MDU_기계7"/>
      <sheetName val="HOU_COMP`7"/>
      <sheetName val="FCC_OBL-SHOP7"/>
      <sheetName val="NEW_FCC_OBL7"/>
      <sheetName val="#4_MDU7"/>
      <sheetName val="#6_SHOP7"/>
      <sheetName val="NRC_OBL-조연식7"/>
      <sheetName val="광양-조연식_반장7"/>
      <sheetName val="#5MDU_REV7"/>
      <sheetName val="LBO_PROJECT7"/>
      <sheetName val="VENDOR_LIST7"/>
      <sheetName val="BOP_LINE_LIST7"/>
      <sheetName val="A__ENGINEERING7"/>
      <sheetName val="B-1__배관자재7"/>
      <sheetName val="B-2__전기자재7"/>
      <sheetName val="B-3__계장자재7"/>
      <sheetName val="B-4__기계자재7"/>
      <sheetName val="C-1__공통가설7"/>
      <sheetName val="C-2__토목7"/>
      <sheetName val="C-4__철골7"/>
      <sheetName val="C-5__기계7"/>
      <sheetName val="C-6__배관7"/>
      <sheetName val="C-7__전기7"/>
      <sheetName val="C-8__계장7"/>
      <sheetName val="C-9__중장비7"/>
      <sheetName val="C-10__소방설비7"/>
      <sheetName val="C-11__보온7"/>
      <sheetName val="C-12__CMS7"/>
      <sheetName val="Equipt_Rental7"/>
      <sheetName val="EQ_USED_(CORRECTED)7"/>
      <sheetName val="Rebar_Constant7"/>
      <sheetName val="CONCRETE_TYPE7"/>
      <sheetName val="ABB_Summary7"/>
      <sheetName val="Man_power_rate7"/>
      <sheetName val="Const_equip_rate7"/>
      <sheetName val="01-Gang_Rate_&amp;_Info7"/>
      <sheetName val="05-Sum_Cost7"/>
      <sheetName val="06-Indirect_Loading7"/>
      <sheetName val="07-Heavy_Equipment7"/>
      <sheetName val="08-RR_Check_List7"/>
      <sheetName val="1)_Risk_and_Opportunities7"/>
      <sheetName val="2)_Full_Cost_Calculation7"/>
      <sheetName val="Statprod_gab8"/>
      <sheetName val="L_18"/>
      <sheetName val="External_Issues7"/>
      <sheetName val="Equip_Mstr_FOR_3A17"/>
      <sheetName val="G_R300경비7"/>
      <sheetName val="AS포장복구_7"/>
      <sheetName val="중기조종사_단위단가7"/>
      <sheetName val="설_계7"/>
      <sheetName val="5_Cennik8"/>
      <sheetName val="tblg_denda8"/>
      <sheetName val="Vehicle_Log7"/>
      <sheetName val="P2-Project_Data6"/>
      <sheetName val="MFG_&amp;_DEL6"/>
      <sheetName val="P_Staff_fac6"/>
      <sheetName val="beam-reinft-IIInd_floor6"/>
      <sheetName val="P-Site_fac6"/>
      <sheetName val="P-Clients_fac6"/>
      <sheetName val="F1_47"/>
      <sheetName val="GRAND_REKAP6"/>
      <sheetName val="analisa_(2)6"/>
      <sheetName val="Analisa_26"/>
      <sheetName val="Up_&amp;_bhn6"/>
      <sheetName val="HRG_BHN6"/>
      <sheetName val="a_h_ars_sum6"/>
      <sheetName val="a_h_ars6"/>
      <sheetName val="DAF_HRG6"/>
      <sheetName val="Urai__Resap_pengikat6"/>
      <sheetName val="Analisa_(ok_punya)6"/>
      <sheetName val="LRK_7"/>
      <sheetName val="Kolom_UT6"/>
      <sheetName val="HB_6"/>
      <sheetName val="7_공정표6"/>
      <sheetName val="Manpower_Categories7"/>
      <sheetName val="동상부_Tact_기준_반입일정_및_수량_02177"/>
      <sheetName val="Garph_Work-Cost7"/>
      <sheetName val="Alat_(2)6"/>
      <sheetName val="InsertListDrawing_1_6"/>
      <sheetName val="InD_Mpower7"/>
      <sheetName val="내역서_(∮ἀ嘆ɶ_᠀㬁_8"/>
      <sheetName val="M&amp;E_Summary7"/>
      <sheetName val="rev_summary7"/>
      <sheetName val="M&amp;E_Prelims7"/>
      <sheetName val="B-FP_(2)7"/>
      <sheetName val="Sch_17"/>
      <sheetName val="Rekap_Biaya6"/>
      <sheetName val="Kuantitas_&amp;_Harga6"/>
      <sheetName val="Nopember_(2)6"/>
      <sheetName val="Chap_2-_Page_4_5"/>
      <sheetName val="Eng_Hrs_(HO)6"/>
      <sheetName val="VAT_TU_DIEN5"/>
      <sheetName val="bldg_list5"/>
      <sheetName val="Week_ending3"/>
      <sheetName val="Planners_Workload3"/>
      <sheetName val="Scaffolding_Volume4"/>
      <sheetName val="Ramp_data6"/>
      <sheetName val="Lower_Ground6"/>
      <sheetName val="Cap_Cost6"/>
      <sheetName val="RLV_Calc6"/>
      <sheetName val="Costs_(dev)6"/>
      <sheetName val="Bluewater_NPV_-_sell_January6"/>
      <sheetName val="Upper_Ground6"/>
      <sheetName val="PARK_NE6"/>
      <sheetName val="Financial_Summary6"/>
      <sheetName val="D&amp;C_Calcs6"/>
      <sheetName val="CA_Upside_Downside_Old6"/>
      <sheetName val="EASEL_CA_Example6"/>
      <sheetName val="Memb_Schd6"/>
      <sheetName val="Coef_et_données6"/>
      <sheetName val="원가조정_내역6"/>
      <sheetName val="Insulation_1501087"/>
      <sheetName val="MASTER_RATE_ANALYSIS7"/>
      <sheetName val="MN_T_B_7"/>
      <sheetName val="INDIGINEOUS_ITEMS_7"/>
      <sheetName val="Core_Data7"/>
      <sheetName val="final_abstract7"/>
      <sheetName val="MSP-Operator_Building-Area_C4"/>
      <sheetName val="Ana__PU4"/>
      <sheetName val="Perhit_Alat4"/>
      <sheetName val="SWALE_(구산)5"/>
      <sheetName val="내역서_(N____32"/>
      <sheetName val="Dsr_Hitung4"/>
      <sheetName val="Mat_Tower4"/>
      <sheetName val="RT13526_CPI4"/>
      <sheetName val="Inputs_-_Results4"/>
      <sheetName val="GENERAL_4"/>
      <sheetName val="Tank_Loading4"/>
      <sheetName val="Fdn_Calc4"/>
      <sheetName val="LATERAL_OCDI_BH-024"/>
      <sheetName val="Lateral_Broms4"/>
      <sheetName val="N-SPT_corr4"/>
      <sheetName val="Curve_N-SPT4"/>
      <sheetName val="COST_BD4"/>
      <sheetName val="Monthly_S_Curve_SPK4"/>
      <sheetName val="ENE-CAL_15"/>
      <sheetName val="ANAL_BOW4"/>
      <sheetName val="Isolasi_Luar_Dalam4"/>
      <sheetName val="Isolasi_Luar4"/>
      <sheetName val="график_финансирования4"/>
      <sheetName val="내역서_(N____211"/>
      <sheetName val="UPAH_&amp;_BHN_ARS4"/>
      <sheetName val="AHS_ARS4"/>
      <sheetName val="Analisa_HSP4"/>
      <sheetName val="입찰내역_발주처_양卤4"/>
      <sheetName val="Analisa_Neraca4"/>
      <sheetName val="Raw_Ref3"/>
      <sheetName val="Cost_Codes3"/>
      <sheetName val="Addendum_No_1_BILL_24"/>
      <sheetName val="-0_5_TABLA_PRESUPUESTOS5"/>
      <sheetName val="ﾄﾞﾊﾞｲFUEL_GAS追見5"/>
      <sheetName val="Data_Ref_5"/>
      <sheetName val="KKS_System_Codes5"/>
      <sheetName val="Price_Schedule_Code5"/>
      <sheetName val="REF_ONLY5"/>
      <sheetName val="7_6_3_J_Inline_Instrument3"/>
      <sheetName val="Appendix_A3"/>
      <sheetName val="OE_(KSB)4"/>
      <sheetName val="galian_saluran4"/>
      <sheetName val="05_Analisa_Teknik4"/>
      <sheetName val="내역서_耰&quot;_x005f11"/>
      <sheetName val="Analisa_SNI_STANDART_4"/>
      <sheetName val="1_B4"/>
      <sheetName val="PLSt_03__3"/>
      <sheetName val="П_7_курс_аванса3"/>
      <sheetName val="IncStat_03-043"/>
      <sheetName val="IncStat_03__3"/>
      <sheetName val="Авансы_по_СНГ3"/>
      <sheetName val="Bang_KL3"/>
      <sheetName val="combined_9-3029"/>
      <sheetName val="worksheet_inchican29"/>
      <sheetName val="combined_9_3029"/>
      <sheetName val="bar_chart-rev29"/>
      <sheetName val="MATERIAL'S_PRICE27"/>
      <sheetName val="Schedule_S-Curve_Revision#325"/>
      <sheetName val="PC_&amp;_PVS23"/>
      <sheetName val="2_223M_due_to_adj_profit18"/>
      <sheetName val="Inchican_Road_Accomplishment21"/>
      <sheetName val="Shut_down18"/>
      <sheetName val="bill_218"/>
      <sheetName val="sorksheet_inchican18"/>
      <sheetName val="sombined_9-3018"/>
      <sheetName val="PH_518"/>
      <sheetName val="remaining_billing18"/>
      <sheetName val="Hac_Lots18"/>
      <sheetName val="Res_Lots18"/>
      <sheetName val="Spine_Road18"/>
      <sheetName val="INPUT_DATA_HERE17"/>
      <sheetName val="option_Y117"/>
      <sheetName val="Summary_(overall)4"/>
      <sheetName val="Adimi_bldg4"/>
      <sheetName val="Pump_House4"/>
      <sheetName val="Fuel_Regu_Station4"/>
      <sheetName val="Footing_Tie_Beam4"/>
      <sheetName val="FINAL_NEGO4"/>
      <sheetName val="RFP_Codes4"/>
      <sheetName val="Bill_summary_of_cost4"/>
      <sheetName val="unit_price4"/>
      <sheetName val="Schedule_S-Curve_(new_scheme)4"/>
      <sheetName val="Fire_Suppression4"/>
      <sheetName val="tabulation_(comparison)4"/>
      <sheetName val="area_comp_2011_01_184"/>
      <sheetName val="Tabulation_3"/>
      <sheetName val="Code_073"/>
      <sheetName val="MAY_00-Bobbins3"/>
      <sheetName val="2_2_띠장의_설계3"/>
      <sheetName val="(10)_Other_Costs53"/>
      <sheetName val="breakdown_of_FA1134"/>
      <sheetName val="Sheet_144"/>
      <sheetName val="3_-RESOURCE_LIST3"/>
      <sheetName val="0_-SUMMARY3"/>
      <sheetName val="3_2_AUX3"/>
      <sheetName val="3_3_AUX-23"/>
      <sheetName val="GRAND_SUM3"/>
      <sheetName val="VCC_11110-4613"/>
      <sheetName val="6_2_Floor_Finishes5"/>
      <sheetName val="C1_(calcolo)3"/>
      <sheetName val="5_5FWBS_CODE3"/>
      <sheetName val="JGSummit_Package_2_(CTCI)4"/>
      <sheetName val="Project_D4"/>
      <sheetName val="Tender_Summary4"/>
      <sheetName val="Harga_Mat_4"/>
      <sheetName val="SANDAN_XLS13"/>
      <sheetName val="Main_Control3"/>
      <sheetName val="_hrg_bhn4"/>
      <sheetName val="1195_B14"/>
      <sheetName val="Capel_KI4"/>
      <sheetName val="Capel_PK4"/>
      <sheetName val="page_64"/>
      <sheetName val="Raw_Data-Combined4"/>
      <sheetName val="Summary_HS_Pipa_CS4"/>
      <sheetName val="lkalibrasi_BENENAIN4"/>
      <sheetName val="Rekap_Addendum4"/>
      <sheetName val="AT_24"/>
      <sheetName val="Section_14"/>
      <sheetName val="Dinh_muc_CP_KTCB_khac3"/>
      <sheetName val="TH_May_TC3"/>
      <sheetName val="KLDT_DIEN3"/>
      <sheetName val="PTVT_DIEN3"/>
      <sheetName val="TH_kinh_phi3"/>
      <sheetName val="Thong_ke_thiet_bi3"/>
      <sheetName val="TH_vat_tu3"/>
      <sheetName val="A_SIS3"/>
      <sheetName val="gia_vt3"/>
      <sheetName val="1_BILL_MOI_THAU_CAN_THUONG3"/>
      <sheetName val="PHAN_NGAM3"/>
      <sheetName val="Integrated-S_Curve3"/>
      <sheetName val="Instrument_Proc3"/>
      <sheetName val="MTO_Civil_Work3"/>
      <sheetName val="Sched_3_(Construction)3"/>
      <sheetName val="Sched_1_(Engineering)3"/>
      <sheetName val="Sched_2_(Procurement_3"/>
      <sheetName val="JOB_Code3"/>
      <sheetName val="COVER_RECAP_INSTALL_(2)3"/>
      <sheetName val="Rekap_Summary3"/>
      <sheetName val="Rekap_Breakdown3"/>
      <sheetName val="Detail_Eng3"/>
      <sheetName val="Equiv_Length3"/>
      <sheetName val="Ra__stair4"/>
      <sheetName val="Man_Power3"/>
      <sheetName val="pro_ra_op3"/>
      <sheetName val="analis_standar(8m)3"/>
      <sheetName val="ShareCapital_3"/>
      <sheetName val="내역서_(∮ἀ嘆ɶ_x005f_x0000_᠀㬁_x005f_x0000_3"/>
      <sheetName val="__x005f_x0000__x005f_x001b__x005f_x0000__x005f_x0006__4"/>
      <sheetName val="내역서_耰&quot;_x005f_x005f_x005f_x0000__x00007"/>
      <sheetName val="내역서_(N__x005f_x000e__x005f_x000e__x005f_x000e___3"/>
      <sheetName val="내역서_(N____x005f_x000a_6"/>
      <sheetName val="Bangunan_Utama3"/>
      <sheetName val="Hrg_Sat3"/>
      <sheetName val="uraian_analisa3"/>
      <sheetName val="8LT_123"/>
      <sheetName val="Basic_Price3"/>
      <sheetName val="Rekap_Analisa3"/>
      <sheetName val="ANALISA_PEK_UMUM3"/>
      <sheetName val="IN_OUT3"/>
      <sheetName val="내역서_ᢐ_x005f_x001f_3"/>
      <sheetName val="내역서_ᢐ_x005f_x001f__x005f_x0000__x005f_x0000_3"/>
      <sheetName val="Sat_Bah___Up3"/>
      <sheetName val="DATA_PROYEK3"/>
      <sheetName val="rab_me_(by_owner)_3"/>
      <sheetName val="BQ_(by_owner)3"/>
      <sheetName val="rab_me_(fisik)3"/>
      <sheetName val="LIST_ANHARSAT3"/>
      <sheetName val="Project_Grading2"/>
      <sheetName val="내역서_耰&quot;_x005f_x0000__x005f_x005f_x00003"/>
      <sheetName val="renc_mgn3"/>
      <sheetName val="Bilanz_Bus_plan_20022"/>
      <sheetName val="Mei_LD2"/>
      <sheetName val="Data_Input2"/>
      <sheetName val="Project_budget_BTS2"/>
      <sheetName val="Well_Plan_12"/>
      <sheetName val="P__control3"/>
      <sheetName val="Costing_Detailed3"/>
      <sheetName val="Basic_Data_Inputs3"/>
      <sheetName val="Daily_Forwards3"/>
      <sheetName val="Home_Office3"/>
      <sheetName val="VS_P-Q3"/>
      <sheetName val="TH_VL,_NC,_DDHT_Thanhphuoc2"/>
      <sheetName val="LV_induction_3"/>
      <sheetName val="Z-_GENERAL_PRIC橿⿂2"/>
      <sheetName val="Z-_GENERAL_PRIC鋘@俀~橿⿂2"/>
      <sheetName val="Z-_GENERAL_PRIC2"/>
      <sheetName val="建筑定额_(2002)3"/>
      <sheetName val="ADI_Edison_Termoelettrica3"/>
      <sheetName val="Harga_material_13"/>
      <sheetName val="Peralatan_(2)3"/>
      <sheetName val="집계표(2_안)3"/>
      <sheetName val="BILL_13"/>
      <sheetName val="Step2_-&gt;_Mat__Cost3"/>
      <sheetName val="Team_3_S-Curve3"/>
      <sheetName val="MH_and_Unit_Cost3"/>
      <sheetName val="Material_Cost(as_per_Nation)3"/>
      <sheetName val="PAD_TR보호대기초2"/>
      <sheetName val="TEMP_PROFILE3"/>
      <sheetName val="_선택_속성(잠금)3"/>
      <sheetName val="Drop-down_lists3"/>
      <sheetName val="RINC_hotel2"/>
      <sheetName val="RINC_FIN_T4_2"/>
      <sheetName val="RINC_FIN_T4___3_2"/>
      <sheetName val="RINC_FIN_T4___2_2"/>
      <sheetName val="BQ_Summary3"/>
      <sheetName val="cespiti_cet2_piombino_(2)2"/>
      <sheetName val="建筑工程统计表06月份_2"/>
      <sheetName val="Daily_Photo3"/>
      <sheetName val="Manpower_Status3"/>
      <sheetName val="Process_Piping3"/>
      <sheetName val="Fire_Fighting2"/>
      <sheetName val="HARGA_DASAR2"/>
      <sheetName val="HM_MEK_2"/>
      <sheetName val="BQ_Working3"/>
      <sheetName val="9011_EXPAT_MANP3"/>
      <sheetName val="App_A_Basis_of_Design3"/>
      <sheetName val="1_0_Criteria_New2"/>
      <sheetName val="İnsan_Gücü2"/>
      <sheetName val="LV_induction_mot3"/>
      <sheetName val="KR2&amp;KVCM(MAR_1-6'99)2"/>
      <sheetName val="Rev_2"/>
      <sheetName val="tabel_berat3"/>
      <sheetName val="报价说明_(3)2"/>
      <sheetName val="报价说明_(4)2"/>
      <sheetName val="2_履约阶段供应链管理计划2"/>
      <sheetName val="sis_xlm2"/>
      <sheetName val="spot_prices2"/>
      <sheetName val="Forma_E-172"/>
      <sheetName val="1999_BUDGET2"/>
      <sheetName val="Materials_2"/>
      <sheetName val="M_MM2"/>
      <sheetName val="ANALISA_KONST_BTN2"/>
      <sheetName val="cost_curve_calc3"/>
      <sheetName val="Page_23"/>
      <sheetName val="ANL_TEK_62"/>
      <sheetName val="Vind_-鴃宼蠀2"/>
      <sheetName val="Bill_of_Qty2"/>
      <sheetName val="DIV_92"/>
      <sheetName val="LOKASI_RIG_Litbang2"/>
      <sheetName val="struktur_tdk_dipakai2"/>
      <sheetName val="sch_1_22"/>
      <sheetName val="B_10_(4)2"/>
      <sheetName val="Country_(kVA-Hz_)2"/>
      <sheetName val="INPUT_DATAS2"/>
      <sheetName val="ALAT2_(TDK_DIPAKAI)2"/>
      <sheetName val="Fill_this_out_first___2"/>
      <sheetName val="5_세운W-A2"/>
      <sheetName val="ABK_04_AWALR+CO+TAB_RUPS2"/>
      <sheetName val="9_58&quot;_single2"/>
      <sheetName val="A-11_Steel_Str2"/>
      <sheetName val="A-03_Pile2"/>
      <sheetName val="CONS_2"/>
      <sheetName val="SA516-60,70_(정리)2"/>
      <sheetName val="MR_EUR3"/>
      <sheetName val="Ind__Budget3"/>
      <sheetName val="Star_Rate3"/>
      <sheetName val="HaulingLine_hardware2"/>
      <sheetName val="S_Curve2"/>
      <sheetName val="Branch_Power2"/>
      <sheetName val="C__letter_3rd_QT2"/>
      <sheetName val="Sheet1_(4)2"/>
      <sheetName val="SEK_Vertrieb3"/>
      <sheetName val="SEK_Montage3"/>
      <sheetName val="SEK_IBN3"/>
      <sheetName val="КС2_24_1-8_(4_1_8_11_200)corr3"/>
      <sheetName val="Perhitungan_RAB2"/>
      <sheetName val="Gas_Specific_Gravities_and_GHV2"/>
      <sheetName val="1_집계표(일반전기)2"/>
      <sheetName val="2_집계표(선행공사)2"/>
      <sheetName val="3_집계표(소방공사)2"/>
      <sheetName val="CABLE_TRAY2"/>
      <sheetName val="design_criteria7"/>
      <sheetName val="5_세운W-A1"/>
      <sheetName val="SA516-60,70_(정리)1"/>
      <sheetName val="Gas_Specific_Gravities_and_GHV1"/>
      <sheetName val="_x0004_?_x000d_?_x0003_?_x0004_"/>
      <sheetName val="_x000a_?_x001b_?_x0006_?_x0006_"/>
      <sheetName val=" ?_x001b_?_x0006_?_x0006_?_x000"/>
      <sheetName val="Z- GENERAL PRIC鋘@俀~橿⿂_x0"/>
      <sheetName val="Z- GENERAL PRIC_x"/>
      <sheetName val="_______x005f_x005f_x005f_x0000_"/>
      <sheetName val="_____x005f_x005f_x005f_x005f_x0"/>
      <sheetName val="_______x005f_x005f_x005f_x005f_"/>
      <sheetName val="LV induction _x00"/>
      <sheetName val="_x005f_x0002__x005f_x0000_뻘N_x0"/>
      <sheetName val="내역서 (∮ἀ嘆ɶ_x005f_x0000_᠀㬁_x005f"/>
      <sheetName val="_x005f_x0002__뻘N___x005f_x0001_"/>
      <sheetName val="_x005f_x0004__x005f_x0000__x005"/>
      <sheetName val="_x005f_x000a__x005f_x0000__x005"/>
      <sheetName val=" _x005f_x0000__x005f_x001b__x00"/>
      <sheetName val="Weekl_x005f_x0004__x005f_x0000_"/>
      <sheetName val="_x005f_x0000__x005f_x000e__x005"/>
      <sheetName val="내역서_(N_x005f_x0009__x000e"/>
      <sheetName val="내역서_(N _x005f_x000e__x000"/>
      <sheetName val="7422CW_x005f_x0013__x0000"/>
      <sheetName val="OPT_x005f_x0012__x005f_x0000__x"/>
      <sheetName val="_x005f_x0000__x005f_x0013__x005"/>
      <sheetName val="내역서 耰&quot;_x005f_x0000__x005f"/>
      <sheetName val="내역서 ᢐ_x005f_x001f__x005f_x0000_"/>
      <sheetName val="__x005f_x0000__x005f_x001b__x00"/>
      <sheetName val="Sheet_x0005__x000"/>
      <sheetName val="LV induction mot_"/>
      <sheetName val="내역서_(∮ἀ嘆ɶ_x005f_x0000_᠀㬁_x005f"/>
      <sheetName val="내역서_(N__x005f_x000e__x000"/>
      <sheetName val="내역서_ᢐ_x005f_x001f__x005f_x0000_"/>
      <sheetName val="내역서_耰&quot;_x005f_x0000__x005f"/>
      <sheetName val="2_x0010__x000a__x"/>
      <sheetName val="_______x005f_x0000__x005f"/>
      <sheetName val="_x0004___x000d___x0003___x0004_"/>
      <sheetName val="___x001b___x0006___x0006___x000"/>
      <sheetName val=" __x001b___x0006___x0006___x000"/>
      <sheetName val="_x0004_? ?_x0003_?_x0004_?_x001"/>
      <sheetName val="_x0004__ __x0003___x0004___x001"/>
      <sheetName val="2_x0010___x0003__x000d__x0008__"/>
      <sheetName val="2_x0010_ _x0003__"/>
      <sheetName val="해평견적"/>
      <sheetName val="11.별도장부가"/>
      <sheetName val="PBC)주식기준보상부여"/>
      <sheetName val="PT_DPT_Manifold (TR)"/>
      <sheetName val="PT_DPT_Seal (TR)"/>
      <sheetName val="Item Details"/>
      <sheetName val="eqp-rek"/>
      <sheetName val="Harga "/>
      <sheetName val="day"/>
      <sheetName val="AGG A"/>
      <sheetName val="AGG B"/>
      <sheetName val="DAFTAR BAHAN"/>
      <sheetName val="DAFTAR ALAT"/>
      <sheetName val="DAFTAR UPAH"/>
      <sheetName val="PAS. BATU"/>
      <sheetName val="URUKAN"/>
      <sheetName val="MARKA"/>
      <sheetName val="PRIME COAT"/>
      <sheetName val="TACK COAT"/>
      <sheetName val="급여관련자료"/>
      <sheetName val="JUL"/>
      <sheetName val="DAF.INVEN U.O"/>
      <sheetName val="CGS"/>
      <sheetName val="Biaya2"/>
      <sheetName val="COGM"/>
      <sheetName val="Buildg-200"/>
      <sheetName val="Price Summary (1)"/>
      <sheetName val="Price Summary (2)"/>
      <sheetName val="Base BM-rebar"/>
      <sheetName val="Bang chi tiet-Direct work"/>
      <sheetName val="DД"/>
      <sheetName val="Номенклатура BOE"/>
      <sheetName val="Типы оборудования"/>
      <sheetName val="Basic-Engineering"/>
      <sheetName val="Startphase"/>
      <sheetName val="Katsayilar"/>
      <sheetName val="Номенклатура BOM"/>
      <sheetName val="系数516"/>
      <sheetName val="내역서_(∮ἀ嘆ɶ᠀㬁5"/>
      <sheetName val="_x0004_ _x0003__x0004__x0016_ _x0004_"/>
      <sheetName val="Weekl_x0004__x0016_ "/>
      <sheetName val="_x0004_ _x0"/>
      <sheetName val="내역서_耰&quot;16"/>
      <sheetName val="SANDAN_XLS14"/>
      <sheetName val="내역서_(∮ἀ嘆ɶ᠀㬁6"/>
      <sheetName val="4.6二构装修工程"/>
      <sheetName val="4.5钢结构工程"/>
      <sheetName val="1成本汇总表 "/>
      <sheetName val="取费表"/>
      <sheetName val="武汉丁二烯静止设备"/>
      <sheetName val="中石油安装石油化工装置"/>
      <sheetName val="土建全民一级不含构件取费"/>
      <sheetName val="单位"/>
      <sheetName val="SpecITEM"/>
      <sheetName val="LINE_Sc"/>
      <sheetName val="MOTOR"/>
      <sheetName val="价差测算"/>
      <sheetName val="参数表"/>
      <sheetName val="Bond &amp; Stamp"/>
      <sheetName val="작성기준"/>
      <sheetName val="CutOffDates"/>
      <sheetName val="Prec.OTS"/>
      <sheetName val="2__"/>
      <sheetName val="내역서 耰&quot;__x0000"/>
      <sheetName val="내역서_耰&quot;__x0000"/>
      <sheetName val="내역ࠜĀ_M4"/>
      <sheetName val="내역서_耰&quot;__x0001"/>
      <sheetName val="내역서_耰&quot;__x0002"/>
      <sheetName val="___x001b___x0006__x"/>
      <sheetName val="바닥판_⽷_"/>
      <sheetName val="EQUIPMENT_-_"/>
      <sheetName val="내역서 ᢐ_x001f___"/>
      <sheetName val=" __x001b___x0006__x"/>
      <sheetName val="Weekl_x0004___x0016__x000"/>
      <sheetName val="Precios Unitariԯ_"/>
      <sheetName val="내역서_耰&quot;__x0004"/>
      <sheetName val="내역서_耰&quot;__x0003"/>
      <sheetName val="내역서_耰&quot;__x0005"/>
      <sheetName val=" __x001b___x0"/>
      <sheetName val="OPT_x0012___x0010__ _"/>
      <sheetName val="OPT_x0012___x0010__"/>
      <sheetName val="내역서_耰&quot;__x00001"/>
      <sheetName val="내역서_耰&quot;__x0006"/>
      <sheetName val="__x0004_"/>
      <sheetName val="Site__"/>
      <sheetName val="내역서_耰&quot;__x00002"/>
      <sheetName val="내역서_耰&quot;__x00003"/>
      <sheetName val="Z-_GENERAL_PRIC橿⿂⒘ࡈ1"/>
      <sheetName val="Z-_GENERAL_PRIC鋘@俀~橿⿂⍈1"/>
      <sheetName val="Bahan "/>
      <sheetName val="UNIT 3"/>
      <sheetName val="BOM_TOTAL"/>
      <sheetName val="Pen Macadam"/>
      <sheetName val="BEFORE ALLOCATION"/>
      <sheetName val="COA-17"/>
      <sheetName val="C-18"/>
      <sheetName val="B2-UNIT 207"/>
      <sheetName val="BS-Notes"/>
      <sheetName val="BQ INSUL"/>
      <sheetName val="BQ PIPE"/>
      <sheetName val="SHOP FIELD INSTALL %"/>
      <sheetName val="LINE TESTS"/>
      <sheetName val="H"/>
      <sheetName val="D"/>
      <sheetName val="J"/>
      <sheetName val="Working"/>
      <sheetName val="공정표"/>
      <sheetName val="Unconfined-Reading"/>
      <sheetName val="Daf-Harga"/>
      <sheetName val="U-3.1.1 telephone"/>
      <sheetName val="AA.1.1 BNI"/>
      <sheetName val="Adf par resp"/>
      <sheetName val="rms sipil"/>
      <sheetName val="20-11-03"/>
      <sheetName val="AOP-SK"/>
      <sheetName val="assets"/>
      <sheetName val="Module2"/>
      <sheetName val="RumusTB 1 bln"/>
      <sheetName val="Ex-Rate"/>
      <sheetName val="Invoice"/>
      <sheetName val="GeneralInfo"/>
      <sheetName val="PLL"/>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IGCC査定"/>
      <sheetName val="Ulasan"/>
      <sheetName val="28"/>
      <sheetName val="DAT_1"/>
      <sheetName val="eakTG"/>
      <sheetName val="LOKASI"/>
      <sheetName val="Prog Pay Events_Prog Pay Events"/>
      <sheetName val="Critical - Key Drawings"/>
      <sheetName val="Mat Deliv Vs ZMM071"/>
      <sheetName val="girder"/>
      <sheetName val="GWC"/>
      <sheetName val="NWC"/>
      <sheetName val="Sheet284"/>
      <sheetName val="주식"/>
      <sheetName val="마감물량"/>
      <sheetName val="Assump (Static)"/>
      <sheetName val="A CONDITIONS"/>
      <sheetName val="C.Earthwork"/>
      <sheetName val="struc derive"/>
      <sheetName val="Bill No. 2 July 6"/>
      <sheetName val="(COV)"/>
      <sheetName val="FINISH"/>
      <sheetName val="guard(mac)"/>
      <sheetName val="GESTION FICHE"/>
      <sheetName val="TRADUCTION LISTES"/>
      <sheetName val="MANPOWER WITH NCII"/>
      <sheetName val="Equpt"/>
      <sheetName val="Main Bldg."/>
      <sheetName val="Coalmine"/>
      <sheetName val="fixwater"/>
      <sheetName val="TYPE-A"/>
      <sheetName val="L(1)"/>
      <sheetName val="L(2)"/>
      <sheetName val="L(3)"/>
      <sheetName val="L(4)"/>
      <sheetName val="CP"/>
      <sheetName val="평균환율-USD"/>
      <sheetName val="EqptRate (2)"/>
      <sheetName val="BOQ-P"/>
      <sheetName val="Worksheet"/>
      <sheetName val="Electrical Pricelist"/>
      <sheetName val="CONPRIS"/>
      <sheetName val="Codes,..."/>
      <sheetName val="Stl-B"/>
      <sheetName val="INNER TANK"/>
      <sheetName val="IPE"/>
      <sheetName val="C_E"/>
      <sheetName val="RATES G-5"/>
      <sheetName val="RSB_RATIO"/>
      <sheetName val="TLLine"/>
      <sheetName val="Comparative Cluster Inner"/>
      <sheetName val="SDH"/>
      <sheetName val="600(3)a"/>
      <sheetName val="Final Certificate"/>
      <sheetName val="SUMMARY QUANTITIES"/>
      <sheetName val="SC Cost FEB 03"/>
      <sheetName val="MTL"/>
      <sheetName val="EQR"/>
      <sheetName val="LBR"/>
      <sheetName val="EQT"/>
      <sheetName val="Résultats"/>
      <sheetName val="Item#9.3"/>
      <sheetName val="Item#1.9"/>
      <sheetName val="Item#6.7"/>
      <sheetName val="Item#2.6"/>
      <sheetName val="Item#4.10"/>
      <sheetName val="Item#5.8"/>
      <sheetName val="Item#7.21"/>
      <sheetName val="Item#3.8"/>
      <sheetName val="Item#8.7"/>
      <sheetName val="DPA3A-1"/>
      <sheetName val="DPA Form"/>
      <sheetName val="U_A Input"/>
      <sheetName val="LabCost"/>
      <sheetName val="Ref."/>
      <sheetName val="RCPC.RCBC QUANTITY"/>
      <sheetName val="REFERENCE"/>
      <sheetName val="tabulation of deductions"/>
      <sheetName val="Report"/>
      <sheetName val="insulation"/>
      <sheetName val="Prelims"/>
      <sheetName val="GenReq"/>
      <sheetName val="CWDerivation"/>
      <sheetName val="THISWORKSHEET"/>
      <sheetName val="MTO REV.0"/>
      <sheetName val="Candy ee"/>
      <sheetName val="TYPE-B 평균H"/>
      <sheetName val="예총"/>
      <sheetName val="N-CRAM"/>
      <sheetName val="3BPA00132-5-3 W plan HVPNL"/>
      <sheetName val="CABLE DATA"/>
      <sheetName val="prod-rates2"/>
      <sheetName val="특수선일위대가"/>
      <sheetName val="方案1表二"/>
      <sheetName val="2002상반기노임기준"/>
      <sheetName val="인원加."/>
      <sheetName val="인원叐_x001b_"/>
      <sheetName val="REP"/>
      <sheetName val="MING"/>
      <sheetName val="MOBDEMOB"/>
      <sheetName val="ANALIS 2"/>
      <sheetName val="analpp"/>
      <sheetName val="bhnpp"/>
      <sheetName val="VA.1.2"/>
      <sheetName val="mutasi"/>
      <sheetName val="JURNAL"/>
      <sheetName val="campuran"/>
      <sheetName val="Cjs "/>
      <sheetName val="coates"/>
      <sheetName val="COM"/>
      <sheetName val="fsw"/>
      <sheetName val="dasecta"/>
      <sheetName val="dck"/>
      <sheetName val="handaya"/>
      <sheetName val="hitech"/>
      <sheetName val="intimas"/>
      <sheetName val="lkm"/>
      <sheetName val="makmur box"/>
      <sheetName val="SUMMARY NEW"/>
      <sheetName val="jet"/>
      <sheetName val="nasindo se"/>
      <sheetName val="sumber tapioka"/>
      <sheetName val="putra"/>
      <sheetName val="Wangi Harapan"/>
      <sheetName val="L2"/>
      <sheetName val="Exc. Rate"/>
      <sheetName val="Marshal"/>
      <sheetName val="diana"/>
      <sheetName val="hana sp"/>
      <sheetName val="taiyo"/>
      <sheetName val="HARAPAN JAYA"/>
      <sheetName val="bakti"/>
      <sheetName val="sinar indah"/>
      <sheetName val="zug"/>
      <sheetName val="tunggal"/>
      <sheetName val="mandiri pranala"/>
      <sheetName val="tunai SP"/>
      <sheetName val="PANCA MANUNGGAL"/>
      <sheetName val="thema"/>
      <sheetName val="Himalaya-T"/>
      <sheetName val="Himalaya_T"/>
      <sheetName val="cemerlang"/>
      <sheetName val="BRJ"/>
      <sheetName val="bintoro"/>
      <sheetName val="himalaya"/>
      <sheetName val="arindo"/>
      <sheetName val="kibaroto"/>
      <sheetName val="yusuf"/>
      <sheetName val="signode"/>
      <sheetName val="karya prima"/>
      <sheetName val="alba"/>
      <sheetName val="HERMON"/>
      <sheetName val="guna jaya"/>
      <sheetName val="saudara makmur"/>
      <sheetName val="jee feeng"/>
      <sheetName val="emk"/>
      <sheetName val="colindo"/>
      <sheetName val="sigindo"/>
      <sheetName val="grapic"/>
      <sheetName val="artha"/>
      <sheetName val="pdam"/>
      <sheetName val="laksana"/>
      <sheetName val="sinar budi"/>
      <sheetName val="gp"/>
      <sheetName val="KM"/>
      <sheetName val="DINAR JAYA"/>
      <sheetName val="tunai ST"/>
      <sheetName val="ustegra"/>
      <sheetName val="daya listrik"/>
      <sheetName val="tufiadi"/>
      <sheetName val="DPIC"/>
      <sheetName val="rengo"/>
      <sheetName val="podo"/>
      <sheetName val="tunai BP"/>
      <sheetName val="noree"/>
      <sheetName val="ekamas"/>
      <sheetName val="sarana"/>
      <sheetName val="flexograf"/>
      <sheetName val="kawat"/>
      <sheetName val="talenta"/>
      <sheetName val="skp pm"/>
      <sheetName val="pertamina"/>
      <sheetName val="TOYO"/>
      <sheetName val="usaha maju"/>
      <sheetName val="MOSCA"/>
      <sheetName val="sinerga"/>
      <sheetName val="gemilang"/>
      <sheetName val="darisa"/>
      <sheetName val="karunia inti"/>
      <sheetName val="kurnia jaya"/>
      <sheetName val="teguh jaya"/>
      <sheetName val="DWI JAYA "/>
      <sheetName val="dita wire"/>
      <sheetName val="MULTI KARYA"/>
      <sheetName val="jaya"/>
      <sheetName val="TANJUNG MAS"/>
      <sheetName val="smg mkmr"/>
      <sheetName val="pura"/>
      <sheetName val="klb"/>
      <sheetName val="src TGR"/>
      <sheetName val="interpak"/>
      <sheetName val="beltros"/>
      <sheetName val="sekar jagat"/>
      <sheetName val="shirou"/>
      <sheetName val="shanghai"/>
      <sheetName val="MULIA FORM"/>
      <sheetName val="apex"/>
      <sheetName val="ANUGERAH"/>
      <sheetName val="isowa"/>
      <sheetName val="pizoku"/>
      <sheetName val="sinar pagi st"/>
      <sheetName val="kharisma cemerl"/>
      <sheetName val="mekar jaya"/>
      <sheetName val="splastindo pm"/>
      <sheetName val="heru"/>
      <sheetName val="dinary"/>
      <sheetName val="src sby"/>
      <sheetName val="SINGO"/>
      <sheetName val="tlogo"/>
      <sheetName val="setia"/>
      <sheetName val="src pm"/>
      <sheetName val="indoteras"/>
      <sheetName val="bintang mulia"/>
      <sheetName val="gunung sumber "/>
      <sheetName val="servitek"/>
      <sheetName val="NASINDO"/>
      <sheetName val="pembelian"/>
      <sheetName val="JAYA TEJA PM"/>
      <sheetName val="GM"/>
      <sheetName val="pusaka"/>
      <sheetName val="sinar jasa sp"/>
      <sheetName val="indokomsp"/>
      <sheetName val="kawan"/>
      <sheetName val="mnara "/>
      <sheetName val="suryantara"/>
      <sheetName val="jomblang"/>
      <sheetName val="FESTO"/>
      <sheetName val="satya"/>
      <sheetName val="SUTRASA"/>
      <sheetName val="komala"/>
      <sheetName val="pakerin"/>
      <sheetName val="metalisha"/>
      <sheetName val="dharma"/>
      <sheetName val="margo mulyo"/>
      <sheetName val="bina mandiri"/>
      <sheetName val="kitagawa"/>
      <sheetName val="swono pm"/>
      <sheetName val="ADIL JAYA"/>
      <sheetName val="sukma"/>
      <sheetName val="sumber"/>
      <sheetName val="mitra"/>
      <sheetName val="lestari jaya"/>
      <sheetName val="surya bp"/>
      <sheetName val="sumber murni"/>
      <sheetName val="wijaya"/>
      <sheetName val="purinusa"/>
      <sheetName val="wira"/>
      <sheetName val="LAUTAN"/>
      <sheetName val="seroja"/>
      <sheetName val="sun"/>
      <sheetName val="HUTAN"/>
      <sheetName val="sinar pagi pm"/>
      <sheetName val="arianto"/>
      <sheetName val="tondi"/>
      <sheetName val="nuraria"/>
      <sheetName val="armansa"/>
      <sheetName val="andika"/>
      <sheetName val="bahana"/>
      <sheetName val="istana"/>
      <sheetName val="LUHUR"/>
      <sheetName val="kencana"/>
      <sheetName val="ALTRAK"/>
      <sheetName val="metro data"/>
      <sheetName val="PUSAT"/>
      <sheetName val="NUSA PILLAR SP"/>
      <sheetName val="HAMADA"/>
      <sheetName val="cakramerlindo"/>
      <sheetName val="stafina"/>
      <sheetName val="WISMA BELT"/>
      <sheetName val="marquip"/>
      <sheetName val="VG"/>
      <sheetName val="menara"/>
      <sheetName val="multi jaya"/>
      <sheetName val="karunia sp"/>
      <sheetName val="MAS"/>
      <sheetName val="magnyar"/>
      <sheetName val="GRAHA U NITEK"/>
      <sheetName val="handik"/>
      <sheetName val="hormat motor"/>
      <sheetName val="akur"/>
      <sheetName val="sumitomo"/>
      <sheetName val="petrolog"/>
      <sheetName val="parlin"/>
      <sheetName val="grand indo"/>
      <sheetName val="sungai budi"/>
      <sheetName val="lkh"/>
      <sheetName val="albany"/>
      <sheetName val="rekindo"/>
      <sheetName val="dai papers"/>
      <sheetName val="tunai PM"/>
      <sheetName val="sendang indahh "/>
      <sheetName val="bina usaha"/>
      <sheetName val="batavia"/>
      <sheetName val="kencana1"/>
      <sheetName val="smg sbr sjht"/>
      <sheetName val="SUMBER MAKMUR"/>
      <sheetName val="SUBUR"/>
      <sheetName val="Stewardship"/>
      <sheetName val="TB98,oct99&amp;sap99-WPL"/>
      <sheetName val="2. BQ"/>
      <sheetName val="TABLE NEC"/>
      <sheetName val="GC-2"/>
      <sheetName val="NEW REKAP "/>
      <sheetName val="BONUS"/>
      <sheetName val="Arsitektur"/>
      <sheetName val="Annual-Plan-1998-A-US$-Rupiah-F"/>
      <sheetName val="RBP- 2"/>
      <sheetName val="AKP-1"/>
      <sheetName val="LV induction _x0005_ˠ"/>
      <sheetName val="시산표"/>
      <sheetName val="sum1 (2)"/>
      <sheetName val="단면치수"/>
      <sheetName val="CFS3"/>
      <sheetName val="bi-mnthly rep Villa"/>
      <sheetName val="TPK(I) Budget"/>
      <sheetName val="Annex2"/>
      <sheetName val="BOQ1"/>
      <sheetName val="office"/>
      <sheetName val="BC - Final Templates"/>
      <sheetName val="RCBC Reinforcement"/>
      <sheetName val="KSP_Baseline4_RecourceTable_121"/>
      <sheetName val="CCNs"/>
      <sheetName val="upa of boq"/>
      <sheetName val="inWords"/>
      <sheetName val="Summary Foreign Comp"/>
      <sheetName val="grand summary"/>
      <sheetName val="wordsdata"/>
      <sheetName val="CREW  RATE"/>
      <sheetName val="BASIS 1"/>
      <sheetName val="Basis"/>
      <sheetName val="New Bld"/>
      <sheetName val="Sched-Structure IFB"/>
      <sheetName val="Channel - final template"/>
      <sheetName val="SewerPipe"/>
      <sheetName val="取费"/>
      <sheetName val="3__PE_Unit_1"/>
      <sheetName val="Man__Sum_1"/>
      <sheetName val="unit_mh_study1"/>
      <sheetName val="Offer_Sum_1"/>
      <sheetName val="Indirect_Pers_1"/>
      <sheetName val="endirek_ad-sa1"/>
      <sheetName val="Support_Pers_1"/>
      <sheetName val="Indirect_Pers__Assumptions1"/>
      <sheetName val="ind__cost_of_direct1"/>
      <sheetName val="Net_Salary_of_a_Direct1"/>
      <sheetName val="Direct_Cost_Sum_1"/>
      <sheetName val="Water_Cons_1"/>
      <sheetName val="Ind_Sale1"/>
      <sheetName val="GWP3_Outfitting_Works_Indirect1"/>
      <sheetName val="Batam_Forecast4"/>
      <sheetName val="Batam_Forecast_jun4"/>
      <sheetName val="Fabrication_Summary4"/>
      <sheetName val="D6978_Mar_21_-_FProj074"/>
      <sheetName val="GEAC_-_Dec194"/>
      <sheetName val="내역서_(N____42"/>
      <sheetName val="내역서_(N____52"/>
      <sheetName val="내역서_(N____62"/>
      <sheetName val="내역서_(N____72"/>
      <sheetName val="내역서_(N____82"/>
      <sheetName val="Control_Panel1"/>
      <sheetName val="using_rjs409_progress_data1"/>
      <sheetName val="Summary_F-217_R61"/>
      <sheetName val="BEU_btm_nozz_@_tsht1"/>
      <sheetName val="Cover_Sheet1"/>
      <sheetName val="DO_NOT_DELETE1"/>
      <sheetName val="Sheet256"/>
      <sheetName val="TB"/>
      <sheetName val="AOR"/>
      <sheetName val="SCHEDULE-3B"/>
      <sheetName val="3.1.1"/>
      <sheetName val="3.1.4"/>
      <sheetName val="2.5.1"/>
      <sheetName val="4.1.1"/>
      <sheetName val="4.3.2"/>
      <sheetName val="2.3.3"/>
      <sheetName val="5.3.1"/>
      <sheetName val="2.4.3"/>
      <sheetName val="สรุป"/>
      <sheetName val="BASEMENT 06-L05"/>
      <sheetName val="OPTIONS"/>
      <sheetName val="BCB 0"/>
      <sheetName val="Repair Pivot"/>
      <sheetName val="Sheet10"/>
      <sheetName val="JOINT_DETAILS_ALL"/>
      <sheetName val="Data Base"/>
      <sheetName val="Nation"/>
      <sheetName val="Gráficos A"/>
      <sheetName val="Progress_%"/>
      <sheetName val="REC__SALV_"/>
      <sheetName val="WORK_INDEX"/>
      <sheetName val="Price_Summary_(1)"/>
      <sheetName val="Price_Summary_(2)"/>
      <sheetName val="Gráficos_A"/>
      <sheetName val="ST-Control Bldg."/>
      <sheetName val="TABLE1"/>
      <sheetName val="[SANDA6,31%5-3_외상집계4"/>
      <sheetName val="31%DAN.XLS]P_Clients_fac3____3"/>
      <sheetName val="31%DAN.XLS]P_Clients_fac3____2"/>
      <sheetName val="HARGA SATUAN UPAH PEKERJA"/>
      <sheetName val="MARKET SEGMENT - HOTEL"/>
      <sheetName val="Montok"/>
      <sheetName val="indeks"/>
      <sheetName val="Breakdown-CommSvc"/>
      <sheetName val="Breakdown-ConstrSvc"/>
      <sheetName val="Breakdown-EngSvc"/>
      <sheetName val="Breakdown-ProjMgtServ"/>
      <sheetName val="HSE"/>
      <sheetName val="Breakdown-ProcSvc"/>
      <sheetName val="DFTR GARDIST"/>
      <sheetName val="NAME1"/>
      <sheetName val="CODE2"/>
      <sheetName val="Inert Balls"/>
      <sheetName val="PLANT LIST"/>
      <sheetName val="Progress_Tables"/>
      <sheetName val="Analisa_ME"/>
      <sheetName val="Common (LOV)"/>
      <sheetName val="Shaft Seal Type (LOV)"/>
      <sheetName val="Item Type II (LOV)"/>
      <sheetName val="Design Code (LOV)"/>
      <sheetName val="2-1"/>
      <sheetName val="投资汇总"/>
      <sheetName val="MappingTable"/>
      <sheetName val="_______x00_2"/>
      <sheetName val="__x001b__x0006__1"/>
      <sheetName val="tj定额"/>
      <sheetName val="기초단가"/>
      <sheetName val="영흥TL(UP,DOWN) "/>
      <sheetName val="bill02"/>
      <sheetName val="B14-FINISHES"/>
      <sheetName val="Staff Acco."/>
      <sheetName val="Bill 04 - water supply tb "/>
      <sheetName val="Weather"/>
      <sheetName val="成本多栏明细账"/>
      <sheetName val="Calculation"/>
      <sheetName val="PAD-F"/>
      <sheetName val="LTG-STG"/>
      <sheetName val="FORM5"/>
      <sheetName val="Material Prices"/>
      <sheetName val="13-septic"/>
      <sheetName val="7-ug"/>
      <sheetName val="2-utility"/>
      <sheetName val="11-hsd"/>
      <sheetName val="18-misc"/>
      <sheetName val="5-pipe"/>
      <sheetName val="วัดใต้"/>
      <sheetName val="CCTV_EST1"/>
      <sheetName val="B-3"/>
      <sheetName val="B-2"/>
      <sheetName val="banilad"/>
      <sheetName val="Mactan"/>
      <sheetName val="Mandaue"/>
      <sheetName val="OLD PRICES"/>
      <sheetName val="3.Labour"/>
      <sheetName val="1.Material"/>
      <sheetName val="MMI"/>
      <sheetName val="2.Machinery"/>
      <sheetName val="QTY Pipe Laying"/>
      <sheetName val="지원시설 내역서(154kV)"/>
      <sheetName val="Form 㮸"/>
      <sheetName val="Form 푨"/>
      <sheetName val="Names&amp;Cases"/>
      <sheetName val="S &amp; A"/>
      <sheetName val="Bed Class"/>
      <sheetName val="Cd"/>
      <sheetName val="Civil Works"/>
      <sheetName val="Form 6"/>
      <sheetName val="Calca"/>
      <sheetName val="내역서_耰&quot;_x000011"/>
      <sheetName val="__x001b__x0006__2"/>
      <sheetName val="내역서_(N__x000e__x000e__x000e___1"/>
      <sheetName val="내역서_ᢐ_x001f_1"/>
      <sheetName val="쬏+쫶&amp;쫹AN.XLS]______x001f__x000_4"/>
      <sheetName val="쬏+쫶&amp;쫹AN.XLS]______x001f__x000_2"/>
      <sheetName val="쬏+쫶&amp;쫹AN.XLS]______x001f__x000_3"/>
      <sheetName val="내역서_耰&quot;17"/>
      <sheetName val="내역서_耰&quot;_x000012"/>
      <sheetName val="__x001b__x0006__3"/>
      <sheetName val="내역서_(N__x000e__x000e__x000e___2"/>
      <sheetName val="내역서_ᢐ_x001f_2"/>
      <sheetName val="내역서_耰&quot;_x005f_x0000__x0015"/>
      <sheetName val="내역서_耰&quot;_x005f_x005f_x00015"/>
      <sheetName val="내역서_耰&quot;_x005f_x005f_x00515"/>
      <sheetName val="내역서_耰&quot;_x005f_x0000__x0016"/>
      <sheetName val="내역서_耰&quot;_x005f_x005f_x00016"/>
      <sheetName val="내역서_耰&quot;_x005f_x005f_x00516"/>
      <sheetName val="R"/>
      <sheetName val="EL"/>
      <sheetName val="LE_Total(G_Summ Proj)"/>
      <sheetName val="COVERUSRP"/>
      <sheetName val="Sheet261"/>
      <sheetName val="Sheet269"/>
      <sheetName val="dftr harga"/>
      <sheetName val="hrg. sat pek"/>
      <sheetName val="prhit tulangan"/>
      <sheetName val="vol pek"/>
      <sheetName val="MHR-ANLIS"/>
      <sheetName val="SENSITIVITAS"/>
      <sheetName val="LAPORAN"/>
      <sheetName val="PipeTable"/>
      <sheetName val="Rekap per-JB"/>
      <sheetName val="div 6a"/>
      <sheetName val="Rekap(Usul)"/>
      <sheetName val="TBLSKILL"/>
      <sheetName val="DATA INDUK"/>
      <sheetName val="Rinc Sewa A2B versi kenaikan"/>
      <sheetName val=" DKM"/>
      <sheetName val="COP"/>
      <sheetName val="Abstract"/>
      <sheetName val="BCDPL Certified"/>
      <sheetName val="BT3-Package 05"/>
      <sheetName val="BOQ-Civil"/>
      <sheetName val="BCDPL_Certified"/>
      <sheetName val="Old_Bars"/>
      <sheetName val="NPV"/>
      <sheetName val="DropList"/>
      <sheetName val="SPIR2"/>
      <sheetName val="건축내역서"/>
      <sheetName val="설비내역서"/>
      <sheetName val="전기내역서"/>
      <sheetName val="5사남"/>
      <sheetName val="dg-VTu"/>
      <sheetName val="내역서_(N____33"/>
      <sheetName val="PROG_1"/>
      <sheetName val="DIV_33"/>
      <sheetName val="내역서_(N____34"/>
      <sheetName val="1)_COMMON_FACILITIES2"/>
      <sheetName val="Dia_Inch1"/>
      <sheetName val="3_6M_RETAINING_WALL1"/>
      <sheetName val="Material_Groups1"/>
      <sheetName val="Material_Kind1"/>
      <sheetName val="Committed_Cost1"/>
      <sheetName val="첨부_#8_기자재_Cost_Summary1"/>
      <sheetName val="Div26_-_Elect1"/>
      <sheetName val="Bored_Pile1"/>
      <sheetName val="03-13_Anticipated1"/>
      <sheetName val="03-13_Approved1"/>
      <sheetName val="간접비_총괄표1"/>
      <sheetName val="04_09_19_Mufqi(2)1"/>
      <sheetName val="04_09_19_Winda(2)1"/>
      <sheetName val="Mufqi_29_08_191"/>
      <sheetName val="Ade_30_08_191"/>
      <sheetName val="Pramudibyo_30_08_191"/>
      <sheetName val="Aji_02_09_191"/>
      <sheetName val="Diah_02_09_191"/>
      <sheetName val="_09_191"/>
      <sheetName val="Breakdown_Instrument1"/>
      <sheetName val="Hujan_BUlanan1"/>
      <sheetName val="Issue_Log_1"/>
      <sheetName val="JP-I_5001551"/>
      <sheetName val="2__Steel_Structural1"/>
      <sheetName val="Unit_of_Measurement_1"/>
      <sheetName val="Risk_Variables1"/>
      <sheetName val="BOQ_LIST1"/>
      <sheetName val="Basic_Rate2"/>
      <sheetName val="앉음벽_(2)1"/>
      <sheetName val="5_새들부해석_및_철근배근1"/>
      <sheetName val="Executive_Summary_(Aug_25)1"/>
      <sheetName val="Named_Range1"/>
      <sheetName val="Floor_Level1"/>
      <sheetName val="19__drill_CD61"/>
      <sheetName val="MASTER_AR1"/>
      <sheetName val="P_M_별1"/>
      <sheetName val="01A__RAB1"/>
      <sheetName val="53_1"/>
      <sheetName val="MH_CIVIL1"/>
      <sheetName val="DIV_22"/>
      <sheetName val="DIV_71"/>
      <sheetName val="DIV_82"/>
      <sheetName val="DIV_34"/>
      <sheetName val="Rek_An1"/>
      <sheetName val="Rencana_Anggaran_Biaya1"/>
      <sheetName val="8&gt;한국인수당_(Master_file)1"/>
      <sheetName val="Calc_Sheet1"/>
      <sheetName val="Subcon_Rate1"/>
      <sheetName val="Sewa_Alat1"/>
      <sheetName val="BQ_ARS1"/>
      <sheetName val="DAFTAR_ISI1"/>
      <sheetName val="DAFTAR_TBL___FORM1"/>
      <sheetName val="Harga_ME_1"/>
      <sheetName val="Form_4___4_A1"/>
      <sheetName val="T-3_2_UP_Material1"/>
      <sheetName val="Analisa_STR1"/>
      <sheetName val="anal_alat1"/>
      <sheetName val="Cycle_Time1"/>
      <sheetName val="Daf_11"/>
      <sheetName val="RAB_J18_1"/>
      <sheetName val="HARGA_J181"/>
      <sheetName val="analisa_J181"/>
      <sheetName val="Cash_Out_Table1"/>
      <sheetName val="Net_Cash_Table1"/>
      <sheetName val="Data_SRL1"/>
      <sheetName val="Data_Prod_Graf1"/>
      <sheetName val="Unit_Rate1"/>
      <sheetName val="D-3_(M)1"/>
      <sheetName val="D-7_(M)1"/>
      <sheetName val="01A-_RAB1"/>
      <sheetName val="AP_'S_ANALYSIS1"/>
      <sheetName val="H__Dasar1"/>
      <sheetName val="HRG_BH1"/>
      <sheetName val="CHITIET_VL-NC-TT_-1p1"/>
      <sheetName val="TONG_HOP_VL-NC1"/>
      <sheetName val="TONGKE3p_1"/>
      <sheetName val="DON_GIA1"/>
      <sheetName val="t-h_HA_THE1"/>
      <sheetName val="THPDMoi__(2)1"/>
      <sheetName val="TONG_HOP_VL-NC_TT1"/>
      <sheetName val="TH_XL1"/>
      <sheetName val="CHITIET_VL-NC1"/>
      <sheetName val="HARGA_SAT1"/>
      <sheetName val="23_FILTH_1"/>
      <sheetName val="02_01E_coli1"/>
      <sheetName val="Deliverable_list1"/>
      <sheetName val="member_design1"/>
      <sheetName val="Data_basic_price_jgan_diprint1"/>
      <sheetName val="anal_rab1"/>
      <sheetName val="Pivot_Table1"/>
      <sheetName val="PBAC_budget1"/>
      <sheetName val="환경기계공정표_(3)1"/>
      <sheetName val="Issue_Detail_(2nd_Stage)1"/>
      <sheetName val="rekap_harga_satuan_pek1"/>
      <sheetName val="rab_j171"/>
      <sheetName val="_anal_hrg_sat1"/>
      <sheetName val="RAB_KapukII1"/>
      <sheetName val="Ca_máy1"/>
      <sheetName val="Cước_VC_+_ĐM_CP_Tư_vấn1"/>
      <sheetName val="Dự_toán1"/>
      <sheetName val="Đơn_Giá_TH1"/>
      <sheetName val="Nhân_công1"/>
      <sheetName val="Phân_tích1"/>
      <sheetName val="Hệ_số1"/>
      <sheetName val="C_P_Thiết_bị1"/>
      <sheetName val="T_H_Kinh_phí1"/>
      <sheetName val="Vật_tư1"/>
      <sheetName val="Trang_bìa1"/>
      <sheetName val="Riesgos_y_Oportunidades1"/>
      <sheetName val="첨부2__물량소화계획_상세1"/>
      <sheetName val="Project_Information_In-Out1"/>
      <sheetName val="TOWER_12TON1"/>
      <sheetName val="TOWER_10TON1"/>
      <sheetName val="Cover_(sh_1)1"/>
      <sheetName val="A2-1-S-Curve and MP histogram"/>
      <sheetName val="A6-Registre Gest des risques"/>
      <sheetName val="4. S_Overall Precom &amp; Comm"/>
      <sheetName val="ENQ222394AL_NASR_Steel_Report2"/>
      <sheetName val="Dynamic_Query2"/>
      <sheetName val="FPF-Unit_Rates1"/>
      <sheetName val="PNT-Unit_Rates1"/>
      <sheetName val="AK-2004 (2)"/>
      <sheetName val="Est"/>
      <sheetName val="수량이동"/>
      <sheetName val="CEO혁신회의_r2"/>
      <sheetName val="KABULLER.XLS"/>
      <sheetName val="CCS"/>
      <sheetName val="Environment"/>
      <sheetName val="TIPO 1"/>
      <sheetName val="DPres Calc"/>
      <sheetName val="DTmpData"/>
      <sheetName val="Datas"/>
      <sheetName val="Tab_mot"/>
      <sheetName val="Power balance"/>
      <sheetName val="EAIGESEN"/>
      <sheetName val="2  "/>
      <sheetName val="내역서_(N___ 10"/>
      <sheetName val="_ ____ _"/>
      <sheetName val="Weekl__ _"/>
      <sheetName val="_ __x0"/>
      <sheetName val="선택 속성(잠금)"/>
      <sheetName val="Условия"/>
      <sheetName val="磨煤加压"/>
      <sheetName val="[SAND_x000f__x000f_»¿ª¼­ (CIVIL-7)"/>
      <sheetName val="_____x005f_x005f_x005f_x005f_x005f_x005f_x005f_x005f__2"/>
      <sheetName val="_______x005f_x005f_x005f_x005f_x005f_x005f_x005_2"/>
      <sheetName val="_x005f_x005f_x005f_x005f_x005f_x005f_x005f_x005f_x005_2"/>
      <sheetName val="PL_USD_Aver.Eligible Vendor"/>
      <sheetName val="Table-3"/>
      <sheetName val="PLANILLA FINAL"/>
      <sheetName val="表J7工程量计算表(总图)"/>
      <sheetName val="Status_Sub_System"/>
      <sheetName val="List__Flange"/>
      <sheetName val="เขตการค้าย่อย"/>
      <sheetName val="[SANDA6,31%"/>
      <sheetName val="31%"/>
      <sheetName val="[SAND"/>
      <sheetName val="주관사업"/>
      <sheetName val="Control Network Install"/>
      <sheetName val="Control Network Supply"/>
      <sheetName val="Elec Install"/>
      <sheetName val="Inst Install"/>
      <sheetName val="XDO_HIDDEN"/>
      <sheetName val="Takeoff"/>
      <sheetName val="人员动迁计划"/>
      <sheetName val="Sheet243"/>
      <sheetName val=" _x0000__x001b__x0000__x0006__x"/>
      <sheetName val="Weekl_x0004__x0000__x0016__x000"/>
      <sheetName val="내역서_(N_x0009__x000e__x000e__x00"/>
      <sheetName val="Precios Unitariԯ_x0000_"/>
      <sheetName val="내역서_耰&quot;_x0000__x0004"/>
      <sheetName val="내역서_耰&quot;_x0000__x0003"/>
      <sheetName val="내역서_耰&quot;_x0000__x0005"/>
      <sheetName val="내역서_耰&quot;_x0000__x0000_7"/>
      <sheetName val="내역서_耰&quot;_x0000__x0000_2"/>
      <sheetName val="내역서_耰&quot;_x0000__x0000_3"/>
      <sheetName val="내역서_耰&quot;_x0000__x0000_4"/>
      <sheetName val="내역서_耰&quot;_x0000__x0000_5"/>
      <sheetName val="내역서 耰&quot;_x0000_"/>
      <sheetName val="내역서_耰&quot;_x0000_"/>
      <sheetName val=" _x0000__x001b__x0000__x0"/>
      <sheetName val="OPT_x0012__x0000__x0010__x0000_ _x0000_"/>
      <sheetName val="_x0000__x0004_"/>
      <sheetName val="내역서_耰&quot;_x0000__x00001"/>
      <sheetName val="OPT_x0012__x0000__x0010__x0000_"/>
      <sheetName val="내역서_耰&quot;_x0000__x0006"/>
      <sheetName val="내역서_耰&quot;_x0000__x0000_8"/>
      <sheetName val="내역서_耰&quot;_x0000__x00002"/>
      <sheetName val="내역서_耰&quot;_x0000_1"/>
      <sheetName val="내역서_耰&quot;_x0000__x00003"/>
      <sheetName val="내역서_耰&quot;_x0000_2"/>
      <sheetName val="Site_x0000__x0000_"/>
      <sheetName val="LV induction _x0000__x0000__x0005__x0000_묠"/>
      <sheetName val="내역서_耰&quot;_x0000__x0007"/>
      <sheetName val="배관_x0000__x0000_"/>
      <sheetName val="2_x0010__x0000__x000a__x0000__x0003__x0000__x000d__x0000__x0008__x0000__x0010__x0000__x0004__x0000__x0004__x0000__x0004_"/>
      <sheetName val="Z- GENERAL PRIC_x0000__x0000__x0005__x0000_ẹ_x0000__x0000__x0000_"/>
      <sheetName val="LV induction mot_x0000__x0000__x0005_"/>
      <sheetName val="Sheet_x0000__x0000__x0005__x0000_ư"/>
      <sheetName val="Sheet_x0000__x0000__x0005__x0000_፠"/>
      <sheetName val="Sheet_x0000__x0000__x0005__x0000__xded0_"/>
      <sheetName val="Sheet_x0000__x0000__x0005__x0000_팠"/>
      <sheetName val="Sheet_x0000__x0000__x0005__x0000_⡰"/>
      <sheetName val="Sheet_x0000__x0000__x0005__x0000_㜰"/>
      <sheetName val="Sheet_x0000__x0000__x0005__x0000_븰"/>
      <sheetName val="내역서_耰&quot;_x0000__x0008"/>
      <sheetName val="내역서_耰&quot;_x0000__x0000_9"/>
      <sheetName val="내역서_耰&quot;_x0000_3"/>
      <sheetName val="내역서_耰&quot;_x0000__x00004"/>
      <sheetName val="내역서_耰&quot;_x0000__x0000_10"/>
      <sheetName val="내역서_耰&quot;_x0000__x00005"/>
      <sheetName val="내역서_耰&quot;_x0000_4"/>
      <sheetName val="내역서_耰&quot;_x0000__x0000_11"/>
      <sheetName val="내역서_耰&quot;_x0000__x00006"/>
      <sheetName val="내역서_耰&quot;_x0000_5"/>
      <sheetName val="Sheet_x0000__x0000__x0005__x0000_"/>
      <sheetName val="내역서_耰&quot;_x0000__x0009"/>
      <sheetName val="내역서_耰&quot;_x0000__x0010"/>
      <sheetName val="인원_x0000__x0000_"/>
      <sheetName val="Sheet_x0000__x0000__x0005__x0000_�"/>
      <sheetName val="2_x0010__x0000_ _x0000__x0003__x0000__x000d__x0000__x0008__x0000__x0010__x0000__x0004__x0000__x0004__x0000__x0004_"/>
      <sheetName val="인원_x0008__x0000_"/>
      <sheetName val="Z- GENERAL PRIC鋘@俀~橿⿂_x0000__x0"/>
      <sheetName val="Z- GENERAL PRIC_x0000__x0000__x"/>
      <sheetName val="LV induction _x0000__x0000__x00"/>
      <sheetName val="Sheet_x0000__x0000__x0005__x000"/>
      <sheetName val="LV induction mot_x0000__x0000__"/>
      <sheetName val="2_x0010__x0000__x000a__x0000__x"/>
      <sheetName val="2_x0010__x0000_ _x0000__x0003__"/>
      <sheetName val="LV induction _x0000__x0000__x0005__x0000_ˠ"/>
      <sheetName val="[SANDA6,31%_x0000_5-3_외상집계4"/>
      <sheetName val="31%_x0000_DAN.XLS]P_Clients_fac3____3"/>
      <sheetName val="31%_x0000_DAN.XLS]P_Clients_fac3____2"/>
      <sheetName val="내역서_耰&quot;_x0000__x000011"/>
      <sheetName val="__x0000__x001b__x0000__x0006__2"/>
      <sheetName val="내역서_耰&quot;_x0000__x0000_17"/>
      <sheetName val="내역서_耰&quot;_x0000__x000012"/>
      <sheetName val="__x0000__x001b__x0000__x0006__3"/>
      <sheetName val="[SAND_x0000__x0000__x0000__x000f__x0000__x0000__x0000__x000f_»¿ª¼­ (CIVIL-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sheetData sheetId="642" refreshError="1"/>
      <sheetData sheetId="643" refreshError="1"/>
      <sheetData sheetId="644" refreshError="1"/>
      <sheetData sheetId="645" refreshError="1"/>
      <sheetData sheetId="646" refreshError="1"/>
      <sheetData sheetId="647" refreshError="1"/>
      <sheetData sheetId="648"/>
      <sheetData sheetId="649"/>
      <sheetData sheetId="650" refreshError="1"/>
      <sheetData sheetId="651" refreshError="1"/>
      <sheetData sheetId="652"/>
      <sheetData sheetId="653"/>
      <sheetData sheetId="654" refreshError="1"/>
      <sheetData sheetId="655" refreshError="1"/>
      <sheetData sheetId="656" refreshError="1"/>
      <sheetData sheetId="657" refreshError="1"/>
      <sheetData sheetId="658" refreshError="1"/>
      <sheetData sheetId="659"/>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row r="4">
          <cell r="I4">
            <v>0</v>
          </cell>
        </row>
      </sheetData>
      <sheetData sheetId="684">
        <row r="4">
          <cell r="I4">
            <v>0</v>
          </cell>
        </row>
      </sheetData>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row r="4">
          <cell r="I4">
            <v>0</v>
          </cell>
        </row>
      </sheetData>
      <sheetData sheetId="699">
        <row r="4">
          <cell r="I4">
            <v>0</v>
          </cell>
        </row>
      </sheetData>
      <sheetData sheetId="700"/>
      <sheetData sheetId="701"/>
      <sheetData sheetId="702"/>
      <sheetData sheetId="703"/>
      <sheetData sheetId="704"/>
      <sheetData sheetId="705"/>
      <sheetData sheetId="706"/>
      <sheetData sheetId="707">
        <row r="4">
          <cell r="I4">
            <v>0</v>
          </cell>
        </row>
      </sheetData>
      <sheetData sheetId="708">
        <row r="4">
          <cell r="I4">
            <v>0</v>
          </cell>
        </row>
      </sheetData>
      <sheetData sheetId="709">
        <row r="4">
          <cell r="I4">
            <v>0</v>
          </cell>
        </row>
      </sheetData>
      <sheetData sheetId="710">
        <row r="4">
          <cell r="I4">
            <v>0</v>
          </cell>
        </row>
      </sheetData>
      <sheetData sheetId="711">
        <row r="4">
          <cell r="I4">
            <v>0</v>
          </cell>
        </row>
      </sheetData>
      <sheetData sheetId="712">
        <row r="4">
          <cell r="I4">
            <v>0</v>
          </cell>
        </row>
      </sheetData>
      <sheetData sheetId="713">
        <row r="4">
          <cell r="I4">
            <v>0</v>
          </cell>
        </row>
      </sheetData>
      <sheetData sheetId="714">
        <row r="4">
          <cell r="I4">
            <v>0</v>
          </cell>
        </row>
      </sheetData>
      <sheetData sheetId="715">
        <row r="4">
          <cell r="I4">
            <v>0</v>
          </cell>
        </row>
      </sheetData>
      <sheetData sheetId="716">
        <row r="4">
          <cell r="I4">
            <v>0</v>
          </cell>
        </row>
      </sheetData>
      <sheetData sheetId="717">
        <row r="4">
          <cell r="I4">
            <v>0</v>
          </cell>
        </row>
      </sheetData>
      <sheetData sheetId="718">
        <row r="4">
          <cell r="I4">
            <v>0</v>
          </cell>
        </row>
      </sheetData>
      <sheetData sheetId="719">
        <row r="4">
          <cell r="I4">
            <v>0</v>
          </cell>
        </row>
      </sheetData>
      <sheetData sheetId="720">
        <row r="4">
          <cell r="I4">
            <v>0</v>
          </cell>
        </row>
      </sheetData>
      <sheetData sheetId="721">
        <row r="4">
          <cell r="I4">
            <v>0</v>
          </cell>
        </row>
      </sheetData>
      <sheetData sheetId="722">
        <row r="4">
          <cell r="I4">
            <v>0</v>
          </cell>
        </row>
      </sheetData>
      <sheetData sheetId="723">
        <row r="4">
          <cell r="I4">
            <v>0</v>
          </cell>
        </row>
      </sheetData>
      <sheetData sheetId="724">
        <row r="4">
          <cell r="I4">
            <v>0</v>
          </cell>
        </row>
      </sheetData>
      <sheetData sheetId="725">
        <row r="4">
          <cell r="I4">
            <v>0</v>
          </cell>
        </row>
      </sheetData>
      <sheetData sheetId="726">
        <row r="4">
          <cell r="I4">
            <v>0</v>
          </cell>
        </row>
      </sheetData>
      <sheetData sheetId="727">
        <row r="4">
          <cell r="I4">
            <v>0</v>
          </cell>
        </row>
      </sheetData>
      <sheetData sheetId="728">
        <row r="4">
          <cell r="I4">
            <v>0</v>
          </cell>
        </row>
      </sheetData>
      <sheetData sheetId="729">
        <row r="4">
          <cell r="I4">
            <v>0</v>
          </cell>
        </row>
      </sheetData>
      <sheetData sheetId="730">
        <row r="4">
          <cell r="I4">
            <v>0</v>
          </cell>
        </row>
      </sheetData>
      <sheetData sheetId="731">
        <row r="4">
          <cell r="I4">
            <v>0</v>
          </cell>
        </row>
      </sheetData>
      <sheetData sheetId="732">
        <row r="4">
          <cell r="I4">
            <v>0</v>
          </cell>
        </row>
      </sheetData>
      <sheetData sheetId="733">
        <row r="4">
          <cell r="I4">
            <v>0</v>
          </cell>
        </row>
      </sheetData>
      <sheetData sheetId="734">
        <row r="4">
          <cell r="I4">
            <v>0</v>
          </cell>
        </row>
      </sheetData>
      <sheetData sheetId="735">
        <row r="4">
          <cell r="I4">
            <v>0</v>
          </cell>
        </row>
      </sheetData>
      <sheetData sheetId="736">
        <row r="4">
          <cell r="I4">
            <v>0</v>
          </cell>
        </row>
      </sheetData>
      <sheetData sheetId="737">
        <row r="4">
          <cell r="I4">
            <v>0</v>
          </cell>
        </row>
      </sheetData>
      <sheetData sheetId="738">
        <row r="4">
          <cell r="I4">
            <v>0</v>
          </cell>
        </row>
      </sheetData>
      <sheetData sheetId="739">
        <row r="4">
          <cell r="I4">
            <v>0</v>
          </cell>
        </row>
      </sheetData>
      <sheetData sheetId="740">
        <row r="4">
          <cell r="I4">
            <v>0</v>
          </cell>
        </row>
      </sheetData>
      <sheetData sheetId="741">
        <row r="4">
          <cell r="I4">
            <v>0</v>
          </cell>
        </row>
      </sheetData>
      <sheetData sheetId="742">
        <row r="4">
          <cell r="I4">
            <v>0</v>
          </cell>
        </row>
      </sheetData>
      <sheetData sheetId="743">
        <row r="4">
          <cell r="I4">
            <v>0</v>
          </cell>
        </row>
      </sheetData>
      <sheetData sheetId="744">
        <row r="4">
          <cell r="I4">
            <v>0</v>
          </cell>
        </row>
      </sheetData>
      <sheetData sheetId="745">
        <row r="4">
          <cell r="I4">
            <v>0</v>
          </cell>
        </row>
      </sheetData>
      <sheetData sheetId="746">
        <row r="4">
          <cell r="I4">
            <v>0</v>
          </cell>
        </row>
      </sheetData>
      <sheetData sheetId="747">
        <row r="4">
          <cell r="I4">
            <v>0</v>
          </cell>
        </row>
      </sheetData>
      <sheetData sheetId="748">
        <row r="4">
          <cell r="I4">
            <v>0</v>
          </cell>
        </row>
      </sheetData>
      <sheetData sheetId="749">
        <row r="4">
          <cell r="I4">
            <v>0</v>
          </cell>
        </row>
      </sheetData>
      <sheetData sheetId="750">
        <row r="4">
          <cell r="I4">
            <v>0</v>
          </cell>
        </row>
      </sheetData>
      <sheetData sheetId="751">
        <row r="4">
          <cell r="I4">
            <v>0</v>
          </cell>
        </row>
      </sheetData>
      <sheetData sheetId="752">
        <row r="4">
          <cell r="I4">
            <v>0</v>
          </cell>
        </row>
      </sheetData>
      <sheetData sheetId="753">
        <row r="4">
          <cell r="I4">
            <v>0</v>
          </cell>
        </row>
      </sheetData>
      <sheetData sheetId="754"/>
      <sheetData sheetId="755"/>
      <sheetData sheetId="756"/>
      <sheetData sheetId="757">
        <row r="4">
          <cell r="I4">
            <v>0</v>
          </cell>
        </row>
      </sheetData>
      <sheetData sheetId="758">
        <row r="4">
          <cell r="I4">
            <v>0</v>
          </cell>
        </row>
      </sheetData>
      <sheetData sheetId="759">
        <row r="4">
          <cell r="I4">
            <v>0</v>
          </cell>
        </row>
      </sheetData>
      <sheetData sheetId="760">
        <row r="4">
          <cell r="I4">
            <v>0</v>
          </cell>
        </row>
      </sheetData>
      <sheetData sheetId="761">
        <row r="4">
          <cell r="I4">
            <v>0</v>
          </cell>
        </row>
      </sheetData>
      <sheetData sheetId="762">
        <row r="4">
          <cell r="I4">
            <v>0</v>
          </cell>
        </row>
      </sheetData>
      <sheetData sheetId="763">
        <row r="4">
          <cell r="I4">
            <v>0</v>
          </cell>
        </row>
      </sheetData>
      <sheetData sheetId="764">
        <row r="4">
          <cell r="I4">
            <v>0</v>
          </cell>
        </row>
      </sheetData>
      <sheetData sheetId="765">
        <row r="4">
          <cell r="I4">
            <v>0</v>
          </cell>
        </row>
      </sheetData>
      <sheetData sheetId="766">
        <row r="4">
          <cell r="I4">
            <v>0</v>
          </cell>
        </row>
      </sheetData>
      <sheetData sheetId="767">
        <row r="4">
          <cell r="I4">
            <v>0</v>
          </cell>
        </row>
      </sheetData>
      <sheetData sheetId="768">
        <row r="4">
          <cell r="I4">
            <v>0</v>
          </cell>
        </row>
      </sheetData>
      <sheetData sheetId="769">
        <row r="4">
          <cell r="I4">
            <v>0</v>
          </cell>
        </row>
      </sheetData>
      <sheetData sheetId="770">
        <row r="4">
          <cell r="I4">
            <v>0</v>
          </cell>
        </row>
      </sheetData>
      <sheetData sheetId="771">
        <row r="4">
          <cell r="I4">
            <v>0</v>
          </cell>
        </row>
      </sheetData>
      <sheetData sheetId="772">
        <row r="4">
          <cell r="I4">
            <v>0</v>
          </cell>
        </row>
      </sheetData>
      <sheetData sheetId="773">
        <row r="4">
          <cell r="I4">
            <v>0</v>
          </cell>
        </row>
      </sheetData>
      <sheetData sheetId="774">
        <row r="4">
          <cell r="I4">
            <v>0</v>
          </cell>
        </row>
      </sheetData>
      <sheetData sheetId="775">
        <row r="4">
          <cell r="I4">
            <v>0</v>
          </cell>
        </row>
      </sheetData>
      <sheetData sheetId="776">
        <row r="4">
          <cell r="I4">
            <v>0</v>
          </cell>
        </row>
      </sheetData>
      <sheetData sheetId="777">
        <row r="4">
          <cell r="I4">
            <v>0</v>
          </cell>
        </row>
      </sheetData>
      <sheetData sheetId="778">
        <row r="4">
          <cell r="I4">
            <v>0</v>
          </cell>
        </row>
      </sheetData>
      <sheetData sheetId="779">
        <row r="4">
          <cell r="I4">
            <v>0</v>
          </cell>
        </row>
      </sheetData>
      <sheetData sheetId="780">
        <row r="4">
          <cell r="I4">
            <v>0</v>
          </cell>
        </row>
      </sheetData>
      <sheetData sheetId="781">
        <row r="4">
          <cell r="I4">
            <v>0</v>
          </cell>
        </row>
      </sheetData>
      <sheetData sheetId="782">
        <row r="4">
          <cell r="I4">
            <v>0</v>
          </cell>
        </row>
      </sheetData>
      <sheetData sheetId="783">
        <row r="4">
          <cell r="I4">
            <v>0</v>
          </cell>
        </row>
      </sheetData>
      <sheetData sheetId="784">
        <row r="4">
          <cell r="I4">
            <v>0</v>
          </cell>
        </row>
      </sheetData>
      <sheetData sheetId="785">
        <row r="4">
          <cell r="I4">
            <v>0</v>
          </cell>
        </row>
      </sheetData>
      <sheetData sheetId="786">
        <row r="4">
          <cell r="I4">
            <v>0</v>
          </cell>
        </row>
      </sheetData>
      <sheetData sheetId="787"/>
      <sheetData sheetId="788">
        <row r="4">
          <cell r="I4">
            <v>0</v>
          </cell>
        </row>
      </sheetData>
      <sheetData sheetId="789">
        <row r="4">
          <cell r="I4">
            <v>0</v>
          </cell>
        </row>
      </sheetData>
      <sheetData sheetId="790">
        <row r="4">
          <cell r="I4">
            <v>0</v>
          </cell>
        </row>
      </sheetData>
      <sheetData sheetId="791"/>
      <sheetData sheetId="792">
        <row r="4">
          <cell r="I4">
            <v>0</v>
          </cell>
        </row>
      </sheetData>
      <sheetData sheetId="793" refreshError="1"/>
      <sheetData sheetId="794" refreshError="1"/>
      <sheetData sheetId="795" refreshError="1"/>
      <sheetData sheetId="796" refreshError="1"/>
      <sheetData sheetId="797">
        <row r="4">
          <cell r="I4">
            <v>0</v>
          </cell>
        </row>
      </sheetData>
      <sheetData sheetId="798" refreshError="1"/>
      <sheetData sheetId="799" refreshError="1"/>
      <sheetData sheetId="800">
        <row r="4">
          <cell r="I4">
            <v>0</v>
          </cell>
        </row>
      </sheetData>
      <sheetData sheetId="801" refreshError="1"/>
      <sheetData sheetId="802" refreshError="1"/>
      <sheetData sheetId="803" refreshError="1"/>
      <sheetData sheetId="804" refreshError="1"/>
      <sheetData sheetId="805" refreshError="1"/>
      <sheetData sheetId="806" refreshError="1"/>
      <sheetData sheetId="807" refreshError="1"/>
      <sheetData sheetId="808">
        <row r="4">
          <cell r="I4">
            <v>0</v>
          </cell>
        </row>
      </sheetData>
      <sheetData sheetId="809">
        <row r="4">
          <cell r="M4">
            <v>100</v>
          </cell>
        </row>
      </sheetData>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ow r="4">
          <cell r="I4">
            <v>0</v>
          </cell>
        </row>
      </sheetData>
      <sheetData sheetId="828" refreshError="1"/>
      <sheetData sheetId="829" refreshError="1"/>
      <sheetData sheetId="830" refreshError="1"/>
      <sheetData sheetId="831" refreshError="1"/>
      <sheetData sheetId="832"/>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ow r="4">
          <cell r="I4">
            <v>0</v>
          </cell>
        </row>
      </sheetData>
      <sheetData sheetId="934"/>
      <sheetData sheetId="935"/>
      <sheetData sheetId="936"/>
      <sheetData sheetId="937"/>
      <sheetData sheetId="938" refreshError="1"/>
      <sheetData sheetId="939" refreshError="1"/>
      <sheetData sheetId="940" refreshError="1"/>
      <sheetData sheetId="941">
        <row r="4">
          <cell r="I4">
            <v>0</v>
          </cell>
        </row>
      </sheetData>
      <sheetData sheetId="942">
        <row r="4">
          <cell r="I4">
            <v>0</v>
          </cell>
        </row>
      </sheetData>
      <sheetData sheetId="943" refreshError="1"/>
      <sheetData sheetId="944" refreshError="1"/>
      <sheetData sheetId="945" refreshError="1"/>
      <sheetData sheetId="946" refreshError="1"/>
      <sheetData sheetId="947">
        <row r="4">
          <cell r="I4">
            <v>0</v>
          </cell>
        </row>
      </sheetData>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sheetData sheetId="957" refreshError="1"/>
      <sheetData sheetId="958" refreshError="1"/>
      <sheetData sheetId="959" refreshError="1"/>
      <sheetData sheetId="960" refreshError="1"/>
      <sheetData sheetId="961" refreshError="1"/>
      <sheetData sheetId="962" refreshError="1"/>
      <sheetData sheetId="963"/>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sheetData sheetId="976" refreshError="1"/>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ow r="4">
          <cell r="I4">
            <v>0</v>
          </cell>
        </row>
      </sheetData>
      <sheetData sheetId="1038">
        <row r="4">
          <cell r="I4">
            <v>0</v>
          </cell>
        </row>
      </sheetData>
      <sheetData sheetId="1039">
        <row r="4">
          <cell r="I4">
            <v>0</v>
          </cell>
        </row>
      </sheetData>
      <sheetData sheetId="1040">
        <row r="4">
          <cell r="I4">
            <v>0</v>
          </cell>
        </row>
      </sheetData>
      <sheetData sheetId="1041">
        <row r="4">
          <cell r="I4">
            <v>0</v>
          </cell>
        </row>
      </sheetData>
      <sheetData sheetId="1042">
        <row r="4">
          <cell r="I4">
            <v>0</v>
          </cell>
        </row>
      </sheetData>
      <sheetData sheetId="1043">
        <row r="4">
          <cell r="I4">
            <v>0</v>
          </cell>
        </row>
      </sheetData>
      <sheetData sheetId="1044">
        <row r="4">
          <cell r="I4">
            <v>0</v>
          </cell>
        </row>
      </sheetData>
      <sheetData sheetId="1045">
        <row r="4">
          <cell r="I4">
            <v>0</v>
          </cell>
        </row>
      </sheetData>
      <sheetData sheetId="1046">
        <row r="4">
          <cell r="I4">
            <v>0</v>
          </cell>
        </row>
      </sheetData>
      <sheetData sheetId="1047">
        <row r="4">
          <cell r="I4">
            <v>0</v>
          </cell>
        </row>
      </sheetData>
      <sheetData sheetId="1048">
        <row r="4">
          <cell r="I4">
            <v>0</v>
          </cell>
        </row>
      </sheetData>
      <sheetData sheetId="1049">
        <row r="4">
          <cell r="I4">
            <v>0</v>
          </cell>
        </row>
      </sheetData>
      <sheetData sheetId="1050">
        <row r="4">
          <cell r="I4">
            <v>0</v>
          </cell>
        </row>
      </sheetData>
      <sheetData sheetId="1051">
        <row r="4">
          <cell r="I4">
            <v>0</v>
          </cell>
        </row>
      </sheetData>
      <sheetData sheetId="1052">
        <row r="4">
          <cell r="I4">
            <v>0</v>
          </cell>
        </row>
      </sheetData>
      <sheetData sheetId="1053">
        <row r="4">
          <cell r="I4">
            <v>0</v>
          </cell>
        </row>
      </sheetData>
      <sheetData sheetId="1054">
        <row r="4">
          <cell r="I4">
            <v>0</v>
          </cell>
        </row>
      </sheetData>
      <sheetData sheetId="1055">
        <row r="4">
          <cell r="I4">
            <v>0</v>
          </cell>
        </row>
      </sheetData>
      <sheetData sheetId="1056">
        <row r="4">
          <cell r="I4">
            <v>0</v>
          </cell>
        </row>
      </sheetData>
      <sheetData sheetId="1057">
        <row r="4">
          <cell r="I4">
            <v>0</v>
          </cell>
        </row>
      </sheetData>
      <sheetData sheetId="1058">
        <row r="4">
          <cell r="I4">
            <v>0</v>
          </cell>
        </row>
      </sheetData>
      <sheetData sheetId="1059">
        <row r="4">
          <cell r="I4">
            <v>0</v>
          </cell>
        </row>
      </sheetData>
      <sheetData sheetId="1060">
        <row r="4">
          <cell r="I4">
            <v>0</v>
          </cell>
        </row>
      </sheetData>
      <sheetData sheetId="1061">
        <row r="4">
          <cell r="I4">
            <v>0</v>
          </cell>
        </row>
      </sheetData>
      <sheetData sheetId="1062">
        <row r="4">
          <cell r="I4">
            <v>0</v>
          </cell>
        </row>
      </sheetData>
      <sheetData sheetId="1063">
        <row r="4">
          <cell r="I4">
            <v>0</v>
          </cell>
        </row>
      </sheetData>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ow r="4">
          <cell r="I4">
            <v>0</v>
          </cell>
        </row>
      </sheetData>
      <sheetData sheetId="1128">
        <row r="4">
          <cell r="I4">
            <v>0</v>
          </cell>
        </row>
      </sheetData>
      <sheetData sheetId="1129">
        <row r="4">
          <cell r="I4">
            <v>0</v>
          </cell>
        </row>
      </sheetData>
      <sheetData sheetId="1130">
        <row r="4">
          <cell r="I4">
            <v>0</v>
          </cell>
        </row>
      </sheetData>
      <sheetData sheetId="1131">
        <row r="4">
          <cell r="I4">
            <v>0</v>
          </cell>
        </row>
      </sheetData>
      <sheetData sheetId="1132">
        <row r="4">
          <cell r="I4">
            <v>0</v>
          </cell>
        </row>
      </sheetData>
      <sheetData sheetId="1133">
        <row r="4">
          <cell r="I4">
            <v>0</v>
          </cell>
        </row>
      </sheetData>
      <sheetData sheetId="1134">
        <row r="4">
          <cell r="I4">
            <v>0</v>
          </cell>
        </row>
      </sheetData>
      <sheetData sheetId="1135">
        <row r="4">
          <cell r="I4">
            <v>0</v>
          </cell>
        </row>
      </sheetData>
      <sheetData sheetId="1136">
        <row r="4">
          <cell r="I4">
            <v>0</v>
          </cell>
        </row>
      </sheetData>
      <sheetData sheetId="1137">
        <row r="4">
          <cell r="I4">
            <v>0</v>
          </cell>
        </row>
      </sheetData>
      <sheetData sheetId="1138">
        <row r="4">
          <cell r="I4">
            <v>0</v>
          </cell>
        </row>
      </sheetData>
      <sheetData sheetId="1139">
        <row r="4">
          <cell r="I4">
            <v>0</v>
          </cell>
        </row>
      </sheetData>
      <sheetData sheetId="1140">
        <row r="4">
          <cell r="I4">
            <v>0</v>
          </cell>
        </row>
      </sheetData>
      <sheetData sheetId="1141">
        <row r="4">
          <cell r="I4">
            <v>0</v>
          </cell>
        </row>
      </sheetData>
      <sheetData sheetId="1142">
        <row r="4">
          <cell r="I4">
            <v>0</v>
          </cell>
        </row>
      </sheetData>
      <sheetData sheetId="1143">
        <row r="4">
          <cell r="I4">
            <v>0</v>
          </cell>
        </row>
      </sheetData>
      <sheetData sheetId="1144">
        <row r="4">
          <cell r="I4">
            <v>0</v>
          </cell>
        </row>
      </sheetData>
      <sheetData sheetId="1145">
        <row r="4">
          <cell r="I4">
            <v>0</v>
          </cell>
        </row>
      </sheetData>
      <sheetData sheetId="1146">
        <row r="4">
          <cell r="I4">
            <v>0</v>
          </cell>
        </row>
      </sheetData>
      <sheetData sheetId="1147">
        <row r="4">
          <cell r="I4">
            <v>0</v>
          </cell>
        </row>
      </sheetData>
      <sheetData sheetId="1148">
        <row r="4">
          <cell r="I4">
            <v>0</v>
          </cell>
        </row>
      </sheetData>
      <sheetData sheetId="1149">
        <row r="4">
          <cell r="I4">
            <v>0</v>
          </cell>
        </row>
      </sheetData>
      <sheetData sheetId="1150">
        <row r="4">
          <cell r="I4">
            <v>0</v>
          </cell>
        </row>
      </sheetData>
      <sheetData sheetId="1151">
        <row r="4">
          <cell r="I4">
            <v>0</v>
          </cell>
        </row>
      </sheetData>
      <sheetData sheetId="1152">
        <row r="4">
          <cell r="I4">
            <v>0</v>
          </cell>
        </row>
      </sheetData>
      <sheetData sheetId="1153">
        <row r="4">
          <cell r="I4">
            <v>0</v>
          </cell>
        </row>
      </sheetData>
      <sheetData sheetId="1154">
        <row r="4">
          <cell r="I4">
            <v>0</v>
          </cell>
        </row>
      </sheetData>
      <sheetData sheetId="1155">
        <row r="4">
          <cell r="I4">
            <v>0</v>
          </cell>
        </row>
      </sheetData>
      <sheetData sheetId="1156">
        <row r="4">
          <cell r="I4">
            <v>0</v>
          </cell>
        </row>
      </sheetData>
      <sheetData sheetId="1157">
        <row r="4">
          <cell r="I4">
            <v>0</v>
          </cell>
        </row>
      </sheetData>
      <sheetData sheetId="1158">
        <row r="4">
          <cell r="I4">
            <v>0</v>
          </cell>
        </row>
      </sheetData>
      <sheetData sheetId="1159">
        <row r="4">
          <cell r="I4">
            <v>0</v>
          </cell>
        </row>
      </sheetData>
      <sheetData sheetId="1160">
        <row r="4">
          <cell r="I4">
            <v>0</v>
          </cell>
        </row>
      </sheetData>
      <sheetData sheetId="1161">
        <row r="4">
          <cell r="I4">
            <v>0</v>
          </cell>
        </row>
      </sheetData>
      <sheetData sheetId="1162">
        <row r="4">
          <cell r="I4">
            <v>0</v>
          </cell>
        </row>
      </sheetData>
      <sheetData sheetId="1163">
        <row r="4">
          <cell r="I4">
            <v>0</v>
          </cell>
        </row>
      </sheetData>
      <sheetData sheetId="1164">
        <row r="4">
          <cell r="I4">
            <v>0</v>
          </cell>
        </row>
      </sheetData>
      <sheetData sheetId="1165">
        <row r="4">
          <cell r="I4">
            <v>0</v>
          </cell>
        </row>
      </sheetData>
      <sheetData sheetId="1166">
        <row r="4">
          <cell r="I4">
            <v>0</v>
          </cell>
        </row>
      </sheetData>
      <sheetData sheetId="1167">
        <row r="4">
          <cell r="I4">
            <v>0</v>
          </cell>
        </row>
      </sheetData>
      <sheetData sheetId="1168">
        <row r="4">
          <cell r="I4">
            <v>0</v>
          </cell>
        </row>
      </sheetData>
      <sheetData sheetId="1169">
        <row r="4">
          <cell r="I4">
            <v>0</v>
          </cell>
        </row>
      </sheetData>
      <sheetData sheetId="1170">
        <row r="4">
          <cell r="I4">
            <v>0</v>
          </cell>
        </row>
      </sheetData>
      <sheetData sheetId="1171">
        <row r="4">
          <cell r="I4">
            <v>0</v>
          </cell>
        </row>
      </sheetData>
      <sheetData sheetId="1172">
        <row r="4">
          <cell r="I4">
            <v>0</v>
          </cell>
        </row>
      </sheetData>
      <sheetData sheetId="1173">
        <row r="4">
          <cell r="I4">
            <v>0</v>
          </cell>
        </row>
      </sheetData>
      <sheetData sheetId="1174">
        <row r="4">
          <cell r="I4">
            <v>0</v>
          </cell>
        </row>
      </sheetData>
      <sheetData sheetId="1175">
        <row r="4">
          <cell r="I4">
            <v>0</v>
          </cell>
        </row>
      </sheetData>
      <sheetData sheetId="1176">
        <row r="4">
          <cell r="I4">
            <v>0</v>
          </cell>
        </row>
      </sheetData>
      <sheetData sheetId="1177">
        <row r="4">
          <cell r="I4">
            <v>0</v>
          </cell>
        </row>
      </sheetData>
      <sheetData sheetId="1178">
        <row r="4">
          <cell r="I4">
            <v>0</v>
          </cell>
        </row>
      </sheetData>
      <sheetData sheetId="1179">
        <row r="4">
          <cell r="I4">
            <v>0</v>
          </cell>
        </row>
      </sheetData>
      <sheetData sheetId="1180">
        <row r="4">
          <cell r="I4">
            <v>0</v>
          </cell>
        </row>
      </sheetData>
      <sheetData sheetId="1181">
        <row r="4">
          <cell r="I4">
            <v>0</v>
          </cell>
        </row>
      </sheetData>
      <sheetData sheetId="1182">
        <row r="4">
          <cell r="I4">
            <v>0</v>
          </cell>
        </row>
      </sheetData>
      <sheetData sheetId="1183">
        <row r="4">
          <cell r="I4">
            <v>0</v>
          </cell>
        </row>
      </sheetData>
      <sheetData sheetId="1184">
        <row r="4">
          <cell r="I4">
            <v>0</v>
          </cell>
        </row>
      </sheetData>
      <sheetData sheetId="1185">
        <row r="4">
          <cell r="I4">
            <v>0</v>
          </cell>
        </row>
      </sheetData>
      <sheetData sheetId="1186">
        <row r="4">
          <cell r="I4">
            <v>0</v>
          </cell>
        </row>
      </sheetData>
      <sheetData sheetId="1187">
        <row r="4">
          <cell r="I4">
            <v>0</v>
          </cell>
        </row>
      </sheetData>
      <sheetData sheetId="1188">
        <row r="4">
          <cell r="I4">
            <v>0</v>
          </cell>
        </row>
      </sheetData>
      <sheetData sheetId="1189">
        <row r="4">
          <cell r="I4">
            <v>0</v>
          </cell>
        </row>
      </sheetData>
      <sheetData sheetId="1190">
        <row r="4">
          <cell r="I4">
            <v>0</v>
          </cell>
        </row>
      </sheetData>
      <sheetData sheetId="1191">
        <row r="4">
          <cell r="I4">
            <v>0</v>
          </cell>
        </row>
      </sheetData>
      <sheetData sheetId="1192">
        <row r="4">
          <cell r="I4">
            <v>0</v>
          </cell>
        </row>
      </sheetData>
      <sheetData sheetId="1193">
        <row r="4">
          <cell r="I4">
            <v>0</v>
          </cell>
        </row>
      </sheetData>
      <sheetData sheetId="1194">
        <row r="4">
          <cell r="I4">
            <v>0</v>
          </cell>
        </row>
      </sheetData>
      <sheetData sheetId="1195">
        <row r="4">
          <cell r="I4">
            <v>0</v>
          </cell>
        </row>
      </sheetData>
      <sheetData sheetId="1196">
        <row r="4">
          <cell r="I4">
            <v>0</v>
          </cell>
        </row>
      </sheetData>
      <sheetData sheetId="1197">
        <row r="4">
          <cell r="I4">
            <v>0</v>
          </cell>
        </row>
      </sheetData>
      <sheetData sheetId="1198">
        <row r="4">
          <cell r="I4">
            <v>0</v>
          </cell>
        </row>
      </sheetData>
      <sheetData sheetId="1199">
        <row r="4">
          <cell r="I4">
            <v>0</v>
          </cell>
        </row>
      </sheetData>
      <sheetData sheetId="1200">
        <row r="4">
          <cell r="I4">
            <v>0</v>
          </cell>
        </row>
      </sheetData>
      <sheetData sheetId="1201">
        <row r="4">
          <cell r="I4">
            <v>0</v>
          </cell>
        </row>
      </sheetData>
      <sheetData sheetId="1202">
        <row r="4">
          <cell r="I4">
            <v>0</v>
          </cell>
        </row>
      </sheetData>
      <sheetData sheetId="1203">
        <row r="4">
          <cell r="I4">
            <v>0</v>
          </cell>
        </row>
      </sheetData>
      <sheetData sheetId="1204">
        <row r="4">
          <cell r="I4">
            <v>0</v>
          </cell>
        </row>
      </sheetData>
      <sheetData sheetId="1205">
        <row r="4">
          <cell r="I4">
            <v>0</v>
          </cell>
        </row>
      </sheetData>
      <sheetData sheetId="1206">
        <row r="4">
          <cell r="I4">
            <v>0</v>
          </cell>
        </row>
      </sheetData>
      <sheetData sheetId="1207">
        <row r="4">
          <cell r="I4">
            <v>0</v>
          </cell>
        </row>
      </sheetData>
      <sheetData sheetId="1208">
        <row r="4">
          <cell r="I4">
            <v>0</v>
          </cell>
        </row>
      </sheetData>
      <sheetData sheetId="1209">
        <row r="4">
          <cell r="I4">
            <v>0</v>
          </cell>
        </row>
      </sheetData>
      <sheetData sheetId="1210">
        <row r="4">
          <cell r="I4">
            <v>0</v>
          </cell>
        </row>
      </sheetData>
      <sheetData sheetId="1211">
        <row r="4">
          <cell r="I4">
            <v>0</v>
          </cell>
        </row>
      </sheetData>
      <sheetData sheetId="1212">
        <row r="4">
          <cell r="I4">
            <v>0</v>
          </cell>
        </row>
      </sheetData>
      <sheetData sheetId="1213">
        <row r="4">
          <cell r="I4">
            <v>0</v>
          </cell>
        </row>
      </sheetData>
      <sheetData sheetId="1214">
        <row r="4">
          <cell r="I4">
            <v>0</v>
          </cell>
        </row>
      </sheetData>
      <sheetData sheetId="1215">
        <row r="4">
          <cell r="I4">
            <v>0</v>
          </cell>
        </row>
      </sheetData>
      <sheetData sheetId="1216">
        <row r="4">
          <cell r="I4">
            <v>0</v>
          </cell>
        </row>
      </sheetData>
      <sheetData sheetId="1217">
        <row r="4">
          <cell r="I4">
            <v>0</v>
          </cell>
        </row>
      </sheetData>
      <sheetData sheetId="1218">
        <row r="4">
          <cell r="I4">
            <v>0</v>
          </cell>
        </row>
      </sheetData>
      <sheetData sheetId="1219">
        <row r="4">
          <cell r="I4">
            <v>0</v>
          </cell>
        </row>
      </sheetData>
      <sheetData sheetId="1220">
        <row r="4">
          <cell r="I4">
            <v>0</v>
          </cell>
        </row>
      </sheetData>
      <sheetData sheetId="1221">
        <row r="4">
          <cell r="I4">
            <v>0</v>
          </cell>
        </row>
      </sheetData>
      <sheetData sheetId="1222">
        <row r="4">
          <cell r="I4">
            <v>0</v>
          </cell>
        </row>
      </sheetData>
      <sheetData sheetId="1223">
        <row r="4">
          <cell r="I4">
            <v>0</v>
          </cell>
        </row>
      </sheetData>
      <sheetData sheetId="1224">
        <row r="4">
          <cell r="I4">
            <v>0</v>
          </cell>
        </row>
      </sheetData>
      <sheetData sheetId="1225">
        <row r="4">
          <cell r="I4">
            <v>0</v>
          </cell>
        </row>
      </sheetData>
      <sheetData sheetId="1226">
        <row r="4">
          <cell r="I4">
            <v>0</v>
          </cell>
        </row>
      </sheetData>
      <sheetData sheetId="1227">
        <row r="4">
          <cell r="I4">
            <v>0</v>
          </cell>
        </row>
      </sheetData>
      <sheetData sheetId="1228">
        <row r="4">
          <cell r="I4">
            <v>0</v>
          </cell>
        </row>
      </sheetData>
      <sheetData sheetId="1229">
        <row r="4">
          <cell r="I4">
            <v>0</v>
          </cell>
        </row>
      </sheetData>
      <sheetData sheetId="1230">
        <row r="4">
          <cell r="I4">
            <v>0</v>
          </cell>
        </row>
      </sheetData>
      <sheetData sheetId="1231">
        <row r="4">
          <cell r="I4">
            <v>0</v>
          </cell>
        </row>
      </sheetData>
      <sheetData sheetId="1232">
        <row r="4">
          <cell r="I4">
            <v>0</v>
          </cell>
        </row>
      </sheetData>
      <sheetData sheetId="1233">
        <row r="4">
          <cell r="I4">
            <v>0</v>
          </cell>
        </row>
      </sheetData>
      <sheetData sheetId="1234">
        <row r="4">
          <cell r="I4">
            <v>0</v>
          </cell>
        </row>
      </sheetData>
      <sheetData sheetId="1235">
        <row r="4">
          <cell r="I4">
            <v>0</v>
          </cell>
        </row>
      </sheetData>
      <sheetData sheetId="1236">
        <row r="4">
          <cell r="I4">
            <v>0</v>
          </cell>
        </row>
      </sheetData>
      <sheetData sheetId="1237">
        <row r="4">
          <cell r="I4">
            <v>0</v>
          </cell>
        </row>
      </sheetData>
      <sheetData sheetId="1238">
        <row r="4">
          <cell r="I4">
            <v>0</v>
          </cell>
        </row>
      </sheetData>
      <sheetData sheetId="1239">
        <row r="4">
          <cell r="I4">
            <v>0</v>
          </cell>
        </row>
      </sheetData>
      <sheetData sheetId="1240">
        <row r="4">
          <cell r="I4">
            <v>0</v>
          </cell>
        </row>
      </sheetData>
      <sheetData sheetId="1241">
        <row r="4">
          <cell r="I4">
            <v>0</v>
          </cell>
        </row>
      </sheetData>
      <sheetData sheetId="1242">
        <row r="4">
          <cell r="I4">
            <v>0</v>
          </cell>
        </row>
      </sheetData>
      <sheetData sheetId="1243">
        <row r="4">
          <cell r="I4">
            <v>0</v>
          </cell>
        </row>
      </sheetData>
      <sheetData sheetId="1244">
        <row r="4">
          <cell r="I4">
            <v>0</v>
          </cell>
        </row>
      </sheetData>
      <sheetData sheetId="1245">
        <row r="4">
          <cell r="I4">
            <v>0</v>
          </cell>
        </row>
      </sheetData>
      <sheetData sheetId="1246">
        <row r="4">
          <cell r="I4">
            <v>0</v>
          </cell>
        </row>
      </sheetData>
      <sheetData sheetId="1247">
        <row r="4">
          <cell r="I4">
            <v>0</v>
          </cell>
        </row>
      </sheetData>
      <sheetData sheetId="1248">
        <row r="4">
          <cell r="I4">
            <v>0</v>
          </cell>
        </row>
      </sheetData>
      <sheetData sheetId="1249"/>
      <sheetData sheetId="1250">
        <row r="4">
          <cell r="I4">
            <v>0</v>
          </cell>
        </row>
      </sheetData>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ow r="4">
          <cell r="I4">
            <v>0</v>
          </cell>
        </row>
      </sheetData>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sheetData sheetId="129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ow r="4">
          <cell r="I4">
            <v>0</v>
          </cell>
        </row>
      </sheetData>
      <sheetData sheetId="1361">
        <row r="4">
          <cell r="I4">
            <v>0</v>
          </cell>
        </row>
      </sheetData>
      <sheetData sheetId="1362">
        <row r="4">
          <cell r="I4">
            <v>0</v>
          </cell>
        </row>
      </sheetData>
      <sheetData sheetId="1363">
        <row r="4">
          <cell r="I4">
            <v>0</v>
          </cell>
        </row>
      </sheetData>
      <sheetData sheetId="1364">
        <row r="4">
          <cell r="I4">
            <v>0</v>
          </cell>
        </row>
      </sheetData>
      <sheetData sheetId="1365">
        <row r="4">
          <cell r="I4">
            <v>0</v>
          </cell>
        </row>
      </sheetData>
      <sheetData sheetId="1366">
        <row r="4">
          <cell r="I4">
            <v>0</v>
          </cell>
        </row>
      </sheetData>
      <sheetData sheetId="1367">
        <row r="4">
          <cell r="I4">
            <v>0</v>
          </cell>
        </row>
      </sheetData>
      <sheetData sheetId="1368">
        <row r="4">
          <cell r="I4">
            <v>0</v>
          </cell>
        </row>
      </sheetData>
      <sheetData sheetId="1369">
        <row r="4">
          <cell r="I4">
            <v>0</v>
          </cell>
        </row>
      </sheetData>
      <sheetData sheetId="1370">
        <row r="4">
          <cell r="I4">
            <v>0</v>
          </cell>
        </row>
      </sheetData>
      <sheetData sheetId="1371">
        <row r="4">
          <cell r="I4">
            <v>0</v>
          </cell>
        </row>
      </sheetData>
      <sheetData sheetId="1372">
        <row r="4">
          <cell r="I4">
            <v>0</v>
          </cell>
        </row>
      </sheetData>
      <sheetData sheetId="1373">
        <row r="4">
          <cell r="I4">
            <v>0</v>
          </cell>
        </row>
      </sheetData>
      <sheetData sheetId="1374">
        <row r="4">
          <cell r="I4">
            <v>0</v>
          </cell>
        </row>
      </sheetData>
      <sheetData sheetId="1375">
        <row r="4">
          <cell r="I4">
            <v>0</v>
          </cell>
        </row>
      </sheetData>
      <sheetData sheetId="1376">
        <row r="4">
          <cell r="I4">
            <v>0</v>
          </cell>
        </row>
      </sheetData>
      <sheetData sheetId="1377">
        <row r="4">
          <cell r="I4">
            <v>0</v>
          </cell>
        </row>
      </sheetData>
      <sheetData sheetId="1378">
        <row r="4">
          <cell r="I4">
            <v>0</v>
          </cell>
        </row>
      </sheetData>
      <sheetData sheetId="1379">
        <row r="4">
          <cell r="I4">
            <v>0</v>
          </cell>
        </row>
      </sheetData>
      <sheetData sheetId="1380">
        <row r="4">
          <cell r="I4">
            <v>0</v>
          </cell>
        </row>
      </sheetData>
      <sheetData sheetId="1381">
        <row r="4">
          <cell r="I4">
            <v>0</v>
          </cell>
        </row>
      </sheetData>
      <sheetData sheetId="1382">
        <row r="4">
          <cell r="I4">
            <v>0</v>
          </cell>
        </row>
      </sheetData>
      <sheetData sheetId="1383">
        <row r="4">
          <cell r="I4">
            <v>0</v>
          </cell>
        </row>
      </sheetData>
      <sheetData sheetId="1384">
        <row r="4">
          <cell r="I4">
            <v>0</v>
          </cell>
        </row>
      </sheetData>
      <sheetData sheetId="1385">
        <row r="4">
          <cell r="I4">
            <v>0</v>
          </cell>
        </row>
      </sheetData>
      <sheetData sheetId="1386">
        <row r="4">
          <cell r="I4">
            <v>0</v>
          </cell>
        </row>
      </sheetData>
      <sheetData sheetId="1387">
        <row r="4">
          <cell r="I4">
            <v>0</v>
          </cell>
        </row>
      </sheetData>
      <sheetData sheetId="1388">
        <row r="4">
          <cell r="I4">
            <v>0</v>
          </cell>
        </row>
      </sheetData>
      <sheetData sheetId="1389">
        <row r="4">
          <cell r="I4">
            <v>0</v>
          </cell>
        </row>
      </sheetData>
      <sheetData sheetId="1390">
        <row r="4">
          <cell r="I4">
            <v>0</v>
          </cell>
        </row>
      </sheetData>
      <sheetData sheetId="1391">
        <row r="4">
          <cell r="I4">
            <v>0</v>
          </cell>
        </row>
      </sheetData>
      <sheetData sheetId="1392">
        <row r="4">
          <cell r="I4">
            <v>0</v>
          </cell>
        </row>
      </sheetData>
      <sheetData sheetId="1393">
        <row r="4">
          <cell r="I4">
            <v>0</v>
          </cell>
        </row>
      </sheetData>
      <sheetData sheetId="1394">
        <row r="4">
          <cell r="I4">
            <v>0</v>
          </cell>
        </row>
      </sheetData>
      <sheetData sheetId="1395">
        <row r="4">
          <cell r="I4">
            <v>0</v>
          </cell>
        </row>
      </sheetData>
      <sheetData sheetId="1396">
        <row r="4">
          <cell r="I4">
            <v>0</v>
          </cell>
        </row>
      </sheetData>
      <sheetData sheetId="1397">
        <row r="4">
          <cell r="I4">
            <v>0</v>
          </cell>
        </row>
      </sheetData>
      <sheetData sheetId="1398">
        <row r="4">
          <cell r="I4">
            <v>0</v>
          </cell>
        </row>
      </sheetData>
      <sheetData sheetId="1399">
        <row r="4">
          <cell r="I4">
            <v>0</v>
          </cell>
        </row>
      </sheetData>
      <sheetData sheetId="1400">
        <row r="4">
          <cell r="I4">
            <v>0</v>
          </cell>
        </row>
      </sheetData>
      <sheetData sheetId="1401">
        <row r="4">
          <cell r="I4">
            <v>0</v>
          </cell>
        </row>
      </sheetData>
      <sheetData sheetId="1402">
        <row r="4">
          <cell r="I4">
            <v>0</v>
          </cell>
        </row>
      </sheetData>
      <sheetData sheetId="1403">
        <row r="4">
          <cell r="I4">
            <v>0</v>
          </cell>
        </row>
      </sheetData>
      <sheetData sheetId="1404">
        <row r="4">
          <cell r="I4">
            <v>0</v>
          </cell>
        </row>
      </sheetData>
      <sheetData sheetId="1405">
        <row r="4">
          <cell r="I4">
            <v>0</v>
          </cell>
        </row>
      </sheetData>
      <sheetData sheetId="1406">
        <row r="4">
          <cell r="I4">
            <v>0</v>
          </cell>
        </row>
      </sheetData>
      <sheetData sheetId="1407">
        <row r="4">
          <cell r="I4">
            <v>0</v>
          </cell>
        </row>
      </sheetData>
      <sheetData sheetId="1408">
        <row r="4">
          <cell r="I4">
            <v>0</v>
          </cell>
        </row>
      </sheetData>
      <sheetData sheetId="1409">
        <row r="4">
          <cell r="I4">
            <v>0</v>
          </cell>
        </row>
      </sheetData>
      <sheetData sheetId="1410">
        <row r="4">
          <cell r="I4">
            <v>0</v>
          </cell>
        </row>
      </sheetData>
      <sheetData sheetId="1411">
        <row r="4">
          <cell r="I4">
            <v>0</v>
          </cell>
        </row>
      </sheetData>
      <sheetData sheetId="1412">
        <row r="4">
          <cell r="I4">
            <v>0</v>
          </cell>
        </row>
      </sheetData>
      <sheetData sheetId="1413">
        <row r="4">
          <cell r="I4">
            <v>0</v>
          </cell>
        </row>
      </sheetData>
      <sheetData sheetId="1414">
        <row r="4">
          <cell r="I4">
            <v>0</v>
          </cell>
        </row>
      </sheetData>
      <sheetData sheetId="1415">
        <row r="4">
          <cell r="I4">
            <v>0</v>
          </cell>
        </row>
      </sheetData>
      <sheetData sheetId="1416">
        <row r="4">
          <cell r="I4">
            <v>0</v>
          </cell>
        </row>
      </sheetData>
      <sheetData sheetId="1417">
        <row r="4">
          <cell r="I4">
            <v>0</v>
          </cell>
        </row>
      </sheetData>
      <sheetData sheetId="1418">
        <row r="4">
          <cell r="I4">
            <v>0</v>
          </cell>
        </row>
      </sheetData>
      <sheetData sheetId="1419">
        <row r="4">
          <cell r="I4">
            <v>0</v>
          </cell>
        </row>
      </sheetData>
      <sheetData sheetId="1420">
        <row r="4">
          <cell r="I4">
            <v>0</v>
          </cell>
        </row>
      </sheetData>
      <sheetData sheetId="1421">
        <row r="4">
          <cell r="I4">
            <v>0</v>
          </cell>
        </row>
      </sheetData>
      <sheetData sheetId="1422">
        <row r="4">
          <cell r="I4">
            <v>0</v>
          </cell>
        </row>
      </sheetData>
      <sheetData sheetId="1423">
        <row r="4">
          <cell r="I4">
            <v>0</v>
          </cell>
        </row>
      </sheetData>
      <sheetData sheetId="1424">
        <row r="4">
          <cell r="I4">
            <v>0</v>
          </cell>
        </row>
      </sheetData>
      <sheetData sheetId="1425">
        <row r="4">
          <cell r="I4">
            <v>0</v>
          </cell>
        </row>
      </sheetData>
      <sheetData sheetId="1426">
        <row r="4">
          <cell r="I4">
            <v>0</v>
          </cell>
        </row>
      </sheetData>
      <sheetData sheetId="1427">
        <row r="4">
          <cell r="I4">
            <v>0</v>
          </cell>
        </row>
      </sheetData>
      <sheetData sheetId="1428">
        <row r="4">
          <cell r="I4">
            <v>0</v>
          </cell>
        </row>
      </sheetData>
      <sheetData sheetId="1429">
        <row r="4">
          <cell r="I4">
            <v>0</v>
          </cell>
        </row>
      </sheetData>
      <sheetData sheetId="1430">
        <row r="4">
          <cell r="I4">
            <v>0</v>
          </cell>
        </row>
      </sheetData>
      <sheetData sheetId="1431">
        <row r="4">
          <cell r="I4">
            <v>0</v>
          </cell>
        </row>
      </sheetData>
      <sheetData sheetId="1432">
        <row r="4">
          <cell r="I4">
            <v>0</v>
          </cell>
        </row>
      </sheetData>
      <sheetData sheetId="1433">
        <row r="4">
          <cell r="I4">
            <v>0</v>
          </cell>
        </row>
      </sheetData>
      <sheetData sheetId="1434">
        <row r="4">
          <cell r="I4">
            <v>0</v>
          </cell>
        </row>
      </sheetData>
      <sheetData sheetId="1435">
        <row r="4">
          <cell r="I4">
            <v>0</v>
          </cell>
        </row>
      </sheetData>
      <sheetData sheetId="1436">
        <row r="4">
          <cell r="I4">
            <v>0</v>
          </cell>
        </row>
      </sheetData>
      <sheetData sheetId="1437">
        <row r="4">
          <cell r="I4">
            <v>0</v>
          </cell>
        </row>
      </sheetData>
      <sheetData sheetId="1438">
        <row r="4">
          <cell r="I4">
            <v>0</v>
          </cell>
        </row>
      </sheetData>
      <sheetData sheetId="1439">
        <row r="4">
          <cell r="I4">
            <v>0</v>
          </cell>
        </row>
      </sheetData>
      <sheetData sheetId="1440">
        <row r="4">
          <cell r="I4">
            <v>0</v>
          </cell>
        </row>
      </sheetData>
      <sheetData sheetId="1441">
        <row r="4">
          <cell r="I4">
            <v>0</v>
          </cell>
        </row>
      </sheetData>
      <sheetData sheetId="1442">
        <row r="4">
          <cell r="I4">
            <v>0</v>
          </cell>
        </row>
      </sheetData>
      <sheetData sheetId="1443">
        <row r="4">
          <cell r="I4">
            <v>0</v>
          </cell>
        </row>
      </sheetData>
      <sheetData sheetId="1444">
        <row r="4">
          <cell r="I4">
            <v>0</v>
          </cell>
        </row>
      </sheetData>
      <sheetData sheetId="1445">
        <row r="4">
          <cell r="I4">
            <v>0</v>
          </cell>
        </row>
      </sheetData>
      <sheetData sheetId="1446">
        <row r="4">
          <cell r="I4">
            <v>0</v>
          </cell>
        </row>
      </sheetData>
      <sheetData sheetId="1447">
        <row r="4">
          <cell r="I4">
            <v>0</v>
          </cell>
        </row>
      </sheetData>
      <sheetData sheetId="1448">
        <row r="4">
          <cell r="I4">
            <v>0</v>
          </cell>
        </row>
      </sheetData>
      <sheetData sheetId="1449">
        <row r="4">
          <cell r="I4">
            <v>0</v>
          </cell>
        </row>
      </sheetData>
      <sheetData sheetId="1450">
        <row r="4">
          <cell r="I4">
            <v>0</v>
          </cell>
        </row>
      </sheetData>
      <sheetData sheetId="1451">
        <row r="4">
          <cell r="I4">
            <v>0</v>
          </cell>
        </row>
      </sheetData>
      <sheetData sheetId="1452">
        <row r="4">
          <cell r="I4">
            <v>0</v>
          </cell>
        </row>
      </sheetData>
      <sheetData sheetId="1453">
        <row r="4">
          <cell r="I4">
            <v>0</v>
          </cell>
        </row>
      </sheetData>
      <sheetData sheetId="1454">
        <row r="4">
          <cell r="I4">
            <v>0</v>
          </cell>
        </row>
      </sheetData>
      <sheetData sheetId="1455">
        <row r="4">
          <cell r="I4">
            <v>0</v>
          </cell>
        </row>
      </sheetData>
      <sheetData sheetId="1456">
        <row r="4">
          <cell r="I4">
            <v>0</v>
          </cell>
        </row>
      </sheetData>
      <sheetData sheetId="1457">
        <row r="4">
          <cell r="I4">
            <v>0</v>
          </cell>
        </row>
      </sheetData>
      <sheetData sheetId="1458">
        <row r="4">
          <cell r="I4">
            <v>0</v>
          </cell>
        </row>
      </sheetData>
      <sheetData sheetId="1459">
        <row r="4">
          <cell r="I4">
            <v>0</v>
          </cell>
        </row>
      </sheetData>
      <sheetData sheetId="1460">
        <row r="4">
          <cell r="I4">
            <v>0</v>
          </cell>
        </row>
      </sheetData>
      <sheetData sheetId="1461">
        <row r="4">
          <cell r="I4">
            <v>0</v>
          </cell>
        </row>
      </sheetData>
      <sheetData sheetId="1462">
        <row r="4">
          <cell r="I4">
            <v>0</v>
          </cell>
        </row>
      </sheetData>
      <sheetData sheetId="1463">
        <row r="4">
          <cell r="I4">
            <v>0</v>
          </cell>
        </row>
      </sheetData>
      <sheetData sheetId="1464">
        <row r="4">
          <cell r="I4">
            <v>0</v>
          </cell>
        </row>
      </sheetData>
      <sheetData sheetId="1465">
        <row r="4">
          <cell r="I4">
            <v>0</v>
          </cell>
        </row>
      </sheetData>
      <sheetData sheetId="1466">
        <row r="4">
          <cell r="I4">
            <v>0</v>
          </cell>
        </row>
      </sheetData>
      <sheetData sheetId="1467">
        <row r="4">
          <cell r="I4">
            <v>0</v>
          </cell>
        </row>
      </sheetData>
      <sheetData sheetId="1468">
        <row r="4">
          <cell r="I4">
            <v>0</v>
          </cell>
        </row>
      </sheetData>
      <sheetData sheetId="1469">
        <row r="4">
          <cell r="I4">
            <v>0</v>
          </cell>
        </row>
      </sheetData>
      <sheetData sheetId="1470">
        <row r="4">
          <cell r="I4">
            <v>0</v>
          </cell>
        </row>
      </sheetData>
      <sheetData sheetId="1471">
        <row r="4">
          <cell r="I4">
            <v>0</v>
          </cell>
        </row>
      </sheetData>
      <sheetData sheetId="1472">
        <row r="4">
          <cell r="I4">
            <v>0</v>
          </cell>
        </row>
      </sheetData>
      <sheetData sheetId="1473">
        <row r="4">
          <cell r="I4">
            <v>0</v>
          </cell>
        </row>
      </sheetData>
      <sheetData sheetId="1474">
        <row r="4">
          <cell r="I4">
            <v>0</v>
          </cell>
        </row>
      </sheetData>
      <sheetData sheetId="1475">
        <row r="4">
          <cell r="I4">
            <v>0</v>
          </cell>
        </row>
      </sheetData>
      <sheetData sheetId="1476">
        <row r="4">
          <cell r="I4">
            <v>0</v>
          </cell>
        </row>
      </sheetData>
      <sheetData sheetId="1477">
        <row r="4">
          <cell r="I4">
            <v>0</v>
          </cell>
        </row>
      </sheetData>
      <sheetData sheetId="1478">
        <row r="4">
          <cell r="I4">
            <v>0</v>
          </cell>
        </row>
      </sheetData>
      <sheetData sheetId="1479">
        <row r="4">
          <cell r="I4">
            <v>0</v>
          </cell>
        </row>
      </sheetData>
      <sheetData sheetId="1480">
        <row r="4">
          <cell r="I4">
            <v>0</v>
          </cell>
        </row>
      </sheetData>
      <sheetData sheetId="1481">
        <row r="4">
          <cell r="I4">
            <v>0</v>
          </cell>
        </row>
      </sheetData>
      <sheetData sheetId="1482">
        <row r="4">
          <cell r="I4">
            <v>0</v>
          </cell>
        </row>
      </sheetData>
      <sheetData sheetId="1483">
        <row r="4">
          <cell r="I4">
            <v>0</v>
          </cell>
        </row>
      </sheetData>
      <sheetData sheetId="1484">
        <row r="4">
          <cell r="I4">
            <v>0</v>
          </cell>
        </row>
      </sheetData>
      <sheetData sheetId="1485">
        <row r="4">
          <cell r="I4">
            <v>0</v>
          </cell>
        </row>
      </sheetData>
      <sheetData sheetId="1486">
        <row r="4">
          <cell r="I4">
            <v>0</v>
          </cell>
        </row>
      </sheetData>
      <sheetData sheetId="1487">
        <row r="4">
          <cell r="I4">
            <v>0</v>
          </cell>
        </row>
      </sheetData>
      <sheetData sheetId="1488">
        <row r="4">
          <cell r="I4">
            <v>0</v>
          </cell>
        </row>
      </sheetData>
      <sheetData sheetId="1489">
        <row r="4">
          <cell r="I4">
            <v>0</v>
          </cell>
        </row>
      </sheetData>
      <sheetData sheetId="1490">
        <row r="4">
          <cell r="I4">
            <v>0</v>
          </cell>
        </row>
      </sheetData>
      <sheetData sheetId="1491">
        <row r="4">
          <cell r="I4">
            <v>0</v>
          </cell>
        </row>
      </sheetData>
      <sheetData sheetId="1492">
        <row r="4">
          <cell r="I4">
            <v>0</v>
          </cell>
        </row>
      </sheetData>
      <sheetData sheetId="1493">
        <row r="4">
          <cell r="I4">
            <v>0</v>
          </cell>
        </row>
      </sheetData>
      <sheetData sheetId="1494">
        <row r="4">
          <cell r="I4">
            <v>0</v>
          </cell>
        </row>
      </sheetData>
      <sheetData sheetId="1495">
        <row r="4">
          <cell r="I4">
            <v>0</v>
          </cell>
        </row>
      </sheetData>
      <sheetData sheetId="1496">
        <row r="4">
          <cell r="I4">
            <v>0</v>
          </cell>
        </row>
      </sheetData>
      <sheetData sheetId="1497">
        <row r="4">
          <cell r="I4">
            <v>0</v>
          </cell>
        </row>
      </sheetData>
      <sheetData sheetId="1498">
        <row r="4">
          <cell r="I4">
            <v>0</v>
          </cell>
        </row>
      </sheetData>
      <sheetData sheetId="1499">
        <row r="4">
          <cell r="I4">
            <v>0</v>
          </cell>
        </row>
      </sheetData>
      <sheetData sheetId="1500">
        <row r="4">
          <cell r="I4">
            <v>0</v>
          </cell>
        </row>
      </sheetData>
      <sheetData sheetId="1501">
        <row r="4">
          <cell r="I4">
            <v>0</v>
          </cell>
        </row>
      </sheetData>
      <sheetData sheetId="1502">
        <row r="4">
          <cell r="I4">
            <v>0</v>
          </cell>
        </row>
      </sheetData>
      <sheetData sheetId="1503">
        <row r="4">
          <cell r="I4">
            <v>0</v>
          </cell>
        </row>
      </sheetData>
      <sheetData sheetId="1504">
        <row r="4">
          <cell r="I4">
            <v>0</v>
          </cell>
        </row>
      </sheetData>
      <sheetData sheetId="1505">
        <row r="4">
          <cell r="I4">
            <v>0</v>
          </cell>
        </row>
      </sheetData>
      <sheetData sheetId="1506">
        <row r="4">
          <cell r="I4">
            <v>0</v>
          </cell>
        </row>
      </sheetData>
      <sheetData sheetId="1507">
        <row r="4">
          <cell r="I4">
            <v>0</v>
          </cell>
        </row>
      </sheetData>
      <sheetData sheetId="1508">
        <row r="4">
          <cell r="I4">
            <v>0</v>
          </cell>
        </row>
      </sheetData>
      <sheetData sheetId="1509">
        <row r="4">
          <cell r="I4">
            <v>0</v>
          </cell>
        </row>
      </sheetData>
      <sheetData sheetId="1510">
        <row r="4">
          <cell r="I4">
            <v>0</v>
          </cell>
        </row>
      </sheetData>
      <sheetData sheetId="1511">
        <row r="4">
          <cell r="I4">
            <v>0</v>
          </cell>
        </row>
      </sheetData>
      <sheetData sheetId="1512">
        <row r="4">
          <cell r="I4">
            <v>0</v>
          </cell>
        </row>
      </sheetData>
      <sheetData sheetId="1513">
        <row r="4">
          <cell r="I4">
            <v>0</v>
          </cell>
        </row>
      </sheetData>
      <sheetData sheetId="1514">
        <row r="4">
          <cell r="I4">
            <v>0</v>
          </cell>
        </row>
      </sheetData>
      <sheetData sheetId="1515">
        <row r="4">
          <cell r="I4">
            <v>0</v>
          </cell>
        </row>
      </sheetData>
      <sheetData sheetId="1516">
        <row r="4">
          <cell r="I4">
            <v>0</v>
          </cell>
        </row>
      </sheetData>
      <sheetData sheetId="1517">
        <row r="4">
          <cell r="I4">
            <v>0</v>
          </cell>
        </row>
      </sheetData>
      <sheetData sheetId="1518">
        <row r="4">
          <cell r="I4">
            <v>0</v>
          </cell>
        </row>
      </sheetData>
      <sheetData sheetId="1519">
        <row r="4">
          <cell r="I4">
            <v>0</v>
          </cell>
        </row>
      </sheetData>
      <sheetData sheetId="1520">
        <row r="4">
          <cell r="I4">
            <v>0</v>
          </cell>
        </row>
      </sheetData>
      <sheetData sheetId="1521">
        <row r="4">
          <cell r="I4">
            <v>0</v>
          </cell>
        </row>
      </sheetData>
      <sheetData sheetId="1522">
        <row r="4">
          <cell r="I4">
            <v>0</v>
          </cell>
        </row>
      </sheetData>
      <sheetData sheetId="1523">
        <row r="4">
          <cell r="I4">
            <v>0</v>
          </cell>
        </row>
      </sheetData>
      <sheetData sheetId="1524">
        <row r="4">
          <cell r="I4">
            <v>0</v>
          </cell>
        </row>
      </sheetData>
      <sheetData sheetId="1525">
        <row r="4">
          <cell r="I4">
            <v>0</v>
          </cell>
        </row>
      </sheetData>
      <sheetData sheetId="1526">
        <row r="4">
          <cell r="I4">
            <v>0</v>
          </cell>
        </row>
      </sheetData>
      <sheetData sheetId="1527">
        <row r="4">
          <cell r="I4">
            <v>0</v>
          </cell>
        </row>
      </sheetData>
      <sheetData sheetId="1528">
        <row r="4">
          <cell r="I4">
            <v>0</v>
          </cell>
        </row>
      </sheetData>
      <sheetData sheetId="1529">
        <row r="4">
          <cell r="I4">
            <v>0</v>
          </cell>
        </row>
      </sheetData>
      <sheetData sheetId="1530">
        <row r="4">
          <cell r="I4">
            <v>0</v>
          </cell>
        </row>
      </sheetData>
      <sheetData sheetId="1531">
        <row r="4">
          <cell r="I4">
            <v>0</v>
          </cell>
        </row>
      </sheetData>
      <sheetData sheetId="1532">
        <row r="4">
          <cell r="I4">
            <v>0</v>
          </cell>
        </row>
      </sheetData>
      <sheetData sheetId="1533">
        <row r="4">
          <cell r="I4">
            <v>0</v>
          </cell>
        </row>
      </sheetData>
      <sheetData sheetId="1534">
        <row r="4">
          <cell r="I4">
            <v>0</v>
          </cell>
        </row>
      </sheetData>
      <sheetData sheetId="1535">
        <row r="4">
          <cell r="I4">
            <v>0</v>
          </cell>
        </row>
      </sheetData>
      <sheetData sheetId="1536">
        <row r="4">
          <cell r="I4">
            <v>0</v>
          </cell>
        </row>
      </sheetData>
      <sheetData sheetId="1537">
        <row r="4">
          <cell r="I4">
            <v>0</v>
          </cell>
        </row>
      </sheetData>
      <sheetData sheetId="1538">
        <row r="4">
          <cell r="I4">
            <v>0</v>
          </cell>
        </row>
      </sheetData>
      <sheetData sheetId="1539">
        <row r="4">
          <cell r="I4">
            <v>0</v>
          </cell>
        </row>
      </sheetData>
      <sheetData sheetId="1540">
        <row r="4">
          <cell r="I4">
            <v>0</v>
          </cell>
        </row>
      </sheetData>
      <sheetData sheetId="1541">
        <row r="4">
          <cell r="I4">
            <v>0</v>
          </cell>
        </row>
      </sheetData>
      <sheetData sheetId="1542">
        <row r="4">
          <cell r="I4">
            <v>0</v>
          </cell>
        </row>
      </sheetData>
      <sheetData sheetId="1543">
        <row r="4">
          <cell r="I4">
            <v>0</v>
          </cell>
        </row>
      </sheetData>
      <sheetData sheetId="1544">
        <row r="4">
          <cell r="I4">
            <v>0</v>
          </cell>
        </row>
      </sheetData>
      <sheetData sheetId="1545">
        <row r="4">
          <cell r="I4">
            <v>0</v>
          </cell>
        </row>
      </sheetData>
      <sheetData sheetId="1546">
        <row r="4">
          <cell r="I4">
            <v>0</v>
          </cell>
        </row>
      </sheetData>
      <sheetData sheetId="1547">
        <row r="4">
          <cell r="I4">
            <v>0</v>
          </cell>
        </row>
      </sheetData>
      <sheetData sheetId="1548">
        <row r="4">
          <cell r="I4">
            <v>0</v>
          </cell>
        </row>
      </sheetData>
      <sheetData sheetId="1549">
        <row r="4">
          <cell r="I4">
            <v>0</v>
          </cell>
        </row>
      </sheetData>
      <sheetData sheetId="1550">
        <row r="4">
          <cell r="I4">
            <v>0</v>
          </cell>
        </row>
      </sheetData>
      <sheetData sheetId="1551">
        <row r="4">
          <cell r="I4">
            <v>0</v>
          </cell>
        </row>
      </sheetData>
      <sheetData sheetId="1552">
        <row r="4">
          <cell r="I4">
            <v>0</v>
          </cell>
        </row>
      </sheetData>
      <sheetData sheetId="1553">
        <row r="4">
          <cell r="I4">
            <v>0</v>
          </cell>
        </row>
      </sheetData>
      <sheetData sheetId="1554">
        <row r="4">
          <cell r="I4">
            <v>0</v>
          </cell>
        </row>
      </sheetData>
      <sheetData sheetId="1555">
        <row r="4">
          <cell r="I4">
            <v>0</v>
          </cell>
        </row>
      </sheetData>
      <sheetData sheetId="1556">
        <row r="4">
          <cell r="I4">
            <v>0</v>
          </cell>
        </row>
      </sheetData>
      <sheetData sheetId="1557">
        <row r="4">
          <cell r="I4">
            <v>0</v>
          </cell>
        </row>
      </sheetData>
      <sheetData sheetId="1558">
        <row r="4">
          <cell r="I4">
            <v>0</v>
          </cell>
        </row>
      </sheetData>
      <sheetData sheetId="1559">
        <row r="4">
          <cell r="I4">
            <v>0</v>
          </cell>
        </row>
      </sheetData>
      <sheetData sheetId="1560">
        <row r="4">
          <cell r="I4">
            <v>0</v>
          </cell>
        </row>
      </sheetData>
      <sheetData sheetId="1561">
        <row r="4">
          <cell r="I4">
            <v>0</v>
          </cell>
        </row>
      </sheetData>
      <sheetData sheetId="1562">
        <row r="4">
          <cell r="I4">
            <v>0</v>
          </cell>
        </row>
      </sheetData>
      <sheetData sheetId="1563">
        <row r="4">
          <cell r="I4">
            <v>0</v>
          </cell>
        </row>
      </sheetData>
      <sheetData sheetId="1564">
        <row r="4">
          <cell r="I4">
            <v>0</v>
          </cell>
        </row>
      </sheetData>
      <sheetData sheetId="1565">
        <row r="4">
          <cell r="I4">
            <v>0</v>
          </cell>
        </row>
      </sheetData>
      <sheetData sheetId="1566">
        <row r="4">
          <cell r="I4">
            <v>0</v>
          </cell>
        </row>
      </sheetData>
      <sheetData sheetId="1567">
        <row r="4">
          <cell r="I4">
            <v>0</v>
          </cell>
        </row>
      </sheetData>
      <sheetData sheetId="1568">
        <row r="4">
          <cell r="I4">
            <v>0</v>
          </cell>
        </row>
      </sheetData>
      <sheetData sheetId="1569">
        <row r="4">
          <cell r="I4">
            <v>0</v>
          </cell>
        </row>
      </sheetData>
      <sheetData sheetId="1570">
        <row r="4">
          <cell r="I4">
            <v>0</v>
          </cell>
        </row>
      </sheetData>
      <sheetData sheetId="1571">
        <row r="4">
          <cell r="I4">
            <v>0</v>
          </cell>
        </row>
      </sheetData>
      <sheetData sheetId="1572">
        <row r="4">
          <cell r="I4">
            <v>0</v>
          </cell>
        </row>
      </sheetData>
      <sheetData sheetId="1573">
        <row r="4">
          <cell r="I4">
            <v>0</v>
          </cell>
        </row>
      </sheetData>
      <sheetData sheetId="1574">
        <row r="4">
          <cell r="I4">
            <v>0</v>
          </cell>
        </row>
      </sheetData>
      <sheetData sheetId="1575">
        <row r="4">
          <cell r="I4">
            <v>0</v>
          </cell>
        </row>
      </sheetData>
      <sheetData sheetId="1576">
        <row r="4">
          <cell r="I4">
            <v>0</v>
          </cell>
        </row>
      </sheetData>
      <sheetData sheetId="1577">
        <row r="4">
          <cell r="I4">
            <v>0</v>
          </cell>
        </row>
      </sheetData>
      <sheetData sheetId="1578">
        <row r="4">
          <cell r="I4">
            <v>0</v>
          </cell>
        </row>
      </sheetData>
      <sheetData sheetId="1579">
        <row r="4">
          <cell r="I4">
            <v>0</v>
          </cell>
        </row>
      </sheetData>
      <sheetData sheetId="1580">
        <row r="4">
          <cell r="I4">
            <v>0</v>
          </cell>
        </row>
      </sheetData>
      <sheetData sheetId="1581">
        <row r="4">
          <cell r="I4">
            <v>0</v>
          </cell>
        </row>
      </sheetData>
      <sheetData sheetId="1582">
        <row r="4">
          <cell r="I4">
            <v>0</v>
          </cell>
        </row>
      </sheetData>
      <sheetData sheetId="1583">
        <row r="4">
          <cell r="I4">
            <v>0</v>
          </cell>
        </row>
      </sheetData>
      <sheetData sheetId="1584">
        <row r="4">
          <cell r="I4">
            <v>0</v>
          </cell>
        </row>
      </sheetData>
      <sheetData sheetId="1585">
        <row r="4">
          <cell r="I4">
            <v>0</v>
          </cell>
        </row>
      </sheetData>
      <sheetData sheetId="1586">
        <row r="4">
          <cell r="I4">
            <v>0</v>
          </cell>
        </row>
      </sheetData>
      <sheetData sheetId="1587">
        <row r="4">
          <cell r="I4">
            <v>0</v>
          </cell>
        </row>
      </sheetData>
      <sheetData sheetId="1588">
        <row r="4">
          <cell r="I4">
            <v>0</v>
          </cell>
        </row>
      </sheetData>
      <sheetData sheetId="1589">
        <row r="4">
          <cell r="I4">
            <v>0</v>
          </cell>
        </row>
      </sheetData>
      <sheetData sheetId="1590">
        <row r="4">
          <cell r="I4">
            <v>0</v>
          </cell>
        </row>
      </sheetData>
      <sheetData sheetId="1591">
        <row r="4">
          <cell r="I4">
            <v>0</v>
          </cell>
        </row>
      </sheetData>
      <sheetData sheetId="1592">
        <row r="4">
          <cell r="I4">
            <v>0</v>
          </cell>
        </row>
      </sheetData>
      <sheetData sheetId="1593">
        <row r="4">
          <cell r="I4">
            <v>0</v>
          </cell>
        </row>
      </sheetData>
      <sheetData sheetId="1594">
        <row r="4">
          <cell r="I4">
            <v>0</v>
          </cell>
        </row>
      </sheetData>
      <sheetData sheetId="1595">
        <row r="4">
          <cell r="I4">
            <v>0</v>
          </cell>
        </row>
      </sheetData>
      <sheetData sheetId="1596">
        <row r="4">
          <cell r="I4">
            <v>0</v>
          </cell>
        </row>
      </sheetData>
      <sheetData sheetId="1597">
        <row r="4">
          <cell r="I4">
            <v>0</v>
          </cell>
        </row>
      </sheetData>
      <sheetData sheetId="1598">
        <row r="4">
          <cell r="I4">
            <v>0</v>
          </cell>
        </row>
      </sheetData>
      <sheetData sheetId="1599">
        <row r="4">
          <cell r="I4">
            <v>0</v>
          </cell>
        </row>
      </sheetData>
      <sheetData sheetId="1600">
        <row r="4">
          <cell r="I4">
            <v>0</v>
          </cell>
        </row>
      </sheetData>
      <sheetData sheetId="1601">
        <row r="4">
          <cell r="I4">
            <v>0</v>
          </cell>
        </row>
      </sheetData>
      <sheetData sheetId="1602">
        <row r="4">
          <cell r="I4">
            <v>0</v>
          </cell>
        </row>
      </sheetData>
      <sheetData sheetId="1603">
        <row r="4">
          <cell r="I4">
            <v>0</v>
          </cell>
        </row>
      </sheetData>
      <sheetData sheetId="1604">
        <row r="4">
          <cell r="I4">
            <v>0</v>
          </cell>
        </row>
      </sheetData>
      <sheetData sheetId="1605">
        <row r="4">
          <cell r="I4">
            <v>0</v>
          </cell>
        </row>
      </sheetData>
      <sheetData sheetId="1606">
        <row r="4">
          <cell r="I4">
            <v>0</v>
          </cell>
        </row>
      </sheetData>
      <sheetData sheetId="1607">
        <row r="4">
          <cell r="I4">
            <v>0</v>
          </cell>
        </row>
      </sheetData>
      <sheetData sheetId="1608">
        <row r="4">
          <cell r="I4">
            <v>0</v>
          </cell>
        </row>
      </sheetData>
      <sheetData sheetId="1609">
        <row r="4">
          <cell r="I4">
            <v>0</v>
          </cell>
        </row>
      </sheetData>
      <sheetData sheetId="1610">
        <row r="4">
          <cell r="I4">
            <v>0</v>
          </cell>
        </row>
      </sheetData>
      <sheetData sheetId="1611">
        <row r="4">
          <cell r="I4">
            <v>0</v>
          </cell>
        </row>
      </sheetData>
      <sheetData sheetId="1612">
        <row r="4">
          <cell r="I4">
            <v>0</v>
          </cell>
        </row>
      </sheetData>
      <sheetData sheetId="1613">
        <row r="4">
          <cell r="I4">
            <v>0</v>
          </cell>
        </row>
      </sheetData>
      <sheetData sheetId="1614">
        <row r="4">
          <cell r="I4">
            <v>0</v>
          </cell>
        </row>
      </sheetData>
      <sheetData sheetId="1615">
        <row r="4">
          <cell r="I4">
            <v>0</v>
          </cell>
        </row>
      </sheetData>
      <sheetData sheetId="1616">
        <row r="4">
          <cell r="I4">
            <v>0</v>
          </cell>
        </row>
      </sheetData>
      <sheetData sheetId="1617" refreshError="1"/>
      <sheetData sheetId="1618" refreshError="1"/>
      <sheetData sheetId="1619" refreshError="1"/>
      <sheetData sheetId="1620" refreshError="1"/>
      <sheetData sheetId="1621" refreshError="1"/>
      <sheetData sheetId="1622" refreshError="1"/>
      <sheetData sheetId="1623">
        <row r="4">
          <cell r="I4">
            <v>0</v>
          </cell>
        </row>
      </sheetData>
      <sheetData sheetId="1624" refreshError="1"/>
      <sheetData sheetId="1625" refreshError="1"/>
      <sheetData sheetId="1626" refreshError="1"/>
      <sheetData sheetId="1627" refreshError="1"/>
      <sheetData sheetId="1628" refreshError="1"/>
      <sheetData sheetId="1629" refreshError="1"/>
      <sheetData sheetId="1630">
        <row r="4">
          <cell r="I4">
            <v>0</v>
          </cell>
        </row>
      </sheetData>
      <sheetData sheetId="1631">
        <row r="4">
          <cell r="I4">
            <v>0</v>
          </cell>
        </row>
      </sheetData>
      <sheetData sheetId="1632">
        <row r="4">
          <cell r="I4">
            <v>0</v>
          </cell>
        </row>
      </sheetData>
      <sheetData sheetId="1633">
        <row r="4">
          <cell r="I4">
            <v>0</v>
          </cell>
        </row>
      </sheetData>
      <sheetData sheetId="1634">
        <row r="4">
          <cell r="I4">
            <v>0</v>
          </cell>
        </row>
      </sheetData>
      <sheetData sheetId="1635">
        <row r="4">
          <cell r="I4">
            <v>0</v>
          </cell>
        </row>
      </sheetData>
      <sheetData sheetId="1636">
        <row r="4">
          <cell r="I4">
            <v>0</v>
          </cell>
        </row>
      </sheetData>
      <sheetData sheetId="1637">
        <row r="4">
          <cell r="I4">
            <v>0</v>
          </cell>
        </row>
      </sheetData>
      <sheetData sheetId="1638">
        <row r="4">
          <cell r="I4">
            <v>0</v>
          </cell>
        </row>
      </sheetData>
      <sheetData sheetId="1639">
        <row r="4">
          <cell r="I4">
            <v>0</v>
          </cell>
        </row>
      </sheetData>
      <sheetData sheetId="1640">
        <row r="4">
          <cell r="I4">
            <v>0</v>
          </cell>
        </row>
      </sheetData>
      <sheetData sheetId="1641">
        <row r="4">
          <cell r="I4">
            <v>0</v>
          </cell>
        </row>
      </sheetData>
      <sheetData sheetId="1642">
        <row r="4">
          <cell r="I4">
            <v>0</v>
          </cell>
        </row>
      </sheetData>
      <sheetData sheetId="1643">
        <row r="4">
          <cell r="I4">
            <v>0</v>
          </cell>
        </row>
      </sheetData>
      <sheetData sheetId="1644">
        <row r="4">
          <cell r="I4">
            <v>0</v>
          </cell>
        </row>
      </sheetData>
      <sheetData sheetId="1645">
        <row r="4">
          <cell r="I4">
            <v>0</v>
          </cell>
        </row>
      </sheetData>
      <sheetData sheetId="1646">
        <row r="4">
          <cell r="I4">
            <v>0</v>
          </cell>
        </row>
      </sheetData>
      <sheetData sheetId="1647">
        <row r="4">
          <cell r="I4">
            <v>0</v>
          </cell>
        </row>
      </sheetData>
      <sheetData sheetId="1648">
        <row r="4">
          <cell r="I4">
            <v>0</v>
          </cell>
        </row>
      </sheetData>
      <sheetData sheetId="1649">
        <row r="4">
          <cell r="I4">
            <v>0</v>
          </cell>
        </row>
      </sheetData>
      <sheetData sheetId="1650">
        <row r="4">
          <cell r="I4">
            <v>0</v>
          </cell>
        </row>
      </sheetData>
      <sheetData sheetId="1651">
        <row r="4">
          <cell r="I4">
            <v>0</v>
          </cell>
        </row>
      </sheetData>
      <sheetData sheetId="1652">
        <row r="4">
          <cell r="I4">
            <v>0</v>
          </cell>
        </row>
      </sheetData>
      <sheetData sheetId="1653">
        <row r="4">
          <cell r="I4">
            <v>0</v>
          </cell>
        </row>
      </sheetData>
      <sheetData sheetId="1654">
        <row r="4">
          <cell r="I4">
            <v>0</v>
          </cell>
        </row>
      </sheetData>
      <sheetData sheetId="1655">
        <row r="4">
          <cell r="I4">
            <v>0</v>
          </cell>
        </row>
      </sheetData>
      <sheetData sheetId="1656">
        <row r="4">
          <cell r="I4">
            <v>0</v>
          </cell>
        </row>
      </sheetData>
      <sheetData sheetId="1657">
        <row r="4">
          <cell r="I4">
            <v>0</v>
          </cell>
        </row>
      </sheetData>
      <sheetData sheetId="1658">
        <row r="4">
          <cell r="I4">
            <v>0</v>
          </cell>
        </row>
      </sheetData>
      <sheetData sheetId="1659">
        <row r="4">
          <cell r="I4">
            <v>0</v>
          </cell>
        </row>
      </sheetData>
      <sheetData sheetId="1660">
        <row r="4">
          <cell r="I4">
            <v>0</v>
          </cell>
        </row>
      </sheetData>
      <sheetData sheetId="1661">
        <row r="4">
          <cell r="I4">
            <v>0</v>
          </cell>
        </row>
      </sheetData>
      <sheetData sheetId="1662">
        <row r="4">
          <cell r="I4">
            <v>0</v>
          </cell>
        </row>
      </sheetData>
      <sheetData sheetId="1663">
        <row r="4">
          <cell r="I4">
            <v>0</v>
          </cell>
        </row>
      </sheetData>
      <sheetData sheetId="1664">
        <row r="4">
          <cell r="I4">
            <v>0</v>
          </cell>
        </row>
      </sheetData>
      <sheetData sheetId="1665">
        <row r="4">
          <cell r="I4">
            <v>0</v>
          </cell>
        </row>
      </sheetData>
      <sheetData sheetId="1666">
        <row r="4">
          <cell r="I4">
            <v>0</v>
          </cell>
        </row>
      </sheetData>
      <sheetData sheetId="1667">
        <row r="4">
          <cell r="I4">
            <v>0</v>
          </cell>
        </row>
      </sheetData>
      <sheetData sheetId="1668">
        <row r="4">
          <cell r="I4">
            <v>0</v>
          </cell>
        </row>
      </sheetData>
      <sheetData sheetId="1669">
        <row r="4">
          <cell r="I4">
            <v>0</v>
          </cell>
        </row>
      </sheetData>
      <sheetData sheetId="1670">
        <row r="4">
          <cell r="I4">
            <v>0</v>
          </cell>
        </row>
      </sheetData>
      <sheetData sheetId="1671">
        <row r="4">
          <cell r="I4">
            <v>0</v>
          </cell>
        </row>
      </sheetData>
      <sheetData sheetId="1672">
        <row r="4">
          <cell r="I4">
            <v>0</v>
          </cell>
        </row>
      </sheetData>
      <sheetData sheetId="1673">
        <row r="4">
          <cell r="I4">
            <v>0</v>
          </cell>
        </row>
      </sheetData>
      <sheetData sheetId="1674">
        <row r="4">
          <cell r="I4">
            <v>0</v>
          </cell>
        </row>
      </sheetData>
      <sheetData sheetId="1675">
        <row r="4">
          <cell r="I4">
            <v>0</v>
          </cell>
        </row>
      </sheetData>
      <sheetData sheetId="1676">
        <row r="4">
          <cell r="I4">
            <v>0</v>
          </cell>
        </row>
      </sheetData>
      <sheetData sheetId="1677">
        <row r="4">
          <cell r="I4">
            <v>0</v>
          </cell>
        </row>
      </sheetData>
      <sheetData sheetId="1678">
        <row r="4">
          <cell r="I4">
            <v>0</v>
          </cell>
        </row>
      </sheetData>
      <sheetData sheetId="1679">
        <row r="4">
          <cell r="I4">
            <v>0</v>
          </cell>
        </row>
      </sheetData>
      <sheetData sheetId="1680">
        <row r="4">
          <cell r="I4">
            <v>0</v>
          </cell>
        </row>
      </sheetData>
      <sheetData sheetId="1681">
        <row r="4">
          <cell r="I4">
            <v>0</v>
          </cell>
        </row>
      </sheetData>
      <sheetData sheetId="1682">
        <row r="4">
          <cell r="I4">
            <v>0</v>
          </cell>
        </row>
      </sheetData>
      <sheetData sheetId="1683">
        <row r="4">
          <cell r="I4">
            <v>0</v>
          </cell>
        </row>
      </sheetData>
      <sheetData sheetId="1684">
        <row r="4">
          <cell r="I4">
            <v>0</v>
          </cell>
        </row>
      </sheetData>
      <sheetData sheetId="1685">
        <row r="4">
          <cell r="I4">
            <v>0</v>
          </cell>
        </row>
      </sheetData>
      <sheetData sheetId="1686">
        <row r="4">
          <cell r="I4">
            <v>0</v>
          </cell>
        </row>
      </sheetData>
      <sheetData sheetId="1687">
        <row r="4">
          <cell r="I4">
            <v>0</v>
          </cell>
        </row>
      </sheetData>
      <sheetData sheetId="1688">
        <row r="4">
          <cell r="I4">
            <v>0</v>
          </cell>
        </row>
      </sheetData>
      <sheetData sheetId="1689">
        <row r="4">
          <cell r="I4">
            <v>0</v>
          </cell>
        </row>
      </sheetData>
      <sheetData sheetId="1690">
        <row r="4">
          <cell r="I4">
            <v>0</v>
          </cell>
        </row>
      </sheetData>
      <sheetData sheetId="1691">
        <row r="4">
          <cell r="I4">
            <v>0</v>
          </cell>
        </row>
      </sheetData>
      <sheetData sheetId="1692">
        <row r="4">
          <cell r="I4">
            <v>0</v>
          </cell>
        </row>
      </sheetData>
      <sheetData sheetId="1693">
        <row r="4">
          <cell r="I4">
            <v>0</v>
          </cell>
        </row>
      </sheetData>
      <sheetData sheetId="1694">
        <row r="4">
          <cell r="I4">
            <v>0</v>
          </cell>
        </row>
      </sheetData>
      <sheetData sheetId="1695">
        <row r="4">
          <cell r="I4">
            <v>0</v>
          </cell>
        </row>
      </sheetData>
      <sheetData sheetId="1696">
        <row r="4">
          <cell r="I4">
            <v>0</v>
          </cell>
        </row>
      </sheetData>
      <sheetData sheetId="1697">
        <row r="4">
          <cell r="I4">
            <v>0</v>
          </cell>
        </row>
      </sheetData>
      <sheetData sheetId="1698">
        <row r="4">
          <cell r="I4">
            <v>0</v>
          </cell>
        </row>
      </sheetData>
      <sheetData sheetId="1699">
        <row r="4">
          <cell r="I4">
            <v>0</v>
          </cell>
        </row>
      </sheetData>
      <sheetData sheetId="1700">
        <row r="4">
          <cell r="I4">
            <v>0</v>
          </cell>
        </row>
      </sheetData>
      <sheetData sheetId="1701">
        <row r="4">
          <cell r="I4">
            <v>0</v>
          </cell>
        </row>
      </sheetData>
      <sheetData sheetId="1702">
        <row r="4">
          <cell r="I4">
            <v>0</v>
          </cell>
        </row>
      </sheetData>
      <sheetData sheetId="1703">
        <row r="4">
          <cell r="I4">
            <v>0</v>
          </cell>
        </row>
      </sheetData>
      <sheetData sheetId="1704">
        <row r="4">
          <cell r="I4">
            <v>0</v>
          </cell>
        </row>
      </sheetData>
      <sheetData sheetId="1705">
        <row r="4">
          <cell r="I4">
            <v>0</v>
          </cell>
        </row>
      </sheetData>
      <sheetData sheetId="1706">
        <row r="4">
          <cell r="I4">
            <v>0</v>
          </cell>
        </row>
      </sheetData>
      <sheetData sheetId="1707">
        <row r="4">
          <cell r="I4">
            <v>0</v>
          </cell>
        </row>
      </sheetData>
      <sheetData sheetId="1708">
        <row r="4">
          <cell r="I4">
            <v>0</v>
          </cell>
        </row>
      </sheetData>
      <sheetData sheetId="1709">
        <row r="4">
          <cell r="I4">
            <v>0</v>
          </cell>
        </row>
      </sheetData>
      <sheetData sheetId="1710">
        <row r="4">
          <cell r="I4">
            <v>0</v>
          </cell>
        </row>
      </sheetData>
      <sheetData sheetId="1711">
        <row r="4">
          <cell r="I4">
            <v>0</v>
          </cell>
        </row>
      </sheetData>
      <sheetData sheetId="1712">
        <row r="4">
          <cell r="I4">
            <v>0</v>
          </cell>
        </row>
      </sheetData>
      <sheetData sheetId="1713">
        <row r="4">
          <cell r="I4">
            <v>0</v>
          </cell>
        </row>
      </sheetData>
      <sheetData sheetId="1714">
        <row r="4">
          <cell r="I4">
            <v>0</v>
          </cell>
        </row>
      </sheetData>
      <sheetData sheetId="1715">
        <row r="4">
          <cell r="I4">
            <v>0</v>
          </cell>
        </row>
      </sheetData>
      <sheetData sheetId="1716">
        <row r="4">
          <cell r="I4">
            <v>0</v>
          </cell>
        </row>
      </sheetData>
      <sheetData sheetId="1717">
        <row r="4">
          <cell r="I4">
            <v>0</v>
          </cell>
        </row>
      </sheetData>
      <sheetData sheetId="1718">
        <row r="4">
          <cell r="I4">
            <v>0</v>
          </cell>
        </row>
      </sheetData>
      <sheetData sheetId="1719">
        <row r="4">
          <cell r="I4">
            <v>0</v>
          </cell>
        </row>
      </sheetData>
      <sheetData sheetId="1720">
        <row r="4">
          <cell r="I4">
            <v>0</v>
          </cell>
        </row>
      </sheetData>
      <sheetData sheetId="1721">
        <row r="4">
          <cell r="I4">
            <v>0</v>
          </cell>
        </row>
      </sheetData>
      <sheetData sheetId="1722">
        <row r="4">
          <cell r="I4">
            <v>0</v>
          </cell>
        </row>
      </sheetData>
      <sheetData sheetId="1723">
        <row r="4">
          <cell r="I4">
            <v>0</v>
          </cell>
        </row>
      </sheetData>
      <sheetData sheetId="1724">
        <row r="4">
          <cell r="I4">
            <v>0</v>
          </cell>
        </row>
      </sheetData>
      <sheetData sheetId="1725">
        <row r="4">
          <cell r="I4">
            <v>0</v>
          </cell>
        </row>
      </sheetData>
      <sheetData sheetId="1726">
        <row r="4">
          <cell r="I4">
            <v>0</v>
          </cell>
        </row>
      </sheetData>
      <sheetData sheetId="1727">
        <row r="4">
          <cell r="I4">
            <v>0</v>
          </cell>
        </row>
      </sheetData>
      <sheetData sheetId="1728">
        <row r="4">
          <cell r="I4">
            <v>0</v>
          </cell>
        </row>
      </sheetData>
      <sheetData sheetId="1729">
        <row r="4">
          <cell r="I4">
            <v>0</v>
          </cell>
        </row>
      </sheetData>
      <sheetData sheetId="1730">
        <row r="4">
          <cell r="I4">
            <v>0</v>
          </cell>
        </row>
      </sheetData>
      <sheetData sheetId="1731">
        <row r="4">
          <cell r="I4">
            <v>0</v>
          </cell>
        </row>
      </sheetData>
      <sheetData sheetId="1732">
        <row r="4">
          <cell r="I4">
            <v>0</v>
          </cell>
        </row>
      </sheetData>
      <sheetData sheetId="1733">
        <row r="4">
          <cell r="I4">
            <v>0</v>
          </cell>
        </row>
      </sheetData>
      <sheetData sheetId="1734">
        <row r="4">
          <cell r="I4">
            <v>0</v>
          </cell>
        </row>
      </sheetData>
      <sheetData sheetId="1735">
        <row r="4">
          <cell r="I4">
            <v>0</v>
          </cell>
        </row>
      </sheetData>
      <sheetData sheetId="1736">
        <row r="4">
          <cell r="I4">
            <v>0</v>
          </cell>
        </row>
      </sheetData>
      <sheetData sheetId="1737">
        <row r="4">
          <cell r="I4">
            <v>0</v>
          </cell>
        </row>
      </sheetData>
      <sheetData sheetId="1738">
        <row r="4">
          <cell r="I4">
            <v>0</v>
          </cell>
        </row>
      </sheetData>
      <sheetData sheetId="1739">
        <row r="4">
          <cell r="I4">
            <v>0</v>
          </cell>
        </row>
      </sheetData>
      <sheetData sheetId="1740">
        <row r="4">
          <cell r="I4">
            <v>0</v>
          </cell>
        </row>
      </sheetData>
      <sheetData sheetId="1741">
        <row r="4">
          <cell r="I4">
            <v>0</v>
          </cell>
        </row>
      </sheetData>
      <sheetData sheetId="1742">
        <row r="4">
          <cell r="I4">
            <v>0</v>
          </cell>
        </row>
      </sheetData>
      <sheetData sheetId="1743">
        <row r="4">
          <cell r="I4">
            <v>0</v>
          </cell>
        </row>
      </sheetData>
      <sheetData sheetId="1744">
        <row r="4">
          <cell r="I4">
            <v>0</v>
          </cell>
        </row>
      </sheetData>
      <sheetData sheetId="1745">
        <row r="4">
          <cell r="I4">
            <v>0</v>
          </cell>
        </row>
      </sheetData>
      <sheetData sheetId="1746">
        <row r="4">
          <cell r="I4">
            <v>0</v>
          </cell>
        </row>
      </sheetData>
      <sheetData sheetId="1747">
        <row r="4">
          <cell r="I4">
            <v>0</v>
          </cell>
        </row>
      </sheetData>
      <sheetData sheetId="1748">
        <row r="4">
          <cell r="I4">
            <v>0</v>
          </cell>
        </row>
      </sheetData>
      <sheetData sheetId="1749">
        <row r="4">
          <cell r="I4">
            <v>0</v>
          </cell>
        </row>
      </sheetData>
      <sheetData sheetId="1750">
        <row r="4">
          <cell r="I4">
            <v>0</v>
          </cell>
        </row>
      </sheetData>
      <sheetData sheetId="1751">
        <row r="4">
          <cell r="I4">
            <v>0</v>
          </cell>
        </row>
      </sheetData>
      <sheetData sheetId="1752">
        <row r="4">
          <cell r="I4">
            <v>0</v>
          </cell>
        </row>
      </sheetData>
      <sheetData sheetId="1753">
        <row r="4">
          <cell r="I4">
            <v>0</v>
          </cell>
        </row>
      </sheetData>
      <sheetData sheetId="1754">
        <row r="4">
          <cell r="I4">
            <v>0</v>
          </cell>
        </row>
      </sheetData>
      <sheetData sheetId="1755">
        <row r="4">
          <cell r="I4">
            <v>0</v>
          </cell>
        </row>
      </sheetData>
      <sheetData sheetId="1756">
        <row r="4">
          <cell r="I4">
            <v>0</v>
          </cell>
        </row>
      </sheetData>
      <sheetData sheetId="1757">
        <row r="4">
          <cell r="I4">
            <v>0</v>
          </cell>
        </row>
      </sheetData>
      <sheetData sheetId="1758">
        <row r="4">
          <cell r="I4">
            <v>0</v>
          </cell>
        </row>
      </sheetData>
      <sheetData sheetId="1759">
        <row r="4">
          <cell r="I4">
            <v>0</v>
          </cell>
        </row>
      </sheetData>
      <sheetData sheetId="1760">
        <row r="4">
          <cell r="I4">
            <v>0</v>
          </cell>
        </row>
      </sheetData>
      <sheetData sheetId="1761">
        <row r="4">
          <cell r="I4">
            <v>0</v>
          </cell>
        </row>
      </sheetData>
      <sheetData sheetId="1762">
        <row r="4">
          <cell r="I4">
            <v>0</v>
          </cell>
        </row>
      </sheetData>
      <sheetData sheetId="1763">
        <row r="4">
          <cell r="I4">
            <v>0</v>
          </cell>
        </row>
      </sheetData>
      <sheetData sheetId="1764">
        <row r="4">
          <cell r="I4">
            <v>0</v>
          </cell>
        </row>
      </sheetData>
      <sheetData sheetId="1765">
        <row r="4">
          <cell r="I4">
            <v>0</v>
          </cell>
        </row>
      </sheetData>
      <sheetData sheetId="1766">
        <row r="4">
          <cell r="I4">
            <v>0</v>
          </cell>
        </row>
      </sheetData>
      <sheetData sheetId="1767">
        <row r="4">
          <cell r="I4">
            <v>0</v>
          </cell>
        </row>
      </sheetData>
      <sheetData sheetId="1768">
        <row r="4">
          <cell r="I4">
            <v>0</v>
          </cell>
        </row>
      </sheetData>
      <sheetData sheetId="1769">
        <row r="4">
          <cell r="I4">
            <v>0</v>
          </cell>
        </row>
      </sheetData>
      <sheetData sheetId="1770">
        <row r="4">
          <cell r="I4">
            <v>0</v>
          </cell>
        </row>
      </sheetData>
      <sheetData sheetId="1771">
        <row r="4">
          <cell r="I4">
            <v>0</v>
          </cell>
        </row>
      </sheetData>
      <sheetData sheetId="1772">
        <row r="4">
          <cell r="I4">
            <v>0</v>
          </cell>
        </row>
      </sheetData>
      <sheetData sheetId="1773">
        <row r="4">
          <cell r="I4">
            <v>0</v>
          </cell>
        </row>
      </sheetData>
      <sheetData sheetId="1774">
        <row r="4">
          <cell r="I4">
            <v>0</v>
          </cell>
        </row>
      </sheetData>
      <sheetData sheetId="1775">
        <row r="4">
          <cell r="I4">
            <v>0</v>
          </cell>
        </row>
      </sheetData>
      <sheetData sheetId="1776">
        <row r="4">
          <cell r="I4">
            <v>0</v>
          </cell>
        </row>
      </sheetData>
      <sheetData sheetId="1777">
        <row r="4">
          <cell r="I4">
            <v>0</v>
          </cell>
        </row>
      </sheetData>
      <sheetData sheetId="1778">
        <row r="4">
          <cell r="I4">
            <v>0</v>
          </cell>
        </row>
      </sheetData>
      <sheetData sheetId="1779">
        <row r="4">
          <cell r="I4">
            <v>0</v>
          </cell>
        </row>
      </sheetData>
      <sheetData sheetId="1780">
        <row r="4">
          <cell r="I4">
            <v>0</v>
          </cell>
        </row>
      </sheetData>
      <sheetData sheetId="1781">
        <row r="4">
          <cell r="I4">
            <v>0</v>
          </cell>
        </row>
      </sheetData>
      <sheetData sheetId="1782">
        <row r="4">
          <cell r="I4">
            <v>0</v>
          </cell>
        </row>
      </sheetData>
      <sheetData sheetId="1783">
        <row r="4">
          <cell r="I4">
            <v>0</v>
          </cell>
        </row>
      </sheetData>
      <sheetData sheetId="1784">
        <row r="4">
          <cell r="I4">
            <v>0</v>
          </cell>
        </row>
      </sheetData>
      <sheetData sheetId="1785">
        <row r="4">
          <cell r="I4">
            <v>0</v>
          </cell>
        </row>
      </sheetData>
      <sheetData sheetId="1786">
        <row r="4">
          <cell r="I4">
            <v>0</v>
          </cell>
        </row>
      </sheetData>
      <sheetData sheetId="1787">
        <row r="4">
          <cell r="I4">
            <v>0</v>
          </cell>
        </row>
      </sheetData>
      <sheetData sheetId="1788">
        <row r="4">
          <cell r="I4">
            <v>0</v>
          </cell>
        </row>
      </sheetData>
      <sheetData sheetId="1789">
        <row r="4">
          <cell r="I4">
            <v>0</v>
          </cell>
        </row>
      </sheetData>
      <sheetData sheetId="1790">
        <row r="4">
          <cell r="I4">
            <v>0</v>
          </cell>
        </row>
      </sheetData>
      <sheetData sheetId="1791">
        <row r="4">
          <cell r="I4">
            <v>0</v>
          </cell>
        </row>
      </sheetData>
      <sheetData sheetId="1792">
        <row r="4">
          <cell r="I4">
            <v>0</v>
          </cell>
        </row>
      </sheetData>
      <sheetData sheetId="1793">
        <row r="4">
          <cell r="I4">
            <v>0</v>
          </cell>
        </row>
      </sheetData>
      <sheetData sheetId="1794">
        <row r="4">
          <cell r="I4">
            <v>0</v>
          </cell>
        </row>
      </sheetData>
      <sheetData sheetId="1795">
        <row r="4">
          <cell r="I4">
            <v>0</v>
          </cell>
        </row>
      </sheetData>
      <sheetData sheetId="1796">
        <row r="4">
          <cell r="I4">
            <v>0</v>
          </cell>
        </row>
      </sheetData>
      <sheetData sheetId="1797">
        <row r="4">
          <cell r="I4">
            <v>0</v>
          </cell>
        </row>
      </sheetData>
      <sheetData sheetId="1798">
        <row r="4">
          <cell r="I4">
            <v>0</v>
          </cell>
        </row>
      </sheetData>
      <sheetData sheetId="1799">
        <row r="4">
          <cell r="I4">
            <v>0</v>
          </cell>
        </row>
      </sheetData>
      <sheetData sheetId="1800">
        <row r="4">
          <cell r="I4">
            <v>0</v>
          </cell>
        </row>
      </sheetData>
      <sheetData sheetId="1801">
        <row r="4">
          <cell r="I4">
            <v>0</v>
          </cell>
        </row>
      </sheetData>
      <sheetData sheetId="1802">
        <row r="4">
          <cell r="I4">
            <v>0</v>
          </cell>
        </row>
      </sheetData>
      <sheetData sheetId="1803">
        <row r="4">
          <cell r="I4">
            <v>0</v>
          </cell>
        </row>
      </sheetData>
      <sheetData sheetId="1804">
        <row r="4">
          <cell r="I4">
            <v>0</v>
          </cell>
        </row>
      </sheetData>
      <sheetData sheetId="1805">
        <row r="4">
          <cell r="I4">
            <v>0</v>
          </cell>
        </row>
      </sheetData>
      <sheetData sheetId="1806">
        <row r="4">
          <cell r="I4">
            <v>0</v>
          </cell>
        </row>
      </sheetData>
      <sheetData sheetId="1807">
        <row r="4">
          <cell r="I4">
            <v>0</v>
          </cell>
        </row>
      </sheetData>
      <sheetData sheetId="1808">
        <row r="4">
          <cell r="I4">
            <v>0</v>
          </cell>
        </row>
      </sheetData>
      <sheetData sheetId="1809">
        <row r="4">
          <cell r="I4">
            <v>0</v>
          </cell>
        </row>
      </sheetData>
      <sheetData sheetId="1810">
        <row r="4">
          <cell r="I4">
            <v>0</v>
          </cell>
        </row>
      </sheetData>
      <sheetData sheetId="1811">
        <row r="4">
          <cell r="I4">
            <v>0</v>
          </cell>
        </row>
      </sheetData>
      <sheetData sheetId="1812">
        <row r="4">
          <cell r="I4">
            <v>0</v>
          </cell>
        </row>
      </sheetData>
      <sheetData sheetId="1813">
        <row r="4">
          <cell r="I4">
            <v>0</v>
          </cell>
        </row>
      </sheetData>
      <sheetData sheetId="1814">
        <row r="4">
          <cell r="I4">
            <v>0</v>
          </cell>
        </row>
      </sheetData>
      <sheetData sheetId="1815">
        <row r="4">
          <cell r="I4">
            <v>0</v>
          </cell>
        </row>
      </sheetData>
      <sheetData sheetId="1816">
        <row r="4">
          <cell r="I4">
            <v>0</v>
          </cell>
        </row>
      </sheetData>
      <sheetData sheetId="1817">
        <row r="4">
          <cell r="I4">
            <v>0</v>
          </cell>
        </row>
      </sheetData>
      <sheetData sheetId="1818">
        <row r="4">
          <cell r="I4">
            <v>0</v>
          </cell>
        </row>
      </sheetData>
      <sheetData sheetId="1819">
        <row r="4">
          <cell r="I4">
            <v>0</v>
          </cell>
        </row>
      </sheetData>
      <sheetData sheetId="1820">
        <row r="4">
          <cell r="I4">
            <v>0</v>
          </cell>
        </row>
      </sheetData>
      <sheetData sheetId="1821">
        <row r="4">
          <cell r="I4">
            <v>0</v>
          </cell>
        </row>
      </sheetData>
      <sheetData sheetId="1822">
        <row r="4">
          <cell r="I4">
            <v>0</v>
          </cell>
        </row>
      </sheetData>
      <sheetData sheetId="1823">
        <row r="4">
          <cell r="I4">
            <v>0</v>
          </cell>
        </row>
      </sheetData>
      <sheetData sheetId="1824">
        <row r="4">
          <cell r="I4">
            <v>0</v>
          </cell>
        </row>
      </sheetData>
      <sheetData sheetId="1825">
        <row r="4">
          <cell r="I4">
            <v>0</v>
          </cell>
        </row>
      </sheetData>
      <sheetData sheetId="1826">
        <row r="4">
          <cell r="I4">
            <v>0</v>
          </cell>
        </row>
      </sheetData>
      <sheetData sheetId="1827">
        <row r="4">
          <cell r="I4">
            <v>0</v>
          </cell>
        </row>
      </sheetData>
      <sheetData sheetId="1828">
        <row r="4">
          <cell r="I4">
            <v>0</v>
          </cell>
        </row>
      </sheetData>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ow r="4">
          <cell r="I4">
            <v>0</v>
          </cell>
        </row>
      </sheetData>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sheetData sheetId="1880"/>
      <sheetData sheetId="1881"/>
      <sheetData sheetId="1882"/>
      <sheetData sheetId="1883"/>
      <sheetData sheetId="1884"/>
      <sheetData sheetId="1885"/>
      <sheetData sheetId="1886"/>
      <sheetData sheetId="1887"/>
      <sheetData sheetId="1888"/>
      <sheetData sheetId="1889"/>
      <sheetData sheetId="1890">
        <row r="4">
          <cell r="I4">
            <v>0</v>
          </cell>
        </row>
      </sheetData>
      <sheetData sheetId="1891">
        <row r="4">
          <cell r="I4">
            <v>0</v>
          </cell>
        </row>
      </sheetData>
      <sheetData sheetId="1892">
        <row r="4">
          <cell r="I4">
            <v>0</v>
          </cell>
        </row>
      </sheetData>
      <sheetData sheetId="1893">
        <row r="4">
          <cell r="I4">
            <v>0</v>
          </cell>
        </row>
      </sheetData>
      <sheetData sheetId="1894">
        <row r="4">
          <cell r="I4">
            <v>0</v>
          </cell>
        </row>
      </sheetData>
      <sheetData sheetId="1895">
        <row r="4">
          <cell r="I4">
            <v>0</v>
          </cell>
        </row>
      </sheetData>
      <sheetData sheetId="1896">
        <row r="4">
          <cell r="I4">
            <v>0</v>
          </cell>
        </row>
      </sheetData>
      <sheetData sheetId="1897">
        <row r="4">
          <cell r="I4">
            <v>0</v>
          </cell>
        </row>
      </sheetData>
      <sheetData sheetId="1898">
        <row r="4">
          <cell r="I4">
            <v>0</v>
          </cell>
        </row>
      </sheetData>
      <sheetData sheetId="1899">
        <row r="4">
          <cell r="I4">
            <v>0</v>
          </cell>
        </row>
      </sheetData>
      <sheetData sheetId="1900">
        <row r="4">
          <cell r="I4">
            <v>0</v>
          </cell>
        </row>
      </sheetData>
      <sheetData sheetId="1901">
        <row r="4">
          <cell r="I4">
            <v>0</v>
          </cell>
        </row>
      </sheetData>
      <sheetData sheetId="1902">
        <row r="4">
          <cell r="I4">
            <v>0</v>
          </cell>
        </row>
      </sheetData>
      <sheetData sheetId="1903">
        <row r="4">
          <cell r="I4">
            <v>0</v>
          </cell>
        </row>
      </sheetData>
      <sheetData sheetId="1904">
        <row r="4">
          <cell r="I4">
            <v>0</v>
          </cell>
        </row>
      </sheetData>
      <sheetData sheetId="1905">
        <row r="4">
          <cell r="I4">
            <v>0</v>
          </cell>
        </row>
      </sheetData>
      <sheetData sheetId="1906">
        <row r="4">
          <cell r="I4">
            <v>0</v>
          </cell>
        </row>
      </sheetData>
      <sheetData sheetId="1907">
        <row r="4">
          <cell r="I4">
            <v>0</v>
          </cell>
        </row>
      </sheetData>
      <sheetData sheetId="1908">
        <row r="4">
          <cell r="I4">
            <v>0</v>
          </cell>
        </row>
      </sheetData>
      <sheetData sheetId="1909">
        <row r="4">
          <cell r="I4">
            <v>0</v>
          </cell>
        </row>
      </sheetData>
      <sheetData sheetId="1910">
        <row r="4">
          <cell r="I4">
            <v>0</v>
          </cell>
        </row>
      </sheetData>
      <sheetData sheetId="1911">
        <row r="4">
          <cell r="I4">
            <v>0</v>
          </cell>
        </row>
      </sheetData>
      <sheetData sheetId="1912">
        <row r="4">
          <cell r="I4">
            <v>0</v>
          </cell>
        </row>
      </sheetData>
      <sheetData sheetId="1913">
        <row r="4">
          <cell r="I4">
            <v>0</v>
          </cell>
        </row>
      </sheetData>
      <sheetData sheetId="1914" refreshError="1"/>
      <sheetData sheetId="1915" refreshError="1"/>
      <sheetData sheetId="1916">
        <row r="4">
          <cell r="I4">
            <v>0</v>
          </cell>
        </row>
      </sheetData>
      <sheetData sheetId="1917">
        <row r="4">
          <cell r="I4">
            <v>0</v>
          </cell>
        </row>
      </sheetData>
      <sheetData sheetId="1918">
        <row r="4">
          <cell r="I4">
            <v>0</v>
          </cell>
        </row>
      </sheetData>
      <sheetData sheetId="1919">
        <row r="4">
          <cell r="I4">
            <v>0</v>
          </cell>
        </row>
      </sheetData>
      <sheetData sheetId="1920">
        <row r="4">
          <cell r="I4">
            <v>0</v>
          </cell>
        </row>
      </sheetData>
      <sheetData sheetId="1921">
        <row r="4">
          <cell r="I4">
            <v>0</v>
          </cell>
        </row>
      </sheetData>
      <sheetData sheetId="1922">
        <row r="4">
          <cell r="I4">
            <v>0</v>
          </cell>
        </row>
      </sheetData>
      <sheetData sheetId="1923">
        <row r="4">
          <cell r="I4">
            <v>0</v>
          </cell>
        </row>
      </sheetData>
      <sheetData sheetId="1924">
        <row r="4">
          <cell r="I4">
            <v>0</v>
          </cell>
        </row>
      </sheetData>
      <sheetData sheetId="1925">
        <row r="4">
          <cell r="I4">
            <v>0</v>
          </cell>
        </row>
      </sheetData>
      <sheetData sheetId="1926">
        <row r="4">
          <cell r="I4">
            <v>0</v>
          </cell>
        </row>
      </sheetData>
      <sheetData sheetId="1927" refreshError="1"/>
      <sheetData sheetId="1928" refreshError="1"/>
      <sheetData sheetId="1929" refreshError="1"/>
      <sheetData sheetId="1930" refreshError="1"/>
      <sheetData sheetId="1931" refreshError="1"/>
      <sheetData sheetId="1932" refreshError="1"/>
      <sheetData sheetId="1933"/>
      <sheetData sheetId="1934" refreshError="1"/>
      <sheetData sheetId="1935" refreshError="1"/>
      <sheetData sheetId="1936">
        <row r="4">
          <cell r="I4">
            <v>0</v>
          </cell>
        </row>
      </sheetData>
      <sheetData sheetId="1937">
        <row r="4">
          <cell r="I4">
            <v>0</v>
          </cell>
        </row>
      </sheetData>
      <sheetData sheetId="1938">
        <row r="4">
          <cell r="I4">
            <v>0</v>
          </cell>
        </row>
      </sheetData>
      <sheetData sheetId="1939">
        <row r="4">
          <cell r="I4">
            <v>0</v>
          </cell>
        </row>
      </sheetData>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sheetData sheetId="1950" refreshError="1"/>
      <sheetData sheetId="1951" refreshError="1"/>
      <sheetData sheetId="1952" refreshError="1"/>
      <sheetData sheetId="1953" refreshError="1"/>
      <sheetData sheetId="1954" refreshError="1"/>
      <sheetData sheetId="1955"/>
      <sheetData sheetId="1956" refreshError="1"/>
      <sheetData sheetId="1957" refreshError="1"/>
      <sheetData sheetId="1958" refreshError="1"/>
      <sheetData sheetId="1959"/>
      <sheetData sheetId="1960" refreshError="1"/>
      <sheetData sheetId="1961" refreshError="1"/>
      <sheetData sheetId="1962"/>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ow r="4">
          <cell r="I4">
            <v>0</v>
          </cell>
        </row>
      </sheetData>
      <sheetData sheetId="1977">
        <row r="4">
          <cell r="I4">
            <v>0</v>
          </cell>
        </row>
      </sheetData>
      <sheetData sheetId="1978">
        <row r="4">
          <cell r="I4">
            <v>0</v>
          </cell>
        </row>
      </sheetData>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ow r="4">
          <cell r="I4">
            <v>0</v>
          </cell>
        </row>
      </sheetData>
      <sheetData sheetId="2010">
        <row r="4">
          <cell r="I4">
            <v>0</v>
          </cell>
        </row>
      </sheetData>
      <sheetData sheetId="2011">
        <row r="4">
          <cell r="I4">
            <v>0</v>
          </cell>
        </row>
      </sheetData>
      <sheetData sheetId="2012">
        <row r="4">
          <cell r="I4">
            <v>0</v>
          </cell>
        </row>
      </sheetData>
      <sheetData sheetId="2013">
        <row r="4">
          <cell r="I4">
            <v>0</v>
          </cell>
        </row>
      </sheetData>
      <sheetData sheetId="2014">
        <row r="4">
          <cell r="I4">
            <v>0</v>
          </cell>
        </row>
      </sheetData>
      <sheetData sheetId="2015">
        <row r="4">
          <cell r="I4">
            <v>0</v>
          </cell>
        </row>
      </sheetData>
      <sheetData sheetId="2016">
        <row r="4">
          <cell r="I4">
            <v>0</v>
          </cell>
        </row>
      </sheetData>
      <sheetData sheetId="2017">
        <row r="4">
          <cell r="I4">
            <v>0</v>
          </cell>
        </row>
      </sheetData>
      <sheetData sheetId="2018">
        <row r="4">
          <cell r="I4">
            <v>0</v>
          </cell>
        </row>
      </sheetData>
      <sheetData sheetId="2019">
        <row r="4">
          <cell r="I4">
            <v>0</v>
          </cell>
        </row>
      </sheetData>
      <sheetData sheetId="2020">
        <row r="4">
          <cell r="I4">
            <v>0</v>
          </cell>
        </row>
      </sheetData>
      <sheetData sheetId="2021">
        <row r="4">
          <cell r="I4">
            <v>0</v>
          </cell>
        </row>
      </sheetData>
      <sheetData sheetId="2022">
        <row r="4">
          <cell r="I4">
            <v>0</v>
          </cell>
        </row>
      </sheetData>
      <sheetData sheetId="2023">
        <row r="4">
          <cell r="I4">
            <v>0</v>
          </cell>
        </row>
      </sheetData>
      <sheetData sheetId="2024">
        <row r="4">
          <cell r="I4">
            <v>0</v>
          </cell>
        </row>
      </sheetData>
      <sheetData sheetId="2025">
        <row r="4">
          <cell r="I4">
            <v>0</v>
          </cell>
        </row>
      </sheetData>
      <sheetData sheetId="2026">
        <row r="4">
          <cell r="I4">
            <v>0</v>
          </cell>
        </row>
      </sheetData>
      <sheetData sheetId="2027">
        <row r="4">
          <cell r="I4">
            <v>0</v>
          </cell>
        </row>
      </sheetData>
      <sheetData sheetId="2028">
        <row r="4">
          <cell r="I4">
            <v>0</v>
          </cell>
        </row>
      </sheetData>
      <sheetData sheetId="2029">
        <row r="4">
          <cell r="I4">
            <v>0</v>
          </cell>
        </row>
      </sheetData>
      <sheetData sheetId="2030">
        <row r="4">
          <cell r="I4">
            <v>0</v>
          </cell>
        </row>
      </sheetData>
      <sheetData sheetId="2031">
        <row r="4">
          <cell r="I4">
            <v>0</v>
          </cell>
        </row>
      </sheetData>
      <sheetData sheetId="2032">
        <row r="4">
          <cell r="I4">
            <v>0</v>
          </cell>
        </row>
      </sheetData>
      <sheetData sheetId="2033">
        <row r="4">
          <cell r="I4">
            <v>0</v>
          </cell>
        </row>
      </sheetData>
      <sheetData sheetId="2034">
        <row r="4">
          <cell r="I4">
            <v>0</v>
          </cell>
        </row>
      </sheetData>
      <sheetData sheetId="2035">
        <row r="4">
          <cell r="I4">
            <v>0</v>
          </cell>
        </row>
      </sheetData>
      <sheetData sheetId="2036">
        <row r="4">
          <cell r="I4">
            <v>0</v>
          </cell>
        </row>
      </sheetData>
      <sheetData sheetId="2037">
        <row r="4">
          <cell r="I4">
            <v>0</v>
          </cell>
        </row>
      </sheetData>
      <sheetData sheetId="2038">
        <row r="4">
          <cell r="I4">
            <v>0</v>
          </cell>
        </row>
      </sheetData>
      <sheetData sheetId="2039">
        <row r="4">
          <cell r="I4">
            <v>0</v>
          </cell>
        </row>
      </sheetData>
      <sheetData sheetId="2040">
        <row r="4">
          <cell r="I4">
            <v>0</v>
          </cell>
        </row>
      </sheetData>
      <sheetData sheetId="2041">
        <row r="4">
          <cell r="I4">
            <v>0</v>
          </cell>
        </row>
      </sheetData>
      <sheetData sheetId="2042">
        <row r="4">
          <cell r="I4">
            <v>0</v>
          </cell>
        </row>
      </sheetData>
      <sheetData sheetId="2043">
        <row r="4">
          <cell r="I4">
            <v>0</v>
          </cell>
        </row>
      </sheetData>
      <sheetData sheetId="2044">
        <row r="4">
          <cell r="I4">
            <v>0</v>
          </cell>
        </row>
      </sheetData>
      <sheetData sheetId="2045">
        <row r="4">
          <cell r="I4">
            <v>0</v>
          </cell>
        </row>
      </sheetData>
      <sheetData sheetId="2046">
        <row r="4">
          <cell r="I4">
            <v>0</v>
          </cell>
        </row>
      </sheetData>
      <sheetData sheetId="2047">
        <row r="4">
          <cell r="I4">
            <v>0</v>
          </cell>
        </row>
      </sheetData>
      <sheetData sheetId="2048">
        <row r="4">
          <cell r="I4">
            <v>0</v>
          </cell>
        </row>
      </sheetData>
      <sheetData sheetId="2049">
        <row r="4">
          <cell r="I4">
            <v>0</v>
          </cell>
        </row>
      </sheetData>
      <sheetData sheetId="2050">
        <row r="4">
          <cell r="I4">
            <v>0</v>
          </cell>
        </row>
      </sheetData>
      <sheetData sheetId="2051">
        <row r="4">
          <cell r="I4">
            <v>0</v>
          </cell>
        </row>
      </sheetData>
      <sheetData sheetId="2052">
        <row r="4">
          <cell r="I4">
            <v>0</v>
          </cell>
        </row>
      </sheetData>
      <sheetData sheetId="2053">
        <row r="4">
          <cell r="I4">
            <v>0</v>
          </cell>
        </row>
      </sheetData>
      <sheetData sheetId="2054">
        <row r="4">
          <cell r="I4">
            <v>0</v>
          </cell>
        </row>
      </sheetData>
      <sheetData sheetId="2055">
        <row r="4">
          <cell r="I4">
            <v>0</v>
          </cell>
        </row>
      </sheetData>
      <sheetData sheetId="2056">
        <row r="4">
          <cell r="I4">
            <v>0</v>
          </cell>
        </row>
      </sheetData>
      <sheetData sheetId="2057">
        <row r="4">
          <cell r="I4">
            <v>0</v>
          </cell>
        </row>
      </sheetData>
      <sheetData sheetId="2058">
        <row r="4">
          <cell r="I4">
            <v>0</v>
          </cell>
        </row>
      </sheetData>
      <sheetData sheetId="2059">
        <row r="4">
          <cell r="I4">
            <v>0</v>
          </cell>
        </row>
      </sheetData>
      <sheetData sheetId="2060">
        <row r="4">
          <cell r="I4">
            <v>0</v>
          </cell>
        </row>
      </sheetData>
      <sheetData sheetId="2061">
        <row r="4">
          <cell r="I4">
            <v>0</v>
          </cell>
        </row>
      </sheetData>
      <sheetData sheetId="2062">
        <row r="4">
          <cell r="I4">
            <v>0</v>
          </cell>
        </row>
      </sheetData>
      <sheetData sheetId="2063">
        <row r="4">
          <cell r="I4">
            <v>0</v>
          </cell>
        </row>
      </sheetData>
      <sheetData sheetId="2064">
        <row r="4">
          <cell r="I4">
            <v>0</v>
          </cell>
        </row>
      </sheetData>
      <sheetData sheetId="2065">
        <row r="4">
          <cell r="I4">
            <v>0</v>
          </cell>
        </row>
      </sheetData>
      <sheetData sheetId="2066">
        <row r="4">
          <cell r="I4">
            <v>0</v>
          </cell>
        </row>
      </sheetData>
      <sheetData sheetId="2067">
        <row r="4">
          <cell r="I4">
            <v>0</v>
          </cell>
        </row>
      </sheetData>
      <sheetData sheetId="2068">
        <row r="4">
          <cell r="I4">
            <v>0</v>
          </cell>
        </row>
      </sheetData>
      <sheetData sheetId="2069">
        <row r="4">
          <cell r="I4">
            <v>0</v>
          </cell>
        </row>
      </sheetData>
      <sheetData sheetId="2070">
        <row r="4">
          <cell r="I4">
            <v>0</v>
          </cell>
        </row>
      </sheetData>
      <sheetData sheetId="2071">
        <row r="4">
          <cell r="I4">
            <v>0</v>
          </cell>
        </row>
      </sheetData>
      <sheetData sheetId="2072">
        <row r="4">
          <cell r="I4">
            <v>0</v>
          </cell>
        </row>
      </sheetData>
      <sheetData sheetId="2073">
        <row r="4">
          <cell r="I4">
            <v>0</v>
          </cell>
        </row>
      </sheetData>
      <sheetData sheetId="2074">
        <row r="4">
          <cell r="I4">
            <v>0</v>
          </cell>
        </row>
      </sheetData>
      <sheetData sheetId="2075">
        <row r="4">
          <cell r="I4">
            <v>0</v>
          </cell>
        </row>
      </sheetData>
      <sheetData sheetId="2076">
        <row r="4">
          <cell r="I4">
            <v>0</v>
          </cell>
        </row>
      </sheetData>
      <sheetData sheetId="2077">
        <row r="4">
          <cell r="I4">
            <v>0</v>
          </cell>
        </row>
      </sheetData>
      <sheetData sheetId="2078">
        <row r="4">
          <cell r="I4">
            <v>0</v>
          </cell>
        </row>
      </sheetData>
      <sheetData sheetId="2079">
        <row r="4">
          <cell r="I4">
            <v>0</v>
          </cell>
        </row>
      </sheetData>
      <sheetData sheetId="2080">
        <row r="4">
          <cell r="I4">
            <v>0</v>
          </cell>
        </row>
      </sheetData>
      <sheetData sheetId="2081">
        <row r="4">
          <cell r="I4">
            <v>0</v>
          </cell>
        </row>
      </sheetData>
      <sheetData sheetId="2082">
        <row r="4">
          <cell r="I4">
            <v>0</v>
          </cell>
        </row>
      </sheetData>
      <sheetData sheetId="2083">
        <row r="4">
          <cell r="I4">
            <v>0</v>
          </cell>
        </row>
      </sheetData>
      <sheetData sheetId="2084">
        <row r="4">
          <cell r="I4">
            <v>0</v>
          </cell>
        </row>
      </sheetData>
      <sheetData sheetId="2085">
        <row r="4">
          <cell r="I4">
            <v>0</v>
          </cell>
        </row>
      </sheetData>
      <sheetData sheetId="2086">
        <row r="4">
          <cell r="I4">
            <v>0</v>
          </cell>
        </row>
      </sheetData>
      <sheetData sheetId="2087">
        <row r="4">
          <cell r="I4">
            <v>0</v>
          </cell>
        </row>
      </sheetData>
      <sheetData sheetId="2088">
        <row r="4">
          <cell r="I4">
            <v>0</v>
          </cell>
        </row>
      </sheetData>
      <sheetData sheetId="2089">
        <row r="4">
          <cell r="I4">
            <v>0</v>
          </cell>
        </row>
      </sheetData>
      <sheetData sheetId="2090">
        <row r="4">
          <cell r="I4">
            <v>0</v>
          </cell>
        </row>
      </sheetData>
      <sheetData sheetId="2091">
        <row r="4">
          <cell r="I4">
            <v>0</v>
          </cell>
        </row>
      </sheetData>
      <sheetData sheetId="2092">
        <row r="4">
          <cell r="I4">
            <v>0</v>
          </cell>
        </row>
      </sheetData>
      <sheetData sheetId="2093">
        <row r="4">
          <cell r="I4">
            <v>0</v>
          </cell>
        </row>
      </sheetData>
      <sheetData sheetId="2094">
        <row r="4">
          <cell r="I4">
            <v>0</v>
          </cell>
        </row>
      </sheetData>
      <sheetData sheetId="2095">
        <row r="4">
          <cell r="I4">
            <v>0</v>
          </cell>
        </row>
      </sheetData>
      <sheetData sheetId="2096">
        <row r="4">
          <cell r="I4">
            <v>0</v>
          </cell>
        </row>
      </sheetData>
      <sheetData sheetId="2097">
        <row r="4">
          <cell r="I4">
            <v>0</v>
          </cell>
        </row>
      </sheetData>
      <sheetData sheetId="2098">
        <row r="4">
          <cell r="I4">
            <v>0</v>
          </cell>
        </row>
      </sheetData>
      <sheetData sheetId="2099">
        <row r="4">
          <cell r="I4">
            <v>0</v>
          </cell>
        </row>
      </sheetData>
      <sheetData sheetId="2100">
        <row r="4">
          <cell r="I4">
            <v>0</v>
          </cell>
        </row>
      </sheetData>
      <sheetData sheetId="2101">
        <row r="4">
          <cell r="I4">
            <v>0</v>
          </cell>
        </row>
      </sheetData>
      <sheetData sheetId="2102">
        <row r="4">
          <cell r="I4">
            <v>0</v>
          </cell>
        </row>
      </sheetData>
      <sheetData sheetId="2103">
        <row r="4">
          <cell r="I4">
            <v>0</v>
          </cell>
        </row>
      </sheetData>
      <sheetData sheetId="2104">
        <row r="4">
          <cell r="I4">
            <v>0</v>
          </cell>
        </row>
      </sheetData>
      <sheetData sheetId="2105">
        <row r="4">
          <cell r="I4">
            <v>0</v>
          </cell>
        </row>
      </sheetData>
      <sheetData sheetId="2106">
        <row r="4">
          <cell r="I4">
            <v>0</v>
          </cell>
        </row>
      </sheetData>
      <sheetData sheetId="2107">
        <row r="4">
          <cell r="I4">
            <v>0</v>
          </cell>
        </row>
      </sheetData>
      <sheetData sheetId="2108">
        <row r="4">
          <cell r="I4">
            <v>0</v>
          </cell>
        </row>
      </sheetData>
      <sheetData sheetId="2109">
        <row r="4">
          <cell r="I4">
            <v>0</v>
          </cell>
        </row>
      </sheetData>
      <sheetData sheetId="2110">
        <row r="4">
          <cell r="I4">
            <v>0</v>
          </cell>
        </row>
      </sheetData>
      <sheetData sheetId="2111">
        <row r="4">
          <cell r="I4">
            <v>0</v>
          </cell>
        </row>
      </sheetData>
      <sheetData sheetId="2112">
        <row r="4">
          <cell r="I4">
            <v>0</v>
          </cell>
        </row>
      </sheetData>
      <sheetData sheetId="2113">
        <row r="4">
          <cell r="I4">
            <v>0</v>
          </cell>
        </row>
      </sheetData>
      <sheetData sheetId="2114">
        <row r="4">
          <cell r="I4">
            <v>0</v>
          </cell>
        </row>
      </sheetData>
      <sheetData sheetId="2115">
        <row r="4">
          <cell r="I4">
            <v>0</v>
          </cell>
        </row>
      </sheetData>
      <sheetData sheetId="2116">
        <row r="4">
          <cell r="I4">
            <v>0</v>
          </cell>
        </row>
      </sheetData>
      <sheetData sheetId="2117">
        <row r="4">
          <cell r="I4">
            <v>0</v>
          </cell>
        </row>
      </sheetData>
      <sheetData sheetId="2118">
        <row r="4">
          <cell r="I4">
            <v>0</v>
          </cell>
        </row>
      </sheetData>
      <sheetData sheetId="2119">
        <row r="4">
          <cell r="I4">
            <v>0</v>
          </cell>
        </row>
      </sheetData>
      <sheetData sheetId="2120">
        <row r="4">
          <cell r="I4">
            <v>0</v>
          </cell>
        </row>
      </sheetData>
      <sheetData sheetId="2121">
        <row r="4">
          <cell r="I4">
            <v>0</v>
          </cell>
        </row>
      </sheetData>
      <sheetData sheetId="2122">
        <row r="4">
          <cell r="I4">
            <v>0</v>
          </cell>
        </row>
      </sheetData>
      <sheetData sheetId="2123">
        <row r="4">
          <cell r="I4">
            <v>0</v>
          </cell>
        </row>
      </sheetData>
      <sheetData sheetId="2124">
        <row r="4">
          <cell r="I4">
            <v>0</v>
          </cell>
        </row>
      </sheetData>
      <sheetData sheetId="2125"/>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ow r="4">
          <cell r="I4">
            <v>0</v>
          </cell>
        </row>
      </sheetData>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ow r="4">
          <cell r="I4">
            <v>0</v>
          </cell>
        </row>
      </sheetData>
      <sheetData sheetId="2172"/>
      <sheetData sheetId="2173" refreshError="1"/>
      <sheetData sheetId="2174" refreshError="1"/>
      <sheetData sheetId="2175" refreshError="1"/>
      <sheetData sheetId="2176" refreshError="1"/>
      <sheetData sheetId="2177"/>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4">
          <cell r="I4">
            <v>0</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ow r="4">
          <cell r="I4">
            <v>0</v>
          </cell>
        </row>
      </sheetData>
      <sheetData sheetId="2215">
        <row r="4">
          <cell r="I4">
            <v>0</v>
          </cell>
        </row>
      </sheetData>
      <sheetData sheetId="2216">
        <row r="4">
          <cell r="I4">
            <v>0</v>
          </cell>
        </row>
      </sheetData>
      <sheetData sheetId="2217">
        <row r="4">
          <cell r="I4">
            <v>0</v>
          </cell>
        </row>
      </sheetData>
      <sheetData sheetId="2218">
        <row r="4">
          <cell r="I4">
            <v>0</v>
          </cell>
        </row>
      </sheetData>
      <sheetData sheetId="2219">
        <row r="4">
          <cell r="I4">
            <v>0</v>
          </cell>
        </row>
      </sheetData>
      <sheetData sheetId="2220">
        <row r="4">
          <cell r="I4">
            <v>0</v>
          </cell>
        </row>
      </sheetData>
      <sheetData sheetId="2221">
        <row r="4">
          <cell r="I4">
            <v>0</v>
          </cell>
        </row>
      </sheetData>
      <sheetData sheetId="2222">
        <row r="4">
          <cell r="I4">
            <v>0</v>
          </cell>
        </row>
      </sheetData>
      <sheetData sheetId="2223">
        <row r="4">
          <cell r="I4">
            <v>0</v>
          </cell>
        </row>
      </sheetData>
      <sheetData sheetId="2224">
        <row r="4">
          <cell r="I4">
            <v>0</v>
          </cell>
        </row>
      </sheetData>
      <sheetData sheetId="2225">
        <row r="4">
          <cell r="I4">
            <v>0</v>
          </cell>
        </row>
      </sheetData>
      <sheetData sheetId="2226">
        <row r="4">
          <cell r="I4">
            <v>0</v>
          </cell>
        </row>
      </sheetData>
      <sheetData sheetId="2227">
        <row r="4">
          <cell r="I4">
            <v>0</v>
          </cell>
        </row>
      </sheetData>
      <sheetData sheetId="2228">
        <row r="4">
          <cell r="I4">
            <v>0</v>
          </cell>
        </row>
      </sheetData>
      <sheetData sheetId="2229">
        <row r="4">
          <cell r="I4">
            <v>0</v>
          </cell>
        </row>
      </sheetData>
      <sheetData sheetId="2230">
        <row r="4">
          <cell r="I4">
            <v>0</v>
          </cell>
        </row>
      </sheetData>
      <sheetData sheetId="2231">
        <row r="4">
          <cell r="I4">
            <v>0</v>
          </cell>
        </row>
      </sheetData>
      <sheetData sheetId="2232">
        <row r="4">
          <cell r="I4">
            <v>0</v>
          </cell>
        </row>
      </sheetData>
      <sheetData sheetId="2233">
        <row r="4">
          <cell r="I4">
            <v>0</v>
          </cell>
        </row>
      </sheetData>
      <sheetData sheetId="2234">
        <row r="4">
          <cell r="I4">
            <v>0</v>
          </cell>
        </row>
      </sheetData>
      <sheetData sheetId="2235" refreshError="1"/>
      <sheetData sheetId="2236" refreshError="1"/>
      <sheetData sheetId="2237">
        <row r="4">
          <cell r="I4">
            <v>0</v>
          </cell>
        </row>
      </sheetData>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sheetData sheetId="2249" refreshError="1"/>
      <sheetData sheetId="2250" refreshError="1"/>
      <sheetData sheetId="2251">
        <row r="4">
          <cell r="I4">
            <v>0</v>
          </cell>
        </row>
      </sheetData>
      <sheetData sheetId="2252">
        <row r="4">
          <cell r="I4">
            <v>0</v>
          </cell>
        </row>
      </sheetData>
      <sheetData sheetId="2253">
        <row r="4">
          <cell r="I4">
            <v>0</v>
          </cell>
        </row>
      </sheetData>
      <sheetData sheetId="2254">
        <row r="4">
          <cell r="I4">
            <v>0</v>
          </cell>
        </row>
      </sheetData>
      <sheetData sheetId="2255">
        <row r="4">
          <cell r="I4">
            <v>0</v>
          </cell>
        </row>
      </sheetData>
      <sheetData sheetId="2256">
        <row r="4">
          <cell r="I4">
            <v>0</v>
          </cell>
        </row>
      </sheetData>
      <sheetData sheetId="2257">
        <row r="4">
          <cell r="I4">
            <v>0</v>
          </cell>
        </row>
      </sheetData>
      <sheetData sheetId="2258">
        <row r="4">
          <cell r="I4">
            <v>0</v>
          </cell>
        </row>
      </sheetData>
      <sheetData sheetId="2259">
        <row r="4">
          <cell r="I4">
            <v>0</v>
          </cell>
        </row>
      </sheetData>
      <sheetData sheetId="2260">
        <row r="4">
          <cell r="I4">
            <v>0</v>
          </cell>
        </row>
      </sheetData>
      <sheetData sheetId="2261">
        <row r="4">
          <cell r="I4">
            <v>0</v>
          </cell>
        </row>
      </sheetData>
      <sheetData sheetId="2262">
        <row r="4">
          <cell r="I4">
            <v>0</v>
          </cell>
        </row>
      </sheetData>
      <sheetData sheetId="2263">
        <row r="4">
          <cell r="I4">
            <v>0</v>
          </cell>
        </row>
      </sheetData>
      <sheetData sheetId="2264">
        <row r="4">
          <cell r="I4">
            <v>0</v>
          </cell>
        </row>
      </sheetData>
      <sheetData sheetId="2265">
        <row r="4">
          <cell r="I4">
            <v>0</v>
          </cell>
        </row>
      </sheetData>
      <sheetData sheetId="2266">
        <row r="4">
          <cell r="I4">
            <v>0</v>
          </cell>
        </row>
      </sheetData>
      <sheetData sheetId="2267">
        <row r="4">
          <cell r="I4">
            <v>0</v>
          </cell>
        </row>
      </sheetData>
      <sheetData sheetId="2268">
        <row r="4">
          <cell r="I4">
            <v>0</v>
          </cell>
        </row>
      </sheetData>
      <sheetData sheetId="2269">
        <row r="4">
          <cell r="I4">
            <v>0</v>
          </cell>
        </row>
      </sheetData>
      <sheetData sheetId="2270">
        <row r="4">
          <cell r="I4">
            <v>0</v>
          </cell>
        </row>
      </sheetData>
      <sheetData sheetId="2271">
        <row r="4">
          <cell r="I4">
            <v>0</v>
          </cell>
        </row>
      </sheetData>
      <sheetData sheetId="2272">
        <row r="4">
          <cell r="I4">
            <v>0</v>
          </cell>
        </row>
      </sheetData>
      <sheetData sheetId="2273">
        <row r="4">
          <cell r="I4">
            <v>0</v>
          </cell>
        </row>
      </sheetData>
      <sheetData sheetId="2274">
        <row r="4">
          <cell r="I4">
            <v>0</v>
          </cell>
        </row>
      </sheetData>
      <sheetData sheetId="2275">
        <row r="4">
          <cell r="I4">
            <v>0</v>
          </cell>
        </row>
      </sheetData>
      <sheetData sheetId="2276">
        <row r="4">
          <cell r="I4">
            <v>0</v>
          </cell>
        </row>
      </sheetData>
      <sheetData sheetId="2277">
        <row r="4">
          <cell r="I4">
            <v>0</v>
          </cell>
        </row>
      </sheetData>
      <sheetData sheetId="2278">
        <row r="4">
          <cell r="I4">
            <v>0</v>
          </cell>
        </row>
      </sheetData>
      <sheetData sheetId="2279">
        <row r="4">
          <cell r="I4">
            <v>0</v>
          </cell>
        </row>
      </sheetData>
      <sheetData sheetId="2280">
        <row r="4">
          <cell r="I4">
            <v>0</v>
          </cell>
        </row>
      </sheetData>
      <sheetData sheetId="2281">
        <row r="4">
          <cell r="I4">
            <v>0</v>
          </cell>
        </row>
      </sheetData>
      <sheetData sheetId="2282">
        <row r="4">
          <cell r="I4">
            <v>0</v>
          </cell>
        </row>
      </sheetData>
      <sheetData sheetId="2283">
        <row r="4">
          <cell r="I4">
            <v>0</v>
          </cell>
        </row>
      </sheetData>
      <sheetData sheetId="2284">
        <row r="4">
          <cell r="I4">
            <v>0</v>
          </cell>
        </row>
      </sheetData>
      <sheetData sheetId="2285">
        <row r="4">
          <cell r="I4">
            <v>0</v>
          </cell>
        </row>
      </sheetData>
      <sheetData sheetId="2286">
        <row r="4">
          <cell r="I4">
            <v>0</v>
          </cell>
        </row>
      </sheetData>
      <sheetData sheetId="2287">
        <row r="4">
          <cell r="I4">
            <v>0</v>
          </cell>
        </row>
      </sheetData>
      <sheetData sheetId="2288">
        <row r="4">
          <cell r="I4">
            <v>0</v>
          </cell>
        </row>
      </sheetData>
      <sheetData sheetId="2289">
        <row r="4">
          <cell r="I4">
            <v>0</v>
          </cell>
        </row>
      </sheetData>
      <sheetData sheetId="2290">
        <row r="4">
          <cell r="I4">
            <v>0</v>
          </cell>
        </row>
      </sheetData>
      <sheetData sheetId="2291">
        <row r="4">
          <cell r="I4">
            <v>0</v>
          </cell>
        </row>
      </sheetData>
      <sheetData sheetId="2292">
        <row r="4">
          <cell r="I4">
            <v>0</v>
          </cell>
        </row>
      </sheetData>
      <sheetData sheetId="2293">
        <row r="4">
          <cell r="I4">
            <v>0</v>
          </cell>
        </row>
      </sheetData>
      <sheetData sheetId="2294">
        <row r="4">
          <cell r="I4">
            <v>0</v>
          </cell>
        </row>
      </sheetData>
      <sheetData sheetId="2295">
        <row r="4">
          <cell r="I4">
            <v>0</v>
          </cell>
        </row>
      </sheetData>
      <sheetData sheetId="2296">
        <row r="4">
          <cell r="I4">
            <v>0</v>
          </cell>
        </row>
      </sheetData>
      <sheetData sheetId="2297">
        <row r="4">
          <cell r="I4">
            <v>0</v>
          </cell>
        </row>
      </sheetData>
      <sheetData sheetId="2298">
        <row r="4">
          <cell r="I4">
            <v>0</v>
          </cell>
        </row>
      </sheetData>
      <sheetData sheetId="2299">
        <row r="4">
          <cell r="I4">
            <v>0</v>
          </cell>
        </row>
      </sheetData>
      <sheetData sheetId="2300">
        <row r="4">
          <cell r="I4">
            <v>0</v>
          </cell>
        </row>
      </sheetData>
      <sheetData sheetId="2301">
        <row r="4">
          <cell r="I4">
            <v>0</v>
          </cell>
        </row>
      </sheetData>
      <sheetData sheetId="2302">
        <row r="4">
          <cell r="I4">
            <v>0</v>
          </cell>
        </row>
      </sheetData>
      <sheetData sheetId="2303">
        <row r="4">
          <cell r="I4">
            <v>0</v>
          </cell>
        </row>
      </sheetData>
      <sheetData sheetId="2304">
        <row r="4">
          <cell r="I4">
            <v>0</v>
          </cell>
        </row>
      </sheetData>
      <sheetData sheetId="2305">
        <row r="4">
          <cell r="I4">
            <v>0</v>
          </cell>
        </row>
      </sheetData>
      <sheetData sheetId="2306">
        <row r="4">
          <cell r="I4">
            <v>0</v>
          </cell>
        </row>
      </sheetData>
      <sheetData sheetId="2307">
        <row r="4">
          <cell r="I4">
            <v>0</v>
          </cell>
        </row>
      </sheetData>
      <sheetData sheetId="2308">
        <row r="4">
          <cell r="I4">
            <v>0</v>
          </cell>
        </row>
      </sheetData>
      <sheetData sheetId="2309">
        <row r="4">
          <cell r="I4">
            <v>0</v>
          </cell>
        </row>
      </sheetData>
      <sheetData sheetId="2310">
        <row r="4">
          <cell r="I4">
            <v>0</v>
          </cell>
        </row>
      </sheetData>
      <sheetData sheetId="2311">
        <row r="4">
          <cell r="I4">
            <v>0</v>
          </cell>
        </row>
      </sheetData>
      <sheetData sheetId="2312">
        <row r="4">
          <cell r="I4">
            <v>0</v>
          </cell>
        </row>
      </sheetData>
      <sheetData sheetId="2313">
        <row r="4">
          <cell r="I4">
            <v>0</v>
          </cell>
        </row>
      </sheetData>
      <sheetData sheetId="2314">
        <row r="4">
          <cell r="I4">
            <v>0</v>
          </cell>
        </row>
      </sheetData>
      <sheetData sheetId="2315">
        <row r="4">
          <cell r="I4">
            <v>0</v>
          </cell>
        </row>
      </sheetData>
      <sheetData sheetId="2316">
        <row r="4">
          <cell r="I4">
            <v>0</v>
          </cell>
        </row>
      </sheetData>
      <sheetData sheetId="2317">
        <row r="4">
          <cell r="I4">
            <v>0</v>
          </cell>
        </row>
      </sheetData>
      <sheetData sheetId="2318">
        <row r="4">
          <cell r="I4">
            <v>0</v>
          </cell>
        </row>
      </sheetData>
      <sheetData sheetId="2319">
        <row r="4">
          <cell r="I4">
            <v>0</v>
          </cell>
        </row>
      </sheetData>
      <sheetData sheetId="2320">
        <row r="4">
          <cell r="I4">
            <v>0</v>
          </cell>
        </row>
      </sheetData>
      <sheetData sheetId="2321">
        <row r="4">
          <cell r="I4">
            <v>0</v>
          </cell>
        </row>
      </sheetData>
      <sheetData sheetId="2322">
        <row r="4">
          <cell r="I4">
            <v>0</v>
          </cell>
        </row>
      </sheetData>
      <sheetData sheetId="2323">
        <row r="4">
          <cell r="I4">
            <v>0</v>
          </cell>
        </row>
      </sheetData>
      <sheetData sheetId="2324">
        <row r="4">
          <cell r="I4">
            <v>0</v>
          </cell>
        </row>
      </sheetData>
      <sheetData sheetId="2325">
        <row r="4">
          <cell r="I4">
            <v>0</v>
          </cell>
        </row>
      </sheetData>
      <sheetData sheetId="2326">
        <row r="4">
          <cell r="I4">
            <v>0</v>
          </cell>
        </row>
      </sheetData>
      <sheetData sheetId="2327">
        <row r="4">
          <cell r="I4">
            <v>0</v>
          </cell>
        </row>
      </sheetData>
      <sheetData sheetId="2328">
        <row r="4">
          <cell r="I4">
            <v>0</v>
          </cell>
        </row>
      </sheetData>
      <sheetData sheetId="2329">
        <row r="4">
          <cell r="I4">
            <v>0</v>
          </cell>
        </row>
      </sheetData>
      <sheetData sheetId="2330">
        <row r="4">
          <cell r="I4">
            <v>0</v>
          </cell>
        </row>
      </sheetData>
      <sheetData sheetId="2331">
        <row r="4">
          <cell r="I4">
            <v>0</v>
          </cell>
        </row>
      </sheetData>
      <sheetData sheetId="2332">
        <row r="4">
          <cell r="I4">
            <v>0</v>
          </cell>
        </row>
      </sheetData>
      <sheetData sheetId="2333">
        <row r="4">
          <cell r="I4">
            <v>0</v>
          </cell>
        </row>
      </sheetData>
      <sheetData sheetId="2334">
        <row r="4">
          <cell r="I4">
            <v>0</v>
          </cell>
        </row>
      </sheetData>
      <sheetData sheetId="2335">
        <row r="4">
          <cell r="I4">
            <v>0</v>
          </cell>
        </row>
      </sheetData>
      <sheetData sheetId="2336">
        <row r="4">
          <cell r="I4">
            <v>0</v>
          </cell>
        </row>
      </sheetData>
      <sheetData sheetId="2337">
        <row r="4">
          <cell r="I4">
            <v>0</v>
          </cell>
        </row>
      </sheetData>
      <sheetData sheetId="2338">
        <row r="4">
          <cell r="I4">
            <v>0</v>
          </cell>
        </row>
      </sheetData>
      <sheetData sheetId="2339">
        <row r="4">
          <cell r="I4">
            <v>0</v>
          </cell>
        </row>
      </sheetData>
      <sheetData sheetId="2340">
        <row r="4">
          <cell r="I4">
            <v>0</v>
          </cell>
        </row>
      </sheetData>
      <sheetData sheetId="2341">
        <row r="4">
          <cell r="I4">
            <v>0</v>
          </cell>
        </row>
      </sheetData>
      <sheetData sheetId="2342">
        <row r="4">
          <cell r="I4">
            <v>0</v>
          </cell>
        </row>
      </sheetData>
      <sheetData sheetId="2343">
        <row r="4">
          <cell r="I4">
            <v>0</v>
          </cell>
        </row>
      </sheetData>
      <sheetData sheetId="2344">
        <row r="4">
          <cell r="I4">
            <v>0</v>
          </cell>
        </row>
      </sheetData>
      <sheetData sheetId="2345">
        <row r="4">
          <cell r="I4">
            <v>0</v>
          </cell>
        </row>
      </sheetData>
      <sheetData sheetId="2346">
        <row r="4">
          <cell r="I4">
            <v>0</v>
          </cell>
        </row>
      </sheetData>
      <sheetData sheetId="2347">
        <row r="4">
          <cell r="I4">
            <v>0</v>
          </cell>
        </row>
      </sheetData>
      <sheetData sheetId="2348">
        <row r="4">
          <cell r="I4">
            <v>0</v>
          </cell>
        </row>
      </sheetData>
      <sheetData sheetId="2349">
        <row r="4">
          <cell r="I4">
            <v>0</v>
          </cell>
        </row>
      </sheetData>
      <sheetData sheetId="2350">
        <row r="4">
          <cell r="I4">
            <v>0</v>
          </cell>
        </row>
      </sheetData>
      <sheetData sheetId="2351">
        <row r="4">
          <cell r="I4">
            <v>0</v>
          </cell>
        </row>
      </sheetData>
      <sheetData sheetId="2352">
        <row r="4">
          <cell r="I4">
            <v>0</v>
          </cell>
        </row>
      </sheetData>
      <sheetData sheetId="2353">
        <row r="4">
          <cell r="I4">
            <v>0</v>
          </cell>
        </row>
      </sheetData>
      <sheetData sheetId="2354">
        <row r="4">
          <cell r="I4">
            <v>0</v>
          </cell>
        </row>
      </sheetData>
      <sheetData sheetId="2355">
        <row r="4">
          <cell r="I4">
            <v>0</v>
          </cell>
        </row>
      </sheetData>
      <sheetData sheetId="2356">
        <row r="4">
          <cell r="I4">
            <v>0</v>
          </cell>
        </row>
      </sheetData>
      <sheetData sheetId="2357">
        <row r="4">
          <cell r="I4">
            <v>0</v>
          </cell>
        </row>
      </sheetData>
      <sheetData sheetId="2358">
        <row r="4">
          <cell r="I4">
            <v>0</v>
          </cell>
        </row>
      </sheetData>
      <sheetData sheetId="2359">
        <row r="4">
          <cell r="I4">
            <v>0</v>
          </cell>
        </row>
      </sheetData>
      <sheetData sheetId="2360">
        <row r="4">
          <cell r="I4">
            <v>0</v>
          </cell>
        </row>
      </sheetData>
      <sheetData sheetId="2361">
        <row r="4">
          <cell r="I4">
            <v>0</v>
          </cell>
        </row>
      </sheetData>
      <sheetData sheetId="2362">
        <row r="4">
          <cell r="I4">
            <v>0</v>
          </cell>
        </row>
      </sheetData>
      <sheetData sheetId="2363">
        <row r="4">
          <cell r="I4">
            <v>0</v>
          </cell>
        </row>
      </sheetData>
      <sheetData sheetId="2364">
        <row r="4">
          <cell r="I4">
            <v>0</v>
          </cell>
        </row>
      </sheetData>
      <sheetData sheetId="2365">
        <row r="4">
          <cell r="I4">
            <v>0</v>
          </cell>
        </row>
      </sheetData>
      <sheetData sheetId="2366">
        <row r="4">
          <cell r="I4">
            <v>0</v>
          </cell>
        </row>
      </sheetData>
      <sheetData sheetId="2367">
        <row r="4">
          <cell r="I4">
            <v>0</v>
          </cell>
        </row>
      </sheetData>
      <sheetData sheetId="2368">
        <row r="4">
          <cell r="I4">
            <v>0</v>
          </cell>
        </row>
      </sheetData>
      <sheetData sheetId="2369">
        <row r="4">
          <cell r="I4">
            <v>0</v>
          </cell>
        </row>
      </sheetData>
      <sheetData sheetId="2370">
        <row r="4">
          <cell r="I4">
            <v>0</v>
          </cell>
        </row>
      </sheetData>
      <sheetData sheetId="2371">
        <row r="4">
          <cell r="I4">
            <v>0</v>
          </cell>
        </row>
      </sheetData>
      <sheetData sheetId="2372">
        <row r="4">
          <cell r="I4">
            <v>0</v>
          </cell>
        </row>
      </sheetData>
      <sheetData sheetId="2373">
        <row r="4">
          <cell r="I4">
            <v>0</v>
          </cell>
        </row>
      </sheetData>
      <sheetData sheetId="2374">
        <row r="4">
          <cell r="I4">
            <v>0</v>
          </cell>
        </row>
      </sheetData>
      <sheetData sheetId="2375">
        <row r="4">
          <cell r="I4">
            <v>0</v>
          </cell>
        </row>
      </sheetData>
      <sheetData sheetId="2376">
        <row r="4">
          <cell r="I4">
            <v>0</v>
          </cell>
        </row>
      </sheetData>
      <sheetData sheetId="2377">
        <row r="4">
          <cell r="I4">
            <v>0</v>
          </cell>
        </row>
      </sheetData>
      <sheetData sheetId="2378">
        <row r="4">
          <cell r="I4">
            <v>0</v>
          </cell>
        </row>
      </sheetData>
      <sheetData sheetId="2379">
        <row r="4">
          <cell r="I4">
            <v>0</v>
          </cell>
        </row>
      </sheetData>
      <sheetData sheetId="2380">
        <row r="4">
          <cell r="I4">
            <v>0</v>
          </cell>
        </row>
      </sheetData>
      <sheetData sheetId="2381">
        <row r="4">
          <cell r="I4">
            <v>0</v>
          </cell>
        </row>
      </sheetData>
      <sheetData sheetId="2382">
        <row r="4">
          <cell r="I4">
            <v>0</v>
          </cell>
        </row>
      </sheetData>
      <sheetData sheetId="2383">
        <row r="4">
          <cell r="I4">
            <v>0</v>
          </cell>
        </row>
      </sheetData>
      <sheetData sheetId="2384">
        <row r="4">
          <cell r="I4">
            <v>0</v>
          </cell>
        </row>
      </sheetData>
      <sheetData sheetId="2385">
        <row r="4">
          <cell r="I4">
            <v>0</v>
          </cell>
        </row>
      </sheetData>
      <sheetData sheetId="2386">
        <row r="4">
          <cell r="I4">
            <v>0</v>
          </cell>
        </row>
      </sheetData>
      <sheetData sheetId="2387">
        <row r="4">
          <cell r="I4">
            <v>0</v>
          </cell>
        </row>
      </sheetData>
      <sheetData sheetId="2388">
        <row r="4">
          <cell r="I4">
            <v>0</v>
          </cell>
        </row>
      </sheetData>
      <sheetData sheetId="2389">
        <row r="4">
          <cell r="I4">
            <v>0</v>
          </cell>
        </row>
      </sheetData>
      <sheetData sheetId="2390">
        <row r="4">
          <cell r="I4">
            <v>0</v>
          </cell>
        </row>
      </sheetData>
      <sheetData sheetId="2391">
        <row r="4">
          <cell r="I4">
            <v>0</v>
          </cell>
        </row>
      </sheetData>
      <sheetData sheetId="2392">
        <row r="4">
          <cell r="I4">
            <v>0</v>
          </cell>
        </row>
      </sheetData>
      <sheetData sheetId="2393">
        <row r="4">
          <cell r="I4">
            <v>0</v>
          </cell>
        </row>
      </sheetData>
      <sheetData sheetId="2394">
        <row r="4">
          <cell r="I4">
            <v>0</v>
          </cell>
        </row>
      </sheetData>
      <sheetData sheetId="2395">
        <row r="4">
          <cell r="I4">
            <v>0</v>
          </cell>
        </row>
      </sheetData>
      <sheetData sheetId="2396">
        <row r="4">
          <cell r="I4">
            <v>0</v>
          </cell>
        </row>
      </sheetData>
      <sheetData sheetId="2397">
        <row r="4">
          <cell r="I4">
            <v>0</v>
          </cell>
        </row>
      </sheetData>
      <sheetData sheetId="2398">
        <row r="4">
          <cell r="I4">
            <v>0</v>
          </cell>
        </row>
      </sheetData>
      <sheetData sheetId="2399">
        <row r="4">
          <cell r="I4">
            <v>0</v>
          </cell>
        </row>
      </sheetData>
      <sheetData sheetId="2400">
        <row r="4">
          <cell r="I4">
            <v>0</v>
          </cell>
        </row>
      </sheetData>
      <sheetData sheetId="2401">
        <row r="4">
          <cell r="I4">
            <v>0</v>
          </cell>
        </row>
      </sheetData>
      <sheetData sheetId="2402">
        <row r="4">
          <cell r="I4">
            <v>0</v>
          </cell>
        </row>
      </sheetData>
      <sheetData sheetId="2403">
        <row r="4">
          <cell r="I4">
            <v>0</v>
          </cell>
        </row>
      </sheetData>
      <sheetData sheetId="2404">
        <row r="4">
          <cell r="I4">
            <v>0</v>
          </cell>
        </row>
      </sheetData>
      <sheetData sheetId="2405">
        <row r="4">
          <cell r="I4">
            <v>0</v>
          </cell>
        </row>
      </sheetData>
      <sheetData sheetId="2406">
        <row r="4">
          <cell r="I4">
            <v>0</v>
          </cell>
        </row>
      </sheetData>
      <sheetData sheetId="2407">
        <row r="4">
          <cell r="I4">
            <v>0</v>
          </cell>
        </row>
      </sheetData>
      <sheetData sheetId="2408">
        <row r="4">
          <cell r="I4">
            <v>0</v>
          </cell>
        </row>
      </sheetData>
      <sheetData sheetId="2409">
        <row r="4">
          <cell r="I4">
            <v>0</v>
          </cell>
        </row>
      </sheetData>
      <sheetData sheetId="2410">
        <row r="4">
          <cell r="I4">
            <v>0</v>
          </cell>
        </row>
      </sheetData>
      <sheetData sheetId="2411">
        <row r="4">
          <cell r="I4">
            <v>0</v>
          </cell>
        </row>
      </sheetData>
      <sheetData sheetId="2412">
        <row r="4">
          <cell r="I4">
            <v>0</v>
          </cell>
        </row>
      </sheetData>
      <sheetData sheetId="2413">
        <row r="4">
          <cell r="I4">
            <v>0</v>
          </cell>
        </row>
      </sheetData>
      <sheetData sheetId="2414">
        <row r="4">
          <cell r="I4">
            <v>0</v>
          </cell>
        </row>
      </sheetData>
      <sheetData sheetId="2415">
        <row r="4">
          <cell r="I4">
            <v>0</v>
          </cell>
        </row>
      </sheetData>
      <sheetData sheetId="2416">
        <row r="4">
          <cell r="I4">
            <v>0</v>
          </cell>
        </row>
      </sheetData>
      <sheetData sheetId="2417">
        <row r="4">
          <cell r="I4">
            <v>0</v>
          </cell>
        </row>
      </sheetData>
      <sheetData sheetId="2418">
        <row r="4">
          <cell r="I4">
            <v>0</v>
          </cell>
        </row>
      </sheetData>
      <sheetData sheetId="2419">
        <row r="4">
          <cell r="I4">
            <v>0</v>
          </cell>
        </row>
      </sheetData>
      <sheetData sheetId="2420">
        <row r="4">
          <cell r="I4">
            <v>0</v>
          </cell>
        </row>
      </sheetData>
      <sheetData sheetId="2421">
        <row r="4">
          <cell r="I4">
            <v>0</v>
          </cell>
        </row>
      </sheetData>
      <sheetData sheetId="2422">
        <row r="4">
          <cell r="I4">
            <v>0</v>
          </cell>
        </row>
      </sheetData>
      <sheetData sheetId="2423">
        <row r="4">
          <cell r="I4">
            <v>0</v>
          </cell>
        </row>
      </sheetData>
      <sheetData sheetId="2424">
        <row r="4">
          <cell r="I4">
            <v>0</v>
          </cell>
        </row>
      </sheetData>
      <sheetData sheetId="2425">
        <row r="4">
          <cell r="I4">
            <v>0</v>
          </cell>
        </row>
      </sheetData>
      <sheetData sheetId="2426">
        <row r="4">
          <cell r="I4">
            <v>0</v>
          </cell>
        </row>
      </sheetData>
      <sheetData sheetId="2427">
        <row r="4">
          <cell r="I4">
            <v>0</v>
          </cell>
        </row>
      </sheetData>
      <sheetData sheetId="2428">
        <row r="4">
          <cell r="I4">
            <v>0</v>
          </cell>
        </row>
      </sheetData>
      <sheetData sheetId="2429">
        <row r="4">
          <cell r="I4">
            <v>0</v>
          </cell>
        </row>
      </sheetData>
      <sheetData sheetId="2430">
        <row r="4">
          <cell r="I4">
            <v>0</v>
          </cell>
        </row>
      </sheetData>
      <sheetData sheetId="2431">
        <row r="4">
          <cell r="I4">
            <v>0</v>
          </cell>
        </row>
      </sheetData>
      <sheetData sheetId="2432">
        <row r="4">
          <cell r="I4">
            <v>0</v>
          </cell>
        </row>
      </sheetData>
      <sheetData sheetId="2433">
        <row r="4">
          <cell r="I4">
            <v>0</v>
          </cell>
        </row>
      </sheetData>
      <sheetData sheetId="2434">
        <row r="4">
          <cell r="I4">
            <v>0</v>
          </cell>
        </row>
      </sheetData>
      <sheetData sheetId="2435">
        <row r="4">
          <cell r="I4">
            <v>0</v>
          </cell>
        </row>
      </sheetData>
      <sheetData sheetId="2436">
        <row r="4">
          <cell r="I4">
            <v>0</v>
          </cell>
        </row>
      </sheetData>
      <sheetData sheetId="2437">
        <row r="4">
          <cell r="I4">
            <v>0</v>
          </cell>
        </row>
      </sheetData>
      <sheetData sheetId="2438">
        <row r="4">
          <cell r="I4">
            <v>0</v>
          </cell>
        </row>
      </sheetData>
      <sheetData sheetId="2439">
        <row r="4">
          <cell r="I4">
            <v>0</v>
          </cell>
        </row>
      </sheetData>
      <sheetData sheetId="2440">
        <row r="4">
          <cell r="I4">
            <v>0</v>
          </cell>
        </row>
      </sheetData>
      <sheetData sheetId="2441">
        <row r="4">
          <cell r="I4">
            <v>0</v>
          </cell>
        </row>
      </sheetData>
      <sheetData sheetId="2442">
        <row r="4">
          <cell r="I4">
            <v>0</v>
          </cell>
        </row>
      </sheetData>
      <sheetData sheetId="2443">
        <row r="4">
          <cell r="I4">
            <v>0</v>
          </cell>
        </row>
      </sheetData>
      <sheetData sheetId="2444">
        <row r="4">
          <cell r="I4">
            <v>0</v>
          </cell>
        </row>
      </sheetData>
      <sheetData sheetId="2445">
        <row r="4">
          <cell r="I4">
            <v>0</v>
          </cell>
        </row>
      </sheetData>
      <sheetData sheetId="2446">
        <row r="4">
          <cell r="I4">
            <v>0</v>
          </cell>
        </row>
      </sheetData>
      <sheetData sheetId="2447">
        <row r="4">
          <cell r="I4">
            <v>0</v>
          </cell>
        </row>
      </sheetData>
      <sheetData sheetId="2448">
        <row r="4">
          <cell r="I4">
            <v>0</v>
          </cell>
        </row>
      </sheetData>
      <sheetData sheetId="2449">
        <row r="4">
          <cell r="I4">
            <v>0</v>
          </cell>
        </row>
      </sheetData>
      <sheetData sheetId="2450">
        <row r="4">
          <cell r="I4">
            <v>0</v>
          </cell>
        </row>
      </sheetData>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sheetData sheetId="2473" refreshError="1"/>
      <sheetData sheetId="2474"/>
      <sheetData sheetId="2475" refreshError="1"/>
      <sheetData sheetId="2476" refreshError="1"/>
      <sheetData sheetId="2477">
        <row r="4">
          <cell r="I4">
            <v>0</v>
          </cell>
        </row>
      </sheetData>
      <sheetData sheetId="2478">
        <row r="4">
          <cell r="I4">
            <v>0</v>
          </cell>
        </row>
      </sheetData>
      <sheetData sheetId="2479">
        <row r="4">
          <cell r="I4">
            <v>0</v>
          </cell>
        </row>
      </sheetData>
      <sheetData sheetId="2480">
        <row r="4">
          <cell r="I4">
            <v>0</v>
          </cell>
        </row>
      </sheetData>
      <sheetData sheetId="2481">
        <row r="4">
          <cell r="I4">
            <v>0</v>
          </cell>
        </row>
      </sheetData>
      <sheetData sheetId="2482">
        <row r="4">
          <cell r="I4">
            <v>0</v>
          </cell>
        </row>
      </sheetData>
      <sheetData sheetId="2483">
        <row r="4">
          <cell r="I4">
            <v>0</v>
          </cell>
        </row>
      </sheetData>
      <sheetData sheetId="2484">
        <row r="4">
          <cell r="I4">
            <v>0</v>
          </cell>
        </row>
      </sheetData>
      <sheetData sheetId="2485">
        <row r="4">
          <cell r="I4">
            <v>0</v>
          </cell>
        </row>
      </sheetData>
      <sheetData sheetId="2486">
        <row r="4">
          <cell r="I4">
            <v>0</v>
          </cell>
        </row>
      </sheetData>
      <sheetData sheetId="2487">
        <row r="4">
          <cell r="I4">
            <v>0</v>
          </cell>
        </row>
      </sheetData>
      <sheetData sheetId="2488">
        <row r="4">
          <cell r="I4">
            <v>0</v>
          </cell>
        </row>
      </sheetData>
      <sheetData sheetId="2489">
        <row r="4">
          <cell r="I4">
            <v>0</v>
          </cell>
        </row>
      </sheetData>
      <sheetData sheetId="2490">
        <row r="4">
          <cell r="I4">
            <v>0</v>
          </cell>
        </row>
      </sheetData>
      <sheetData sheetId="2491">
        <row r="4">
          <cell r="I4">
            <v>0</v>
          </cell>
        </row>
      </sheetData>
      <sheetData sheetId="2492">
        <row r="4">
          <cell r="I4">
            <v>0</v>
          </cell>
        </row>
      </sheetData>
      <sheetData sheetId="2493">
        <row r="4">
          <cell r="I4">
            <v>0</v>
          </cell>
        </row>
      </sheetData>
      <sheetData sheetId="2494">
        <row r="4">
          <cell r="I4">
            <v>0</v>
          </cell>
        </row>
      </sheetData>
      <sheetData sheetId="2495">
        <row r="4">
          <cell r="I4">
            <v>0</v>
          </cell>
        </row>
      </sheetData>
      <sheetData sheetId="2496">
        <row r="4">
          <cell r="I4">
            <v>0</v>
          </cell>
        </row>
      </sheetData>
      <sheetData sheetId="2497">
        <row r="4">
          <cell r="I4">
            <v>0</v>
          </cell>
        </row>
      </sheetData>
      <sheetData sheetId="2498">
        <row r="4">
          <cell r="I4">
            <v>0</v>
          </cell>
        </row>
      </sheetData>
      <sheetData sheetId="2499">
        <row r="4">
          <cell r="I4">
            <v>0</v>
          </cell>
        </row>
      </sheetData>
      <sheetData sheetId="2500">
        <row r="4">
          <cell r="I4">
            <v>0</v>
          </cell>
        </row>
      </sheetData>
      <sheetData sheetId="2501">
        <row r="4">
          <cell r="I4">
            <v>0</v>
          </cell>
        </row>
      </sheetData>
      <sheetData sheetId="2502">
        <row r="4">
          <cell r="I4">
            <v>0</v>
          </cell>
        </row>
      </sheetData>
      <sheetData sheetId="2503">
        <row r="4">
          <cell r="I4">
            <v>0</v>
          </cell>
        </row>
      </sheetData>
      <sheetData sheetId="2504">
        <row r="4">
          <cell r="I4">
            <v>0</v>
          </cell>
        </row>
      </sheetData>
      <sheetData sheetId="2505">
        <row r="4">
          <cell r="I4">
            <v>0</v>
          </cell>
        </row>
      </sheetData>
      <sheetData sheetId="2506">
        <row r="4">
          <cell r="I4">
            <v>0</v>
          </cell>
        </row>
      </sheetData>
      <sheetData sheetId="2507">
        <row r="4">
          <cell r="I4">
            <v>0</v>
          </cell>
        </row>
      </sheetData>
      <sheetData sheetId="2508">
        <row r="4">
          <cell r="I4">
            <v>0</v>
          </cell>
        </row>
      </sheetData>
      <sheetData sheetId="2509">
        <row r="4">
          <cell r="I4">
            <v>0</v>
          </cell>
        </row>
      </sheetData>
      <sheetData sheetId="2510">
        <row r="4">
          <cell r="I4">
            <v>0</v>
          </cell>
        </row>
      </sheetData>
      <sheetData sheetId="2511">
        <row r="4">
          <cell r="I4">
            <v>0</v>
          </cell>
        </row>
      </sheetData>
      <sheetData sheetId="2512">
        <row r="4">
          <cell r="I4">
            <v>0</v>
          </cell>
        </row>
      </sheetData>
      <sheetData sheetId="2513">
        <row r="4">
          <cell r="I4">
            <v>0</v>
          </cell>
        </row>
      </sheetData>
      <sheetData sheetId="2514">
        <row r="4">
          <cell r="I4">
            <v>0</v>
          </cell>
        </row>
      </sheetData>
      <sheetData sheetId="2515">
        <row r="4">
          <cell r="I4">
            <v>0</v>
          </cell>
        </row>
      </sheetData>
      <sheetData sheetId="2516">
        <row r="4">
          <cell r="I4">
            <v>0</v>
          </cell>
        </row>
      </sheetData>
      <sheetData sheetId="2517">
        <row r="4">
          <cell r="I4">
            <v>0</v>
          </cell>
        </row>
      </sheetData>
      <sheetData sheetId="2518">
        <row r="4">
          <cell r="I4">
            <v>0</v>
          </cell>
        </row>
      </sheetData>
      <sheetData sheetId="2519">
        <row r="4">
          <cell r="I4">
            <v>0</v>
          </cell>
        </row>
      </sheetData>
      <sheetData sheetId="2520">
        <row r="4">
          <cell r="I4">
            <v>0</v>
          </cell>
        </row>
      </sheetData>
      <sheetData sheetId="2521">
        <row r="4">
          <cell r="I4">
            <v>0</v>
          </cell>
        </row>
      </sheetData>
      <sheetData sheetId="2522">
        <row r="4">
          <cell r="I4">
            <v>0</v>
          </cell>
        </row>
      </sheetData>
      <sheetData sheetId="2523">
        <row r="4">
          <cell r="I4">
            <v>0</v>
          </cell>
        </row>
      </sheetData>
      <sheetData sheetId="2524">
        <row r="4">
          <cell r="I4">
            <v>0</v>
          </cell>
        </row>
      </sheetData>
      <sheetData sheetId="2525">
        <row r="4">
          <cell r="I4">
            <v>0</v>
          </cell>
        </row>
      </sheetData>
      <sheetData sheetId="2526">
        <row r="4">
          <cell r="I4">
            <v>0</v>
          </cell>
        </row>
      </sheetData>
      <sheetData sheetId="2527">
        <row r="4">
          <cell r="I4">
            <v>0</v>
          </cell>
        </row>
      </sheetData>
      <sheetData sheetId="2528">
        <row r="4">
          <cell r="I4">
            <v>0</v>
          </cell>
        </row>
      </sheetData>
      <sheetData sheetId="2529">
        <row r="4">
          <cell r="I4">
            <v>0</v>
          </cell>
        </row>
      </sheetData>
      <sheetData sheetId="2530">
        <row r="4">
          <cell r="I4">
            <v>0</v>
          </cell>
        </row>
      </sheetData>
      <sheetData sheetId="2531">
        <row r="4">
          <cell r="I4">
            <v>0</v>
          </cell>
        </row>
      </sheetData>
      <sheetData sheetId="2532">
        <row r="4">
          <cell r="I4">
            <v>0</v>
          </cell>
        </row>
      </sheetData>
      <sheetData sheetId="2533">
        <row r="4">
          <cell r="I4">
            <v>0</v>
          </cell>
        </row>
      </sheetData>
      <sheetData sheetId="2534">
        <row r="4">
          <cell r="I4">
            <v>0</v>
          </cell>
        </row>
      </sheetData>
      <sheetData sheetId="2535">
        <row r="4">
          <cell r="I4">
            <v>0</v>
          </cell>
        </row>
      </sheetData>
      <sheetData sheetId="2536">
        <row r="4">
          <cell r="I4">
            <v>0</v>
          </cell>
        </row>
      </sheetData>
      <sheetData sheetId="2537">
        <row r="4">
          <cell r="I4">
            <v>0</v>
          </cell>
        </row>
      </sheetData>
      <sheetData sheetId="2538">
        <row r="4">
          <cell r="I4">
            <v>0</v>
          </cell>
        </row>
      </sheetData>
      <sheetData sheetId="2539">
        <row r="4">
          <cell r="I4">
            <v>0</v>
          </cell>
        </row>
      </sheetData>
      <sheetData sheetId="2540">
        <row r="4">
          <cell r="I4">
            <v>0</v>
          </cell>
        </row>
      </sheetData>
      <sheetData sheetId="2541">
        <row r="4">
          <cell r="I4">
            <v>0</v>
          </cell>
        </row>
      </sheetData>
      <sheetData sheetId="2542">
        <row r="4">
          <cell r="I4">
            <v>0</v>
          </cell>
        </row>
      </sheetData>
      <sheetData sheetId="2543">
        <row r="4">
          <cell r="I4">
            <v>0</v>
          </cell>
        </row>
      </sheetData>
      <sheetData sheetId="2544">
        <row r="4">
          <cell r="I4">
            <v>0</v>
          </cell>
        </row>
      </sheetData>
      <sheetData sheetId="2545">
        <row r="4">
          <cell r="I4">
            <v>0</v>
          </cell>
        </row>
      </sheetData>
      <sheetData sheetId="2546">
        <row r="4">
          <cell r="I4">
            <v>0</v>
          </cell>
        </row>
      </sheetData>
      <sheetData sheetId="2547">
        <row r="4">
          <cell r="I4">
            <v>0</v>
          </cell>
        </row>
      </sheetData>
      <sheetData sheetId="2548">
        <row r="4">
          <cell r="I4">
            <v>0</v>
          </cell>
        </row>
      </sheetData>
      <sheetData sheetId="2549">
        <row r="4">
          <cell r="I4">
            <v>0</v>
          </cell>
        </row>
      </sheetData>
      <sheetData sheetId="2550">
        <row r="4">
          <cell r="I4">
            <v>0</v>
          </cell>
        </row>
      </sheetData>
      <sheetData sheetId="2551">
        <row r="4">
          <cell r="I4">
            <v>0</v>
          </cell>
        </row>
      </sheetData>
      <sheetData sheetId="2552">
        <row r="4">
          <cell r="I4">
            <v>0</v>
          </cell>
        </row>
      </sheetData>
      <sheetData sheetId="2553">
        <row r="4">
          <cell r="I4">
            <v>0</v>
          </cell>
        </row>
      </sheetData>
      <sheetData sheetId="2554">
        <row r="4">
          <cell r="I4">
            <v>0</v>
          </cell>
        </row>
      </sheetData>
      <sheetData sheetId="2555">
        <row r="4">
          <cell r="I4">
            <v>0</v>
          </cell>
        </row>
      </sheetData>
      <sheetData sheetId="2556">
        <row r="4">
          <cell r="I4">
            <v>0</v>
          </cell>
        </row>
      </sheetData>
      <sheetData sheetId="2557">
        <row r="4">
          <cell r="I4">
            <v>0</v>
          </cell>
        </row>
      </sheetData>
      <sheetData sheetId="2558">
        <row r="4">
          <cell r="I4">
            <v>0</v>
          </cell>
        </row>
      </sheetData>
      <sheetData sheetId="2559">
        <row r="4">
          <cell r="I4">
            <v>0</v>
          </cell>
        </row>
      </sheetData>
      <sheetData sheetId="2560">
        <row r="4">
          <cell r="I4">
            <v>0</v>
          </cell>
        </row>
      </sheetData>
      <sheetData sheetId="2561">
        <row r="4">
          <cell r="I4">
            <v>0</v>
          </cell>
        </row>
      </sheetData>
      <sheetData sheetId="2562">
        <row r="4">
          <cell r="I4">
            <v>0</v>
          </cell>
        </row>
      </sheetData>
      <sheetData sheetId="2563">
        <row r="4">
          <cell r="I4">
            <v>0</v>
          </cell>
        </row>
      </sheetData>
      <sheetData sheetId="2564">
        <row r="4">
          <cell r="I4">
            <v>0</v>
          </cell>
        </row>
      </sheetData>
      <sheetData sheetId="2565">
        <row r="4">
          <cell r="I4">
            <v>0</v>
          </cell>
        </row>
      </sheetData>
      <sheetData sheetId="2566">
        <row r="4">
          <cell r="I4">
            <v>0</v>
          </cell>
        </row>
      </sheetData>
      <sheetData sheetId="2567">
        <row r="4">
          <cell r="I4">
            <v>0</v>
          </cell>
        </row>
      </sheetData>
      <sheetData sheetId="2568">
        <row r="4">
          <cell r="I4">
            <v>0</v>
          </cell>
        </row>
      </sheetData>
      <sheetData sheetId="2569">
        <row r="4">
          <cell r="I4">
            <v>0</v>
          </cell>
        </row>
      </sheetData>
      <sheetData sheetId="2570">
        <row r="4">
          <cell r="I4">
            <v>0</v>
          </cell>
        </row>
      </sheetData>
      <sheetData sheetId="2571">
        <row r="4">
          <cell r="I4">
            <v>0</v>
          </cell>
        </row>
      </sheetData>
      <sheetData sheetId="2572">
        <row r="4">
          <cell r="I4">
            <v>0</v>
          </cell>
        </row>
      </sheetData>
      <sheetData sheetId="2573">
        <row r="4">
          <cell r="I4">
            <v>0</v>
          </cell>
        </row>
      </sheetData>
      <sheetData sheetId="2574">
        <row r="4">
          <cell r="I4">
            <v>0</v>
          </cell>
        </row>
      </sheetData>
      <sheetData sheetId="2575">
        <row r="4">
          <cell r="I4">
            <v>0</v>
          </cell>
        </row>
      </sheetData>
      <sheetData sheetId="2576">
        <row r="4">
          <cell r="I4">
            <v>0</v>
          </cell>
        </row>
      </sheetData>
      <sheetData sheetId="2577">
        <row r="4">
          <cell r="I4">
            <v>0</v>
          </cell>
        </row>
      </sheetData>
      <sheetData sheetId="2578">
        <row r="4">
          <cell r="I4">
            <v>0</v>
          </cell>
        </row>
      </sheetData>
      <sheetData sheetId="2579">
        <row r="4">
          <cell r="I4">
            <v>0</v>
          </cell>
        </row>
      </sheetData>
      <sheetData sheetId="2580">
        <row r="4">
          <cell r="I4">
            <v>0</v>
          </cell>
        </row>
      </sheetData>
      <sheetData sheetId="2581">
        <row r="4">
          <cell r="I4">
            <v>0</v>
          </cell>
        </row>
      </sheetData>
      <sheetData sheetId="2582">
        <row r="4">
          <cell r="I4">
            <v>0</v>
          </cell>
        </row>
      </sheetData>
      <sheetData sheetId="2583">
        <row r="4">
          <cell r="I4">
            <v>0</v>
          </cell>
        </row>
      </sheetData>
      <sheetData sheetId="2584">
        <row r="4">
          <cell r="I4">
            <v>0</v>
          </cell>
        </row>
      </sheetData>
      <sheetData sheetId="2585">
        <row r="4">
          <cell r="I4">
            <v>0</v>
          </cell>
        </row>
      </sheetData>
      <sheetData sheetId="2586">
        <row r="4">
          <cell r="I4">
            <v>0</v>
          </cell>
        </row>
      </sheetData>
      <sheetData sheetId="2587">
        <row r="4">
          <cell r="I4">
            <v>0</v>
          </cell>
        </row>
      </sheetData>
      <sheetData sheetId="2588">
        <row r="4">
          <cell r="I4">
            <v>0</v>
          </cell>
        </row>
      </sheetData>
      <sheetData sheetId="2589">
        <row r="4">
          <cell r="I4">
            <v>0</v>
          </cell>
        </row>
      </sheetData>
      <sheetData sheetId="2590">
        <row r="4">
          <cell r="I4">
            <v>0</v>
          </cell>
        </row>
      </sheetData>
      <sheetData sheetId="2591">
        <row r="4">
          <cell r="I4">
            <v>0</v>
          </cell>
        </row>
      </sheetData>
      <sheetData sheetId="2592">
        <row r="4">
          <cell r="I4">
            <v>0</v>
          </cell>
        </row>
      </sheetData>
      <sheetData sheetId="2593">
        <row r="4">
          <cell r="I4">
            <v>0</v>
          </cell>
        </row>
      </sheetData>
      <sheetData sheetId="2594">
        <row r="4">
          <cell r="I4">
            <v>0</v>
          </cell>
        </row>
      </sheetData>
      <sheetData sheetId="2595">
        <row r="4">
          <cell r="I4">
            <v>0</v>
          </cell>
        </row>
      </sheetData>
      <sheetData sheetId="2596">
        <row r="4">
          <cell r="I4">
            <v>0</v>
          </cell>
        </row>
      </sheetData>
      <sheetData sheetId="2597">
        <row r="4">
          <cell r="I4">
            <v>0</v>
          </cell>
        </row>
      </sheetData>
      <sheetData sheetId="2598">
        <row r="4">
          <cell r="I4">
            <v>0</v>
          </cell>
        </row>
      </sheetData>
      <sheetData sheetId="2599">
        <row r="4">
          <cell r="I4">
            <v>0</v>
          </cell>
        </row>
      </sheetData>
      <sheetData sheetId="2600">
        <row r="4">
          <cell r="I4">
            <v>0</v>
          </cell>
        </row>
      </sheetData>
      <sheetData sheetId="2601">
        <row r="4">
          <cell r="I4">
            <v>0</v>
          </cell>
        </row>
      </sheetData>
      <sheetData sheetId="2602">
        <row r="4">
          <cell r="I4">
            <v>0</v>
          </cell>
        </row>
      </sheetData>
      <sheetData sheetId="2603">
        <row r="4">
          <cell r="I4">
            <v>0</v>
          </cell>
        </row>
      </sheetData>
      <sheetData sheetId="2604">
        <row r="4">
          <cell r="I4">
            <v>0</v>
          </cell>
        </row>
      </sheetData>
      <sheetData sheetId="2605" refreshError="1"/>
      <sheetData sheetId="2606">
        <row r="4">
          <cell r="I4">
            <v>0</v>
          </cell>
        </row>
      </sheetData>
      <sheetData sheetId="2607">
        <row r="4">
          <cell r="I4">
            <v>0</v>
          </cell>
        </row>
      </sheetData>
      <sheetData sheetId="2608">
        <row r="4">
          <cell r="I4">
            <v>0</v>
          </cell>
        </row>
      </sheetData>
      <sheetData sheetId="2609">
        <row r="4">
          <cell r="I4">
            <v>0</v>
          </cell>
        </row>
      </sheetData>
      <sheetData sheetId="2610" refreshError="1"/>
      <sheetData sheetId="2611" refreshError="1"/>
      <sheetData sheetId="2612">
        <row r="4">
          <cell r="I4">
            <v>0</v>
          </cell>
        </row>
      </sheetData>
      <sheetData sheetId="2613">
        <row r="4">
          <cell r="I4">
            <v>0</v>
          </cell>
        </row>
      </sheetData>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ow r="4">
          <cell r="I4">
            <v>0</v>
          </cell>
        </row>
      </sheetData>
      <sheetData sheetId="2624" refreshError="1"/>
      <sheetData sheetId="2625" refreshError="1"/>
      <sheetData sheetId="2626" refreshError="1"/>
      <sheetData sheetId="2627">
        <row r="4">
          <cell r="I4">
            <v>0</v>
          </cell>
        </row>
      </sheetData>
      <sheetData sheetId="2628" refreshError="1"/>
      <sheetData sheetId="2629">
        <row r="4">
          <cell r="I4">
            <v>0</v>
          </cell>
        </row>
      </sheetData>
      <sheetData sheetId="2630">
        <row r="4">
          <cell r="I4">
            <v>0</v>
          </cell>
        </row>
      </sheetData>
      <sheetData sheetId="2631"/>
      <sheetData sheetId="2632">
        <row r="4">
          <cell r="I4">
            <v>0</v>
          </cell>
        </row>
      </sheetData>
      <sheetData sheetId="2633">
        <row r="4">
          <cell r="I4">
            <v>0</v>
          </cell>
        </row>
      </sheetData>
      <sheetData sheetId="2634"/>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ow r="4">
          <cell r="I4">
            <v>0</v>
          </cell>
        </row>
      </sheetData>
      <sheetData sheetId="2646">
        <row r="4">
          <cell r="I4">
            <v>0</v>
          </cell>
        </row>
      </sheetData>
      <sheetData sheetId="2647">
        <row r="4">
          <cell r="I4">
            <v>0</v>
          </cell>
        </row>
      </sheetData>
      <sheetData sheetId="2648">
        <row r="4">
          <cell r="I4">
            <v>0</v>
          </cell>
        </row>
      </sheetData>
      <sheetData sheetId="2649">
        <row r="4">
          <cell r="I4">
            <v>0</v>
          </cell>
        </row>
      </sheetData>
      <sheetData sheetId="2650">
        <row r="4">
          <cell r="I4">
            <v>0</v>
          </cell>
        </row>
      </sheetData>
      <sheetData sheetId="2651">
        <row r="4">
          <cell r="I4">
            <v>0</v>
          </cell>
        </row>
      </sheetData>
      <sheetData sheetId="2652">
        <row r="4">
          <cell r="I4">
            <v>0</v>
          </cell>
        </row>
      </sheetData>
      <sheetData sheetId="2653">
        <row r="4">
          <cell r="I4">
            <v>0</v>
          </cell>
        </row>
      </sheetData>
      <sheetData sheetId="2654">
        <row r="4">
          <cell r="I4">
            <v>0</v>
          </cell>
        </row>
      </sheetData>
      <sheetData sheetId="2655">
        <row r="4">
          <cell r="I4">
            <v>0</v>
          </cell>
        </row>
      </sheetData>
      <sheetData sheetId="2656">
        <row r="4">
          <cell r="I4">
            <v>0</v>
          </cell>
        </row>
      </sheetData>
      <sheetData sheetId="2657">
        <row r="4">
          <cell r="I4">
            <v>0</v>
          </cell>
        </row>
      </sheetData>
      <sheetData sheetId="2658">
        <row r="4">
          <cell r="I4">
            <v>0</v>
          </cell>
        </row>
      </sheetData>
      <sheetData sheetId="2659">
        <row r="4">
          <cell r="I4">
            <v>0</v>
          </cell>
        </row>
      </sheetData>
      <sheetData sheetId="2660">
        <row r="4">
          <cell r="I4">
            <v>0</v>
          </cell>
        </row>
      </sheetData>
      <sheetData sheetId="2661" refreshError="1"/>
      <sheetData sheetId="2662" refreshError="1"/>
      <sheetData sheetId="2663"/>
      <sheetData sheetId="2664"/>
      <sheetData sheetId="2665"/>
      <sheetData sheetId="2666"/>
      <sheetData sheetId="2667">
        <row r="4">
          <cell r="I4">
            <v>0</v>
          </cell>
        </row>
      </sheetData>
      <sheetData sheetId="2668">
        <row r="4">
          <cell r="I4">
            <v>0</v>
          </cell>
        </row>
      </sheetData>
      <sheetData sheetId="2669">
        <row r="4">
          <cell r="I4">
            <v>0</v>
          </cell>
        </row>
      </sheetData>
      <sheetData sheetId="2670">
        <row r="4">
          <cell r="I4">
            <v>0</v>
          </cell>
        </row>
      </sheetData>
      <sheetData sheetId="2671">
        <row r="4">
          <cell r="I4">
            <v>0</v>
          </cell>
        </row>
      </sheetData>
      <sheetData sheetId="2672">
        <row r="4">
          <cell r="I4">
            <v>0</v>
          </cell>
        </row>
      </sheetData>
      <sheetData sheetId="2673" refreshError="1"/>
      <sheetData sheetId="2674"/>
      <sheetData sheetId="2675"/>
      <sheetData sheetId="2676"/>
      <sheetData sheetId="2677" refreshError="1"/>
      <sheetData sheetId="2678"/>
      <sheetData sheetId="2679"/>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ow r="4">
          <cell r="I4">
            <v>0</v>
          </cell>
        </row>
      </sheetData>
      <sheetData sheetId="2720">
        <row r="4">
          <cell r="I4">
            <v>0</v>
          </cell>
        </row>
      </sheetData>
      <sheetData sheetId="2721">
        <row r="4">
          <cell r="I4">
            <v>0</v>
          </cell>
        </row>
      </sheetData>
      <sheetData sheetId="2722">
        <row r="4">
          <cell r="I4">
            <v>0</v>
          </cell>
        </row>
      </sheetData>
      <sheetData sheetId="2723">
        <row r="4">
          <cell r="I4">
            <v>0</v>
          </cell>
        </row>
      </sheetData>
      <sheetData sheetId="2724" refreshError="1"/>
      <sheetData sheetId="2725" refreshError="1"/>
      <sheetData sheetId="2726" refreshError="1"/>
      <sheetData sheetId="2727" refreshError="1"/>
      <sheetData sheetId="2728" refreshError="1"/>
      <sheetData sheetId="2729">
        <row r="4">
          <cell r="I4">
            <v>0</v>
          </cell>
        </row>
      </sheetData>
      <sheetData sheetId="2730" refreshError="1"/>
      <sheetData sheetId="2731">
        <row r="4">
          <cell r="I4">
            <v>0</v>
          </cell>
        </row>
      </sheetData>
      <sheetData sheetId="2732">
        <row r="4">
          <cell r="I4">
            <v>0</v>
          </cell>
        </row>
      </sheetData>
      <sheetData sheetId="2733">
        <row r="4">
          <cell r="I4">
            <v>0</v>
          </cell>
        </row>
      </sheetData>
      <sheetData sheetId="2734">
        <row r="4">
          <cell r="I4">
            <v>0</v>
          </cell>
        </row>
      </sheetData>
      <sheetData sheetId="2735" refreshError="1"/>
      <sheetData sheetId="2736" refreshError="1"/>
      <sheetData sheetId="2737">
        <row r="4">
          <cell r="I4">
            <v>0</v>
          </cell>
        </row>
      </sheetData>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ow r="4">
          <cell r="I4">
            <v>0</v>
          </cell>
        </row>
      </sheetData>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ow r="4">
          <cell r="I4">
            <v>0</v>
          </cell>
        </row>
      </sheetData>
      <sheetData sheetId="2812">
        <row r="4">
          <cell r="I4">
            <v>0</v>
          </cell>
        </row>
      </sheetData>
      <sheetData sheetId="2813">
        <row r="4">
          <cell r="I4">
            <v>0</v>
          </cell>
        </row>
      </sheetData>
      <sheetData sheetId="2814">
        <row r="4">
          <cell r="I4">
            <v>0</v>
          </cell>
        </row>
      </sheetData>
      <sheetData sheetId="2815">
        <row r="4">
          <cell r="I4">
            <v>0</v>
          </cell>
        </row>
      </sheetData>
      <sheetData sheetId="2816">
        <row r="4">
          <cell r="I4">
            <v>0</v>
          </cell>
        </row>
      </sheetData>
      <sheetData sheetId="2817">
        <row r="4">
          <cell r="I4">
            <v>0</v>
          </cell>
        </row>
      </sheetData>
      <sheetData sheetId="2818">
        <row r="4">
          <cell r="I4">
            <v>0</v>
          </cell>
        </row>
      </sheetData>
      <sheetData sheetId="2819">
        <row r="4">
          <cell r="I4">
            <v>0</v>
          </cell>
        </row>
      </sheetData>
      <sheetData sheetId="2820">
        <row r="4">
          <cell r="I4">
            <v>0</v>
          </cell>
        </row>
      </sheetData>
      <sheetData sheetId="2821">
        <row r="4">
          <cell r="I4">
            <v>0</v>
          </cell>
        </row>
      </sheetData>
      <sheetData sheetId="2822">
        <row r="4">
          <cell r="I4">
            <v>0</v>
          </cell>
        </row>
      </sheetData>
      <sheetData sheetId="2823">
        <row r="4">
          <cell r="I4">
            <v>0</v>
          </cell>
        </row>
      </sheetData>
      <sheetData sheetId="2824">
        <row r="4">
          <cell r="I4">
            <v>0</v>
          </cell>
        </row>
      </sheetData>
      <sheetData sheetId="2825">
        <row r="4">
          <cell r="I4">
            <v>0</v>
          </cell>
        </row>
      </sheetData>
      <sheetData sheetId="2826">
        <row r="4">
          <cell r="I4">
            <v>0</v>
          </cell>
        </row>
      </sheetData>
      <sheetData sheetId="2827">
        <row r="4">
          <cell r="I4">
            <v>0</v>
          </cell>
        </row>
      </sheetData>
      <sheetData sheetId="2828">
        <row r="4">
          <cell r="I4">
            <v>0</v>
          </cell>
        </row>
      </sheetData>
      <sheetData sheetId="2829">
        <row r="4">
          <cell r="I4">
            <v>0</v>
          </cell>
        </row>
      </sheetData>
      <sheetData sheetId="2830">
        <row r="4">
          <cell r="I4">
            <v>0</v>
          </cell>
        </row>
      </sheetData>
      <sheetData sheetId="2831">
        <row r="4">
          <cell r="I4">
            <v>0</v>
          </cell>
        </row>
      </sheetData>
      <sheetData sheetId="2832">
        <row r="4">
          <cell r="I4">
            <v>0</v>
          </cell>
        </row>
      </sheetData>
      <sheetData sheetId="2833">
        <row r="4">
          <cell r="I4">
            <v>0</v>
          </cell>
        </row>
      </sheetData>
      <sheetData sheetId="2834">
        <row r="4">
          <cell r="I4">
            <v>0</v>
          </cell>
        </row>
      </sheetData>
      <sheetData sheetId="2835">
        <row r="4">
          <cell r="I4">
            <v>0</v>
          </cell>
        </row>
      </sheetData>
      <sheetData sheetId="2836">
        <row r="4">
          <cell r="I4">
            <v>0</v>
          </cell>
        </row>
      </sheetData>
      <sheetData sheetId="2837">
        <row r="4">
          <cell r="I4">
            <v>0</v>
          </cell>
        </row>
      </sheetData>
      <sheetData sheetId="2838">
        <row r="4">
          <cell r="I4">
            <v>0</v>
          </cell>
        </row>
      </sheetData>
      <sheetData sheetId="2839">
        <row r="4">
          <cell r="I4">
            <v>0</v>
          </cell>
        </row>
      </sheetData>
      <sheetData sheetId="2840">
        <row r="4">
          <cell r="I4">
            <v>0</v>
          </cell>
        </row>
      </sheetData>
      <sheetData sheetId="2841">
        <row r="4">
          <cell r="I4">
            <v>0</v>
          </cell>
        </row>
      </sheetData>
      <sheetData sheetId="2842">
        <row r="4">
          <cell r="I4">
            <v>0</v>
          </cell>
        </row>
      </sheetData>
      <sheetData sheetId="2843">
        <row r="4">
          <cell r="I4">
            <v>0</v>
          </cell>
        </row>
      </sheetData>
      <sheetData sheetId="2844">
        <row r="4">
          <cell r="I4">
            <v>0</v>
          </cell>
        </row>
      </sheetData>
      <sheetData sheetId="2845">
        <row r="4">
          <cell r="I4">
            <v>0</v>
          </cell>
        </row>
      </sheetData>
      <sheetData sheetId="2846">
        <row r="4">
          <cell r="I4">
            <v>0</v>
          </cell>
        </row>
      </sheetData>
      <sheetData sheetId="2847">
        <row r="4">
          <cell r="I4">
            <v>0</v>
          </cell>
        </row>
      </sheetData>
      <sheetData sheetId="2848">
        <row r="4">
          <cell r="I4">
            <v>0</v>
          </cell>
        </row>
      </sheetData>
      <sheetData sheetId="2849">
        <row r="4">
          <cell r="I4">
            <v>0</v>
          </cell>
        </row>
      </sheetData>
      <sheetData sheetId="2850">
        <row r="4">
          <cell r="I4">
            <v>0</v>
          </cell>
        </row>
      </sheetData>
      <sheetData sheetId="2851">
        <row r="4">
          <cell r="I4">
            <v>0</v>
          </cell>
        </row>
      </sheetData>
      <sheetData sheetId="2852">
        <row r="4">
          <cell r="I4">
            <v>0</v>
          </cell>
        </row>
      </sheetData>
      <sheetData sheetId="2853">
        <row r="4">
          <cell r="I4">
            <v>0</v>
          </cell>
        </row>
      </sheetData>
      <sheetData sheetId="2854">
        <row r="4">
          <cell r="I4">
            <v>0</v>
          </cell>
        </row>
      </sheetData>
      <sheetData sheetId="2855">
        <row r="4">
          <cell r="I4">
            <v>0</v>
          </cell>
        </row>
      </sheetData>
      <sheetData sheetId="2856">
        <row r="4">
          <cell r="I4">
            <v>0</v>
          </cell>
        </row>
      </sheetData>
      <sheetData sheetId="2857">
        <row r="4">
          <cell r="I4">
            <v>0</v>
          </cell>
        </row>
      </sheetData>
      <sheetData sheetId="2858">
        <row r="4">
          <cell r="I4">
            <v>0</v>
          </cell>
        </row>
      </sheetData>
      <sheetData sheetId="2859">
        <row r="4">
          <cell r="I4">
            <v>0</v>
          </cell>
        </row>
      </sheetData>
      <sheetData sheetId="2860">
        <row r="4">
          <cell r="I4">
            <v>0</v>
          </cell>
        </row>
      </sheetData>
      <sheetData sheetId="2861">
        <row r="4">
          <cell r="I4">
            <v>0</v>
          </cell>
        </row>
      </sheetData>
      <sheetData sheetId="2862">
        <row r="4">
          <cell r="I4">
            <v>0</v>
          </cell>
        </row>
      </sheetData>
      <sheetData sheetId="2863">
        <row r="4">
          <cell r="I4">
            <v>0</v>
          </cell>
        </row>
      </sheetData>
      <sheetData sheetId="2864">
        <row r="4">
          <cell r="I4">
            <v>0</v>
          </cell>
        </row>
      </sheetData>
      <sheetData sheetId="2865">
        <row r="4">
          <cell r="I4">
            <v>0</v>
          </cell>
        </row>
      </sheetData>
      <sheetData sheetId="2866">
        <row r="4">
          <cell r="I4">
            <v>0</v>
          </cell>
        </row>
      </sheetData>
      <sheetData sheetId="2867">
        <row r="4">
          <cell r="I4">
            <v>0</v>
          </cell>
        </row>
      </sheetData>
      <sheetData sheetId="2868">
        <row r="4">
          <cell r="I4">
            <v>0</v>
          </cell>
        </row>
      </sheetData>
      <sheetData sheetId="2869">
        <row r="4">
          <cell r="I4">
            <v>0</v>
          </cell>
        </row>
      </sheetData>
      <sheetData sheetId="2870">
        <row r="4">
          <cell r="I4">
            <v>0</v>
          </cell>
        </row>
      </sheetData>
      <sheetData sheetId="2871">
        <row r="4">
          <cell r="I4">
            <v>0</v>
          </cell>
        </row>
      </sheetData>
      <sheetData sheetId="2872">
        <row r="4">
          <cell r="I4">
            <v>0</v>
          </cell>
        </row>
      </sheetData>
      <sheetData sheetId="2873">
        <row r="4">
          <cell r="I4">
            <v>0</v>
          </cell>
        </row>
      </sheetData>
      <sheetData sheetId="2874">
        <row r="4">
          <cell r="I4">
            <v>0</v>
          </cell>
        </row>
      </sheetData>
      <sheetData sheetId="2875">
        <row r="4">
          <cell r="I4">
            <v>0</v>
          </cell>
        </row>
      </sheetData>
      <sheetData sheetId="2876">
        <row r="4">
          <cell r="I4">
            <v>0</v>
          </cell>
        </row>
      </sheetData>
      <sheetData sheetId="2877">
        <row r="4">
          <cell r="I4">
            <v>0</v>
          </cell>
        </row>
      </sheetData>
      <sheetData sheetId="2878">
        <row r="4">
          <cell r="I4">
            <v>0</v>
          </cell>
        </row>
      </sheetData>
      <sheetData sheetId="2879">
        <row r="4">
          <cell r="I4">
            <v>0</v>
          </cell>
        </row>
      </sheetData>
      <sheetData sheetId="2880">
        <row r="4">
          <cell r="I4">
            <v>0</v>
          </cell>
        </row>
      </sheetData>
      <sheetData sheetId="2881">
        <row r="4">
          <cell r="I4">
            <v>0</v>
          </cell>
        </row>
      </sheetData>
      <sheetData sheetId="2882">
        <row r="4">
          <cell r="I4">
            <v>0</v>
          </cell>
        </row>
      </sheetData>
      <sheetData sheetId="2883">
        <row r="4">
          <cell r="I4">
            <v>0</v>
          </cell>
        </row>
      </sheetData>
      <sheetData sheetId="2884">
        <row r="4">
          <cell r="I4">
            <v>0</v>
          </cell>
        </row>
      </sheetData>
      <sheetData sheetId="2885">
        <row r="4">
          <cell r="I4">
            <v>0</v>
          </cell>
        </row>
      </sheetData>
      <sheetData sheetId="2886">
        <row r="4">
          <cell r="I4">
            <v>0</v>
          </cell>
        </row>
      </sheetData>
      <sheetData sheetId="2887">
        <row r="4">
          <cell r="I4">
            <v>0</v>
          </cell>
        </row>
      </sheetData>
      <sheetData sheetId="2888">
        <row r="4">
          <cell r="I4">
            <v>0</v>
          </cell>
        </row>
      </sheetData>
      <sheetData sheetId="2889">
        <row r="4">
          <cell r="I4">
            <v>0</v>
          </cell>
        </row>
      </sheetData>
      <sheetData sheetId="2890">
        <row r="4">
          <cell r="I4">
            <v>0</v>
          </cell>
        </row>
      </sheetData>
      <sheetData sheetId="2891">
        <row r="4">
          <cell r="I4">
            <v>0</v>
          </cell>
        </row>
      </sheetData>
      <sheetData sheetId="2892">
        <row r="4">
          <cell r="I4">
            <v>0</v>
          </cell>
        </row>
      </sheetData>
      <sheetData sheetId="2893">
        <row r="4">
          <cell r="I4">
            <v>0</v>
          </cell>
        </row>
      </sheetData>
      <sheetData sheetId="2894">
        <row r="4">
          <cell r="I4">
            <v>0</v>
          </cell>
        </row>
      </sheetData>
      <sheetData sheetId="2895">
        <row r="4">
          <cell r="I4">
            <v>0</v>
          </cell>
        </row>
      </sheetData>
      <sheetData sheetId="2896">
        <row r="4">
          <cell r="I4">
            <v>0</v>
          </cell>
        </row>
      </sheetData>
      <sheetData sheetId="2897">
        <row r="4">
          <cell r="I4">
            <v>0</v>
          </cell>
        </row>
      </sheetData>
      <sheetData sheetId="2898">
        <row r="4">
          <cell r="I4">
            <v>0</v>
          </cell>
        </row>
      </sheetData>
      <sheetData sheetId="2899">
        <row r="4">
          <cell r="I4">
            <v>0</v>
          </cell>
        </row>
      </sheetData>
      <sheetData sheetId="2900">
        <row r="4">
          <cell r="I4">
            <v>0</v>
          </cell>
        </row>
      </sheetData>
      <sheetData sheetId="2901">
        <row r="4">
          <cell r="I4">
            <v>0</v>
          </cell>
        </row>
      </sheetData>
      <sheetData sheetId="2902">
        <row r="4">
          <cell r="I4">
            <v>0</v>
          </cell>
        </row>
      </sheetData>
      <sheetData sheetId="2903">
        <row r="4">
          <cell r="I4">
            <v>0</v>
          </cell>
        </row>
      </sheetData>
      <sheetData sheetId="2904">
        <row r="4">
          <cell r="I4">
            <v>0</v>
          </cell>
        </row>
      </sheetData>
      <sheetData sheetId="2905">
        <row r="4">
          <cell r="I4">
            <v>0</v>
          </cell>
        </row>
      </sheetData>
      <sheetData sheetId="2906">
        <row r="4">
          <cell r="I4">
            <v>0</v>
          </cell>
        </row>
      </sheetData>
      <sheetData sheetId="2907">
        <row r="4">
          <cell r="I4">
            <v>0</v>
          </cell>
        </row>
      </sheetData>
      <sheetData sheetId="2908">
        <row r="4">
          <cell r="I4">
            <v>0</v>
          </cell>
        </row>
      </sheetData>
      <sheetData sheetId="2909">
        <row r="4">
          <cell r="I4">
            <v>0</v>
          </cell>
        </row>
      </sheetData>
      <sheetData sheetId="2910">
        <row r="4">
          <cell r="I4">
            <v>0</v>
          </cell>
        </row>
      </sheetData>
      <sheetData sheetId="2911">
        <row r="4">
          <cell r="I4">
            <v>0</v>
          </cell>
        </row>
      </sheetData>
      <sheetData sheetId="2912">
        <row r="4">
          <cell r="I4">
            <v>0</v>
          </cell>
        </row>
      </sheetData>
      <sheetData sheetId="2913">
        <row r="4">
          <cell r="I4">
            <v>0</v>
          </cell>
        </row>
      </sheetData>
      <sheetData sheetId="2914">
        <row r="4">
          <cell r="I4">
            <v>0</v>
          </cell>
        </row>
      </sheetData>
      <sheetData sheetId="2915">
        <row r="4">
          <cell r="I4">
            <v>0</v>
          </cell>
        </row>
      </sheetData>
      <sheetData sheetId="2916">
        <row r="4">
          <cell r="I4">
            <v>0</v>
          </cell>
        </row>
      </sheetData>
      <sheetData sheetId="2917">
        <row r="4">
          <cell r="I4">
            <v>0</v>
          </cell>
        </row>
      </sheetData>
      <sheetData sheetId="2918">
        <row r="4">
          <cell r="I4">
            <v>0</v>
          </cell>
        </row>
      </sheetData>
      <sheetData sheetId="2919">
        <row r="4">
          <cell r="I4">
            <v>0</v>
          </cell>
        </row>
      </sheetData>
      <sheetData sheetId="2920">
        <row r="4">
          <cell r="I4">
            <v>0</v>
          </cell>
        </row>
      </sheetData>
      <sheetData sheetId="2921">
        <row r="4">
          <cell r="I4">
            <v>0</v>
          </cell>
        </row>
      </sheetData>
      <sheetData sheetId="2922">
        <row r="4">
          <cell r="I4">
            <v>0</v>
          </cell>
        </row>
      </sheetData>
      <sheetData sheetId="2923">
        <row r="4">
          <cell r="I4">
            <v>0</v>
          </cell>
        </row>
      </sheetData>
      <sheetData sheetId="2924">
        <row r="4">
          <cell r="I4">
            <v>0</v>
          </cell>
        </row>
      </sheetData>
      <sheetData sheetId="2925">
        <row r="4">
          <cell r="I4">
            <v>0</v>
          </cell>
        </row>
      </sheetData>
      <sheetData sheetId="2926">
        <row r="4">
          <cell r="I4">
            <v>0</v>
          </cell>
        </row>
      </sheetData>
      <sheetData sheetId="2927">
        <row r="4">
          <cell r="I4">
            <v>0</v>
          </cell>
        </row>
      </sheetData>
      <sheetData sheetId="2928">
        <row r="4">
          <cell r="I4">
            <v>0</v>
          </cell>
        </row>
      </sheetData>
      <sheetData sheetId="2929">
        <row r="4">
          <cell r="I4">
            <v>0</v>
          </cell>
        </row>
      </sheetData>
      <sheetData sheetId="2930">
        <row r="4">
          <cell r="I4">
            <v>0</v>
          </cell>
        </row>
      </sheetData>
      <sheetData sheetId="2931">
        <row r="4">
          <cell r="I4">
            <v>0</v>
          </cell>
        </row>
      </sheetData>
      <sheetData sheetId="2932">
        <row r="4">
          <cell r="I4">
            <v>0</v>
          </cell>
        </row>
      </sheetData>
      <sheetData sheetId="2933">
        <row r="4">
          <cell r="I4">
            <v>0</v>
          </cell>
        </row>
      </sheetData>
      <sheetData sheetId="2934">
        <row r="4">
          <cell r="I4">
            <v>0</v>
          </cell>
        </row>
      </sheetData>
      <sheetData sheetId="2935">
        <row r="4">
          <cell r="I4">
            <v>0</v>
          </cell>
        </row>
      </sheetData>
      <sheetData sheetId="2936">
        <row r="4">
          <cell r="I4">
            <v>0</v>
          </cell>
        </row>
      </sheetData>
      <sheetData sheetId="2937">
        <row r="4">
          <cell r="I4">
            <v>0</v>
          </cell>
        </row>
      </sheetData>
      <sheetData sheetId="2938">
        <row r="4">
          <cell r="I4">
            <v>0</v>
          </cell>
        </row>
      </sheetData>
      <sheetData sheetId="2939">
        <row r="4">
          <cell r="I4">
            <v>0</v>
          </cell>
        </row>
      </sheetData>
      <sheetData sheetId="2940">
        <row r="4">
          <cell r="I4">
            <v>0</v>
          </cell>
        </row>
      </sheetData>
      <sheetData sheetId="2941">
        <row r="4">
          <cell r="I4">
            <v>0</v>
          </cell>
        </row>
      </sheetData>
      <sheetData sheetId="2942">
        <row r="4">
          <cell r="I4">
            <v>0</v>
          </cell>
        </row>
      </sheetData>
      <sheetData sheetId="2943">
        <row r="4">
          <cell r="I4">
            <v>0</v>
          </cell>
        </row>
      </sheetData>
      <sheetData sheetId="2944">
        <row r="4">
          <cell r="I4">
            <v>0</v>
          </cell>
        </row>
      </sheetData>
      <sheetData sheetId="2945">
        <row r="4">
          <cell r="I4">
            <v>0</v>
          </cell>
        </row>
      </sheetData>
      <sheetData sheetId="2946">
        <row r="4">
          <cell r="I4">
            <v>0</v>
          </cell>
        </row>
      </sheetData>
      <sheetData sheetId="2947">
        <row r="4">
          <cell r="I4">
            <v>0</v>
          </cell>
        </row>
      </sheetData>
      <sheetData sheetId="2948">
        <row r="4">
          <cell r="I4">
            <v>0</v>
          </cell>
        </row>
      </sheetData>
      <sheetData sheetId="2949">
        <row r="4">
          <cell r="I4">
            <v>0</v>
          </cell>
        </row>
      </sheetData>
      <sheetData sheetId="2950">
        <row r="4">
          <cell r="I4">
            <v>0</v>
          </cell>
        </row>
      </sheetData>
      <sheetData sheetId="2951">
        <row r="4">
          <cell r="I4">
            <v>0</v>
          </cell>
        </row>
      </sheetData>
      <sheetData sheetId="2952">
        <row r="4">
          <cell r="I4">
            <v>0</v>
          </cell>
        </row>
      </sheetData>
      <sheetData sheetId="2953">
        <row r="4">
          <cell r="I4">
            <v>0</v>
          </cell>
        </row>
      </sheetData>
      <sheetData sheetId="2954">
        <row r="4">
          <cell r="I4">
            <v>0</v>
          </cell>
        </row>
      </sheetData>
      <sheetData sheetId="2955">
        <row r="4">
          <cell r="I4">
            <v>0</v>
          </cell>
        </row>
      </sheetData>
      <sheetData sheetId="2956">
        <row r="4">
          <cell r="I4">
            <v>0</v>
          </cell>
        </row>
      </sheetData>
      <sheetData sheetId="2957">
        <row r="4">
          <cell r="I4">
            <v>0</v>
          </cell>
        </row>
      </sheetData>
      <sheetData sheetId="2958">
        <row r="4">
          <cell r="I4">
            <v>0</v>
          </cell>
        </row>
      </sheetData>
      <sheetData sheetId="2959">
        <row r="4">
          <cell r="I4">
            <v>0</v>
          </cell>
        </row>
      </sheetData>
      <sheetData sheetId="2960">
        <row r="4">
          <cell r="I4">
            <v>0</v>
          </cell>
        </row>
      </sheetData>
      <sheetData sheetId="2961">
        <row r="4">
          <cell r="I4">
            <v>0</v>
          </cell>
        </row>
      </sheetData>
      <sheetData sheetId="2962">
        <row r="4">
          <cell r="I4">
            <v>0</v>
          </cell>
        </row>
      </sheetData>
      <sheetData sheetId="2963">
        <row r="4">
          <cell r="I4">
            <v>0</v>
          </cell>
        </row>
      </sheetData>
      <sheetData sheetId="2964">
        <row r="4">
          <cell r="I4">
            <v>0</v>
          </cell>
        </row>
      </sheetData>
      <sheetData sheetId="2965">
        <row r="4">
          <cell r="I4">
            <v>0</v>
          </cell>
        </row>
      </sheetData>
      <sheetData sheetId="2966">
        <row r="4">
          <cell r="I4">
            <v>0</v>
          </cell>
        </row>
      </sheetData>
      <sheetData sheetId="2967">
        <row r="4">
          <cell r="I4">
            <v>0</v>
          </cell>
        </row>
      </sheetData>
      <sheetData sheetId="2968">
        <row r="4">
          <cell r="I4">
            <v>0</v>
          </cell>
        </row>
      </sheetData>
      <sheetData sheetId="2969">
        <row r="4">
          <cell r="I4">
            <v>0</v>
          </cell>
        </row>
      </sheetData>
      <sheetData sheetId="2970">
        <row r="4">
          <cell r="I4">
            <v>0</v>
          </cell>
        </row>
      </sheetData>
      <sheetData sheetId="2971">
        <row r="4">
          <cell r="I4">
            <v>0</v>
          </cell>
        </row>
      </sheetData>
      <sheetData sheetId="2972">
        <row r="4">
          <cell r="I4">
            <v>0</v>
          </cell>
        </row>
      </sheetData>
      <sheetData sheetId="2973">
        <row r="4">
          <cell r="I4">
            <v>0</v>
          </cell>
        </row>
      </sheetData>
      <sheetData sheetId="2974">
        <row r="4">
          <cell r="I4">
            <v>0</v>
          </cell>
        </row>
      </sheetData>
      <sheetData sheetId="2975">
        <row r="4">
          <cell r="I4">
            <v>0</v>
          </cell>
        </row>
      </sheetData>
      <sheetData sheetId="2976">
        <row r="4">
          <cell r="I4">
            <v>0</v>
          </cell>
        </row>
      </sheetData>
      <sheetData sheetId="2977">
        <row r="4">
          <cell r="I4">
            <v>0</v>
          </cell>
        </row>
      </sheetData>
      <sheetData sheetId="2978">
        <row r="4">
          <cell r="I4">
            <v>0</v>
          </cell>
        </row>
      </sheetData>
      <sheetData sheetId="2979">
        <row r="4">
          <cell r="I4">
            <v>0</v>
          </cell>
        </row>
      </sheetData>
      <sheetData sheetId="2980">
        <row r="4">
          <cell r="I4">
            <v>0</v>
          </cell>
        </row>
      </sheetData>
      <sheetData sheetId="2981">
        <row r="4">
          <cell r="I4">
            <v>0</v>
          </cell>
        </row>
      </sheetData>
      <sheetData sheetId="2982">
        <row r="4">
          <cell r="I4">
            <v>0</v>
          </cell>
        </row>
      </sheetData>
      <sheetData sheetId="2983">
        <row r="4">
          <cell r="I4">
            <v>0</v>
          </cell>
        </row>
      </sheetData>
      <sheetData sheetId="2984">
        <row r="4">
          <cell r="I4">
            <v>0</v>
          </cell>
        </row>
      </sheetData>
      <sheetData sheetId="2985">
        <row r="4">
          <cell r="I4">
            <v>0</v>
          </cell>
        </row>
      </sheetData>
      <sheetData sheetId="2986">
        <row r="4">
          <cell r="I4">
            <v>0</v>
          </cell>
        </row>
      </sheetData>
      <sheetData sheetId="2987">
        <row r="4">
          <cell r="I4">
            <v>0</v>
          </cell>
        </row>
      </sheetData>
      <sheetData sheetId="2988">
        <row r="4">
          <cell r="I4">
            <v>0</v>
          </cell>
        </row>
      </sheetData>
      <sheetData sheetId="2989">
        <row r="4">
          <cell r="I4">
            <v>0</v>
          </cell>
        </row>
      </sheetData>
      <sheetData sheetId="2990">
        <row r="4">
          <cell r="I4">
            <v>0</v>
          </cell>
        </row>
      </sheetData>
      <sheetData sheetId="2991">
        <row r="4">
          <cell r="I4">
            <v>0</v>
          </cell>
        </row>
      </sheetData>
      <sheetData sheetId="2992">
        <row r="4">
          <cell r="I4">
            <v>0</v>
          </cell>
        </row>
      </sheetData>
      <sheetData sheetId="2993">
        <row r="4">
          <cell r="I4">
            <v>0</v>
          </cell>
        </row>
      </sheetData>
      <sheetData sheetId="2994">
        <row r="4">
          <cell r="I4">
            <v>0</v>
          </cell>
        </row>
      </sheetData>
      <sheetData sheetId="2995">
        <row r="4">
          <cell r="I4">
            <v>0</v>
          </cell>
        </row>
      </sheetData>
      <sheetData sheetId="2996">
        <row r="4">
          <cell r="I4">
            <v>0</v>
          </cell>
        </row>
      </sheetData>
      <sheetData sheetId="2997">
        <row r="4">
          <cell r="I4">
            <v>0</v>
          </cell>
        </row>
      </sheetData>
      <sheetData sheetId="2998">
        <row r="4">
          <cell r="I4">
            <v>0</v>
          </cell>
        </row>
      </sheetData>
      <sheetData sheetId="2999">
        <row r="4">
          <cell r="I4">
            <v>0</v>
          </cell>
        </row>
      </sheetData>
      <sheetData sheetId="3000">
        <row r="4">
          <cell r="I4">
            <v>0</v>
          </cell>
        </row>
      </sheetData>
      <sheetData sheetId="3001">
        <row r="4">
          <cell r="I4">
            <v>0</v>
          </cell>
        </row>
      </sheetData>
      <sheetData sheetId="3002">
        <row r="4">
          <cell r="I4">
            <v>0</v>
          </cell>
        </row>
      </sheetData>
      <sheetData sheetId="3003">
        <row r="4">
          <cell r="I4">
            <v>0</v>
          </cell>
        </row>
      </sheetData>
      <sheetData sheetId="3004">
        <row r="4">
          <cell r="I4">
            <v>0</v>
          </cell>
        </row>
      </sheetData>
      <sheetData sheetId="3005">
        <row r="4">
          <cell r="I4">
            <v>0</v>
          </cell>
        </row>
      </sheetData>
      <sheetData sheetId="3006">
        <row r="4">
          <cell r="I4">
            <v>0</v>
          </cell>
        </row>
      </sheetData>
      <sheetData sheetId="3007">
        <row r="4">
          <cell r="I4">
            <v>0</v>
          </cell>
        </row>
      </sheetData>
      <sheetData sheetId="3008">
        <row r="4">
          <cell r="I4">
            <v>0</v>
          </cell>
        </row>
      </sheetData>
      <sheetData sheetId="3009">
        <row r="4">
          <cell r="I4">
            <v>0</v>
          </cell>
        </row>
      </sheetData>
      <sheetData sheetId="3010">
        <row r="4">
          <cell r="I4">
            <v>0</v>
          </cell>
        </row>
      </sheetData>
      <sheetData sheetId="3011">
        <row r="4">
          <cell r="I4">
            <v>0</v>
          </cell>
        </row>
      </sheetData>
      <sheetData sheetId="3012">
        <row r="4">
          <cell r="I4">
            <v>0</v>
          </cell>
        </row>
      </sheetData>
      <sheetData sheetId="3013">
        <row r="4">
          <cell r="I4">
            <v>0</v>
          </cell>
        </row>
      </sheetData>
      <sheetData sheetId="3014">
        <row r="4">
          <cell r="I4">
            <v>0</v>
          </cell>
        </row>
      </sheetData>
      <sheetData sheetId="3015">
        <row r="4">
          <cell r="I4">
            <v>0</v>
          </cell>
        </row>
      </sheetData>
      <sheetData sheetId="3016">
        <row r="4">
          <cell r="I4">
            <v>0</v>
          </cell>
        </row>
      </sheetData>
      <sheetData sheetId="3017">
        <row r="4">
          <cell r="I4">
            <v>0</v>
          </cell>
        </row>
      </sheetData>
      <sheetData sheetId="3018">
        <row r="4">
          <cell r="I4">
            <v>0</v>
          </cell>
        </row>
      </sheetData>
      <sheetData sheetId="3019">
        <row r="4">
          <cell r="I4">
            <v>0</v>
          </cell>
        </row>
      </sheetData>
      <sheetData sheetId="3020">
        <row r="4">
          <cell r="I4">
            <v>0</v>
          </cell>
        </row>
      </sheetData>
      <sheetData sheetId="3021">
        <row r="4">
          <cell r="I4">
            <v>0</v>
          </cell>
        </row>
      </sheetData>
      <sheetData sheetId="3022">
        <row r="4">
          <cell r="I4">
            <v>0</v>
          </cell>
        </row>
      </sheetData>
      <sheetData sheetId="3023">
        <row r="4">
          <cell r="I4">
            <v>0</v>
          </cell>
        </row>
      </sheetData>
      <sheetData sheetId="3024">
        <row r="4">
          <cell r="I4">
            <v>0</v>
          </cell>
        </row>
      </sheetData>
      <sheetData sheetId="3025">
        <row r="4">
          <cell r="I4">
            <v>0</v>
          </cell>
        </row>
      </sheetData>
      <sheetData sheetId="3026">
        <row r="4">
          <cell r="I4">
            <v>0</v>
          </cell>
        </row>
      </sheetData>
      <sheetData sheetId="3027">
        <row r="4">
          <cell r="I4">
            <v>0</v>
          </cell>
        </row>
      </sheetData>
      <sheetData sheetId="3028">
        <row r="4">
          <cell r="I4">
            <v>0</v>
          </cell>
        </row>
      </sheetData>
      <sheetData sheetId="3029">
        <row r="4">
          <cell r="I4">
            <v>0</v>
          </cell>
        </row>
      </sheetData>
      <sheetData sheetId="3030">
        <row r="4">
          <cell r="I4">
            <v>0</v>
          </cell>
        </row>
      </sheetData>
      <sheetData sheetId="3031">
        <row r="4">
          <cell r="I4">
            <v>0</v>
          </cell>
        </row>
      </sheetData>
      <sheetData sheetId="3032">
        <row r="4">
          <cell r="I4">
            <v>0</v>
          </cell>
        </row>
      </sheetData>
      <sheetData sheetId="3033">
        <row r="4">
          <cell r="I4">
            <v>0</v>
          </cell>
        </row>
      </sheetData>
      <sheetData sheetId="3034">
        <row r="4">
          <cell r="I4">
            <v>0</v>
          </cell>
        </row>
      </sheetData>
      <sheetData sheetId="3035">
        <row r="4">
          <cell r="I4">
            <v>0</v>
          </cell>
        </row>
      </sheetData>
      <sheetData sheetId="3036">
        <row r="4">
          <cell r="I4">
            <v>0</v>
          </cell>
        </row>
      </sheetData>
      <sheetData sheetId="3037">
        <row r="4">
          <cell r="I4">
            <v>0</v>
          </cell>
        </row>
      </sheetData>
      <sheetData sheetId="3038">
        <row r="4">
          <cell r="I4">
            <v>0</v>
          </cell>
        </row>
      </sheetData>
      <sheetData sheetId="3039">
        <row r="4">
          <cell r="I4">
            <v>0</v>
          </cell>
        </row>
      </sheetData>
      <sheetData sheetId="3040">
        <row r="4">
          <cell r="I4">
            <v>0</v>
          </cell>
        </row>
      </sheetData>
      <sheetData sheetId="3041">
        <row r="4">
          <cell r="I4">
            <v>0</v>
          </cell>
        </row>
      </sheetData>
      <sheetData sheetId="3042">
        <row r="4">
          <cell r="I4">
            <v>0</v>
          </cell>
        </row>
      </sheetData>
      <sheetData sheetId="3043">
        <row r="4">
          <cell r="I4">
            <v>0</v>
          </cell>
        </row>
      </sheetData>
      <sheetData sheetId="3044">
        <row r="4">
          <cell r="I4">
            <v>0</v>
          </cell>
        </row>
      </sheetData>
      <sheetData sheetId="3045">
        <row r="4">
          <cell r="I4">
            <v>0</v>
          </cell>
        </row>
      </sheetData>
      <sheetData sheetId="3046">
        <row r="4">
          <cell r="I4">
            <v>0</v>
          </cell>
        </row>
      </sheetData>
      <sheetData sheetId="3047">
        <row r="4">
          <cell r="I4">
            <v>0</v>
          </cell>
        </row>
      </sheetData>
      <sheetData sheetId="3048">
        <row r="4">
          <cell r="I4">
            <v>0</v>
          </cell>
        </row>
      </sheetData>
      <sheetData sheetId="3049">
        <row r="4">
          <cell r="I4">
            <v>0</v>
          </cell>
        </row>
      </sheetData>
      <sheetData sheetId="3050">
        <row r="4">
          <cell r="I4">
            <v>0</v>
          </cell>
        </row>
      </sheetData>
      <sheetData sheetId="3051">
        <row r="4">
          <cell r="I4">
            <v>0</v>
          </cell>
        </row>
      </sheetData>
      <sheetData sheetId="3052">
        <row r="4">
          <cell r="I4">
            <v>0</v>
          </cell>
        </row>
      </sheetData>
      <sheetData sheetId="3053">
        <row r="4">
          <cell r="I4">
            <v>0</v>
          </cell>
        </row>
      </sheetData>
      <sheetData sheetId="3054">
        <row r="4">
          <cell r="I4">
            <v>0</v>
          </cell>
        </row>
      </sheetData>
      <sheetData sheetId="3055">
        <row r="4">
          <cell r="I4">
            <v>0</v>
          </cell>
        </row>
      </sheetData>
      <sheetData sheetId="3056">
        <row r="4">
          <cell r="I4">
            <v>0</v>
          </cell>
        </row>
      </sheetData>
      <sheetData sheetId="3057">
        <row r="4">
          <cell r="I4">
            <v>0</v>
          </cell>
        </row>
      </sheetData>
      <sheetData sheetId="3058">
        <row r="4">
          <cell r="I4">
            <v>0</v>
          </cell>
        </row>
      </sheetData>
      <sheetData sheetId="3059">
        <row r="4">
          <cell r="I4">
            <v>0</v>
          </cell>
        </row>
      </sheetData>
      <sheetData sheetId="3060">
        <row r="4">
          <cell r="I4">
            <v>0</v>
          </cell>
        </row>
      </sheetData>
      <sheetData sheetId="3061">
        <row r="4">
          <cell r="I4">
            <v>0</v>
          </cell>
        </row>
      </sheetData>
      <sheetData sheetId="3062">
        <row r="4">
          <cell r="I4">
            <v>0</v>
          </cell>
        </row>
      </sheetData>
      <sheetData sheetId="3063">
        <row r="4">
          <cell r="I4">
            <v>0</v>
          </cell>
        </row>
      </sheetData>
      <sheetData sheetId="3064">
        <row r="4">
          <cell r="I4">
            <v>0</v>
          </cell>
        </row>
      </sheetData>
      <sheetData sheetId="3065">
        <row r="4">
          <cell r="I4">
            <v>0</v>
          </cell>
        </row>
      </sheetData>
      <sheetData sheetId="3066">
        <row r="4">
          <cell r="I4">
            <v>0</v>
          </cell>
        </row>
      </sheetData>
      <sheetData sheetId="3067">
        <row r="4">
          <cell r="I4">
            <v>0</v>
          </cell>
        </row>
      </sheetData>
      <sheetData sheetId="3068">
        <row r="4">
          <cell r="I4">
            <v>0</v>
          </cell>
        </row>
      </sheetData>
      <sheetData sheetId="3069">
        <row r="4">
          <cell r="I4">
            <v>0</v>
          </cell>
        </row>
      </sheetData>
      <sheetData sheetId="3070">
        <row r="4">
          <cell r="I4">
            <v>0</v>
          </cell>
        </row>
      </sheetData>
      <sheetData sheetId="3071">
        <row r="4">
          <cell r="I4">
            <v>0</v>
          </cell>
        </row>
      </sheetData>
      <sheetData sheetId="3072">
        <row r="4">
          <cell r="I4">
            <v>0</v>
          </cell>
        </row>
      </sheetData>
      <sheetData sheetId="3073">
        <row r="4">
          <cell r="I4">
            <v>0</v>
          </cell>
        </row>
      </sheetData>
      <sheetData sheetId="3074">
        <row r="4">
          <cell r="I4">
            <v>0</v>
          </cell>
        </row>
      </sheetData>
      <sheetData sheetId="3075">
        <row r="4">
          <cell r="I4">
            <v>0</v>
          </cell>
        </row>
      </sheetData>
      <sheetData sheetId="3076">
        <row r="4">
          <cell r="I4">
            <v>0</v>
          </cell>
        </row>
      </sheetData>
      <sheetData sheetId="3077">
        <row r="4">
          <cell r="I4">
            <v>0</v>
          </cell>
        </row>
      </sheetData>
      <sheetData sheetId="3078">
        <row r="4">
          <cell r="I4">
            <v>0</v>
          </cell>
        </row>
      </sheetData>
      <sheetData sheetId="3079">
        <row r="4">
          <cell r="I4">
            <v>0</v>
          </cell>
        </row>
      </sheetData>
      <sheetData sheetId="3080">
        <row r="4">
          <cell r="I4">
            <v>0</v>
          </cell>
        </row>
      </sheetData>
      <sheetData sheetId="3081">
        <row r="4">
          <cell r="I4">
            <v>0</v>
          </cell>
        </row>
      </sheetData>
      <sheetData sheetId="3082">
        <row r="4">
          <cell r="I4">
            <v>0</v>
          </cell>
        </row>
      </sheetData>
      <sheetData sheetId="3083">
        <row r="4">
          <cell r="I4">
            <v>0</v>
          </cell>
        </row>
      </sheetData>
      <sheetData sheetId="3084">
        <row r="4">
          <cell r="I4">
            <v>0</v>
          </cell>
        </row>
      </sheetData>
      <sheetData sheetId="3085">
        <row r="4">
          <cell r="I4">
            <v>0</v>
          </cell>
        </row>
      </sheetData>
      <sheetData sheetId="3086">
        <row r="4">
          <cell r="I4">
            <v>0</v>
          </cell>
        </row>
      </sheetData>
      <sheetData sheetId="3087">
        <row r="4">
          <cell r="I4">
            <v>0</v>
          </cell>
        </row>
      </sheetData>
      <sheetData sheetId="3088">
        <row r="4">
          <cell r="I4">
            <v>0</v>
          </cell>
        </row>
      </sheetData>
      <sheetData sheetId="3089">
        <row r="4">
          <cell r="I4">
            <v>0</v>
          </cell>
        </row>
      </sheetData>
      <sheetData sheetId="3090">
        <row r="4">
          <cell r="I4">
            <v>0</v>
          </cell>
        </row>
      </sheetData>
      <sheetData sheetId="3091">
        <row r="4">
          <cell r="I4">
            <v>0</v>
          </cell>
        </row>
      </sheetData>
      <sheetData sheetId="3092">
        <row r="4">
          <cell r="I4">
            <v>0</v>
          </cell>
        </row>
      </sheetData>
      <sheetData sheetId="3093">
        <row r="4">
          <cell r="I4">
            <v>0</v>
          </cell>
        </row>
      </sheetData>
      <sheetData sheetId="3094">
        <row r="4">
          <cell r="I4">
            <v>0</v>
          </cell>
        </row>
      </sheetData>
      <sheetData sheetId="3095">
        <row r="4">
          <cell r="I4">
            <v>0</v>
          </cell>
        </row>
      </sheetData>
      <sheetData sheetId="3096">
        <row r="4">
          <cell r="I4">
            <v>0</v>
          </cell>
        </row>
      </sheetData>
      <sheetData sheetId="3097">
        <row r="4">
          <cell r="I4">
            <v>0</v>
          </cell>
        </row>
      </sheetData>
      <sheetData sheetId="3098">
        <row r="4">
          <cell r="I4">
            <v>0</v>
          </cell>
        </row>
      </sheetData>
      <sheetData sheetId="3099">
        <row r="4">
          <cell r="I4">
            <v>0</v>
          </cell>
        </row>
      </sheetData>
      <sheetData sheetId="3100">
        <row r="4">
          <cell r="I4">
            <v>0</v>
          </cell>
        </row>
      </sheetData>
      <sheetData sheetId="3101">
        <row r="4">
          <cell r="I4">
            <v>0</v>
          </cell>
        </row>
      </sheetData>
      <sheetData sheetId="3102">
        <row r="4">
          <cell r="I4">
            <v>0</v>
          </cell>
        </row>
      </sheetData>
      <sheetData sheetId="3103">
        <row r="4">
          <cell r="I4">
            <v>0</v>
          </cell>
        </row>
      </sheetData>
      <sheetData sheetId="3104">
        <row r="4">
          <cell r="I4">
            <v>0</v>
          </cell>
        </row>
      </sheetData>
      <sheetData sheetId="3105">
        <row r="4">
          <cell r="I4">
            <v>0</v>
          </cell>
        </row>
      </sheetData>
      <sheetData sheetId="3106">
        <row r="4">
          <cell r="I4">
            <v>0</v>
          </cell>
        </row>
      </sheetData>
      <sheetData sheetId="3107">
        <row r="4">
          <cell r="I4">
            <v>0</v>
          </cell>
        </row>
      </sheetData>
      <sheetData sheetId="3108">
        <row r="4">
          <cell r="I4">
            <v>0</v>
          </cell>
        </row>
      </sheetData>
      <sheetData sheetId="3109">
        <row r="4">
          <cell r="I4">
            <v>0</v>
          </cell>
        </row>
      </sheetData>
      <sheetData sheetId="3110">
        <row r="4">
          <cell r="I4">
            <v>0</v>
          </cell>
        </row>
      </sheetData>
      <sheetData sheetId="3111">
        <row r="4">
          <cell r="I4">
            <v>0</v>
          </cell>
        </row>
      </sheetData>
      <sheetData sheetId="3112">
        <row r="4">
          <cell r="I4">
            <v>0</v>
          </cell>
        </row>
      </sheetData>
      <sheetData sheetId="3113">
        <row r="4">
          <cell r="I4">
            <v>0</v>
          </cell>
        </row>
      </sheetData>
      <sheetData sheetId="3114">
        <row r="4">
          <cell r="I4">
            <v>0</v>
          </cell>
        </row>
      </sheetData>
      <sheetData sheetId="3115">
        <row r="4">
          <cell r="I4">
            <v>0</v>
          </cell>
        </row>
      </sheetData>
      <sheetData sheetId="3116">
        <row r="4">
          <cell r="I4">
            <v>0</v>
          </cell>
        </row>
      </sheetData>
      <sheetData sheetId="3117">
        <row r="4">
          <cell r="I4">
            <v>0</v>
          </cell>
        </row>
      </sheetData>
      <sheetData sheetId="3118">
        <row r="4">
          <cell r="I4">
            <v>0</v>
          </cell>
        </row>
      </sheetData>
      <sheetData sheetId="3119">
        <row r="4">
          <cell r="I4">
            <v>0</v>
          </cell>
        </row>
      </sheetData>
      <sheetData sheetId="3120">
        <row r="4">
          <cell r="I4">
            <v>0</v>
          </cell>
        </row>
      </sheetData>
      <sheetData sheetId="3121">
        <row r="4">
          <cell r="I4">
            <v>0</v>
          </cell>
        </row>
      </sheetData>
      <sheetData sheetId="3122">
        <row r="4">
          <cell r="I4">
            <v>0</v>
          </cell>
        </row>
      </sheetData>
      <sheetData sheetId="3123">
        <row r="4">
          <cell r="I4">
            <v>0</v>
          </cell>
        </row>
      </sheetData>
      <sheetData sheetId="3124">
        <row r="4">
          <cell r="I4">
            <v>0</v>
          </cell>
        </row>
      </sheetData>
      <sheetData sheetId="3125">
        <row r="4">
          <cell r="I4">
            <v>0</v>
          </cell>
        </row>
      </sheetData>
      <sheetData sheetId="3126">
        <row r="4">
          <cell r="I4">
            <v>0</v>
          </cell>
        </row>
      </sheetData>
      <sheetData sheetId="3127">
        <row r="4">
          <cell r="I4">
            <v>0</v>
          </cell>
        </row>
      </sheetData>
      <sheetData sheetId="3128">
        <row r="4">
          <cell r="I4">
            <v>0</v>
          </cell>
        </row>
      </sheetData>
      <sheetData sheetId="3129">
        <row r="4">
          <cell r="I4">
            <v>0</v>
          </cell>
        </row>
      </sheetData>
      <sheetData sheetId="3130">
        <row r="4">
          <cell r="I4">
            <v>0</v>
          </cell>
        </row>
      </sheetData>
      <sheetData sheetId="3131">
        <row r="4">
          <cell r="I4">
            <v>0</v>
          </cell>
        </row>
      </sheetData>
      <sheetData sheetId="3132">
        <row r="4">
          <cell r="I4">
            <v>0</v>
          </cell>
        </row>
      </sheetData>
      <sheetData sheetId="3133">
        <row r="4">
          <cell r="I4">
            <v>0</v>
          </cell>
        </row>
      </sheetData>
      <sheetData sheetId="3134">
        <row r="4">
          <cell r="I4">
            <v>0</v>
          </cell>
        </row>
      </sheetData>
      <sheetData sheetId="3135">
        <row r="4">
          <cell r="I4">
            <v>0</v>
          </cell>
        </row>
      </sheetData>
      <sheetData sheetId="3136">
        <row r="4">
          <cell r="I4">
            <v>0</v>
          </cell>
        </row>
      </sheetData>
      <sheetData sheetId="3137">
        <row r="4">
          <cell r="I4">
            <v>0</v>
          </cell>
        </row>
      </sheetData>
      <sheetData sheetId="3138">
        <row r="4">
          <cell r="I4">
            <v>0</v>
          </cell>
        </row>
      </sheetData>
      <sheetData sheetId="3139">
        <row r="4">
          <cell r="I4">
            <v>0</v>
          </cell>
        </row>
      </sheetData>
      <sheetData sheetId="3140">
        <row r="4">
          <cell r="I4">
            <v>0</v>
          </cell>
        </row>
      </sheetData>
      <sheetData sheetId="3141">
        <row r="4">
          <cell r="I4">
            <v>0</v>
          </cell>
        </row>
      </sheetData>
      <sheetData sheetId="3142">
        <row r="4">
          <cell r="I4">
            <v>0</v>
          </cell>
        </row>
      </sheetData>
      <sheetData sheetId="3143">
        <row r="4">
          <cell r="I4">
            <v>0</v>
          </cell>
        </row>
      </sheetData>
      <sheetData sheetId="3144">
        <row r="4">
          <cell r="I4">
            <v>0</v>
          </cell>
        </row>
      </sheetData>
      <sheetData sheetId="3145">
        <row r="4">
          <cell r="I4">
            <v>0</v>
          </cell>
        </row>
      </sheetData>
      <sheetData sheetId="3146">
        <row r="4">
          <cell r="I4">
            <v>0</v>
          </cell>
        </row>
      </sheetData>
      <sheetData sheetId="3147">
        <row r="4">
          <cell r="I4">
            <v>0</v>
          </cell>
        </row>
      </sheetData>
      <sheetData sheetId="3148">
        <row r="4">
          <cell r="I4">
            <v>0</v>
          </cell>
        </row>
      </sheetData>
      <sheetData sheetId="3149">
        <row r="4">
          <cell r="I4">
            <v>0</v>
          </cell>
        </row>
      </sheetData>
      <sheetData sheetId="3150">
        <row r="4">
          <cell r="I4">
            <v>0</v>
          </cell>
        </row>
      </sheetData>
      <sheetData sheetId="3151">
        <row r="4">
          <cell r="I4">
            <v>0</v>
          </cell>
        </row>
      </sheetData>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ow r="4">
          <cell r="I4">
            <v>0</v>
          </cell>
        </row>
      </sheetData>
      <sheetData sheetId="3177">
        <row r="4">
          <cell r="I4">
            <v>0</v>
          </cell>
        </row>
      </sheetData>
      <sheetData sheetId="3178">
        <row r="4">
          <cell r="I4">
            <v>0</v>
          </cell>
        </row>
      </sheetData>
      <sheetData sheetId="3179">
        <row r="4">
          <cell r="I4">
            <v>0</v>
          </cell>
        </row>
      </sheetData>
      <sheetData sheetId="3180">
        <row r="4">
          <cell r="I4">
            <v>0</v>
          </cell>
        </row>
      </sheetData>
      <sheetData sheetId="3181">
        <row r="4">
          <cell r="I4">
            <v>0</v>
          </cell>
        </row>
      </sheetData>
      <sheetData sheetId="3182">
        <row r="4">
          <cell r="I4">
            <v>0</v>
          </cell>
        </row>
      </sheetData>
      <sheetData sheetId="3183">
        <row r="4">
          <cell r="I4">
            <v>0</v>
          </cell>
        </row>
      </sheetData>
      <sheetData sheetId="3184">
        <row r="4">
          <cell r="I4">
            <v>0</v>
          </cell>
        </row>
      </sheetData>
      <sheetData sheetId="3185">
        <row r="4">
          <cell r="I4">
            <v>0</v>
          </cell>
        </row>
      </sheetData>
      <sheetData sheetId="3186">
        <row r="4">
          <cell r="I4">
            <v>0</v>
          </cell>
        </row>
      </sheetData>
      <sheetData sheetId="3187">
        <row r="4">
          <cell r="I4">
            <v>0</v>
          </cell>
        </row>
      </sheetData>
      <sheetData sheetId="3188">
        <row r="4">
          <cell r="I4">
            <v>0</v>
          </cell>
        </row>
      </sheetData>
      <sheetData sheetId="3189">
        <row r="4">
          <cell r="I4">
            <v>0</v>
          </cell>
        </row>
      </sheetData>
      <sheetData sheetId="3190">
        <row r="4">
          <cell r="I4">
            <v>0</v>
          </cell>
        </row>
      </sheetData>
      <sheetData sheetId="3191">
        <row r="4">
          <cell r="I4">
            <v>0</v>
          </cell>
        </row>
      </sheetData>
      <sheetData sheetId="3192">
        <row r="4">
          <cell r="I4">
            <v>0</v>
          </cell>
        </row>
      </sheetData>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ow r="4">
          <cell r="I4">
            <v>0</v>
          </cell>
        </row>
      </sheetData>
      <sheetData sheetId="3234">
        <row r="4">
          <cell r="I4">
            <v>0</v>
          </cell>
        </row>
      </sheetData>
      <sheetData sheetId="3235">
        <row r="4">
          <cell r="I4">
            <v>0</v>
          </cell>
        </row>
      </sheetData>
      <sheetData sheetId="3236">
        <row r="4">
          <cell r="I4">
            <v>0</v>
          </cell>
        </row>
      </sheetData>
      <sheetData sheetId="3237">
        <row r="4">
          <cell r="I4">
            <v>0</v>
          </cell>
        </row>
      </sheetData>
      <sheetData sheetId="3238">
        <row r="4">
          <cell r="I4">
            <v>0</v>
          </cell>
        </row>
      </sheetData>
      <sheetData sheetId="3239">
        <row r="4">
          <cell r="I4">
            <v>0</v>
          </cell>
        </row>
      </sheetData>
      <sheetData sheetId="3240">
        <row r="4">
          <cell r="I4">
            <v>0</v>
          </cell>
        </row>
      </sheetData>
      <sheetData sheetId="3241">
        <row r="4">
          <cell r="I4">
            <v>0</v>
          </cell>
        </row>
      </sheetData>
      <sheetData sheetId="3242">
        <row r="4">
          <cell r="I4">
            <v>0</v>
          </cell>
        </row>
      </sheetData>
      <sheetData sheetId="3243">
        <row r="4">
          <cell r="I4">
            <v>0</v>
          </cell>
        </row>
      </sheetData>
      <sheetData sheetId="3244">
        <row r="4">
          <cell r="I4">
            <v>0</v>
          </cell>
        </row>
      </sheetData>
      <sheetData sheetId="3245">
        <row r="4">
          <cell r="I4">
            <v>0</v>
          </cell>
        </row>
      </sheetData>
      <sheetData sheetId="3246">
        <row r="4">
          <cell r="I4">
            <v>0</v>
          </cell>
        </row>
      </sheetData>
      <sheetData sheetId="3247">
        <row r="4">
          <cell r="I4">
            <v>0</v>
          </cell>
        </row>
      </sheetData>
      <sheetData sheetId="3248">
        <row r="4">
          <cell r="I4">
            <v>0</v>
          </cell>
        </row>
      </sheetData>
      <sheetData sheetId="3249">
        <row r="4">
          <cell r="I4">
            <v>0</v>
          </cell>
        </row>
      </sheetData>
      <sheetData sheetId="3250">
        <row r="4">
          <cell r="I4">
            <v>0</v>
          </cell>
        </row>
      </sheetData>
      <sheetData sheetId="3251">
        <row r="4">
          <cell r="I4">
            <v>0</v>
          </cell>
        </row>
      </sheetData>
      <sheetData sheetId="3252">
        <row r="4">
          <cell r="I4">
            <v>0</v>
          </cell>
        </row>
      </sheetData>
      <sheetData sheetId="3253">
        <row r="4">
          <cell r="I4">
            <v>0</v>
          </cell>
        </row>
      </sheetData>
      <sheetData sheetId="3254">
        <row r="4">
          <cell r="I4">
            <v>0</v>
          </cell>
        </row>
      </sheetData>
      <sheetData sheetId="3255">
        <row r="4">
          <cell r="I4">
            <v>0</v>
          </cell>
        </row>
      </sheetData>
      <sheetData sheetId="3256">
        <row r="4">
          <cell r="I4">
            <v>0</v>
          </cell>
        </row>
      </sheetData>
      <sheetData sheetId="3257">
        <row r="4">
          <cell r="I4">
            <v>0</v>
          </cell>
        </row>
      </sheetData>
      <sheetData sheetId="3258">
        <row r="4">
          <cell r="I4">
            <v>0</v>
          </cell>
        </row>
      </sheetData>
      <sheetData sheetId="3259">
        <row r="4">
          <cell r="I4">
            <v>0</v>
          </cell>
        </row>
      </sheetData>
      <sheetData sheetId="3260">
        <row r="4">
          <cell r="I4">
            <v>0</v>
          </cell>
        </row>
      </sheetData>
      <sheetData sheetId="3261">
        <row r="4">
          <cell r="I4">
            <v>0</v>
          </cell>
        </row>
      </sheetData>
      <sheetData sheetId="3262">
        <row r="4">
          <cell r="I4">
            <v>0</v>
          </cell>
        </row>
      </sheetData>
      <sheetData sheetId="3263">
        <row r="4">
          <cell r="I4">
            <v>0</v>
          </cell>
        </row>
      </sheetData>
      <sheetData sheetId="3264">
        <row r="4">
          <cell r="I4">
            <v>0</v>
          </cell>
        </row>
      </sheetData>
      <sheetData sheetId="3265">
        <row r="4">
          <cell r="I4">
            <v>0</v>
          </cell>
        </row>
      </sheetData>
      <sheetData sheetId="3266">
        <row r="4">
          <cell r="I4">
            <v>0</v>
          </cell>
        </row>
      </sheetData>
      <sheetData sheetId="3267">
        <row r="4">
          <cell r="I4">
            <v>0</v>
          </cell>
        </row>
      </sheetData>
      <sheetData sheetId="3268">
        <row r="4">
          <cell r="I4">
            <v>0</v>
          </cell>
        </row>
      </sheetData>
      <sheetData sheetId="3269">
        <row r="4">
          <cell r="I4">
            <v>0</v>
          </cell>
        </row>
      </sheetData>
      <sheetData sheetId="3270">
        <row r="4">
          <cell r="I4">
            <v>0</v>
          </cell>
        </row>
      </sheetData>
      <sheetData sheetId="3271">
        <row r="4">
          <cell r="I4">
            <v>0</v>
          </cell>
        </row>
      </sheetData>
      <sheetData sheetId="3272">
        <row r="4">
          <cell r="I4">
            <v>0</v>
          </cell>
        </row>
      </sheetData>
      <sheetData sheetId="3273">
        <row r="4">
          <cell r="I4">
            <v>0</v>
          </cell>
        </row>
      </sheetData>
      <sheetData sheetId="3274">
        <row r="4">
          <cell r="I4">
            <v>0</v>
          </cell>
        </row>
      </sheetData>
      <sheetData sheetId="3275">
        <row r="4">
          <cell r="I4">
            <v>0</v>
          </cell>
        </row>
      </sheetData>
      <sheetData sheetId="3276">
        <row r="4">
          <cell r="I4">
            <v>0</v>
          </cell>
        </row>
      </sheetData>
      <sheetData sheetId="3277" refreshError="1"/>
      <sheetData sheetId="3278" refreshError="1"/>
      <sheetData sheetId="3279" refreshError="1"/>
      <sheetData sheetId="3280" refreshError="1"/>
      <sheetData sheetId="3281" refreshError="1"/>
      <sheetData sheetId="3282">
        <row r="4">
          <cell r="I4">
            <v>0</v>
          </cell>
        </row>
      </sheetData>
      <sheetData sheetId="3283">
        <row r="4">
          <cell r="I4">
            <v>0</v>
          </cell>
        </row>
      </sheetData>
      <sheetData sheetId="3284">
        <row r="4">
          <cell r="I4">
            <v>0</v>
          </cell>
        </row>
      </sheetData>
      <sheetData sheetId="3285">
        <row r="4">
          <cell r="I4">
            <v>0</v>
          </cell>
        </row>
      </sheetData>
      <sheetData sheetId="3286">
        <row r="4">
          <cell r="I4">
            <v>0</v>
          </cell>
        </row>
      </sheetData>
      <sheetData sheetId="3287">
        <row r="4">
          <cell r="I4">
            <v>0</v>
          </cell>
        </row>
      </sheetData>
      <sheetData sheetId="3288">
        <row r="4">
          <cell r="I4">
            <v>0</v>
          </cell>
        </row>
      </sheetData>
      <sheetData sheetId="3289">
        <row r="4">
          <cell r="I4">
            <v>0</v>
          </cell>
        </row>
      </sheetData>
      <sheetData sheetId="3290">
        <row r="4">
          <cell r="I4">
            <v>0</v>
          </cell>
        </row>
      </sheetData>
      <sheetData sheetId="3291">
        <row r="4">
          <cell r="I4">
            <v>0</v>
          </cell>
        </row>
      </sheetData>
      <sheetData sheetId="3292">
        <row r="4">
          <cell r="I4">
            <v>0</v>
          </cell>
        </row>
      </sheetData>
      <sheetData sheetId="3293">
        <row r="4">
          <cell r="I4">
            <v>0</v>
          </cell>
        </row>
      </sheetData>
      <sheetData sheetId="3294">
        <row r="4">
          <cell r="I4">
            <v>0</v>
          </cell>
        </row>
      </sheetData>
      <sheetData sheetId="3295" refreshError="1"/>
      <sheetData sheetId="3296">
        <row r="4">
          <cell r="I4">
            <v>0</v>
          </cell>
        </row>
      </sheetData>
      <sheetData sheetId="3297" refreshError="1"/>
      <sheetData sheetId="3298" refreshError="1"/>
      <sheetData sheetId="3299">
        <row r="4">
          <cell r="I4">
            <v>0</v>
          </cell>
        </row>
      </sheetData>
      <sheetData sheetId="3300">
        <row r="4">
          <cell r="I4">
            <v>0</v>
          </cell>
        </row>
      </sheetData>
      <sheetData sheetId="3301">
        <row r="4">
          <cell r="I4">
            <v>0</v>
          </cell>
        </row>
      </sheetData>
      <sheetData sheetId="3302">
        <row r="4">
          <cell r="I4">
            <v>0</v>
          </cell>
        </row>
      </sheetData>
      <sheetData sheetId="3303" refreshError="1"/>
      <sheetData sheetId="3304" refreshError="1"/>
      <sheetData sheetId="3305" refreshError="1"/>
      <sheetData sheetId="3306">
        <row r="4">
          <cell r="I4">
            <v>0</v>
          </cell>
        </row>
      </sheetData>
      <sheetData sheetId="3307">
        <row r="4">
          <cell r="I4">
            <v>0</v>
          </cell>
        </row>
      </sheetData>
      <sheetData sheetId="3308">
        <row r="4">
          <cell r="I4">
            <v>0</v>
          </cell>
        </row>
      </sheetData>
      <sheetData sheetId="3309">
        <row r="4">
          <cell r="I4">
            <v>0</v>
          </cell>
        </row>
      </sheetData>
      <sheetData sheetId="3310">
        <row r="4">
          <cell r="I4">
            <v>0</v>
          </cell>
        </row>
      </sheetData>
      <sheetData sheetId="3311">
        <row r="4">
          <cell r="I4">
            <v>0</v>
          </cell>
        </row>
      </sheetData>
      <sheetData sheetId="3312">
        <row r="4">
          <cell r="I4">
            <v>0</v>
          </cell>
        </row>
      </sheetData>
      <sheetData sheetId="3313">
        <row r="4">
          <cell r="I4">
            <v>0</v>
          </cell>
        </row>
      </sheetData>
      <sheetData sheetId="3314">
        <row r="4">
          <cell r="I4">
            <v>0</v>
          </cell>
        </row>
      </sheetData>
      <sheetData sheetId="3315" refreshError="1"/>
      <sheetData sheetId="3316">
        <row r="4">
          <cell r="I4">
            <v>0</v>
          </cell>
        </row>
      </sheetData>
      <sheetData sheetId="3317" refreshError="1"/>
      <sheetData sheetId="3318" refreshError="1"/>
      <sheetData sheetId="3319" refreshError="1"/>
      <sheetData sheetId="3320" refreshError="1"/>
      <sheetData sheetId="3321" refreshError="1"/>
      <sheetData sheetId="3322">
        <row r="4">
          <cell r="I4">
            <v>0</v>
          </cell>
        </row>
      </sheetData>
      <sheetData sheetId="3323">
        <row r="4">
          <cell r="I4">
            <v>0</v>
          </cell>
        </row>
      </sheetData>
      <sheetData sheetId="3324">
        <row r="4">
          <cell r="I4">
            <v>0</v>
          </cell>
        </row>
      </sheetData>
      <sheetData sheetId="3325">
        <row r="4">
          <cell r="I4">
            <v>0</v>
          </cell>
        </row>
      </sheetData>
      <sheetData sheetId="3326">
        <row r="4">
          <cell r="I4">
            <v>0</v>
          </cell>
        </row>
      </sheetData>
      <sheetData sheetId="3327">
        <row r="4">
          <cell r="I4">
            <v>0</v>
          </cell>
        </row>
      </sheetData>
      <sheetData sheetId="3328">
        <row r="4">
          <cell r="I4">
            <v>0</v>
          </cell>
        </row>
      </sheetData>
      <sheetData sheetId="3329">
        <row r="4">
          <cell r="I4">
            <v>0</v>
          </cell>
        </row>
      </sheetData>
      <sheetData sheetId="3330">
        <row r="4">
          <cell r="I4">
            <v>0</v>
          </cell>
        </row>
      </sheetData>
      <sheetData sheetId="3331" refreshError="1"/>
      <sheetData sheetId="3332">
        <row r="4">
          <cell r="I4">
            <v>0</v>
          </cell>
        </row>
      </sheetData>
      <sheetData sheetId="3333">
        <row r="4">
          <cell r="I4">
            <v>0</v>
          </cell>
        </row>
      </sheetData>
      <sheetData sheetId="3334">
        <row r="4">
          <cell r="I4">
            <v>0</v>
          </cell>
        </row>
      </sheetData>
      <sheetData sheetId="3335">
        <row r="4">
          <cell r="I4">
            <v>0</v>
          </cell>
        </row>
      </sheetData>
      <sheetData sheetId="3336">
        <row r="4">
          <cell r="I4">
            <v>0</v>
          </cell>
        </row>
      </sheetData>
      <sheetData sheetId="3337">
        <row r="4">
          <cell r="I4">
            <v>0</v>
          </cell>
        </row>
      </sheetData>
      <sheetData sheetId="3338">
        <row r="4">
          <cell r="I4">
            <v>0</v>
          </cell>
        </row>
      </sheetData>
      <sheetData sheetId="3339">
        <row r="4">
          <cell r="I4">
            <v>0</v>
          </cell>
        </row>
      </sheetData>
      <sheetData sheetId="3340">
        <row r="4">
          <cell r="I4">
            <v>0</v>
          </cell>
        </row>
      </sheetData>
      <sheetData sheetId="3341">
        <row r="4">
          <cell r="I4">
            <v>0</v>
          </cell>
        </row>
      </sheetData>
      <sheetData sheetId="3342">
        <row r="4">
          <cell r="I4">
            <v>0</v>
          </cell>
        </row>
      </sheetData>
      <sheetData sheetId="3343">
        <row r="4">
          <cell r="I4">
            <v>0</v>
          </cell>
        </row>
      </sheetData>
      <sheetData sheetId="3344">
        <row r="4">
          <cell r="I4">
            <v>0</v>
          </cell>
        </row>
      </sheetData>
      <sheetData sheetId="3345">
        <row r="4">
          <cell r="I4">
            <v>0</v>
          </cell>
        </row>
      </sheetData>
      <sheetData sheetId="3346">
        <row r="4">
          <cell r="I4">
            <v>0</v>
          </cell>
        </row>
      </sheetData>
      <sheetData sheetId="3347">
        <row r="4">
          <cell r="I4">
            <v>0</v>
          </cell>
        </row>
      </sheetData>
      <sheetData sheetId="3348">
        <row r="4">
          <cell r="I4">
            <v>0</v>
          </cell>
        </row>
      </sheetData>
      <sheetData sheetId="3349">
        <row r="4">
          <cell r="I4">
            <v>0</v>
          </cell>
        </row>
      </sheetData>
      <sheetData sheetId="3350">
        <row r="4">
          <cell r="I4">
            <v>0</v>
          </cell>
        </row>
      </sheetData>
      <sheetData sheetId="3351">
        <row r="4">
          <cell r="I4">
            <v>0</v>
          </cell>
        </row>
      </sheetData>
      <sheetData sheetId="3352">
        <row r="4">
          <cell r="I4">
            <v>0</v>
          </cell>
        </row>
      </sheetData>
      <sheetData sheetId="3353">
        <row r="4">
          <cell r="I4">
            <v>0</v>
          </cell>
        </row>
      </sheetData>
      <sheetData sheetId="3354" refreshError="1"/>
      <sheetData sheetId="3355">
        <row r="4">
          <cell r="I4">
            <v>0</v>
          </cell>
        </row>
      </sheetData>
      <sheetData sheetId="3356">
        <row r="4">
          <cell r="I4">
            <v>0</v>
          </cell>
        </row>
      </sheetData>
      <sheetData sheetId="3357">
        <row r="4">
          <cell r="I4">
            <v>0</v>
          </cell>
        </row>
      </sheetData>
      <sheetData sheetId="3358">
        <row r="4">
          <cell r="I4">
            <v>0</v>
          </cell>
        </row>
      </sheetData>
      <sheetData sheetId="3359">
        <row r="4">
          <cell r="I4">
            <v>0</v>
          </cell>
        </row>
      </sheetData>
      <sheetData sheetId="3360">
        <row r="4">
          <cell r="I4">
            <v>0</v>
          </cell>
        </row>
      </sheetData>
      <sheetData sheetId="3361">
        <row r="4">
          <cell r="I4">
            <v>0</v>
          </cell>
        </row>
      </sheetData>
      <sheetData sheetId="3362">
        <row r="4">
          <cell r="I4">
            <v>0</v>
          </cell>
        </row>
      </sheetData>
      <sheetData sheetId="3363">
        <row r="4">
          <cell r="I4">
            <v>0</v>
          </cell>
        </row>
      </sheetData>
      <sheetData sheetId="3364">
        <row r="4">
          <cell r="I4">
            <v>0</v>
          </cell>
        </row>
      </sheetData>
      <sheetData sheetId="3365">
        <row r="4">
          <cell r="I4">
            <v>0</v>
          </cell>
        </row>
      </sheetData>
      <sheetData sheetId="3366">
        <row r="4">
          <cell r="I4">
            <v>0</v>
          </cell>
        </row>
      </sheetData>
      <sheetData sheetId="3367">
        <row r="4">
          <cell r="I4">
            <v>0</v>
          </cell>
        </row>
      </sheetData>
      <sheetData sheetId="3368">
        <row r="4">
          <cell r="I4">
            <v>0</v>
          </cell>
        </row>
      </sheetData>
      <sheetData sheetId="3369">
        <row r="4">
          <cell r="I4">
            <v>0</v>
          </cell>
        </row>
      </sheetData>
      <sheetData sheetId="3370">
        <row r="4">
          <cell r="I4">
            <v>0</v>
          </cell>
        </row>
      </sheetData>
      <sheetData sheetId="3371">
        <row r="4">
          <cell r="I4">
            <v>0</v>
          </cell>
        </row>
      </sheetData>
      <sheetData sheetId="3372">
        <row r="4">
          <cell r="I4">
            <v>0</v>
          </cell>
        </row>
      </sheetData>
      <sheetData sheetId="3373">
        <row r="4">
          <cell r="I4">
            <v>0</v>
          </cell>
        </row>
      </sheetData>
      <sheetData sheetId="3374">
        <row r="4">
          <cell r="I4">
            <v>0</v>
          </cell>
        </row>
      </sheetData>
      <sheetData sheetId="3375">
        <row r="4">
          <cell r="I4">
            <v>0</v>
          </cell>
        </row>
      </sheetData>
      <sheetData sheetId="3376">
        <row r="4">
          <cell r="I4">
            <v>0</v>
          </cell>
        </row>
      </sheetData>
      <sheetData sheetId="3377">
        <row r="4">
          <cell r="I4">
            <v>0</v>
          </cell>
        </row>
      </sheetData>
      <sheetData sheetId="3378">
        <row r="4">
          <cell r="I4">
            <v>0</v>
          </cell>
        </row>
      </sheetData>
      <sheetData sheetId="3379" refreshError="1"/>
      <sheetData sheetId="3380" refreshError="1"/>
      <sheetData sheetId="3381" refreshError="1"/>
      <sheetData sheetId="3382" refreshError="1"/>
      <sheetData sheetId="3383" refreshError="1"/>
      <sheetData sheetId="3384"/>
      <sheetData sheetId="3385" refreshError="1"/>
      <sheetData sheetId="3386"/>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ow r="4">
          <cell r="I4">
            <v>0</v>
          </cell>
        </row>
      </sheetData>
      <sheetData sheetId="3398">
        <row r="4">
          <cell r="I4">
            <v>0</v>
          </cell>
        </row>
      </sheetData>
      <sheetData sheetId="3399">
        <row r="4">
          <cell r="I4">
            <v>0</v>
          </cell>
        </row>
      </sheetData>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ow r="4">
          <cell r="I4">
            <v>0</v>
          </cell>
        </row>
      </sheetData>
      <sheetData sheetId="3409">
        <row r="4">
          <cell r="I4">
            <v>0</v>
          </cell>
        </row>
      </sheetData>
      <sheetData sheetId="3410">
        <row r="4">
          <cell r="I4">
            <v>0</v>
          </cell>
        </row>
      </sheetData>
      <sheetData sheetId="3411">
        <row r="4">
          <cell r="I4">
            <v>0</v>
          </cell>
        </row>
      </sheetData>
      <sheetData sheetId="3412">
        <row r="4">
          <cell r="I4">
            <v>0</v>
          </cell>
        </row>
      </sheetData>
      <sheetData sheetId="3413">
        <row r="4">
          <cell r="I4">
            <v>0</v>
          </cell>
        </row>
      </sheetData>
      <sheetData sheetId="3414">
        <row r="4">
          <cell r="I4">
            <v>0</v>
          </cell>
        </row>
      </sheetData>
      <sheetData sheetId="3415" refreshError="1"/>
      <sheetData sheetId="3416" refreshError="1"/>
      <sheetData sheetId="3417" refreshError="1"/>
      <sheetData sheetId="3418">
        <row r="4">
          <cell r="I4">
            <v>0</v>
          </cell>
        </row>
      </sheetData>
      <sheetData sheetId="3419">
        <row r="4">
          <cell r="I4">
            <v>0</v>
          </cell>
        </row>
      </sheetData>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ow r="4">
          <cell r="I4">
            <v>0</v>
          </cell>
        </row>
      </sheetData>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ow r="4">
          <cell r="I4">
            <v>0</v>
          </cell>
        </row>
      </sheetData>
      <sheetData sheetId="3536">
        <row r="4">
          <cell r="I4">
            <v>0</v>
          </cell>
        </row>
      </sheetData>
      <sheetData sheetId="3537">
        <row r="4">
          <cell r="I4">
            <v>0</v>
          </cell>
        </row>
      </sheetData>
      <sheetData sheetId="3538">
        <row r="4">
          <cell r="I4">
            <v>0</v>
          </cell>
        </row>
      </sheetData>
      <sheetData sheetId="3539">
        <row r="4">
          <cell r="I4">
            <v>0</v>
          </cell>
        </row>
      </sheetData>
      <sheetData sheetId="3540">
        <row r="4">
          <cell r="I4">
            <v>0</v>
          </cell>
        </row>
      </sheetData>
      <sheetData sheetId="3541">
        <row r="4">
          <cell r="I4">
            <v>0</v>
          </cell>
        </row>
      </sheetData>
      <sheetData sheetId="3542">
        <row r="4">
          <cell r="I4">
            <v>0</v>
          </cell>
        </row>
      </sheetData>
      <sheetData sheetId="3543">
        <row r="4">
          <cell r="I4">
            <v>0</v>
          </cell>
        </row>
      </sheetData>
      <sheetData sheetId="3544">
        <row r="4">
          <cell r="I4">
            <v>0</v>
          </cell>
        </row>
      </sheetData>
      <sheetData sheetId="3545">
        <row r="4">
          <cell r="I4">
            <v>0</v>
          </cell>
        </row>
      </sheetData>
      <sheetData sheetId="3546">
        <row r="4">
          <cell r="I4">
            <v>0</v>
          </cell>
        </row>
      </sheetData>
      <sheetData sheetId="3547">
        <row r="4">
          <cell r="I4">
            <v>0</v>
          </cell>
        </row>
      </sheetData>
      <sheetData sheetId="3548">
        <row r="4">
          <cell r="I4">
            <v>0</v>
          </cell>
        </row>
      </sheetData>
      <sheetData sheetId="3549">
        <row r="4">
          <cell r="I4">
            <v>0</v>
          </cell>
        </row>
      </sheetData>
      <sheetData sheetId="3550">
        <row r="4">
          <cell r="I4">
            <v>0</v>
          </cell>
        </row>
      </sheetData>
      <sheetData sheetId="3551">
        <row r="4">
          <cell r="I4">
            <v>0</v>
          </cell>
        </row>
      </sheetData>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ow r="4">
          <cell r="I4">
            <v>0</v>
          </cell>
        </row>
      </sheetData>
      <sheetData sheetId="3585">
        <row r="4">
          <cell r="I4">
            <v>0</v>
          </cell>
        </row>
      </sheetData>
      <sheetData sheetId="3586">
        <row r="4">
          <cell r="I4">
            <v>0</v>
          </cell>
        </row>
      </sheetData>
      <sheetData sheetId="3587">
        <row r="4">
          <cell r="I4">
            <v>0</v>
          </cell>
        </row>
      </sheetData>
      <sheetData sheetId="3588">
        <row r="4">
          <cell r="I4">
            <v>0</v>
          </cell>
        </row>
      </sheetData>
      <sheetData sheetId="3589">
        <row r="4">
          <cell r="I4">
            <v>0</v>
          </cell>
        </row>
      </sheetData>
      <sheetData sheetId="3590">
        <row r="4">
          <cell r="I4">
            <v>0</v>
          </cell>
        </row>
      </sheetData>
      <sheetData sheetId="3591">
        <row r="4">
          <cell r="I4">
            <v>0</v>
          </cell>
        </row>
      </sheetData>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ow r="4">
          <cell r="I4">
            <v>0</v>
          </cell>
        </row>
      </sheetData>
      <sheetData sheetId="3678" refreshError="1"/>
      <sheetData sheetId="3679" refreshError="1"/>
      <sheetData sheetId="3680" refreshError="1"/>
      <sheetData sheetId="3681" refreshError="1"/>
      <sheetData sheetId="3682">
        <row r="4">
          <cell r="I4">
            <v>0</v>
          </cell>
        </row>
      </sheetData>
      <sheetData sheetId="3683">
        <row r="4">
          <cell r="I4">
            <v>0</v>
          </cell>
        </row>
      </sheetData>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ow r="4">
          <cell r="I4">
            <v>0</v>
          </cell>
        </row>
      </sheetData>
      <sheetData sheetId="3714">
        <row r="4">
          <cell r="I4">
            <v>0</v>
          </cell>
        </row>
      </sheetData>
      <sheetData sheetId="3715">
        <row r="4">
          <cell r="I4">
            <v>0</v>
          </cell>
        </row>
      </sheetData>
      <sheetData sheetId="3716">
        <row r="4">
          <cell r="I4">
            <v>0</v>
          </cell>
        </row>
      </sheetData>
      <sheetData sheetId="3717">
        <row r="4">
          <cell r="I4">
            <v>0</v>
          </cell>
        </row>
      </sheetData>
      <sheetData sheetId="3718">
        <row r="4">
          <cell r="I4">
            <v>0</v>
          </cell>
        </row>
      </sheetData>
      <sheetData sheetId="3719">
        <row r="4">
          <cell r="I4">
            <v>0</v>
          </cell>
        </row>
      </sheetData>
      <sheetData sheetId="3720">
        <row r="4">
          <cell r="I4">
            <v>0</v>
          </cell>
        </row>
      </sheetData>
      <sheetData sheetId="3721">
        <row r="4">
          <cell r="I4">
            <v>0</v>
          </cell>
        </row>
      </sheetData>
      <sheetData sheetId="3722">
        <row r="4">
          <cell r="I4">
            <v>0</v>
          </cell>
        </row>
      </sheetData>
      <sheetData sheetId="3723">
        <row r="4">
          <cell r="I4">
            <v>0</v>
          </cell>
        </row>
      </sheetData>
      <sheetData sheetId="3724">
        <row r="4">
          <cell r="I4">
            <v>0</v>
          </cell>
        </row>
      </sheetData>
      <sheetData sheetId="3725">
        <row r="4">
          <cell r="I4">
            <v>0</v>
          </cell>
        </row>
      </sheetData>
      <sheetData sheetId="3726">
        <row r="4">
          <cell r="I4">
            <v>0</v>
          </cell>
        </row>
      </sheetData>
      <sheetData sheetId="3727">
        <row r="4">
          <cell r="I4">
            <v>0</v>
          </cell>
        </row>
      </sheetData>
      <sheetData sheetId="3728">
        <row r="4">
          <cell r="I4">
            <v>0</v>
          </cell>
        </row>
      </sheetData>
      <sheetData sheetId="3729">
        <row r="4">
          <cell r="I4">
            <v>0</v>
          </cell>
        </row>
      </sheetData>
      <sheetData sheetId="3730">
        <row r="4">
          <cell r="I4">
            <v>0</v>
          </cell>
        </row>
      </sheetData>
      <sheetData sheetId="3731">
        <row r="4">
          <cell r="I4">
            <v>0</v>
          </cell>
        </row>
      </sheetData>
      <sheetData sheetId="3732">
        <row r="4">
          <cell r="I4">
            <v>0</v>
          </cell>
        </row>
      </sheetData>
      <sheetData sheetId="3733">
        <row r="4">
          <cell r="I4">
            <v>0</v>
          </cell>
        </row>
      </sheetData>
      <sheetData sheetId="3734">
        <row r="4">
          <cell r="I4">
            <v>0</v>
          </cell>
        </row>
      </sheetData>
      <sheetData sheetId="3735">
        <row r="4">
          <cell r="I4">
            <v>0</v>
          </cell>
        </row>
      </sheetData>
      <sheetData sheetId="3736">
        <row r="4">
          <cell r="I4">
            <v>0</v>
          </cell>
        </row>
      </sheetData>
      <sheetData sheetId="3737">
        <row r="4">
          <cell r="I4">
            <v>0</v>
          </cell>
        </row>
      </sheetData>
      <sheetData sheetId="3738">
        <row r="4">
          <cell r="I4">
            <v>0</v>
          </cell>
        </row>
      </sheetData>
      <sheetData sheetId="3739">
        <row r="4">
          <cell r="I4">
            <v>0</v>
          </cell>
        </row>
      </sheetData>
      <sheetData sheetId="3740">
        <row r="4">
          <cell r="I4">
            <v>0</v>
          </cell>
        </row>
      </sheetData>
      <sheetData sheetId="3741">
        <row r="4">
          <cell r="I4">
            <v>0</v>
          </cell>
        </row>
      </sheetData>
      <sheetData sheetId="3742">
        <row r="4">
          <cell r="I4">
            <v>0</v>
          </cell>
        </row>
      </sheetData>
      <sheetData sheetId="3743">
        <row r="4">
          <cell r="I4">
            <v>0</v>
          </cell>
        </row>
      </sheetData>
      <sheetData sheetId="3744">
        <row r="4">
          <cell r="I4">
            <v>0</v>
          </cell>
        </row>
      </sheetData>
      <sheetData sheetId="3745">
        <row r="4">
          <cell r="I4">
            <v>0</v>
          </cell>
        </row>
      </sheetData>
      <sheetData sheetId="3746">
        <row r="4">
          <cell r="I4">
            <v>0</v>
          </cell>
        </row>
      </sheetData>
      <sheetData sheetId="3747">
        <row r="4">
          <cell r="I4">
            <v>0</v>
          </cell>
        </row>
      </sheetData>
      <sheetData sheetId="3748">
        <row r="4">
          <cell r="I4">
            <v>0</v>
          </cell>
        </row>
      </sheetData>
      <sheetData sheetId="3749">
        <row r="4">
          <cell r="I4">
            <v>0</v>
          </cell>
        </row>
      </sheetData>
      <sheetData sheetId="3750">
        <row r="4">
          <cell r="I4">
            <v>0</v>
          </cell>
        </row>
      </sheetData>
      <sheetData sheetId="3751">
        <row r="4">
          <cell r="I4">
            <v>0</v>
          </cell>
        </row>
      </sheetData>
      <sheetData sheetId="3752">
        <row r="4">
          <cell r="I4">
            <v>0</v>
          </cell>
        </row>
      </sheetData>
      <sheetData sheetId="3753">
        <row r="4">
          <cell r="I4">
            <v>0</v>
          </cell>
        </row>
      </sheetData>
      <sheetData sheetId="3754">
        <row r="4">
          <cell r="I4">
            <v>0</v>
          </cell>
        </row>
      </sheetData>
      <sheetData sheetId="3755">
        <row r="4">
          <cell r="I4">
            <v>0</v>
          </cell>
        </row>
      </sheetData>
      <sheetData sheetId="3756">
        <row r="4">
          <cell r="I4">
            <v>0</v>
          </cell>
        </row>
      </sheetData>
      <sheetData sheetId="3757">
        <row r="4">
          <cell r="I4">
            <v>0</v>
          </cell>
        </row>
      </sheetData>
      <sheetData sheetId="3758">
        <row r="4">
          <cell r="I4">
            <v>0</v>
          </cell>
        </row>
      </sheetData>
      <sheetData sheetId="3759">
        <row r="4">
          <cell r="I4">
            <v>0</v>
          </cell>
        </row>
      </sheetData>
      <sheetData sheetId="3760">
        <row r="4">
          <cell r="I4">
            <v>0</v>
          </cell>
        </row>
      </sheetData>
      <sheetData sheetId="3761">
        <row r="4">
          <cell r="I4">
            <v>0</v>
          </cell>
        </row>
      </sheetData>
      <sheetData sheetId="3762">
        <row r="4">
          <cell r="I4">
            <v>0</v>
          </cell>
        </row>
      </sheetData>
      <sheetData sheetId="3763">
        <row r="4">
          <cell r="I4">
            <v>0</v>
          </cell>
        </row>
      </sheetData>
      <sheetData sheetId="3764">
        <row r="4">
          <cell r="I4">
            <v>0</v>
          </cell>
        </row>
      </sheetData>
      <sheetData sheetId="3765">
        <row r="4">
          <cell r="I4">
            <v>0</v>
          </cell>
        </row>
      </sheetData>
      <sheetData sheetId="3766">
        <row r="4">
          <cell r="I4">
            <v>0</v>
          </cell>
        </row>
      </sheetData>
      <sheetData sheetId="3767">
        <row r="4">
          <cell r="I4">
            <v>0</v>
          </cell>
        </row>
      </sheetData>
      <sheetData sheetId="3768">
        <row r="4">
          <cell r="I4">
            <v>0</v>
          </cell>
        </row>
      </sheetData>
      <sheetData sheetId="3769">
        <row r="4">
          <cell r="I4">
            <v>0</v>
          </cell>
        </row>
      </sheetData>
      <sheetData sheetId="3770">
        <row r="4">
          <cell r="I4">
            <v>0</v>
          </cell>
        </row>
      </sheetData>
      <sheetData sheetId="3771">
        <row r="4">
          <cell r="I4">
            <v>0</v>
          </cell>
        </row>
      </sheetData>
      <sheetData sheetId="3772">
        <row r="4">
          <cell r="I4">
            <v>0</v>
          </cell>
        </row>
      </sheetData>
      <sheetData sheetId="3773">
        <row r="4">
          <cell r="I4">
            <v>0</v>
          </cell>
        </row>
      </sheetData>
      <sheetData sheetId="3774">
        <row r="4">
          <cell r="I4">
            <v>0</v>
          </cell>
        </row>
      </sheetData>
      <sheetData sheetId="3775">
        <row r="4">
          <cell r="I4">
            <v>0</v>
          </cell>
        </row>
      </sheetData>
      <sheetData sheetId="3776">
        <row r="4">
          <cell r="I4">
            <v>0</v>
          </cell>
        </row>
      </sheetData>
      <sheetData sheetId="3777">
        <row r="4">
          <cell r="I4">
            <v>0</v>
          </cell>
        </row>
      </sheetData>
      <sheetData sheetId="3778">
        <row r="4">
          <cell r="I4">
            <v>0</v>
          </cell>
        </row>
      </sheetData>
      <sheetData sheetId="3779">
        <row r="4">
          <cell r="I4">
            <v>0</v>
          </cell>
        </row>
      </sheetData>
      <sheetData sheetId="3780">
        <row r="4">
          <cell r="I4">
            <v>0</v>
          </cell>
        </row>
      </sheetData>
      <sheetData sheetId="3781">
        <row r="4">
          <cell r="I4">
            <v>0</v>
          </cell>
        </row>
      </sheetData>
      <sheetData sheetId="3782">
        <row r="4">
          <cell r="I4">
            <v>0</v>
          </cell>
        </row>
      </sheetData>
      <sheetData sheetId="3783">
        <row r="4">
          <cell r="I4">
            <v>0</v>
          </cell>
        </row>
      </sheetData>
      <sheetData sheetId="3784">
        <row r="4">
          <cell r="I4">
            <v>0</v>
          </cell>
        </row>
      </sheetData>
      <sheetData sheetId="3785">
        <row r="4">
          <cell r="I4">
            <v>0</v>
          </cell>
        </row>
      </sheetData>
      <sheetData sheetId="3786">
        <row r="4">
          <cell r="I4">
            <v>0</v>
          </cell>
        </row>
      </sheetData>
      <sheetData sheetId="3787">
        <row r="4">
          <cell r="I4">
            <v>0</v>
          </cell>
        </row>
      </sheetData>
      <sheetData sheetId="3788">
        <row r="4">
          <cell r="I4">
            <v>0</v>
          </cell>
        </row>
      </sheetData>
      <sheetData sheetId="3789">
        <row r="4">
          <cell r="I4">
            <v>0</v>
          </cell>
        </row>
      </sheetData>
      <sheetData sheetId="3790">
        <row r="4">
          <cell r="I4">
            <v>0</v>
          </cell>
        </row>
      </sheetData>
      <sheetData sheetId="3791">
        <row r="4">
          <cell r="I4">
            <v>0</v>
          </cell>
        </row>
      </sheetData>
      <sheetData sheetId="3792">
        <row r="4">
          <cell r="I4">
            <v>0</v>
          </cell>
        </row>
      </sheetData>
      <sheetData sheetId="3793">
        <row r="4">
          <cell r="I4">
            <v>0</v>
          </cell>
        </row>
      </sheetData>
      <sheetData sheetId="3794">
        <row r="4">
          <cell r="I4">
            <v>0</v>
          </cell>
        </row>
      </sheetData>
      <sheetData sheetId="3795">
        <row r="4">
          <cell r="I4">
            <v>0</v>
          </cell>
        </row>
      </sheetData>
      <sheetData sheetId="3796">
        <row r="4">
          <cell r="I4">
            <v>0</v>
          </cell>
        </row>
      </sheetData>
      <sheetData sheetId="3797">
        <row r="4">
          <cell r="I4">
            <v>0</v>
          </cell>
        </row>
      </sheetData>
      <sheetData sheetId="3798">
        <row r="4">
          <cell r="I4">
            <v>0</v>
          </cell>
        </row>
      </sheetData>
      <sheetData sheetId="3799">
        <row r="4">
          <cell r="I4">
            <v>0</v>
          </cell>
        </row>
      </sheetData>
      <sheetData sheetId="3800">
        <row r="4">
          <cell r="I4">
            <v>0</v>
          </cell>
        </row>
      </sheetData>
      <sheetData sheetId="3801">
        <row r="4">
          <cell r="I4">
            <v>0</v>
          </cell>
        </row>
      </sheetData>
      <sheetData sheetId="3802">
        <row r="4">
          <cell r="I4">
            <v>0</v>
          </cell>
        </row>
      </sheetData>
      <sheetData sheetId="3803">
        <row r="4">
          <cell r="I4">
            <v>0</v>
          </cell>
        </row>
      </sheetData>
      <sheetData sheetId="3804">
        <row r="4">
          <cell r="I4">
            <v>0</v>
          </cell>
        </row>
      </sheetData>
      <sheetData sheetId="3805">
        <row r="4">
          <cell r="I4">
            <v>0</v>
          </cell>
        </row>
      </sheetData>
      <sheetData sheetId="3806">
        <row r="4">
          <cell r="I4">
            <v>0</v>
          </cell>
        </row>
      </sheetData>
      <sheetData sheetId="3807">
        <row r="4">
          <cell r="I4">
            <v>0</v>
          </cell>
        </row>
      </sheetData>
      <sheetData sheetId="3808">
        <row r="4">
          <cell r="I4">
            <v>0</v>
          </cell>
        </row>
      </sheetData>
      <sheetData sheetId="3809">
        <row r="4">
          <cell r="I4">
            <v>0</v>
          </cell>
        </row>
      </sheetData>
      <sheetData sheetId="3810">
        <row r="4">
          <cell r="I4">
            <v>0</v>
          </cell>
        </row>
      </sheetData>
      <sheetData sheetId="3811">
        <row r="4">
          <cell r="I4">
            <v>0</v>
          </cell>
        </row>
      </sheetData>
      <sheetData sheetId="3812">
        <row r="4">
          <cell r="I4">
            <v>0</v>
          </cell>
        </row>
      </sheetData>
      <sheetData sheetId="3813">
        <row r="4">
          <cell r="I4">
            <v>0</v>
          </cell>
        </row>
      </sheetData>
      <sheetData sheetId="3814">
        <row r="4">
          <cell r="I4">
            <v>0</v>
          </cell>
        </row>
      </sheetData>
      <sheetData sheetId="3815">
        <row r="4">
          <cell r="I4">
            <v>0</v>
          </cell>
        </row>
      </sheetData>
      <sheetData sheetId="3816">
        <row r="4">
          <cell r="I4">
            <v>0</v>
          </cell>
        </row>
      </sheetData>
      <sheetData sheetId="3817">
        <row r="4">
          <cell r="I4">
            <v>0</v>
          </cell>
        </row>
      </sheetData>
      <sheetData sheetId="3818">
        <row r="4">
          <cell r="I4">
            <v>0</v>
          </cell>
        </row>
      </sheetData>
      <sheetData sheetId="3819">
        <row r="4">
          <cell r="I4">
            <v>0</v>
          </cell>
        </row>
      </sheetData>
      <sheetData sheetId="3820">
        <row r="4">
          <cell r="I4">
            <v>0</v>
          </cell>
        </row>
      </sheetData>
      <sheetData sheetId="3821">
        <row r="4">
          <cell r="I4">
            <v>0</v>
          </cell>
        </row>
      </sheetData>
      <sheetData sheetId="3822">
        <row r="4">
          <cell r="I4">
            <v>0</v>
          </cell>
        </row>
      </sheetData>
      <sheetData sheetId="3823">
        <row r="4">
          <cell r="I4">
            <v>0</v>
          </cell>
        </row>
      </sheetData>
      <sheetData sheetId="3824">
        <row r="4">
          <cell r="I4">
            <v>0</v>
          </cell>
        </row>
      </sheetData>
      <sheetData sheetId="3825">
        <row r="4">
          <cell r="I4">
            <v>0</v>
          </cell>
        </row>
      </sheetData>
      <sheetData sheetId="3826">
        <row r="4">
          <cell r="I4">
            <v>0</v>
          </cell>
        </row>
      </sheetData>
      <sheetData sheetId="3827">
        <row r="4">
          <cell r="I4">
            <v>0</v>
          </cell>
        </row>
      </sheetData>
      <sheetData sheetId="3828">
        <row r="4">
          <cell r="I4">
            <v>0</v>
          </cell>
        </row>
      </sheetData>
      <sheetData sheetId="3829">
        <row r="4">
          <cell r="I4">
            <v>0</v>
          </cell>
        </row>
      </sheetData>
      <sheetData sheetId="3830">
        <row r="4">
          <cell r="I4">
            <v>0</v>
          </cell>
        </row>
      </sheetData>
      <sheetData sheetId="3831">
        <row r="4">
          <cell r="I4">
            <v>0</v>
          </cell>
        </row>
      </sheetData>
      <sheetData sheetId="3832">
        <row r="4">
          <cell r="I4">
            <v>0</v>
          </cell>
        </row>
      </sheetData>
      <sheetData sheetId="3833">
        <row r="4">
          <cell r="I4">
            <v>0</v>
          </cell>
        </row>
      </sheetData>
      <sheetData sheetId="3834">
        <row r="4">
          <cell r="I4">
            <v>0</v>
          </cell>
        </row>
      </sheetData>
      <sheetData sheetId="3835">
        <row r="4">
          <cell r="I4">
            <v>0</v>
          </cell>
        </row>
      </sheetData>
      <sheetData sheetId="3836">
        <row r="4">
          <cell r="I4">
            <v>0</v>
          </cell>
        </row>
      </sheetData>
      <sheetData sheetId="3837">
        <row r="4">
          <cell r="I4">
            <v>0</v>
          </cell>
        </row>
      </sheetData>
      <sheetData sheetId="3838">
        <row r="4">
          <cell r="I4">
            <v>0</v>
          </cell>
        </row>
      </sheetData>
      <sheetData sheetId="3839">
        <row r="4">
          <cell r="I4">
            <v>0</v>
          </cell>
        </row>
      </sheetData>
      <sheetData sheetId="3840">
        <row r="4">
          <cell r="I4">
            <v>0</v>
          </cell>
        </row>
      </sheetData>
      <sheetData sheetId="3841">
        <row r="4">
          <cell r="I4">
            <v>0</v>
          </cell>
        </row>
      </sheetData>
      <sheetData sheetId="3842">
        <row r="4">
          <cell r="I4">
            <v>0</v>
          </cell>
        </row>
      </sheetData>
      <sheetData sheetId="3843">
        <row r="4">
          <cell r="I4">
            <v>0</v>
          </cell>
        </row>
      </sheetData>
      <sheetData sheetId="3844">
        <row r="4">
          <cell r="I4">
            <v>0</v>
          </cell>
        </row>
      </sheetData>
      <sheetData sheetId="3845">
        <row r="4">
          <cell r="I4">
            <v>0</v>
          </cell>
        </row>
      </sheetData>
      <sheetData sheetId="3846">
        <row r="4">
          <cell r="I4">
            <v>0</v>
          </cell>
        </row>
      </sheetData>
      <sheetData sheetId="3847">
        <row r="4">
          <cell r="I4">
            <v>0</v>
          </cell>
        </row>
      </sheetData>
      <sheetData sheetId="3848">
        <row r="4">
          <cell r="I4">
            <v>0</v>
          </cell>
        </row>
      </sheetData>
      <sheetData sheetId="3849">
        <row r="4">
          <cell r="I4">
            <v>0</v>
          </cell>
        </row>
      </sheetData>
      <sheetData sheetId="3850">
        <row r="4">
          <cell r="I4">
            <v>0</v>
          </cell>
        </row>
      </sheetData>
      <sheetData sheetId="3851">
        <row r="4">
          <cell r="I4">
            <v>0</v>
          </cell>
        </row>
      </sheetData>
      <sheetData sheetId="3852">
        <row r="4">
          <cell r="I4">
            <v>0</v>
          </cell>
        </row>
      </sheetData>
      <sheetData sheetId="3853">
        <row r="4">
          <cell r="I4">
            <v>0</v>
          </cell>
        </row>
      </sheetData>
      <sheetData sheetId="3854">
        <row r="4">
          <cell r="I4">
            <v>0</v>
          </cell>
        </row>
      </sheetData>
      <sheetData sheetId="3855">
        <row r="4">
          <cell r="I4">
            <v>0</v>
          </cell>
        </row>
      </sheetData>
      <sheetData sheetId="3856">
        <row r="4">
          <cell r="I4">
            <v>0</v>
          </cell>
        </row>
      </sheetData>
      <sheetData sheetId="3857">
        <row r="4">
          <cell r="I4">
            <v>0</v>
          </cell>
        </row>
      </sheetData>
      <sheetData sheetId="3858">
        <row r="4">
          <cell r="I4">
            <v>0</v>
          </cell>
        </row>
      </sheetData>
      <sheetData sheetId="3859">
        <row r="4">
          <cell r="I4">
            <v>0</v>
          </cell>
        </row>
      </sheetData>
      <sheetData sheetId="3860">
        <row r="4">
          <cell r="I4">
            <v>0</v>
          </cell>
        </row>
      </sheetData>
      <sheetData sheetId="3861">
        <row r="4">
          <cell r="I4">
            <v>0</v>
          </cell>
        </row>
      </sheetData>
      <sheetData sheetId="3862">
        <row r="4">
          <cell r="I4">
            <v>0</v>
          </cell>
        </row>
      </sheetData>
      <sheetData sheetId="3863">
        <row r="4">
          <cell r="I4">
            <v>0</v>
          </cell>
        </row>
      </sheetData>
      <sheetData sheetId="3864">
        <row r="4">
          <cell r="I4">
            <v>0</v>
          </cell>
        </row>
      </sheetData>
      <sheetData sheetId="3865">
        <row r="4">
          <cell r="I4">
            <v>0</v>
          </cell>
        </row>
      </sheetData>
      <sheetData sheetId="3866">
        <row r="4">
          <cell r="I4">
            <v>0</v>
          </cell>
        </row>
      </sheetData>
      <sheetData sheetId="3867">
        <row r="4">
          <cell r="I4">
            <v>0</v>
          </cell>
        </row>
      </sheetData>
      <sheetData sheetId="3868">
        <row r="4">
          <cell r="I4">
            <v>0</v>
          </cell>
        </row>
      </sheetData>
      <sheetData sheetId="3869">
        <row r="4">
          <cell r="I4">
            <v>0</v>
          </cell>
        </row>
      </sheetData>
      <sheetData sheetId="3870">
        <row r="4">
          <cell r="I4">
            <v>0</v>
          </cell>
        </row>
      </sheetData>
      <sheetData sheetId="3871">
        <row r="4">
          <cell r="I4">
            <v>0</v>
          </cell>
        </row>
      </sheetData>
      <sheetData sheetId="3872">
        <row r="4">
          <cell r="I4">
            <v>0</v>
          </cell>
        </row>
      </sheetData>
      <sheetData sheetId="3873">
        <row r="4">
          <cell r="I4">
            <v>0</v>
          </cell>
        </row>
      </sheetData>
      <sheetData sheetId="3874">
        <row r="4">
          <cell r="I4">
            <v>0</v>
          </cell>
        </row>
      </sheetData>
      <sheetData sheetId="3875">
        <row r="4">
          <cell r="I4">
            <v>0</v>
          </cell>
        </row>
      </sheetData>
      <sheetData sheetId="3876">
        <row r="4">
          <cell r="I4">
            <v>0</v>
          </cell>
        </row>
      </sheetData>
      <sheetData sheetId="3877">
        <row r="4">
          <cell r="I4">
            <v>0</v>
          </cell>
        </row>
      </sheetData>
      <sheetData sheetId="3878">
        <row r="4">
          <cell r="I4">
            <v>0</v>
          </cell>
        </row>
      </sheetData>
      <sheetData sheetId="3879">
        <row r="4">
          <cell r="I4">
            <v>0</v>
          </cell>
        </row>
      </sheetData>
      <sheetData sheetId="3880">
        <row r="4">
          <cell r="I4">
            <v>0</v>
          </cell>
        </row>
      </sheetData>
      <sheetData sheetId="3881">
        <row r="4">
          <cell r="I4">
            <v>0</v>
          </cell>
        </row>
      </sheetData>
      <sheetData sheetId="3882">
        <row r="4">
          <cell r="I4">
            <v>0</v>
          </cell>
        </row>
      </sheetData>
      <sheetData sheetId="3883">
        <row r="4">
          <cell r="I4">
            <v>0</v>
          </cell>
        </row>
      </sheetData>
      <sheetData sheetId="3884">
        <row r="4">
          <cell r="I4">
            <v>0</v>
          </cell>
        </row>
      </sheetData>
      <sheetData sheetId="3885">
        <row r="4">
          <cell r="I4">
            <v>0</v>
          </cell>
        </row>
      </sheetData>
      <sheetData sheetId="3886">
        <row r="4">
          <cell r="I4">
            <v>0</v>
          </cell>
        </row>
      </sheetData>
      <sheetData sheetId="3887">
        <row r="4">
          <cell r="I4">
            <v>0</v>
          </cell>
        </row>
      </sheetData>
      <sheetData sheetId="3888">
        <row r="4">
          <cell r="I4">
            <v>0</v>
          </cell>
        </row>
      </sheetData>
      <sheetData sheetId="3889">
        <row r="4">
          <cell r="I4">
            <v>0</v>
          </cell>
        </row>
      </sheetData>
      <sheetData sheetId="3890">
        <row r="4">
          <cell r="I4">
            <v>0</v>
          </cell>
        </row>
      </sheetData>
      <sheetData sheetId="3891">
        <row r="4">
          <cell r="I4">
            <v>0</v>
          </cell>
        </row>
      </sheetData>
      <sheetData sheetId="3892">
        <row r="4">
          <cell r="I4">
            <v>0</v>
          </cell>
        </row>
      </sheetData>
      <sheetData sheetId="3893">
        <row r="4">
          <cell r="I4">
            <v>0</v>
          </cell>
        </row>
      </sheetData>
      <sheetData sheetId="3894">
        <row r="4">
          <cell r="I4">
            <v>0</v>
          </cell>
        </row>
      </sheetData>
      <sheetData sheetId="3895">
        <row r="4">
          <cell r="I4">
            <v>0</v>
          </cell>
        </row>
      </sheetData>
      <sheetData sheetId="3896">
        <row r="4">
          <cell r="I4">
            <v>0</v>
          </cell>
        </row>
      </sheetData>
      <sheetData sheetId="3897">
        <row r="4">
          <cell r="I4">
            <v>0</v>
          </cell>
        </row>
      </sheetData>
      <sheetData sheetId="3898">
        <row r="4">
          <cell r="I4">
            <v>0</v>
          </cell>
        </row>
      </sheetData>
      <sheetData sheetId="3899">
        <row r="4">
          <cell r="I4">
            <v>0</v>
          </cell>
        </row>
      </sheetData>
      <sheetData sheetId="3900">
        <row r="4">
          <cell r="I4">
            <v>0</v>
          </cell>
        </row>
      </sheetData>
      <sheetData sheetId="3901">
        <row r="4">
          <cell r="I4">
            <v>0</v>
          </cell>
        </row>
      </sheetData>
      <sheetData sheetId="3902">
        <row r="4">
          <cell r="I4">
            <v>0</v>
          </cell>
        </row>
      </sheetData>
      <sheetData sheetId="3903">
        <row r="4">
          <cell r="I4">
            <v>0</v>
          </cell>
        </row>
      </sheetData>
      <sheetData sheetId="3904">
        <row r="4">
          <cell r="I4">
            <v>0</v>
          </cell>
        </row>
      </sheetData>
      <sheetData sheetId="3905">
        <row r="4">
          <cell r="I4">
            <v>0</v>
          </cell>
        </row>
      </sheetData>
      <sheetData sheetId="3906">
        <row r="4">
          <cell r="I4">
            <v>0</v>
          </cell>
        </row>
      </sheetData>
      <sheetData sheetId="3907">
        <row r="4">
          <cell r="I4">
            <v>0</v>
          </cell>
        </row>
      </sheetData>
      <sheetData sheetId="3908">
        <row r="4">
          <cell r="I4">
            <v>0</v>
          </cell>
        </row>
      </sheetData>
      <sheetData sheetId="3909">
        <row r="4">
          <cell r="I4">
            <v>0</v>
          </cell>
        </row>
      </sheetData>
      <sheetData sheetId="3910">
        <row r="4">
          <cell r="I4">
            <v>0</v>
          </cell>
        </row>
      </sheetData>
      <sheetData sheetId="3911">
        <row r="4">
          <cell r="I4">
            <v>0</v>
          </cell>
        </row>
      </sheetData>
      <sheetData sheetId="3912">
        <row r="4">
          <cell r="I4">
            <v>0</v>
          </cell>
        </row>
      </sheetData>
      <sheetData sheetId="3913">
        <row r="4">
          <cell r="I4">
            <v>0</v>
          </cell>
        </row>
      </sheetData>
      <sheetData sheetId="3914">
        <row r="4">
          <cell r="I4">
            <v>0</v>
          </cell>
        </row>
      </sheetData>
      <sheetData sheetId="3915">
        <row r="4">
          <cell r="I4">
            <v>0</v>
          </cell>
        </row>
      </sheetData>
      <sheetData sheetId="3916">
        <row r="4">
          <cell r="I4">
            <v>0</v>
          </cell>
        </row>
      </sheetData>
      <sheetData sheetId="3917">
        <row r="4">
          <cell r="I4">
            <v>0</v>
          </cell>
        </row>
      </sheetData>
      <sheetData sheetId="3918">
        <row r="4">
          <cell r="I4">
            <v>0</v>
          </cell>
        </row>
      </sheetData>
      <sheetData sheetId="3919">
        <row r="4">
          <cell r="I4">
            <v>0</v>
          </cell>
        </row>
      </sheetData>
      <sheetData sheetId="3920">
        <row r="4">
          <cell r="I4">
            <v>0</v>
          </cell>
        </row>
      </sheetData>
      <sheetData sheetId="3921">
        <row r="4">
          <cell r="I4">
            <v>0</v>
          </cell>
        </row>
      </sheetData>
      <sheetData sheetId="3922">
        <row r="4">
          <cell r="I4">
            <v>0</v>
          </cell>
        </row>
      </sheetData>
      <sheetData sheetId="3923">
        <row r="4">
          <cell r="I4">
            <v>0</v>
          </cell>
        </row>
      </sheetData>
      <sheetData sheetId="3924">
        <row r="4">
          <cell r="I4">
            <v>0</v>
          </cell>
        </row>
      </sheetData>
      <sheetData sheetId="3925">
        <row r="4">
          <cell r="I4">
            <v>0</v>
          </cell>
        </row>
      </sheetData>
      <sheetData sheetId="3926">
        <row r="4">
          <cell r="I4">
            <v>0</v>
          </cell>
        </row>
      </sheetData>
      <sheetData sheetId="3927">
        <row r="4">
          <cell r="I4">
            <v>0</v>
          </cell>
        </row>
      </sheetData>
      <sheetData sheetId="3928">
        <row r="4">
          <cell r="I4">
            <v>0</v>
          </cell>
        </row>
      </sheetData>
      <sheetData sheetId="3929">
        <row r="4">
          <cell r="I4">
            <v>0</v>
          </cell>
        </row>
      </sheetData>
      <sheetData sheetId="3930">
        <row r="4">
          <cell r="I4">
            <v>0</v>
          </cell>
        </row>
      </sheetData>
      <sheetData sheetId="3931">
        <row r="4">
          <cell r="I4">
            <v>0</v>
          </cell>
        </row>
      </sheetData>
      <sheetData sheetId="3932">
        <row r="4">
          <cell r="I4">
            <v>0</v>
          </cell>
        </row>
      </sheetData>
      <sheetData sheetId="3933">
        <row r="4">
          <cell r="I4">
            <v>0</v>
          </cell>
        </row>
      </sheetData>
      <sheetData sheetId="3934">
        <row r="4">
          <cell r="I4">
            <v>0</v>
          </cell>
        </row>
      </sheetData>
      <sheetData sheetId="3935">
        <row r="4">
          <cell r="I4">
            <v>0</v>
          </cell>
        </row>
      </sheetData>
      <sheetData sheetId="3936">
        <row r="4">
          <cell r="I4">
            <v>0</v>
          </cell>
        </row>
      </sheetData>
      <sheetData sheetId="3937">
        <row r="4">
          <cell r="I4">
            <v>0</v>
          </cell>
        </row>
      </sheetData>
      <sheetData sheetId="3938">
        <row r="4">
          <cell r="I4">
            <v>0</v>
          </cell>
        </row>
      </sheetData>
      <sheetData sheetId="3939">
        <row r="4">
          <cell r="I4">
            <v>0</v>
          </cell>
        </row>
      </sheetData>
      <sheetData sheetId="3940">
        <row r="4">
          <cell r="I4">
            <v>0</v>
          </cell>
        </row>
      </sheetData>
      <sheetData sheetId="3941">
        <row r="4">
          <cell r="I4">
            <v>0</v>
          </cell>
        </row>
      </sheetData>
      <sheetData sheetId="3942" refreshError="1"/>
      <sheetData sheetId="3943" refreshError="1"/>
      <sheetData sheetId="3944" refreshError="1"/>
      <sheetData sheetId="3945" refreshError="1"/>
      <sheetData sheetId="3946" refreshError="1"/>
      <sheetData sheetId="3947">
        <row r="4">
          <cell r="I4">
            <v>0</v>
          </cell>
        </row>
      </sheetData>
      <sheetData sheetId="3948">
        <row r="4">
          <cell r="I4">
            <v>0</v>
          </cell>
        </row>
      </sheetData>
      <sheetData sheetId="3949">
        <row r="4">
          <cell r="I4">
            <v>0</v>
          </cell>
        </row>
      </sheetData>
      <sheetData sheetId="3950">
        <row r="4">
          <cell r="I4">
            <v>0</v>
          </cell>
        </row>
      </sheetData>
      <sheetData sheetId="3951">
        <row r="4">
          <cell r="I4">
            <v>0</v>
          </cell>
        </row>
      </sheetData>
      <sheetData sheetId="3952">
        <row r="4">
          <cell r="I4">
            <v>0</v>
          </cell>
        </row>
      </sheetData>
      <sheetData sheetId="3953">
        <row r="4">
          <cell r="I4">
            <v>0</v>
          </cell>
        </row>
      </sheetData>
      <sheetData sheetId="3954">
        <row r="4">
          <cell r="I4">
            <v>0</v>
          </cell>
        </row>
      </sheetData>
      <sheetData sheetId="3955">
        <row r="4">
          <cell r="I4">
            <v>0</v>
          </cell>
        </row>
      </sheetData>
      <sheetData sheetId="3956">
        <row r="4">
          <cell r="I4">
            <v>0</v>
          </cell>
        </row>
      </sheetData>
      <sheetData sheetId="3957">
        <row r="4">
          <cell r="I4">
            <v>0</v>
          </cell>
        </row>
      </sheetData>
      <sheetData sheetId="3958">
        <row r="4">
          <cell r="I4">
            <v>0</v>
          </cell>
        </row>
      </sheetData>
      <sheetData sheetId="3959">
        <row r="4">
          <cell r="I4">
            <v>0</v>
          </cell>
        </row>
      </sheetData>
      <sheetData sheetId="3960">
        <row r="4">
          <cell r="I4">
            <v>0</v>
          </cell>
        </row>
      </sheetData>
      <sheetData sheetId="3961">
        <row r="4">
          <cell r="I4">
            <v>0</v>
          </cell>
        </row>
      </sheetData>
      <sheetData sheetId="3962">
        <row r="4">
          <cell r="I4">
            <v>0</v>
          </cell>
        </row>
      </sheetData>
      <sheetData sheetId="3963">
        <row r="4">
          <cell r="I4">
            <v>0</v>
          </cell>
        </row>
      </sheetData>
      <sheetData sheetId="3964">
        <row r="4">
          <cell r="I4">
            <v>0</v>
          </cell>
        </row>
      </sheetData>
      <sheetData sheetId="3965">
        <row r="4">
          <cell r="I4">
            <v>0</v>
          </cell>
        </row>
      </sheetData>
      <sheetData sheetId="3966">
        <row r="4">
          <cell r="I4">
            <v>0</v>
          </cell>
        </row>
      </sheetData>
      <sheetData sheetId="3967">
        <row r="4">
          <cell r="I4">
            <v>0</v>
          </cell>
        </row>
      </sheetData>
      <sheetData sheetId="3968">
        <row r="4">
          <cell r="I4">
            <v>0</v>
          </cell>
        </row>
      </sheetData>
      <sheetData sheetId="3969">
        <row r="4">
          <cell r="I4">
            <v>0</v>
          </cell>
        </row>
      </sheetData>
      <sheetData sheetId="3970">
        <row r="4">
          <cell r="I4">
            <v>0</v>
          </cell>
        </row>
      </sheetData>
      <sheetData sheetId="3971">
        <row r="4">
          <cell r="I4">
            <v>0</v>
          </cell>
        </row>
      </sheetData>
      <sheetData sheetId="3972">
        <row r="4">
          <cell r="I4">
            <v>0</v>
          </cell>
        </row>
      </sheetData>
      <sheetData sheetId="3973">
        <row r="4">
          <cell r="I4">
            <v>0</v>
          </cell>
        </row>
      </sheetData>
      <sheetData sheetId="3974">
        <row r="4">
          <cell r="I4">
            <v>0</v>
          </cell>
        </row>
      </sheetData>
      <sheetData sheetId="3975">
        <row r="4">
          <cell r="I4">
            <v>0</v>
          </cell>
        </row>
      </sheetData>
      <sheetData sheetId="3976">
        <row r="4">
          <cell r="I4">
            <v>0</v>
          </cell>
        </row>
      </sheetData>
      <sheetData sheetId="3977">
        <row r="4">
          <cell r="I4">
            <v>0</v>
          </cell>
        </row>
      </sheetData>
      <sheetData sheetId="3978">
        <row r="4">
          <cell r="I4">
            <v>0</v>
          </cell>
        </row>
      </sheetData>
      <sheetData sheetId="3979">
        <row r="4">
          <cell r="I4">
            <v>0</v>
          </cell>
        </row>
      </sheetData>
      <sheetData sheetId="3980">
        <row r="4">
          <cell r="I4">
            <v>0</v>
          </cell>
        </row>
      </sheetData>
      <sheetData sheetId="3981">
        <row r="4">
          <cell r="I4">
            <v>0</v>
          </cell>
        </row>
      </sheetData>
      <sheetData sheetId="3982">
        <row r="4">
          <cell r="I4">
            <v>0</v>
          </cell>
        </row>
      </sheetData>
      <sheetData sheetId="3983">
        <row r="4">
          <cell r="I4">
            <v>0</v>
          </cell>
        </row>
      </sheetData>
      <sheetData sheetId="3984">
        <row r="4">
          <cell r="I4">
            <v>0</v>
          </cell>
        </row>
      </sheetData>
      <sheetData sheetId="3985">
        <row r="4">
          <cell r="I4">
            <v>0</v>
          </cell>
        </row>
      </sheetData>
      <sheetData sheetId="3986">
        <row r="4">
          <cell r="I4">
            <v>0</v>
          </cell>
        </row>
      </sheetData>
      <sheetData sheetId="3987">
        <row r="4">
          <cell r="I4">
            <v>0</v>
          </cell>
        </row>
      </sheetData>
      <sheetData sheetId="3988">
        <row r="4">
          <cell r="I4">
            <v>0</v>
          </cell>
        </row>
      </sheetData>
      <sheetData sheetId="3989">
        <row r="4">
          <cell r="I4">
            <v>0</v>
          </cell>
        </row>
      </sheetData>
      <sheetData sheetId="3990">
        <row r="4">
          <cell r="I4">
            <v>0</v>
          </cell>
        </row>
      </sheetData>
      <sheetData sheetId="3991">
        <row r="4">
          <cell r="I4">
            <v>0</v>
          </cell>
        </row>
      </sheetData>
      <sheetData sheetId="3992">
        <row r="4">
          <cell r="I4">
            <v>0</v>
          </cell>
        </row>
      </sheetData>
      <sheetData sheetId="3993">
        <row r="4">
          <cell r="I4">
            <v>0</v>
          </cell>
        </row>
      </sheetData>
      <sheetData sheetId="3994">
        <row r="4">
          <cell r="I4">
            <v>0</v>
          </cell>
        </row>
      </sheetData>
      <sheetData sheetId="3995">
        <row r="4">
          <cell r="I4">
            <v>0</v>
          </cell>
        </row>
      </sheetData>
      <sheetData sheetId="3996">
        <row r="4">
          <cell r="I4">
            <v>0</v>
          </cell>
        </row>
      </sheetData>
      <sheetData sheetId="3997">
        <row r="4">
          <cell r="I4">
            <v>0</v>
          </cell>
        </row>
      </sheetData>
      <sheetData sheetId="3998">
        <row r="4">
          <cell r="I4">
            <v>0</v>
          </cell>
        </row>
      </sheetData>
      <sheetData sheetId="3999">
        <row r="4">
          <cell r="I4">
            <v>0</v>
          </cell>
        </row>
      </sheetData>
      <sheetData sheetId="4000">
        <row r="4">
          <cell r="I4">
            <v>0</v>
          </cell>
        </row>
      </sheetData>
      <sheetData sheetId="4001">
        <row r="4">
          <cell r="I4">
            <v>0</v>
          </cell>
        </row>
      </sheetData>
      <sheetData sheetId="4002">
        <row r="4">
          <cell r="I4">
            <v>0</v>
          </cell>
        </row>
      </sheetData>
      <sheetData sheetId="4003">
        <row r="4">
          <cell r="I4">
            <v>0</v>
          </cell>
        </row>
      </sheetData>
      <sheetData sheetId="4004">
        <row r="4">
          <cell r="I4">
            <v>0</v>
          </cell>
        </row>
      </sheetData>
      <sheetData sheetId="4005">
        <row r="4">
          <cell r="I4">
            <v>0</v>
          </cell>
        </row>
      </sheetData>
      <sheetData sheetId="4006">
        <row r="4">
          <cell r="I4">
            <v>0</v>
          </cell>
        </row>
      </sheetData>
      <sheetData sheetId="4007">
        <row r="4">
          <cell r="I4">
            <v>0</v>
          </cell>
        </row>
      </sheetData>
      <sheetData sheetId="4008">
        <row r="4">
          <cell r="I4">
            <v>0</v>
          </cell>
        </row>
      </sheetData>
      <sheetData sheetId="4009">
        <row r="4">
          <cell r="I4">
            <v>0</v>
          </cell>
        </row>
      </sheetData>
      <sheetData sheetId="4010">
        <row r="4">
          <cell r="I4">
            <v>0</v>
          </cell>
        </row>
      </sheetData>
      <sheetData sheetId="4011">
        <row r="4">
          <cell r="I4">
            <v>0</v>
          </cell>
        </row>
      </sheetData>
      <sheetData sheetId="4012">
        <row r="4">
          <cell r="I4">
            <v>0</v>
          </cell>
        </row>
      </sheetData>
      <sheetData sheetId="4013">
        <row r="4">
          <cell r="I4">
            <v>0</v>
          </cell>
        </row>
      </sheetData>
      <sheetData sheetId="4014">
        <row r="4">
          <cell r="I4">
            <v>0</v>
          </cell>
        </row>
      </sheetData>
      <sheetData sheetId="4015">
        <row r="4">
          <cell r="I4">
            <v>0</v>
          </cell>
        </row>
      </sheetData>
      <sheetData sheetId="4016">
        <row r="4">
          <cell r="I4">
            <v>0</v>
          </cell>
        </row>
      </sheetData>
      <sheetData sheetId="4017">
        <row r="4">
          <cell r="I4">
            <v>0</v>
          </cell>
        </row>
      </sheetData>
      <sheetData sheetId="4018">
        <row r="4">
          <cell r="I4">
            <v>0</v>
          </cell>
        </row>
      </sheetData>
      <sheetData sheetId="4019">
        <row r="4">
          <cell r="I4">
            <v>0</v>
          </cell>
        </row>
      </sheetData>
      <sheetData sheetId="4020">
        <row r="4">
          <cell r="I4">
            <v>0</v>
          </cell>
        </row>
      </sheetData>
      <sheetData sheetId="4021">
        <row r="4">
          <cell r="I4">
            <v>0</v>
          </cell>
        </row>
      </sheetData>
      <sheetData sheetId="4022">
        <row r="4">
          <cell r="I4">
            <v>0</v>
          </cell>
        </row>
      </sheetData>
      <sheetData sheetId="4023">
        <row r="4">
          <cell r="I4">
            <v>0</v>
          </cell>
        </row>
      </sheetData>
      <sheetData sheetId="4024">
        <row r="4">
          <cell r="I4">
            <v>0</v>
          </cell>
        </row>
      </sheetData>
      <sheetData sheetId="4025">
        <row r="4">
          <cell r="I4">
            <v>0</v>
          </cell>
        </row>
      </sheetData>
      <sheetData sheetId="4026">
        <row r="4">
          <cell r="I4">
            <v>0</v>
          </cell>
        </row>
      </sheetData>
      <sheetData sheetId="4027">
        <row r="4">
          <cell r="I4">
            <v>0</v>
          </cell>
        </row>
      </sheetData>
      <sheetData sheetId="4028">
        <row r="4">
          <cell r="I4">
            <v>0</v>
          </cell>
        </row>
      </sheetData>
      <sheetData sheetId="4029">
        <row r="4">
          <cell r="I4">
            <v>0</v>
          </cell>
        </row>
      </sheetData>
      <sheetData sheetId="4030">
        <row r="4">
          <cell r="I4">
            <v>0</v>
          </cell>
        </row>
      </sheetData>
      <sheetData sheetId="4031">
        <row r="4">
          <cell r="I4">
            <v>0</v>
          </cell>
        </row>
      </sheetData>
      <sheetData sheetId="4032">
        <row r="4">
          <cell r="I4">
            <v>0</v>
          </cell>
        </row>
      </sheetData>
      <sheetData sheetId="4033">
        <row r="4">
          <cell r="I4">
            <v>0</v>
          </cell>
        </row>
      </sheetData>
      <sheetData sheetId="4034">
        <row r="4">
          <cell r="I4">
            <v>0</v>
          </cell>
        </row>
      </sheetData>
      <sheetData sheetId="4035">
        <row r="4">
          <cell r="I4">
            <v>0</v>
          </cell>
        </row>
      </sheetData>
      <sheetData sheetId="4036">
        <row r="4">
          <cell r="I4">
            <v>0</v>
          </cell>
        </row>
      </sheetData>
      <sheetData sheetId="4037">
        <row r="4">
          <cell r="I4">
            <v>0</v>
          </cell>
        </row>
      </sheetData>
      <sheetData sheetId="4038">
        <row r="4">
          <cell r="I4">
            <v>0</v>
          </cell>
        </row>
      </sheetData>
      <sheetData sheetId="4039">
        <row r="4">
          <cell r="I4">
            <v>0</v>
          </cell>
        </row>
      </sheetData>
      <sheetData sheetId="4040">
        <row r="4">
          <cell r="I4">
            <v>0</v>
          </cell>
        </row>
      </sheetData>
      <sheetData sheetId="4041">
        <row r="4">
          <cell r="I4">
            <v>0</v>
          </cell>
        </row>
      </sheetData>
      <sheetData sheetId="4042">
        <row r="4">
          <cell r="I4">
            <v>0</v>
          </cell>
        </row>
      </sheetData>
      <sheetData sheetId="4043">
        <row r="4">
          <cell r="I4">
            <v>0</v>
          </cell>
        </row>
      </sheetData>
      <sheetData sheetId="4044">
        <row r="4">
          <cell r="I4">
            <v>0</v>
          </cell>
        </row>
      </sheetData>
      <sheetData sheetId="4045">
        <row r="4">
          <cell r="I4">
            <v>0</v>
          </cell>
        </row>
      </sheetData>
      <sheetData sheetId="4046">
        <row r="4">
          <cell r="I4">
            <v>0</v>
          </cell>
        </row>
      </sheetData>
      <sheetData sheetId="4047">
        <row r="4">
          <cell r="I4">
            <v>0</v>
          </cell>
        </row>
      </sheetData>
      <sheetData sheetId="4048">
        <row r="4">
          <cell r="I4">
            <v>0</v>
          </cell>
        </row>
      </sheetData>
      <sheetData sheetId="4049">
        <row r="4">
          <cell r="I4">
            <v>0</v>
          </cell>
        </row>
      </sheetData>
      <sheetData sheetId="4050">
        <row r="4">
          <cell r="I4">
            <v>0</v>
          </cell>
        </row>
      </sheetData>
      <sheetData sheetId="4051">
        <row r="4">
          <cell r="I4">
            <v>0</v>
          </cell>
        </row>
      </sheetData>
      <sheetData sheetId="4052">
        <row r="4">
          <cell r="I4">
            <v>0</v>
          </cell>
        </row>
      </sheetData>
      <sheetData sheetId="4053">
        <row r="4">
          <cell r="I4">
            <v>0</v>
          </cell>
        </row>
      </sheetData>
      <sheetData sheetId="4054">
        <row r="4">
          <cell r="I4">
            <v>0</v>
          </cell>
        </row>
      </sheetData>
      <sheetData sheetId="4055">
        <row r="4">
          <cell r="I4">
            <v>0</v>
          </cell>
        </row>
      </sheetData>
      <sheetData sheetId="4056">
        <row r="4">
          <cell r="I4">
            <v>0</v>
          </cell>
        </row>
      </sheetData>
      <sheetData sheetId="4057">
        <row r="4">
          <cell r="I4">
            <v>0</v>
          </cell>
        </row>
      </sheetData>
      <sheetData sheetId="4058">
        <row r="4">
          <cell r="I4">
            <v>0</v>
          </cell>
        </row>
      </sheetData>
      <sheetData sheetId="4059">
        <row r="4">
          <cell r="I4">
            <v>0</v>
          </cell>
        </row>
      </sheetData>
      <sheetData sheetId="4060">
        <row r="4">
          <cell r="I4">
            <v>0</v>
          </cell>
        </row>
      </sheetData>
      <sheetData sheetId="4061">
        <row r="4">
          <cell r="I4">
            <v>0</v>
          </cell>
        </row>
      </sheetData>
      <sheetData sheetId="4062">
        <row r="4">
          <cell r="I4">
            <v>0</v>
          </cell>
        </row>
      </sheetData>
      <sheetData sheetId="4063">
        <row r="4">
          <cell r="I4">
            <v>0</v>
          </cell>
        </row>
      </sheetData>
      <sheetData sheetId="4064">
        <row r="4">
          <cell r="I4">
            <v>0</v>
          </cell>
        </row>
      </sheetData>
      <sheetData sheetId="4065">
        <row r="4">
          <cell r="I4">
            <v>0</v>
          </cell>
        </row>
      </sheetData>
      <sheetData sheetId="4066">
        <row r="4">
          <cell r="I4">
            <v>0</v>
          </cell>
        </row>
      </sheetData>
      <sheetData sheetId="4067">
        <row r="4">
          <cell r="I4">
            <v>0</v>
          </cell>
        </row>
      </sheetData>
      <sheetData sheetId="4068">
        <row r="4">
          <cell r="I4">
            <v>0</v>
          </cell>
        </row>
      </sheetData>
      <sheetData sheetId="4069">
        <row r="4">
          <cell r="I4">
            <v>0</v>
          </cell>
        </row>
      </sheetData>
      <sheetData sheetId="4070">
        <row r="4">
          <cell r="I4">
            <v>0</v>
          </cell>
        </row>
      </sheetData>
      <sheetData sheetId="4071">
        <row r="4">
          <cell r="I4">
            <v>0</v>
          </cell>
        </row>
      </sheetData>
      <sheetData sheetId="4072">
        <row r="4">
          <cell r="I4">
            <v>0</v>
          </cell>
        </row>
      </sheetData>
      <sheetData sheetId="4073">
        <row r="4">
          <cell r="I4">
            <v>0</v>
          </cell>
        </row>
      </sheetData>
      <sheetData sheetId="4074">
        <row r="4">
          <cell r="I4">
            <v>0</v>
          </cell>
        </row>
      </sheetData>
      <sheetData sheetId="4075">
        <row r="4">
          <cell r="I4">
            <v>0</v>
          </cell>
        </row>
      </sheetData>
      <sheetData sheetId="4076">
        <row r="4">
          <cell r="I4">
            <v>0</v>
          </cell>
        </row>
      </sheetData>
      <sheetData sheetId="4077">
        <row r="4">
          <cell r="I4">
            <v>0</v>
          </cell>
        </row>
      </sheetData>
      <sheetData sheetId="4078">
        <row r="4">
          <cell r="I4">
            <v>0</v>
          </cell>
        </row>
      </sheetData>
      <sheetData sheetId="4079">
        <row r="4">
          <cell r="I4">
            <v>0</v>
          </cell>
        </row>
      </sheetData>
      <sheetData sheetId="4080">
        <row r="4">
          <cell r="I4">
            <v>0</v>
          </cell>
        </row>
      </sheetData>
      <sheetData sheetId="4081">
        <row r="4">
          <cell r="I4">
            <v>0</v>
          </cell>
        </row>
      </sheetData>
      <sheetData sheetId="4082">
        <row r="4">
          <cell r="I4">
            <v>0</v>
          </cell>
        </row>
      </sheetData>
      <sheetData sheetId="4083">
        <row r="4">
          <cell r="I4">
            <v>0</v>
          </cell>
        </row>
      </sheetData>
      <sheetData sheetId="4084">
        <row r="4">
          <cell r="I4">
            <v>0</v>
          </cell>
        </row>
      </sheetData>
      <sheetData sheetId="4085">
        <row r="4">
          <cell r="I4">
            <v>0</v>
          </cell>
        </row>
      </sheetData>
      <sheetData sheetId="4086">
        <row r="4">
          <cell r="I4">
            <v>0</v>
          </cell>
        </row>
      </sheetData>
      <sheetData sheetId="4087">
        <row r="4">
          <cell r="I4">
            <v>0</v>
          </cell>
        </row>
      </sheetData>
      <sheetData sheetId="4088">
        <row r="4">
          <cell r="I4">
            <v>0</v>
          </cell>
        </row>
      </sheetData>
      <sheetData sheetId="4089">
        <row r="4">
          <cell r="I4">
            <v>0</v>
          </cell>
        </row>
      </sheetData>
      <sheetData sheetId="4090">
        <row r="4">
          <cell r="I4">
            <v>0</v>
          </cell>
        </row>
      </sheetData>
      <sheetData sheetId="4091">
        <row r="4">
          <cell r="I4">
            <v>0</v>
          </cell>
        </row>
      </sheetData>
      <sheetData sheetId="4092">
        <row r="4">
          <cell r="I4">
            <v>0</v>
          </cell>
        </row>
      </sheetData>
      <sheetData sheetId="4093">
        <row r="4">
          <cell r="I4">
            <v>0</v>
          </cell>
        </row>
      </sheetData>
      <sheetData sheetId="4094">
        <row r="4">
          <cell r="I4">
            <v>0</v>
          </cell>
        </row>
      </sheetData>
      <sheetData sheetId="4095">
        <row r="4">
          <cell r="I4">
            <v>0</v>
          </cell>
        </row>
      </sheetData>
      <sheetData sheetId="4096">
        <row r="4">
          <cell r="I4">
            <v>0</v>
          </cell>
        </row>
      </sheetData>
      <sheetData sheetId="4097">
        <row r="4">
          <cell r="I4">
            <v>0</v>
          </cell>
        </row>
      </sheetData>
      <sheetData sheetId="4098">
        <row r="4">
          <cell r="I4">
            <v>0</v>
          </cell>
        </row>
      </sheetData>
      <sheetData sheetId="4099">
        <row r="4">
          <cell r="I4">
            <v>0</v>
          </cell>
        </row>
      </sheetData>
      <sheetData sheetId="4100">
        <row r="4">
          <cell r="I4">
            <v>0</v>
          </cell>
        </row>
      </sheetData>
      <sheetData sheetId="4101">
        <row r="4">
          <cell r="I4">
            <v>0</v>
          </cell>
        </row>
      </sheetData>
      <sheetData sheetId="4102">
        <row r="4">
          <cell r="I4">
            <v>0</v>
          </cell>
        </row>
      </sheetData>
      <sheetData sheetId="4103">
        <row r="4">
          <cell r="I4">
            <v>0</v>
          </cell>
        </row>
      </sheetData>
      <sheetData sheetId="4104">
        <row r="4">
          <cell r="I4">
            <v>0</v>
          </cell>
        </row>
      </sheetData>
      <sheetData sheetId="4105">
        <row r="4">
          <cell r="I4">
            <v>0</v>
          </cell>
        </row>
      </sheetData>
      <sheetData sheetId="4106">
        <row r="4">
          <cell r="I4">
            <v>0</v>
          </cell>
        </row>
      </sheetData>
      <sheetData sheetId="4107">
        <row r="4">
          <cell r="I4">
            <v>0</v>
          </cell>
        </row>
      </sheetData>
      <sheetData sheetId="4108">
        <row r="4">
          <cell r="I4">
            <v>0</v>
          </cell>
        </row>
      </sheetData>
      <sheetData sheetId="4109">
        <row r="4">
          <cell r="I4">
            <v>0</v>
          </cell>
        </row>
      </sheetData>
      <sheetData sheetId="4110">
        <row r="4">
          <cell r="I4">
            <v>0</v>
          </cell>
        </row>
      </sheetData>
      <sheetData sheetId="4111">
        <row r="4">
          <cell r="I4">
            <v>0</v>
          </cell>
        </row>
      </sheetData>
      <sheetData sheetId="4112">
        <row r="4">
          <cell r="I4">
            <v>0</v>
          </cell>
        </row>
      </sheetData>
      <sheetData sheetId="4113">
        <row r="4">
          <cell r="I4">
            <v>0</v>
          </cell>
        </row>
      </sheetData>
      <sheetData sheetId="4114">
        <row r="4">
          <cell r="I4">
            <v>0</v>
          </cell>
        </row>
      </sheetData>
      <sheetData sheetId="4115">
        <row r="4">
          <cell r="I4">
            <v>0</v>
          </cell>
        </row>
      </sheetData>
      <sheetData sheetId="4116">
        <row r="4">
          <cell r="I4">
            <v>0</v>
          </cell>
        </row>
      </sheetData>
      <sheetData sheetId="4117">
        <row r="4">
          <cell r="I4">
            <v>0</v>
          </cell>
        </row>
      </sheetData>
      <sheetData sheetId="4118">
        <row r="4">
          <cell r="I4">
            <v>0</v>
          </cell>
        </row>
      </sheetData>
      <sheetData sheetId="4119">
        <row r="4">
          <cell r="I4">
            <v>0</v>
          </cell>
        </row>
      </sheetData>
      <sheetData sheetId="4120">
        <row r="4">
          <cell r="I4">
            <v>0</v>
          </cell>
        </row>
      </sheetData>
      <sheetData sheetId="4121">
        <row r="4">
          <cell r="I4">
            <v>0</v>
          </cell>
        </row>
      </sheetData>
      <sheetData sheetId="4122">
        <row r="4">
          <cell r="I4">
            <v>0</v>
          </cell>
        </row>
      </sheetData>
      <sheetData sheetId="4123">
        <row r="4">
          <cell r="I4">
            <v>0</v>
          </cell>
        </row>
      </sheetData>
      <sheetData sheetId="4124">
        <row r="4">
          <cell r="I4">
            <v>0</v>
          </cell>
        </row>
      </sheetData>
      <sheetData sheetId="4125">
        <row r="4">
          <cell r="I4">
            <v>0</v>
          </cell>
        </row>
      </sheetData>
      <sheetData sheetId="4126">
        <row r="4">
          <cell r="I4">
            <v>0</v>
          </cell>
        </row>
      </sheetData>
      <sheetData sheetId="4127">
        <row r="4">
          <cell r="I4">
            <v>0</v>
          </cell>
        </row>
      </sheetData>
      <sheetData sheetId="4128">
        <row r="4">
          <cell r="I4">
            <v>0</v>
          </cell>
        </row>
      </sheetData>
      <sheetData sheetId="4129">
        <row r="4">
          <cell r="I4">
            <v>0</v>
          </cell>
        </row>
      </sheetData>
      <sheetData sheetId="4130">
        <row r="4">
          <cell r="I4">
            <v>0</v>
          </cell>
        </row>
      </sheetData>
      <sheetData sheetId="4131" refreshError="1"/>
      <sheetData sheetId="4132" refreshError="1"/>
      <sheetData sheetId="4133" refreshError="1"/>
      <sheetData sheetId="4134" refreshError="1"/>
      <sheetData sheetId="4135">
        <row r="4">
          <cell r="I4">
            <v>0</v>
          </cell>
        </row>
      </sheetData>
      <sheetData sheetId="4136">
        <row r="4">
          <cell r="I4">
            <v>0</v>
          </cell>
        </row>
      </sheetData>
      <sheetData sheetId="4137">
        <row r="4">
          <cell r="I4">
            <v>0</v>
          </cell>
        </row>
      </sheetData>
      <sheetData sheetId="4138">
        <row r="4">
          <cell r="I4">
            <v>0</v>
          </cell>
        </row>
      </sheetData>
      <sheetData sheetId="4139">
        <row r="4">
          <cell r="I4">
            <v>0</v>
          </cell>
        </row>
      </sheetData>
      <sheetData sheetId="4140">
        <row r="4">
          <cell r="I4">
            <v>0</v>
          </cell>
        </row>
      </sheetData>
      <sheetData sheetId="4141">
        <row r="4">
          <cell r="I4">
            <v>0</v>
          </cell>
        </row>
      </sheetData>
      <sheetData sheetId="4142">
        <row r="4">
          <cell r="I4">
            <v>0</v>
          </cell>
        </row>
      </sheetData>
      <sheetData sheetId="4143">
        <row r="4">
          <cell r="I4">
            <v>0</v>
          </cell>
        </row>
      </sheetData>
      <sheetData sheetId="4144">
        <row r="4">
          <cell r="I4">
            <v>0</v>
          </cell>
        </row>
      </sheetData>
      <sheetData sheetId="4145">
        <row r="4">
          <cell r="I4">
            <v>0</v>
          </cell>
        </row>
      </sheetData>
      <sheetData sheetId="4146">
        <row r="4">
          <cell r="I4">
            <v>0</v>
          </cell>
        </row>
      </sheetData>
      <sheetData sheetId="4147">
        <row r="4">
          <cell r="I4">
            <v>0</v>
          </cell>
        </row>
      </sheetData>
      <sheetData sheetId="4148">
        <row r="4">
          <cell r="I4">
            <v>0</v>
          </cell>
        </row>
      </sheetData>
      <sheetData sheetId="4149">
        <row r="4">
          <cell r="I4">
            <v>0</v>
          </cell>
        </row>
      </sheetData>
      <sheetData sheetId="4150">
        <row r="4">
          <cell r="I4">
            <v>0</v>
          </cell>
        </row>
      </sheetData>
      <sheetData sheetId="4151">
        <row r="4">
          <cell r="I4">
            <v>0</v>
          </cell>
        </row>
      </sheetData>
      <sheetData sheetId="4152">
        <row r="4">
          <cell r="I4">
            <v>0</v>
          </cell>
        </row>
      </sheetData>
      <sheetData sheetId="4153">
        <row r="4">
          <cell r="I4">
            <v>0</v>
          </cell>
        </row>
      </sheetData>
      <sheetData sheetId="4154">
        <row r="4">
          <cell r="I4">
            <v>0</v>
          </cell>
        </row>
      </sheetData>
      <sheetData sheetId="4155">
        <row r="4">
          <cell r="I4">
            <v>0</v>
          </cell>
        </row>
      </sheetData>
      <sheetData sheetId="4156">
        <row r="4">
          <cell r="I4">
            <v>0</v>
          </cell>
        </row>
      </sheetData>
      <sheetData sheetId="4157">
        <row r="4">
          <cell r="I4">
            <v>0</v>
          </cell>
        </row>
      </sheetData>
      <sheetData sheetId="4158">
        <row r="4">
          <cell r="I4">
            <v>0</v>
          </cell>
        </row>
      </sheetData>
      <sheetData sheetId="4159">
        <row r="4">
          <cell r="I4">
            <v>0</v>
          </cell>
        </row>
      </sheetData>
      <sheetData sheetId="4160">
        <row r="4">
          <cell r="I4">
            <v>0</v>
          </cell>
        </row>
      </sheetData>
      <sheetData sheetId="4161">
        <row r="4">
          <cell r="I4">
            <v>0</v>
          </cell>
        </row>
      </sheetData>
      <sheetData sheetId="4162">
        <row r="4">
          <cell r="I4">
            <v>0</v>
          </cell>
        </row>
      </sheetData>
      <sheetData sheetId="4163">
        <row r="4">
          <cell r="I4">
            <v>0</v>
          </cell>
        </row>
      </sheetData>
      <sheetData sheetId="4164">
        <row r="4">
          <cell r="I4">
            <v>0</v>
          </cell>
        </row>
      </sheetData>
      <sheetData sheetId="4165">
        <row r="4">
          <cell r="I4">
            <v>0</v>
          </cell>
        </row>
      </sheetData>
      <sheetData sheetId="4166">
        <row r="4">
          <cell r="I4">
            <v>0</v>
          </cell>
        </row>
      </sheetData>
      <sheetData sheetId="4167">
        <row r="4">
          <cell r="I4">
            <v>0</v>
          </cell>
        </row>
      </sheetData>
      <sheetData sheetId="4168">
        <row r="4">
          <cell r="I4">
            <v>0</v>
          </cell>
        </row>
      </sheetData>
      <sheetData sheetId="4169">
        <row r="4">
          <cell r="I4">
            <v>0</v>
          </cell>
        </row>
      </sheetData>
      <sheetData sheetId="4170">
        <row r="4">
          <cell r="I4">
            <v>0</v>
          </cell>
        </row>
      </sheetData>
      <sheetData sheetId="4171">
        <row r="4">
          <cell r="I4">
            <v>0</v>
          </cell>
        </row>
      </sheetData>
      <sheetData sheetId="4172">
        <row r="4">
          <cell r="I4">
            <v>0</v>
          </cell>
        </row>
      </sheetData>
      <sheetData sheetId="4173">
        <row r="4">
          <cell r="I4">
            <v>0</v>
          </cell>
        </row>
      </sheetData>
      <sheetData sheetId="4174">
        <row r="4">
          <cell r="I4">
            <v>0</v>
          </cell>
        </row>
      </sheetData>
      <sheetData sheetId="4175">
        <row r="4">
          <cell r="I4">
            <v>0</v>
          </cell>
        </row>
      </sheetData>
      <sheetData sheetId="4176">
        <row r="4">
          <cell r="I4">
            <v>0</v>
          </cell>
        </row>
      </sheetData>
      <sheetData sheetId="4177">
        <row r="4">
          <cell r="I4">
            <v>0</v>
          </cell>
        </row>
      </sheetData>
      <sheetData sheetId="4178">
        <row r="4">
          <cell r="I4">
            <v>0</v>
          </cell>
        </row>
      </sheetData>
      <sheetData sheetId="4179">
        <row r="4">
          <cell r="I4">
            <v>0</v>
          </cell>
        </row>
      </sheetData>
      <sheetData sheetId="4180">
        <row r="4">
          <cell r="I4">
            <v>0</v>
          </cell>
        </row>
      </sheetData>
      <sheetData sheetId="4181">
        <row r="4">
          <cell r="I4">
            <v>0</v>
          </cell>
        </row>
      </sheetData>
      <sheetData sheetId="4182">
        <row r="4">
          <cell r="I4">
            <v>0</v>
          </cell>
        </row>
      </sheetData>
      <sheetData sheetId="4183">
        <row r="4">
          <cell r="I4">
            <v>0</v>
          </cell>
        </row>
      </sheetData>
      <sheetData sheetId="4184">
        <row r="4">
          <cell r="I4">
            <v>0</v>
          </cell>
        </row>
      </sheetData>
      <sheetData sheetId="4185">
        <row r="4">
          <cell r="I4">
            <v>0</v>
          </cell>
        </row>
      </sheetData>
      <sheetData sheetId="4186">
        <row r="4">
          <cell r="I4">
            <v>0</v>
          </cell>
        </row>
      </sheetData>
      <sheetData sheetId="4187">
        <row r="4">
          <cell r="I4">
            <v>0</v>
          </cell>
        </row>
      </sheetData>
      <sheetData sheetId="4188">
        <row r="4">
          <cell r="I4">
            <v>0</v>
          </cell>
        </row>
      </sheetData>
      <sheetData sheetId="4189">
        <row r="4">
          <cell r="I4">
            <v>0</v>
          </cell>
        </row>
      </sheetData>
      <sheetData sheetId="4190">
        <row r="4">
          <cell r="I4">
            <v>0</v>
          </cell>
        </row>
      </sheetData>
      <sheetData sheetId="4191">
        <row r="4">
          <cell r="I4">
            <v>0</v>
          </cell>
        </row>
      </sheetData>
      <sheetData sheetId="4192">
        <row r="4">
          <cell r="I4">
            <v>0</v>
          </cell>
        </row>
      </sheetData>
      <sheetData sheetId="4193">
        <row r="4">
          <cell r="I4">
            <v>0</v>
          </cell>
        </row>
      </sheetData>
      <sheetData sheetId="4194">
        <row r="4">
          <cell r="I4">
            <v>0</v>
          </cell>
        </row>
      </sheetData>
      <sheetData sheetId="4195">
        <row r="4">
          <cell r="I4">
            <v>0</v>
          </cell>
        </row>
      </sheetData>
      <sheetData sheetId="4196">
        <row r="4">
          <cell r="I4">
            <v>0</v>
          </cell>
        </row>
      </sheetData>
      <sheetData sheetId="4197">
        <row r="4">
          <cell r="I4">
            <v>0</v>
          </cell>
        </row>
      </sheetData>
      <sheetData sheetId="4198">
        <row r="4">
          <cell r="I4">
            <v>0</v>
          </cell>
        </row>
      </sheetData>
      <sheetData sheetId="4199">
        <row r="4">
          <cell r="I4">
            <v>0</v>
          </cell>
        </row>
      </sheetData>
      <sheetData sheetId="4200">
        <row r="4">
          <cell r="I4">
            <v>0</v>
          </cell>
        </row>
      </sheetData>
      <sheetData sheetId="4201">
        <row r="4">
          <cell r="I4">
            <v>0</v>
          </cell>
        </row>
      </sheetData>
      <sheetData sheetId="4202">
        <row r="4">
          <cell r="I4">
            <v>0</v>
          </cell>
        </row>
      </sheetData>
      <sheetData sheetId="4203">
        <row r="4">
          <cell r="I4">
            <v>0</v>
          </cell>
        </row>
      </sheetData>
      <sheetData sheetId="4204">
        <row r="4">
          <cell r="I4">
            <v>0</v>
          </cell>
        </row>
      </sheetData>
      <sheetData sheetId="4205">
        <row r="4">
          <cell r="I4">
            <v>0</v>
          </cell>
        </row>
      </sheetData>
      <sheetData sheetId="4206">
        <row r="4">
          <cell r="I4">
            <v>0</v>
          </cell>
        </row>
      </sheetData>
      <sheetData sheetId="4207">
        <row r="4">
          <cell r="I4">
            <v>0</v>
          </cell>
        </row>
      </sheetData>
      <sheetData sheetId="4208">
        <row r="4">
          <cell r="I4">
            <v>0</v>
          </cell>
        </row>
      </sheetData>
      <sheetData sheetId="4209">
        <row r="4">
          <cell r="I4">
            <v>0</v>
          </cell>
        </row>
      </sheetData>
      <sheetData sheetId="4210">
        <row r="4">
          <cell r="I4">
            <v>0</v>
          </cell>
        </row>
      </sheetData>
      <sheetData sheetId="4211">
        <row r="4">
          <cell r="I4">
            <v>0</v>
          </cell>
        </row>
      </sheetData>
      <sheetData sheetId="4212">
        <row r="4">
          <cell r="I4">
            <v>0</v>
          </cell>
        </row>
      </sheetData>
      <sheetData sheetId="4213">
        <row r="4">
          <cell r="I4">
            <v>0</v>
          </cell>
        </row>
      </sheetData>
      <sheetData sheetId="4214">
        <row r="4">
          <cell r="I4">
            <v>0</v>
          </cell>
        </row>
      </sheetData>
      <sheetData sheetId="4215">
        <row r="4">
          <cell r="I4">
            <v>0</v>
          </cell>
        </row>
      </sheetData>
      <sheetData sheetId="4216">
        <row r="4">
          <cell r="I4">
            <v>0</v>
          </cell>
        </row>
      </sheetData>
      <sheetData sheetId="4217">
        <row r="4">
          <cell r="I4">
            <v>0</v>
          </cell>
        </row>
      </sheetData>
      <sheetData sheetId="4218">
        <row r="4">
          <cell r="I4">
            <v>0</v>
          </cell>
        </row>
      </sheetData>
      <sheetData sheetId="4219">
        <row r="4">
          <cell r="I4">
            <v>0</v>
          </cell>
        </row>
      </sheetData>
      <sheetData sheetId="4220">
        <row r="4">
          <cell r="I4">
            <v>0</v>
          </cell>
        </row>
      </sheetData>
      <sheetData sheetId="4221">
        <row r="4">
          <cell r="I4">
            <v>0</v>
          </cell>
        </row>
      </sheetData>
      <sheetData sheetId="4222">
        <row r="4">
          <cell r="I4">
            <v>0</v>
          </cell>
        </row>
      </sheetData>
      <sheetData sheetId="4223">
        <row r="4">
          <cell r="I4">
            <v>0</v>
          </cell>
        </row>
      </sheetData>
      <sheetData sheetId="4224">
        <row r="4">
          <cell r="I4">
            <v>0</v>
          </cell>
        </row>
      </sheetData>
      <sheetData sheetId="4225">
        <row r="4">
          <cell r="I4">
            <v>0</v>
          </cell>
        </row>
      </sheetData>
      <sheetData sheetId="4226">
        <row r="4">
          <cell r="I4">
            <v>0</v>
          </cell>
        </row>
      </sheetData>
      <sheetData sheetId="4227">
        <row r="4">
          <cell r="I4">
            <v>0</v>
          </cell>
        </row>
      </sheetData>
      <sheetData sheetId="4228">
        <row r="4">
          <cell r="I4">
            <v>0</v>
          </cell>
        </row>
      </sheetData>
      <sheetData sheetId="4229">
        <row r="4">
          <cell r="I4">
            <v>0</v>
          </cell>
        </row>
      </sheetData>
      <sheetData sheetId="4230">
        <row r="4">
          <cell r="I4">
            <v>0</v>
          </cell>
        </row>
      </sheetData>
      <sheetData sheetId="4231">
        <row r="4">
          <cell r="I4">
            <v>0</v>
          </cell>
        </row>
      </sheetData>
      <sheetData sheetId="4232">
        <row r="4">
          <cell r="I4">
            <v>0</v>
          </cell>
        </row>
      </sheetData>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ow r="4">
          <cell r="I4">
            <v>0</v>
          </cell>
        </row>
      </sheetData>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ow r="4">
          <cell r="I4">
            <v>0</v>
          </cell>
        </row>
      </sheetData>
      <sheetData sheetId="4327" refreshError="1"/>
      <sheetData sheetId="4328">
        <row r="4">
          <cell r="I4">
            <v>0</v>
          </cell>
        </row>
      </sheetData>
      <sheetData sheetId="4329">
        <row r="4">
          <cell r="I4">
            <v>0</v>
          </cell>
        </row>
      </sheetData>
      <sheetData sheetId="4330">
        <row r="4">
          <cell r="I4">
            <v>0</v>
          </cell>
        </row>
      </sheetData>
      <sheetData sheetId="4331">
        <row r="4">
          <cell r="I4">
            <v>0</v>
          </cell>
        </row>
      </sheetData>
      <sheetData sheetId="4332">
        <row r="4">
          <cell r="I4">
            <v>0</v>
          </cell>
        </row>
      </sheetData>
      <sheetData sheetId="4333">
        <row r="4">
          <cell r="I4">
            <v>0</v>
          </cell>
        </row>
      </sheetData>
      <sheetData sheetId="4334">
        <row r="4">
          <cell r="I4">
            <v>0</v>
          </cell>
        </row>
      </sheetData>
      <sheetData sheetId="4335">
        <row r="4">
          <cell r="I4">
            <v>0</v>
          </cell>
        </row>
      </sheetData>
      <sheetData sheetId="4336">
        <row r="4">
          <cell r="I4">
            <v>0</v>
          </cell>
        </row>
      </sheetData>
      <sheetData sheetId="4337">
        <row r="4">
          <cell r="I4">
            <v>0</v>
          </cell>
        </row>
      </sheetData>
      <sheetData sheetId="4338">
        <row r="4">
          <cell r="I4">
            <v>0</v>
          </cell>
        </row>
      </sheetData>
      <sheetData sheetId="4339">
        <row r="4">
          <cell r="I4">
            <v>0</v>
          </cell>
        </row>
      </sheetData>
      <sheetData sheetId="4340">
        <row r="4">
          <cell r="I4">
            <v>0</v>
          </cell>
        </row>
      </sheetData>
      <sheetData sheetId="4341">
        <row r="4">
          <cell r="I4">
            <v>0</v>
          </cell>
        </row>
      </sheetData>
      <sheetData sheetId="4342">
        <row r="4">
          <cell r="I4">
            <v>0</v>
          </cell>
        </row>
      </sheetData>
      <sheetData sheetId="4343">
        <row r="4">
          <cell r="I4">
            <v>0</v>
          </cell>
        </row>
      </sheetData>
      <sheetData sheetId="4344">
        <row r="4">
          <cell r="I4">
            <v>0</v>
          </cell>
        </row>
      </sheetData>
      <sheetData sheetId="4345">
        <row r="4">
          <cell r="I4">
            <v>0</v>
          </cell>
        </row>
      </sheetData>
      <sheetData sheetId="4346">
        <row r="4">
          <cell r="I4">
            <v>0</v>
          </cell>
        </row>
      </sheetData>
      <sheetData sheetId="4347">
        <row r="4">
          <cell r="I4">
            <v>0</v>
          </cell>
        </row>
      </sheetData>
      <sheetData sheetId="4348">
        <row r="4">
          <cell r="I4">
            <v>0</v>
          </cell>
        </row>
      </sheetData>
      <sheetData sheetId="4349">
        <row r="4">
          <cell r="I4">
            <v>0</v>
          </cell>
        </row>
      </sheetData>
      <sheetData sheetId="4350">
        <row r="4">
          <cell r="I4">
            <v>0</v>
          </cell>
        </row>
      </sheetData>
      <sheetData sheetId="4351">
        <row r="4">
          <cell r="I4">
            <v>0</v>
          </cell>
        </row>
      </sheetData>
      <sheetData sheetId="4352">
        <row r="4">
          <cell r="I4">
            <v>0</v>
          </cell>
        </row>
      </sheetData>
      <sheetData sheetId="4353">
        <row r="4">
          <cell r="I4">
            <v>0</v>
          </cell>
        </row>
      </sheetData>
      <sheetData sheetId="4354">
        <row r="4">
          <cell r="I4">
            <v>0</v>
          </cell>
        </row>
      </sheetData>
      <sheetData sheetId="4355">
        <row r="4">
          <cell r="I4">
            <v>0</v>
          </cell>
        </row>
      </sheetData>
      <sheetData sheetId="4356">
        <row r="4">
          <cell r="I4">
            <v>0</v>
          </cell>
        </row>
      </sheetData>
      <sheetData sheetId="4357">
        <row r="4">
          <cell r="I4">
            <v>0</v>
          </cell>
        </row>
      </sheetData>
      <sheetData sheetId="4358">
        <row r="4">
          <cell r="I4">
            <v>0</v>
          </cell>
        </row>
      </sheetData>
      <sheetData sheetId="4359">
        <row r="4">
          <cell r="I4">
            <v>0</v>
          </cell>
        </row>
      </sheetData>
      <sheetData sheetId="4360">
        <row r="4">
          <cell r="I4">
            <v>0</v>
          </cell>
        </row>
      </sheetData>
      <sheetData sheetId="4361">
        <row r="4">
          <cell r="I4">
            <v>0</v>
          </cell>
        </row>
      </sheetData>
      <sheetData sheetId="4362">
        <row r="4">
          <cell r="I4">
            <v>0</v>
          </cell>
        </row>
      </sheetData>
      <sheetData sheetId="4363">
        <row r="4">
          <cell r="I4">
            <v>0</v>
          </cell>
        </row>
      </sheetData>
      <sheetData sheetId="4364">
        <row r="4">
          <cell r="I4">
            <v>0</v>
          </cell>
        </row>
      </sheetData>
      <sheetData sheetId="4365">
        <row r="4">
          <cell r="I4">
            <v>0</v>
          </cell>
        </row>
      </sheetData>
      <sheetData sheetId="4366">
        <row r="4">
          <cell r="I4">
            <v>0</v>
          </cell>
        </row>
      </sheetData>
      <sheetData sheetId="4367">
        <row r="4">
          <cell r="I4">
            <v>0</v>
          </cell>
        </row>
      </sheetData>
      <sheetData sheetId="4368">
        <row r="4">
          <cell r="I4">
            <v>0</v>
          </cell>
        </row>
      </sheetData>
      <sheetData sheetId="4369">
        <row r="4">
          <cell r="I4">
            <v>0</v>
          </cell>
        </row>
      </sheetData>
      <sheetData sheetId="4370">
        <row r="4">
          <cell r="I4">
            <v>0</v>
          </cell>
        </row>
      </sheetData>
      <sheetData sheetId="4371">
        <row r="4">
          <cell r="I4">
            <v>0</v>
          </cell>
        </row>
      </sheetData>
      <sheetData sheetId="4372">
        <row r="4">
          <cell r="I4">
            <v>0</v>
          </cell>
        </row>
      </sheetData>
      <sheetData sheetId="4373">
        <row r="4">
          <cell r="I4">
            <v>0</v>
          </cell>
        </row>
      </sheetData>
      <sheetData sheetId="4374">
        <row r="4">
          <cell r="I4">
            <v>0</v>
          </cell>
        </row>
      </sheetData>
      <sheetData sheetId="4375">
        <row r="4">
          <cell r="I4">
            <v>0</v>
          </cell>
        </row>
      </sheetData>
      <sheetData sheetId="4376">
        <row r="4">
          <cell r="I4">
            <v>0</v>
          </cell>
        </row>
      </sheetData>
      <sheetData sheetId="4377">
        <row r="4">
          <cell r="I4">
            <v>0</v>
          </cell>
        </row>
      </sheetData>
      <sheetData sheetId="4378">
        <row r="4">
          <cell r="I4">
            <v>0</v>
          </cell>
        </row>
      </sheetData>
      <sheetData sheetId="4379">
        <row r="4">
          <cell r="I4">
            <v>0</v>
          </cell>
        </row>
      </sheetData>
      <sheetData sheetId="4380">
        <row r="4">
          <cell r="I4">
            <v>0</v>
          </cell>
        </row>
      </sheetData>
      <sheetData sheetId="4381">
        <row r="4">
          <cell r="I4">
            <v>0</v>
          </cell>
        </row>
      </sheetData>
      <sheetData sheetId="4382">
        <row r="4">
          <cell r="I4">
            <v>0</v>
          </cell>
        </row>
      </sheetData>
      <sheetData sheetId="4383">
        <row r="4">
          <cell r="I4">
            <v>0</v>
          </cell>
        </row>
      </sheetData>
      <sheetData sheetId="4384">
        <row r="4">
          <cell r="I4">
            <v>0</v>
          </cell>
        </row>
      </sheetData>
      <sheetData sheetId="4385">
        <row r="4">
          <cell r="I4">
            <v>0</v>
          </cell>
        </row>
      </sheetData>
      <sheetData sheetId="4386">
        <row r="4">
          <cell r="I4">
            <v>0</v>
          </cell>
        </row>
      </sheetData>
      <sheetData sheetId="4387">
        <row r="4">
          <cell r="I4">
            <v>0</v>
          </cell>
        </row>
      </sheetData>
      <sheetData sheetId="4388">
        <row r="4">
          <cell r="I4">
            <v>0</v>
          </cell>
        </row>
      </sheetData>
      <sheetData sheetId="4389">
        <row r="4">
          <cell r="I4">
            <v>0</v>
          </cell>
        </row>
      </sheetData>
      <sheetData sheetId="4390">
        <row r="4">
          <cell r="I4">
            <v>0</v>
          </cell>
        </row>
      </sheetData>
      <sheetData sheetId="4391">
        <row r="4">
          <cell r="I4">
            <v>0</v>
          </cell>
        </row>
      </sheetData>
      <sheetData sheetId="4392">
        <row r="4">
          <cell r="I4">
            <v>0</v>
          </cell>
        </row>
      </sheetData>
      <sheetData sheetId="4393">
        <row r="4">
          <cell r="I4">
            <v>0</v>
          </cell>
        </row>
      </sheetData>
      <sheetData sheetId="4394">
        <row r="4">
          <cell r="I4">
            <v>0</v>
          </cell>
        </row>
      </sheetData>
      <sheetData sheetId="4395">
        <row r="4">
          <cell r="I4">
            <v>0</v>
          </cell>
        </row>
      </sheetData>
      <sheetData sheetId="4396">
        <row r="4">
          <cell r="I4">
            <v>0</v>
          </cell>
        </row>
      </sheetData>
      <sheetData sheetId="4397">
        <row r="4">
          <cell r="I4">
            <v>0</v>
          </cell>
        </row>
      </sheetData>
      <sheetData sheetId="4398">
        <row r="4">
          <cell r="I4">
            <v>0</v>
          </cell>
        </row>
      </sheetData>
      <sheetData sheetId="4399">
        <row r="4">
          <cell r="I4">
            <v>0</v>
          </cell>
        </row>
      </sheetData>
      <sheetData sheetId="4400">
        <row r="4">
          <cell r="I4">
            <v>0</v>
          </cell>
        </row>
      </sheetData>
      <sheetData sheetId="4401">
        <row r="4">
          <cell r="I4">
            <v>0</v>
          </cell>
        </row>
      </sheetData>
      <sheetData sheetId="4402">
        <row r="4">
          <cell r="I4">
            <v>0</v>
          </cell>
        </row>
      </sheetData>
      <sheetData sheetId="4403">
        <row r="4">
          <cell r="I4">
            <v>0</v>
          </cell>
        </row>
      </sheetData>
      <sheetData sheetId="4404">
        <row r="4">
          <cell r="I4">
            <v>0</v>
          </cell>
        </row>
      </sheetData>
      <sheetData sheetId="4405">
        <row r="4">
          <cell r="I4">
            <v>0</v>
          </cell>
        </row>
      </sheetData>
      <sheetData sheetId="4406">
        <row r="4">
          <cell r="I4">
            <v>0</v>
          </cell>
        </row>
      </sheetData>
      <sheetData sheetId="4407">
        <row r="4">
          <cell r="I4">
            <v>0</v>
          </cell>
        </row>
      </sheetData>
      <sheetData sheetId="4408">
        <row r="4">
          <cell r="I4">
            <v>0</v>
          </cell>
        </row>
      </sheetData>
      <sheetData sheetId="4409">
        <row r="4">
          <cell r="I4">
            <v>0</v>
          </cell>
        </row>
      </sheetData>
      <sheetData sheetId="4410">
        <row r="4">
          <cell r="I4">
            <v>0</v>
          </cell>
        </row>
      </sheetData>
      <sheetData sheetId="4411">
        <row r="4">
          <cell r="I4">
            <v>0</v>
          </cell>
        </row>
      </sheetData>
      <sheetData sheetId="4412">
        <row r="4">
          <cell r="I4">
            <v>0</v>
          </cell>
        </row>
      </sheetData>
      <sheetData sheetId="4413">
        <row r="4">
          <cell r="I4">
            <v>0</v>
          </cell>
        </row>
      </sheetData>
      <sheetData sheetId="4414">
        <row r="4">
          <cell r="I4">
            <v>0</v>
          </cell>
        </row>
      </sheetData>
      <sheetData sheetId="4415">
        <row r="4">
          <cell r="I4">
            <v>0</v>
          </cell>
        </row>
      </sheetData>
      <sheetData sheetId="4416">
        <row r="4">
          <cell r="I4">
            <v>0</v>
          </cell>
        </row>
      </sheetData>
      <sheetData sheetId="4417">
        <row r="4">
          <cell r="I4">
            <v>0</v>
          </cell>
        </row>
      </sheetData>
      <sheetData sheetId="4418">
        <row r="4">
          <cell r="I4">
            <v>0</v>
          </cell>
        </row>
      </sheetData>
      <sheetData sheetId="4419">
        <row r="4">
          <cell r="I4">
            <v>0</v>
          </cell>
        </row>
      </sheetData>
      <sheetData sheetId="4420">
        <row r="4">
          <cell r="I4">
            <v>0</v>
          </cell>
        </row>
      </sheetData>
      <sheetData sheetId="4421">
        <row r="4">
          <cell r="I4">
            <v>0</v>
          </cell>
        </row>
      </sheetData>
      <sheetData sheetId="4422">
        <row r="4">
          <cell r="I4">
            <v>0</v>
          </cell>
        </row>
      </sheetData>
      <sheetData sheetId="4423">
        <row r="4">
          <cell r="I4">
            <v>0</v>
          </cell>
        </row>
      </sheetData>
      <sheetData sheetId="4424">
        <row r="4">
          <cell r="I4">
            <v>0</v>
          </cell>
        </row>
      </sheetData>
      <sheetData sheetId="4425">
        <row r="4">
          <cell r="I4">
            <v>0</v>
          </cell>
        </row>
      </sheetData>
      <sheetData sheetId="4426">
        <row r="4">
          <cell r="I4">
            <v>0</v>
          </cell>
        </row>
      </sheetData>
      <sheetData sheetId="4427">
        <row r="4">
          <cell r="I4">
            <v>0</v>
          </cell>
        </row>
      </sheetData>
      <sheetData sheetId="4428">
        <row r="4">
          <cell r="I4">
            <v>0</v>
          </cell>
        </row>
      </sheetData>
      <sheetData sheetId="4429">
        <row r="4">
          <cell r="I4">
            <v>0</v>
          </cell>
        </row>
      </sheetData>
      <sheetData sheetId="4430">
        <row r="4">
          <cell r="I4">
            <v>0</v>
          </cell>
        </row>
      </sheetData>
      <sheetData sheetId="4431">
        <row r="4">
          <cell r="I4">
            <v>0</v>
          </cell>
        </row>
      </sheetData>
      <sheetData sheetId="4432">
        <row r="4">
          <cell r="I4">
            <v>0</v>
          </cell>
        </row>
      </sheetData>
      <sheetData sheetId="4433">
        <row r="4">
          <cell r="I4">
            <v>0</v>
          </cell>
        </row>
      </sheetData>
      <sheetData sheetId="4434">
        <row r="4">
          <cell r="I4">
            <v>0</v>
          </cell>
        </row>
      </sheetData>
      <sheetData sheetId="4435">
        <row r="4">
          <cell r="I4">
            <v>0</v>
          </cell>
        </row>
      </sheetData>
      <sheetData sheetId="4436">
        <row r="4">
          <cell r="I4">
            <v>0</v>
          </cell>
        </row>
      </sheetData>
      <sheetData sheetId="4437">
        <row r="4">
          <cell r="I4">
            <v>0</v>
          </cell>
        </row>
      </sheetData>
      <sheetData sheetId="4438">
        <row r="4">
          <cell r="I4">
            <v>0</v>
          </cell>
        </row>
      </sheetData>
      <sheetData sheetId="4439">
        <row r="4">
          <cell r="I4">
            <v>0</v>
          </cell>
        </row>
      </sheetData>
      <sheetData sheetId="4440">
        <row r="4">
          <cell r="I4">
            <v>0</v>
          </cell>
        </row>
      </sheetData>
      <sheetData sheetId="4441">
        <row r="4">
          <cell r="I4">
            <v>0</v>
          </cell>
        </row>
      </sheetData>
      <sheetData sheetId="4442">
        <row r="4">
          <cell r="I4">
            <v>0</v>
          </cell>
        </row>
      </sheetData>
      <sheetData sheetId="4443">
        <row r="4">
          <cell r="I4">
            <v>0</v>
          </cell>
        </row>
      </sheetData>
      <sheetData sheetId="4444">
        <row r="4">
          <cell r="I4">
            <v>0</v>
          </cell>
        </row>
      </sheetData>
      <sheetData sheetId="4445">
        <row r="4">
          <cell r="I4">
            <v>0</v>
          </cell>
        </row>
      </sheetData>
      <sheetData sheetId="4446">
        <row r="4">
          <cell r="I4">
            <v>0</v>
          </cell>
        </row>
      </sheetData>
      <sheetData sheetId="4447">
        <row r="4">
          <cell r="I4">
            <v>0</v>
          </cell>
        </row>
      </sheetData>
      <sheetData sheetId="4448">
        <row r="4">
          <cell r="I4">
            <v>0</v>
          </cell>
        </row>
      </sheetData>
      <sheetData sheetId="4449">
        <row r="4">
          <cell r="I4">
            <v>0</v>
          </cell>
        </row>
      </sheetData>
      <sheetData sheetId="4450">
        <row r="4">
          <cell r="I4">
            <v>0</v>
          </cell>
        </row>
      </sheetData>
      <sheetData sheetId="4451">
        <row r="4">
          <cell r="I4">
            <v>0</v>
          </cell>
        </row>
      </sheetData>
      <sheetData sheetId="4452">
        <row r="4">
          <cell r="I4">
            <v>0</v>
          </cell>
        </row>
      </sheetData>
      <sheetData sheetId="4453">
        <row r="4">
          <cell r="I4">
            <v>0</v>
          </cell>
        </row>
      </sheetData>
      <sheetData sheetId="4454">
        <row r="4">
          <cell r="I4">
            <v>0</v>
          </cell>
        </row>
      </sheetData>
      <sheetData sheetId="4455">
        <row r="4">
          <cell r="I4">
            <v>0</v>
          </cell>
        </row>
      </sheetData>
      <sheetData sheetId="4456">
        <row r="4">
          <cell r="I4">
            <v>0</v>
          </cell>
        </row>
      </sheetData>
      <sheetData sheetId="4457">
        <row r="4">
          <cell r="I4">
            <v>0</v>
          </cell>
        </row>
      </sheetData>
      <sheetData sheetId="4458">
        <row r="4">
          <cell r="I4">
            <v>0</v>
          </cell>
        </row>
      </sheetData>
      <sheetData sheetId="4459">
        <row r="4">
          <cell r="I4">
            <v>0</v>
          </cell>
        </row>
      </sheetData>
      <sheetData sheetId="4460">
        <row r="4">
          <cell r="I4">
            <v>0</v>
          </cell>
        </row>
      </sheetData>
      <sheetData sheetId="4461">
        <row r="4">
          <cell r="I4">
            <v>0</v>
          </cell>
        </row>
      </sheetData>
      <sheetData sheetId="4462">
        <row r="4">
          <cell r="I4">
            <v>0</v>
          </cell>
        </row>
      </sheetData>
      <sheetData sheetId="4463">
        <row r="4">
          <cell r="I4">
            <v>0</v>
          </cell>
        </row>
      </sheetData>
      <sheetData sheetId="4464">
        <row r="4">
          <cell r="I4">
            <v>0</v>
          </cell>
        </row>
      </sheetData>
      <sheetData sheetId="4465">
        <row r="4">
          <cell r="I4">
            <v>0</v>
          </cell>
        </row>
      </sheetData>
      <sheetData sheetId="4466">
        <row r="4">
          <cell r="I4">
            <v>0</v>
          </cell>
        </row>
      </sheetData>
      <sheetData sheetId="4467">
        <row r="4">
          <cell r="I4">
            <v>0</v>
          </cell>
        </row>
      </sheetData>
      <sheetData sheetId="4468">
        <row r="4">
          <cell r="I4">
            <v>0</v>
          </cell>
        </row>
      </sheetData>
      <sheetData sheetId="4469">
        <row r="4">
          <cell r="I4">
            <v>0</v>
          </cell>
        </row>
      </sheetData>
      <sheetData sheetId="4470">
        <row r="4">
          <cell r="I4">
            <v>0</v>
          </cell>
        </row>
      </sheetData>
      <sheetData sheetId="4471">
        <row r="4">
          <cell r="I4">
            <v>0</v>
          </cell>
        </row>
      </sheetData>
      <sheetData sheetId="4472">
        <row r="4">
          <cell r="I4">
            <v>0</v>
          </cell>
        </row>
      </sheetData>
      <sheetData sheetId="4473">
        <row r="4">
          <cell r="I4">
            <v>0</v>
          </cell>
        </row>
      </sheetData>
      <sheetData sheetId="4474">
        <row r="4">
          <cell r="I4">
            <v>0</v>
          </cell>
        </row>
      </sheetData>
      <sheetData sheetId="4475">
        <row r="4">
          <cell r="I4">
            <v>0</v>
          </cell>
        </row>
      </sheetData>
      <sheetData sheetId="4476">
        <row r="4">
          <cell r="I4">
            <v>0</v>
          </cell>
        </row>
      </sheetData>
      <sheetData sheetId="4477">
        <row r="4">
          <cell r="I4">
            <v>0</v>
          </cell>
        </row>
      </sheetData>
      <sheetData sheetId="4478">
        <row r="4">
          <cell r="I4">
            <v>0</v>
          </cell>
        </row>
      </sheetData>
      <sheetData sheetId="4479">
        <row r="4">
          <cell r="I4">
            <v>0</v>
          </cell>
        </row>
      </sheetData>
      <sheetData sheetId="4480">
        <row r="4">
          <cell r="I4">
            <v>0</v>
          </cell>
        </row>
      </sheetData>
      <sheetData sheetId="4481">
        <row r="4">
          <cell r="I4">
            <v>0</v>
          </cell>
        </row>
      </sheetData>
      <sheetData sheetId="4482">
        <row r="4">
          <cell r="I4">
            <v>0</v>
          </cell>
        </row>
      </sheetData>
      <sheetData sheetId="4483">
        <row r="4">
          <cell r="I4">
            <v>0</v>
          </cell>
        </row>
      </sheetData>
      <sheetData sheetId="4484">
        <row r="4">
          <cell r="I4">
            <v>0</v>
          </cell>
        </row>
      </sheetData>
      <sheetData sheetId="4485">
        <row r="4">
          <cell r="I4">
            <v>0</v>
          </cell>
        </row>
      </sheetData>
      <sheetData sheetId="4486">
        <row r="4">
          <cell r="I4">
            <v>0</v>
          </cell>
        </row>
      </sheetData>
      <sheetData sheetId="4487">
        <row r="4">
          <cell r="I4">
            <v>0</v>
          </cell>
        </row>
      </sheetData>
      <sheetData sheetId="4488">
        <row r="4">
          <cell r="I4">
            <v>0</v>
          </cell>
        </row>
      </sheetData>
      <sheetData sheetId="4489">
        <row r="4">
          <cell r="I4">
            <v>0</v>
          </cell>
        </row>
      </sheetData>
      <sheetData sheetId="4490">
        <row r="4">
          <cell r="I4">
            <v>0</v>
          </cell>
        </row>
      </sheetData>
      <sheetData sheetId="4491">
        <row r="4">
          <cell r="I4">
            <v>0</v>
          </cell>
        </row>
      </sheetData>
      <sheetData sheetId="4492">
        <row r="4">
          <cell r="I4">
            <v>0</v>
          </cell>
        </row>
      </sheetData>
      <sheetData sheetId="4493">
        <row r="4">
          <cell r="I4">
            <v>0</v>
          </cell>
        </row>
      </sheetData>
      <sheetData sheetId="4494">
        <row r="4">
          <cell r="I4">
            <v>0</v>
          </cell>
        </row>
      </sheetData>
      <sheetData sheetId="4495">
        <row r="4">
          <cell r="I4">
            <v>0</v>
          </cell>
        </row>
      </sheetData>
      <sheetData sheetId="4496">
        <row r="4">
          <cell r="I4">
            <v>0</v>
          </cell>
        </row>
      </sheetData>
      <sheetData sheetId="4497">
        <row r="4">
          <cell r="I4">
            <v>0</v>
          </cell>
        </row>
      </sheetData>
      <sheetData sheetId="4498">
        <row r="4">
          <cell r="I4">
            <v>0</v>
          </cell>
        </row>
      </sheetData>
      <sheetData sheetId="4499">
        <row r="4">
          <cell r="I4">
            <v>0</v>
          </cell>
        </row>
      </sheetData>
      <sheetData sheetId="4500">
        <row r="4">
          <cell r="I4">
            <v>0</v>
          </cell>
        </row>
      </sheetData>
      <sheetData sheetId="4501">
        <row r="4">
          <cell r="I4">
            <v>0</v>
          </cell>
        </row>
      </sheetData>
      <sheetData sheetId="4502">
        <row r="4">
          <cell r="I4">
            <v>0</v>
          </cell>
        </row>
      </sheetData>
      <sheetData sheetId="4503">
        <row r="4">
          <cell r="I4">
            <v>0</v>
          </cell>
        </row>
      </sheetData>
      <sheetData sheetId="4504">
        <row r="4">
          <cell r="I4">
            <v>0</v>
          </cell>
        </row>
      </sheetData>
      <sheetData sheetId="4505">
        <row r="4">
          <cell r="I4">
            <v>0</v>
          </cell>
        </row>
      </sheetData>
      <sheetData sheetId="4506">
        <row r="4">
          <cell r="I4">
            <v>0</v>
          </cell>
        </row>
      </sheetData>
      <sheetData sheetId="4507">
        <row r="4">
          <cell r="I4">
            <v>0</v>
          </cell>
        </row>
      </sheetData>
      <sheetData sheetId="4508">
        <row r="4">
          <cell r="I4">
            <v>0</v>
          </cell>
        </row>
      </sheetData>
      <sheetData sheetId="4509">
        <row r="4">
          <cell r="I4">
            <v>0</v>
          </cell>
        </row>
      </sheetData>
      <sheetData sheetId="4510">
        <row r="4">
          <cell r="I4">
            <v>0</v>
          </cell>
        </row>
      </sheetData>
      <sheetData sheetId="4511">
        <row r="4">
          <cell r="I4">
            <v>0</v>
          </cell>
        </row>
      </sheetData>
      <sheetData sheetId="4512">
        <row r="4">
          <cell r="I4">
            <v>0</v>
          </cell>
        </row>
      </sheetData>
      <sheetData sheetId="4513">
        <row r="4">
          <cell r="I4">
            <v>0</v>
          </cell>
        </row>
      </sheetData>
      <sheetData sheetId="4514">
        <row r="4">
          <cell r="I4">
            <v>0</v>
          </cell>
        </row>
      </sheetData>
      <sheetData sheetId="4515">
        <row r="4">
          <cell r="I4">
            <v>0</v>
          </cell>
        </row>
      </sheetData>
      <sheetData sheetId="4516">
        <row r="4">
          <cell r="I4">
            <v>0</v>
          </cell>
        </row>
      </sheetData>
      <sheetData sheetId="4517">
        <row r="4">
          <cell r="I4">
            <v>0</v>
          </cell>
        </row>
      </sheetData>
      <sheetData sheetId="4518">
        <row r="4">
          <cell r="I4">
            <v>0</v>
          </cell>
        </row>
      </sheetData>
      <sheetData sheetId="4519">
        <row r="4">
          <cell r="I4">
            <v>0</v>
          </cell>
        </row>
      </sheetData>
      <sheetData sheetId="4520">
        <row r="4">
          <cell r="I4">
            <v>0</v>
          </cell>
        </row>
      </sheetData>
      <sheetData sheetId="4521">
        <row r="4">
          <cell r="I4">
            <v>0</v>
          </cell>
        </row>
      </sheetData>
      <sheetData sheetId="4522">
        <row r="4">
          <cell r="I4">
            <v>0</v>
          </cell>
        </row>
      </sheetData>
      <sheetData sheetId="4523">
        <row r="4">
          <cell r="I4">
            <v>0</v>
          </cell>
        </row>
      </sheetData>
      <sheetData sheetId="4524">
        <row r="4">
          <cell r="I4">
            <v>0</v>
          </cell>
        </row>
      </sheetData>
      <sheetData sheetId="4525">
        <row r="4">
          <cell r="I4">
            <v>0</v>
          </cell>
        </row>
      </sheetData>
      <sheetData sheetId="4526">
        <row r="4">
          <cell r="I4">
            <v>0</v>
          </cell>
        </row>
      </sheetData>
      <sheetData sheetId="4527">
        <row r="4">
          <cell r="I4">
            <v>0</v>
          </cell>
        </row>
      </sheetData>
      <sheetData sheetId="4528">
        <row r="4">
          <cell r="I4">
            <v>0</v>
          </cell>
        </row>
      </sheetData>
      <sheetData sheetId="4529">
        <row r="4">
          <cell r="I4">
            <v>0</v>
          </cell>
        </row>
      </sheetData>
      <sheetData sheetId="4530">
        <row r="4">
          <cell r="I4">
            <v>0</v>
          </cell>
        </row>
      </sheetData>
      <sheetData sheetId="4531">
        <row r="4">
          <cell r="I4">
            <v>0</v>
          </cell>
        </row>
      </sheetData>
      <sheetData sheetId="4532">
        <row r="4">
          <cell r="I4">
            <v>0</v>
          </cell>
        </row>
      </sheetData>
      <sheetData sheetId="4533">
        <row r="4">
          <cell r="I4">
            <v>0</v>
          </cell>
        </row>
      </sheetData>
      <sheetData sheetId="4534">
        <row r="4">
          <cell r="I4">
            <v>0</v>
          </cell>
        </row>
      </sheetData>
      <sheetData sheetId="4535">
        <row r="4">
          <cell r="I4">
            <v>0</v>
          </cell>
        </row>
      </sheetData>
      <sheetData sheetId="4536">
        <row r="4">
          <cell r="I4">
            <v>0</v>
          </cell>
        </row>
      </sheetData>
      <sheetData sheetId="4537">
        <row r="4">
          <cell r="I4">
            <v>0</v>
          </cell>
        </row>
      </sheetData>
      <sheetData sheetId="4538">
        <row r="4">
          <cell r="I4">
            <v>0</v>
          </cell>
        </row>
      </sheetData>
      <sheetData sheetId="4539">
        <row r="4">
          <cell r="I4">
            <v>0</v>
          </cell>
        </row>
      </sheetData>
      <sheetData sheetId="4540">
        <row r="4">
          <cell r="I4">
            <v>0</v>
          </cell>
        </row>
      </sheetData>
      <sheetData sheetId="4541">
        <row r="4">
          <cell r="I4">
            <v>0</v>
          </cell>
        </row>
      </sheetData>
      <sheetData sheetId="4542">
        <row r="4">
          <cell r="I4">
            <v>0</v>
          </cell>
        </row>
      </sheetData>
      <sheetData sheetId="4543">
        <row r="4">
          <cell r="I4">
            <v>0</v>
          </cell>
        </row>
      </sheetData>
      <sheetData sheetId="4544">
        <row r="4">
          <cell r="I4">
            <v>0</v>
          </cell>
        </row>
      </sheetData>
      <sheetData sheetId="4545">
        <row r="4">
          <cell r="I4">
            <v>0</v>
          </cell>
        </row>
      </sheetData>
      <sheetData sheetId="4546">
        <row r="4">
          <cell r="I4">
            <v>0</v>
          </cell>
        </row>
      </sheetData>
      <sheetData sheetId="4547">
        <row r="4">
          <cell r="I4">
            <v>0</v>
          </cell>
        </row>
      </sheetData>
      <sheetData sheetId="4548">
        <row r="4">
          <cell r="I4">
            <v>0</v>
          </cell>
        </row>
      </sheetData>
      <sheetData sheetId="4549">
        <row r="4">
          <cell r="I4">
            <v>0</v>
          </cell>
        </row>
      </sheetData>
      <sheetData sheetId="4550">
        <row r="4">
          <cell r="I4">
            <v>0</v>
          </cell>
        </row>
      </sheetData>
      <sheetData sheetId="4551">
        <row r="4">
          <cell r="I4">
            <v>0</v>
          </cell>
        </row>
      </sheetData>
      <sheetData sheetId="4552">
        <row r="4">
          <cell r="I4">
            <v>0</v>
          </cell>
        </row>
      </sheetData>
      <sheetData sheetId="4553">
        <row r="4">
          <cell r="I4">
            <v>0</v>
          </cell>
        </row>
      </sheetData>
      <sheetData sheetId="4554">
        <row r="4">
          <cell r="I4">
            <v>0</v>
          </cell>
        </row>
      </sheetData>
      <sheetData sheetId="4555">
        <row r="4">
          <cell r="I4">
            <v>0</v>
          </cell>
        </row>
      </sheetData>
      <sheetData sheetId="4556">
        <row r="4">
          <cell r="I4">
            <v>0</v>
          </cell>
        </row>
      </sheetData>
      <sheetData sheetId="4557">
        <row r="4">
          <cell r="I4">
            <v>0</v>
          </cell>
        </row>
      </sheetData>
      <sheetData sheetId="4558">
        <row r="4">
          <cell r="I4">
            <v>0</v>
          </cell>
        </row>
      </sheetData>
      <sheetData sheetId="4559">
        <row r="4">
          <cell r="I4">
            <v>0</v>
          </cell>
        </row>
      </sheetData>
      <sheetData sheetId="4560">
        <row r="4">
          <cell r="I4">
            <v>0</v>
          </cell>
        </row>
      </sheetData>
      <sheetData sheetId="4561">
        <row r="4">
          <cell r="I4">
            <v>0</v>
          </cell>
        </row>
      </sheetData>
      <sheetData sheetId="4562">
        <row r="4">
          <cell r="I4">
            <v>0</v>
          </cell>
        </row>
      </sheetData>
      <sheetData sheetId="4563">
        <row r="4">
          <cell r="I4">
            <v>0</v>
          </cell>
        </row>
      </sheetData>
      <sheetData sheetId="4564">
        <row r="4">
          <cell r="I4">
            <v>0</v>
          </cell>
        </row>
      </sheetData>
      <sheetData sheetId="4565">
        <row r="4">
          <cell r="I4">
            <v>0</v>
          </cell>
        </row>
      </sheetData>
      <sheetData sheetId="4566">
        <row r="4">
          <cell r="I4">
            <v>0</v>
          </cell>
        </row>
      </sheetData>
      <sheetData sheetId="4567">
        <row r="4">
          <cell r="I4">
            <v>0</v>
          </cell>
        </row>
      </sheetData>
      <sheetData sheetId="4568">
        <row r="4">
          <cell r="I4">
            <v>0</v>
          </cell>
        </row>
      </sheetData>
      <sheetData sheetId="4569">
        <row r="4">
          <cell r="I4">
            <v>0</v>
          </cell>
        </row>
      </sheetData>
      <sheetData sheetId="4570">
        <row r="4">
          <cell r="I4">
            <v>0</v>
          </cell>
        </row>
      </sheetData>
      <sheetData sheetId="4571">
        <row r="4">
          <cell r="I4">
            <v>0</v>
          </cell>
        </row>
      </sheetData>
      <sheetData sheetId="4572">
        <row r="4">
          <cell r="I4">
            <v>0</v>
          </cell>
        </row>
      </sheetData>
      <sheetData sheetId="4573">
        <row r="4">
          <cell r="I4">
            <v>0</v>
          </cell>
        </row>
      </sheetData>
      <sheetData sheetId="4574">
        <row r="4">
          <cell r="I4">
            <v>0</v>
          </cell>
        </row>
      </sheetData>
      <sheetData sheetId="4575">
        <row r="4">
          <cell r="I4">
            <v>0</v>
          </cell>
        </row>
      </sheetData>
      <sheetData sheetId="4576">
        <row r="4">
          <cell r="I4">
            <v>0</v>
          </cell>
        </row>
      </sheetData>
      <sheetData sheetId="4577">
        <row r="4">
          <cell r="I4">
            <v>0</v>
          </cell>
        </row>
      </sheetData>
      <sheetData sheetId="4578">
        <row r="4">
          <cell r="I4">
            <v>0</v>
          </cell>
        </row>
      </sheetData>
      <sheetData sheetId="4579">
        <row r="4">
          <cell r="I4">
            <v>0</v>
          </cell>
        </row>
      </sheetData>
      <sheetData sheetId="4580">
        <row r="4">
          <cell r="I4">
            <v>0</v>
          </cell>
        </row>
      </sheetData>
      <sheetData sheetId="4581">
        <row r="4">
          <cell r="I4">
            <v>0</v>
          </cell>
        </row>
      </sheetData>
      <sheetData sheetId="4582">
        <row r="4">
          <cell r="I4">
            <v>0</v>
          </cell>
        </row>
      </sheetData>
      <sheetData sheetId="4583">
        <row r="4">
          <cell r="I4">
            <v>0</v>
          </cell>
        </row>
      </sheetData>
      <sheetData sheetId="4584">
        <row r="4">
          <cell r="I4">
            <v>0</v>
          </cell>
        </row>
      </sheetData>
      <sheetData sheetId="4585">
        <row r="4">
          <cell r="I4">
            <v>0</v>
          </cell>
        </row>
      </sheetData>
      <sheetData sheetId="4586">
        <row r="4">
          <cell r="I4">
            <v>0</v>
          </cell>
        </row>
      </sheetData>
      <sheetData sheetId="4587">
        <row r="4">
          <cell r="I4">
            <v>0</v>
          </cell>
        </row>
      </sheetData>
      <sheetData sheetId="4588">
        <row r="4">
          <cell r="I4">
            <v>0</v>
          </cell>
        </row>
      </sheetData>
      <sheetData sheetId="4589">
        <row r="4">
          <cell r="I4">
            <v>0</v>
          </cell>
        </row>
      </sheetData>
      <sheetData sheetId="4590">
        <row r="4">
          <cell r="I4">
            <v>0</v>
          </cell>
        </row>
      </sheetData>
      <sheetData sheetId="4591">
        <row r="4">
          <cell r="I4">
            <v>0</v>
          </cell>
        </row>
      </sheetData>
      <sheetData sheetId="4592">
        <row r="4">
          <cell r="I4">
            <v>0</v>
          </cell>
        </row>
      </sheetData>
      <sheetData sheetId="4593">
        <row r="4">
          <cell r="I4">
            <v>0</v>
          </cell>
        </row>
      </sheetData>
      <sheetData sheetId="4594">
        <row r="4">
          <cell r="I4">
            <v>0</v>
          </cell>
        </row>
      </sheetData>
      <sheetData sheetId="4595">
        <row r="4">
          <cell r="I4">
            <v>0</v>
          </cell>
        </row>
      </sheetData>
      <sheetData sheetId="4596">
        <row r="4">
          <cell r="I4">
            <v>0</v>
          </cell>
        </row>
      </sheetData>
      <sheetData sheetId="4597">
        <row r="4">
          <cell r="I4">
            <v>0</v>
          </cell>
        </row>
      </sheetData>
      <sheetData sheetId="4598">
        <row r="4">
          <cell r="I4">
            <v>0</v>
          </cell>
        </row>
      </sheetData>
      <sheetData sheetId="4599">
        <row r="4">
          <cell r="I4">
            <v>0</v>
          </cell>
        </row>
      </sheetData>
      <sheetData sheetId="4600">
        <row r="4">
          <cell r="I4">
            <v>0</v>
          </cell>
        </row>
      </sheetData>
      <sheetData sheetId="4601">
        <row r="4">
          <cell r="I4">
            <v>0</v>
          </cell>
        </row>
      </sheetData>
      <sheetData sheetId="4602">
        <row r="4">
          <cell r="I4">
            <v>0</v>
          </cell>
        </row>
      </sheetData>
      <sheetData sheetId="4603">
        <row r="4">
          <cell r="I4">
            <v>0</v>
          </cell>
        </row>
      </sheetData>
      <sheetData sheetId="4604">
        <row r="4">
          <cell r="I4">
            <v>0</v>
          </cell>
        </row>
      </sheetData>
      <sheetData sheetId="4605">
        <row r="4">
          <cell r="I4">
            <v>0</v>
          </cell>
        </row>
      </sheetData>
      <sheetData sheetId="4606">
        <row r="4">
          <cell r="I4">
            <v>0</v>
          </cell>
        </row>
      </sheetData>
      <sheetData sheetId="4607">
        <row r="4">
          <cell r="I4">
            <v>0</v>
          </cell>
        </row>
      </sheetData>
      <sheetData sheetId="4608">
        <row r="4">
          <cell r="I4">
            <v>0</v>
          </cell>
        </row>
      </sheetData>
      <sheetData sheetId="4609">
        <row r="4">
          <cell r="I4">
            <v>0</v>
          </cell>
        </row>
      </sheetData>
      <sheetData sheetId="4610">
        <row r="4">
          <cell r="I4">
            <v>0</v>
          </cell>
        </row>
      </sheetData>
      <sheetData sheetId="4611">
        <row r="4">
          <cell r="I4">
            <v>0</v>
          </cell>
        </row>
      </sheetData>
      <sheetData sheetId="4612">
        <row r="4">
          <cell r="I4">
            <v>0</v>
          </cell>
        </row>
      </sheetData>
      <sheetData sheetId="4613">
        <row r="4">
          <cell r="I4">
            <v>0</v>
          </cell>
        </row>
      </sheetData>
      <sheetData sheetId="4614">
        <row r="4">
          <cell r="I4">
            <v>0</v>
          </cell>
        </row>
      </sheetData>
      <sheetData sheetId="4615">
        <row r="4">
          <cell r="I4">
            <v>0</v>
          </cell>
        </row>
      </sheetData>
      <sheetData sheetId="4616">
        <row r="4">
          <cell r="I4">
            <v>0</v>
          </cell>
        </row>
      </sheetData>
      <sheetData sheetId="4617">
        <row r="4">
          <cell r="I4">
            <v>0</v>
          </cell>
        </row>
      </sheetData>
      <sheetData sheetId="4618">
        <row r="4">
          <cell r="I4">
            <v>0</v>
          </cell>
        </row>
      </sheetData>
      <sheetData sheetId="4619">
        <row r="4">
          <cell r="I4">
            <v>0</v>
          </cell>
        </row>
      </sheetData>
      <sheetData sheetId="4620">
        <row r="4">
          <cell r="I4">
            <v>0</v>
          </cell>
        </row>
      </sheetData>
      <sheetData sheetId="4621">
        <row r="4">
          <cell r="I4">
            <v>0</v>
          </cell>
        </row>
      </sheetData>
      <sheetData sheetId="4622">
        <row r="4">
          <cell r="I4">
            <v>0</v>
          </cell>
        </row>
      </sheetData>
      <sheetData sheetId="4623">
        <row r="4">
          <cell r="I4">
            <v>0</v>
          </cell>
        </row>
      </sheetData>
      <sheetData sheetId="4624">
        <row r="4">
          <cell r="I4">
            <v>0</v>
          </cell>
        </row>
      </sheetData>
      <sheetData sheetId="4625">
        <row r="4">
          <cell r="I4">
            <v>0</v>
          </cell>
        </row>
      </sheetData>
      <sheetData sheetId="4626">
        <row r="4">
          <cell r="I4">
            <v>0</v>
          </cell>
        </row>
      </sheetData>
      <sheetData sheetId="4627">
        <row r="4">
          <cell r="I4">
            <v>0</v>
          </cell>
        </row>
      </sheetData>
      <sheetData sheetId="4628">
        <row r="4">
          <cell r="I4">
            <v>0</v>
          </cell>
        </row>
      </sheetData>
      <sheetData sheetId="4629">
        <row r="4">
          <cell r="I4">
            <v>0</v>
          </cell>
        </row>
      </sheetData>
      <sheetData sheetId="4630">
        <row r="4">
          <cell r="I4">
            <v>0</v>
          </cell>
        </row>
      </sheetData>
      <sheetData sheetId="4631">
        <row r="4">
          <cell r="I4">
            <v>0</v>
          </cell>
        </row>
      </sheetData>
      <sheetData sheetId="4632">
        <row r="4">
          <cell r="I4">
            <v>0</v>
          </cell>
        </row>
      </sheetData>
      <sheetData sheetId="4633" refreshError="1"/>
      <sheetData sheetId="4634">
        <row r="4">
          <cell r="I4">
            <v>0</v>
          </cell>
        </row>
      </sheetData>
      <sheetData sheetId="4635" refreshError="1"/>
      <sheetData sheetId="4636" refreshError="1"/>
      <sheetData sheetId="4637" refreshError="1"/>
      <sheetData sheetId="4638" refreshError="1"/>
      <sheetData sheetId="4639">
        <row r="4">
          <cell r="I4">
            <v>0</v>
          </cell>
        </row>
      </sheetData>
      <sheetData sheetId="4640">
        <row r="4">
          <cell r="I4">
            <v>0</v>
          </cell>
        </row>
      </sheetData>
      <sheetData sheetId="4641">
        <row r="4">
          <cell r="I4">
            <v>0</v>
          </cell>
        </row>
      </sheetData>
      <sheetData sheetId="4642">
        <row r="4">
          <cell r="I4">
            <v>0</v>
          </cell>
        </row>
      </sheetData>
      <sheetData sheetId="4643">
        <row r="4">
          <cell r="I4">
            <v>0</v>
          </cell>
        </row>
      </sheetData>
      <sheetData sheetId="4644">
        <row r="4">
          <cell r="I4">
            <v>0</v>
          </cell>
        </row>
      </sheetData>
      <sheetData sheetId="4645">
        <row r="4">
          <cell r="I4">
            <v>0</v>
          </cell>
        </row>
      </sheetData>
      <sheetData sheetId="4646">
        <row r="4">
          <cell r="I4">
            <v>0</v>
          </cell>
        </row>
      </sheetData>
      <sheetData sheetId="4647">
        <row r="4">
          <cell r="I4">
            <v>0</v>
          </cell>
        </row>
      </sheetData>
      <sheetData sheetId="4648">
        <row r="4">
          <cell r="I4">
            <v>0</v>
          </cell>
        </row>
      </sheetData>
      <sheetData sheetId="4649">
        <row r="4">
          <cell r="I4">
            <v>0</v>
          </cell>
        </row>
      </sheetData>
      <sheetData sheetId="4650">
        <row r="4">
          <cell r="I4">
            <v>0</v>
          </cell>
        </row>
      </sheetData>
      <sheetData sheetId="4651">
        <row r="4">
          <cell r="I4">
            <v>0</v>
          </cell>
        </row>
      </sheetData>
      <sheetData sheetId="4652">
        <row r="4">
          <cell r="I4">
            <v>0</v>
          </cell>
        </row>
      </sheetData>
      <sheetData sheetId="4653">
        <row r="4">
          <cell r="I4">
            <v>0</v>
          </cell>
        </row>
      </sheetData>
      <sheetData sheetId="4654">
        <row r="4">
          <cell r="I4">
            <v>0</v>
          </cell>
        </row>
      </sheetData>
      <sheetData sheetId="4655">
        <row r="4">
          <cell r="I4">
            <v>0</v>
          </cell>
        </row>
      </sheetData>
      <sheetData sheetId="4656">
        <row r="4">
          <cell r="I4">
            <v>0</v>
          </cell>
        </row>
      </sheetData>
      <sheetData sheetId="4657">
        <row r="4">
          <cell r="I4">
            <v>0</v>
          </cell>
        </row>
      </sheetData>
      <sheetData sheetId="4658">
        <row r="4">
          <cell r="I4">
            <v>0</v>
          </cell>
        </row>
      </sheetData>
      <sheetData sheetId="4659">
        <row r="4">
          <cell r="I4">
            <v>0</v>
          </cell>
        </row>
      </sheetData>
      <sheetData sheetId="4660">
        <row r="4">
          <cell r="I4">
            <v>0</v>
          </cell>
        </row>
      </sheetData>
      <sheetData sheetId="4661">
        <row r="4">
          <cell r="I4">
            <v>0</v>
          </cell>
        </row>
      </sheetData>
      <sheetData sheetId="4662">
        <row r="4">
          <cell r="I4">
            <v>0</v>
          </cell>
        </row>
      </sheetData>
      <sheetData sheetId="4663">
        <row r="4">
          <cell r="I4">
            <v>0</v>
          </cell>
        </row>
      </sheetData>
      <sheetData sheetId="4664">
        <row r="4">
          <cell r="I4">
            <v>0</v>
          </cell>
        </row>
      </sheetData>
      <sheetData sheetId="4665">
        <row r="4">
          <cell r="I4">
            <v>0</v>
          </cell>
        </row>
      </sheetData>
      <sheetData sheetId="4666">
        <row r="4">
          <cell r="I4">
            <v>0</v>
          </cell>
        </row>
      </sheetData>
      <sheetData sheetId="4667">
        <row r="4">
          <cell r="I4">
            <v>0</v>
          </cell>
        </row>
      </sheetData>
      <sheetData sheetId="4668">
        <row r="4">
          <cell r="I4">
            <v>0</v>
          </cell>
        </row>
      </sheetData>
      <sheetData sheetId="4669">
        <row r="4">
          <cell r="I4">
            <v>0</v>
          </cell>
        </row>
      </sheetData>
      <sheetData sheetId="4670">
        <row r="4">
          <cell r="I4">
            <v>0</v>
          </cell>
        </row>
      </sheetData>
      <sheetData sheetId="4671">
        <row r="4">
          <cell r="I4">
            <v>0</v>
          </cell>
        </row>
      </sheetData>
      <sheetData sheetId="4672">
        <row r="4">
          <cell r="I4">
            <v>0</v>
          </cell>
        </row>
      </sheetData>
      <sheetData sheetId="4673">
        <row r="4">
          <cell r="I4">
            <v>0</v>
          </cell>
        </row>
      </sheetData>
      <sheetData sheetId="4674">
        <row r="4">
          <cell r="I4">
            <v>0</v>
          </cell>
        </row>
      </sheetData>
      <sheetData sheetId="4675">
        <row r="4">
          <cell r="I4">
            <v>0</v>
          </cell>
        </row>
      </sheetData>
      <sheetData sheetId="4676">
        <row r="4">
          <cell r="I4">
            <v>0</v>
          </cell>
        </row>
      </sheetData>
      <sheetData sheetId="4677">
        <row r="4">
          <cell r="I4">
            <v>0</v>
          </cell>
        </row>
      </sheetData>
      <sheetData sheetId="4678">
        <row r="4">
          <cell r="I4">
            <v>0</v>
          </cell>
        </row>
      </sheetData>
      <sheetData sheetId="4679">
        <row r="4">
          <cell r="I4">
            <v>0</v>
          </cell>
        </row>
      </sheetData>
      <sheetData sheetId="4680">
        <row r="4">
          <cell r="I4">
            <v>0</v>
          </cell>
        </row>
      </sheetData>
      <sheetData sheetId="4681">
        <row r="4">
          <cell r="I4">
            <v>0</v>
          </cell>
        </row>
      </sheetData>
      <sheetData sheetId="4682">
        <row r="4">
          <cell r="I4">
            <v>0</v>
          </cell>
        </row>
      </sheetData>
      <sheetData sheetId="4683">
        <row r="4">
          <cell r="I4">
            <v>0</v>
          </cell>
        </row>
      </sheetData>
      <sheetData sheetId="4684">
        <row r="4">
          <cell r="I4">
            <v>0</v>
          </cell>
        </row>
      </sheetData>
      <sheetData sheetId="4685">
        <row r="4">
          <cell r="I4">
            <v>0</v>
          </cell>
        </row>
      </sheetData>
      <sheetData sheetId="4686">
        <row r="4">
          <cell r="I4">
            <v>0</v>
          </cell>
        </row>
      </sheetData>
      <sheetData sheetId="4687">
        <row r="4">
          <cell r="I4">
            <v>0</v>
          </cell>
        </row>
      </sheetData>
      <sheetData sheetId="4688">
        <row r="4">
          <cell r="I4">
            <v>0</v>
          </cell>
        </row>
      </sheetData>
      <sheetData sheetId="4689">
        <row r="4">
          <cell r="I4">
            <v>0</v>
          </cell>
        </row>
      </sheetData>
      <sheetData sheetId="4690">
        <row r="4">
          <cell r="I4">
            <v>0</v>
          </cell>
        </row>
      </sheetData>
      <sheetData sheetId="4691">
        <row r="4">
          <cell r="I4">
            <v>0</v>
          </cell>
        </row>
      </sheetData>
      <sheetData sheetId="4692">
        <row r="4">
          <cell r="I4">
            <v>0</v>
          </cell>
        </row>
      </sheetData>
      <sheetData sheetId="4693">
        <row r="4">
          <cell r="I4">
            <v>0</v>
          </cell>
        </row>
      </sheetData>
      <sheetData sheetId="4694">
        <row r="4">
          <cell r="I4">
            <v>0</v>
          </cell>
        </row>
      </sheetData>
      <sheetData sheetId="4695">
        <row r="4">
          <cell r="I4">
            <v>0</v>
          </cell>
        </row>
      </sheetData>
      <sheetData sheetId="4696">
        <row r="4">
          <cell r="I4">
            <v>0</v>
          </cell>
        </row>
      </sheetData>
      <sheetData sheetId="4697">
        <row r="4">
          <cell r="I4">
            <v>0</v>
          </cell>
        </row>
      </sheetData>
      <sheetData sheetId="4698">
        <row r="4">
          <cell r="I4">
            <v>0</v>
          </cell>
        </row>
      </sheetData>
      <sheetData sheetId="4699">
        <row r="4">
          <cell r="I4">
            <v>0</v>
          </cell>
        </row>
      </sheetData>
      <sheetData sheetId="4700">
        <row r="4">
          <cell r="I4">
            <v>0</v>
          </cell>
        </row>
      </sheetData>
      <sheetData sheetId="4701">
        <row r="4">
          <cell r="I4">
            <v>0</v>
          </cell>
        </row>
      </sheetData>
      <sheetData sheetId="4702">
        <row r="4">
          <cell r="I4">
            <v>0</v>
          </cell>
        </row>
      </sheetData>
      <sheetData sheetId="4703">
        <row r="4">
          <cell r="I4">
            <v>0</v>
          </cell>
        </row>
      </sheetData>
      <sheetData sheetId="4704">
        <row r="4">
          <cell r="I4">
            <v>0</v>
          </cell>
        </row>
      </sheetData>
      <sheetData sheetId="4705">
        <row r="4">
          <cell r="I4">
            <v>0</v>
          </cell>
        </row>
      </sheetData>
      <sheetData sheetId="4706">
        <row r="4">
          <cell r="I4">
            <v>0</v>
          </cell>
        </row>
      </sheetData>
      <sheetData sheetId="4707">
        <row r="4">
          <cell r="I4">
            <v>0</v>
          </cell>
        </row>
      </sheetData>
      <sheetData sheetId="4708">
        <row r="4">
          <cell r="I4">
            <v>0</v>
          </cell>
        </row>
      </sheetData>
      <sheetData sheetId="4709">
        <row r="4">
          <cell r="I4">
            <v>0</v>
          </cell>
        </row>
      </sheetData>
      <sheetData sheetId="4710">
        <row r="4">
          <cell r="I4">
            <v>0</v>
          </cell>
        </row>
      </sheetData>
      <sheetData sheetId="4711">
        <row r="4">
          <cell r="I4">
            <v>0</v>
          </cell>
        </row>
      </sheetData>
      <sheetData sheetId="4712">
        <row r="4">
          <cell r="I4">
            <v>0</v>
          </cell>
        </row>
      </sheetData>
      <sheetData sheetId="4713">
        <row r="4">
          <cell r="I4">
            <v>0</v>
          </cell>
        </row>
      </sheetData>
      <sheetData sheetId="4714">
        <row r="4">
          <cell r="I4">
            <v>0</v>
          </cell>
        </row>
      </sheetData>
      <sheetData sheetId="4715">
        <row r="4">
          <cell r="I4">
            <v>0</v>
          </cell>
        </row>
      </sheetData>
      <sheetData sheetId="4716">
        <row r="4">
          <cell r="I4">
            <v>0</v>
          </cell>
        </row>
      </sheetData>
      <sheetData sheetId="4717">
        <row r="4">
          <cell r="I4">
            <v>0</v>
          </cell>
        </row>
      </sheetData>
      <sheetData sheetId="4718">
        <row r="4">
          <cell r="I4">
            <v>0</v>
          </cell>
        </row>
      </sheetData>
      <sheetData sheetId="4719">
        <row r="4">
          <cell r="I4">
            <v>0</v>
          </cell>
        </row>
      </sheetData>
      <sheetData sheetId="4720">
        <row r="4">
          <cell r="I4">
            <v>0</v>
          </cell>
        </row>
      </sheetData>
      <sheetData sheetId="4721">
        <row r="4">
          <cell r="I4">
            <v>0</v>
          </cell>
        </row>
      </sheetData>
      <sheetData sheetId="4722">
        <row r="4">
          <cell r="I4">
            <v>0</v>
          </cell>
        </row>
      </sheetData>
      <sheetData sheetId="4723">
        <row r="4">
          <cell r="I4">
            <v>0</v>
          </cell>
        </row>
      </sheetData>
      <sheetData sheetId="4724">
        <row r="4">
          <cell r="I4">
            <v>0</v>
          </cell>
        </row>
      </sheetData>
      <sheetData sheetId="4725">
        <row r="4">
          <cell r="I4">
            <v>0</v>
          </cell>
        </row>
      </sheetData>
      <sheetData sheetId="4726">
        <row r="4">
          <cell r="I4">
            <v>0</v>
          </cell>
        </row>
      </sheetData>
      <sheetData sheetId="4727">
        <row r="4">
          <cell r="I4">
            <v>0</v>
          </cell>
        </row>
      </sheetData>
      <sheetData sheetId="4728">
        <row r="4">
          <cell r="I4">
            <v>0</v>
          </cell>
        </row>
      </sheetData>
      <sheetData sheetId="4729">
        <row r="4">
          <cell r="I4">
            <v>0</v>
          </cell>
        </row>
      </sheetData>
      <sheetData sheetId="4730">
        <row r="4">
          <cell r="I4">
            <v>0</v>
          </cell>
        </row>
      </sheetData>
      <sheetData sheetId="4731">
        <row r="4">
          <cell r="I4">
            <v>0</v>
          </cell>
        </row>
      </sheetData>
      <sheetData sheetId="4732">
        <row r="4">
          <cell r="I4">
            <v>0</v>
          </cell>
        </row>
      </sheetData>
      <sheetData sheetId="4733">
        <row r="4">
          <cell r="I4">
            <v>0</v>
          </cell>
        </row>
      </sheetData>
      <sheetData sheetId="4734">
        <row r="4">
          <cell r="I4">
            <v>0</v>
          </cell>
        </row>
      </sheetData>
      <sheetData sheetId="4735">
        <row r="4">
          <cell r="I4">
            <v>0</v>
          </cell>
        </row>
      </sheetData>
      <sheetData sheetId="4736">
        <row r="4">
          <cell r="I4">
            <v>0</v>
          </cell>
        </row>
      </sheetData>
      <sheetData sheetId="4737">
        <row r="4">
          <cell r="I4">
            <v>0</v>
          </cell>
        </row>
      </sheetData>
      <sheetData sheetId="4738">
        <row r="4">
          <cell r="I4">
            <v>0</v>
          </cell>
        </row>
      </sheetData>
      <sheetData sheetId="4739">
        <row r="4">
          <cell r="I4">
            <v>0</v>
          </cell>
        </row>
      </sheetData>
      <sheetData sheetId="4740">
        <row r="4">
          <cell r="I4">
            <v>0</v>
          </cell>
        </row>
      </sheetData>
      <sheetData sheetId="4741">
        <row r="4">
          <cell r="I4">
            <v>0</v>
          </cell>
        </row>
      </sheetData>
      <sheetData sheetId="4742">
        <row r="4">
          <cell r="I4">
            <v>0</v>
          </cell>
        </row>
      </sheetData>
      <sheetData sheetId="4743">
        <row r="4">
          <cell r="I4">
            <v>0</v>
          </cell>
        </row>
      </sheetData>
      <sheetData sheetId="4744">
        <row r="4">
          <cell r="I4">
            <v>0</v>
          </cell>
        </row>
      </sheetData>
      <sheetData sheetId="4745">
        <row r="4">
          <cell r="I4">
            <v>0</v>
          </cell>
        </row>
      </sheetData>
      <sheetData sheetId="4746">
        <row r="4">
          <cell r="I4">
            <v>0</v>
          </cell>
        </row>
      </sheetData>
      <sheetData sheetId="4747">
        <row r="4">
          <cell r="I4">
            <v>0</v>
          </cell>
        </row>
      </sheetData>
      <sheetData sheetId="4748">
        <row r="4">
          <cell r="I4">
            <v>0</v>
          </cell>
        </row>
      </sheetData>
      <sheetData sheetId="4749">
        <row r="4">
          <cell r="I4">
            <v>0</v>
          </cell>
        </row>
      </sheetData>
      <sheetData sheetId="4750">
        <row r="4">
          <cell r="I4">
            <v>0</v>
          </cell>
        </row>
      </sheetData>
      <sheetData sheetId="4751">
        <row r="4">
          <cell r="I4">
            <v>0</v>
          </cell>
        </row>
      </sheetData>
      <sheetData sheetId="4752">
        <row r="4">
          <cell r="I4">
            <v>0</v>
          </cell>
        </row>
      </sheetData>
      <sheetData sheetId="4753">
        <row r="4">
          <cell r="I4">
            <v>0</v>
          </cell>
        </row>
      </sheetData>
      <sheetData sheetId="4754">
        <row r="4">
          <cell r="I4">
            <v>0</v>
          </cell>
        </row>
      </sheetData>
      <sheetData sheetId="4755">
        <row r="4">
          <cell r="I4">
            <v>0</v>
          </cell>
        </row>
      </sheetData>
      <sheetData sheetId="4756">
        <row r="4">
          <cell r="I4">
            <v>0</v>
          </cell>
        </row>
      </sheetData>
      <sheetData sheetId="4757">
        <row r="4">
          <cell r="I4">
            <v>0</v>
          </cell>
        </row>
      </sheetData>
      <sheetData sheetId="4758">
        <row r="4">
          <cell r="I4">
            <v>0</v>
          </cell>
        </row>
      </sheetData>
      <sheetData sheetId="4759">
        <row r="4">
          <cell r="I4">
            <v>0</v>
          </cell>
        </row>
      </sheetData>
      <sheetData sheetId="4760">
        <row r="4">
          <cell r="I4">
            <v>0</v>
          </cell>
        </row>
      </sheetData>
      <sheetData sheetId="4761">
        <row r="4">
          <cell r="I4">
            <v>0</v>
          </cell>
        </row>
      </sheetData>
      <sheetData sheetId="4762">
        <row r="4">
          <cell r="I4">
            <v>0</v>
          </cell>
        </row>
      </sheetData>
      <sheetData sheetId="4763">
        <row r="4">
          <cell r="I4">
            <v>0</v>
          </cell>
        </row>
      </sheetData>
      <sheetData sheetId="4764">
        <row r="4">
          <cell r="I4">
            <v>0</v>
          </cell>
        </row>
      </sheetData>
      <sheetData sheetId="4765">
        <row r="4">
          <cell r="I4">
            <v>0</v>
          </cell>
        </row>
      </sheetData>
      <sheetData sheetId="4766">
        <row r="4">
          <cell r="I4">
            <v>0</v>
          </cell>
        </row>
      </sheetData>
      <sheetData sheetId="4767">
        <row r="4">
          <cell r="I4">
            <v>0</v>
          </cell>
        </row>
      </sheetData>
      <sheetData sheetId="4768">
        <row r="4">
          <cell r="I4">
            <v>0</v>
          </cell>
        </row>
      </sheetData>
      <sheetData sheetId="4769">
        <row r="4">
          <cell r="I4">
            <v>0</v>
          </cell>
        </row>
      </sheetData>
      <sheetData sheetId="4770">
        <row r="4">
          <cell r="I4">
            <v>0</v>
          </cell>
        </row>
      </sheetData>
      <sheetData sheetId="4771">
        <row r="4">
          <cell r="I4">
            <v>0</v>
          </cell>
        </row>
      </sheetData>
      <sheetData sheetId="4772">
        <row r="4">
          <cell r="I4">
            <v>0</v>
          </cell>
        </row>
      </sheetData>
      <sheetData sheetId="4773">
        <row r="4">
          <cell r="I4">
            <v>0</v>
          </cell>
        </row>
      </sheetData>
      <sheetData sheetId="4774">
        <row r="4">
          <cell r="I4">
            <v>0</v>
          </cell>
        </row>
      </sheetData>
      <sheetData sheetId="4775">
        <row r="4">
          <cell r="I4">
            <v>0</v>
          </cell>
        </row>
      </sheetData>
      <sheetData sheetId="4776">
        <row r="4">
          <cell r="I4">
            <v>0</v>
          </cell>
        </row>
      </sheetData>
      <sheetData sheetId="4777">
        <row r="4">
          <cell r="I4">
            <v>0</v>
          </cell>
        </row>
      </sheetData>
      <sheetData sheetId="4778">
        <row r="4">
          <cell r="I4">
            <v>0</v>
          </cell>
        </row>
      </sheetData>
      <sheetData sheetId="4779">
        <row r="4">
          <cell r="I4">
            <v>0</v>
          </cell>
        </row>
      </sheetData>
      <sheetData sheetId="4780">
        <row r="4">
          <cell r="I4">
            <v>0</v>
          </cell>
        </row>
      </sheetData>
      <sheetData sheetId="4781">
        <row r="4">
          <cell r="I4">
            <v>0</v>
          </cell>
        </row>
      </sheetData>
      <sheetData sheetId="4782">
        <row r="4">
          <cell r="I4">
            <v>0</v>
          </cell>
        </row>
      </sheetData>
      <sheetData sheetId="4783">
        <row r="4">
          <cell r="I4">
            <v>0</v>
          </cell>
        </row>
      </sheetData>
      <sheetData sheetId="4784">
        <row r="4">
          <cell r="I4">
            <v>0</v>
          </cell>
        </row>
      </sheetData>
      <sheetData sheetId="4785">
        <row r="4">
          <cell r="I4">
            <v>0</v>
          </cell>
        </row>
      </sheetData>
      <sheetData sheetId="4786">
        <row r="4">
          <cell r="I4">
            <v>0</v>
          </cell>
        </row>
      </sheetData>
      <sheetData sheetId="4787">
        <row r="4">
          <cell r="I4">
            <v>0</v>
          </cell>
        </row>
      </sheetData>
      <sheetData sheetId="4788">
        <row r="4">
          <cell r="I4">
            <v>0</v>
          </cell>
        </row>
      </sheetData>
      <sheetData sheetId="4789">
        <row r="4">
          <cell r="I4">
            <v>0</v>
          </cell>
        </row>
      </sheetData>
      <sheetData sheetId="4790">
        <row r="4">
          <cell r="I4">
            <v>0</v>
          </cell>
        </row>
      </sheetData>
      <sheetData sheetId="4791">
        <row r="4">
          <cell r="I4">
            <v>0</v>
          </cell>
        </row>
      </sheetData>
      <sheetData sheetId="4792">
        <row r="4">
          <cell r="I4">
            <v>0</v>
          </cell>
        </row>
      </sheetData>
      <sheetData sheetId="4793">
        <row r="4">
          <cell r="I4">
            <v>0</v>
          </cell>
        </row>
      </sheetData>
      <sheetData sheetId="4794">
        <row r="4">
          <cell r="I4">
            <v>0</v>
          </cell>
        </row>
      </sheetData>
      <sheetData sheetId="4795">
        <row r="4">
          <cell r="I4">
            <v>0</v>
          </cell>
        </row>
      </sheetData>
      <sheetData sheetId="4796">
        <row r="4">
          <cell r="I4">
            <v>0</v>
          </cell>
        </row>
      </sheetData>
      <sheetData sheetId="4797">
        <row r="4">
          <cell r="I4">
            <v>0</v>
          </cell>
        </row>
      </sheetData>
      <sheetData sheetId="4798">
        <row r="4">
          <cell r="I4">
            <v>0</v>
          </cell>
        </row>
      </sheetData>
      <sheetData sheetId="4799">
        <row r="4">
          <cell r="I4">
            <v>0</v>
          </cell>
        </row>
      </sheetData>
      <sheetData sheetId="4800">
        <row r="4">
          <cell r="I4">
            <v>0</v>
          </cell>
        </row>
      </sheetData>
      <sheetData sheetId="4801">
        <row r="4">
          <cell r="I4">
            <v>0</v>
          </cell>
        </row>
      </sheetData>
      <sheetData sheetId="4802">
        <row r="4">
          <cell r="I4">
            <v>0</v>
          </cell>
        </row>
      </sheetData>
      <sheetData sheetId="4803">
        <row r="4">
          <cell r="I4">
            <v>0</v>
          </cell>
        </row>
      </sheetData>
      <sheetData sheetId="4804">
        <row r="4">
          <cell r="I4">
            <v>0</v>
          </cell>
        </row>
      </sheetData>
      <sheetData sheetId="4805">
        <row r="4">
          <cell r="I4">
            <v>0</v>
          </cell>
        </row>
      </sheetData>
      <sheetData sheetId="4806">
        <row r="4">
          <cell r="I4">
            <v>0</v>
          </cell>
        </row>
      </sheetData>
      <sheetData sheetId="4807">
        <row r="4">
          <cell r="I4">
            <v>0</v>
          </cell>
        </row>
      </sheetData>
      <sheetData sheetId="4808">
        <row r="4">
          <cell r="I4">
            <v>0</v>
          </cell>
        </row>
      </sheetData>
      <sheetData sheetId="4809">
        <row r="4">
          <cell r="I4">
            <v>0</v>
          </cell>
        </row>
      </sheetData>
      <sheetData sheetId="4810">
        <row r="4">
          <cell r="I4">
            <v>0</v>
          </cell>
        </row>
      </sheetData>
      <sheetData sheetId="4811">
        <row r="4">
          <cell r="I4">
            <v>0</v>
          </cell>
        </row>
      </sheetData>
      <sheetData sheetId="4812">
        <row r="4">
          <cell r="I4">
            <v>0</v>
          </cell>
        </row>
      </sheetData>
      <sheetData sheetId="4813">
        <row r="4">
          <cell r="I4">
            <v>0</v>
          </cell>
        </row>
      </sheetData>
      <sheetData sheetId="4814">
        <row r="4">
          <cell r="I4">
            <v>0</v>
          </cell>
        </row>
      </sheetData>
      <sheetData sheetId="4815">
        <row r="4">
          <cell r="I4">
            <v>0</v>
          </cell>
        </row>
      </sheetData>
      <sheetData sheetId="4816">
        <row r="4">
          <cell r="I4">
            <v>0</v>
          </cell>
        </row>
      </sheetData>
      <sheetData sheetId="4817">
        <row r="4">
          <cell r="I4">
            <v>0</v>
          </cell>
        </row>
      </sheetData>
      <sheetData sheetId="4818">
        <row r="4">
          <cell r="I4">
            <v>0</v>
          </cell>
        </row>
      </sheetData>
      <sheetData sheetId="4819">
        <row r="4">
          <cell r="I4">
            <v>0</v>
          </cell>
        </row>
      </sheetData>
      <sheetData sheetId="4820">
        <row r="4">
          <cell r="I4">
            <v>0</v>
          </cell>
        </row>
      </sheetData>
      <sheetData sheetId="4821">
        <row r="4">
          <cell r="I4">
            <v>0</v>
          </cell>
        </row>
      </sheetData>
      <sheetData sheetId="4822">
        <row r="4">
          <cell r="I4">
            <v>0</v>
          </cell>
        </row>
      </sheetData>
      <sheetData sheetId="4823">
        <row r="4">
          <cell r="I4">
            <v>0</v>
          </cell>
        </row>
      </sheetData>
      <sheetData sheetId="4824">
        <row r="4">
          <cell r="I4">
            <v>0</v>
          </cell>
        </row>
      </sheetData>
      <sheetData sheetId="4825">
        <row r="4">
          <cell r="I4">
            <v>0</v>
          </cell>
        </row>
      </sheetData>
      <sheetData sheetId="4826">
        <row r="4">
          <cell r="I4">
            <v>0</v>
          </cell>
        </row>
      </sheetData>
      <sheetData sheetId="4827">
        <row r="4">
          <cell r="I4">
            <v>0</v>
          </cell>
        </row>
      </sheetData>
      <sheetData sheetId="4828">
        <row r="4">
          <cell r="I4">
            <v>0</v>
          </cell>
        </row>
      </sheetData>
      <sheetData sheetId="4829">
        <row r="4">
          <cell r="I4">
            <v>0</v>
          </cell>
        </row>
      </sheetData>
      <sheetData sheetId="4830">
        <row r="4">
          <cell r="I4">
            <v>0</v>
          </cell>
        </row>
      </sheetData>
      <sheetData sheetId="4831">
        <row r="4">
          <cell r="I4">
            <v>0</v>
          </cell>
        </row>
      </sheetData>
      <sheetData sheetId="4832">
        <row r="4">
          <cell r="I4">
            <v>0</v>
          </cell>
        </row>
      </sheetData>
      <sheetData sheetId="4833">
        <row r="4">
          <cell r="I4">
            <v>0</v>
          </cell>
        </row>
      </sheetData>
      <sheetData sheetId="4834">
        <row r="4">
          <cell r="I4">
            <v>0</v>
          </cell>
        </row>
      </sheetData>
      <sheetData sheetId="4835">
        <row r="4">
          <cell r="I4">
            <v>0</v>
          </cell>
        </row>
      </sheetData>
      <sheetData sheetId="4836">
        <row r="4">
          <cell r="I4">
            <v>0</v>
          </cell>
        </row>
      </sheetData>
      <sheetData sheetId="4837">
        <row r="4">
          <cell r="I4">
            <v>0</v>
          </cell>
        </row>
      </sheetData>
      <sheetData sheetId="4838">
        <row r="4">
          <cell r="I4">
            <v>0</v>
          </cell>
        </row>
      </sheetData>
      <sheetData sheetId="4839">
        <row r="4">
          <cell r="I4">
            <v>0</v>
          </cell>
        </row>
      </sheetData>
      <sheetData sheetId="4840">
        <row r="4">
          <cell r="I4">
            <v>0</v>
          </cell>
        </row>
      </sheetData>
      <sheetData sheetId="4841">
        <row r="4">
          <cell r="I4">
            <v>0</v>
          </cell>
        </row>
      </sheetData>
      <sheetData sheetId="4842">
        <row r="4">
          <cell r="I4">
            <v>0</v>
          </cell>
        </row>
      </sheetData>
      <sheetData sheetId="4843">
        <row r="4">
          <cell r="I4">
            <v>0</v>
          </cell>
        </row>
      </sheetData>
      <sheetData sheetId="4844">
        <row r="4">
          <cell r="I4">
            <v>0</v>
          </cell>
        </row>
      </sheetData>
      <sheetData sheetId="4845">
        <row r="4">
          <cell r="I4">
            <v>0</v>
          </cell>
        </row>
      </sheetData>
      <sheetData sheetId="4846">
        <row r="4">
          <cell r="I4">
            <v>0</v>
          </cell>
        </row>
      </sheetData>
      <sheetData sheetId="4847">
        <row r="4">
          <cell r="I4">
            <v>0</v>
          </cell>
        </row>
      </sheetData>
      <sheetData sheetId="4848">
        <row r="4">
          <cell r="I4">
            <v>0</v>
          </cell>
        </row>
      </sheetData>
      <sheetData sheetId="4849">
        <row r="4">
          <cell r="I4">
            <v>0</v>
          </cell>
        </row>
      </sheetData>
      <sheetData sheetId="4850">
        <row r="4">
          <cell r="I4">
            <v>0</v>
          </cell>
        </row>
      </sheetData>
      <sheetData sheetId="4851">
        <row r="4">
          <cell r="I4">
            <v>0</v>
          </cell>
        </row>
      </sheetData>
      <sheetData sheetId="4852">
        <row r="4">
          <cell r="I4">
            <v>0</v>
          </cell>
        </row>
      </sheetData>
      <sheetData sheetId="4853">
        <row r="4">
          <cell r="I4">
            <v>0</v>
          </cell>
        </row>
      </sheetData>
      <sheetData sheetId="4854">
        <row r="4">
          <cell r="I4">
            <v>0</v>
          </cell>
        </row>
      </sheetData>
      <sheetData sheetId="4855">
        <row r="4">
          <cell r="I4">
            <v>0</v>
          </cell>
        </row>
      </sheetData>
      <sheetData sheetId="4856">
        <row r="4">
          <cell r="I4">
            <v>0</v>
          </cell>
        </row>
      </sheetData>
      <sheetData sheetId="4857">
        <row r="4">
          <cell r="I4">
            <v>0</v>
          </cell>
        </row>
      </sheetData>
      <sheetData sheetId="4858">
        <row r="4">
          <cell r="I4">
            <v>0</v>
          </cell>
        </row>
      </sheetData>
      <sheetData sheetId="4859">
        <row r="4">
          <cell r="I4">
            <v>0</v>
          </cell>
        </row>
      </sheetData>
      <sheetData sheetId="4860">
        <row r="4">
          <cell r="I4">
            <v>0</v>
          </cell>
        </row>
      </sheetData>
      <sheetData sheetId="4861">
        <row r="4">
          <cell r="I4">
            <v>0</v>
          </cell>
        </row>
      </sheetData>
      <sheetData sheetId="4862">
        <row r="4">
          <cell r="I4">
            <v>0</v>
          </cell>
        </row>
      </sheetData>
      <sheetData sheetId="4863">
        <row r="4">
          <cell r="I4">
            <v>0</v>
          </cell>
        </row>
      </sheetData>
      <sheetData sheetId="4864">
        <row r="4">
          <cell r="I4">
            <v>0</v>
          </cell>
        </row>
      </sheetData>
      <sheetData sheetId="4865">
        <row r="4">
          <cell r="I4">
            <v>0</v>
          </cell>
        </row>
      </sheetData>
      <sheetData sheetId="4866">
        <row r="4">
          <cell r="I4">
            <v>0</v>
          </cell>
        </row>
      </sheetData>
      <sheetData sheetId="4867">
        <row r="4">
          <cell r="I4">
            <v>0</v>
          </cell>
        </row>
      </sheetData>
      <sheetData sheetId="4868">
        <row r="4">
          <cell r="I4">
            <v>0</v>
          </cell>
        </row>
      </sheetData>
      <sheetData sheetId="4869">
        <row r="4">
          <cell r="I4">
            <v>0</v>
          </cell>
        </row>
      </sheetData>
      <sheetData sheetId="4870">
        <row r="4">
          <cell r="I4">
            <v>0</v>
          </cell>
        </row>
      </sheetData>
      <sheetData sheetId="4871">
        <row r="4">
          <cell r="I4">
            <v>0</v>
          </cell>
        </row>
      </sheetData>
      <sheetData sheetId="4872">
        <row r="4">
          <cell r="I4">
            <v>0</v>
          </cell>
        </row>
      </sheetData>
      <sheetData sheetId="4873">
        <row r="4">
          <cell r="I4">
            <v>0</v>
          </cell>
        </row>
      </sheetData>
      <sheetData sheetId="4874">
        <row r="4">
          <cell r="I4">
            <v>0</v>
          </cell>
        </row>
      </sheetData>
      <sheetData sheetId="4875">
        <row r="4">
          <cell r="I4">
            <v>0</v>
          </cell>
        </row>
      </sheetData>
      <sheetData sheetId="4876">
        <row r="4">
          <cell r="I4">
            <v>0</v>
          </cell>
        </row>
      </sheetData>
      <sheetData sheetId="4877">
        <row r="4">
          <cell r="I4">
            <v>0</v>
          </cell>
        </row>
      </sheetData>
      <sheetData sheetId="4878">
        <row r="4">
          <cell r="I4">
            <v>0</v>
          </cell>
        </row>
      </sheetData>
      <sheetData sheetId="4879">
        <row r="4">
          <cell r="I4">
            <v>0</v>
          </cell>
        </row>
      </sheetData>
      <sheetData sheetId="4880">
        <row r="4">
          <cell r="I4">
            <v>0</v>
          </cell>
        </row>
      </sheetData>
      <sheetData sheetId="4881">
        <row r="4">
          <cell r="I4">
            <v>0</v>
          </cell>
        </row>
      </sheetData>
      <sheetData sheetId="4882">
        <row r="4">
          <cell r="I4">
            <v>0</v>
          </cell>
        </row>
      </sheetData>
      <sheetData sheetId="4883">
        <row r="4">
          <cell r="I4">
            <v>0</v>
          </cell>
        </row>
      </sheetData>
      <sheetData sheetId="4884">
        <row r="4">
          <cell r="I4">
            <v>0</v>
          </cell>
        </row>
      </sheetData>
      <sheetData sheetId="4885">
        <row r="4">
          <cell r="I4">
            <v>0</v>
          </cell>
        </row>
      </sheetData>
      <sheetData sheetId="4886">
        <row r="4">
          <cell r="I4">
            <v>0</v>
          </cell>
        </row>
      </sheetData>
      <sheetData sheetId="4887">
        <row r="4">
          <cell r="I4">
            <v>0</v>
          </cell>
        </row>
      </sheetData>
      <sheetData sheetId="4888">
        <row r="4">
          <cell r="I4">
            <v>0</v>
          </cell>
        </row>
      </sheetData>
      <sheetData sheetId="4889">
        <row r="4">
          <cell r="I4">
            <v>0</v>
          </cell>
        </row>
      </sheetData>
      <sheetData sheetId="4890">
        <row r="4">
          <cell r="I4">
            <v>0</v>
          </cell>
        </row>
      </sheetData>
      <sheetData sheetId="4891">
        <row r="4">
          <cell r="I4">
            <v>0</v>
          </cell>
        </row>
      </sheetData>
      <sheetData sheetId="4892">
        <row r="4">
          <cell r="I4">
            <v>0</v>
          </cell>
        </row>
      </sheetData>
      <sheetData sheetId="4893">
        <row r="4">
          <cell r="I4">
            <v>0</v>
          </cell>
        </row>
      </sheetData>
      <sheetData sheetId="4894">
        <row r="4">
          <cell r="I4">
            <v>0</v>
          </cell>
        </row>
      </sheetData>
      <sheetData sheetId="4895">
        <row r="4">
          <cell r="I4">
            <v>0</v>
          </cell>
        </row>
      </sheetData>
      <sheetData sheetId="4896">
        <row r="4">
          <cell r="I4">
            <v>0</v>
          </cell>
        </row>
      </sheetData>
      <sheetData sheetId="4897">
        <row r="4">
          <cell r="I4">
            <v>0</v>
          </cell>
        </row>
      </sheetData>
      <sheetData sheetId="4898">
        <row r="4">
          <cell r="I4">
            <v>0</v>
          </cell>
        </row>
      </sheetData>
      <sheetData sheetId="4899">
        <row r="4">
          <cell r="I4">
            <v>0</v>
          </cell>
        </row>
      </sheetData>
      <sheetData sheetId="4900">
        <row r="4">
          <cell r="I4">
            <v>0</v>
          </cell>
        </row>
      </sheetData>
      <sheetData sheetId="4901">
        <row r="4">
          <cell r="I4">
            <v>0</v>
          </cell>
        </row>
      </sheetData>
      <sheetData sheetId="4902">
        <row r="4">
          <cell r="I4">
            <v>0</v>
          </cell>
        </row>
      </sheetData>
      <sheetData sheetId="4903">
        <row r="4">
          <cell r="I4">
            <v>0</v>
          </cell>
        </row>
      </sheetData>
      <sheetData sheetId="4904">
        <row r="4">
          <cell r="I4">
            <v>0</v>
          </cell>
        </row>
      </sheetData>
      <sheetData sheetId="4905">
        <row r="4">
          <cell r="I4">
            <v>0</v>
          </cell>
        </row>
      </sheetData>
      <sheetData sheetId="4906">
        <row r="4">
          <cell r="I4">
            <v>0</v>
          </cell>
        </row>
      </sheetData>
      <sheetData sheetId="4907">
        <row r="4">
          <cell r="I4">
            <v>0</v>
          </cell>
        </row>
      </sheetData>
      <sheetData sheetId="4908">
        <row r="4">
          <cell r="I4">
            <v>0</v>
          </cell>
        </row>
      </sheetData>
      <sheetData sheetId="4909">
        <row r="4">
          <cell r="I4">
            <v>0</v>
          </cell>
        </row>
      </sheetData>
      <sheetData sheetId="4910">
        <row r="4">
          <cell r="I4">
            <v>0</v>
          </cell>
        </row>
      </sheetData>
      <sheetData sheetId="4911">
        <row r="4">
          <cell r="I4">
            <v>0</v>
          </cell>
        </row>
      </sheetData>
      <sheetData sheetId="4912">
        <row r="4">
          <cell r="I4">
            <v>0</v>
          </cell>
        </row>
      </sheetData>
      <sheetData sheetId="4913">
        <row r="4">
          <cell r="I4">
            <v>0</v>
          </cell>
        </row>
      </sheetData>
      <sheetData sheetId="4914">
        <row r="4">
          <cell r="I4">
            <v>0</v>
          </cell>
        </row>
      </sheetData>
      <sheetData sheetId="4915">
        <row r="4">
          <cell r="I4">
            <v>0</v>
          </cell>
        </row>
      </sheetData>
      <sheetData sheetId="4916">
        <row r="4">
          <cell r="I4">
            <v>0</v>
          </cell>
        </row>
      </sheetData>
      <sheetData sheetId="4917">
        <row r="4">
          <cell r="I4">
            <v>0</v>
          </cell>
        </row>
      </sheetData>
      <sheetData sheetId="4918">
        <row r="4">
          <cell r="I4">
            <v>0</v>
          </cell>
        </row>
      </sheetData>
      <sheetData sheetId="4919">
        <row r="4">
          <cell r="I4">
            <v>0</v>
          </cell>
        </row>
      </sheetData>
      <sheetData sheetId="4920">
        <row r="4">
          <cell r="I4">
            <v>0</v>
          </cell>
        </row>
      </sheetData>
      <sheetData sheetId="4921">
        <row r="4">
          <cell r="I4">
            <v>0</v>
          </cell>
        </row>
      </sheetData>
      <sheetData sheetId="4922">
        <row r="4">
          <cell r="I4">
            <v>0</v>
          </cell>
        </row>
      </sheetData>
      <sheetData sheetId="4923">
        <row r="4">
          <cell r="I4">
            <v>0</v>
          </cell>
        </row>
      </sheetData>
      <sheetData sheetId="4924">
        <row r="4">
          <cell r="I4">
            <v>0</v>
          </cell>
        </row>
      </sheetData>
      <sheetData sheetId="4925">
        <row r="4">
          <cell r="I4">
            <v>0</v>
          </cell>
        </row>
      </sheetData>
      <sheetData sheetId="4926">
        <row r="4">
          <cell r="I4">
            <v>0</v>
          </cell>
        </row>
      </sheetData>
      <sheetData sheetId="4927">
        <row r="4">
          <cell r="I4">
            <v>0</v>
          </cell>
        </row>
      </sheetData>
      <sheetData sheetId="4928">
        <row r="4">
          <cell r="I4">
            <v>0</v>
          </cell>
        </row>
      </sheetData>
      <sheetData sheetId="4929">
        <row r="4">
          <cell r="I4">
            <v>0</v>
          </cell>
        </row>
      </sheetData>
      <sheetData sheetId="4930">
        <row r="4">
          <cell r="I4">
            <v>0</v>
          </cell>
        </row>
      </sheetData>
      <sheetData sheetId="4931">
        <row r="4">
          <cell r="I4">
            <v>0</v>
          </cell>
        </row>
      </sheetData>
      <sheetData sheetId="4932">
        <row r="4">
          <cell r="I4">
            <v>0</v>
          </cell>
        </row>
      </sheetData>
      <sheetData sheetId="4933">
        <row r="4">
          <cell r="I4">
            <v>0</v>
          </cell>
        </row>
      </sheetData>
      <sheetData sheetId="4934">
        <row r="4">
          <cell r="I4">
            <v>0</v>
          </cell>
        </row>
      </sheetData>
      <sheetData sheetId="4935">
        <row r="4">
          <cell r="I4">
            <v>0</v>
          </cell>
        </row>
      </sheetData>
      <sheetData sheetId="4936">
        <row r="4">
          <cell r="I4">
            <v>0</v>
          </cell>
        </row>
      </sheetData>
      <sheetData sheetId="4937">
        <row r="4">
          <cell r="I4">
            <v>0</v>
          </cell>
        </row>
      </sheetData>
      <sheetData sheetId="4938">
        <row r="4">
          <cell r="I4">
            <v>0</v>
          </cell>
        </row>
      </sheetData>
      <sheetData sheetId="4939">
        <row r="4">
          <cell r="I4">
            <v>0</v>
          </cell>
        </row>
      </sheetData>
      <sheetData sheetId="4940">
        <row r="4">
          <cell r="I4">
            <v>0</v>
          </cell>
        </row>
      </sheetData>
      <sheetData sheetId="4941">
        <row r="4">
          <cell r="I4">
            <v>0</v>
          </cell>
        </row>
      </sheetData>
      <sheetData sheetId="4942">
        <row r="4">
          <cell r="I4">
            <v>0</v>
          </cell>
        </row>
      </sheetData>
      <sheetData sheetId="4943">
        <row r="4">
          <cell r="I4">
            <v>0</v>
          </cell>
        </row>
      </sheetData>
      <sheetData sheetId="4944">
        <row r="4">
          <cell r="I4">
            <v>0</v>
          </cell>
        </row>
      </sheetData>
      <sheetData sheetId="4945">
        <row r="4">
          <cell r="I4">
            <v>0</v>
          </cell>
        </row>
      </sheetData>
      <sheetData sheetId="4946">
        <row r="4">
          <cell r="I4">
            <v>0</v>
          </cell>
        </row>
      </sheetData>
      <sheetData sheetId="4947">
        <row r="4">
          <cell r="I4">
            <v>0</v>
          </cell>
        </row>
      </sheetData>
      <sheetData sheetId="4948">
        <row r="4">
          <cell r="I4">
            <v>0</v>
          </cell>
        </row>
      </sheetData>
      <sheetData sheetId="4949">
        <row r="4">
          <cell r="I4">
            <v>0</v>
          </cell>
        </row>
      </sheetData>
      <sheetData sheetId="4950">
        <row r="4">
          <cell r="I4">
            <v>0</v>
          </cell>
        </row>
      </sheetData>
      <sheetData sheetId="4951">
        <row r="4">
          <cell r="I4">
            <v>0</v>
          </cell>
        </row>
      </sheetData>
      <sheetData sheetId="4952">
        <row r="4">
          <cell r="I4">
            <v>0</v>
          </cell>
        </row>
      </sheetData>
      <sheetData sheetId="4953">
        <row r="4">
          <cell r="I4">
            <v>0</v>
          </cell>
        </row>
      </sheetData>
      <sheetData sheetId="4954">
        <row r="4">
          <cell r="I4">
            <v>0</v>
          </cell>
        </row>
      </sheetData>
      <sheetData sheetId="4955">
        <row r="4">
          <cell r="I4">
            <v>0</v>
          </cell>
        </row>
      </sheetData>
      <sheetData sheetId="4956">
        <row r="4">
          <cell r="I4">
            <v>0</v>
          </cell>
        </row>
      </sheetData>
      <sheetData sheetId="4957">
        <row r="4">
          <cell r="I4">
            <v>0</v>
          </cell>
        </row>
      </sheetData>
      <sheetData sheetId="4958">
        <row r="4">
          <cell r="I4">
            <v>0</v>
          </cell>
        </row>
      </sheetData>
      <sheetData sheetId="4959">
        <row r="4">
          <cell r="I4">
            <v>0</v>
          </cell>
        </row>
      </sheetData>
      <sheetData sheetId="4960">
        <row r="4">
          <cell r="I4">
            <v>0</v>
          </cell>
        </row>
      </sheetData>
      <sheetData sheetId="4961">
        <row r="4">
          <cell r="I4">
            <v>0</v>
          </cell>
        </row>
      </sheetData>
      <sheetData sheetId="4962">
        <row r="4">
          <cell r="I4">
            <v>0</v>
          </cell>
        </row>
      </sheetData>
      <sheetData sheetId="4963">
        <row r="4">
          <cell r="I4">
            <v>0</v>
          </cell>
        </row>
      </sheetData>
      <sheetData sheetId="4964">
        <row r="4">
          <cell r="I4">
            <v>0</v>
          </cell>
        </row>
      </sheetData>
      <sheetData sheetId="4965">
        <row r="4">
          <cell r="I4">
            <v>0</v>
          </cell>
        </row>
      </sheetData>
      <sheetData sheetId="4966">
        <row r="4">
          <cell r="I4">
            <v>0</v>
          </cell>
        </row>
      </sheetData>
      <sheetData sheetId="4967">
        <row r="4">
          <cell r="I4">
            <v>0</v>
          </cell>
        </row>
      </sheetData>
      <sheetData sheetId="4968">
        <row r="4">
          <cell r="I4">
            <v>0</v>
          </cell>
        </row>
      </sheetData>
      <sheetData sheetId="4969">
        <row r="4">
          <cell r="I4">
            <v>0</v>
          </cell>
        </row>
      </sheetData>
      <sheetData sheetId="4970">
        <row r="4">
          <cell r="I4">
            <v>0</v>
          </cell>
        </row>
      </sheetData>
      <sheetData sheetId="4971">
        <row r="4">
          <cell r="I4">
            <v>0</v>
          </cell>
        </row>
      </sheetData>
      <sheetData sheetId="4972">
        <row r="4">
          <cell r="I4">
            <v>0</v>
          </cell>
        </row>
      </sheetData>
      <sheetData sheetId="4973">
        <row r="4">
          <cell r="I4">
            <v>0</v>
          </cell>
        </row>
      </sheetData>
      <sheetData sheetId="4974">
        <row r="4">
          <cell r="I4">
            <v>0</v>
          </cell>
        </row>
      </sheetData>
      <sheetData sheetId="4975">
        <row r="4">
          <cell r="I4">
            <v>0</v>
          </cell>
        </row>
      </sheetData>
      <sheetData sheetId="4976">
        <row r="4">
          <cell r="I4">
            <v>0</v>
          </cell>
        </row>
      </sheetData>
      <sheetData sheetId="4977">
        <row r="4">
          <cell r="I4">
            <v>0</v>
          </cell>
        </row>
      </sheetData>
      <sheetData sheetId="4978">
        <row r="4">
          <cell r="I4">
            <v>0</v>
          </cell>
        </row>
      </sheetData>
      <sheetData sheetId="4979">
        <row r="4">
          <cell r="I4">
            <v>0</v>
          </cell>
        </row>
      </sheetData>
      <sheetData sheetId="4980">
        <row r="4">
          <cell r="I4">
            <v>0</v>
          </cell>
        </row>
      </sheetData>
      <sheetData sheetId="4981">
        <row r="4">
          <cell r="I4">
            <v>0</v>
          </cell>
        </row>
      </sheetData>
      <sheetData sheetId="4982">
        <row r="4">
          <cell r="I4">
            <v>0</v>
          </cell>
        </row>
      </sheetData>
      <sheetData sheetId="4983">
        <row r="4">
          <cell r="I4">
            <v>0</v>
          </cell>
        </row>
      </sheetData>
      <sheetData sheetId="4984">
        <row r="4">
          <cell r="I4">
            <v>0</v>
          </cell>
        </row>
      </sheetData>
      <sheetData sheetId="4985">
        <row r="4">
          <cell r="I4">
            <v>0</v>
          </cell>
        </row>
      </sheetData>
      <sheetData sheetId="4986">
        <row r="4">
          <cell r="I4">
            <v>0</v>
          </cell>
        </row>
      </sheetData>
      <sheetData sheetId="4987">
        <row r="4">
          <cell r="I4">
            <v>0</v>
          </cell>
        </row>
      </sheetData>
      <sheetData sheetId="4988">
        <row r="4">
          <cell r="I4">
            <v>0</v>
          </cell>
        </row>
      </sheetData>
      <sheetData sheetId="4989">
        <row r="4">
          <cell r="I4">
            <v>0</v>
          </cell>
        </row>
      </sheetData>
      <sheetData sheetId="4990">
        <row r="4">
          <cell r="I4">
            <v>0</v>
          </cell>
        </row>
      </sheetData>
      <sheetData sheetId="4991">
        <row r="4">
          <cell r="I4">
            <v>0</v>
          </cell>
        </row>
      </sheetData>
      <sheetData sheetId="4992">
        <row r="4">
          <cell r="I4">
            <v>0</v>
          </cell>
        </row>
      </sheetData>
      <sheetData sheetId="4993">
        <row r="4">
          <cell r="I4">
            <v>0</v>
          </cell>
        </row>
      </sheetData>
      <sheetData sheetId="4994">
        <row r="4">
          <cell r="I4">
            <v>0</v>
          </cell>
        </row>
      </sheetData>
      <sheetData sheetId="4995">
        <row r="4">
          <cell r="I4">
            <v>0</v>
          </cell>
        </row>
      </sheetData>
      <sheetData sheetId="4996">
        <row r="4">
          <cell r="I4">
            <v>0</v>
          </cell>
        </row>
      </sheetData>
      <sheetData sheetId="4997">
        <row r="4">
          <cell r="I4">
            <v>0</v>
          </cell>
        </row>
      </sheetData>
      <sheetData sheetId="4998">
        <row r="4">
          <cell r="I4">
            <v>0</v>
          </cell>
        </row>
      </sheetData>
      <sheetData sheetId="4999">
        <row r="4">
          <cell r="I4">
            <v>0</v>
          </cell>
        </row>
      </sheetData>
      <sheetData sheetId="5000">
        <row r="4">
          <cell r="I4">
            <v>0</v>
          </cell>
        </row>
      </sheetData>
      <sheetData sheetId="5001">
        <row r="4">
          <cell r="I4">
            <v>0</v>
          </cell>
        </row>
      </sheetData>
      <sheetData sheetId="5002">
        <row r="4">
          <cell r="I4">
            <v>0</v>
          </cell>
        </row>
      </sheetData>
      <sheetData sheetId="5003">
        <row r="4">
          <cell r="I4">
            <v>0</v>
          </cell>
        </row>
      </sheetData>
      <sheetData sheetId="5004">
        <row r="4">
          <cell r="I4">
            <v>0</v>
          </cell>
        </row>
      </sheetData>
      <sheetData sheetId="5005">
        <row r="4">
          <cell r="I4">
            <v>0</v>
          </cell>
        </row>
      </sheetData>
      <sheetData sheetId="5006">
        <row r="4">
          <cell r="I4">
            <v>0</v>
          </cell>
        </row>
      </sheetData>
      <sheetData sheetId="5007">
        <row r="4">
          <cell r="I4">
            <v>0</v>
          </cell>
        </row>
      </sheetData>
      <sheetData sheetId="5008">
        <row r="4">
          <cell r="I4">
            <v>0</v>
          </cell>
        </row>
      </sheetData>
      <sheetData sheetId="5009">
        <row r="4">
          <cell r="I4">
            <v>0</v>
          </cell>
        </row>
      </sheetData>
      <sheetData sheetId="5010">
        <row r="4">
          <cell r="I4">
            <v>0</v>
          </cell>
        </row>
      </sheetData>
      <sheetData sheetId="5011">
        <row r="4">
          <cell r="I4">
            <v>0</v>
          </cell>
        </row>
      </sheetData>
      <sheetData sheetId="5012">
        <row r="4">
          <cell r="I4">
            <v>0</v>
          </cell>
        </row>
      </sheetData>
      <sheetData sheetId="5013">
        <row r="4">
          <cell r="I4">
            <v>0</v>
          </cell>
        </row>
      </sheetData>
      <sheetData sheetId="5014">
        <row r="4">
          <cell r="I4">
            <v>0</v>
          </cell>
        </row>
      </sheetData>
      <sheetData sheetId="5015">
        <row r="4">
          <cell r="I4">
            <v>0</v>
          </cell>
        </row>
      </sheetData>
      <sheetData sheetId="5016">
        <row r="4">
          <cell r="I4">
            <v>0</v>
          </cell>
        </row>
      </sheetData>
      <sheetData sheetId="5017">
        <row r="4">
          <cell r="I4">
            <v>0</v>
          </cell>
        </row>
      </sheetData>
      <sheetData sheetId="5018">
        <row r="4">
          <cell r="I4">
            <v>0</v>
          </cell>
        </row>
      </sheetData>
      <sheetData sheetId="5019">
        <row r="4">
          <cell r="I4">
            <v>0</v>
          </cell>
        </row>
      </sheetData>
      <sheetData sheetId="5020">
        <row r="4">
          <cell r="I4">
            <v>0</v>
          </cell>
        </row>
      </sheetData>
      <sheetData sheetId="5021">
        <row r="4">
          <cell r="I4">
            <v>0</v>
          </cell>
        </row>
      </sheetData>
      <sheetData sheetId="5022">
        <row r="4">
          <cell r="I4">
            <v>0</v>
          </cell>
        </row>
      </sheetData>
      <sheetData sheetId="5023">
        <row r="4">
          <cell r="I4">
            <v>0</v>
          </cell>
        </row>
      </sheetData>
      <sheetData sheetId="5024">
        <row r="4">
          <cell r="I4">
            <v>0</v>
          </cell>
        </row>
      </sheetData>
      <sheetData sheetId="5025">
        <row r="4">
          <cell r="I4">
            <v>0</v>
          </cell>
        </row>
      </sheetData>
      <sheetData sheetId="5026">
        <row r="4">
          <cell r="I4">
            <v>0</v>
          </cell>
        </row>
      </sheetData>
      <sheetData sheetId="5027">
        <row r="4">
          <cell r="I4">
            <v>0</v>
          </cell>
        </row>
      </sheetData>
      <sheetData sheetId="5028">
        <row r="4">
          <cell r="I4">
            <v>0</v>
          </cell>
        </row>
      </sheetData>
      <sheetData sheetId="5029">
        <row r="4">
          <cell r="I4">
            <v>0</v>
          </cell>
        </row>
      </sheetData>
      <sheetData sheetId="5030">
        <row r="4">
          <cell r="I4">
            <v>0</v>
          </cell>
        </row>
      </sheetData>
      <sheetData sheetId="5031">
        <row r="4">
          <cell r="I4">
            <v>0</v>
          </cell>
        </row>
      </sheetData>
      <sheetData sheetId="5032">
        <row r="4">
          <cell r="I4">
            <v>0</v>
          </cell>
        </row>
      </sheetData>
      <sheetData sheetId="5033">
        <row r="4">
          <cell r="I4">
            <v>0</v>
          </cell>
        </row>
      </sheetData>
      <sheetData sheetId="5034">
        <row r="4">
          <cell r="I4">
            <v>0</v>
          </cell>
        </row>
      </sheetData>
      <sheetData sheetId="5035">
        <row r="4">
          <cell r="I4">
            <v>0</v>
          </cell>
        </row>
      </sheetData>
      <sheetData sheetId="5036">
        <row r="4">
          <cell r="I4">
            <v>0</v>
          </cell>
        </row>
      </sheetData>
      <sheetData sheetId="5037">
        <row r="4">
          <cell r="I4">
            <v>0</v>
          </cell>
        </row>
      </sheetData>
      <sheetData sheetId="5038">
        <row r="4">
          <cell r="I4">
            <v>0</v>
          </cell>
        </row>
      </sheetData>
      <sheetData sheetId="5039">
        <row r="4">
          <cell r="I4">
            <v>0</v>
          </cell>
        </row>
      </sheetData>
      <sheetData sheetId="5040">
        <row r="4">
          <cell r="I4">
            <v>0</v>
          </cell>
        </row>
      </sheetData>
      <sheetData sheetId="5041">
        <row r="4">
          <cell r="I4">
            <v>0</v>
          </cell>
        </row>
      </sheetData>
      <sheetData sheetId="5042">
        <row r="4">
          <cell r="I4">
            <v>0</v>
          </cell>
        </row>
      </sheetData>
      <sheetData sheetId="5043">
        <row r="4">
          <cell r="I4">
            <v>0</v>
          </cell>
        </row>
      </sheetData>
      <sheetData sheetId="5044">
        <row r="4">
          <cell r="I4">
            <v>0</v>
          </cell>
        </row>
      </sheetData>
      <sheetData sheetId="5045">
        <row r="4">
          <cell r="I4">
            <v>0</v>
          </cell>
        </row>
      </sheetData>
      <sheetData sheetId="5046">
        <row r="4">
          <cell r="I4">
            <v>0</v>
          </cell>
        </row>
      </sheetData>
      <sheetData sheetId="5047">
        <row r="4">
          <cell r="I4">
            <v>0</v>
          </cell>
        </row>
      </sheetData>
      <sheetData sheetId="5048">
        <row r="4">
          <cell r="I4">
            <v>0</v>
          </cell>
        </row>
      </sheetData>
      <sheetData sheetId="5049">
        <row r="4">
          <cell r="I4">
            <v>0</v>
          </cell>
        </row>
      </sheetData>
      <sheetData sheetId="5050">
        <row r="4">
          <cell r="I4">
            <v>0</v>
          </cell>
        </row>
      </sheetData>
      <sheetData sheetId="5051">
        <row r="4">
          <cell r="I4">
            <v>0</v>
          </cell>
        </row>
      </sheetData>
      <sheetData sheetId="5052">
        <row r="4">
          <cell r="I4">
            <v>0</v>
          </cell>
        </row>
      </sheetData>
      <sheetData sheetId="5053">
        <row r="4">
          <cell r="I4">
            <v>0</v>
          </cell>
        </row>
      </sheetData>
      <sheetData sheetId="5054">
        <row r="4">
          <cell r="I4">
            <v>0</v>
          </cell>
        </row>
      </sheetData>
      <sheetData sheetId="5055">
        <row r="4">
          <cell r="I4">
            <v>0</v>
          </cell>
        </row>
      </sheetData>
      <sheetData sheetId="5056">
        <row r="4">
          <cell r="I4">
            <v>0</v>
          </cell>
        </row>
      </sheetData>
      <sheetData sheetId="5057">
        <row r="4">
          <cell r="I4">
            <v>0</v>
          </cell>
        </row>
      </sheetData>
      <sheetData sheetId="5058">
        <row r="4">
          <cell r="I4">
            <v>0</v>
          </cell>
        </row>
      </sheetData>
      <sheetData sheetId="5059">
        <row r="4">
          <cell r="I4">
            <v>0</v>
          </cell>
        </row>
      </sheetData>
      <sheetData sheetId="5060">
        <row r="4">
          <cell r="I4">
            <v>0</v>
          </cell>
        </row>
      </sheetData>
      <sheetData sheetId="5061">
        <row r="4">
          <cell r="I4">
            <v>0</v>
          </cell>
        </row>
      </sheetData>
      <sheetData sheetId="5062">
        <row r="4">
          <cell r="I4">
            <v>0</v>
          </cell>
        </row>
      </sheetData>
      <sheetData sheetId="5063">
        <row r="4">
          <cell r="I4">
            <v>0</v>
          </cell>
        </row>
      </sheetData>
      <sheetData sheetId="5064">
        <row r="4">
          <cell r="I4">
            <v>0</v>
          </cell>
        </row>
      </sheetData>
      <sheetData sheetId="5065">
        <row r="4">
          <cell r="I4">
            <v>0</v>
          </cell>
        </row>
      </sheetData>
      <sheetData sheetId="5066">
        <row r="4">
          <cell r="I4">
            <v>0</v>
          </cell>
        </row>
      </sheetData>
      <sheetData sheetId="5067">
        <row r="4">
          <cell r="I4">
            <v>0</v>
          </cell>
        </row>
      </sheetData>
      <sheetData sheetId="5068">
        <row r="4">
          <cell r="I4">
            <v>0</v>
          </cell>
        </row>
      </sheetData>
      <sheetData sheetId="5069">
        <row r="4">
          <cell r="I4">
            <v>0</v>
          </cell>
        </row>
      </sheetData>
      <sheetData sheetId="5070">
        <row r="4">
          <cell r="I4">
            <v>0</v>
          </cell>
        </row>
      </sheetData>
      <sheetData sheetId="5071">
        <row r="4">
          <cell r="I4">
            <v>0</v>
          </cell>
        </row>
      </sheetData>
      <sheetData sheetId="5072">
        <row r="4">
          <cell r="I4">
            <v>0</v>
          </cell>
        </row>
      </sheetData>
      <sheetData sheetId="5073">
        <row r="4">
          <cell r="I4">
            <v>0</v>
          </cell>
        </row>
      </sheetData>
      <sheetData sheetId="5074">
        <row r="4">
          <cell r="I4">
            <v>0</v>
          </cell>
        </row>
      </sheetData>
      <sheetData sheetId="5075">
        <row r="4">
          <cell r="I4">
            <v>0</v>
          </cell>
        </row>
      </sheetData>
      <sheetData sheetId="5076">
        <row r="4">
          <cell r="I4">
            <v>0</v>
          </cell>
        </row>
      </sheetData>
      <sheetData sheetId="5077">
        <row r="4">
          <cell r="I4">
            <v>0</v>
          </cell>
        </row>
      </sheetData>
      <sheetData sheetId="5078">
        <row r="4">
          <cell r="I4">
            <v>0</v>
          </cell>
        </row>
      </sheetData>
      <sheetData sheetId="5079">
        <row r="4">
          <cell r="I4">
            <v>0</v>
          </cell>
        </row>
      </sheetData>
      <sheetData sheetId="5080">
        <row r="4">
          <cell r="I4">
            <v>0</v>
          </cell>
        </row>
      </sheetData>
      <sheetData sheetId="5081">
        <row r="4">
          <cell r="I4">
            <v>0</v>
          </cell>
        </row>
      </sheetData>
      <sheetData sheetId="5082">
        <row r="4">
          <cell r="I4">
            <v>0</v>
          </cell>
        </row>
      </sheetData>
      <sheetData sheetId="5083">
        <row r="4">
          <cell r="I4">
            <v>0</v>
          </cell>
        </row>
      </sheetData>
      <sheetData sheetId="5084">
        <row r="4">
          <cell r="I4">
            <v>0</v>
          </cell>
        </row>
      </sheetData>
      <sheetData sheetId="5085">
        <row r="4">
          <cell r="I4">
            <v>0</v>
          </cell>
        </row>
      </sheetData>
      <sheetData sheetId="5086">
        <row r="4">
          <cell r="I4">
            <v>0</v>
          </cell>
        </row>
      </sheetData>
      <sheetData sheetId="5087">
        <row r="4">
          <cell r="I4">
            <v>0</v>
          </cell>
        </row>
      </sheetData>
      <sheetData sheetId="5088">
        <row r="4">
          <cell r="I4">
            <v>0</v>
          </cell>
        </row>
      </sheetData>
      <sheetData sheetId="5089">
        <row r="4">
          <cell r="I4">
            <v>0</v>
          </cell>
        </row>
      </sheetData>
      <sheetData sheetId="5090">
        <row r="4">
          <cell r="I4">
            <v>0</v>
          </cell>
        </row>
      </sheetData>
      <sheetData sheetId="5091">
        <row r="4">
          <cell r="I4">
            <v>0</v>
          </cell>
        </row>
      </sheetData>
      <sheetData sheetId="5092">
        <row r="4">
          <cell r="I4">
            <v>0</v>
          </cell>
        </row>
      </sheetData>
      <sheetData sheetId="5093">
        <row r="4">
          <cell r="I4">
            <v>0</v>
          </cell>
        </row>
      </sheetData>
      <sheetData sheetId="5094">
        <row r="4">
          <cell r="I4">
            <v>0</v>
          </cell>
        </row>
      </sheetData>
      <sheetData sheetId="5095">
        <row r="4">
          <cell r="I4">
            <v>0</v>
          </cell>
        </row>
      </sheetData>
      <sheetData sheetId="5096">
        <row r="4">
          <cell r="I4">
            <v>0</v>
          </cell>
        </row>
      </sheetData>
      <sheetData sheetId="5097">
        <row r="4">
          <cell r="I4">
            <v>0</v>
          </cell>
        </row>
      </sheetData>
      <sheetData sheetId="5098">
        <row r="4">
          <cell r="I4">
            <v>0</v>
          </cell>
        </row>
      </sheetData>
      <sheetData sheetId="5099">
        <row r="4">
          <cell r="I4">
            <v>0</v>
          </cell>
        </row>
      </sheetData>
      <sheetData sheetId="5100">
        <row r="4">
          <cell r="I4">
            <v>0</v>
          </cell>
        </row>
      </sheetData>
      <sheetData sheetId="5101">
        <row r="4">
          <cell r="I4">
            <v>0</v>
          </cell>
        </row>
      </sheetData>
      <sheetData sheetId="5102">
        <row r="4">
          <cell r="I4">
            <v>0</v>
          </cell>
        </row>
      </sheetData>
      <sheetData sheetId="5103">
        <row r="4">
          <cell r="I4">
            <v>0</v>
          </cell>
        </row>
      </sheetData>
      <sheetData sheetId="5104">
        <row r="4">
          <cell r="I4">
            <v>0</v>
          </cell>
        </row>
      </sheetData>
      <sheetData sheetId="5105">
        <row r="4">
          <cell r="I4">
            <v>0</v>
          </cell>
        </row>
      </sheetData>
      <sheetData sheetId="5106">
        <row r="4">
          <cell r="I4">
            <v>0</v>
          </cell>
        </row>
      </sheetData>
      <sheetData sheetId="5107">
        <row r="4">
          <cell r="I4">
            <v>0</v>
          </cell>
        </row>
      </sheetData>
      <sheetData sheetId="5108">
        <row r="4">
          <cell r="I4">
            <v>0</v>
          </cell>
        </row>
      </sheetData>
      <sheetData sheetId="5109">
        <row r="4">
          <cell r="I4">
            <v>0</v>
          </cell>
        </row>
      </sheetData>
      <sheetData sheetId="5110">
        <row r="4">
          <cell r="I4">
            <v>0</v>
          </cell>
        </row>
      </sheetData>
      <sheetData sheetId="5111">
        <row r="4">
          <cell r="I4">
            <v>0</v>
          </cell>
        </row>
      </sheetData>
      <sheetData sheetId="5112">
        <row r="4">
          <cell r="I4">
            <v>0</v>
          </cell>
        </row>
      </sheetData>
      <sheetData sheetId="5113">
        <row r="4">
          <cell r="I4">
            <v>0</v>
          </cell>
        </row>
      </sheetData>
      <sheetData sheetId="5114">
        <row r="4">
          <cell r="I4">
            <v>0</v>
          </cell>
        </row>
      </sheetData>
      <sheetData sheetId="5115">
        <row r="4">
          <cell r="I4">
            <v>0</v>
          </cell>
        </row>
      </sheetData>
      <sheetData sheetId="5116">
        <row r="4">
          <cell r="I4">
            <v>0</v>
          </cell>
        </row>
      </sheetData>
      <sheetData sheetId="5117">
        <row r="4">
          <cell r="I4">
            <v>0</v>
          </cell>
        </row>
      </sheetData>
      <sheetData sheetId="5118">
        <row r="4">
          <cell r="I4">
            <v>0</v>
          </cell>
        </row>
      </sheetData>
      <sheetData sheetId="5119">
        <row r="4">
          <cell r="I4">
            <v>0</v>
          </cell>
        </row>
      </sheetData>
      <sheetData sheetId="5120">
        <row r="4">
          <cell r="I4">
            <v>0</v>
          </cell>
        </row>
      </sheetData>
      <sheetData sheetId="5121">
        <row r="4">
          <cell r="I4">
            <v>0</v>
          </cell>
        </row>
      </sheetData>
      <sheetData sheetId="5122">
        <row r="4">
          <cell r="I4">
            <v>0</v>
          </cell>
        </row>
      </sheetData>
      <sheetData sheetId="5123">
        <row r="4">
          <cell r="I4">
            <v>0</v>
          </cell>
        </row>
      </sheetData>
      <sheetData sheetId="5124">
        <row r="4">
          <cell r="I4">
            <v>0</v>
          </cell>
        </row>
      </sheetData>
      <sheetData sheetId="5125">
        <row r="4">
          <cell r="I4">
            <v>0</v>
          </cell>
        </row>
      </sheetData>
      <sheetData sheetId="5126">
        <row r="4">
          <cell r="I4">
            <v>0</v>
          </cell>
        </row>
      </sheetData>
      <sheetData sheetId="5127">
        <row r="4">
          <cell r="I4">
            <v>0</v>
          </cell>
        </row>
      </sheetData>
      <sheetData sheetId="5128">
        <row r="4">
          <cell r="I4">
            <v>0</v>
          </cell>
        </row>
      </sheetData>
      <sheetData sheetId="5129">
        <row r="4">
          <cell r="I4">
            <v>0</v>
          </cell>
        </row>
      </sheetData>
      <sheetData sheetId="5130">
        <row r="4">
          <cell r="I4">
            <v>0</v>
          </cell>
        </row>
      </sheetData>
      <sheetData sheetId="5131">
        <row r="4">
          <cell r="I4">
            <v>0</v>
          </cell>
        </row>
      </sheetData>
      <sheetData sheetId="5132">
        <row r="4">
          <cell r="I4">
            <v>0</v>
          </cell>
        </row>
      </sheetData>
      <sheetData sheetId="5133">
        <row r="4">
          <cell r="I4">
            <v>0</v>
          </cell>
        </row>
      </sheetData>
      <sheetData sheetId="5134">
        <row r="4">
          <cell r="I4">
            <v>0</v>
          </cell>
        </row>
      </sheetData>
      <sheetData sheetId="5135">
        <row r="4">
          <cell r="I4">
            <v>0</v>
          </cell>
        </row>
      </sheetData>
      <sheetData sheetId="5136">
        <row r="4">
          <cell r="I4">
            <v>0</v>
          </cell>
        </row>
      </sheetData>
      <sheetData sheetId="5137">
        <row r="4">
          <cell r="I4">
            <v>0</v>
          </cell>
        </row>
      </sheetData>
      <sheetData sheetId="5138">
        <row r="4">
          <cell r="I4">
            <v>0</v>
          </cell>
        </row>
      </sheetData>
      <sheetData sheetId="5139">
        <row r="4">
          <cell r="I4">
            <v>0</v>
          </cell>
        </row>
      </sheetData>
      <sheetData sheetId="5140">
        <row r="4">
          <cell r="I4">
            <v>0</v>
          </cell>
        </row>
      </sheetData>
      <sheetData sheetId="5141">
        <row r="4">
          <cell r="I4">
            <v>0</v>
          </cell>
        </row>
      </sheetData>
      <sheetData sheetId="5142">
        <row r="4">
          <cell r="I4">
            <v>0</v>
          </cell>
        </row>
      </sheetData>
      <sheetData sheetId="5143">
        <row r="4">
          <cell r="I4">
            <v>0</v>
          </cell>
        </row>
      </sheetData>
      <sheetData sheetId="5144">
        <row r="4">
          <cell r="I4">
            <v>0</v>
          </cell>
        </row>
      </sheetData>
      <sheetData sheetId="5145">
        <row r="4">
          <cell r="I4">
            <v>0</v>
          </cell>
        </row>
      </sheetData>
      <sheetData sheetId="5146">
        <row r="4">
          <cell r="I4">
            <v>0</v>
          </cell>
        </row>
      </sheetData>
      <sheetData sheetId="5147">
        <row r="4">
          <cell r="I4">
            <v>0</v>
          </cell>
        </row>
      </sheetData>
      <sheetData sheetId="5148">
        <row r="4">
          <cell r="I4">
            <v>0</v>
          </cell>
        </row>
      </sheetData>
      <sheetData sheetId="5149">
        <row r="4">
          <cell r="I4">
            <v>0</v>
          </cell>
        </row>
      </sheetData>
      <sheetData sheetId="5150">
        <row r="4">
          <cell r="I4">
            <v>0</v>
          </cell>
        </row>
      </sheetData>
      <sheetData sheetId="5151">
        <row r="4">
          <cell r="I4">
            <v>0</v>
          </cell>
        </row>
      </sheetData>
      <sheetData sheetId="5152">
        <row r="4">
          <cell r="I4">
            <v>0</v>
          </cell>
        </row>
      </sheetData>
      <sheetData sheetId="5153">
        <row r="4">
          <cell r="I4">
            <v>0</v>
          </cell>
        </row>
      </sheetData>
      <sheetData sheetId="5154">
        <row r="4">
          <cell r="I4">
            <v>0</v>
          </cell>
        </row>
      </sheetData>
      <sheetData sheetId="5155">
        <row r="4">
          <cell r="I4">
            <v>0</v>
          </cell>
        </row>
      </sheetData>
      <sheetData sheetId="5156">
        <row r="4">
          <cell r="I4">
            <v>0</v>
          </cell>
        </row>
      </sheetData>
      <sheetData sheetId="5157">
        <row r="4">
          <cell r="I4">
            <v>0</v>
          </cell>
        </row>
      </sheetData>
      <sheetData sheetId="5158">
        <row r="4">
          <cell r="I4">
            <v>0</v>
          </cell>
        </row>
      </sheetData>
      <sheetData sheetId="5159">
        <row r="4">
          <cell r="I4">
            <v>0</v>
          </cell>
        </row>
      </sheetData>
      <sheetData sheetId="5160">
        <row r="4">
          <cell r="I4">
            <v>0</v>
          </cell>
        </row>
      </sheetData>
      <sheetData sheetId="5161">
        <row r="4">
          <cell r="I4">
            <v>0</v>
          </cell>
        </row>
      </sheetData>
      <sheetData sheetId="5162">
        <row r="4">
          <cell r="I4">
            <v>0</v>
          </cell>
        </row>
      </sheetData>
      <sheetData sheetId="5163">
        <row r="4">
          <cell r="I4">
            <v>0</v>
          </cell>
        </row>
      </sheetData>
      <sheetData sheetId="5164">
        <row r="4">
          <cell r="I4">
            <v>0</v>
          </cell>
        </row>
      </sheetData>
      <sheetData sheetId="5165">
        <row r="4">
          <cell r="I4">
            <v>0</v>
          </cell>
        </row>
      </sheetData>
      <sheetData sheetId="5166">
        <row r="4">
          <cell r="I4">
            <v>0</v>
          </cell>
        </row>
      </sheetData>
      <sheetData sheetId="5167">
        <row r="4">
          <cell r="I4">
            <v>0</v>
          </cell>
        </row>
      </sheetData>
      <sheetData sheetId="5168">
        <row r="4">
          <cell r="I4">
            <v>0</v>
          </cell>
        </row>
      </sheetData>
      <sheetData sheetId="5169">
        <row r="4">
          <cell r="I4">
            <v>0</v>
          </cell>
        </row>
      </sheetData>
      <sheetData sheetId="5170">
        <row r="4">
          <cell r="I4">
            <v>0</v>
          </cell>
        </row>
      </sheetData>
      <sheetData sheetId="5171">
        <row r="4">
          <cell r="I4">
            <v>0</v>
          </cell>
        </row>
      </sheetData>
      <sheetData sheetId="5172">
        <row r="4">
          <cell r="I4">
            <v>0</v>
          </cell>
        </row>
      </sheetData>
      <sheetData sheetId="5173">
        <row r="4">
          <cell r="I4">
            <v>0</v>
          </cell>
        </row>
      </sheetData>
      <sheetData sheetId="5174">
        <row r="4">
          <cell r="I4">
            <v>0</v>
          </cell>
        </row>
      </sheetData>
      <sheetData sheetId="5175">
        <row r="4">
          <cell r="I4">
            <v>0</v>
          </cell>
        </row>
      </sheetData>
      <sheetData sheetId="5176">
        <row r="4">
          <cell r="I4">
            <v>0</v>
          </cell>
        </row>
      </sheetData>
      <sheetData sheetId="5177">
        <row r="4">
          <cell r="I4">
            <v>0</v>
          </cell>
        </row>
      </sheetData>
      <sheetData sheetId="5178">
        <row r="4">
          <cell r="I4">
            <v>0</v>
          </cell>
        </row>
      </sheetData>
      <sheetData sheetId="5179">
        <row r="4">
          <cell r="I4">
            <v>0</v>
          </cell>
        </row>
      </sheetData>
      <sheetData sheetId="5180">
        <row r="4">
          <cell r="I4">
            <v>0</v>
          </cell>
        </row>
      </sheetData>
      <sheetData sheetId="5181">
        <row r="4">
          <cell r="I4">
            <v>0</v>
          </cell>
        </row>
      </sheetData>
      <sheetData sheetId="5182">
        <row r="4">
          <cell r="I4">
            <v>0</v>
          </cell>
        </row>
      </sheetData>
      <sheetData sheetId="5183">
        <row r="4">
          <cell r="I4">
            <v>0</v>
          </cell>
        </row>
      </sheetData>
      <sheetData sheetId="5184">
        <row r="4">
          <cell r="I4">
            <v>0</v>
          </cell>
        </row>
      </sheetData>
      <sheetData sheetId="5185">
        <row r="4">
          <cell r="I4">
            <v>0</v>
          </cell>
        </row>
      </sheetData>
      <sheetData sheetId="5186">
        <row r="4">
          <cell r="I4">
            <v>0</v>
          </cell>
        </row>
      </sheetData>
      <sheetData sheetId="5187">
        <row r="4">
          <cell r="I4">
            <v>0</v>
          </cell>
        </row>
      </sheetData>
      <sheetData sheetId="5188">
        <row r="4">
          <cell r="I4">
            <v>0</v>
          </cell>
        </row>
      </sheetData>
      <sheetData sheetId="5189">
        <row r="4">
          <cell r="I4">
            <v>0</v>
          </cell>
        </row>
      </sheetData>
      <sheetData sheetId="5190">
        <row r="4">
          <cell r="I4">
            <v>0</v>
          </cell>
        </row>
      </sheetData>
      <sheetData sheetId="5191">
        <row r="4">
          <cell r="I4">
            <v>0</v>
          </cell>
        </row>
      </sheetData>
      <sheetData sheetId="5192">
        <row r="4">
          <cell r="I4">
            <v>0</v>
          </cell>
        </row>
      </sheetData>
      <sheetData sheetId="5193">
        <row r="4">
          <cell r="I4">
            <v>0</v>
          </cell>
        </row>
      </sheetData>
      <sheetData sheetId="5194">
        <row r="4">
          <cell r="I4">
            <v>0</v>
          </cell>
        </row>
      </sheetData>
      <sheetData sheetId="5195">
        <row r="4">
          <cell r="I4">
            <v>0</v>
          </cell>
        </row>
      </sheetData>
      <sheetData sheetId="5196">
        <row r="4">
          <cell r="I4">
            <v>0</v>
          </cell>
        </row>
      </sheetData>
      <sheetData sheetId="5197">
        <row r="4">
          <cell r="I4">
            <v>0</v>
          </cell>
        </row>
      </sheetData>
      <sheetData sheetId="5198">
        <row r="4">
          <cell r="I4">
            <v>0</v>
          </cell>
        </row>
      </sheetData>
      <sheetData sheetId="5199">
        <row r="4">
          <cell r="I4">
            <v>0</v>
          </cell>
        </row>
      </sheetData>
      <sheetData sheetId="5200">
        <row r="4">
          <cell r="I4">
            <v>0</v>
          </cell>
        </row>
      </sheetData>
      <sheetData sheetId="5201">
        <row r="4">
          <cell r="I4">
            <v>0</v>
          </cell>
        </row>
      </sheetData>
      <sheetData sheetId="5202">
        <row r="4">
          <cell r="I4">
            <v>0</v>
          </cell>
        </row>
      </sheetData>
      <sheetData sheetId="5203">
        <row r="4">
          <cell r="I4">
            <v>0</v>
          </cell>
        </row>
      </sheetData>
      <sheetData sheetId="5204">
        <row r="4">
          <cell r="I4">
            <v>0</v>
          </cell>
        </row>
      </sheetData>
      <sheetData sheetId="5205">
        <row r="4">
          <cell r="I4">
            <v>0</v>
          </cell>
        </row>
      </sheetData>
      <sheetData sheetId="5206">
        <row r="4">
          <cell r="I4">
            <v>0</v>
          </cell>
        </row>
      </sheetData>
      <sheetData sheetId="5207">
        <row r="4">
          <cell r="I4">
            <v>0</v>
          </cell>
        </row>
      </sheetData>
      <sheetData sheetId="5208">
        <row r="4">
          <cell r="I4">
            <v>0</v>
          </cell>
        </row>
      </sheetData>
      <sheetData sheetId="5209">
        <row r="4">
          <cell r="I4">
            <v>0</v>
          </cell>
        </row>
      </sheetData>
      <sheetData sheetId="5210">
        <row r="4">
          <cell r="I4">
            <v>0</v>
          </cell>
        </row>
      </sheetData>
      <sheetData sheetId="5211">
        <row r="4">
          <cell r="I4">
            <v>0</v>
          </cell>
        </row>
      </sheetData>
      <sheetData sheetId="5212">
        <row r="4">
          <cell r="I4">
            <v>0</v>
          </cell>
        </row>
      </sheetData>
      <sheetData sheetId="5213">
        <row r="4">
          <cell r="I4">
            <v>0</v>
          </cell>
        </row>
      </sheetData>
      <sheetData sheetId="5214">
        <row r="4">
          <cell r="I4">
            <v>0</v>
          </cell>
        </row>
      </sheetData>
      <sheetData sheetId="5215">
        <row r="4">
          <cell r="I4">
            <v>0</v>
          </cell>
        </row>
      </sheetData>
      <sheetData sheetId="5216">
        <row r="4">
          <cell r="I4">
            <v>0</v>
          </cell>
        </row>
      </sheetData>
      <sheetData sheetId="5217">
        <row r="4">
          <cell r="I4">
            <v>0</v>
          </cell>
        </row>
      </sheetData>
      <sheetData sheetId="5218">
        <row r="4">
          <cell r="I4">
            <v>0</v>
          </cell>
        </row>
      </sheetData>
      <sheetData sheetId="5219">
        <row r="4">
          <cell r="I4">
            <v>0</v>
          </cell>
        </row>
      </sheetData>
      <sheetData sheetId="5220">
        <row r="4">
          <cell r="I4">
            <v>0</v>
          </cell>
        </row>
      </sheetData>
      <sheetData sheetId="5221">
        <row r="4">
          <cell r="I4">
            <v>0</v>
          </cell>
        </row>
      </sheetData>
      <sheetData sheetId="5222">
        <row r="4">
          <cell r="I4">
            <v>0</v>
          </cell>
        </row>
      </sheetData>
      <sheetData sheetId="5223">
        <row r="4">
          <cell r="I4">
            <v>0</v>
          </cell>
        </row>
      </sheetData>
      <sheetData sheetId="5224">
        <row r="4">
          <cell r="I4">
            <v>0</v>
          </cell>
        </row>
      </sheetData>
      <sheetData sheetId="5225">
        <row r="4">
          <cell r="I4">
            <v>0</v>
          </cell>
        </row>
      </sheetData>
      <sheetData sheetId="5226">
        <row r="4">
          <cell r="I4">
            <v>0</v>
          </cell>
        </row>
      </sheetData>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4">
          <cell r="I4">
            <v>0</v>
          </cell>
        </row>
      </sheetData>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ow r="4">
          <cell r="I4">
            <v>0</v>
          </cell>
        </row>
      </sheetData>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ow r="4">
          <cell r="I4">
            <v>0</v>
          </cell>
        </row>
      </sheetData>
      <sheetData sheetId="5324">
        <row r="4">
          <cell r="I4">
            <v>0</v>
          </cell>
        </row>
      </sheetData>
      <sheetData sheetId="5325" refreshError="1"/>
      <sheetData sheetId="5326">
        <row r="4">
          <cell r="I4">
            <v>0</v>
          </cell>
        </row>
      </sheetData>
      <sheetData sheetId="5327">
        <row r="4">
          <cell r="I4">
            <v>0</v>
          </cell>
        </row>
      </sheetData>
      <sheetData sheetId="5328">
        <row r="4">
          <cell r="I4">
            <v>0</v>
          </cell>
        </row>
      </sheetData>
      <sheetData sheetId="5329">
        <row r="4">
          <cell r="I4">
            <v>0</v>
          </cell>
        </row>
      </sheetData>
      <sheetData sheetId="5330">
        <row r="4">
          <cell r="I4">
            <v>0</v>
          </cell>
        </row>
      </sheetData>
      <sheetData sheetId="5331">
        <row r="4">
          <cell r="I4">
            <v>0</v>
          </cell>
        </row>
      </sheetData>
      <sheetData sheetId="5332">
        <row r="4">
          <cell r="I4">
            <v>0</v>
          </cell>
        </row>
      </sheetData>
      <sheetData sheetId="5333">
        <row r="4">
          <cell r="I4">
            <v>0</v>
          </cell>
        </row>
      </sheetData>
      <sheetData sheetId="5334">
        <row r="4">
          <cell r="I4">
            <v>0</v>
          </cell>
        </row>
      </sheetData>
      <sheetData sheetId="5335">
        <row r="4">
          <cell r="I4">
            <v>0</v>
          </cell>
        </row>
      </sheetData>
      <sheetData sheetId="5336">
        <row r="4">
          <cell r="I4">
            <v>0</v>
          </cell>
        </row>
      </sheetData>
      <sheetData sheetId="5337">
        <row r="4">
          <cell r="I4">
            <v>0</v>
          </cell>
        </row>
      </sheetData>
      <sheetData sheetId="5338">
        <row r="4">
          <cell r="I4">
            <v>0</v>
          </cell>
        </row>
      </sheetData>
      <sheetData sheetId="5339">
        <row r="4">
          <cell r="I4">
            <v>0</v>
          </cell>
        </row>
      </sheetData>
      <sheetData sheetId="5340">
        <row r="4">
          <cell r="I4">
            <v>0</v>
          </cell>
        </row>
      </sheetData>
      <sheetData sheetId="5341">
        <row r="4">
          <cell r="I4">
            <v>0</v>
          </cell>
        </row>
      </sheetData>
      <sheetData sheetId="5342">
        <row r="4">
          <cell r="I4">
            <v>0</v>
          </cell>
        </row>
      </sheetData>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ow r="4">
          <cell r="I4">
            <v>0</v>
          </cell>
        </row>
      </sheetData>
      <sheetData sheetId="5352">
        <row r="4">
          <cell r="I4">
            <v>0</v>
          </cell>
        </row>
      </sheetData>
      <sheetData sheetId="5353">
        <row r="4">
          <cell r="I4">
            <v>0</v>
          </cell>
        </row>
      </sheetData>
      <sheetData sheetId="5354">
        <row r="4">
          <cell r="I4">
            <v>0</v>
          </cell>
        </row>
      </sheetData>
      <sheetData sheetId="5355">
        <row r="4">
          <cell r="I4">
            <v>0</v>
          </cell>
        </row>
      </sheetData>
      <sheetData sheetId="5356">
        <row r="4">
          <cell r="I4">
            <v>0</v>
          </cell>
        </row>
      </sheetData>
      <sheetData sheetId="5357">
        <row r="4">
          <cell r="I4">
            <v>0</v>
          </cell>
        </row>
      </sheetData>
      <sheetData sheetId="5358">
        <row r="4">
          <cell r="I4">
            <v>0</v>
          </cell>
        </row>
      </sheetData>
      <sheetData sheetId="5359">
        <row r="4">
          <cell r="I4">
            <v>0</v>
          </cell>
        </row>
      </sheetData>
      <sheetData sheetId="5360">
        <row r="4">
          <cell r="I4">
            <v>0</v>
          </cell>
        </row>
      </sheetData>
      <sheetData sheetId="5361">
        <row r="4">
          <cell r="I4">
            <v>0</v>
          </cell>
        </row>
      </sheetData>
      <sheetData sheetId="5362">
        <row r="4">
          <cell r="I4">
            <v>0</v>
          </cell>
        </row>
      </sheetData>
      <sheetData sheetId="5363">
        <row r="4">
          <cell r="I4">
            <v>0</v>
          </cell>
        </row>
      </sheetData>
      <sheetData sheetId="5364">
        <row r="4">
          <cell r="I4">
            <v>0</v>
          </cell>
        </row>
      </sheetData>
      <sheetData sheetId="5365">
        <row r="4">
          <cell r="I4">
            <v>0</v>
          </cell>
        </row>
      </sheetData>
      <sheetData sheetId="5366">
        <row r="4">
          <cell r="I4">
            <v>0</v>
          </cell>
        </row>
      </sheetData>
      <sheetData sheetId="5367">
        <row r="4">
          <cell r="I4">
            <v>0</v>
          </cell>
        </row>
      </sheetData>
      <sheetData sheetId="5368">
        <row r="4">
          <cell r="I4">
            <v>0</v>
          </cell>
        </row>
      </sheetData>
      <sheetData sheetId="5369">
        <row r="4">
          <cell r="I4">
            <v>0</v>
          </cell>
        </row>
      </sheetData>
      <sheetData sheetId="5370">
        <row r="4">
          <cell r="I4">
            <v>0</v>
          </cell>
        </row>
      </sheetData>
      <sheetData sheetId="5371">
        <row r="4">
          <cell r="I4">
            <v>0</v>
          </cell>
        </row>
      </sheetData>
      <sheetData sheetId="5372">
        <row r="4">
          <cell r="I4">
            <v>0</v>
          </cell>
        </row>
      </sheetData>
      <sheetData sheetId="5373">
        <row r="4">
          <cell r="I4">
            <v>0</v>
          </cell>
        </row>
      </sheetData>
      <sheetData sheetId="5374">
        <row r="4">
          <cell r="I4">
            <v>0</v>
          </cell>
        </row>
      </sheetData>
      <sheetData sheetId="5375">
        <row r="4">
          <cell r="I4">
            <v>0</v>
          </cell>
        </row>
      </sheetData>
      <sheetData sheetId="5376">
        <row r="4">
          <cell r="I4">
            <v>0</v>
          </cell>
        </row>
      </sheetData>
      <sheetData sheetId="5377">
        <row r="4">
          <cell r="I4">
            <v>0</v>
          </cell>
        </row>
      </sheetData>
      <sheetData sheetId="5378">
        <row r="4">
          <cell r="I4">
            <v>0</v>
          </cell>
        </row>
      </sheetData>
      <sheetData sheetId="5379">
        <row r="4">
          <cell r="I4">
            <v>0</v>
          </cell>
        </row>
      </sheetData>
      <sheetData sheetId="5380">
        <row r="4">
          <cell r="I4">
            <v>0</v>
          </cell>
        </row>
      </sheetData>
      <sheetData sheetId="5381">
        <row r="4">
          <cell r="I4">
            <v>0</v>
          </cell>
        </row>
      </sheetData>
      <sheetData sheetId="5382">
        <row r="4">
          <cell r="I4">
            <v>0</v>
          </cell>
        </row>
      </sheetData>
      <sheetData sheetId="5383">
        <row r="4">
          <cell r="I4">
            <v>0</v>
          </cell>
        </row>
      </sheetData>
      <sheetData sheetId="5384">
        <row r="4">
          <cell r="I4">
            <v>0</v>
          </cell>
        </row>
      </sheetData>
      <sheetData sheetId="5385">
        <row r="4">
          <cell r="I4">
            <v>0</v>
          </cell>
        </row>
      </sheetData>
      <sheetData sheetId="5386">
        <row r="4">
          <cell r="I4">
            <v>0</v>
          </cell>
        </row>
      </sheetData>
      <sheetData sheetId="5387">
        <row r="4">
          <cell r="I4">
            <v>0</v>
          </cell>
        </row>
      </sheetData>
      <sheetData sheetId="5388">
        <row r="4">
          <cell r="I4">
            <v>0</v>
          </cell>
        </row>
      </sheetData>
      <sheetData sheetId="5389">
        <row r="4">
          <cell r="I4">
            <v>0</v>
          </cell>
        </row>
      </sheetData>
      <sheetData sheetId="5390">
        <row r="4">
          <cell r="I4">
            <v>0</v>
          </cell>
        </row>
      </sheetData>
      <sheetData sheetId="5391">
        <row r="4">
          <cell r="I4">
            <v>0</v>
          </cell>
        </row>
      </sheetData>
      <sheetData sheetId="5392">
        <row r="4">
          <cell r="I4">
            <v>0</v>
          </cell>
        </row>
      </sheetData>
      <sheetData sheetId="5393">
        <row r="4">
          <cell r="I4">
            <v>0</v>
          </cell>
        </row>
      </sheetData>
      <sheetData sheetId="5394">
        <row r="4">
          <cell r="I4">
            <v>0</v>
          </cell>
        </row>
      </sheetData>
      <sheetData sheetId="5395">
        <row r="4">
          <cell r="I4">
            <v>0</v>
          </cell>
        </row>
      </sheetData>
      <sheetData sheetId="5396">
        <row r="4">
          <cell r="I4">
            <v>0</v>
          </cell>
        </row>
      </sheetData>
      <sheetData sheetId="5397">
        <row r="4">
          <cell r="I4">
            <v>0</v>
          </cell>
        </row>
      </sheetData>
      <sheetData sheetId="5398">
        <row r="4">
          <cell r="I4">
            <v>0</v>
          </cell>
        </row>
      </sheetData>
      <sheetData sheetId="5399">
        <row r="4">
          <cell r="I4">
            <v>0</v>
          </cell>
        </row>
      </sheetData>
      <sheetData sheetId="5400">
        <row r="4">
          <cell r="I4">
            <v>0</v>
          </cell>
        </row>
      </sheetData>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ow r="4">
          <cell r="I4">
            <v>0</v>
          </cell>
        </row>
      </sheetData>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ow r="4">
          <cell r="I4">
            <v>0</v>
          </cell>
        </row>
      </sheetData>
      <sheetData sheetId="5450">
        <row r="4">
          <cell r="I4">
            <v>0</v>
          </cell>
        </row>
      </sheetData>
      <sheetData sheetId="5451">
        <row r="4">
          <cell r="I4">
            <v>0</v>
          </cell>
        </row>
      </sheetData>
      <sheetData sheetId="5452">
        <row r="4">
          <cell r="I4">
            <v>0</v>
          </cell>
        </row>
      </sheetData>
      <sheetData sheetId="5453">
        <row r="4">
          <cell r="I4">
            <v>0</v>
          </cell>
        </row>
      </sheetData>
      <sheetData sheetId="5454">
        <row r="4">
          <cell r="I4">
            <v>0</v>
          </cell>
        </row>
      </sheetData>
      <sheetData sheetId="5455">
        <row r="4">
          <cell r="I4">
            <v>0</v>
          </cell>
        </row>
      </sheetData>
      <sheetData sheetId="5456">
        <row r="4">
          <cell r="I4">
            <v>0</v>
          </cell>
        </row>
      </sheetData>
      <sheetData sheetId="5457">
        <row r="4">
          <cell r="I4">
            <v>0</v>
          </cell>
        </row>
      </sheetData>
      <sheetData sheetId="5458">
        <row r="4">
          <cell r="I4">
            <v>0</v>
          </cell>
        </row>
      </sheetData>
      <sheetData sheetId="5459">
        <row r="4">
          <cell r="I4">
            <v>0</v>
          </cell>
        </row>
      </sheetData>
      <sheetData sheetId="5460">
        <row r="4">
          <cell r="I4">
            <v>0</v>
          </cell>
        </row>
      </sheetData>
      <sheetData sheetId="5461">
        <row r="4">
          <cell r="I4">
            <v>0</v>
          </cell>
        </row>
      </sheetData>
      <sheetData sheetId="5462">
        <row r="4">
          <cell r="I4">
            <v>0</v>
          </cell>
        </row>
      </sheetData>
      <sheetData sheetId="5463">
        <row r="4">
          <cell r="I4">
            <v>0</v>
          </cell>
        </row>
      </sheetData>
      <sheetData sheetId="5464">
        <row r="4">
          <cell r="I4">
            <v>0</v>
          </cell>
        </row>
      </sheetData>
      <sheetData sheetId="5465">
        <row r="4">
          <cell r="I4">
            <v>0</v>
          </cell>
        </row>
      </sheetData>
      <sheetData sheetId="5466">
        <row r="4">
          <cell r="I4">
            <v>0</v>
          </cell>
        </row>
      </sheetData>
      <sheetData sheetId="5467">
        <row r="4">
          <cell r="I4">
            <v>0</v>
          </cell>
        </row>
      </sheetData>
      <sheetData sheetId="5468">
        <row r="4">
          <cell r="I4">
            <v>0</v>
          </cell>
        </row>
      </sheetData>
      <sheetData sheetId="5469">
        <row r="4">
          <cell r="I4">
            <v>0</v>
          </cell>
        </row>
      </sheetData>
      <sheetData sheetId="5470">
        <row r="4">
          <cell r="I4">
            <v>0</v>
          </cell>
        </row>
      </sheetData>
      <sheetData sheetId="5471">
        <row r="4">
          <cell r="I4">
            <v>0</v>
          </cell>
        </row>
      </sheetData>
      <sheetData sheetId="5472">
        <row r="4">
          <cell r="I4">
            <v>0</v>
          </cell>
        </row>
      </sheetData>
      <sheetData sheetId="5473">
        <row r="4">
          <cell r="I4">
            <v>0</v>
          </cell>
        </row>
      </sheetData>
      <sheetData sheetId="5474">
        <row r="4">
          <cell r="I4">
            <v>0</v>
          </cell>
        </row>
      </sheetData>
      <sheetData sheetId="5475">
        <row r="4">
          <cell r="I4">
            <v>0</v>
          </cell>
        </row>
      </sheetData>
      <sheetData sheetId="5476">
        <row r="4">
          <cell r="I4">
            <v>0</v>
          </cell>
        </row>
      </sheetData>
      <sheetData sheetId="5477">
        <row r="4">
          <cell r="I4">
            <v>0</v>
          </cell>
        </row>
      </sheetData>
      <sheetData sheetId="5478">
        <row r="4">
          <cell r="I4">
            <v>0</v>
          </cell>
        </row>
      </sheetData>
      <sheetData sheetId="5479">
        <row r="4">
          <cell r="I4">
            <v>0</v>
          </cell>
        </row>
      </sheetData>
      <sheetData sheetId="5480">
        <row r="4">
          <cell r="I4">
            <v>0</v>
          </cell>
        </row>
      </sheetData>
      <sheetData sheetId="5481">
        <row r="4">
          <cell r="I4">
            <v>0</v>
          </cell>
        </row>
      </sheetData>
      <sheetData sheetId="5482">
        <row r="4">
          <cell r="I4">
            <v>0</v>
          </cell>
        </row>
      </sheetData>
      <sheetData sheetId="5483">
        <row r="4">
          <cell r="I4">
            <v>0</v>
          </cell>
        </row>
      </sheetData>
      <sheetData sheetId="5484">
        <row r="4">
          <cell r="I4">
            <v>0</v>
          </cell>
        </row>
      </sheetData>
      <sheetData sheetId="5485">
        <row r="4">
          <cell r="I4">
            <v>0</v>
          </cell>
        </row>
      </sheetData>
      <sheetData sheetId="5486">
        <row r="4">
          <cell r="I4">
            <v>0</v>
          </cell>
        </row>
      </sheetData>
      <sheetData sheetId="5487">
        <row r="4">
          <cell r="I4">
            <v>0</v>
          </cell>
        </row>
      </sheetData>
      <sheetData sheetId="5488">
        <row r="4">
          <cell r="I4">
            <v>0</v>
          </cell>
        </row>
      </sheetData>
      <sheetData sheetId="5489">
        <row r="4">
          <cell r="I4">
            <v>0</v>
          </cell>
        </row>
      </sheetData>
      <sheetData sheetId="5490">
        <row r="4">
          <cell r="I4">
            <v>0</v>
          </cell>
        </row>
      </sheetData>
      <sheetData sheetId="5491">
        <row r="4">
          <cell r="I4">
            <v>0</v>
          </cell>
        </row>
      </sheetData>
      <sheetData sheetId="5492">
        <row r="4">
          <cell r="I4">
            <v>0</v>
          </cell>
        </row>
      </sheetData>
      <sheetData sheetId="5493">
        <row r="4">
          <cell r="I4">
            <v>0</v>
          </cell>
        </row>
      </sheetData>
      <sheetData sheetId="5494">
        <row r="4">
          <cell r="I4">
            <v>0</v>
          </cell>
        </row>
      </sheetData>
      <sheetData sheetId="5495">
        <row r="4">
          <cell r="I4">
            <v>0</v>
          </cell>
        </row>
      </sheetData>
      <sheetData sheetId="5496">
        <row r="4">
          <cell r="I4">
            <v>0</v>
          </cell>
        </row>
      </sheetData>
      <sheetData sheetId="5497">
        <row r="4">
          <cell r="I4">
            <v>0</v>
          </cell>
        </row>
      </sheetData>
      <sheetData sheetId="5498">
        <row r="4">
          <cell r="I4">
            <v>0</v>
          </cell>
        </row>
      </sheetData>
      <sheetData sheetId="5499">
        <row r="4">
          <cell r="I4">
            <v>0</v>
          </cell>
        </row>
      </sheetData>
      <sheetData sheetId="5500">
        <row r="4">
          <cell r="I4">
            <v>0</v>
          </cell>
        </row>
      </sheetData>
      <sheetData sheetId="5501">
        <row r="4">
          <cell r="I4">
            <v>0</v>
          </cell>
        </row>
      </sheetData>
      <sheetData sheetId="5502">
        <row r="4">
          <cell r="I4">
            <v>0</v>
          </cell>
        </row>
      </sheetData>
      <sheetData sheetId="5503">
        <row r="4">
          <cell r="I4">
            <v>0</v>
          </cell>
        </row>
      </sheetData>
      <sheetData sheetId="5504">
        <row r="4">
          <cell r="I4">
            <v>0</v>
          </cell>
        </row>
      </sheetData>
      <sheetData sheetId="5505">
        <row r="4">
          <cell r="I4">
            <v>0</v>
          </cell>
        </row>
      </sheetData>
      <sheetData sheetId="5506">
        <row r="4">
          <cell r="I4">
            <v>0</v>
          </cell>
        </row>
      </sheetData>
      <sheetData sheetId="5507">
        <row r="4">
          <cell r="I4">
            <v>0</v>
          </cell>
        </row>
      </sheetData>
      <sheetData sheetId="5508">
        <row r="4">
          <cell r="I4">
            <v>0</v>
          </cell>
        </row>
      </sheetData>
      <sheetData sheetId="5509">
        <row r="4">
          <cell r="I4">
            <v>0</v>
          </cell>
        </row>
      </sheetData>
      <sheetData sheetId="5510">
        <row r="4">
          <cell r="I4">
            <v>0</v>
          </cell>
        </row>
      </sheetData>
      <sheetData sheetId="5511">
        <row r="4">
          <cell r="I4">
            <v>0</v>
          </cell>
        </row>
      </sheetData>
      <sheetData sheetId="5512">
        <row r="4">
          <cell r="I4">
            <v>0</v>
          </cell>
        </row>
      </sheetData>
      <sheetData sheetId="5513">
        <row r="4">
          <cell r="I4">
            <v>0</v>
          </cell>
        </row>
      </sheetData>
      <sheetData sheetId="5514">
        <row r="4">
          <cell r="I4">
            <v>0</v>
          </cell>
        </row>
      </sheetData>
      <sheetData sheetId="5515">
        <row r="4">
          <cell r="I4">
            <v>0</v>
          </cell>
        </row>
      </sheetData>
      <sheetData sheetId="5516">
        <row r="4">
          <cell r="I4">
            <v>0</v>
          </cell>
        </row>
      </sheetData>
      <sheetData sheetId="5517">
        <row r="4">
          <cell r="I4">
            <v>0</v>
          </cell>
        </row>
      </sheetData>
      <sheetData sheetId="5518">
        <row r="4">
          <cell r="I4">
            <v>0</v>
          </cell>
        </row>
      </sheetData>
      <sheetData sheetId="5519">
        <row r="4">
          <cell r="I4">
            <v>0</v>
          </cell>
        </row>
      </sheetData>
      <sheetData sheetId="5520">
        <row r="4">
          <cell r="I4">
            <v>0</v>
          </cell>
        </row>
      </sheetData>
      <sheetData sheetId="5521">
        <row r="4">
          <cell r="I4">
            <v>0</v>
          </cell>
        </row>
      </sheetData>
      <sheetData sheetId="5522">
        <row r="4">
          <cell r="I4">
            <v>0</v>
          </cell>
        </row>
      </sheetData>
      <sheetData sheetId="5523">
        <row r="4">
          <cell r="I4">
            <v>0</v>
          </cell>
        </row>
      </sheetData>
      <sheetData sheetId="5524">
        <row r="4">
          <cell r="I4">
            <v>0</v>
          </cell>
        </row>
      </sheetData>
      <sheetData sheetId="5525">
        <row r="4">
          <cell r="I4">
            <v>0</v>
          </cell>
        </row>
      </sheetData>
      <sheetData sheetId="5526">
        <row r="4">
          <cell r="I4">
            <v>0</v>
          </cell>
        </row>
      </sheetData>
      <sheetData sheetId="5527">
        <row r="4">
          <cell r="I4">
            <v>0</v>
          </cell>
        </row>
      </sheetData>
      <sheetData sheetId="5528">
        <row r="4">
          <cell r="I4">
            <v>0</v>
          </cell>
        </row>
      </sheetData>
      <sheetData sheetId="5529">
        <row r="4">
          <cell r="I4">
            <v>0</v>
          </cell>
        </row>
      </sheetData>
      <sheetData sheetId="5530">
        <row r="4">
          <cell r="I4">
            <v>0</v>
          </cell>
        </row>
      </sheetData>
      <sheetData sheetId="5531">
        <row r="4">
          <cell r="I4">
            <v>0</v>
          </cell>
        </row>
      </sheetData>
      <sheetData sheetId="5532">
        <row r="4">
          <cell r="I4">
            <v>0</v>
          </cell>
        </row>
      </sheetData>
      <sheetData sheetId="5533">
        <row r="4">
          <cell r="I4">
            <v>0</v>
          </cell>
        </row>
      </sheetData>
      <sheetData sheetId="5534">
        <row r="4">
          <cell r="I4">
            <v>0</v>
          </cell>
        </row>
      </sheetData>
      <sheetData sheetId="5535">
        <row r="4">
          <cell r="I4">
            <v>0</v>
          </cell>
        </row>
      </sheetData>
      <sheetData sheetId="5536">
        <row r="4">
          <cell r="I4">
            <v>0</v>
          </cell>
        </row>
      </sheetData>
      <sheetData sheetId="5537">
        <row r="4">
          <cell r="I4">
            <v>0</v>
          </cell>
        </row>
      </sheetData>
      <sheetData sheetId="5538">
        <row r="4">
          <cell r="I4">
            <v>0</v>
          </cell>
        </row>
      </sheetData>
      <sheetData sheetId="5539">
        <row r="4">
          <cell r="I4">
            <v>0</v>
          </cell>
        </row>
      </sheetData>
      <sheetData sheetId="5540">
        <row r="4">
          <cell r="I4">
            <v>0</v>
          </cell>
        </row>
      </sheetData>
      <sheetData sheetId="5541">
        <row r="4">
          <cell r="I4">
            <v>0</v>
          </cell>
        </row>
      </sheetData>
      <sheetData sheetId="5542">
        <row r="4">
          <cell r="I4">
            <v>0</v>
          </cell>
        </row>
      </sheetData>
      <sheetData sheetId="5543">
        <row r="4">
          <cell r="I4">
            <v>0</v>
          </cell>
        </row>
      </sheetData>
      <sheetData sheetId="5544">
        <row r="4">
          <cell r="I4">
            <v>0</v>
          </cell>
        </row>
      </sheetData>
      <sheetData sheetId="5545">
        <row r="4">
          <cell r="I4">
            <v>0</v>
          </cell>
        </row>
      </sheetData>
      <sheetData sheetId="5546">
        <row r="4">
          <cell r="I4">
            <v>0</v>
          </cell>
        </row>
      </sheetData>
      <sheetData sheetId="5547">
        <row r="4">
          <cell r="I4">
            <v>0</v>
          </cell>
        </row>
      </sheetData>
      <sheetData sheetId="5548">
        <row r="4">
          <cell r="I4">
            <v>0</v>
          </cell>
        </row>
      </sheetData>
      <sheetData sheetId="5549">
        <row r="4">
          <cell r="I4">
            <v>0</v>
          </cell>
        </row>
      </sheetData>
      <sheetData sheetId="5550">
        <row r="4">
          <cell r="I4">
            <v>0</v>
          </cell>
        </row>
      </sheetData>
      <sheetData sheetId="5551">
        <row r="4">
          <cell r="I4">
            <v>0</v>
          </cell>
        </row>
      </sheetData>
      <sheetData sheetId="5552">
        <row r="4">
          <cell r="I4">
            <v>0</v>
          </cell>
        </row>
      </sheetData>
      <sheetData sheetId="5553">
        <row r="4">
          <cell r="I4">
            <v>0</v>
          </cell>
        </row>
      </sheetData>
      <sheetData sheetId="5554">
        <row r="4">
          <cell r="I4">
            <v>0</v>
          </cell>
        </row>
      </sheetData>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ow r="4">
          <cell r="I4">
            <v>0</v>
          </cell>
        </row>
      </sheetData>
      <sheetData sheetId="5574">
        <row r="4">
          <cell r="I4">
            <v>0</v>
          </cell>
        </row>
      </sheetData>
      <sheetData sheetId="5575">
        <row r="4">
          <cell r="I4">
            <v>0</v>
          </cell>
        </row>
      </sheetData>
      <sheetData sheetId="5576">
        <row r="4">
          <cell r="I4">
            <v>0</v>
          </cell>
        </row>
      </sheetData>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ow r="4">
          <cell r="I4">
            <v>0</v>
          </cell>
        </row>
      </sheetData>
      <sheetData sheetId="5589">
        <row r="4">
          <cell r="I4">
            <v>0</v>
          </cell>
        </row>
      </sheetData>
      <sheetData sheetId="5590">
        <row r="4">
          <cell r="I4">
            <v>0</v>
          </cell>
        </row>
      </sheetData>
      <sheetData sheetId="5591">
        <row r="4">
          <cell r="I4">
            <v>0</v>
          </cell>
        </row>
      </sheetData>
      <sheetData sheetId="5592">
        <row r="4">
          <cell r="I4">
            <v>0</v>
          </cell>
        </row>
      </sheetData>
      <sheetData sheetId="5593">
        <row r="4">
          <cell r="I4">
            <v>0</v>
          </cell>
        </row>
      </sheetData>
      <sheetData sheetId="5594">
        <row r="4">
          <cell r="I4">
            <v>0</v>
          </cell>
        </row>
      </sheetData>
      <sheetData sheetId="5595">
        <row r="4">
          <cell r="I4">
            <v>0</v>
          </cell>
        </row>
      </sheetData>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ow r="4">
          <cell r="I4">
            <v>0</v>
          </cell>
        </row>
      </sheetData>
      <sheetData sheetId="5605">
        <row r="4">
          <cell r="I4">
            <v>0</v>
          </cell>
        </row>
      </sheetData>
      <sheetData sheetId="5606">
        <row r="4">
          <cell r="I4">
            <v>0</v>
          </cell>
        </row>
      </sheetData>
      <sheetData sheetId="5607">
        <row r="4">
          <cell r="I4">
            <v>0</v>
          </cell>
        </row>
      </sheetData>
      <sheetData sheetId="5608">
        <row r="4">
          <cell r="I4">
            <v>0</v>
          </cell>
        </row>
      </sheetData>
      <sheetData sheetId="5609">
        <row r="4">
          <cell r="I4">
            <v>0</v>
          </cell>
        </row>
      </sheetData>
      <sheetData sheetId="5610">
        <row r="4">
          <cell r="I4">
            <v>0</v>
          </cell>
        </row>
      </sheetData>
      <sheetData sheetId="5611">
        <row r="4">
          <cell r="I4">
            <v>0</v>
          </cell>
        </row>
      </sheetData>
      <sheetData sheetId="5612">
        <row r="4">
          <cell r="I4">
            <v>0</v>
          </cell>
        </row>
      </sheetData>
      <sheetData sheetId="5613">
        <row r="4">
          <cell r="I4">
            <v>0</v>
          </cell>
        </row>
      </sheetData>
      <sheetData sheetId="5614">
        <row r="4">
          <cell r="I4">
            <v>0</v>
          </cell>
        </row>
      </sheetData>
      <sheetData sheetId="5615">
        <row r="4">
          <cell r="I4">
            <v>0</v>
          </cell>
        </row>
      </sheetData>
      <sheetData sheetId="5616">
        <row r="4">
          <cell r="I4">
            <v>0</v>
          </cell>
        </row>
      </sheetData>
      <sheetData sheetId="5617">
        <row r="4">
          <cell r="I4">
            <v>0</v>
          </cell>
        </row>
      </sheetData>
      <sheetData sheetId="5618">
        <row r="4">
          <cell r="I4">
            <v>0</v>
          </cell>
        </row>
      </sheetData>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ow r="4">
          <cell r="I4">
            <v>0</v>
          </cell>
        </row>
      </sheetData>
      <sheetData sheetId="5630">
        <row r="4">
          <cell r="I4">
            <v>0</v>
          </cell>
        </row>
      </sheetData>
      <sheetData sheetId="5631">
        <row r="4">
          <cell r="I4">
            <v>0</v>
          </cell>
        </row>
      </sheetData>
      <sheetData sheetId="5632">
        <row r="4">
          <cell r="I4">
            <v>0</v>
          </cell>
        </row>
      </sheetData>
      <sheetData sheetId="5633">
        <row r="4">
          <cell r="I4">
            <v>0</v>
          </cell>
        </row>
      </sheetData>
      <sheetData sheetId="5634">
        <row r="4">
          <cell r="I4">
            <v>0</v>
          </cell>
        </row>
      </sheetData>
      <sheetData sheetId="5635" refreshError="1"/>
      <sheetData sheetId="5636" refreshError="1"/>
      <sheetData sheetId="5637" refreshError="1"/>
      <sheetData sheetId="5638">
        <row r="4">
          <cell r="I4">
            <v>0</v>
          </cell>
        </row>
      </sheetData>
      <sheetData sheetId="5639">
        <row r="4">
          <cell r="I4">
            <v>0</v>
          </cell>
        </row>
      </sheetData>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ow r="4">
          <cell r="I4">
            <v>0</v>
          </cell>
        </row>
      </sheetData>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ow r="4">
          <cell r="I4">
            <v>0</v>
          </cell>
        </row>
      </sheetData>
      <sheetData sheetId="5685">
        <row r="4">
          <cell r="I4">
            <v>0</v>
          </cell>
        </row>
      </sheetData>
      <sheetData sheetId="5686">
        <row r="4">
          <cell r="I4">
            <v>0</v>
          </cell>
        </row>
      </sheetData>
      <sheetData sheetId="5687">
        <row r="4">
          <cell r="I4">
            <v>0</v>
          </cell>
        </row>
      </sheetData>
      <sheetData sheetId="5688">
        <row r="4">
          <cell r="I4">
            <v>0</v>
          </cell>
        </row>
      </sheetData>
      <sheetData sheetId="5689">
        <row r="4">
          <cell r="I4">
            <v>0</v>
          </cell>
        </row>
      </sheetData>
      <sheetData sheetId="5690" refreshError="1"/>
      <sheetData sheetId="5691" refreshError="1"/>
      <sheetData sheetId="5692">
        <row r="4">
          <cell r="I4">
            <v>0</v>
          </cell>
        </row>
      </sheetData>
      <sheetData sheetId="5693" refreshError="1"/>
      <sheetData sheetId="5694" refreshError="1"/>
      <sheetData sheetId="5695" refreshError="1"/>
      <sheetData sheetId="5696" refreshError="1"/>
      <sheetData sheetId="5697">
        <row r="4">
          <cell r="I4">
            <v>0</v>
          </cell>
        </row>
      </sheetData>
      <sheetData sheetId="5698">
        <row r="4">
          <cell r="I4">
            <v>0</v>
          </cell>
        </row>
      </sheetData>
      <sheetData sheetId="5699">
        <row r="4">
          <cell r="I4">
            <v>0</v>
          </cell>
        </row>
      </sheetData>
      <sheetData sheetId="5700">
        <row r="4">
          <cell r="I4">
            <v>0</v>
          </cell>
        </row>
      </sheetData>
      <sheetData sheetId="5701">
        <row r="4">
          <cell r="I4">
            <v>0</v>
          </cell>
        </row>
      </sheetData>
      <sheetData sheetId="5702">
        <row r="4">
          <cell r="I4">
            <v>0</v>
          </cell>
        </row>
      </sheetData>
      <sheetData sheetId="5703">
        <row r="4">
          <cell r="I4">
            <v>0</v>
          </cell>
        </row>
      </sheetData>
      <sheetData sheetId="5704">
        <row r="4">
          <cell r="I4">
            <v>0</v>
          </cell>
        </row>
      </sheetData>
      <sheetData sheetId="5705">
        <row r="4">
          <cell r="I4">
            <v>0</v>
          </cell>
        </row>
      </sheetData>
      <sheetData sheetId="5706">
        <row r="4">
          <cell r="I4">
            <v>0</v>
          </cell>
        </row>
      </sheetData>
      <sheetData sheetId="5707">
        <row r="4">
          <cell r="I4">
            <v>0</v>
          </cell>
        </row>
      </sheetData>
      <sheetData sheetId="5708">
        <row r="4">
          <cell r="I4">
            <v>0</v>
          </cell>
        </row>
      </sheetData>
      <sheetData sheetId="5709">
        <row r="4">
          <cell r="I4">
            <v>0</v>
          </cell>
        </row>
      </sheetData>
      <sheetData sheetId="5710">
        <row r="4">
          <cell r="I4">
            <v>0</v>
          </cell>
        </row>
      </sheetData>
      <sheetData sheetId="5711">
        <row r="4">
          <cell r="I4">
            <v>0</v>
          </cell>
        </row>
      </sheetData>
      <sheetData sheetId="5712">
        <row r="4">
          <cell r="I4">
            <v>0</v>
          </cell>
        </row>
      </sheetData>
      <sheetData sheetId="5713">
        <row r="4">
          <cell r="I4">
            <v>0</v>
          </cell>
        </row>
      </sheetData>
      <sheetData sheetId="5714">
        <row r="4">
          <cell r="I4">
            <v>0</v>
          </cell>
        </row>
      </sheetData>
      <sheetData sheetId="5715">
        <row r="4">
          <cell r="I4">
            <v>0</v>
          </cell>
        </row>
      </sheetData>
      <sheetData sheetId="5716">
        <row r="4">
          <cell r="I4">
            <v>0</v>
          </cell>
        </row>
      </sheetData>
      <sheetData sheetId="5717">
        <row r="4">
          <cell r="I4">
            <v>0</v>
          </cell>
        </row>
      </sheetData>
      <sheetData sheetId="5718">
        <row r="4">
          <cell r="I4">
            <v>0</v>
          </cell>
        </row>
      </sheetData>
      <sheetData sheetId="5719">
        <row r="4">
          <cell r="I4">
            <v>0</v>
          </cell>
        </row>
      </sheetData>
      <sheetData sheetId="5720">
        <row r="4">
          <cell r="I4">
            <v>0</v>
          </cell>
        </row>
      </sheetData>
      <sheetData sheetId="5721">
        <row r="4">
          <cell r="I4">
            <v>0</v>
          </cell>
        </row>
      </sheetData>
      <sheetData sheetId="5722">
        <row r="4">
          <cell r="I4">
            <v>0</v>
          </cell>
        </row>
      </sheetData>
      <sheetData sheetId="5723">
        <row r="4">
          <cell r="I4">
            <v>0</v>
          </cell>
        </row>
      </sheetData>
      <sheetData sheetId="5724">
        <row r="4">
          <cell r="I4">
            <v>0</v>
          </cell>
        </row>
      </sheetData>
      <sheetData sheetId="5725">
        <row r="4">
          <cell r="I4">
            <v>0</v>
          </cell>
        </row>
      </sheetData>
      <sheetData sheetId="5726">
        <row r="4">
          <cell r="I4">
            <v>0</v>
          </cell>
        </row>
      </sheetData>
      <sheetData sheetId="5727">
        <row r="4">
          <cell r="I4">
            <v>0</v>
          </cell>
        </row>
      </sheetData>
      <sheetData sheetId="5728">
        <row r="4">
          <cell r="I4">
            <v>0</v>
          </cell>
        </row>
      </sheetData>
      <sheetData sheetId="5729">
        <row r="4">
          <cell r="I4">
            <v>0</v>
          </cell>
        </row>
      </sheetData>
      <sheetData sheetId="5730">
        <row r="4">
          <cell r="I4">
            <v>0</v>
          </cell>
        </row>
      </sheetData>
      <sheetData sheetId="5731">
        <row r="4">
          <cell r="I4">
            <v>0</v>
          </cell>
        </row>
      </sheetData>
      <sheetData sheetId="5732">
        <row r="4">
          <cell r="I4">
            <v>0</v>
          </cell>
        </row>
      </sheetData>
      <sheetData sheetId="5733">
        <row r="4">
          <cell r="I4">
            <v>0</v>
          </cell>
        </row>
      </sheetData>
      <sheetData sheetId="5734">
        <row r="4">
          <cell r="I4">
            <v>0</v>
          </cell>
        </row>
      </sheetData>
      <sheetData sheetId="5735">
        <row r="4">
          <cell r="I4">
            <v>0</v>
          </cell>
        </row>
      </sheetData>
      <sheetData sheetId="5736">
        <row r="4">
          <cell r="I4">
            <v>0</v>
          </cell>
        </row>
      </sheetData>
      <sheetData sheetId="5737">
        <row r="4">
          <cell r="I4">
            <v>0</v>
          </cell>
        </row>
      </sheetData>
      <sheetData sheetId="5738">
        <row r="4">
          <cell r="I4">
            <v>0</v>
          </cell>
        </row>
      </sheetData>
      <sheetData sheetId="5739">
        <row r="4">
          <cell r="I4">
            <v>0</v>
          </cell>
        </row>
      </sheetData>
      <sheetData sheetId="5740">
        <row r="4">
          <cell r="I4">
            <v>0</v>
          </cell>
        </row>
      </sheetData>
      <sheetData sheetId="5741">
        <row r="4">
          <cell r="I4">
            <v>0</v>
          </cell>
        </row>
      </sheetData>
      <sheetData sheetId="5742">
        <row r="4">
          <cell r="I4">
            <v>0</v>
          </cell>
        </row>
      </sheetData>
      <sheetData sheetId="5743">
        <row r="4">
          <cell r="I4">
            <v>0</v>
          </cell>
        </row>
      </sheetData>
      <sheetData sheetId="5744">
        <row r="4">
          <cell r="I4">
            <v>0</v>
          </cell>
        </row>
      </sheetData>
      <sheetData sheetId="5745">
        <row r="4">
          <cell r="I4">
            <v>0</v>
          </cell>
        </row>
      </sheetData>
      <sheetData sheetId="5746">
        <row r="4">
          <cell r="I4">
            <v>0</v>
          </cell>
        </row>
      </sheetData>
      <sheetData sheetId="5747">
        <row r="4">
          <cell r="I4">
            <v>0</v>
          </cell>
        </row>
      </sheetData>
      <sheetData sheetId="5748">
        <row r="4">
          <cell r="I4">
            <v>0</v>
          </cell>
        </row>
      </sheetData>
      <sheetData sheetId="5749">
        <row r="4">
          <cell r="I4">
            <v>0</v>
          </cell>
        </row>
      </sheetData>
      <sheetData sheetId="5750">
        <row r="4">
          <cell r="I4">
            <v>0</v>
          </cell>
        </row>
      </sheetData>
      <sheetData sheetId="5751">
        <row r="4">
          <cell r="I4">
            <v>0</v>
          </cell>
        </row>
      </sheetData>
      <sheetData sheetId="5752">
        <row r="4">
          <cell r="I4">
            <v>0</v>
          </cell>
        </row>
      </sheetData>
      <sheetData sheetId="5753">
        <row r="4">
          <cell r="I4">
            <v>0</v>
          </cell>
        </row>
      </sheetData>
      <sheetData sheetId="5754">
        <row r="4">
          <cell r="I4">
            <v>0</v>
          </cell>
        </row>
      </sheetData>
      <sheetData sheetId="5755">
        <row r="4">
          <cell r="I4">
            <v>0</v>
          </cell>
        </row>
      </sheetData>
      <sheetData sheetId="5756">
        <row r="4">
          <cell r="I4">
            <v>0</v>
          </cell>
        </row>
      </sheetData>
      <sheetData sheetId="5757">
        <row r="4">
          <cell r="I4">
            <v>0</v>
          </cell>
        </row>
      </sheetData>
      <sheetData sheetId="5758">
        <row r="4">
          <cell r="I4">
            <v>0</v>
          </cell>
        </row>
      </sheetData>
      <sheetData sheetId="5759">
        <row r="4">
          <cell r="I4">
            <v>0</v>
          </cell>
        </row>
      </sheetData>
      <sheetData sheetId="5760">
        <row r="4">
          <cell r="I4">
            <v>0</v>
          </cell>
        </row>
      </sheetData>
      <sheetData sheetId="5761">
        <row r="4">
          <cell r="I4">
            <v>0</v>
          </cell>
        </row>
      </sheetData>
      <sheetData sheetId="5762">
        <row r="4">
          <cell r="I4">
            <v>0</v>
          </cell>
        </row>
      </sheetData>
      <sheetData sheetId="5763">
        <row r="4">
          <cell r="I4">
            <v>0</v>
          </cell>
        </row>
      </sheetData>
      <sheetData sheetId="5764">
        <row r="4">
          <cell r="I4">
            <v>0</v>
          </cell>
        </row>
      </sheetData>
      <sheetData sheetId="5765">
        <row r="4">
          <cell r="I4">
            <v>0</v>
          </cell>
        </row>
      </sheetData>
      <sheetData sheetId="5766">
        <row r="4">
          <cell r="I4">
            <v>0</v>
          </cell>
        </row>
      </sheetData>
      <sheetData sheetId="5767">
        <row r="4">
          <cell r="I4">
            <v>0</v>
          </cell>
        </row>
      </sheetData>
      <sheetData sheetId="5768">
        <row r="4">
          <cell r="I4">
            <v>0</v>
          </cell>
        </row>
      </sheetData>
      <sheetData sheetId="5769">
        <row r="4">
          <cell r="I4">
            <v>0</v>
          </cell>
        </row>
      </sheetData>
      <sheetData sheetId="5770">
        <row r="4">
          <cell r="I4">
            <v>0</v>
          </cell>
        </row>
      </sheetData>
      <sheetData sheetId="5771">
        <row r="4">
          <cell r="I4">
            <v>0</v>
          </cell>
        </row>
      </sheetData>
      <sheetData sheetId="5772">
        <row r="4">
          <cell r="I4">
            <v>0</v>
          </cell>
        </row>
      </sheetData>
      <sheetData sheetId="5773">
        <row r="4">
          <cell r="I4">
            <v>0</v>
          </cell>
        </row>
      </sheetData>
      <sheetData sheetId="5774">
        <row r="4">
          <cell r="I4">
            <v>0</v>
          </cell>
        </row>
      </sheetData>
      <sheetData sheetId="5775">
        <row r="4">
          <cell r="I4">
            <v>0</v>
          </cell>
        </row>
      </sheetData>
      <sheetData sheetId="5776">
        <row r="4">
          <cell r="I4">
            <v>0</v>
          </cell>
        </row>
      </sheetData>
      <sheetData sheetId="5777">
        <row r="4">
          <cell r="I4">
            <v>0</v>
          </cell>
        </row>
      </sheetData>
      <sheetData sheetId="5778">
        <row r="4">
          <cell r="I4">
            <v>0</v>
          </cell>
        </row>
      </sheetData>
      <sheetData sheetId="5779">
        <row r="4">
          <cell r="I4">
            <v>0</v>
          </cell>
        </row>
      </sheetData>
      <sheetData sheetId="5780">
        <row r="4">
          <cell r="I4">
            <v>0</v>
          </cell>
        </row>
      </sheetData>
      <sheetData sheetId="5781">
        <row r="4">
          <cell r="I4">
            <v>0</v>
          </cell>
        </row>
      </sheetData>
      <sheetData sheetId="5782">
        <row r="4">
          <cell r="I4">
            <v>0</v>
          </cell>
        </row>
      </sheetData>
      <sheetData sheetId="5783">
        <row r="4">
          <cell r="I4">
            <v>0</v>
          </cell>
        </row>
      </sheetData>
      <sheetData sheetId="5784">
        <row r="4">
          <cell r="I4">
            <v>0</v>
          </cell>
        </row>
      </sheetData>
      <sheetData sheetId="5785">
        <row r="4">
          <cell r="I4">
            <v>0</v>
          </cell>
        </row>
      </sheetData>
      <sheetData sheetId="5786">
        <row r="4">
          <cell r="I4">
            <v>0</v>
          </cell>
        </row>
      </sheetData>
      <sheetData sheetId="5787">
        <row r="4">
          <cell r="I4">
            <v>0</v>
          </cell>
        </row>
      </sheetData>
      <sheetData sheetId="5788">
        <row r="4">
          <cell r="I4">
            <v>0</v>
          </cell>
        </row>
      </sheetData>
      <sheetData sheetId="5789">
        <row r="4">
          <cell r="I4">
            <v>0</v>
          </cell>
        </row>
      </sheetData>
      <sheetData sheetId="5790">
        <row r="4">
          <cell r="I4">
            <v>0</v>
          </cell>
        </row>
      </sheetData>
      <sheetData sheetId="5791">
        <row r="4">
          <cell r="I4">
            <v>0</v>
          </cell>
        </row>
      </sheetData>
      <sheetData sheetId="5792">
        <row r="4">
          <cell r="I4">
            <v>0</v>
          </cell>
        </row>
      </sheetData>
      <sheetData sheetId="5793">
        <row r="4">
          <cell r="I4">
            <v>0</v>
          </cell>
        </row>
      </sheetData>
      <sheetData sheetId="5794">
        <row r="4">
          <cell r="I4">
            <v>0</v>
          </cell>
        </row>
      </sheetData>
      <sheetData sheetId="5795">
        <row r="4">
          <cell r="I4">
            <v>0</v>
          </cell>
        </row>
      </sheetData>
      <sheetData sheetId="5796">
        <row r="4">
          <cell r="I4">
            <v>0</v>
          </cell>
        </row>
      </sheetData>
      <sheetData sheetId="5797">
        <row r="4">
          <cell r="I4">
            <v>0</v>
          </cell>
        </row>
      </sheetData>
      <sheetData sheetId="5798">
        <row r="4">
          <cell r="I4">
            <v>0</v>
          </cell>
        </row>
      </sheetData>
      <sheetData sheetId="5799">
        <row r="4">
          <cell r="I4">
            <v>0</v>
          </cell>
        </row>
      </sheetData>
      <sheetData sheetId="5800">
        <row r="4">
          <cell r="I4">
            <v>0</v>
          </cell>
        </row>
      </sheetData>
      <sheetData sheetId="5801">
        <row r="4">
          <cell r="I4">
            <v>0</v>
          </cell>
        </row>
      </sheetData>
      <sheetData sheetId="5802">
        <row r="4">
          <cell r="I4">
            <v>0</v>
          </cell>
        </row>
      </sheetData>
      <sheetData sheetId="5803">
        <row r="4">
          <cell r="I4">
            <v>0</v>
          </cell>
        </row>
      </sheetData>
      <sheetData sheetId="5804">
        <row r="4">
          <cell r="I4">
            <v>0</v>
          </cell>
        </row>
      </sheetData>
      <sheetData sheetId="5805">
        <row r="4">
          <cell r="I4">
            <v>0</v>
          </cell>
        </row>
      </sheetData>
      <sheetData sheetId="5806">
        <row r="4">
          <cell r="I4">
            <v>0</v>
          </cell>
        </row>
      </sheetData>
      <sheetData sheetId="5807">
        <row r="4">
          <cell r="I4">
            <v>0</v>
          </cell>
        </row>
      </sheetData>
      <sheetData sheetId="5808">
        <row r="4">
          <cell r="I4">
            <v>0</v>
          </cell>
        </row>
      </sheetData>
      <sheetData sheetId="5809">
        <row r="4">
          <cell r="I4">
            <v>0</v>
          </cell>
        </row>
      </sheetData>
      <sheetData sheetId="5810">
        <row r="4">
          <cell r="I4">
            <v>0</v>
          </cell>
        </row>
      </sheetData>
      <sheetData sheetId="5811">
        <row r="4">
          <cell r="I4">
            <v>0</v>
          </cell>
        </row>
      </sheetData>
      <sheetData sheetId="5812">
        <row r="4">
          <cell r="I4">
            <v>0</v>
          </cell>
        </row>
      </sheetData>
      <sheetData sheetId="5813">
        <row r="4">
          <cell r="I4">
            <v>0</v>
          </cell>
        </row>
      </sheetData>
      <sheetData sheetId="5814">
        <row r="4">
          <cell r="I4">
            <v>0</v>
          </cell>
        </row>
      </sheetData>
      <sheetData sheetId="5815">
        <row r="4">
          <cell r="I4">
            <v>0</v>
          </cell>
        </row>
      </sheetData>
      <sheetData sheetId="5816">
        <row r="4">
          <cell r="I4">
            <v>0</v>
          </cell>
        </row>
      </sheetData>
      <sheetData sheetId="5817">
        <row r="4">
          <cell r="I4">
            <v>0</v>
          </cell>
        </row>
      </sheetData>
      <sheetData sheetId="5818">
        <row r="4">
          <cell r="I4">
            <v>0</v>
          </cell>
        </row>
      </sheetData>
      <sheetData sheetId="5819">
        <row r="4">
          <cell r="I4">
            <v>0</v>
          </cell>
        </row>
      </sheetData>
      <sheetData sheetId="5820">
        <row r="4">
          <cell r="I4">
            <v>0</v>
          </cell>
        </row>
      </sheetData>
      <sheetData sheetId="5821">
        <row r="4">
          <cell r="I4">
            <v>0</v>
          </cell>
        </row>
      </sheetData>
      <sheetData sheetId="5822">
        <row r="4">
          <cell r="I4">
            <v>0</v>
          </cell>
        </row>
      </sheetData>
      <sheetData sheetId="5823">
        <row r="4">
          <cell r="I4">
            <v>0</v>
          </cell>
        </row>
      </sheetData>
      <sheetData sheetId="5824">
        <row r="4">
          <cell r="I4">
            <v>0</v>
          </cell>
        </row>
      </sheetData>
      <sheetData sheetId="5825">
        <row r="4">
          <cell r="I4">
            <v>0</v>
          </cell>
        </row>
      </sheetData>
      <sheetData sheetId="5826">
        <row r="4">
          <cell r="I4">
            <v>0</v>
          </cell>
        </row>
      </sheetData>
      <sheetData sheetId="5827">
        <row r="4">
          <cell r="I4">
            <v>0</v>
          </cell>
        </row>
      </sheetData>
      <sheetData sheetId="5828">
        <row r="4">
          <cell r="I4">
            <v>0</v>
          </cell>
        </row>
      </sheetData>
      <sheetData sheetId="5829">
        <row r="4">
          <cell r="I4">
            <v>0</v>
          </cell>
        </row>
      </sheetData>
      <sheetData sheetId="5830">
        <row r="4">
          <cell r="I4">
            <v>0</v>
          </cell>
        </row>
      </sheetData>
      <sheetData sheetId="5831">
        <row r="4">
          <cell r="I4">
            <v>0</v>
          </cell>
        </row>
      </sheetData>
      <sheetData sheetId="5832">
        <row r="4">
          <cell r="I4">
            <v>0</v>
          </cell>
        </row>
      </sheetData>
      <sheetData sheetId="5833">
        <row r="4">
          <cell r="I4">
            <v>0</v>
          </cell>
        </row>
      </sheetData>
      <sheetData sheetId="5834">
        <row r="4">
          <cell r="I4">
            <v>0</v>
          </cell>
        </row>
      </sheetData>
      <sheetData sheetId="5835">
        <row r="4">
          <cell r="I4">
            <v>0</v>
          </cell>
        </row>
      </sheetData>
      <sheetData sheetId="5836">
        <row r="4">
          <cell r="I4">
            <v>0</v>
          </cell>
        </row>
      </sheetData>
      <sheetData sheetId="5837">
        <row r="4">
          <cell r="I4">
            <v>0</v>
          </cell>
        </row>
      </sheetData>
      <sheetData sheetId="5838">
        <row r="4">
          <cell r="I4">
            <v>0</v>
          </cell>
        </row>
      </sheetData>
      <sheetData sheetId="5839">
        <row r="4">
          <cell r="I4">
            <v>0</v>
          </cell>
        </row>
      </sheetData>
      <sheetData sheetId="5840">
        <row r="4">
          <cell r="I4">
            <v>0</v>
          </cell>
        </row>
      </sheetData>
      <sheetData sheetId="5841">
        <row r="4">
          <cell r="I4">
            <v>0</v>
          </cell>
        </row>
      </sheetData>
      <sheetData sheetId="5842">
        <row r="4">
          <cell r="I4">
            <v>0</v>
          </cell>
        </row>
      </sheetData>
      <sheetData sheetId="5843">
        <row r="4">
          <cell r="I4">
            <v>0</v>
          </cell>
        </row>
      </sheetData>
      <sheetData sheetId="5844">
        <row r="4">
          <cell r="I4">
            <v>0</v>
          </cell>
        </row>
      </sheetData>
      <sheetData sheetId="5845">
        <row r="4">
          <cell r="I4">
            <v>0</v>
          </cell>
        </row>
      </sheetData>
      <sheetData sheetId="5846">
        <row r="4">
          <cell r="I4">
            <v>0</v>
          </cell>
        </row>
      </sheetData>
      <sheetData sheetId="5847">
        <row r="4">
          <cell r="I4">
            <v>0</v>
          </cell>
        </row>
      </sheetData>
      <sheetData sheetId="5848">
        <row r="4">
          <cell r="I4">
            <v>0</v>
          </cell>
        </row>
      </sheetData>
      <sheetData sheetId="5849">
        <row r="4">
          <cell r="I4">
            <v>0</v>
          </cell>
        </row>
      </sheetData>
      <sheetData sheetId="5850">
        <row r="4">
          <cell r="I4">
            <v>0</v>
          </cell>
        </row>
      </sheetData>
      <sheetData sheetId="5851">
        <row r="4">
          <cell r="I4">
            <v>0</v>
          </cell>
        </row>
      </sheetData>
      <sheetData sheetId="5852">
        <row r="4">
          <cell r="I4">
            <v>0</v>
          </cell>
        </row>
      </sheetData>
      <sheetData sheetId="5853">
        <row r="4">
          <cell r="I4">
            <v>0</v>
          </cell>
        </row>
      </sheetData>
      <sheetData sheetId="5854">
        <row r="4">
          <cell r="I4">
            <v>0</v>
          </cell>
        </row>
      </sheetData>
      <sheetData sheetId="5855">
        <row r="4">
          <cell r="I4">
            <v>0</v>
          </cell>
        </row>
      </sheetData>
      <sheetData sheetId="5856">
        <row r="4">
          <cell r="I4">
            <v>0</v>
          </cell>
        </row>
      </sheetData>
      <sheetData sheetId="5857">
        <row r="4">
          <cell r="I4">
            <v>0</v>
          </cell>
        </row>
      </sheetData>
      <sheetData sheetId="5858">
        <row r="4">
          <cell r="I4">
            <v>0</v>
          </cell>
        </row>
      </sheetData>
      <sheetData sheetId="5859">
        <row r="4">
          <cell r="I4">
            <v>0</v>
          </cell>
        </row>
      </sheetData>
      <sheetData sheetId="5860">
        <row r="4">
          <cell r="I4">
            <v>0</v>
          </cell>
        </row>
      </sheetData>
      <sheetData sheetId="5861">
        <row r="4">
          <cell r="I4">
            <v>0</v>
          </cell>
        </row>
      </sheetData>
      <sheetData sheetId="5862">
        <row r="4">
          <cell r="I4">
            <v>0</v>
          </cell>
        </row>
      </sheetData>
      <sheetData sheetId="5863">
        <row r="4">
          <cell r="I4">
            <v>0</v>
          </cell>
        </row>
      </sheetData>
      <sheetData sheetId="5864">
        <row r="4">
          <cell r="I4">
            <v>0</v>
          </cell>
        </row>
      </sheetData>
      <sheetData sheetId="5865">
        <row r="4">
          <cell r="I4">
            <v>0</v>
          </cell>
        </row>
      </sheetData>
      <sheetData sheetId="5866">
        <row r="4">
          <cell r="I4">
            <v>0</v>
          </cell>
        </row>
      </sheetData>
      <sheetData sheetId="5867">
        <row r="4">
          <cell r="I4">
            <v>0</v>
          </cell>
        </row>
      </sheetData>
      <sheetData sheetId="5868">
        <row r="4">
          <cell r="I4">
            <v>0</v>
          </cell>
        </row>
      </sheetData>
      <sheetData sheetId="5869">
        <row r="4">
          <cell r="I4">
            <v>0</v>
          </cell>
        </row>
      </sheetData>
      <sheetData sheetId="5870">
        <row r="4">
          <cell r="I4">
            <v>0</v>
          </cell>
        </row>
      </sheetData>
      <sheetData sheetId="5871">
        <row r="4">
          <cell r="I4">
            <v>0</v>
          </cell>
        </row>
      </sheetData>
      <sheetData sheetId="5872">
        <row r="4">
          <cell r="I4">
            <v>0</v>
          </cell>
        </row>
      </sheetData>
      <sheetData sheetId="5873">
        <row r="4">
          <cell r="I4">
            <v>0</v>
          </cell>
        </row>
      </sheetData>
      <sheetData sheetId="5874">
        <row r="4">
          <cell r="I4">
            <v>0</v>
          </cell>
        </row>
      </sheetData>
      <sheetData sheetId="5875">
        <row r="4">
          <cell r="I4">
            <v>0</v>
          </cell>
        </row>
      </sheetData>
      <sheetData sheetId="5876">
        <row r="4">
          <cell r="I4">
            <v>0</v>
          </cell>
        </row>
      </sheetData>
      <sheetData sheetId="5877">
        <row r="4">
          <cell r="I4">
            <v>0</v>
          </cell>
        </row>
      </sheetData>
      <sheetData sheetId="5878">
        <row r="4">
          <cell r="I4">
            <v>0</v>
          </cell>
        </row>
      </sheetData>
      <sheetData sheetId="5879">
        <row r="4">
          <cell r="I4">
            <v>0</v>
          </cell>
        </row>
      </sheetData>
      <sheetData sheetId="5880">
        <row r="4">
          <cell r="I4">
            <v>0</v>
          </cell>
        </row>
      </sheetData>
      <sheetData sheetId="5881">
        <row r="4">
          <cell r="I4">
            <v>0</v>
          </cell>
        </row>
      </sheetData>
      <sheetData sheetId="5882">
        <row r="4">
          <cell r="I4">
            <v>0</v>
          </cell>
        </row>
      </sheetData>
      <sheetData sheetId="5883">
        <row r="4">
          <cell r="I4">
            <v>0</v>
          </cell>
        </row>
      </sheetData>
      <sheetData sheetId="5884">
        <row r="4">
          <cell r="I4">
            <v>0</v>
          </cell>
        </row>
      </sheetData>
      <sheetData sheetId="5885">
        <row r="4">
          <cell r="I4">
            <v>0</v>
          </cell>
        </row>
      </sheetData>
      <sheetData sheetId="5886">
        <row r="4">
          <cell r="I4">
            <v>0</v>
          </cell>
        </row>
      </sheetData>
      <sheetData sheetId="5887">
        <row r="4">
          <cell r="I4">
            <v>0</v>
          </cell>
        </row>
      </sheetData>
      <sheetData sheetId="5888">
        <row r="4">
          <cell r="I4">
            <v>0</v>
          </cell>
        </row>
      </sheetData>
      <sheetData sheetId="5889">
        <row r="4">
          <cell r="I4">
            <v>0</v>
          </cell>
        </row>
      </sheetData>
      <sheetData sheetId="5890">
        <row r="4">
          <cell r="I4">
            <v>0</v>
          </cell>
        </row>
      </sheetData>
      <sheetData sheetId="5891">
        <row r="4">
          <cell r="I4">
            <v>0</v>
          </cell>
        </row>
      </sheetData>
      <sheetData sheetId="5892">
        <row r="4">
          <cell r="I4">
            <v>0</v>
          </cell>
        </row>
      </sheetData>
      <sheetData sheetId="5893">
        <row r="4">
          <cell r="I4">
            <v>0</v>
          </cell>
        </row>
      </sheetData>
      <sheetData sheetId="5894">
        <row r="4">
          <cell r="I4">
            <v>0</v>
          </cell>
        </row>
      </sheetData>
      <sheetData sheetId="5895">
        <row r="4">
          <cell r="I4">
            <v>0</v>
          </cell>
        </row>
      </sheetData>
      <sheetData sheetId="5896">
        <row r="4">
          <cell r="I4">
            <v>0</v>
          </cell>
        </row>
      </sheetData>
      <sheetData sheetId="5897">
        <row r="4">
          <cell r="I4">
            <v>0</v>
          </cell>
        </row>
      </sheetData>
      <sheetData sheetId="5898">
        <row r="4">
          <cell r="I4">
            <v>0</v>
          </cell>
        </row>
      </sheetData>
      <sheetData sheetId="5899">
        <row r="4">
          <cell r="I4">
            <v>0</v>
          </cell>
        </row>
      </sheetData>
      <sheetData sheetId="5900">
        <row r="4">
          <cell r="I4">
            <v>0</v>
          </cell>
        </row>
      </sheetData>
      <sheetData sheetId="5901">
        <row r="4">
          <cell r="I4">
            <v>0</v>
          </cell>
        </row>
      </sheetData>
      <sheetData sheetId="5902">
        <row r="4">
          <cell r="I4">
            <v>0</v>
          </cell>
        </row>
      </sheetData>
      <sheetData sheetId="5903">
        <row r="4">
          <cell r="I4">
            <v>0</v>
          </cell>
        </row>
      </sheetData>
      <sheetData sheetId="5904">
        <row r="4">
          <cell r="I4">
            <v>0</v>
          </cell>
        </row>
      </sheetData>
      <sheetData sheetId="5905">
        <row r="4">
          <cell r="I4">
            <v>0</v>
          </cell>
        </row>
      </sheetData>
      <sheetData sheetId="5906">
        <row r="4">
          <cell r="I4">
            <v>0</v>
          </cell>
        </row>
      </sheetData>
      <sheetData sheetId="5907">
        <row r="4">
          <cell r="I4">
            <v>0</v>
          </cell>
        </row>
      </sheetData>
      <sheetData sheetId="5908">
        <row r="4">
          <cell r="I4">
            <v>0</v>
          </cell>
        </row>
      </sheetData>
      <sheetData sheetId="5909">
        <row r="4">
          <cell r="I4">
            <v>0</v>
          </cell>
        </row>
      </sheetData>
      <sheetData sheetId="5910">
        <row r="4">
          <cell r="I4">
            <v>0</v>
          </cell>
        </row>
      </sheetData>
      <sheetData sheetId="5911">
        <row r="4">
          <cell r="I4">
            <v>0</v>
          </cell>
        </row>
      </sheetData>
      <sheetData sheetId="5912">
        <row r="4">
          <cell r="I4">
            <v>0</v>
          </cell>
        </row>
      </sheetData>
      <sheetData sheetId="5913">
        <row r="4">
          <cell r="I4">
            <v>0</v>
          </cell>
        </row>
      </sheetData>
      <sheetData sheetId="5914">
        <row r="4">
          <cell r="I4">
            <v>0</v>
          </cell>
        </row>
      </sheetData>
      <sheetData sheetId="5915">
        <row r="4">
          <cell r="I4">
            <v>0</v>
          </cell>
        </row>
      </sheetData>
      <sheetData sheetId="5916">
        <row r="4">
          <cell r="I4">
            <v>0</v>
          </cell>
        </row>
      </sheetData>
      <sheetData sheetId="5917">
        <row r="4">
          <cell r="I4">
            <v>0</v>
          </cell>
        </row>
      </sheetData>
      <sheetData sheetId="5918">
        <row r="4">
          <cell r="I4">
            <v>0</v>
          </cell>
        </row>
      </sheetData>
      <sheetData sheetId="5919">
        <row r="4">
          <cell r="I4">
            <v>0</v>
          </cell>
        </row>
      </sheetData>
      <sheetData sheetId="5920">
        <row r="4">
          <cell r="I4">
            <v>0</v>
          </cell>
        </row>
      </sheetData>
      <sheetData sheetId="5921">
        <row r="4">
          <cell r="I4">
            <v>0</v>
          </cell>
        </row>
      </sheetData>
      <sheetData sheetId="5922">
        <row r="4">
          <cell r="I4">
            <v>0</v>
          </cell>
        </row>
      </sheetData>
      <sheetData sheetId="5923">
        <row r="4">
          <cell r="I4">
            <v>0</v>
          </cell>
        </row>
      </sheetData>
      <sheetData sheetId="5924">
        <row r="4">
          <cell r="I4">
            <v>0</v>
          </cell>
        </row>
      </sheetData>
      <sheetData sheetId="5925">
        <row r="4">
          <cell r="I4">
            <v>0</v>
          </cell>
        </row>
      </sheetData>
      <sheetData sheetId="5926">
        <row r="4">
          <cell r="I4">
            <v>0</v>
          </cell>
        </row>
      </sheetData>
      <sheetData sheetId="5927">
        <row r="4">
          <cell r="I4">
            <v>0</v>
          </cell>
        </row>
      </sheetData>
      <sheetData sheetId="5928">
        <row r="4">
          <cell r="I4">
            <v>0</v>
          </cell>
        </row>
      </sheetData>
      <sheetData sheetId="5929">
        <row r="4">
          <cell r="I4">
            <v>0</v>
          </cell>
        </row>
      </sheetData>
      <sheetData sheetId="5930">
        <row r="4">
          <cell r="I4">
            <v>0</v>
          </cell>
        </row>
      </sheetData>
      <sheetData sheetId="5931">
        <row r="4">
          <cell r="I4">
            <v>0</v>
          </cell>
        </row>
      </sheetData>
      <sheetData sheetId="5932">
        <row r="4">
          <cell r="I4">
            <v>0</v>
          </cell>
        </row>
      </sheetData>
      <sheetData sheetId="5933">
        <row r="4">
          <cell r="I4">
            <v>0</v>
          </cell>
        </row>
      </sheetData>
      <sheetData sheetId="5934">
        <row r="4">
          <cell r="I4">
            <v>0</v>
          </cell>
        </row>
      </sheetData>
      <sheetData sheetId="5935">
        <row r="4">
          <cell r="I4">
            <v>0</v>
          </cell>
        </row>
      </sheetData>
      <sheetData sheetId="5936">
        <row r="4">
          <cell r="I4">
            <v>0</v>
          </cell>
        </row>
      </sheetData>
      <sheetData sheetId="5937">
        <row r="4">
          <cell r="I4">
            <v>0</v>
          </cell>
        </row>
      </sheetData>
      <sheetData sheetId="5938">
        <row r="4">
          <cell r="I4">
            <v>0</v>
          </cell>
        </row>
      </sheetData>
      <sheetData sheetId="5939">
        <row r="4">
          <cell r="I4">
            <v>0</v>
          </cell>
        </row>
      </sheetData>
      <sheetData sheetId="5940">
        <row r="4">
          <cell r="I4">
            <v>0</v>
          </cell>
        </row>
      </sheetData>
      <sheetData sheetId="5941">
        <row r="4">
          <cell r="I4">
            <v>0</v>
          </cell>
        </row>
      </sheetData>
      <sheetData sheetId="5942">
        <row r="4">
          <cell r="I4">
            <v>0</v>
          </cell>
        </row>
      </sheetData>
      <sheetData sheetId="5943">
        <row r="4">
          <cell r="I4">
            <v>0</v>
          </cell>
        </row>
      </sheetData>
      <sheetData sheetId="5944">
        <row r="4">
          <cell r="I4">
            <v>0</v>
          </cell>
        </row>
      </sheetData>
      <sheetData sheetId="5945">
        <row r="4">
          <cell r="I4">
            <v>0</v>
          </cell>
        </row>
      </sheetData>
      <sheetData sheetId="5946">
        <row r="4">
          <cell r="I4">
            <v>0</v>
          </cell>
        </row>
      </sheetData>
      <sheetData sheetId="5947">
        <row r="4">
          <cell r="I4">
            <v>0</v>
          </cell>
        </row>
      </sheetData>
      <sheetData sheetId="5948">
        <row r="4">
          <cell r="I4">
            <v>0</v>
          </cell>
        </row>
      </sheetData>
      <sheetData sheetId="5949">
        <row r="4">
          <cell r="I4">
            <v>0</v>
          </cell>
        </row>
      </sheetData>
      <sheetData sheetId="5950">
        <row r="4">
          <cell r="I4">
            <v>0</v>
          </cell>
        </row>
      </sheetData>
      <sheetData sheetId="5951">
        <row r="4">
          <cell r="I4">
            <v>0</v>
          </cell>
        </row>
      </sheetData>
      <sheetData sheetId="5952">
        <row r="4">
          <cell r="I4">
            <v>0</v>
          </cell>
        </row>
      </sheetData>
      <sheetData sheetId="5953">
        <row r="4">
          <cell r="I4">
            <v>0</v>
          </cell>
        </row>
      </sheetData>
      <sheetData sheetId="5954">
        <row r="4">
          <cell r="I4">
            <v>0</v>
          </cell>
        </row>
      </sheetData>
      <sheetData sheetId="5955">
        <row r="4">
          <cell r="I4">
            <v>0</v>
          </cell>
        </row>
      </sheetData>
      <sheetData sheetId="5956">
        <row r="4">
          <cell r="I4">
            <v>0</v>
          </cell>
        </row>
      </sheetData>
      <sheetData sheetId="5957">
        <row r="4">
          <cell r="I4">
            <v>0</v>
          </cell>
        </row>
      </sheetData>
      <sheetData sheetId="5958">
        <row r="4">
          <cell r="I4">
            <v>0</v>
          </cell>
        </row>
      </sheetData>
      <sheetData sheetId="5959">
        <row r="4">
          <cell r="I4">
            <v>0</v>
          </cell>
        </row>
      </sheetData>
      <sheetData sheetId="5960">
        <row r="4">
          <cell r="I4">
            <v>0</v>
          </cell>
        </row>
      </sheetData>
      <sheetData sheetId="5961">
        <row r="4">
          <cell r="I4">
            <v>0</v>
          </cell>
        </row>
      </sheetData>
      <sheetData sheetId="5962">
        <row r="4">
          <cell r="I4">
            <v>0</v>
          </cell>
        </row>
      </sheetData>
      <sheetData sheetId="5963">
        <row r="4">
          <cell r="I4">
            <v>0</v>
          </cell>
        </row>
      </sheetData>
      <sheetData sheetId="5964">
        <row r="4">
          <cell r="I4">
            <v>0</v>
          </cell>
        </row>
      </sheetData>
      <sheetData sheetId="5965">
        <row r="4">
          <cell r="I4">
            <v>0</v>
          </cell>
        </row>
      </sheetData>
      <sheetData sheetId="5966">
        <row r="4">
          <cell r="I4">
            <v>0</v>
          </cell>
        </row>
      </sheetData>
      <sheetData sheetId="5967">
        <row r="4">
          <cell r="I4">
            <v>0</v>
          </cell>
        </row>
      </sheetData>
      <sheetData sheetId="5968" refreshError="1"/>
      <sheetData sheetId="5969">
        <row r="4">
          <cell r="I4">
            <v>0</v>
          </cell>
        </row>
      </sheetData>
      <sheetData sheetId="5970">
        <row r="4">
          <cell r="I4">
            <v>0</v>
          </cell>
        </row>
      </sheetData>
      <sheetData sheetId="5971">
        <row r="4">
          <cell r="I4">
            <v>0</v>
          </cell>
        </row>
      </sheetData>
      <sheetData sheetId="5972">
        <row r="4">
          <cell r="I4">
            <v>0</v>
          </cell>
        </row>
      </sheetData>
      <sheetData sheetId="5973">
        <row r="4">
          <cell r="I4">
            <v>0</v>
          </cell>
        </row>
      </sheetData>
      <sheetData sheetId="5974">
        <row r="4">
          <cell r="I4">
            <v>0</v>
          </cell>
        </row>
      </sheetData>
      <sheetData sheetId="5975">
        <row r="4">
          <cell r="I4">
            <v>0</v>
          </cell>
        </row>
      </sheetData>
      <sheetData sheetId="5976">
        <row r="4">
          <cell r="I4">
            <v>0</v>
          </cell>
        </row>
      </sheetData>
      <sheetData sheetId="5977">
        <row r="4">
          <cell r="I4">
            <v>0</v>
          </cell>
        </row>
      </sheetData>
      <sheetData sheetId="5978">
        <row r="4">
          <cell r="I4">
            <v>0</v>
          </cell>
        </row>
      </sheetData>
      <sheetData sheetId="5979">
        <row r="4">
          <cell r="I4">
            <v>0</v>
          </cell>
        </row>
      </sheetData>
      <sheetData sheetId="5980">
        <row r="4">
          <cell r="I4">
            <v>0</v>
          </cell>
        </row>
      </sheetData>
      <sheetData sheetId="5981">
        <row r="4">
          <cell r="I4">
            <v>0</v>
          </cell>
        </row>
      </sheetData>
      <sheetData sheetId="5982">
        <row r="4">
          <cell r="I4">
            <v>0</v>
          </cell>
        </row>
      </sheetData>
      <sheetData sheetId="5983">
        <row r="4">
          <cell r="I4">
            <v>0</v>
          </cell>
        </row>
      </sheetData>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ow r="4">
          <cell r="I4">
            <v>0</v>
          </cell>
        </row>
      </sheetData>
      <sheetData sheetId="5994">
        <row r="4">
          <cell r="I4">
            <v>0</v>
          </cell>
        </row>
      </sheetData>
      <sheetData sheetId="5995">
        <row r="4">
          <cell r="I4">
            <v>0</v>
          </cell>
        </row>
      </sheetData>
      <sheetData sheetId="5996">
        <row r="4">
          <cell r="I4">
            <v>0</v>
          </cell>
        </row>
      </sheetData>
      <sheetData sheetId="5997">
        <row r="4">
          <cell r="I4">
            <v>0</v>
          </cell>
        </row>
      </sheetData>
      <sheetData sheetId="5998">
        <row r="4">
          <cell r="I4">
            <v>0</v>
          </cell>
        </row>
      </sheetData>
      <sheetData sheetId="5999">
        <row r="4">
          <cell r="I4">
            <v>0</v>
          </cell>
        </row>
      </sheetData>
      <sheetData sheetId="6000">
        <row r="4">
          <cell r="I4">
            <v>0</v>
          </cell>
        </row>
      </sheetData>
      <sheetData sheetId="6001">
        <row r="4">
          <cell r="I4">
            <v>0</v>
          </cell>
        </row>
      </sheetData>
      <sheetData sheetId="6002">
        <row r="4">
          <cell r="I4">
            <v>0</v>
          </cell>
        </row>
      </sheetData>
      <sheetData sheetId="6003">
        <row r="4">
          <cell r="I4">
            <v>0</v>
          </cell>
        </row>
      </sheetData>
      <sheetData sheetId="6004">
        <row r="4">
          <cell r="I4">
            <v>0</v>
          </cell>
        </row>
      </sheetData>
      <sheetData sheetId="6005">
        <row r="4">
          <cell r="I4">
            <v>0</v>
          </cell>
        </row>
      </sheetData>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ow r="4">
          <cell r="I4">
            <v>0</v>
          </cell>
        </row>
      </sheetData>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ow r="4">
          <cell r="I4">
            <v>0</v>
          </cell>
        </row>
      </sheetData>
      <sheetData sheetId="6031" refreshError="1"/>
      <sheetData sheetId="6032" refreshError="1"/>
      <sheetData sheetId="6033" refreshError="1"/>
      <sheetData sheetId="6034">
        <row r="4">
          <cell r="I4">
            <v>0</v>
          </cell>
        </row>
      </sheetData>
      <sheetData sheetId="6035" refreshError="1"/>
      <sheetData sheetId="6036">
        <row r="4">
          <cell r="I4">
            <v>0</v>
          </cell>
        </row>
      </sheetData>
      <sheetData sheetId="6037">
        <row r="4">
          <cell r="I4">
            <v>0</v>
          </cell>
        </row>
      </sheetData>
      <sheetData sheetId="6038">
        <row r="4">
          <cell r="I4">
            <v>0</v>
          </cell>
        </row>
      </sheetData>
      <sheetData sheetId="6039">
        <row r="4">
          <cell r="I4">
            <v>0</v>
          </cell>
        </row>
      </sheetData>
      <sheetData sheetId="6040">
        <row r="4">
          <cell r="I4">
            <v>0</v>
          </cell>
        </row>
      </sheetData>
      <sheetData sheetId="6041">
        <row r="4">
          <cell r="I4">
            <v>0</v>
          </cell>
        </row>
      </sheetData>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ow r="4">
          <cell r="I4">
            <v>0</v>
          </cell>
        </row>
      </sheetData>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ow r="4">
          <cell r="I4">
            <v>0</v>
          </cell>
        </row>
      </sheetData>
      <sheetData sheetId="6080">
        <row r="4">
          <cell r="I4">
            <v>0</v>
          </cell>
        </row>
      </sheetData>
      <sheetData sheetId="6081">
        <row r="4">
          <cell r="I4">
            <v>0</v>
          </cell>
        </row>
      </sheetData>
      <sheetData sheetId="6082">
        <row r="4">
          <cell r="I4">
            <v>0</v>
          </cell>
        </row>
      </sheetData>
      <sheetData sheetId="6083">
        <row r="4">
          <cell r="I4">
            <v>0</v>
          </cell>
        </row>
      </sheetData>
      <sheetData sheetId="6084">
        <row r="4">
          <cell r="I4">
            <v>0</v>
          </cell>
        </row>
      </sheetData>
      <sheetData sheetId="6085">
        <row r="4">
          <cell r="I4">
            <v>0</v>
          </cell>
        </row>
      </sheetData>
      <sheetData sheetId="6086">
        <row r="4">
          <cell r="I4">
            <v>0</v>
          </cell>
        </row>
      </sheetData>
      <sheetData sheetId="6087">
        <row r="4">
          <cell r="I4">
            <v>0</v>
          </cell>
        </row>
      </sheetData>
      <sheetData sheetId="6088">
        <row r="4">
          <cell r="I4">
            <v>0</v>
          </cell>
        </row>
      </sheetData>
      <sheetData sheetId="6089" refreshError="1"/>
      <sheetData sheetId="6090">
        <row r="4">
          <cell r="I4">
            <v>0</v>
          </cell>
        </row>
      </sheetData>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ow r="4">
          <cell r="I4">
            <v>0</v>
          </cell>
        </row>
      </sheetData>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ow r="4">
          <cell r="I4">
            <v>0</v>
          </cell>
        </row>
      </sheetData>
      <sheetData sheetId="6181" refreshError="1"/>
      <sheetData sheetId="6182" refreshError="1"/>
      <sheetData sheetId="6183" refreshError="1"/>
      <sheetData sheetId="6184" refreshError="1"/>
      <sheetData sheetId="6185" refreshError="1"/>
      <sheetData sheetId="6186" refreshError="1"/>
      <sheetData sheetId="6187" refreshError="1"/>
      <sheetData sheetId="6188">
        <row r="4">
          <cell r="I4">
            <v>0</v>
          </cell>
        </row>
      </sheetData>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ow r="4">
          <cell r="I4">
            <v>0</v>
          </cell>
        </row>
      </sheetData>
      <sheetData sheetId="6234">
        <row r="4">
          <cell r="I4">
            <v>0</v>
          </cell>
        </row>
      </sheetData>
      <sheetData sheetId="6235">
        <row r="4">
          <cell r="I4">
            <v>0</v>
          </cell>
        </row>
      </sheetData>
      <sheetData sheetId="6236">
        <row r="4">
          <cell r="I4">
            <v>0</v>
          </cell>
        </row>
      </sheetData>
      <sheetData sheetId="6237">
        <row r="4">
          <cell r="I4">
            <v>0</v>
          </cell>
        </row>
      </sheetData>
      <sheetData sheetId="6238">
        <row r="4">
          <cell r="I4">
            <v>0</v>
          </cell>
        </row>
      </sheetData>
      <sheetData sheetId="6239">
        <row r="4">
          <cell r="I4">
            <v>0</v>
          </cell>
        </row>
      </sheetData>
      <sheetData sheetId="6240">
        <row r="4">
          <cell r="I4">
            <v>0</v>
          </cell>
        </row>
      </sheetData>
      <sheetData sheetId="6241">
        <row r="4">
          <cell r="I4">
            <v>0</v>
          </cell>
        </row>
      </sheetData>
      <sheetData sheetId="6242">
        <row r="4">
          <cell r="I4">
            <v>0</v>
          </cell>
        </row>
      </sheetData>
      <sheetData sheetId="6243">
        <row r="4">
          <cell r="I4">
            <v>0</v>
          </cell>
        </row>
      </sheetData>
      <sheetData sheetId="6244">
        <row r="4">
          <cell r="I4">
            <v>0</v>
          </cell>
        </row>
      </sheetData>
      <sheetData sheetId="6245">
        <row r="4">
          <cell r="I4">
            <v>0</v>
          </cell>
        </row>
      </sheetData>
      <sheetData sheetId="6246">
        <row r="4">
          <cell r="I4">
            <v>0</v>
          </cell>
        </row>
      </sheetData>
      <sheetData sheetId="6247">
        <row r="4">
          <cell r="I4">
            <v>0</v>
          </cell>
        </row>
      </sheetData>
      <sheetData sheetId="6248">
        <row r="4">
          <cell r="I4">
            <v>0</v>
          </cell>
        </row>
      </sheetData>
      <sheetData sheetId="6249">
        <row r="4">
          <cell r="I4">
            <v>0</v>
          </cell>
        </row>
      </sheetData>
      <sheetData sheetId="6250">
        <row r="4">
          <cell r="I4">
            <v>0</v>
          </cell>
        </row>
      </sheetData>
      <sheetData sheetId="6251">
        <row r="4">
          <cell r="I4">
            <v>0</v>
          </cell>
        </row>
      </sheetData>
      <sheetData sheetId="6252">
        <row r="4">
          <cell r="I4">
            <v>0</v>
          </cell>
        </row>
      </sheetData>
      <sheetData sheetId="6253">
        <row r="4">
          <cell r="I4">
            <v>0</v>
          </cell>
        </row>
      </sheetData>
      <sheetData sheetId="6254">
        <row r="4">
          <cell r="I4">
            <v>0</v>
          </cell>
        </row>
      </sheetData>
      <sheetData sheetId="6255">
        <row r="4">
          <cell r="I4">
            <v>0</v>
          </cell>
        </row>
      </sheetData>
      <sheetData sheetId="6256">
        <row r="4">
          <cell r="I4">
            <v>0</v>
          </cell>
        </row>
      </sheetData>
      <sheetData sheetId="6257">
        <row r="4">
          <cell r="I4">
            <v>0</v>
          </cell>
        </row>
      </sheetData>
      <sheetData sheetId="6258">
        <row r="4">
          <cell r="I4">
            <v>0</v>
          </cell>
        </row>
      </sheetData>
      <sheetData sheetId="6259">
        <row r="4">
          <cell r="I4">
            <v>0</v>
          </cell>
        </row>
      </sheetData>
      <sheetData sheetId="6260">
        <row r="4">
          <cell r="I4">
            <v>0</v>
          </cell>
        </row>
      </sheetData>
      <sheetData sheetId="6261">
        <row r="4">
          <cell r="I4">
            <v>0</v>
          </cell>
        </row>
      </sheetData>
      <sheetData sheetId="6262">
        <row r="4">
          <cell r="I4">
            <v>0</v>
          </cell>
        </row>
      </sheetData>
      <sheetData sheetId="6263">
        <row r="4">
          <cell r="I4">
            <v>0</v>
          </cell>
        </row>
      </sheetData>
      <sheetData sheetId="6264">
        <row r="4">
          <cell r="I4">
            <v>0</v>
          </cell>
        </row>
      </sheetData>
      <sheetData sheetId="6265">
        <row r="4">
          <cell r="I4">
            <v>0</v>
          </cell>
        </row>
      </sheetData>
      <sheetData sheetId="6266">
        <row r="4">
          <cell r="I4">
            <v>0</v>
          </cell>
        </row>
      </sheetData>
      <sheetData sheetId="6267">
        <row r="4">
          <cell r="I4">
            <v>0</v>
          </cell>
        </row>
      </sheetData>
      <sheetData sheetId="6268">
        <row r="4">
          <cell r="I4">
            <v>0</v>
          </cell>
        </row>
      </sheetData>
      <sheetData sheetId="6269">
        <row r="4">
          <cell r="I4">
            <v>0</v>
          </cell>
        </row>
      </sheetData>
      <sheetData sheetId="6270">
        <row r="4">
          <cell r="I4">
            <v>0</v>
          </cell>
        </row>
      </sheetData>
      <sheetData sheetId="6271">
        <row r="4">
          <cell r="I4">
            <v>0</v>
          </cell>
        </row>
      </sheetData>
      <sheetData sheetId="6272">
        <row r="4">
          <cell r="I4">
            <v>0</v>
          </cell>
        </row>
      </sheetData>
      <sheetData sheetId="6273">
        <row r="4">
          <cell r="I4">
            <v>0</v>
          </cell>
        </row>
      </sheetData>
      <sheetData sheetId="6274">
        <row r="4">
          <cell r="I4">
            <v>0</v>
          </cell>
        </row>
      </sheetData>
      <sheetData sheetId="6275">
        <row r="4">
          <cell r="I4">
            <v>0</v>
          </cell>
        </row>
      </sheetData>
      <sheetData sheetId="6276">
        <row r="4">
          <cell r="I4">
            <v>0</v>
          </cell>
        </row>
      </sheetData>
      <sheetData sheetId="6277">
        <row r="4">
          <cell r="I4">
            <v>0</v>
          </cell>
        </row>
      </sheetData>
      <sheetData sheetId="6278">
        <row r="4">
          <cell r="I4">
            <v>0</v>
          </cell>
        </row>
      </sheetData>
      <sheetData sheetId="6279">
        <row r="4">
          <cell r="I4">
            <v>0</v>
          </cell>
        </row>
      </sheetData>
      <sheetData sheetId="6280">
        <row r="4">
          <cell r="I4">
            <v>0</v>
          </cell>
        </row>
      </sheetData>
      <sheetData sheetId="6281">
        <row r="4">
          <cell r="I4">
            <v>0</v>
          </cell>
        </row>
      </sheetData>
      <sheetData sheetId="6282">
        <row r="4">
          <cell r="I4">
            <v>0</v>
          </cell>
        </row>
      </sheetData>
      <sheetData sheetId="6283">
        <row r="4">
          <cell r="I4">
            <v>0</v>
          </cell>
        </row>
      </sheetData>
      <sheetData sheetId="6284">
        <row r="4">
          <cell r="I4">
            <v>0</v>
          </cell>
        </row>
      </sheetData>
      <sheetData sheetId="6285">
        <row r="4">
          <cell r="I4">
            <v>0</v>
          </cell>
        </row>
      </sheetData>
      <sheetData sheetId="6286">
        <row r="4">
          <cell r="I4">
            <v>0</v>
          </cell>
        </row>
      </sheetData>
      <sheetData sheetId="6287">
        <row r="4">
          <cell r="I4">
            <v>0</v>
          </cell>
        </row>
      </sheetData>
      <sheetData sheetId="6288">
        <row r="4">
          <cell r="I4">
            <v>0</v>
          </cell>
        </row>
      </sheetData>
      <sheetData sheetId="6289">
        <row r="4">
          <cell r="I4">
            <v>0</v>
          </cell>
        </row>
      </sheetData>
      <sheetData sheetId="6290">
        <row r="4">
          <cell r="I4">
            <v>0</v>
          </cell>
        </row>
      </sheetData>
      <sheetData sheetId="6291">
        <row r="4">
          <cell r="I4">
            <v>0</v>
          </cell>
        </row>
      </sheetData>
      <sheetData sheetId="6292">
        <row r="4">
          <cell r="I4">
            <v>0</v>
          </cell>
        </row>
      </sheetData>
      <sheetData sheetId="6293">
        <row r="4">
          <cell r="I4">
            <v>0</v>
          </cell>
        </row>
      </sheetData>
      <sheetData sheetId="6294">
        <row r="4">
          <cell r="I4">
            <v>0</v>
          </cell>
        </row>
      </sheetData>
      <sheetData sheetId="6295">
        <row r="4">
          <cell r="I4">
            <v>0</v>
          </cell>
        </row>
      </sheetData>
      <sheetData sheetId="6296">
        <row r="4">
          <cell r="I4">
            <v>0</v>
          </cell>
        </row>
      </sheetData>
      <sheetData sheetId="6297">
        <row r="4">
          <cell r="I4">
            <v>0</v>
          </cell>
        </row>
      </sheetData>
      <sheetData sheetId="6298">
        <row r="4">
          <cell r="I4">
            <v>0</v>
          </cell>
        </row>
      </sheetData>
      <sheetData sheetId="6299">
        <row r="4">
          <cell r="I4">
            <v>0</v>
          </cell>
        </row>
      </sheetData>
      <sheetData sheetId="6300">
        <row r="4">
          <cell r="I4">
            <v>0</v>
          </cell>
        </row>
      </sheetData>
      <sheetData sheetId="6301">
        <row r="4">
          <cell r="I4">
            <v>0</v>
          </cell>
        </row>
      </sheetData>
      <sheetData sheetId="6302">
        <row r="4">
          <cell r="I4">
            <v>0</v>
          </cell>
        </row>
      </sheetData>
      <sheetData sheetId="6303">
        <row r="4">
          <cell r="I4">
            <v>0</v>
          </cell>
        </row>
      </sheetData>
      <sheetData sheetId="6304">
        <row r="4">
          <cell r="I4">
            <v>0</v>
          </cell>
        </row>
      </sheetData>
      <sheetData sheetId="6305">
        <row r="4">
          <cell r="I4">
            <v>0</v>
          </cell>
        </row>
      </sheetData>
      <sheetData sheetId="6306">
        <row r="4">
          <cell r="I4">
            <v>0</v>
          </cell>
        </row>
      </sheetData>
      <sheetData sheetId="6307">
        <row r="4">
          <cell r="I4">
            <v>0</v>
          </cell>
        </row>
      </sheetData>
      <sheetData sheetId="6308">
        <row r="4">
          <cell r="I4">
            <v>0</v>
          </cell>
        </row>
      </sheetData>
      <sheetData sheetId="6309">
        <row r="4">
          <cell r="I4">
            <v>0</v>
          </cell>
        </row>
      </sheetData>
      <sheetData sheetId="6310">
        <row r="4">
          <cell r="I4">
            <v>0</v>
          </cell>
        </row>
      </sheetData>
      <sheetData sheetId="6311">
        <row r="4">
          <cell r="I4">
            <v>0</v>
          </cell>
        </row>
      </sheetData>
      <sheetData sheetId="6312">
        <row r="4">
          <cell r="I4">
            <v>0</v>
          </cell>
        </row>
      </sheetData>
      <sheetData sheetId="6313">
        <row r="4">
          <cell r="I4">
            <v>0</v>
          </cell>
        </row>
      </sheetData>
      <sheetData sheetId="6314">
        <row r="4">
          <cell r="I4">
            <v>0</v>
          </cell>
        </row>
      </sheetData>
      <sheetData sheetId="6315">
        <row r="4">
          <cell r="I4">
            <v>0</v>
          </cell>
        </row>
      </sheetData>
      <sheetData sheetId="6316">
        <row r="4">
          <cell r="I4">
            <v>0</v>
          </cell>
        </row>
      </sheetData>
      <sheetData sheetId="6317">
        <row r="4">
          <cell r="I4">
            <v>0</v>
          </cell>
        </row>
      </sheetData>
      <sheetData sheetId="6318">
        <row r="4">
          <cell r="I4">
            <v>0</v>
          </cell>
        </row>
      </sheetData>
      <sheetData sheetId="6319">
        <row r="4">
          <cell r="I4">
            <v>0</v>
          </cell>
        </row>
      </sheetData>
      <sheetData sheetId="6320">
        <row r="4">
          <cell r="I4">
            <v>0</v>
          </cell>
        </row>
      </sheetData>
      <sheetData sheetId="6321">
        <row r="4">
          <cell r="I4">
            <v>0</v>
          </cell>
        </row>
      </sheetData>
      <sheetData sheetId="6322">
        <row r="4">
          <cell r="I4">
            <v>0</v>
          </cell>
        </row>
      </sheetData>
      <sheetData sheetId="6323">
        <row r="4">
          <cell r="I4">
            <v>0</v>
          </cell>
        </row>
      </sheetData>
      <sheetData sheetId="6324">
        <row r="4">
          <cell r="I4">
            <v>0</v>
          </cell>
        </row>
      </sheetData>
      <sheetData sheetId="6325">
        <row r="4">
          <cell r="I4">
            <v>0</v>
          </cell>
        </row>
      </sheetData>
      <sheetData sheetId="6326">
        <row r="4">
          <cell r="I4">
            <v>0</v>
          </cell>
        </row>
      </sheetData>
      <sheetData sheetId="6327">
        <row r="4">
          <cell r="I4">
            <v>0</v>
          </cell>
        </row>
      </sheetData>
      <sheetData sheetId="6328">
        <row r="4">
          <cell r="I4">
            <v>0</v>
          </cell>
        </row>
      </sheetData>
      <sheetData sheetId="6329">
        <row r="4">
          <cell r="I4">
            <v>0</v>
          </cell>
        </row>
      </sheetData>
      <sheetData sheetId="6330">
        <row r="4">
          <cell r="I4">
            <v>0</v>
          </cell>
        </row>
      </sheetData>
      <sheetData sheetId="6331">
        <row r="4">
          <cell r="I4">
            <v>0</v>
          </cell>
        </row>
      </sheetData>
      <sheetData sheetId="6332">
        <row r="4">
          <cell r="I4">
            <v>0</v>
          </cell>
        </row>
      </sheetData>
      <sheetData sheetId="6333">
        <row r="4">
          <cell r="I4">
            <v>0</v>
          </cell>
        </row>
      </sheetData>
      <sheetData sheetId="6334">
        <row r="4">
          <cell r="I4">
            <v>0</v>
          </cell>
        </row>
      </sheetData>
      <sheetData sheetId="6335">
        <row r="4">
          <cell r="I4">
            <v>0</v>
          </cell>
        </row>
      </sheetData>
      <sheetData sheetId="6336">
        <row r="4">
          <cell r="I4">
            <v>0</v>
          </cell>
        </row>
      </sheetData>
      <sheetData sheetId="6337">
        <row r="4">
          <cell r="I4">
            <v>0</v>
          </cell>
        </row>
      </sheetData>
      <sheetData sheetId="6338">
        <row r="4">
          <cell r="I4">
            <v>0</v>
          </cell>
        </row>
      </sheetData>
      <sheetData sheetId="6339">
        <row r="4">
          <cell r="I4">
            <v>0</v>
          </cell>
        </row>
      </sheetData>
      <sheetData sheetId="6340">
        <row r="4">
          <cell r="I4">
            <v>0</v>
          </cell>
        </row>
      </sheetData>
      <sheetData sheetId="6341">
        <row r="4">
          <cell r="I4">
            <v>0</v>
          </cell>
        </row>
      </sheetData>
      <sheetData sheetId="6342">
        <row r="4">
          <cell r="I4">
            <v>0</v>
          </cell>
        </row>
      </sheetData>
      <sheetData sheetId="6343">
        <row r="4">
          <cell r="I4">
            <v>0</v>
          </cell>
        </row>
      </sheetData>
      <sheetData sheetId="6344">
        <row r="4">
          <cell r="I4">
            <v>0</v>
          </cell>
        </row>
      </sheetData>
      <sheetData sheetId="6345">
        <row r="4">
          <cell r="I4">
            <v>0</v>
          </cell>
        </row>
      </sheetData>
      <sheetData sheetId="6346">
        <row r="4">
          <cell r="I4">
            <v>0</v>
          </cell>
        </row>
      </sheetData>
      <sheetData sheetId="6347">
        <row r="4">
          <cell r="I4">
            <v>0</v>
          </cell>
        </row>
      </sheetData>
      <sheetData sheetId="6348">
        <row r="4">
          <cell r="I4">
            <v>0</v>
          </cell>
        </row>
      </sheetData>
      <sheetData sheetId="6349">
        <row r="4">
          <cell r="I4">
            <v>0</v>
          </cell>
        </row>
      </sheetData>
      <sheetData sheetId="6350">
        <row r="4">
          <cell r="I4">
            <v>0</v>
          </cell>
        </row>
      </sheetData>
      <sheetData sheetId="6351">
        <row r="4">
          <cell r="I4">
            <v>0</v>
          </cell>
        </row>
      </sheetData>
      <sheetData sheetId="6352">
        <row r="4">
          <cell r="I4">
            <v>0</v>
          </cell>
        </row>
      </sheetData>
      <sheetData sheetId="6353">
        <row r="4">
          <cell r="I4">
            <v>0</v>
          </cell>
        </row>
      </sheetData>
      <sheetData sheetId="6354">
        <row r="4">
          <cell r="I4">
            <v>0</v>
          </cell>
        </row>
      </sheetData>
      <sheetData sheetId="6355">
        <row r="4">
          <cell r="I4">
            <v>0</v>
          </cell>
        </row>
      </sheetData>
      <sheetData sheetId="6356">
        <row r="4">
          <cell r="I4">
            <v>0</v>
          </cell>
        </row>
      </sheetData>
      <sheetData sheetId="6357">
        <row r="4">
          <cell r="I4">
            <v>0</v>
          </cell>
        </row>
      </sheetData>
      <sheetData sheetId="6358">
        <row r="4">
          <cell r="I4">
            <v>0</v>
          </cell>
        </row>
      </sheetData>
      <sheetData sheetId="6359">
        <row r="4">
          <cell r="I4">
            <v>0</v>
          </cell>
        </row>
      </sheetData>
      <sheetData sheetId="6360">
        <row r="4">
          <cell r="I4">
            <v>0</v>
          </cell>
        </row>
      </sheetData>
      <sheetData sheetId="6361">
        <row r="4">
          <cell r="I4">
            <v>0</v>
          </cell>
        </row>
      </sheetData>
      <sheetData sheetId="6362">
        <row r="4">
          <cell r="I4">
            <v>0</v>
          </cell>
        </row>
      </sheetData>
      <sheetData sheetId="6363">
        <row r="4">
          <cell r="I4">
            <v>0</v>
          </cell>
        </row>
      </sheetData>
      <sheetData sheetId="6364">
        <row r="4">
          <cell r="I4">
            <v>0</v>
          </cell>
        </row>
      </sheetData>
      <sheetData sheetId="6365">
        <row r="4">
          <cell r="I4">
            <v>0</v>
          </cell>
        </row>
      </sheetData>
      <sheetData sheetId="6366">
        <row r="4">
          <cell r="I4">
            <v>0</v>
          </cell>
        </row>
      </sheetData>
      <sheetData sheetId="6367">
        <row r="4">
          <cell r="I4">
            <v>0</v>
          </cell>
        </row>
      </sheetData>
      <sheetData sheetId="6368">
        <row r="4">
          <cell r="I4">
            <v>0</v>
          </cell>
        </row>
      </sheetData>
      <sheetData sheetId="6369">
        <row r="4">
          <cell r="I4">
            <v>0</v>
          </cell>
        </row>
      </sheetData>
      <sheetData sheetId="6370">
        <row r="4">
          <cell r="I4">
            <v>0</v>
          </cell>
        </row>
      </sheetData>
      <sheetData sheetId="6371">
        <row r="4">
          <cell r="I4">
            <v>0</v>
          </cell>
        </row>
      </sheetData>
      <sheetData sheetId="6372">
        <row r="4">
          <cell r="I4">
            <v>0</v>
          </cell>
        </row>
      </sheetData>
      <sheetData sheetId="6373">
        <row r="4">
          <cell r="I4">
            <v>0</v>
          </cell>
        </row>
      </sheetData>
      <sheetData sheetId="6374">
        <row r="4">
          <cell r="I4">
            <v>0</v>
          </cell>
        </row>
      </sheetData>
      <sheetData sheetId="6375">
        <row r="4">
          <cell r="I4">
            <v>0</v>
          </cell>
        </row>
      </sheetData>
      <sheetData sheetId="6376">
        <row r="4">
          <cell r="I4">
            <v>0</v>
          </cell>
        </row>
      </sheetData>
      <sheetData sheetId="6377">
        <row r="4">
          <cell r="I4">
            <v>0</v>
          </cell>
        </row>
      </sheetData>
      <sheetData sheetId="6378">
        <row r="4">
          <cell r="I4">
            <v>0</v>
          </cell>
        </row>
      </sheetData>
      <sheetData sheetId="6379">
        <row r="4">
          <cell r="I4">
            <v>0</v>
          </cell>
        </row>
      </sheetData>
      <sheetData sheetId="6380">
        <row r="4">
          <cell r="I4">
            <v>0</v>
          </cell>
        </row>
      </sheetData>
      <sheetData sheetId="6381">
        <row r="4">
          <cell r="I4">
            <v>0</v>
          </cell>
        </row>
      </sheetData>
      <sheetData sheetId="6382">
        <row r="4">
          <cell r="I4">
            <v>0</v>
          </cell>
        </row>
      </sheetData>
      <sheetData sheetId="6383">
        <row r="4">
          <cell r="I4">
            <v>0</v>
          </cell>
        </row>
      </sheetData>
      <sheetData sheetId="6384">
        <row r="4">
          <cell r="I4">
            <v>0</v>
          </cell>
        </row>
      </sheetData>
      <sheetData sheetId="6385">
        <row r="4">
          <cell r="I4">
            <v>0</v>
          </cell>
        </row>
      </sheetData>
      <sheetData sheetId="6386">
        <row r="4">
          <cell r="I4">
            <v>0</v>
          </cell>
        </row>
      </sheetData>
      <sheetData sheetId="6387">
        <row r="4">
          <cell r="I4">
            <v>0</v>
          </cell>
        </row>
      </sheetData>
      <sheetData sheetId="6388">
        <row r="4">
          <cell r="I4">
            <v>0</v>
          </cell>
        </row>
      </sheetData>
      <sheetData sheetId="6389">
        <row r="4">
          <cell r="I4">
            <v>0</v>
          </cell>
        </row>
      </sheetData>
      <sheetData sheetId="6390">
        <row r="4">
          <cell r="I4">
            <v>0</v>
          </cell>
        </row>
      </sheetData>
      <sheetData sheetId="6391">
        <row r="4">
          <cell r="I4">
            <v>0</v>
          </cell>
        </row>
      </sheetData>
      <sheetData sheetId="6392">
        <row r="4">
          <cell r="I4">
            <v>0</v>
          </cell>
        </row>
      </sheetData>
      <sheetData sheetId="6393">
        <row r="4">
          <cell r="I4">
            <v>0</v>
          </cell>
        </row>
      </sheetData>
      <sheetData sheetId="6394">
        <row r="4">
          <cell r="I4">
            <v>0</v>
          </cell>
        </row>
      </sheetData>
      <sheetData sheetId="6395">
        <row r="4">
          <cell r="I4">
            <v>0</v>
          </cell>
        </row>
      </sheetData>
      <sheetData sheetId="6396">
        <row r="4">
          <cell r="I4">
            <v>0</v>
          </cell>
        </row>
      </sheetData>
      <sheetData sheetId="6397">
        <row r="4">
          <cell r="I4">
            <v>0</v>
          </cell>
        </row>
      </sheetData>
      <sheetData sheetId="6398">
        <row r="4">
          <cell r="I4">
            <v>0</v>
          </cell>
        </row>
      </sheetData>
      <sheetData sheetId="6399">
        <row r="4">
          <cell r="I4">
            <v>0</v>
          </cell>
        </row>
      </sheetData>
      <sheetData sheetId="6400">
        <row r="4">
          <cell r="I4">
            <v>0</v>
          </cell>
        </row>
      </sheetData>
      <sheetData sheetId="6401">
        <row r="4">
          <cell r="I4">
            <v>0</v>
          </cell>
        </row>
      </sheetData>
      <sheetData sheetId="6402">
        <row r="4">
          <cell r="I4">
            <v>0</v>
          </cell>
        </row>
      </sheetData>
      <sheetData sheetId="6403">
        <row r="4">
          <cell r="I4">
            <v>0</v>
          </cell>
        </row>
      </sheetData>
      <sheetData sheetId="6404">
        <row r="4">
          <cell r="I4">
            <v>0</v>
          </cell>
        </row>
      </sheetData>
      <sheetData sheetId="6405">
        <row r="4">
          <cell r="I4">
            <v>0</v>
          </cell>
        </row>
      </sheetData>
      <sheetData sheetId="6406">
        <row r="4">
          <cell r="I4">
            <v>0</v>
          </cell>
        </row>
      </sheetData>
      <sheetData sheetId="6407">
        <row r="4">
          <cell r="I4">
            <v>0</v>
          </cell>
        </row>
      </sheetData>
      <sheetData sheetId="6408">
        <row r="4">
          <cell r="I4">
            <v>0</v>
          </cell>
        </row>
      </sheetData>
      <sheetData sheetId="6409">
        <row r="4">
          <cell r="I4">
            <v>0</v>
          </cell>
        </row>
      </sheetData>
      <sheetData sheetId="6410">
        <row r="4">
          <cell r="I4">
            <v>0</v>
          </cell>
        </row>
      </sheetData>
      <sheetData sheetId="6411">
        <row r="4">
          <cell r="I4">
            <v>0</v>
          </cell>
        </row>
      </sheetData>
      <sheetData sheetId="6412">
        <row r="4">
          <cell r="I4">
            <v>0</v>
          </cell>
        </row>
      </sheetData>
      <sheetData sheetId="6413">
        <row r="4">
          <cell r="I4">
            <v>0</v>
          </cell>
        </row>
      </sheetData>
      <sheetData sheetId="6414">
        <row r="4">
          <cell r="I4">
            <v>0</v>
          </cell>
        </row>
      </sheetData>
      <sheetData sheetId="6415">
        <row r="4">
          <cell r="I4">
            <v>0</v>
          </cell>
        </row>
      </sheetData>
      <sheetData sheetId="6416">
        <row r="4">
          <cell r="I4">
            <v>0</v>
          </cell>
        </row>
      </sheetData>
      <sheetData sheetId="6417">
        <row r="4">
          <cell r="I4">
            <v>0</v>
          </cell>
        </row>
      </sheetData>
      <sheetData sheetId="6418">
        <row r="4">
          <cell r="I4">
            <v>0</v>
          </cell>
        </row>
      </sheetData>
      <sheetData sheetId="6419">
        <row r="4">
          <cell r="I4">
            <v>0</v>
          </cell>
        </row>
      </sheetData>
      <sheetData sheetId="6420">
        <row r="4">
          <cell r="I4">
            <v>0</v>
          </cell>
        </row>
      </sheetData>
      <sheetData sheetId="6421">
        <row r="4">
          <cell r="I4">
            <v>0</v>
          </cell>
        </row>
      </sheetData>
      <sheetData sheetId="6422">
        <row r="4">
          <cell r="I4">
            <v>0</v>
          </cell>
        </row>
      </sheetData>
      <sheetData sheetId="6423">
        <row r="4">
          <cell r="I4">
            <v>0</v>
          </cell>
        </row>
      </sheetData>
      <sheetData sheetId="6424">
        <row r="4">
          <cell r="I4">
            <v>0</v>
          </cell>
        </row>
      </sheetData>
      <sheetData sheetId="6425">
        <row r="4">
          <cell r="I4">
            <v>0</v>
          </cell>
        </row>
      </sheetData>
      <sheetData sheetId="6426">
        <row r="4">
          <cell r="I4">
            <v>0</v>
          </cell>
        </row>
      </sheetData>
      <sheetData sheetId="6427">
        <row r="4">
          <cell r="I4">
            <v>0</v>
          </cell>
        </row>
      </sheetData>
      <sheetData sheetId="6428">
        <row r="4">
          <cell r="I4">
            <v>0</v>
          </cell>
        </row>
      </sheetData>
      <sheetData sheetId="6429">
        <row r="4">
          <cell r="I4">
            <v>0</v>
          </cell>
        </row>
      </sheetData>
      <sheetData sheetId="6430">
        <row r="4">
          <cell r="I4">
            <v>0</v>
          </cell>
        </row>
      </sheetData>
      <sheetData sheetId="6431">
        <row r="4">
          <cell r="I4">
            <v>0</v>
          </cell>
        </row>
      </sheetData>
      <sheetData sheetId="6432">
        <row r="4">
          <cell r="I4">
            <v>0</v>
          </cell>
        </row>
      </sheetData>
      <sheetData sheetId="6433">
        <row r="4">
          <cell r="I4">
            <v>0</v>
          </cell>
        </row>
      </sheetData>
      <sheetData sheetId="6434">
        <row r="4">
          <cell r="I4">
            <v>0</v>
          </cell>
        </row>
      </sheetData>
      <sheetData sheetId="6435">
        <row r="4">
          <cell r="I4">
            <v>0</v>
          </cell>
        </row>
      </sheetData>
      <sheetData sheetId="6436">
        <row r="4">
          <cell r="I4">
            <v>0</v>
          </cell>
        </row>
      </sheetData>
      <sheetData sheetId="6437">
        <row r="4">
          <cell r="I4">
            <v>0</v>
          </cell>
        </row>
      </sheetData>
      <sheetData sheetId="6438">
        <row r="4">
          <cell r="I4">
            <v>0</v>
          </cell>
        </row>
      </sheetData>
      <sheetData sheetId="6439">
        <row r="4">
          <cell r="I4">
            <v>0</v>
          </cell>
        </row>
      </sheetData>
      <sheetData sheetId="6440">
        <row r="4">
          <cell r="I4">
            <v>0</v>
          </cell>
        </row>
      </sheetData>
      <sheetData sheetId="6441">
        <row r="4">
          <cell r="I4">
            <v>0</v>
          </cell>
        </row>
      </sheetData>
      <sheetData sheetId="6442">
        <row r="4">
          <cell r="I4">
            <v>0</v>
          </cell>
        </row>
      </sheetData>
      <sheetData sheetId="6443">
        <row r="4">
          <cell r="I4">
            <v>0</v>
          </cell>
        </row>
      </sheetData>
      <sheetData sheetId="6444">
        <row r="4">
          <cell r="I4">
            <v>0</v>
          </cell>
        </row>
      </sheetData>
      <sheetData sheetId="6445">
        <row r="4">
          <cell r="I4">
            <v>0</v>
          </cell>
        </row>
      </sheetData>
      <sheetData sheetId="6446">
        <row r="4">
          <cell r="I4">
            <v>0</v>
          </cell>
        </row>
      </sheetData>
      <sheetData sheetId="6447">
        <row r="4">
          <cell r="I4">
            <v>0</v>
          </cell>
        </row>
      </sheetData>
      <sheetData sheetId="6448">
        <row r="4">
          <cell r="I4">
            <v>0</v>
          </cell>
        </row>
      </sheetData>
      <sheetData sheetId="6449">
        <row r="4">
          <cell r="I4">
            <v>0</v>
          </cell>
        </row>
      </sheetData>
      <sheetData sheetId="6450">
        <row r="4">
          <cell r="I4">
            <v>0</v>
          </cell>
        </row>
      </sheetData>
      <sheetData sheetId="6451">
        <row r="4">
          <cell r="I4">
            <v>0</v>
          </cell>
        </row>
      </sheetData>
      <sheetData sheetId="6452">
        <row r="4">
          <cell r="I4">
            <v>0</v>
          </cell>
        </row>
      </sheetData>
      <sheetData sheetId="6453">
        <row r="4">
          <cell r="I4">
            <v>0</v>
          </cell>
        </row>
      </sheetData>
      <sheetData sheetId="6454">
        <row r="4">
          <cell r="I4">
            <v>0</v>
          </cell>
        </row>
      </sheetData>
      <sheetData sheetId="6455">
        <row r="4">
          <cell r="I4">
            <v>0</v>
          </cell>
        </row>
      </sheetData>
      <sheetData sheetId="6456">
        <row r="4">
          <cell r="I4">
            <v>0</v>
          </cell>
        </row>
      </sheetData>
      <sheetData sheetId="6457">
        <row r="4">
          <cell r="I4">
            <v>0</v>
          </cell>
        </row>
      </sheetData>
      <sheetData sheetId="6458">
        <row r="4">
          <cell r="I4">
            <v>0</v>
          </cell>
        </row>
      </sheetData>
      <sheetData sheetId="6459">
        <row r="4">
          <cell r="I4">
            <v>0</v>
          </cell>
        </row>
      </sheetData>
      <sheetData sheetId="6460">
        <row r="4">
          <cell r="I4">
            <v>0</v>
          </cell>
        </row>
      </sheetData>
      <sheetData sheetId="6461">
        <row r="4">
          <cell r="I4">
            <v>0</v>
          </cell>
        </row>
      </sheetData>
      <sheetData sheetId="6462">
        <row r="4">
          <cell r="I4">
            <v>0</v>
          </cell>
        </row>
      </sheetData>
      <sheetData sheetId="6463">
        <row r="4">
          <cell r="I4">
            <v>0</v>
          </cell>
        </row>
      </sheetData>
      <sheetData sheetId="6464">
        <row r="4">
          <cell r="I4">
            <v>0</v>
          </cell>
        </row>
      </sheetData>
      <sheetData sheetId="6465">
        <row r="4">
          <cell r="I4">
            <v>0</v>
          </cell>
        </row>
      </sheetData>
      <sheetData sheetId="6466">
        <row r="4">
          <cell r="I4">
            <v>0</v>
          </cell>
        </row>
      </sheetData>
      <sheetData sheetId="6467">
        <row r="4">
          <cell r="I4">
            <v>0</v>
          </cell>
        </row>
      </sheetData>
      <sheetData sheetId="6468">
        <row r="4">
          <cell r="I4">
            <v>0</v>
          </cell>
        </row>
      </sheetData>
      <sheetData sheetId="6469">
        <row r="4">
          <cell r="I4">
            <v>0</v>
          </cell>
        </row>
      </sheetData>
      <sheetData sheetId="6470">
        <row r="4">
          <cell r="I4">
            <v>0</v>
          </cell>
        </row>
      </sheetData>
      <sheetData sheetId="6471">
        <row r="4">
          <cell r="I4">
            <v>0</v>
          </cell>
        </row>
      </sheetData>
      <sheetData sheetId="6472">
        <row r="4">
          <cell r="I4">
            <v>0</v>
          </cell>
        </row>
      </sheetData>
      <sheetData sheetId="6473">
        <row r="4">
          <cell r="I4">
            <v>0</v>
          </cell>
        </row>
      </sheetData>
      <sheetData sheetId="6474">
        <row r="4">
          <cell r="I4">
            <v>0</v>
          </cell>
        </row>
      </sheetData>
      <sheetData sheetId="6475">
        <row r="4">
          <cell r="I4">
            <v>0</v>
          </cell>
        </row>
      </sheetData>
      <sheetData sheetId="6476">
        <row r="4">
          <cell r="I4">
            <v>0</v>
          </cell>
        </row>
      </sheetData>
      <sheetData sheetId="6477">
        <row r="4">
          <cell r="I4">
            <v>0</v>
          </cell>
        </row>
      </sheetData>
      <sheetData sheetId="6478">
        <row r="4">
          <cell r="I4">
            <v>0</v>
          </cell>
        </row>
      </sheetData>
      <sheetData sheetId="6479">
        <row r="4">
          <cell r="I4">
            <v>0</v>
          </cell>
        </row>
      </sheetData>
      <sheetData sheetId="6480">
        <row r="4">
          <cell r="I4">
            <v>0</v>
          </cell>
        </row>
      </sheetData>
      <sheetData sheetId="6481">
        <row r="4">
          <cell r="I4">
            <v>0</v>
          </cell>
        </row>
      </sheetData>
      <sheetData sheetId="6482">
        <row r="4">
          <cell r="I4">
            <v>0</v>
          </cell>
        </row>
      </sheetData>
      <sheetData sheetId="6483">
        <row r="4">
          <cell r="I4">
            <v>0</v>
          </cell>
        </row>
      </sheetData>
      <sheetData sheetId="6484">
        <row r="4">
          <cell r="I4">
            <v>0</v>
          </cell>
        </row>
      </sheetData>
      <sheetData sheetId="6485">
        <row r="4">
          <cell r="I4">
            <v>0</v>
          </cell>
        </row>
      </sheetData>
      <sheetData sheetId="6486">
        <row r="4">
          <cell r="I4">
            <v>0</v>
          </cell>
        </row>
      </sheetData>
      <sheetData sheetId="6487">
        <row r="4">
          <cell r="I4">
            <v>0</v>
          </cell>
        </row>
      </sheetData>
      <sheetData sheetId="6488">
        <row r="4">
          <cell r="I4">
            <v>0</v>
          </cell>
        </row>
      </sheetData>
      <sheetData sheetId="6489">
        <row r="4">
          <cell r="I4">
            <v>0</v>
          </cell>
        </row>
      </sheetData>
      <sheetData sheetId="6490">
        <row r="4">
          <cell r="I4">
            <v>0</v>
          </cell>
        </row>
      </sheetData>
      <sheetData sheetId="6491">
        <row r="4">
          <cell r="I4">
            <v>0</v>
          </cell>
        </row>
      </sheetData>
      <sheetData sheetId="6492">
        <row r="4">
          <cell r="I4">
            <v>0</v>
          </cell>
        </row>
      </sheetData>
      <sheetData sheetId="6493">
        <row r="4">
          <cell r="I4">
            <v>0</v>
          </cell>
        </row>
      </sheetData>
      <sheetData sheetId="6494">
        <row r="4">
          <cell r="I4">
            <v>0</v>
          </cell>
        </row>
      </sheetData>
      <sheetData sheetId="6495">
        <row r="4">
          <cell r="I4">
            <v>0</v>
          </cell>
        </row>
      </sheetData>
      <sheetData sheetId="6496">
        <row r="4">
          <cell r="I4">
            <v>0</v>
          </cell>
        </row>
      </sheetData>
      <sheetData sheetId="6497">
        <row r="4">
          <cell r="I4">
            <v>0</v>
          </cell>
        </row>
      </sheetData>
      <sheetData sheetId="6498">
        <row r="4">
          <cell r="I4">
            <v>0</v>
          </cell>
        </row>
      </sheetData>
      <sheetData sheetId="6499">
        <row r="4">
          <cell r="I4">
            <v>0</v>
          </cell>
        </row>
      </sheetData>
      <sheetData sheetId="6500">
        <row r="4">
          <cell r="I4">
            <v>0</v>
          </cell>
        </row>
      </sheetData>
      <sheetData sheetId="6501">
        <row r="4">
          <cell r="I4">
            <v>0</v>
          </cell>
        </row>
      </sheetData>
      <sheetData sheetId="6502">
        <row r="4">
          <cell r="I4">
            <v>0</v>
          </cell>
        </row>
      </sheetData>
      <sheetData sheetId="6503">
        <row r="4">
          <cell r="I4">
            <v>0</v>
          </cell>
        </row>
      </sheetData>
      <sheetData sheetId="6504">
        <row r="4">
          <cell r="I4">
            <v>0</v>
          </cell>
        </row>
      </sheetData>
      <sheetData sheetId="6505">
        <row r="4">
          <cell r="I4">
            <v>0</v>
          </cell>
        </row>
      </sheetData>
      <sheetData sheetId="6506">
        <row r="4">
          <cell r="I4">
            <v>0</v>
          </cell>
        </row>
      </sheetData>
      <sheetData sheetId="6507">
        <row r="4">
          <cell r="I4">
            <v>0</v>
          </cell>
        </row>
      </sheetData>
      <sheetData sheetId="6508">
        <row r="4">
          <cell r="I4">
            <v>0</v>
          </cell>
        </row>
      </sheetData>
      <sheetData sheetId="6509">
        <row r="4">
          <cell r="I4">
            <v>0</v>
          </cell>
        </row>
      </sheetData>
      <sheetData sheetId="6510">
        <row r="4">
          <cell r="I4">
            <v>0</v>
          </cell>
        </row>
      </sheetData>
      <sheetData sheetId="6511">
        <row r="4">
          <cell r="I4">
            <v>0</v>
          </cell>
        </row>
      </sheetData>
      <sheetData sheetId="6512">
        <row r="4">
          <cell r="I4">
            <v>0</v>
          </cell>
        </row>
      </sheetData>
      <sheetData sheetId="6513">
        <row r="4">
          <cell r="I4">
            <v>0</v>
          </cell>
        </row>
      </sheetData>
      <sheetData sheetId="6514">
        <row r="4">
          <cell r="I4">
            <v>0</v>
          </cell>
        </row>
      </sheetData>
      <sheetData sheetId="6515">
        <row r="4">
          <cell r="I4">
            <v>0</v>
          </cell>
        </row>
      </sheetData>
      <sheetData sheetId="6516">
        <row r="4">
          <cell r="I4">
            <v>0</v>
          </cell>
        </row>
      </sheetData>
      <sheetData sheetId="6517">
        <row r="4">
          <cell r="I4">
            <v>0</v>
          </cell>
        </row>
      </sheetData>
      <sheetData sheetId="6518">
        <row r="4">
          <cell r="I4">
            <v>0</v>
          </cell>
        </row>
      </sheetData>
      <sheetData sheetId="6519">
        <row r="4">
          <cell r="I4">
            <v>0</v>
          </cell>
        </row>
      </sheetData>
      <sheetData sheetId="6520">
        <row r="4">
          <cell r="I4">
            <v>0</v>
          </cell>
        </row>
      </sheetData>
      <sheetData sheetId="6521">
        <row r="4">
          <cell r="I4">
            <v>0</v>
          </cell>
        </row>
      </sheetData>
      <sheetData sheetId="6522">
        <row r="4">
          <cell r="I4">
            <v>0</v>
          </cell>
        </row>
      </sheetData>
      <sheetData sheetId="6523">
        <row r="4">
          <cell r="I4">
            <v>0</v>
          </cell>
        </row>
      </sheetData>
      <sheetData sheetId="6524">
        <row r="4">
          <cell r="I4">
            <v>0</v>
          </cell>
        </row>
      </sheetData>
      <sheetData sheetId="6525">
        <row r="4">
          <cell r="I4">
            <v>0</v>
          </cell>
        </row>
      </sheetData>
      <sheetData sheetId="6526">
        <row r="4">
          <cell r="I4">
            <v>0</v>
          </cell>
        </row>
      </sheetData>
      <sheetData sheetId="6527">
        <row r="4">
          <cell r="I4">
            <v>0</v>
          </cell>
        </row>
      </sheetData>
      <sheetData sheetId="6528">
        <row r="4">
          <cell r="I4">
            <v>0</v>
          </cell>
        </row>
      </sheetData>
      <sheetData sheetId="6529">
        <row r="4">
          <cell r="I4">
            <v>0</v>
          </cell>
        </row>
      </sheetData>
      <sheetData sheetId="6530">
        <row r="4">
          <cell r="I4">
            <v>0</v>
          </cell>
        </row>
      </sheetData>
      <sheetData sheetId="6531">
        <row r="4">
          <cell r="I4">
            <v>0</v>
          </cell>
        </row>
      </sheetData>
      <sheetData sheetId="6532">
        <row r="4">
          <cell r="I4">
            <v>0</v>
          </cell>
        </row>
      </sheetData>
      <sheetData sheetId="6533">
        <row r="4">
          <cell r="I4">
            <v>0</v>
          </cell>
        </row>
      </sheetData>
      <sheetData sheetId="6534">
        <row r="4">
          <cell r="I4">
            <v>0</v>
          </cell>
        </row>
      </sheetData>
      <sheetData sheetId="6535">
        <row r="4">
          <cell r="I4">
            <v>0</v>
          </cell>
        </row>
      </sheetData>
      <sheetData sheetId="6536">
        <row r="4">
          <cell r="I4">
            <v>0</v>
          </cell>
        </row>
      </sheetData>
      <sheetData sheetId="6537">
        <row r="4">
          <cell r="I4">
            <v>0</v>
          </cell>
        </row>
      </sheetData>
      <sheetData sheetId="6538">
        <row r="4">
          <cell r="I4">
            <v>0</v>
          </cell>
        </row>
      </sheetData>
      <sheetData sheetId="6539">
        <row r="4">
          <cell r="I4">
            <v>0</v>
          </cell>
        </row>
      </sheetData>
      <sheetData sheetId="6540">
        <row r="4">
          <cell r="I4">
            <v>0</v>
          </cell>
        </row>
      </sheetData>
      <sheetData sheetId="6541">
        <row r="4">
          <cell r="I4">
            <v>0</v>
          </cell>
        </row>
      </sheetData>
      <sheetData sheetId="6542">
        <row r="4">
          <cell r="I4">
            <v>0</v>
          </cell>
        </row>
      </sheetData>
      <sheetData sheetId="6543">
        <row r="4">
          <cell r="I4">
            <v>0</v>
          </cell>
        </row>
      </sheetData>
      <sheetData sheetId="6544">
        <row r="4">
          <cell r="I4">
            <v>0</v>
          </cell>
        </row>
      </sheetData>
      <sheetData sheetId="6545">
        <row r="4">
          <cell r="I4">
            <v>0</v>
          </cell>
        </row>
      </sheetData>
      <sheetData sheetId="6546">
        <row r="4">
          <cell r="I4">
            <v>0</v>
          </cell>
        </row>
      </sheetData>
      <sheetData sheetId="6547">
        <row r="4">
          <cell r="I4">
            <v>0</v>
          </cell>
        </row>
      </sheetData>
      <sheetData sheetId="6548">
        <row r="4">
          <cell r="I4">
            <v>0</v>
          </cell>
        </row>
      </sheetData>
      <sheetData sheetId="6549">
        <row r="4">
          <cell r="I4">
            <v>0</v>
          </cell>
        </row>
      </sheetData>
      <sheetData sheetId="6550">
        <row r="4">
          <cell r="I4">
            <v>0</v>
          </cell>
        </row>
      </sheetData>
      <sheetData sheetId="6551">
        <row r="4">
          <cell r="I4">
            <v>0</v>
          </cell>
        </row>
      </sheetData>
      <sheetData sheetId="6552">
        <row r="4">
          <cell r="I4">
            <v>0</v>
          </cell>
        </row>
      </sheetData>
      <sheetData sheetId="6553">
        <row r="4">
          <cell r="I4">
            <v>0</v>
          </cell>
        </row>
      </sheetData>
      <sheetData sheetId="6554">
        <row r="4">
          <cell r="I4">
            <v>0</v>
          </cell>
        </row>
      </sheetData>
      <sheetData sheetId="6555">
        <row r="4">
          <cell r="I4">
            <v>0</v>
          </cell>
        </row>
      </sheetData>
      <sheetData sheetId="6556">
        <row r="4">
          <cell r="I4">
            <v>0</v>
          </cell>
        </row>
      </sheetData>
      <sheetData sheetId="6557">
        <row r="4">
          <cell r="I4">
            <v>0</v>
          </cell>
        </row>
      </sheetData>
      <sheetData sheetId="6558">
        <row r="4">
          <cell r="I4">
            <v>0</v>
          </cell>
        </row>
      </sheetData>
      <sheetData sheetId="6559">
        <row r="4">
          <cell r="I4">
            <v>0</v>
          </cell>
        </row>
      </sheetData>
      <sheetData sheetId="6560">
        <row r="4">
          <cell r="I4">
            <v>0</v>
          </cell>
        </row>
      </sheetData>
      <sheetData sheetId="6561">
        <row r="4">
          <cell r="I4">
            <v>0</v>
          </cell>
        </row>
      </sheetData>
      <sheetData sheetId="6562">
        <row r="4">
          <cell r="I4">
            <v>0</v>
          </cell>
        </row>
      </sheetData>
      <sheetData sheetId="6563">
        <row r="4">
          <cell r="I4">
            <v>0</v>
          </cell>
        </row>
      </sheetData>
      <sheetData sheetId="6564">
        <row r="4">
          <cell r="I4">
            <v>0</v>
          </cell>
        </row>
      </sheetData>
      <sheetData sheetId="6565">
        <row r="4">
          <cell r="I4">
            <v>0</v>
          </cell>
        </row>
      </sheetData>
      <sheetData sheetId="6566">
        <row r="4">
          <cell r="I4">
            <v>0</v>
          </cell>
        </row>
      </sheetData>
      <sheetData sheetId="6567">
        <row r="4">
          <cell r="I4">
            <v>0</v>
          </cell>
        </row>
      </sheetData>
      <sheetData sheetId="6568">
        <row r="4">
          <cell r="I4">
            <v>0</v>
          </cell>
        </row>
      </sheetData>
      <sheetData sheetId="6569">
        <row r="4">
          <cell r="I4">
            <v>0</v>
          </cell>
        </row>
      </sheetData>
      <sheetData sheetId="6570">
        <row r="4">
          <cell r="I4">
            <v>0</v>
          </cell>
        </row>
      </sheetData>
      <sheetData sheetId="6571">
        <row r="4">
          <cell r="I4">
            <v>0</v>
          </cell>
        </row>
      </sheetData>
      <sheetData sheetId="6572">
        <row r="4">
          <cell r="I4">
            <v>0</v>
          </cell>
        </row>
      </sheetData>
      <sheetData sheetId="6573">
        <row r="4">
          <cell r="I4">
            <v>0</v>
          </cell>
        </row>
      </sheetData>
      <sheetData sheetId="6574">
        <row r="4">
          <cell r="I4">
            <v>0</v>
          </cell>
        </row>
      </sheetData>
      <sheetData sheetId="6575">
        <row r="4">
          <cell r="I4">
            <v>0</v>
          </cell>
        </row>
      </sheetData>
      <sheetData sheetId="6576">
        <row r="4">
          <cell r="I4">
            <v>0</v>
          </cell>
        </row>
      </sheetData>
      <sheetData sheetId="6577">
        <row r="4">
          <cell r="I4">
            <v>0</v>
          </cell>
        </row>
      </sheetData>
      <sheetData sheetId="6578">
        <row r="4">
          <cell r="I4">
            <v>0</v>
          </cell>
        </row>
      </sheetData>
      <sheetData sheetId="6579">
        <row r="4">
          <cell r="I4">
            <v>0</v>
          </cell>
        </row>
      </sheetData>
      <sheetData sheetId="6580">
        <row r="4">
          <cell r="I4">
            <v>0</v>
          </cell>
        </row>
      </sheetData>
      <sheetData sheetId="6581">
        <row r="4">
          <cell r="I4">
            <v>0</v>
          </cell>
        </row>
      </sheetData>
      <sheetData sheetId="6582">
        <row r="4">
          <cell r="I4">
            <v>0</v>
          </cell>
        </row>
      </sheetData>
      <sheetData sheetId="6583">
        <row r="4">
          <cell r="I4">
            <v>0</v>
          </cell>
        </row>
      </sheetData>
      <sheetData sheetId="6584">
        <row r="4">
          <cell r="I4">
            <v>0</v>
          </cell>
        </row>
      </sheetData>
      <sheetData sheetId="6585">
        <row r="4">
          <cell r="I4">
            <v>0</v>
          </cell>
        </row>
      </sheetData>
      <sheetData sheetId="6586">
        <row r="4">
          <cell r="I4">
            <v>0</v>
          </cell>
        </row>
      </sheetData>
      <sheetData sheetId="6587">
        <row r="4">
          <cell r="I4">
            <v>0</v>
          </cell>
        </row>
      </sheetData>
      <sheetData sheetId="6588">
        <row r="4">
          <cell r="I4">
            <v>0</v>
          </cell>
        </row>
      </sheetData>
      <sheetData sheetId="6589">
        <row r="4">
          <cell r="I4">
            <v>0</v>
          </cell>
        </row>
      </sheetData>
      <sheetData sheetId="6590">
        <row r="4">
          <cell r="I4">
            <v>0</v>
          </cell>
        </row>
      </sheetData>
      <sheetData sheetId="6591">
        <row r="4">
          <cell r="I4">
            <v>0</v>
          </cell>
        </row>
      </sheetData>
      <sheetData sheetId="6592">
        <row r="4">
          <cell r="I4">
            <v>0</v>
          </cell>
        </row>
      </sheetData>
      <sheetData sheetId="6593">
        <row r="4">
          <cell r="I4">
            <v>0</v>
          </cell>
        </row>
      </sheetData>
      <sheetData sheetId="6594">
        <row r="4">
          <cell r="I4">
            <v>0</v>
          </cell>
        </row>
      </sheetData>
      <sheetData sheetId="6595">
        <row r="4">
          <cell r="I4">
            <v>0</v>
          </cell>
        </row>
      </sheetData>
      <sheetData sheetId="6596">
        <row r="4">
          <cell r="I4">
            <v>0</v>
          </cell>
        </row>
      </sheetData>
      <sheetData sheetId="6597">
        <row r="4">
          <cell r="I4">
            <v>0</v>
          </cell>
        </row>
      </sheetData>
      <sheetData sheetId="6598">
        <row r="4">
          <cell r="I4">
            <v>0</v>
          </cell>
        </row>
      </sheetData>
      <sheetData sheetId="6599">
        <row r="4">
          <cell r="I4">
            <v>0</v>
          </cell>
        </row>
      </sheetData>
      <sheetData sheetId="6600">
        <row r="4">
          <cell r="I4">
            <v>0</v>
          </cell>
        </row>
      </sheetData>
      <sheetData sheetId="6601">
        <row r="4">
          <cell r="I4">
            <v>0</v>
          </cell>
        </row>
      </sheetData>
      <sheetData sheetId="6602">
        <row r="4">
          <cell r="I4">
            <v>0</v>
          </cell>
        </row>
      </sheetData>
      <sheetData sheetId="6603">
        <row r="4">
          <cell r="I4">
            <v>0</v>
          </cell>
        </row>
      </sheetData>
      <sheetData sheetId="6604">
        <row r="4">
          <cell r="I4">
            <v>0</v>
          </cell>
        </row>
      </sheetData>
      <sheetData sheetId="6605">
        <row r="4">
          <cell r="I4">
            <v>0</v>
          </cell>
        </row>
      </sheetData>
      <sheetData sheetId="6606">
        <row r="4">
          <cell r="I4">
            <v>0</v>
          </cell>
        </row>
      </sheetData>
      <sheetData sheetId="6607">
        <row r="4">
          <cell r="I4">
            <v>0</v>
          </cell>
        </row>
      </sheetData>
      <sheetData sheetId="6608">
        <row r="4">
          <cell r="I4">
            <v>0</v>
          </cell>
        </row>
      </sheetData>
      <sheetData sheetId="6609">
        <row r="4">
          <cell r="I4">
            <v>0</v>
          </cell>
        </row>
      </sheetData>
      <sheetData sheetId="6610">
        <row r="4">
          <cell r="I4">
            <v>0</v>
          </cell>
        </row>
      </sheetData>
      <sheetData sheetId="6611">
        <row r="4">
          <cell r="I4">
            <v>0</v>
          </cell>
        </row>
      </sheetData>
      <sheetData sheetId="6612">
        <row r="4">
          <cell r="I4">
            <v>0</v>
          </cell>
        </row>
      </sheetData>
      <sheetData sheetId="6613">
        <row r="4">
          <cell r="I4">
            <v>0</v>
          </cell>
        </row>
      </sheetData>
      <sheetData sheetId="6614">
        <row r="4">
          <cell r="I4">
            <v>0</v>
          </cell>
        </row>
      </sheetData>
      <sheetData sheetId="6615">
        <row r="4">
          <cell r="I4">
            <v>0</v>
          </cell>
        </row>
      </sheetData>
      <sheetData sheetId="6616">
        <row r="4">
          <cell r="I4">
            <v>0</v>
          </cell>
        </row>
      </sheetData>
      <sheetData sheetId="6617">
        <row r="4">
          <cell r="I4">
            <v>0</v>
          </cell>
        </row>
      </sheetData>
      <sheetData sheetId="6618">
        <row r="4">
          <cell r="I4">
            <v>0</v>
          </cell>
        </row>
      </sheetData>
      <sheetData sheetId="6619">
        <row r="4">
          <cell r="I4">
            <v>0</v>
          </cell>
        </row>
      </sheetData>
      <sheetData sheetId="6620">
        <row r="4">
          <cell r="I4">
            <v>0</v>
          </cell>
        </row>
      </sheetData>
      <sheetData sheetId="6621">
        <row r="4">
          <cell r="I4">
            <v>0</v>
          </cell>
        </row>
      </sheetData>
      <sheetData sheetId="6622">
        <row r="4">
          <cell r="I4">
            <v>0</v>
          </cell>
        </row>
      </sheetData>
      <sheetData sheetId="6623">
        <row r="4">
          <cell r="I4">
            <v>0</v>
          </cell>
        </row>
      </sheetData>
      <sheetData sheetId="6624">
        <row r="4">
          <cell r="I4">
            <v>0</v>
          </cell>
        </row>
      </sheetData>
      <sheetData sheetId="6625">
        <row r="4">
          <cell r="I4">
            <v>0</v>
          </cell>
        </row>
      </sheetData>
      <sheetData sheetId="6626">
        <row r="4">
          <cell r="I4">
            <v>0</v>
          </cell>
        </row>
      </sheetData>
      <sheetData sheetId="6627">
        <row r="4">
          <cell r="I4">
            <v>0</v>
          </cell>
        </row>
      </sheetData>
      <sheetData sheetId="6628">
        <row r="4">
          <cell r="I4">
            <v>0</v>
          </cell>
        </row>
      </sheetData>
      <sheetData sheetId="6629">
        <row r="4">
          <cell r="I4">
            <v>0</v>
          </cell>
        </row>
      </sheetData>
      <sheetData sheetId="6630">
        <row r="4">
          <cell r="I4">
            <v>0</v>
          </cell>
        </row>
      </sheetData>
      <sheetData sheetId="6631">
        <row r="4">
          <cell r="I4">
            <v>0</v>
          </cell>
        </row>
      </sheetData>
      <sheetData sheetId="6632">
        <row r="4">
          <cell r="I4">
            <v>0</v>
          </cell>
        </row>
      </sheetData>
      <sheetData sheetId="6633">
        <row r="4">
          <cell r="I4">
            <v>0</v>
          </cell>
        </row>
      </sheetData>
      <sheetData sheetId="6634">
        <row r="4">
          <cell r="I4">
            <v>0</v>
          </cell>
        </row>
      </sheetData>
      <sheetData sheetId="6635">
        <row r="4">
          <cell r="I4">
            <v>0</v>
          </cell>
        </row>
      </sheetData>
      <sheetData sheetId="6636">
        <row r="4">
          <cell r="I4">
            <v>0</v>
          </cell>
        </row>
      </sheetData>
      <sheetData sheetId="6637">
        <row r="4">
          <cell r="I4">
            <v>0</v>
          </cell>
        </row>
      </sheetData>
      <sheetData sheetId="6638">
        <row r="4">
          <cell r="I4">
            <v>0</v>
          </cell>
        </row>
      </sheetData>
      <sheetData sheetId="6639">
        <row r="4">
          <cell r="I4">
            <v>0</v>
          </cell>
        </row>
      </sheetData>
      <sheetData sheetId="6640">
        <row r="4">
          <cell r="I4">
            <v>0</v>
          </cell>
        </row>
      </sheetData>
      <sheetData sheetId="6641">
        <row r="4">
          <cell r="I4">
            <v>0</v>
          </cell>
        </row>
      </sheetData>
      <sheetData sheetId="6642">
        <row r="4">
          <cell r="I4">
            <v>0</v>
          </cell>
        </row>
      </sheetData>
      <sheetData sheetId="6643">
        <row r="4">
          <cell r="I4">
            <v>0</v>
          </cell>
        </row>
      </sheetData>
      <sheetData sheetId="6644">
        <row r="4">
          <cell r="I4">
            <v>0</v>
          </cell>
        </row>
      </sheetData>
      <sheetData sheetId="6645">
        <row r="4">
          <cell r="I4">
            <v>0</v>
          </cell>
        </row>
      </sheetData>
      <sheetData sheetId="6646">
        <row r="4">
          <cell r="I4">
            <v>0</v>
          </cell>
        </row>
      </sheetData>
      <sheetData sheetId="6647">
        <row r="4">
          <cell r="I4">
            <v>0</v>
          </cell>
        </row>
      </sheetData>
      <sheetData sheetId="6648">
        <row r="4">
          <cell r="I4">
            <v>0</v>
          </cell>
        </row>
      </sheetData>
      <sheetData sheetId="6649">
        <row r="4">
          <cell r="I4">
            <v>0</v>
          </cell>
        </row>
      </sheetData>
      <sheetData sheetId="6650">
        <row r="4">
          <cell r="I4">
            <v>0</v>
          </cell>
        </row>
      </sheetData>
      <sheetData sheetId="6651">
        <row r="4">
          <cell r="I4">
            <v>0</v>
          </cell>
        </row>
      </sheetData>
      <sheetData sheetId="6652">
        <row r="4">
          <cell r="I4">
            <v>0</v>
          </cell>
        </row>
      </sheetData>
      <sheetData sheetId="6653">
        <row r="4">
          <cell r="I4">
            <v>0</v>
          </cell>
        </row>
      </sheetData>
      <sheetData sheetId="6654">
        <row r="4">
          <cell r="I4">
            <v>0</v>
          </cell>
        </row>
      </sheetData>
      <sheetData sheetId="6655">
        <row r="4">
          <cell r="I4">
            <v>0</v>
          </cell>
        </row>
      </sheetData>
      <sheetData sheetId="6656">
        <row r="4">
          <cell r="I4">
            <v>0</v>
          </cell>
        </row>
      </sheetData>
      <sheetData sheetId="6657">
        <row r="4">
          <cell r="I4">
            <v>0</v>
          </cell>
        </row>
      </sheetData>
      <sheetData sheetId="6658">
        <row r="4">
          <cell r="I4">
            <v>0</v>
          </cell>
        </row>
      </sheetData>
      <sheetData sheetId="6659">
        <row r="4">
          <cell r="I4">
            <v>0</v>
          </cell>
        </row>
      </sheetData>
      <sheetData sheetId="6660">
        <row r="4">
          <cell r="I4">
            <v>0</v>
          </cell>
        </row>
      </sheetData>
      <sheetData sheetId="6661">
        <row r="4">
          <cell r="I4">
            <v>0</v>
          </cell>
        </row>
      </sheetData>
      <sheetData sheetId="6662">
        <row r="4">
          <cell r="I4">
            <v>0</v>
          </cell>
        </row>
      </sheetData>
      <sheetData sheetId="6663">
        <row r="4">
          <cell r="I4">
            <v>0</v>
          </cell>
        </row>
      </sheetData>
      <sheetData sheetId="6664">
        <row r="4">
          <cell r="I4">
            <v>0</v>
          </cell>
        </row>
      </sheetData>
      <sheetData sheetId="6665">
        <row r="4">
          <cell r="I4">
            <v>0</v>
          </cell>
        </row>
      </sheetData>
      <sheetData sheetId="6666">
        <row r="4">
          <cell r="I4">
            <v>0</v>
          </cell>
        </row>
      </sheetData>
      <sheetData sheetId="6667">
        <row r="4">
          <cell r="I4">
            <v>0</v>
          </cell>
        </row>
      </sheetData>
      <sheetData sheetId="6668">
        <row r="4">
          <cell r="I4">
            <v>0</v>
          </cell>
        </row>
      </sheetData>
      <sheetData sheetId="6669">
        <row r="4">
          <cell r="I4">
            <v>0</v>
          </cell>
        </row>
      </sheetData>
      <sheetData sheetId="6670">
        <row r="4">
          <cell r="I4">
            <v>0</v>
          </cell>
        </row>
      </sheetData>
      <sheetData sheetId="6671">
        <row r="4">
          <cell r="I4">
            <v>0</v>
          </cell>
        </row>
      </sheetData>
      <sheetData sheetId="6672">
        <row r="4">
          <cell r="I4">
            <v>0</v>
          </cell>
        </row>
      </sheetData>
      <sheetData sheetId="6673">
        <row r="4">
          <cell r="I4">
            <v>0</v>
          </cell>
        </row>
      </sheetData>
      <sheetData sheetId="6674">
        <row r="4">
          <cell r="I4">
            <v>0</v>
          </cell>
        </row>
      </sheetData>
      <sheetData sheetId="6675">
        <row r="4">
          <cell r="I4">
            <v>0</v>
          </cell>
        </row>
      </sheetData>
      <sheetData sheetId="6676">
        <row r="4">
          <cell r="I4">
            <v>0</v>
          </cell>
        </row>
      </sheetData>
      <sheetData sheetId="6677">
        <row r="4">
          <cell r="I4">
            <v>0</v>
          </cell>
        </row>
      </sheetData>
      <sheetData sheetId="6678">
        <row r="4">
          <cell r="I4">
            <v>0</v>
          </cell>
        </row>
      </sheetData>
      <sheetData sheetId="6679">
        <row r="4">
          <cell r="I4">
            <v>0</v>
          </cell>
        </row>
      </sheetData>
      <sheetData sheetId="6680">
        <row r="4">
          <cell r="I4">
            <v>0</v>
          </cell>
        </row>
      </sheetData>
      <sheetData sheetId="6681">
        <row r="4">
          <cell r="I4">
            <v>0</v>
          </cell>
        </row>
      </sheetData>
      <sheetData sheetId="6682">
        <row r="4">
          <cell r="I4">
            <v>0</v>
          </cell>
        </row>
      </sheetData>
      <sheetData sheetId="6683">
        <row r="4">
          <cell r="I4">
            <v>0</v>
          </cell>
        </row>
      </sheetData>
      <sheetData sheetId="6684">
        <row r="4">
          <cell r="I4">
            <v>0</v>
          </cell>
        </row>
      </sheetData>
      <sheetData sheetId="6685">
        <row r="4">
          <cell r="I4">
            <v>0</v>
          </cell>
        </row>
      </sheetData>
      <sheetData sheetId="6686">
        <row r="4">
          <cell r="I4">
            <v>0</v>
          </cell>
        </row>
      </sheetData>
      <sheetData sheetId="6687">
        <row r="4">
          <cell r="I4">
            <v>0</v>
          </cell>
        </row>
      </sheetData>
      <sheetData sheetId="6688">
        <row r="4">
          <cell r="I4">
            <v>0</v>
          </cell>
        </row>
      </sheetData>
      <sheetData sheetId="6689">
        <row r="4">
          <cell r="I4">
            <v>0</v>
          </cell>
        </row>
      </sheetData>
      <sheetData sheetId="6690">
        <row r="4">
          <cell r="I4">
            <v>0</v>
          </cell>
        </row>
      </sheetData>
      <sheetData sheetId="6691">
        <row r="4">
          <cell r="I4">
            <v>0</v>
          </cell>
        </row>
      </sheetData>
      <sheetData sheetId="6692">
        <row r="4">
          <cell r="I4">
            <v>0</v>
          </cell>
        </row>
      </sheetData>
      <sheetData sheetId="6693">
        <row r="4">
          <cell r="I4">
            <v>0</v>
          </cell>
        </row>
      </sheetData>
      <sheetData sheetId="6694">
        <row r="4">
          <cell r="I4">
            <v>0</v>
          </cell>
        </row>
      </sheetData>
      <sheetData sheetId="6695">
        <row r="4">
          <cell r="I4">
            <v>0</v>
          </cell>
        </row>
      </sheetData>
      <sheetData sheetId="6696">
        <row r="4">
          <cell r="I4">
            <v>0</v>
          </cell>
        </row>
      </sheetData>
      <sheetData sheetId="6697">
        <row r="4">
          <cell r="I4">
            <v>0</v>
          </cell>
        </row>
      </sheetData>
      <sheetData sheetId="6698">
        <row r="4">
          <cell r="I4">
            <v>0</v>
          </cell>
        </row>
      </sheetData>
      <sheetData sheetId="6699">
        <row r="4">
          <cell r="I4">
            <v>0</v>
          </cell>
        </row>
      </sheetData>
      <sheetData sheetId="6700">
        <row r="4">
          <cell r="I4">
            <v>0</v>
          </cell>
        </row>
      </sheetData>
      <sheetData sheetId="6701">
        <row r="4">
          <cell r="I4">
            <v>0</v>
          </cell>
        </row>
      </sheetData>
      <sheetData sheetId="6702">
        <row r="4">
          <cell r="I4">
            <v>0</v>
          </cell>
        </row>
      </sheetData>
      <sheetData sheetId="6703">
        <row r="4">
          <cell r="I4">
            <v>0</v>
          </cell>
        </row>
      </sheetData>
      <sheetData sheetId="6704">
        <row r="4">
          <cell r="I4">
            <v>0</v>
          </cell>
        </row>
      </sheetData>
      <sheetData sheetId="6705">
        <row r="4">
          <cell r="I4">
            <v>0</v>
          </cell>
        </row>
      </sheetData>
      <sheetData sheetId="6706">
        <row r="4">
          <cell r="I4">
            <v>0</v>
          </cell>
        </row>
      </sheetData>
      <sheetData sheetId="6707">
        <row r="4">
          <cell r="I4">
            <v>0</v>
          </cell>
        </row>
      </sheetData>
      <sheetData sheetId="6708">
        <row r="4">
          <cell r="I4">
            <v>0</v>
          </cell>
        </row>
      </sheetData>
      <sheetData sheetId="6709">
        <row r="4">
          <cell r="I4">
            <v>0</v>
          </cell>
        </row>
      </sheetData>
      <sheetData sheetId="6710">
        <row r="4">
          <cell r="I4">
            <v>0</v>
          </cell>
        </row>
      </sheetData>
      <sheetData sheetId="6711">
        <row r="4">
          <cell r="I4">
            <v>0</v>
          </cell>
        </row>
      </sheetData>
      <sheetData sheetId="6712">
        <row r="4">
          <cell r="I4">
            <v>0</v>
          </cell>
        </row>
      </sheetData>
      <sheetData sheetId="6713">
        <row r="4">
          <cell r="I4">
            <v>0</v>
          </cell>
        </row>
      </sheetData>
      <sheetData sheetId="6714">
        <row r="4">
          <cell r="I4">
            <v>0</v>
          </cell>
        </row>
      </sheetData>
      <sheetData sheetId="6715">
        <row r="4">
          <cell r="I4">
            <v>0</v>
          </cell>
        </row>
      </sheetData>
      <sheetData sheetId="6716">
        <row r="4">
          <cell r="I4">
            <v>0</v>
          </cell>
        </row>
      </sheetData>
      <sheetData sheetId="6717">
        <row r="4">
          <cell r="I4">
            <v>0</v>
          </cell>
        </row>
      </sheetData>
      <sheetData sheetId="6718">
        <row r="4">
          <cell r="I4">
            <v>0</v>
          </cell>
        </row>
      </sheetData>
      <sheetData sheetId="6719">
        <row r="4">
          <cell r="I4">
            <v>0</v>
          </cell>
        </row>
      </sheetData>
      <sheetData sheetId="6720">
        <row r="4">
          <cell r="I4">
            <v>0</v>
          </cell>
        </row>
      </sheetData>
      <sheetData sheetId="6721">
        <row r="4">
          <cell r="I4">
            <v>0</v>
          </cell>
        </row>
      </sheetData>
      <sheetData sheetId="6722">
        <row r="4">
          <cell r="I4">
            <v>0</v>
          </cell>
        </row>
      </sheetData>
      <sheetData sheetId="6723">
        <row r="4">
          <cell r="I4">
            <v>0</v>
          </cell>
        </row>
      </sheetData>
      <sheetData sheetId="6724">
        <row r="4">
          <cell r="I4">
            <v>0</v>
          </cell>
        </row>
      </sheetData>
      <sheetData sheetId="6725">
        <row r="4">
          <cell r="I4">
            <v>0</v>
          </cell>
        </row>
      </sheetData>
      <sheetData sheetId="6726">
        <row r="4">
          <cell r="I4">
            <v>0</v>
          </cell>
        </row>
      </sheetData>
      <sheetData sheetId="6727">
        <row r="4">
          <cell r="I4">
            <v>0</v>
          </cell>
        </row>
      </sheetData>
      <sheetData sheetId="6728">
        <row r="4">
          <cell r="I4">
            <v>0</v>
          </cell>
        </row>
      </sheetData>
      <sheetData sheetId="6729">
        <row r="4">
          <cell r="I4">
            <v>0</v>
          </cell>
        </row>
      </sheetData>
      <sheetData sheetId="6730">
        <row r="4">
          <cell r="I4">
            <v>0</v>
          </cell>
        </row>
      </sheetData>
      <sheetData sheetId="6731">
        <row r="4">
          <cell r="I4">
            <v>0</v>
          </cell>
        </row>
      </sheetData>
      <sheetData sheetId="6732">
        <row r="4">
          <cell r="I4">
            <v>0</v>
          </cell>
        </row>
      </sheetData>
      <sheetData sheetId="6733">
        <row r="4">
          <cell r="I4">
            <v>0</v>
          </cell>
        </row>
      </sheetData>
      <sheetData sheetId="6734">
        <row r="4">
          <cell r="I4">
            <v>0</v>
          </cell>
        </row>
      </sheetData>
      <sheetData sheetId="6735">
        <row r="4">
          <cell r="I4">
            <v>0</v>
          </cell>
        </row>
      </sheetData>
      <sheetData sheetId="6736">
        <row r="4">
          <cell r="I4">
            <v>0</v>
          </cell>
        </row>
      </sheetData>
      <sheetData sheetId="6737">
        <row r="4">
          <cell r="I4">
            <v>0</v>
          </cell>
        </row>
      </sheetData>
      <sheetData sheetId="6738">
        <row r="4">
          <cell r="I4">
            <v>0</v>
          </cell>
        </row>
      </sheetData>
      <sheetData sheetId="6739">
        <row r="4">
          <cell r="I4">
            <v>0</v>
          </cell>
        </row>
      </sheetData>
      <sheetData sheetId="6740">
        <row r="4">
          <cell r="I4">
            <v>0</v>
          </cell>
        </row>
      </sheetData>
      <sheetData sheetId="6741">
        <row r="4">
          <cell r="I4">
            <v>0</v>
          </cell>
        </row>
      </sheetData>
      <sheetData sheetId="6742">
        <row r="4">
          <cell r="I4">
            <v>0</v>
          </cell>
        </row>
      </sheetData>
      <sheetData sheetId="6743">
        <row r="4">
          <cell r="I4">
            <v>0</v>
          </cell>
        </row>
      </sheetData>
      <sheetData sheetId="6744">
        <row r="4">
          <cell r="I4">
            <v>0</v>
          </cell>
        </row>
      </sheetData>
      <sheetData sheetId="6745">
        <row r="4">
          <cell r="I4">
            <v>0</v>
          </cell>
        </row>
      </sheetData>
      <sheetData sheetId="6746">
        <row r="4">
          <cell r="I4">
            <v>0</v>
          </cell>
        </row>
      </sheetData>
      <sheetData sheetId="6747">
        <row r="4">
          <cell r="I4">
            <v>0</v>
          </cell>
        </row>
      </sheetData>
      <sheetData sheetId="6748">
        <row r="4">
          <cell r="I4">
            <v>0</v>
          </cell>
        </row>
      </sheetData>
      <sheetData sheetId="6749">
        <row r="4">
          <cell r="I4">
            <v>0</v>
          </cell>
        </row>
      </sheetData>
      <sheetData sheetId="6750">
        <row r="4">
          <cell r="I4">
            <v>0</v>
          </cell>
        </row>
      </sheetData>
      <sheetData sheetId="6751">
        <row r="4">
          <cell r="I4">
            <v>0</v>
          </cell>
        </row>
      </sheetData>
      <sheetData sheetId="6752">
        <row r="4">
          <cell r="I4">
            <v>0</v>
          </cell>
        </row>
      </sheetData>
      <sheetData sheetId="6753">
        <row r="4">
          <cell r="I4">
            <v>0</v>
          </cell>
        </row>
      </sheetData>
      <sheetData sheetId="6754">
        <row r="4">
          <cell r="I4">
            <v>0</v>
          </cell>
        </row>
      </sheetData>
      <sheetData sheetId="6755">
        <row r="4">
          <cell r="I4">
            <v>0</v>
          </cell>
        </row>
      </sheetData>
      <sheetData sheetId="6756">
        <row r="4">
          <cell r="I4">
            <v>0</v>
          </cell>
        </row>
      </sheetData>
      <sheetData sheetId="6757">
        <row r="4">
          <cell r="I4">
            <v>0</v>
          </cell>
        </row>
      </sheetData>
      <sheetData sheetId="6758">
        <row r="4">
          <cell r="I4">
            <v>0</v>
          </cell>
        </row>
      </sheetData>
      <sheetData sheetId="6759">
        <row r="4">
          <cell r="I4">
            <v>0</v>
          </cell>
        </row>
      </sheetData>
      <sheetData sheetId="6760">
        <row r="4">
          <cell r="I4">
            <v>0</v>
          </cell>
        </row>
      </sheetData>
      <sheetData sheetId="6761">
        <row r="4">
          <cell r="I4">
            <v>0</v>
          </cell>
        </row>
      </sheetData>
      <sheetData sheetId="6762">
        <row r="4">
          <cell r="I4">
            <v>0</v>
          </cell>
        </row>
      </sheetData>
      <sheetData sheetId="6763">
        <row r="4">
          <cell r="I4">
            <v>0</v>
          </cell>
        </row>
      </sheetData>
      <sheetData sheetId="6764">
        <row r="4">
          <cell r="I4">
            <v>0</v>
          </cell>
        </row>
      </sheetData>
      <sheetData sheetId="6765">
        <row r="4">
          <cell r="I4">
            <v>0</v>
          </cell>
        </row>
      </sheetData>
      <sheetData sheetId="6766">
        <row r="4">
          <cell r="I4">
            <v>0</v>
          </cell>
        </row>
      </sheetData>
      <sheetData sheetId="6767">
        <row r="4">
          <cell r="I4">
            <v>0</v>
          </cell>
        </row>
      </sheetData>
      <sheetData sheetId="6768">
        <row r="4">
          <cell r="I4">
            <v>0</v>
          </cell>
        </row>
      </sheetData>
      <sheetData sheetId="6769">
        <row r="4">
          <cell r="I4">
            <v>0</v>
          </cell>
        </row>
      </sheetData>
      <sheetData sheetId="6770">
        <row r="4">
          <cell r="I4">
            <v>0</v>
          </cell>
        </row>
      </sheetData>
      <sheetData sheetId="6771">
        <row r="4">
          <cell r="I4">
            <v>0</v>
          </cell>
        </row>
      </sheetData>
      <sheetData sheetId="6772">
        <row r="4">
          <cell r="I4">
            <v>0</v>
          </cell>
        </row>
      </sheetData>
      <sheetData sheetId="6773">
        <row r="4">
          <cell r="I4">
            <v>0</v>
          </cell>
        </row>
      </sheetData>
      <sheetData sheetId="6774">
        <row r="4">
          <cell r="I4">
            <v>0</v>
          </cell>
        </row>
      </sheetData>
      <sheetData sheetId="6775">
        <row r="4">
          <cell r="I4">
            <v>0</v>
          </cell>
        </row>
      </sheetData>
      <sheetData sheetId="6776">
        <row r="4">
          <cell r="I4">
            <v>0</v>
          </cell>
        </row>
      </sheetData>
      <sheetData sheetId="6777">
        <row r="4">
          <cell r="I4">
            <v>0</v>
          </cell>
        </row>
      </sheetData>
      <sheetData sheetId="6778">
        <row r="4">
          <cell r="I4">
            <v>0</v>
          </cell>
        </row>
      </sheetData>
      <sheetData sheetId="6779">
        <row r="4">
          <cell r="I4">
            <v>0</v>
          </cell>
        </row>
      </sheetData>
      <sheetData sheetId="6780">
        <row r="4">
          <cell r="I4">
            <v>0</v>
          </cell>
        </row>
      </sheetData>
      <sheetData sheetId="6781">
        <row r="4">
          <cell r="I4">
            <v>0</v>
          </cell>
        </row>
      </sheetData>
      <sheetData sheetId="6782">
        <row r="4">
          <cell r="I4">
            <v>0</v>
          </cell>
        </row>
      </sheetData>
      <sheetData sheetId="6783">
        <row r="4">
          <cell r="I4">
            <v>0</v>
          </cell>
        </row>
      </sheetData>
      <sheetData sheetId="6784">
        <row r="4">
          <cell r="I4">
            <v>0</v>
          </cell>
        </row>
      </sheetData>
      <sheetData sheetId="6785">
        <row r="4">
          <cell r="I4">
            <v>0</v>
          </cell>
        </row>
      </sheetData>
      <sheetData sheetId="6786">
        <row r="4">
          <cell r="I4">
            <v>0</v>
          </cell>
        </row>
      </sheetData>
      <sheetData sheetId="6787">
        <row r="4">
          <cell r="I4">
            <v>0</v>
          </cell>
        </row>
      </sheetData>
      <sheetData sheetId="6788">
        <row r="4">
          <cell r="I4">
            <v>0</v>
          </cell>
        </row>
      </sheetData>
      <sheetData sheetId="6789">
        <row r="4">
          <cell r="I4">
            <v>0</v>
          </cell>
        </row>
      </sheetData>
      <sheetData sheetId="6790">
        <row r="4">
          <cell r="I4">
            <v>0</v>
          </cell>
        </row>
      </sheetData>
      <sheetData sheetId="6791">
        <row r="4">
          <cell r="I4">
            <v>0</v>
          </cell>
        </row>
      </sheetData>
      <sheetData sheetId="6792">
        <row r="4">
          <cell r="I4">
            <v>0</v>
          </cell>
        </row>
      </sheetData>
      <sheetData sheetId="6793">
        <row r="4">
          <cell r="I4">
            <v>0</v>
          </cell>
        </row>
      </sheetData>
      <sheetData sheetId="6794">
        <row r="4">
          <cell r="I4">
            <v>0</v>
          </cell>
        </row>
      </sheetData>
      <sheetData sheetId="6795">
        <row r="4">
          <cell r="I4">
            <v>0</v>
          </cell>
        </row>
      </sheetData>
      <sheetData sheetId="6796">
        <row r="4">
          <cell r="I4">
            <v>0</v>
          </cell>
        </row>
      </sheetData>
      <sheetData sheetId="6797">
        <row r="4">
          <cell r="I4">
            <v>0</v>
          </cell>
        </row>
      </sheetData>
      <sheetData sheetId="6798">
        <row r="4">
          <cell r="I4">
            <v>0</v>
          </cell>
        </row>
      </sheetData>
      <sheetData sheetId="6799">
        <row r="4">
          <cell r="I4">
            <v>0</v>
          </cell>
        </row>
      </sheetData>
      <sheetData sheetId="6800">
        <row r="4">
          <cell r="I4">
            <v>0</v>
          </cell>
        </row>
      </sheetData>
      <sheetData sheetId="6801">
        <row r="4">
          <cell r="I4">
            <v>0</v>
          </cell>
        </row>
      </sheetData>
      <sheetData sheetId="6802">
        <row r="4">
          <cell r="I4">
            <v>0</v>
          </cell>
        </row>
      </sheetData>
      <sheetData sheetId="6803">
        <row r="4">
          <cell r="I4">
            <v>0</v>
          </cell>
        </row>
      </sheetData>
      <sheetData sheetId="6804">
        <row r="4">
          <cell r="I4">
            <v>0</v>
          </cell>
        </row>
      </sheetData>
      <sheetData sheetId="6805">
        <row r="4">
          <cell r="I4">
            <v>0</v>
          </cell>
        </row>
      </sheetData>
      <sheetData sheetId="6806">
        <row r="4">
          <cell r="I4">
            <v>0</v>
          </cell>
        </row>
      </sheetData>
      <sheetData sheetId="6807">
        <row r="4">
          <cell r="I4">
            <v>0</v>
          </cell>
        </row>
      </sheetData>
      <sheetData sheetId="6808">
        <row r="4">
          <cell r="I4">
            <v>0</v>
          </cell>
        </row>
      </sheetData>
      <sheetData sheetId="6809">
        <row r="4">
          <cell r="I4">
            <v>0</v>
          </cell>
        </row>
      </sheetData>
      <sheetData sheetId="6810">
        <row r="4">
          <cell r="I4">
            <v>0</v>
          </cell>
        </row>
      </sheetData>
      <sheetData sheetId="6811">
        <row r="4">
          <cell r="I4">
            <v>0</v>
          </cell>
        </row>
      </sheetData>
      <sheetData sheetId="6812">
        <row r="4">
          <cell r="I4">
            <v>0</v>
          </cell>
        </row>
      </sheetData>
      <sheetData sheetId="6813">
        <row r="4">
          <cell r="I4">
            <v>0</v>
          </cell>
        </row>
      </sheetData>
      <sheetData sheetId="6814">
        <row r="4">
          <cell r="I4">
            <v>0</v>
          </cell>
        </row>
      </sheetData>
      <sheetData sheetId="6815">
        <row r="4">
          <cell r="I4">
            <v>0</v>
          </cell>
        </row>
      </sheetData>
      <sheetData sheetId="6816">
        <row r="4">
          <cell r="I4">
            <v>0</v>
          </cell>
        </row>
      </sheetData>
      <sheetData sheetId="6817">
        <row r="4">
          <cell r="I4">
            <v>0</v>
          </cell>
        </row>
      </sheetData>
      <sheetData sheetId="6818">
        <row r="4">
          <cell r="I4">
            <v>0</v>
          </cell>
        </row>
      </sheetData>
      <sheetData sheetId="6819">
        <row r="4">
          <cell r="I4">
            <v>0</v>
          </cell>
        </row>
      </sheetData>
      <sheetData sheetId="6820">
        <row r="4">
          <cell r="I4">
            <v>0</v>
          </cell>
        </row>
      </sheetData>
      <sheetData sheetId="6821">
        <row r="4">
          <cell r="I4">
            <v>0</v>
          </cell>
        </row>
      </sheetData>
      <sheetData sheetId="6822">
        <row r="4">
          <cell r="I4">
            <v>0</v>
          </cell>
        </row>
      </sheetData>
      <sheetData sheetId="6823">
        <row r="4">
          <cell r="I4">
            <v>0</v>
          </cell>
        </row>
      </sheetData>
      <sheetData sheetId="6824">
        <row r="4">
          <cell r="I4">
            <v>0</v>
          </cell>
        </row>
      </sheetData>
      <sheetData sheetId="6825">
        <row r="4">
          <cell r="I4">
            <v>0</v>
          </cell>
        </row>
      </sheetData>
      <sheetData sheetId="6826">
        <row r="4">
          <cell r="I4">
            <v>0</v>
          </cell>
        </row>
      </sheetData>
      <sheetData sheetId="6827">
        <row r="4">
          <cell r="I4">
            <v>0</v>
          </cell>
        </row>
      </sheetData>
      <sheetData sheetId="6828">
        <row r="4">
          <cell r="I4">
            <v>0</v>
          </cell>
        </row>
      </sheetData>
      <sheetData sheetId="6829">
        <row r="4">
          <cell r="I4">
            <v>0</v>
          </cell>
        </row>
      </sheetData>
      <sheetData sheetId="6830">
        <row r="4">
          <cell r="I4">
            <v>0</v>
          </cell>
        </row>
      </sheetData>
      <sheetData sheetId="6831">
        <row r="4">
          <cell r="I4">
            <v>0</v>
          </cell>
        </row>
      </sheetData>
      <sheetData sheetId="6832">
        <row r="4">
          <cell r="I4">
            <v>0</v>
          </cell>
        </row>
      </sheetData>
      <sheetData sheetId="6833">
        <row r="4">
          <cell r="I4">
            <v>0</v>
          </cell>
        </row>
      </sheetData>
      <sheetData sheetId="6834">
        <row r="4">
          <cell r="I4">
            <v>0</v>
          </cell>
        </row>
      </sheetData>
      <sheetData sheetId="6835">
        <row r="4">
          <cell r="I4">
            <v>0</v>
          </cell>
        </row>
      </sheetData>
      <sheetData sheetId="6836">
        <row r="4">
          <cell r="I4">
            <v>0</v>
          </cell>
        </row>
      </sheetData>
      <sheetData sheetId="6837">
        <row r="4">
          <cell r="I4">
            <v>0</v>
          </cell>
        </row>
      </sheetData>
      <sheetData sheetId="6838">
        <row r="4">
          <cell r="I4">
            <v>0</v>
          </cell>
        </row>
      </sheetData>
      <sheetData sheetId="6839">
        <row r="4">
          <cell r="I4">
            <v>0</v>
          </cell>
        </row>
      </sheetData>
      <sheetData sheetId="6840">
        <row r="4">
          <cell r="I4">
            <v>0</v>
          </cell>
        </row>
      </sheetData>
      <sheetData sheetId="6841">
        <row r="4">
          <cell r="I4">
            <v>0</v>
          </cell>
        </row>
      </sheetData>
      <sheetData sheetId="6842">
        <row r="4">
          <cell r="I4">
            <v>0</v>
          </cell>
        </row>
      </sheetData>
      <sheetData sheetId="6843">
        <row r="4">
          <cell r="I4">
            <v>0</v>
          </cell>
        </row>
      </sheetData>
      <sheetData sheetId="6844">
        <row r="4">
          <cell r="I4">
            <v>0</v>
          </cell>
        </row>
      </sheetData>
      <sheetData sheetId="6845">
        <row r="4">
          <cell r="I4">
            <v>0</v>
          </cell>
        </row>
      </sheetData>
      <sheetData sheetId="6846">
        <row r="4">
          <cell r="I4">
            <v>0</v>
          </cell>
        </row>
      </sheetData>
      <sheetData sheetId="6847">
        <row r="4">
          <cell r="I4">
            <v>0</v>
          </cell>
        </row>
      </sheetData>
      <sheetData sheetId="6848">
        <row r="4">
          <cell r="I4">
            <v>0</v>
          </cell>
        </row>
      </sheetData>
      <sheetData sheetId="6849">
        <row r="4">
          <cell r="I4">
            <v>0</v>
          </cell>
        </row>
      </sheetData>
      <sheetData sheetId="6850">
        <row r="4">
          <cell r="I4">
            <v>0</v>
          </cell>
        </row>
      </sheetData>
      <sheetData sheetId="6851">
        <row r="4">
          <cell r="I4">
            <v>0</v>
          </cell>
        </row>
      </sheetData>
      <sheetData sheetId="6852">
        <row r="4">
          <cell r="I4">
            <v>0</v>
          </cell>
        </row>
      </sheetData>
      <sheetData sheetId="6853">
        <row r="4">
          <cell r="I4">
            <v>0</v>
          </cell>
        </row>
      </sheetData>
      <sheetData sheetId="6854">
        <row r="4">
          <cell r="I4">
            <v>0</v>
          </cell>
        </row>
      </sheetData>
      <sheetData sheetId="6855">
        <row r="4">
          <cell r="I4">
            <v>0</v>
          </cell>
        </row>
      </sheetData>
      <sheetData sheetId="6856">
        <row r="4">
          <cell r="I4">
            <v>0</v>
          </cell>
        </row>
      </sheetData>
      <sheetData sheetId="6857">
        <row r="4">
          <cell r="I4">
            <v>0</v>
          </cell>
        </row>
      </sheetData>
      <sheetData sheetId="6858">
        <row r="4">
          <cell r="I4">
            <v>0</v>
          </cell>
        </row>
      </sheetData>
      <sheetData sheetId="6859">
        <row r="4">
          <cell r="I4">
            <v>0</v>
          </cell>
        </row>
      </sheetData>
      <sheetData sheetId="6860">
        <row r="4">
          <cell r="I4">
            <v>0</v>
          </cell>
        </row>
      </sheetData>
      <sheetData sheetId="6861">
        <row r="4">
          <cell r="I4">
            <v>0</v>
          </cell>
        </row>
      </sheetData>
      <sheetData sheetId="6862">
        <row r="4">
          <cell r="I4">
            <v>0</v>
          </cell>
        </row>
      </sheetData>
      <sheetData sheetId="6863">
        <row r="4">
          <cell r="I4">
            <v>0</v>
          </cell>
        </row>
      </sheetData>
      <sheetData sheetId="6864">
        <row r="4">
          <cell r="I4">
            <v>0</v>
          </cell>
        </row>
      </sheetData>
      <sheetData sheetId="6865">
        <row r="4">
          <cell r="I4">
            <v>0</v>
          </cell>
        </row>
      </sheetData>
      <sheetData sheetId="6866">
        <row r="4">
          <cell r="I4">
            <v>0</v>
          </cell>
        </row>
      </sheetData>
      <sheetData sheetId="6867">
        <row r="4">
          <cell r="I4">
            <v>0</v>
          </cell>
        </row>
      </sheetData>
      <sheetData sheetId="6868">
        <row r="4">
          <cell r="I4">
            <v>0</v>
          </cell>
        </row>
      </sheetData>
      <sheetData sheetId="6869">
        <row r="4">
          <cell r="I4">
            <v>0</v>
          </cell>
        </row>
      </sheetData>
      <sheetData sheetId="6870">
        <row r="4">
          <cell r="I4">
            <v>0</v>
          </cell>
        </row>
      </sheetData>
      <sheetData sheetId="6871">
        <row r="4">
          <cell r="I4">
            <v>0</v>
          </cell>
        </row>
      </sheetData>
      <sheetData sheetId="6872">
        <row r="4">
          <cell r="I4">
            <v>0</v>
          </cell>
        </row>
      </sheetData>
      <sheetData sheetId="6873">
        <row r="4">
          <cell r="I4">
            <v>0</v>
          </cell>
        </row>
      </sheetData>
      <sheetData sheetId="6874">
        <row r="4">
          <cell r="I4">
            <v>0</v>
          </cell>
        </row>
      </sheetData>
      <sheetData sheetId="6875">
        <row r="4">
          <cell r="I4">
            <v>0</v>
          </cell>
        </row>
      </sheetData>
      <sheetData sheetId="6876">
        <row r="4">
          <cell r="I4">
            <v>0</v>
          </cell>
        </row>
      </sheetData>
      <sheetData sheetId="6877">
        <row r="4">
          <cell r="I4">
            <v>0</v>
          </cell>
        </row>
      </sheetData>
      <sheetData sheetId="6878">
        <row r="4">
          <cell r="I4">
            <v>0</v>
          </cell>
        </row>
      </sheetData>
      <sheetData sheetId="6879">
        <row r="4">
          <cell r="I4">
            <v>0</v>
          </cell>
        </row>
      </sheetData>
      <sheetData sheetId="6880">
        <row r="4">
          <cell r="I4">
            <v>0</v>
          </cell>
        </row>
      </sheetData>
      <sheetData sheetId="6881">
        <row r="4">
          <cell r="I4">
            <v>0</v>
          </cell>
        </row>
      </sheetData>
      <sheetData sheetId="6882">
        <row r="4">
          <cell r="I4">
            <v>0</v>
          </cell>
        </row>
      </sheetData>
      <sheetData sheetId="6883">
        <row r="4">
          <cell r="I4">
            <v>0</v>
          </cell>
        </row>
      </sheetData>
      <sheetData sheetId="6884">
        <row r="4">
          <cell r="I4">
            <v>0</v>
          </cell>
        </row>
      </sheetData>
      <sheetData sheetId="6885">
        <row r="4">
          <cell r="I4">
            <v>0</v>
          </cell>
        </row>
      </sheetData>
      <sheetData sheetId="6886">
        <row r="4">
          <cell r="I4">
            <v>0</v>
          </cell>
        </row>
      </sheetData>
      <sheetData sheetId="6887">
        <row r="4">
          <cell r="I4">
            <v>0</v>
          </cell>
        </row>
      </sheetData>
      <sheetData sheetId="6888">
        <row r="4">
          <cell r="I4">
            <v>0</v>
          </cell>
        </row>
      </sheetData>
      <sheetData sheetId="6889">
        <row r="4">
          <cell r="I4">
            <v>0</v>
          </cell>
        </row>
      </sheetData>
      <sheetData sheetId="6890">
        <row r="4">
          <cell r="I4">
            <v>0</v>
          </cell>
        </row>
      </sheetData>
      <sheetData sheetId="6891">
        <row r="4">
          <cell r="I4">
            <v>0</v>
          </cell>
        </row>
      </sheetData>
      <sheetData sheetId="6892">
        <row r="4">
          <cell r="I4">
            <v>0</v>
          </cell>
        </row>
      </sheetData>
      <sheetData sheetId="6893">
        <row r="4">
          <cell r="I4">
            <v>0</v>
          </cell>
        </row>
      </sheetData>
      <sheetData sheetId="6894">
        <row r="4">
          <cell r="I4">
            <v>0</v>
          </cell>
        </row>
      </sheetData>
      <sheetData sheetId="6895">
        <row r="4">
          <cell r="I4">
            <v>0</v>
          </cell>
        </row>
      </sheetData>
      <sheetData sheetId="6896">
        <row r="4">
          <cell r="I4">
            <v>0</v>
          </cell>
        </row>
      </sheetData>
      <sheetData sheetId="6897">
        <row r="4">
          <cell r="I4">
            <v>0</v>
          </cell>
        </row>
      </sheetData>
      <sheetData sheetId="6898">
        <row r="4">
          <cell r="I4">
            <v>0</v>
          </cell>
        </row>
      </sheetData>
      <sheetData sheetId="6899">
        <row r="4">
          <cell r="I4">
            <v>0</v>
          </cell>
        </row>
      </sheetData>
      <sheetData sheetId="6900">
        <row r="4">
          <cell r="I4">
            <v>0</v>
          </cell>
        </row>
      </sheetData>
      <sheetData sheetId="6901">
        <row r="4">
          <cell r="I4">
            <v>0</v>
          </cell>
        </row>
      </sheetData>
      <sheetData sheetId="6902">
        <row r="4">
          <cell r="I4">
            <v>0</v>
          </cell>
        </row>
      </sheetData>
      <sheetData sheetId="6903">
        <row r="4">
          <cell r="I4">
            <v>0</v>
          </cell>
        </row>
      </sheetData>
      <sheetData sheetId="6904">
        <row r="4">
          <cell r="I4">
            <v>0</v>
          </cell>
        </row>
      </sheetData>
      <sheetData sheetId="6905">
        <row r="4">
          <cell r="I4">
            <v>0</v>
          </cell>
        </row>
      </sheetData>
      <sheetData sheetId="6906">
        <row r="4">
          <cell r="I4">
            <v>0</v>
          </cell>
        </row>
      </sheetData>
      <sheetData sheetId="6907">
        <row r="4">
          <cell r="I4">
            <v>0</v>
          </cell>
        </row>
      </sheetData>
      <sheetData sheetId="6908">
        <row r="4">
          <cell r="I4">
            <v>0</v>
          </cell>
        </row>
      </sheetData>
      <sheetData sheetId="6909">
        <row r="4">
          <cell r="I4">
            <v>0</v>
          </cell>
        </row>
      </sheetData>
      <sheetData sheetId="6910">
        <row r="4">
          <cell r="I4">
            <v>0</v>
          </cell>
        </row>
      </sheetData>
      <sheetData sheetId="6911">
        <row r="4">
          <cell r="I4">
            <v>0</v>
          </cell>
        </row>
      </sheetData>
      <sheetData sheetId="6912">
        <row r="4">
          <cell r="I4">
            <v>0</v>
          </cell>
        </row>
      </sheetData>
      <sheetData sheetId="6913">
        <row r="4">
          <cell r="I4">
            <v>0</v>
          </cell>
        </row>
      </sheetData>
      <sheetData sheetId="6914">
        <row r="4">
          <cell r="I4">
            <v>0</v>
          </cell>
        </row>
      </sheetData>
      <sheetData sheetId="6915">
        <row r="4">
          <cell r="I4">
            <v>0</v>
          </cell>
        </row>
      </sheetData>
      <sheetData sheetId="6916">
        <row r="4">
          <cell r="I4">
            <v>0</v>
          </cell>
        </row>
      </sheetData>
      <sheetData sheetId="6917">
        <row r="4">
          <cell r="I4">
            <v>0</v>
          </cell>
        </row>
      </sheetData>
      <sheetData sheetId="6918">
        <row r="4">
          <cell r="I4">
            <v>0</v>
          </cell>
        </row>
      </sheetData>
      <sheetData sheetId="6919">
        <row r="4">
          <cell r="I4">
            <v>0</v>
          </cell>
        </row>
      </sheetData>
      <sheetData sheetId="6920">
        <row r="4">
          <cell r="I4">
            <v>0</v>
          </cell>
        </row>
      </sheetData>
      <sheetData sheetId="6921">
        <row r="4">
          <cell r="I4">
            <v>0</v>
          </cell>
        </row>
      </sheetData>
      <sheetData sheetId="6922">
        <row r="4">
          <cell r="I4">
            <v>0</v>
          </cell>
        </row>
      </sheetData>
      <sheetData sheetId="6923">
        <row r="4">
          <cell r="I4">
            <v>0</v>
          </cell>
        </row>
      </sheetData>
      <sheetData sheetId="6924">
        <row r="4">
          <cell r="I4">
            <v>0</v>
          </cell>
        </row>
      </sheetData>
      <sheetData sheetId="6925">
        <row r="4">
          <cell r="I4">
            <v>0</v>
          </cell>
        </row>
      </sheetData>
      <sheetData sheetId="6926">
        <row r="4">
          <cell r="I4">
            <v>0</v>
          </cell>
        </row>
      </sheetData>
      <sheetData sheetId="6927">
        <row r="4">
          <cell r="I4">
            <v>0</v>
          </cell>
        </row>
      </sheetData>
      <sheetData sheetId="6928">
        <row r="4">
          <cell r="I4">
            <v>0</v>
          </cell>
        </row>
      </sheetData>
      <sheetData sheetId="6929">
        <row r="4">
          <cell r="I4">
            <v>0</v>
          </cell>
        </row>
      </sheetData>
      <sheetData sheetId="6930">
        <row r="4">
          <cell r="I4">
            <v>0</v>
          </cell>
        </row>
      </sheetData>
      <sheetData sheetId="6931">
        <row r="4">
          <cell r="I4">
            <v>0</v>
          </cell>
        </row>
      </sheetData>
      <sheetData sheetId="6932">
        <row r="4">
          <cell r="I4">
            <v>0</v>
          </cell>
        </row>
      </sheetData>
      <sheetData sheetId="6933">
        <row r="4">
          <cell r="I4">
            <v>0</v>
          </cell>
        </row>
      </sheetData>
      <sheetData sheetId="6934">
        <row r="4">
          <cell r="I4">
            <v>0</v>
          </cell>
        </row>
      </sheetData>
      <sheetData sheetId="6935">
        <row r="4">
          <cell r="I4">
            <v>0</v>
          </cell>
        </row>
      </sheetData>
      <sheetData sheetId="6936">
        <row r="4">
          <cell r="I4">
            <v>0</v>
          </cell>
        </row>
      </sheetData>
      <sheetData sheetId="6937">
        <row r="4">
          <cell r="I4">
            <v>0</v>
          </cell>
        </row>
      </sheetData>
      <sheetData sheetId="6938">
        <row r="4">
          <cell r="I4">
            <v>0</v>
          </cell>
        </row>
      </sheetData>
      <sheetData sheetId="6939">
        <row r="4">
          <cell r="I4">
            <v>0</v>
          </cell>
        </row>
      </sheetData>
      <sheetData sheetId="6940">
        <row r="4">
          <cell r="I4">
            <v>0</v>
          </cell>
        </row>
      </sheetData>
      <sheetData sheetId="6941">
        <row r="4">
          <cell r="I4">
            <v>0</v>
          </cell>
        </row>
      </sheetData>
      <sheetData sheetId="6942">
        <row r="4">
          <cell r="I4">
            <v>0</v>
          </cell>
        </row>
      </sheetData>
      <sheetData sheetId="6943">
        <row r="4">
          <cell r="I4">
            <v>0</v>
          </cell>
        </row>
      </sheetData>
      <sheetData sheetId="6944">
        <row r="4">
          <cell r="I4">
            <v>0</v>
          </cell>
        </row>
      </sheetData>
      <sheetData sheetId="6945">
        <row r="4">
          <cell r="I4">
            <v>0</v>
          </cell>
        </row>
      </sheetData>
      <sheetData sheetId="6946">
        <row r="4">
          <cell r="I4">
            <v>0</v>
          </cell>
        </row>
      </sheetData>
      <sheetData sheetId="6947" refreshError="1"/>
      <sheetData sheetId="6948">
        <row r="4">
          <cell r="I4">
            <v>0</v>
          </cell>
        </row>
      </sheetData>
      <sheetData sheetId="6949">
        <row r="4">
          <cell r="I4">
            <v>0</v>
          </cell>
        </row>
      </sheetData>
      <sheetData sheetId="6950">
        <row r="4">
          <cell r="I4">
            <v>0</v>
          </cell>
        </row>
      </sheetData>
      <sheetData sheetId="6951">
        <row r="4">
          <cell r="I4">
            <v>0</v>
          </cell>
        </row>
      </sheetData>
      <sheetData sheetId="6952">
        <row r="4">
          <cell r="I4">
            <v>0</v>
          </cell>
        </row>
      </sheetData>
      <sheetData sheetId="6953">
        <row r="4">
          <cell r="I4">
            <v>0</v>
          </cell>
        </row>
      </sheetData>
      <sheetData sheetId="6954">
        <row r="4">
          <cell r="I4">
            <v>0</v>
          </cell>
        </row>
      </sheetData>
      <sheetData sheetId="6955">
        <row r="4">
          <cell r="I4">
            <v>0</v>
          </cell>
        </row>
      </sheetData>
      <sheetData sheetId="6956">
        <row r="4">
          <cell r="I4">
            <v>0</v>
          </cell>
        </row>
      </sheetData>
      <sheetData sheetId="6957">
        <row r="4">
          <cell r="I4">
            <v>0</v>
          </cell>
        </row>
      </sheetData>
      <sheetData sheetId="6958">
        <row r="4">
          <cell r="I4">
            <v>0</v>
          </cell>
        </row>
      </sheetData>
      <sheetData sheetId="6959">
        <row r="4">
          <cell r="I4">
            <v>0</v>
          </cell>
        </row>
      </sheetData>
      <sheetData sheetId="6960">
        <row r="4">
          <cell r="I4">
            <v>0</v>
          </cell>
        </row>
      </sheetData>
      <sheetData sheetId="6961">
        <row r="4">
          <cell r="I4">
            <v>0</v>
          </cell>
        </row>
      </sheetData>
      <sheetData sheetId="6962">
        <row r="4">
          <cell r="I4">
            <v>0</v>
          </cell>
        </row>
      </sheetData>
      <sheetData sheetId="6963">
        <row r="4">
          <cell r="I4">
            <v>0</v>
          </cell>
        </row>
      </sheetData>
      <sheetData sheetId="6964">
        <row r="4">
          <cell r="I4">
            <v>0</v>
          </cell>
        </row>
      </sheetData>
      <sheetData sheetId="6965">
        <row r="4">
          <cell r="I4">
            <v>0</v>
          </cell>
        </row>
      </sheetData>
      <sheetData sheetId="6966">
        <row r="4">
          <cell r="I4">
            <v>0</v>
          </cell>
        </row>
      </sheetData>
      <sheetData sheetId="6967">
        <row r="4">
          <cell r="I4">
            <v>0</v>
          </cell>
        </row>
      </sheetData>
      <sheetData sheetId="6968">
        <row r="4">
          <cell r="I4">
            <v>0</v>
          </cell>
        </row>
      </sheetData>
      <sheetData sheetId="6969">
        <row r="4">
          <cell r="I4">
            <v>0</v>
          </cell>
        </row>
      </sheetData>
      <sheetData sheetId="6970">
        <row r="4">
          <cell r="I4">
            <v>0</v>
          </cell>
        </row>
      </sheetData>
      <sheetData sheetId="6971">
        <row r="4">
          <cell r="I4">
            <v>0</v>
          </cell>
        </row>
      </sheetData>
      <sheetData sheetId="6972">
        <row r="4">
          <cell r="I4">
            <v>0</v>
          </cell>
        </row>
      </sheetData>
      <sheetData sheetId="6973">
        <row r="4">
          <cell r="I4">
            <v>0</v>
          </cell>
        </row>
      </sheetData>
      <sheetData sheetId="6974">
        <row r="4">
          <cell r="I4">
            <v>0</v>
          </cell>
        </row>
      </sheetData>
      <sheetData sheetId="6975">
        <row r="4">
          <cell r="I4">
            <v>0</v>
          </cell>
        </row>
      </sheetData>
      <sheetData sheetId="6976">
        <row r="4">
          <cell r="I4">
            <v>0</v>
          </cell>
        </row>
      </sheetData>
      <sheetData sheetId="6977">
        <row r="4">
          <cell r="I4">
            <v>0</v>
          </cell>
        </row>
      </sheetData>
      <sheetData sheetId="6978">
        <row r="4">
          <cell r="I4">
            <v>0</v>
          </cell>
        </row>
      </sheetData>
      <sheetData sheetId="6979">
        <row r="4">
          <cell r="I4">
            <v>0</v>
          </cell>
        </row>
      </sheetData>
      <sheetData sheetId="6980">
        <row r="4">
          <cell r="I4">
            <v>0</v>
          </cell>
        </row>
      </sheetData>
      <sheetData sheetId="6981">
        <row r="4">
          <cell r="I4">
            <v>0</v>
          </cell>
        </row>
      </sheetData>
      <sheetData sheetId="6982">
        <row r="4">
          <cell r="I4">
            <v>0</v>
          </cell>
        </row>
      </sheetData>
      <sheetData sheetId="6983">
        <row r="4">
          <cell r="I4">
            <v>0</v>
          </cell>
        </row>
      </sheetData>
      <sheetData sheetId="6984">
        <row r="4">
          <cell r="I4">
            <v>0</v>
          </cell>
        </row>
      </sheetData>
      <sheetData sheetId="6985">
        <row r="4">
          <cell r="I4">
            <v>0</v>
          </cell>
        </row>
      </sheetData>
      <sheetData sheetId="6986">
        <row r="4">
          <cell r="I4">
            <v>0</v>
          </cell>
        </row>
      </sheetData>
      <sheetData sheetId="6987">
        <row r="4">
          <cell r="I4">
            <v>0</v>
          </cell>
        </row>
      </sheetData>
      <sheetData sheetId="6988">
        <row r="4">
          <cell r="I4">
            <v>0</v>
          </cell>
        </row>
      </sheetData>
      <sheetData sheetId="6989">
        <row r="4">
          <cell r="I4">
            <v>0</v>
          </cell>
        </row>
      </sheetData>
      <sheetData sheetId="6990">
        <row r="4">
          <cell r="I4">
            <v>0</v>
          </cell>
        </row>
      </sheetData>
      <sheetData sheetId="6991">
        <row r="4">
          <cell r="I4">
            <v>0</v>
          </cell>
        </row>
      </sheetData>
      <sheetData sheetId="6992">
        <row r="4">
          <cell r="I4">
            <v>0</v>
          </cell>
        </row>
      </sheetData>
      <sheetData sheetId="6993">
        <row r="4">
          <cell r="I4">
            <v>0</v>
          </cell>
        </row>
      </sheetData>
      <sheetData sheetId="6994">
        <row r="4">
          <cell r="I4">
            <v>0</v>
          </cell>
        </row>
      </sheetData>
      <sheetData sheetId="6995">
        <row r="4">
          <cell r="I4">
            <v>0</v>
          </cell>
        </row>
      </sheetData>
      <sheetData sheetId="6996">
        <row r="4">
          <cell r="I4">
            <v>0</v>
          </cell>
        </row>
      </sheetData>
      <sheetData sheetId="6997">
        <row r="4">
          <cell r="I4">
            <v>0</v>
          </cell>
        </row>
      </sheetData>
      <sheetData sheetId="6998">
        <row r="4">
          <cell r="I4">
            <v>0</v>
          </cell>
        </row>
      </sheetData>
      <sheetData sheetId="6999">
        <row r="4">
          <cell r="I4">
            <v>0</v>
          </cell>
        </row>
      </sheetData>
      <sheetData sheetId="7000">
        <row r="4">
          <cell r="I4">
            <v>0</v>
          </cell>
        </row>
      </sheetData>
      <sheetData sheetId="7001">
        <row r="4">
          <cell r="I4">
            <v>0</v>
          </cell>
        </row>
      </sheetData>
      <sheetData sheetId="7002">
        <row r="4">
          <cell r="I4">
            <v>0</v>
          </cell>
        </row>
      </sheetData>
      <sheetData sheetId="7003">
        <row r="4">
          <cell r="I4">
            <v>0</v>
          </cell>
        </row>
      </sheetData>
      <sheetData sheetId="7004">
        <row r="4">
          <cell r="I4">
            <v>0</v>
          </cell>
        </row>
      </sheetData>
      <sheetData sheetId="7005">
        <row r="4">
          <cell r="I4">
            <v>0</v>
          </cell>
        </row>
      </sheetData>
      <sheetData sheetId="7006">
        <row r="4">
          <cell r="I4">
            <v>0</v>
          </cell>
        </row>
      </sheetData>
      <sheetData sheetId="7007">
        <row r="4">
          <cell r="I4">
            <v>0</v>
          </cell>
        </row>
      </sheetData>
      <sheetData sheetId="7008">
        <row r="4">
          <cell r="I4">
            <v>0</v>
          </cell>
        </row>
      </sheetData>
      <sheetData sheetId="7009">
        <row r="4">
          <cell r="I4">
            <v>0</v>
          </cell>
        </row>
      </sheetData>
      <sheetData sheetId="7010">
        <row r="4">
          <cell r="I4">
            <v>0</v>
          </cell>
        </row>
      </sheetData>
      <sheetData sheetId="7011">
        <row r="4">
          <cell r="I4">
            <v>0</v>
          </cell>
        </row>
      </sheetData>
      <sheetData sheetId="7012">
        <row r="4">
          <cell r="I4">
            <v>0</v>
          </cell>
        </row>
      </sheetData>
      <sheetData sheetId="7013">
        <row r="4">
          <cell r="I4">
            <v>0</v>
          </cell>
        </row>
      </sheetData>
      <sheetData sheetId="7014">
        <row r="4">
          <cell r="I4">
            <v>0</v>
          </cell>
        </row>
      </sheetData>
      <sheetData sheetId="7015">
        <row r="4">
          <cell r="I4">
            <v>0</v>
          </cell>
        </row>
      </sheetData>
      <sheetData sheetId="7016">
        <row r="4">
          <cell r="I4">
            <v>0</v>
          </cell>
        </row>
      </sheetData>
      <sheetData sheetId="7017">
        <row r="4">
          <cell r="I4">
            <v>0</v>
          </cell>
        </row>
      </sheetData>
      <sheetData sheetId="7018">
        <row r="4">
          <cell r="I4">
            <v>0</v>
          </cell>
        </row>
      </sheetData>
      <sheetData sheetId="7019">
        <row r="4">
          <cell r="I4">
            <v>0</v>
          </cell>
        </row>
      </sheetData>
      <sheetData sheetId="7020">
        <row r="4">
          <cell r="I4">
            <v>0</v>
          </cell>
        </row>
      </sheetData>
      <sheetData sheetId="7021">
        <row r="4">
          <cell r="I4">
            <v>0</v>
          </cell>
        </row>
      </sheetData>
      <sheetData sheetId="7022">
        <row r="4">
          <cell r="I4">
            <v>0</v>
          </cell>
        </row>
      </sheetData>
      <sheetData sheetId="7023">
        <row r="4">
          <cell r="I4">
            <v>0</v>
          </cell>
        </row>
      </sheetData>
      <sheetData sheetId="7024">
        <row r="4">
          <cell r="I4">
            <v>0</v>
          </cell>
        </row>
      </sheetData>
      <sheetData sheetId="7025">
        <row r="4">
          <cell r="I4">
            <v>0</v>
          </cell>
        </row>
      </sheetData>
      <sheetData sheetId="7026">
        <row r="4">
          <cell r="I4">
            <v>0</v>
          </cell>
        </row>
      </sheetData>
      <sheetData sheetId="7027">
        <row r="4">
          <cell r="I4">
            <v>0</v>
          </cell>
        </row>
      </sheetData>
      <sheetData sheetId="7028">
        <row r="4">
          <cell r="I4">
            <v>0</v>
          </cell>
        </row>
      </sheetData>
      <sheetData sheetId="7029">
        <row r="4">
          <cell r="I4">
            <v>0</v>
          </cell>
        </row>
      </sheetData>
      <sheetData sheetId="7030">
        <row r="4">
          <cell r="I4">
            <v>0</v>
          </cell>
        </row>
      </sheetData>
      <sheetData sheetId="7031">
        <row r="4">
          <cell r="I4">
            <v>0</v>
          </cell>
        </row>
      </sheetData>
      <sheetData sheetId="7032">
        <row r="4">
          <cell r="I4">
            <v>0</v>
          </cell>
        </row>
      </sheetData>
      <sheetData sheetId="7033">
        <row r="4">
          <cell r="I4">
            <v>0</v>
          </cell>
        </row>
      </sheetData>
      <sheetData sheetId="7034">
        <row r="4">
          <cell r="I4">
            <v>0</v>
          </cell>
        </row>
      </sheetData>
      <sheetData sheetId="7035">
        <row r="4">
          <cell r="I4">
            <v>0</v>
          </cell>
        </row>
      </sheetData>
      <sheetData sheetId="7036">
        <row r="4">
          <cell r="I4">
            <v>0</v>
          </cell>
        </row>
      </sheetData>
      <sheetData sheetId="7037">
        <row r="4">
          <cell r="I4">
            <v>0</v>
          </cell>
        </row>
      </sheetData>
      <sheetData sheetId="7038">
        <row r="4">
          <cell r="I4">
            <v>0</v>
          </cell>
        </row>
      </sheetData>
      <sheetData sheetId="7039">
        <row r="4">
          <cell r="I4">
            <v>0</v>
          </cell>
        </row>
      </sheetData>
      <sheetData sheetId="7040">
        <row r="4">
          <cell r="I4">
            <v>0</v>
          </cell>
        </row>
      </sheetData>
      <sheetData sheetId="7041">
        <row r="4">
          <cell r="I4">
            <v>0</v>
          </cell>
        </row>
      </sheetData>
      <sheetData sheetId="7042">
        <row r="4">
          <cell r="I4">
            <v>0</v>
          </cell>
        </row>
      </sheetData>
      <sheetData sheetId="7043">
        <row r="4">
          <cell r="I4">
            <v>0</v>
          </cell>
        </row>
      </sheetData>
      <sheetData sheetId="7044">
        <row r="4">
          <cell r="I4">
            <v>0</v>
          </cell>
        </row>
      </sheetData>
      <sheetData sheetId="7045">
        <row r="4">
          <cell r="I4">
            <v>0</v>
          </cell>
        </row>
      </sheetData>
      <sheetData sheetId="7046">
        <row r="4">
          <cell r="I4">
            <v>0</v>
          </cell>
        </row>
      </sheetData>
      <sheetData sheetId="7047">
        <row r="4">
          <cell r="I4">
            <v>0</v>
          </cell>
        </row>
      </sheetData>
      <sheetData sheetId="7048">
        <row r="4">
          <cell r="I4">
            <v>0</v>
          </cell>
        </row>
      </sheetData>
      <sheetData sheetId="7049">
        <row r="4">
          <cell r="I4">
            <v>0</v>
          </cell>
        </row>
      </sheetData>
      <sheetData sheetId="7050">
        <row r="4">
          <cell r="I4">
            <v>0</v>
          </cell>
        </row>
      </sheetData>
      <sheetData sheetId="7051">
        <row r="4">
          <cell r="I4">
            <v>0</v>
          </cell>
        </row>
      </sheetData>
      <sheetData sheetId="7052">
        <row r="4">
          <cell r="I4">
            <v>0</v>
          </cell>
        </row>
      </sheetData>
      <sheetData sheetId="7053">
        <row r="4">
          <cell r="I4">
            <v>0</v>
          </cell>
        </row>
      </sheetData>
      <sheetData sheetId="7054">
        <row r="4">
          <cell r="I4">
            <v>0</v>
          </cell>
        </row>
      </sheetData>
      <sheetData sheetId="7055">
        <row r="4">
          <cell r="I4">
            <v>0</v>
          </cell>
        </row>
      </sheetData>
      <sheetData sheetId="7056">
        <row r="4">
          <cell r="I4">
            <v>0</v>
          </cell>
        </row>
      </sheetData>
      <sheetData sheetId="7057">
        <row r="4">
          <cell r="I4">
            <v>0</v>
          </cell>
        </row>
      </sheetData>
      <sheetData sheetId="7058">
        <row r="4">
          <cell r="I4">
            <v>0</v>
          </cell>
        </row>
      </sheetData>
      <sheetData sheetId="7059">
        <row r="4">
          <cell r="I4">
            <v>0</v>
          </cell>
        </row>
      </sheetData>
      <sheetData sheetId="7060">
        <row r="4">
          <cell r="I4">
            <v>0</v>
          </cell>
        </row>
      </sheetData>
      <sheetData sheetId="7061">
        <row r="4">
          <cell r="I4">
            <v>0</v>
          </cell>
        </row>
      </sheetData>
      <sheetData sheetId="7062">
        <row r="4">
          <cell r="I4">
            <v>0</v>
          </cell>
        </row>
      </sheetData>
      <sheetData sheetId="7063">
        <row r="4">
          <cell r="I4">
            <v>0</v>
          </cell>
        </row>
      </sheetData>
      <sheetData sheetId="7064">
        <row r="4">
          <cell r="I4">
            <v>0</v>
          </cell>
        </row>
      </sheetData>
      <sheetData sheetId="7065">
        <row r="4">
          <cell r="I4">
            <v>0</v>
          </cell>
        </row>
      </sheetData>
      <sheetData sheetId="7066">
        <row r="4">
          <cell r="I4">
            <v>0</v>
          </cell>
        </row>
      </sheetData>
      <sheetData sheetId="7067">
        <row r="4">
          <cell r="I4">
            <v>0</v>
          </cell>
        </row>
      </sheetData>
      <sheetData sheetId="7068">
        <row r="4">
          <cell r="I4">
            <v>0</v>
          </cell>
        </row>
      </sheetData>
      <sheetData sheetId="7069">
        <row r="4">
          <cell r="I4">
            <v>0</v>
          </cell>
        </row>
      </sheetData>
      <sheetData sheetId="7070">
        <row r="4">
          <cell r="I4">
            <v>0</v>
          </cell>
        </row>
      </sheetData>
      <sheetData sheetId="7071">
        <row r="4">
          <cell r="I4">
            <v>0</v>
          </cell>
        </row>
      </sheetData>
      <sheetData sheetId="7072">
        <row r="4">
          <cell r="I4">
            <v>0</v>
          </cell>
        </row>
      </sheetData>
      <sheetData sheetId="7073">
        <row r="4">
          <cell r="I4">
            <v>0</v>
          </cell>
        </row>
      </sheetData>
      <sheetData sheetId="7074">
        <row r="4">
          <cell r="I4">
            <v>0</v>
          </cell>
        </row>
      </sheetData>
      <sheetData sheetId="7075">
        <row r="4">
          <cell r="I4">
            <v>0</v>
          </cell>
        </row>
      </sheetData>
      <sheetData sheetId="7076">
        <row r="4">
          <cell r="I4">
            <v>0</v>
          </cell>
        </row>
      </sheetData>
      <sheetData sheetId="7077">
        <row r="4">
          <cell r="I4">
            <v>0</v>
          </cell>
        </row>
      </sheetData>
      <sheetData sheetId="7078">
        <row r="4">
          <cell r="I4">
            <v>0</v>
          </cell>
        </row>
      </sheetData>
      <sheetData sheetId="7079">
        <row r="4">
          <cell r="I4">
            <v>0</v>
          </cell>
        </row>
      </sheetData>
      <sheetData sheetId="7080">
        <row r="4">
          <cell r="I4">
            <v>0</v>
          </cell>
        </row>
      </sheetData>
      <sheetData sheetId="7081">
        <row r="4">
          <cell r="I4">
            <v>0</v>
          </cell>
        </row>
      </sheetData>
      <sheetData sheetId="7082">
        <row r="4">
          <cell r="I4">
            <v>0</v>
          </cell>
        </row>
      </sheetData>
      <sheetData sheetId="7083">
        <row r="4">
          <cell r="I4">
            <v>0</v>
          </cell>
        </row>
      </sheetData>
      <sheetData sheetId="7084">
        <row r="4">
          <cell r="I4">
            <v>0</v>
          </cell>
        </row>
      </sheetData>
      <sheetData sheetId="7085">
        <row r="4">
          <cell r="I4">
            <v>0</v>
          </cell>
        </row>
      </sheetData>
      <sheetData sheetId="7086">
        <row r="4">
          <cell r="I4">
            <v>0</v>
          </cell>
        </row>
      </sheetData>
      <sheetData sheetId="7087">
        <row r="4">
          <cell r="I4">
            <v>0</v>
          </cell>
        </row>
      </sheetData>
      <sheetData sheetId="7088">
        <row r="4">
          <cell r="I4">
            <v>0</v>
          </cell>
        </row>
      </sheetData>
      <sheetData sheetId="7089">
        <row r="4">
          <cell r="I4">
            <v>0</v>
          </cell>
        </row>
      </sheetData>
      <sheetData sheetId="7090">
        <row r="4">
          <cell r="I4">
            <v>0</v>
          </cell>
        </row>
      </sheetData>
      <sheetData sheetId="7091">
        <row r="4">
          <cell r="I4">
            <v>0</v>
          </cell>
        </row>
      </sheetData>
      <sheetData sheetId="7092">
        <row r="4">
          <cell r="I4">
            <v>0</v>
          </cell>
        </row>
      </sheetData>
      <sheetData sheetId="7093">
        <row r="4">
          <cell r="I4">
            <v>0</v>
          </cell>
        </row>
      </sheetData>
      <sheetData sheetId="7094">
        <row r="4">
          <cell r="I4">
            <v>0</v>
          </cell>
        </row>
      </sheetData>
      <sheetData sheetId="7095">
        <row r="4">
          <cell r="I4">
            <v>0</v>
          </cell>
        </row>
      </sheetData>
      <sheetData sheetId="7096">
        <row r="4">
          <cell r="I4">
            <v>0</v>
          </cell>
        </row>
      </sheetData>
      <sheetData sheetId="7097">
        <row r="4">
          <cell r="I4">
            <v>0</v>
          </cell>
        </row>
      </sheetData>
      <sheetData sheetId="7098">
        <row r="4">
          <cell r="I4">
            <v>0</v>
          </cell>
        </row>
      </sheetData>
      <sheetData sheetId="7099">
        <row r="4">
          <cell r="I4">
            <v>0</v>
          </cell>
        </row>
      </sheetData>
      <sheetData sheetId="7100">
        <row r="4">
          <cell r="I4">
            <v>0</v>
          </cell>
        </row>
      </sheetData>
      <sheetData sheetId="7101">
        <row r="4">
          <cell r="I4">
            <v>0</v>
          </cell>
        </row>
      </sheetData>
      <sheetData sheetId="7102">
        <row r="4">
          <cell r="I4">
            <v>0</v>
          </cell>
        </row>
      </sheetData>
      <sheetData sheetId="7103">
        <row r="4">
          <cell r="I4">
            <v>0</v>
          </cell>
        </row>
      </sheetData>
      <sheetData sheetId="7104">
        <row r="4">
          <cell r="I4">
            <v>0</v>
          </cell>
        </row>
      </sheetData>
      <sheetData sheetId="7105">
        <row r="4">
          <cell r="I4">
            <v>0</v>
          </cell>
        </row>
      </sheetData>
      <sheetData sheetId="7106">
        <row r="4">
          <cell r="I4">
            <v>0</v>
          </cell>
        </row>
      </sheetData>
      <sheetData sheetId="7107">
        <row r="4">
          <cell r="I4">
            <v>0</v>
          </cell>
        </row>
      </sheetData>
      <sheetData sheetId="7108">
        <row r="4">
          <cell r="I4">
            <v>0</v>
          </cell>
        </row>
      </sheetData>
      <sheetData sheetId="7109">
        <row r="4">
          <cell r="I4">
            <v>0</v>
          </cell>
        </row>
      </sheetData>
      <sheetData sheetId="7110">
        <row r="4">
          <cell r="I4">
            <v>0</v>
          </cell>
        </row>
      </sheetData>
      <sheetData sheetId="7111">
        <row r="4">
          <cell r="I4">
            <v>0</v>
          </cell>
        </row>
      </sheetData>
      <sheetData sheetId="7112">
        <row r="4">
          <cell r="I4">
            <v>0</v>
          </cell>
        </row>
      </sheetData>
      <sheetData sheetId="7113">
        <row r="4">
          <cell r="I4">
            <v>0</v>
          </cell>
        </row>
      </sheetData>
      <sheetData sheetId="7114">
        <row r="4">
          <cell r="I4">
            <v>0</v>
          </cell>
        </row>
      </sheetData>
      <sheetData sheetId="7115">
        <row r="4">
          <cell r="I4">
            <v>0</v>
          </cell>
        </row>
      </sheetData>
      <sheetData sheetId="7116">
        <row r="4">
          <cell r="I4">
            <v>0</v>
          </cell>
        </row>
      </sheetData>
      <sheetData sheetId="7117">
        <row r="4">
          <cell r="I4">
            <v>0</v>
          </cell>
        </row>
      </sheetData>
      <sheetData sheetId="7118">
        <row r="4">
          <cell r="I4">
            <v>0</v>
          </cell>
        </row>
      </sheetData>
      <sheetData sheetId="7119">
        <row r="4">
          <cell r="I4">
            <v>0</v>
          </cell>
        </row>
      </sheetData>
      <sheetData sheetId="7120">
        <row r="4">
          <cell r="I4">
            <v>0</v>
          </cell>
        </row>
      </sheetData>
      <sheetData sheetId="7121">
        <row r="4">
          <cell r="I4">
            <v>0</v>
          </cell>
        </row>
      </sheetData>
      <sheetData sheetId="7122">
        <row r="4">
          <cell r="I4">
            <v>0</v>
          </cell>
        </row>
      </sheetData>
      <sheetData sheetId="7123">
        <row r="4">
          <cell r="I4">
            <v>0</v>
          </cell>
        </row>
      </sheetData>
      <sheetData sheetId="7124">
        <row r="4">
          <cell r="I4">
            <v>0</v>
          </cell>
        </row>
      </sheetData>
      <sheetData sheetId="7125">
        <row r="4">
          <cell r="I4">
            <v>0</v>
          </cell>
        </row>
      </sheetData>
      <sheetData sheetId="7126">
        <row r="4">
          <cell r="I4">
            <v>0</v>
          </cell>
        </row>
      </sheetData>
      <sheetData sheetId="7127">
        <row r="4">
          <cell r="I4">
            <v>0</v>
          </cell>
        </row>
      </sheetData>
      <sheetData sheetId="7128">
        <row r="4">
          <cell r="I4">
            <v>0</v>
          </cell>
        </row>
      </sheetData>
      <sheetData sheetId="7129">
        <row r="4">
          <cell r="I4">
            <v>0</v>
          </cell>
        </row>
      </sheetData>
      <sheetData sheetId="7130">
        <row r="4">
          <cell r="I4">
            <v>0</v>
          </cell>
        </row>
      </sheetData>
      <sheetData sheetId="7131">
        <row r="4">
          <cell r="I4">
            <v>0</v>
          </cell>
        </row>
      </sheetData>
      <sheetData sheetId="7132">
        <row r="4">
          <cell r="I4">
            <v>0</v>
          </cell>
        </row>
      </sheetData>
      <sheetData sheetId="7133">
        <row r="4">
          <cell r="I4">
            <v>0</v>
          </cell>
        </row>
      </sheetData>
      <sheetData sheetId="7134">
        <row r="4">
          <cell r="I4">
            <v>0</v>
          </cell>
        </row>
      </sheetData>
      <sheetData sheetId="7135">
        <row r="4">
          <cell r="I4">
            <v>0</v>
          </cell>
        </row>
      </sheetData>
      <sheetData sheetId="7136">
        <row r="4">
          <cell r="I4">
            <v>0</v>
          </cell>
        </row>
      </sheetData>
      <sheetData sheetId="7137">
        <row r="4">
          <cell r="I4">
            <v>0</v>
          </cell>
        </row>
      </sheetData>
      <sheetData sheetId="7138">
        <row r="4">
          <cell r="I4">
            <v>0</v>
          </cell>
        </row>
      </sheetData>
      <sheetData sheetId="7139">
        <row r="4">
          <cell r="I4">
            <v>0</v>
          </cell>
        </row>
      </sheetData>
      <sheetData sheetId="7140">
        <row r="4">
          <cell r="I4">
            <v>0</v>
          </cell>
        </row>
      </sheetData>
      <sheetData sheetId="7141">
        <row r="4">
          <cell r="I4">
            <v>0</v>
          </cell>
        </row>
      </sheetData>
      <sheetData sheetId="7142">
        <row r="4">
          <cell r="I4">
            <v>0</v>
          </cell>
        </row>
      </sheetData>
      <sheetData sheetId="7143">
        <row r="4">
          <cell r="I4">
            <v>0</v>
          </cell>
        </row>
      </sheetData>
      <sheetData sheetId="7144">
        <row r="4">
          <cell r="I4">
            <v>0</v>
          </cell>
        </row>
      </sheetData>
      <sheetData sheetId="7145">
        <row r="4">
          <cell r="I4">
            <v>0</v>
          </cell>
        </row>
      </sheetData>
      <sheetData sheetId="7146">
        <row r="4">
          <cell r="I4">
            <v>0</v>
          </cell>
        </row>
      </sheetData>
      <sheetData sheetId="7147">
        <row r="4">
          <cell r="I4">
            <v>0</v>
          </cell>
        </row>
      </sheetData>
      <sheetData sheetId="7148">
        <row r="4">
          <cell r="I4">
            <v>0</v>
          </cell>
        </row>
      </sheetData>
      <sheetData sheetId="7149">
        <row r="4">
          <cell r="I4">
            <v>0</v>
          </cell>
        </row>
      </sheetData>
      <sheetData sheetId="7150">
        <row r="4">
          <cell r="I4">
            <v>0</v>
          </cell>
        </row>
      </sheetData>
      <sheetData sheetId="7151">
        <row r="4">
          <cell r="I4">
            <v>0</v>
          </cell>
        </row>
      </sheetData>
      <sheetData sheetId="7152">
        <row r="4">
          <cell r="I4">
            <v>0</v>
          </cell>
        </row>
      </sheetData>
      <sheetData sheetId="7153">
        <row r="4">
          <cell r="I4">
            <v>0</v>
          </cell>
        </row>
      </sheetData>
      <sheetData sheetId="7154">
        <row r="4">
          <cell r="I4">
            <v>0</v>
          </cell>
        </row>
      </sheetData>
      <sheetData sheetId="7155">
        <row r="4">
          <cell r="I4">
            <v>0</v>
          </cell>
        </row>
      </sheetData>
      <sheetData sheetId="7156">
        <row r="4">
          <cell r="I4">
            <v>0</v>
          </cell>
        </row>
      </sheetData>
      <sheetData sheetId="7157">
        <row r="4">
          <cell r="I4">
            <v>0</v>
          </cell>
        </row>
      </sheetData>
      <sheetData sheetId="7158">
        <row r="4">
          <cell r="I4">
            <v>0</v>
          </cell>
        </row>
      </sheetData>
      <sheetData sheetId="7159">
        <row r="4">
          <cell r="I4">
            <v>0</v>
          </cell>
        </row>
      </sheetData>
      <sheetData sheetId="7160">
        <row r="4">
          <cell r="I4">
            <v>0</v>
          </cell>
        </row>
      </sheetData>
      <sheetData sheetId="7161">
        <row r="4">
          <cell r="I4">
            <v>0</v>
          </cell>
        </row>
      </sheetData>
      <sheetData sheetId="7162">
        <row r="4">
          <cell r="I4">
            <v>0</v>
          </cell>
        </row>
      </sheetData>
      <sheetData sheetId="7163">
        <row r="4">
          <cell r="I4">
            <v>0</v>
          </cell>
        </row>
      </sheetData>
      <sheetData sheetId="7164">
        <row r="4">
          <cell r="I4">
            <v>0</v>
          </cell>
        </row>
      </sheetData>
      <sheetData sheetId="7165">
        <row r="4">
          <cell r="I4">
            <v>0</v>
          </cell>
        </row>
      </sheetData>
      <sheetData sheetId="7166">
        <row r="4">
          <cell r="I4">
            <v>0</v>
          </cell>
        </row>
      </sheetData>
      <sheetData sheetId="7167">
        <row r="4">
          <cell r="I4">
            <v>0</v>
          </cell>
        </row>
      </sheetData>
      <sheetData sheetId="7168">
        <row r="4">
          <cell r="I4">
            <v>0</v>
          </cell>
        </row>
      </sheetData>
      <sheetData sheetId="7169">
        <row r="4">
          <cell r="I4">
            <v>0</v>
          </cell>
        </row>
      </sheetData>
      <sheetData sheetId="7170">
        <row r="4">
          <cell r="I4">
            <v>0</v>
          </cell>
        </row>
      </sheetData>
      <sheetData sheetId="7171">
        <row r="4">
          <cell r="I4">
            <v>0</v>
          </cell>
        </row>
      </sheetData>
      <sheetData sheetId="7172">
        <row r="4">
          <cell r="I4">
            <v>0</v>
          </cell>
        </row>
      </sheetData>
      <sheetData sheetId="7173">
        <row r="4">
          <cell r="I4">
            <v>0</v>
          </cell>
        </row>
      </sheetData>
      <sheetData sheetId="7174">
        <row r="4">
          <cell r="I4">
            <v>0</v>
          </cell>
        </row>
      </sheetData>
      <sheetData sheetId="7175">
        <row r="4">
          <cell r="I4">
            <v>0</v>
          </cell>
        </row>
      </sheetData>
      <sheetData sheetId="7176">
        <row r="4">
          <cell r="I4">
            <v>0</v>
          </cell>
        </row>
      </sheetData>
      <sheetData sheetId="7177">
        <row r="4">
          <cell r="I4">
            <v>0</v>
          </cell>
        </row>
      </sheetData>
      <sheetData sheetId="7178">
        <row r="4">
          <cell r="I4">
            <v>0</v>
          </cell>
        </row>
      </sheetData>
      <sheetData sheetId="7179">
        <row r="4">
          <cell r="I4">
            <v>0</v>
          </cell>
        </row>
      </sheetData>
      <sheetData sheetId="7180">
        <row r="4">
          <cell r="I4">
            <v>0</v>
          </cell>
        </row>
      </sheetData>
      <sheetData sheetId="7181">
        <row r="4">
          <cell r="I4">
            <v>0</v>
          </cell>
        </row>
      </sheetData>
      <sheetData sheetId="7182">
        <row r="4">
          <cell r="I4">
            <v>0</v>
          </cell>
        </row>
      </sheetData>
      <sheetData sheetId="7183">
        <row r="4">
          <cell r="I4">
            <v>0</v>
          </cell>
        </row>
      </sheetData>
      <sheetData sheetId="7184">
        <row r="4">
          <cell r="I4">
            <v>0</v>
          </cell>
        </row>
      </sheetData>
      <sheetData sheetId="7185">
        <row r="4">
          <cell r="I4">
            <v>0</v>
          </cell>
        </row>
      </sheetData>
      <sheetData sheetId="7186">
        <row r="4">
          <cell r="I4">
            <v>0</v>
          </cell>
        </row>
      </sheetData>
      <sheetData sheetId="7187">
        <row r="4">
          <cell r="I4">
            <v>0</v>
          </cell>
        </row>
      </sheetData>
      <sheetData sheetId="7188">
        <row r="4">
          <cell r="I4">
            <v>0</v>
          </cell>
        </row>
      </sheetData>
      <sheetData sheetId="7189">
        <row r="4">
          <cell r="I4">
            <v>0</v>
          </cell>
        </row>
      </sheetData>
      <sheetData sheetId="7190">
        <row r="4">
          <cell r="I4">
            <v>0</v>
          </cell>
        </row>
      </sheetData>
      <sheetData sheetId="7191">
        <row r="4">
          <cell r="I4">
            <v>0</v>
          </cell>
        </row>
      </sheetData>
      <sheetData sheetId="7192">
        <row r="4">
          <cell r="I4">
            <v>0</v>
          </cell>
        </row>
      </sheetData>
      <sheetData sheetId="7193">
        <row r="4">
          <cell r="I4">
            <v>0</v>
          </cell>
        </row>
      </sheetData>
      <sheetData sheetId="7194">
        <row r="4">
          <cell r="I4">
            <v>0</v>
          </cell>
        </row>
      </sheetData>
      <sheetData sheetId="7195">
        <row r="4">
          <cell r="I4">
            <v>0</v>
          </cell>
        </row>
      </sheetData>
      <sheetData sheetId="7196">
        <row r="4">
          <cell r="I4">
            <v>0</v>
          </cell>
        </row>
      </sheetData>
      <sheetData sheetId="7197">
        <row r="4">
          <cell r="I4">
            <v>0</v>
          </cell>
        </row>
      </sheetData>
      <sheetData sheetId="7198">
        <row r="4">
          <cell r="I4">
            <v>0</v>
          </cell>
        </row>
      </sheetData>
      <sheetData sheetId="7199">
        <row r="4">
          <cell r="I4">
            <v>0</v>
          </cell>
        </row>
      </sheetData>
      <sheetData sheetId="7200">
        <row r="4">
          <cell r="I4">
            <v>0</v>
          </cell>
        </row>
      </sheetData>
      <sheetData sheetId="7201">
        <row r="4">
          <cell r="I4">
            <v>0</v>
          </cell>
        </row>
      </sheetData>
      <sheetData sheetId="7202">
        <row r="4">
          <cell r="I4">
            <v>0</v>
          </cell>
        </row>
      </sheetData>
      <sheetData sheetId="7203">
        <row r="4">
          <cell r="I4">
            <v>0</v>
          </cell>
        </row>
      </sheetData>
      <sheetData sheetId="7204">
        <row r="4">
          <cell r="I4">
            <v>0</v>
          </cell>
        </row>
      </sheetData>
      <sheetData sheetId="7205">
        <row r="4">
          <cell r="I4">
            <v>0</v>
          </cell>
        </row>
      </sheetData>
      <sheetData sheetId="7206">
        <row r="4">
          <cell r="I4">
            <v>0</v>
          </cell>
        </row>
      </sheetData>
      <sheetData sheetId="7207">
        <row r="4">
          <cell r="I4">
            <v>0</v>
          </cell>
        </row>
      </sheetData>
      <sheetData sheetId="7208">
        <row r="4">
          <cell r="I4">
            <v>0</v>
          </cell>
        </row>
      </sheetData>
      <sheetData sheetId="7209">
        <row r="4">
          <cell r="I4">
            <v>0</v>
          </cell>
        </row>
      </sheetData>
      <sheetData sheetId="7210">
        <row r="4">
          <cell r="I4">
            <v>0</v>
          </cell>
        </row>
      </sheetData>
      <sheetData sheetId="7211">
        <row r="4">
          <cell r="I4">
            <v>0</v>
          </cell>
        </row>
      </sheetData>
      <sheetData sheetId="7212">
        <row r="4">
          <cell r="I4">
            <v>0</v>
          </cell>
        </row>
      </sheetData>
      <sheetData sheetId="7213">
        <row r="4">
          <cell r="I4">
            <v>0</v>
          </cell>
        </row>
      </sheetData>
      <sheetData sheetId="7214">
        <row r="4">
          <cell r="I4">
            <v>0</v>
          </cell>
        </row>
      </sheetData>
      <sheetData sheetId="7215">
        <row r="4">
          <cell r="I4">
            <v>0</v>
          </cell>
        </row>
      </sheetData>
      <sheetData sheetId="7216">
        <row r="4">
          <cell r="I4">
            <v>0</v>
          </cell>
        </row>
      </sheetData>
      <sheetData sheetId="7217">
        <row r="4">
          <cell r="I4">
            <v>0</v>
          </cell>
        </row>
      </sheetData>
      <sheetData sheetId="7218">
        <row r="4">
          <cell r="I4">
            <v>0</v>
          </cell>
        </row>
      </sheetData>
      <sheetData sheetId="7219">
        <row r="4">
          <cell r="I4">
            <v>0</v>
          </cell>
        </row>
      </sheetData>
      <sheetData sheetId="7220">
        <row r="4">
          <cell r="I4">
            <v>0</v>
          </cell>
        </row>
      </sheetData>
      <sheetData sheetId="7221">
        <row r="4">
          <cell r="I4">
            <v>0</v>
          </cell>
        </row>
      </sheetData>
      <sheetData sheetId="7222">
        <row r="4">
          <cell r="I4">
            <v>0</v>
          </cell>
        </row>
      </sheetData>
      <sheetData sheetId="7223">
        <row r="4">
          <cell r="I4">
            <v>0</v>
          </cell>
        </row>
      </sheetData>
      <sheetData sheetId="7224">
        <row r="4">
          <cell r="I4">
            <v>0</v>
          </cell>
        </row>
      </sheetData>
      <sheetData sheetId="7225">
        <row r="4">
          <cell r="I4">
            <v>0</v>
          </cell>
        </row>
      </sheetData>
      <sheetData sheetId="7226">
        <row r="4">
          <cell r="I4">
            <v>0</v>
          </cell>
        </row>
      </sheetData>
      <sheetData sheetId="7227">
        <row r="4">
          <cell r="I4">
            <v>0</v>
          </cell>
        </row>
      </sheetData>
      <sheetData sheetId="7228">
        <row r="4">
          <cell r="I4">
            <v>0</v>
          </cell>
        </row>
      </sheetData>
      <sheetData sheetId="7229">
        <row r="4">
          <cell r="I4">
            <v>0</v>
          </cell>
        </row>
      </sheetData>
      <sheetData sheetId="7230">
        <row r="4">
          <cell r="I4">
            <v>0</v>
          </cell>
        </row>
      </sheetData>
      <sheetData sheetId="7231">
        <row r="4">
          <cell r="I4">
            <v>0</v>
          </cell>
        </row>
      </sheetData>
      <sheetData sheetId="7232">
        <row r="4">
          <cell r="I4">
            <v>0</v>
          </cell>
        </row>
      </sheetData>
      <sheetData sheetId="7233">
        <row r="4">
          <cell r="I4">
            <v>0</v>
          </cell>
        </row>
      </sheetData>
      <sheetData sheetId="7234">
        <row r="4">
          <cell r="I4">
            <v>0</v>
          </cell>
        </row>
      </sheetData>
      <sheetData sheetId="7235">
        <row r="4">
          <cell r="I4">
            <v>0</v>
          </cell>
        </row>
      </sheetData>
      <sheetData sheetId="7236">
        <row r="4">
          <cell r="I4">
            <v>0</v>
          </cell>
        </row>
      </sheetData>
      <sheetData sheetId="7237">
        <row r="4">
          <cell r="I4">
            <v>0</v>
          </cell>
        </row>
      </sheetData>
      <sheetData sheetId="7238">
        <row r="4">
          <cell r="I4">
            <v>0</v>
          </cell>
        </row>
      </sheetData>
      <sheetData sheetId="7239">
        <row r="4">
          <cell r="I4">
            <v>0</v>
          </cell>
        </row>
      </sheetData>
      <sheetData sheetId="7240">
        <row r="4">
          <cell r="I4">
            <v>0</v>
          </cell>
        </row>
      </sheetData>
      <sheetData sheetId="7241">
        <row r="4">
          <cell r="I4">
            <v>0</v>
          </cell>
        </row>
      </sheetData>
      <sheetData sheetId="7242">
        <row r="4">
          <cell r="I4">
            <v>0</v>
          </cell>
        </row>
      </sheetData>
      <sheetData sheetId="7243">
        <row r="4">
          <cell r="I4">
            <v>0</v>
          </cell>
        </row>
      </sheetData>
      <sheetData sheetId="7244">
        <row r="4">
          <cell r="I4">
            <v>0</v>
          </cell>
        </row>
      </sheetData>
      <sheetData sheetId="7245">
        <row r="4">
          <cell r="I4">
            <v>0</v>
          </cell>
        </row>
      </sheetData>
      <sheetData sheetId="7246">
        <row r="4">
          <cell r="I4">
            <v>0</v>
          </cell>
        </row>
      </sheetData>
      <sheetData sheetId="7247">
        <row r="4">
          <cell r="I4">
            <v>0</v>
          </cell>
        </row>
      </sheetData>
      <sheetData sheetId="7248">
        <row r="4">
          <cell r="I4">
            <v>0</v>
          </cell>
        </row>
      </sheetData>
      <sheetData sheetId="7249">
        <row r="4">
          <cell r="I4">
            <v>0</v>
          </cell>
        </row>
      </sheetData>
      <sheetData sheetId="7250">
        <row r="4">
          <cell r="I4">
            <v>0</v>
          </cell>
        </row>
      </sheetData>
      <sheetData sheetId="7251">
        <row r="4">
          <cell r="I4">
            <v>0</v>
          </cell>
        </row>
      </sheetData>
      <sheetData sheetId="7252">
        <row r="4">
          <cell r="I4">
            <v>0</v>
          </cell>
        </row>
      </sheetData>
      <sheetData sheetId="7253">
        <row r="4">
          <cell r="I4">
            <v>0</v>
          </cell>
        </row>
      </sheetData>
      <sheetData sheetId="7254">
        <row r="4">
          <cell r="I4">
            <v>0</v>
          </cell>
        </row>
      </sheetData>
      <sheetData sheetId="7255">
        <row r="4">
          <cell r="I4">
            <v>0</v>
          </cell>
        </row>
      </sheetData>
      <sheetData sheetId="7256">
        <row r="4">
          <cell r="I4">
            <v>0</v>
          </cell>
        </row>
      </sheetData>
      <sheetData sheetId="7257">
        <row r="4">
          <cell r="I4">
            <v>0</v>
          </cell>
        </row>
      </sheetData>
      <sheetData sheetId="7258">
        <row r="4">
          <cell r="I4">
            <v>0</v>
          </cell>
        </row>
      </sheetData>
      <sheetData sheetId="7259">
        <row r="4">
          <cell r="I4">
            <v>0</v>
          </cell>
        </row>
      </sheetData>
      <sheetData sheetId="7260">
        <row r="4">
          <cell r="I4">
            <v>0</v>
          </cell>
        </row>
      </sheetData>
      <sheetData sheetId="7261">
        <row r="4">
          <cell r="I4">
            <v>0</v>
          </cell>
        </row>
      </sheetData>
      <sheetData sheetId="7262">
        <row r="4">
          <cell r="I4">
            <v>0</v>
          </cell>
        </row>
      </sheetData>
      <sheetData sheetId="7263">
        <row r="4">
          <cell r="I4">
            <v>0</v>
          </cell>
        </row>
      </sheetData>
      <sheetData sheetId="7264">
        <row r="4">
          <cell r="I4">
            <v>0</v>
          </cell>
        </row>
      </sheetData>
      <sheetData sheetId="7265">
        <row r="4">
          <cell r="I4">
            <v>0</v>
          </cell>
        </row>
      </sheetData>
      <sheetData sheetId="7266">
        <row r="4">
          <cell r="I4">
            <v>0</v>
          </cell>
        </row>
      </sheetData>
      <sheetData sheetId="7267">
        <row r="4">
          <cell r="I4">
            <v>0</v>
          </cell>
        </row>
      </sheetData>
      <sheetData sheetId="7268">
        <row r="4">
          <cell r="I4">
            <v>0</v>
          </cell>
        </row>
      </sheetData>
      <sheetData sheetId="7269">
        <row r="4">
          <cell r="I4">
            <v>0</v>
          </cell>
        </row>
      </sheetData>
      <sheetData sheetId="7270">
        <row r="4">
          <cell r="I4">
            <v>0</v>
          </cell>
        </row>
      </sheetData>
      <sheetData sheetId="7271">
        <row r="4">
          <cell r="I4">
            <v>0</v>
          </cell>
        </row>
      </sheetData>
      <sheetData sheetId="7272">
        <row r="4">
          <cell r="I4">
            <v>0</v>
          </cell>
        </row>
      </sheetData>
      <sheetData sheetId="7273">
        <row r="4">
          <cell r="I4">
            <v>0</v>
          </cell>
        </row>
      </sheetData>
      <sheetData sheetId="7274">
        <row r="4">
          <cell r="I4">
            <v>0</v>
          </cell>
        </row>
      </sheetData>
      <sheetData sheetId="7275">
        <row r="4">
          <cell r="I4">
            <v>0</v>
          </cell>
        </row>
      </sheetData>
      <sheetData sheetId="7276">
        <row r="4">
          <cell r="I4">
            <v>0</v>
          </cell>
        </row>
      </sheetData>
      <sheetData sheetId="7277">
        <row r="4">
          <cell r="I4">
            <v>0</v>
          </cell>
        </row>
      </sheetData>
      <sheetData sheetId="7278">
        <row r="4">
          <cell r="I4">
            <v>0</v>
          </cell>
        </row>
      </sheetData>
      <sheetData sheetId="7279">
        <row r="4">
          <cell r="I4">
            <v>0</v>
          </cell>
        </row>
      </sheetData>
      <sheetData sheetId="7280">
        <row r="4">
          <cell r="I4">
            <v>0</v>
          </cell>
        </row>
      </sheetData>
      <sheetData sheetId="7281">
        <row r="4">
          <cell r="I4">
            <v>0</v>
          </cell>
        </row>
      </sheetData>
      <sheetData sheetId="7282">
        <row r="4">
          <cell r="I4">
            <v>0</v>
          </cell>
        </row>
      </sheetData>
      <sheetData sheetId="7283">
        <row r="4">
          <cell r="I4">
            <v>0</v>
          </cell>
        </row>
      </sheetData>
      <sheetData sheetId="7284">
        <row r="4">
          <cell r="I4">
            <v>0</v>
          </cell>
        </row>
      </sheetData>
      <sheetData sheetId="7285">
        <row r="4">
          <cell r="I4">
            <v>0</v>
          </cell>
        </row>
      </sheetData>
      <sheetData sheetId="7286">
        <row r="4">
          <cell r="I4">
            <v>0</v>
          </cell>
        </row>
      </sheetData>
      <sheetData sheetId="7287">
        <row r="4">
          <cell r="I4">
            <v>0</v>
          </cell>
        </row>
      </sheetData>
      <sheetData sheetId="7288">
        <row r="4">
          <cell r="I4">
            <v>0</v>
          </cell>
        </row>
      </sheetData>
      <sheetData sheetId="7289">
        <row r="4">
          <cell r="I4">
            <v>0</v>
          </cell>
        </row>
      </sheetData>
      <sheetData sheetId="7290">
        <row r="4">
          <cell r="I4">
            <v>0</v>
          </cell>
        </row>
      </sheetData>
      <sheetData sheetId="7291">
        <row r="4">
          <cell r="I4">
            <v>0</v>
          </cell>
        </row>
      </sheetData>
      <sheetData sheetId="7292">
        <row r="4">
          <cell r="I4">
            <v>0</v>
          </cell>
        </row>
      </sheetData>
      <sheetData sheetId="7293">
        <row r="4">
          <cell r="I4">
            <v>0</v>
          </cell>
        </row>
      </sheetData>
      <sheetData sheetId="7294">
        <row r="4">
          <cell r="I4">
            <v>0</v>
          </cell>
        </row>
      </sheetData>
      <sheetData sheetId="7295">
        <row r="4">
          <cell r="I4">
            <v>0</v>
          </cell>
        </row>
      </sheetData>
      <sheetData sheetId="7296">
        <row r="4">
          <cell r="I4">
            <v>0</v>
          </cell>
        </row>
      </sheetData>
      <sheetData sheetId="7297">
        <row r="4">
          <cell r="I4">
            <v>0</v>
          </cell>
        </row>
      </sheetData>
      <sheetData sheetId="7298">
        <row r="4">
          <cell r="I4">
            <v>0</v>
          </cell>
        </row>
      </sheetData>
      <sheetData sheetId="7299">
        <row r="4">
          <cell r="I4">
            <v>0</v>
          </cell>
        </row>
      </sheetData>
      <sheetData sheetId="7300">
        <row r="4">
          <cell r="I4">
            <v>0</v>
          </cell>
        </row>
      </sheetData>
      <sheetData sheetId="7301">
        <row r="4">
          <cell r="I4">
            <v>0</v>
          </cell>
        </row>
      </sheetData>
      <sheetData sheetId="7302">
        <row r="4">
          <cell r="I4">
            <v>0</v>
          </cell>
        </row>
      </sheetData>
      <sheetData sheetId="7303">
        <row r="4">
          <cell r="I4">
            <v>0</v>
          </cell>
        </row>
      </sheetData>
      <sheetData sheetId="7304">
        <row r="4">
          <cell r="I4">
            <v>0</v>
          </cell>
        </row>
      </sheetData>
      <sheetData sheetId="7305">
        <row r="4">
          <cell r="I4">
            <v>0</v>
          </cell>
        </row>
      </sheetData>
      <sheetData sheetId="7306">
        <row r="4">
          <cell r="I4">
            <v>0</v>
          </cell>
        </row>
      </sheetData>
      <sheetData sheetId="7307">
        <row r="4">
          <cell r="I4">
            <v>0</v>
          </cell>
        </row>
      </sheetData>
      <sheetData sheetId="7308">
        <row r="4">
          <cell r="I4">
            <v>0</v>
          </cell>
        </row>
      </sheetData>
      <sheetData sheetId="7309">
        <row r="4">
          <cell r="I4">
            <v>0</v>
          </cell>
        </row>
      </sheetData>
      <sheetData sheetId="7310">
        <row r="4">
          <cell r="I4">
            <v>0</v>
          </cell>
        </row>
      </sheetData>
      <sheetData sheetId="7311">
        <row r="4">
          <cell r="I4">
            <v>0</v>
          </cell>
        </row>
      </sheetData>
      <sheetData sheetId="7312">
        <row r="4">
          <cell r="I4">
            <v>0</v>
          </cell>
        </row>
      </sheetData>
      <sheetData sheetId="7313">
        <row r="4">
          <cell r="I4">
            <v>0</v>
          </cell>
        </row>
      </sheetData>
      <sheetData sheetId="7314">
        <row r="4">
          <cell r="I4">
            <v>0</v>
          </cell>
        </row>
      </sheetData>
      <sheetData sheetId="7315">
        <row r="4">
          <cell r="I4">
            <v>0</v>
          </cell>
        </row>
      </sheetData>
      <sheetData sheetId="7316">
        <row r="4">
          <cell r="I4">
            <v>0</v>
          </cell>
        </row>
      </sheetData>
      <sheetData sheetId="7317">
        <row r="4">
          <cell r="I4">
            <v>0</v>
          </cell>
        </row>
      </sheetData>
      <sheetData sheetId="7318">
        <row r="4">
          <cell r="I4">
            <v>0</v>
          </cell>
        </row>
      </sheetData>
      <sheetData sheetId="7319">
        <row r="4">
          <cell r="I4">
            <v>0</v>
          </cell>
        </row>
      </sheetData>
      <sheetData sheetId="7320">
        <row r="4">
          <cell r="I4">
            <v>0</v>
          </cell>
        </row>
      </sheetData>
      <sheetData sheetId="7321">
        <row r="4">
          <cell r="I4">
            <v>0</v>
          </cell>
        </row>
      </sheetData>
      <sheetData sheetId="7322">
        <row r="4">
          <cell r="I4">
            <v>0</v>
          </cell>
        </row>
      </sheetData>
      <sheetData sheetId="7323">
        <row r="4">
          <cell r="I4">
            <v>0</v>
          </cell>
        </row>
      </sheetData>
      <sheetData sheetId="7324">
        <row r="4">
          <cell r="I4">
            <v>0</v>
          </cell>
        </row>
      </sheetData>
      <sheetData sheetId="7325">
        <row r="4">
          <cell r="I4">
            <v>0</v>
          </cell>
        </row>
      </sheetData>
      <sheetData sheetId="7326">
        <row r="4">
          <cell r="I4">
            <v>0</v>
          </cell>
        </row>
      </sheetData>
      <sheetData sheetId="7327">
        <row r="4">
          <cell r="I4">
            <v>0</v>
          </cell>
        </row>
      </sheetData>
      <sheetData sheetId="7328">
        <row r="4">
          <cell r="I4">
            <v>0</v>
          </cell>
        </row>
      </sheetData>
      <sheetData sheetId="7329">
        <row r="4">
          <cell r="I4">
            <v>0</v>
          </cell>
        </row>
      </sheetData>
      <sheetData sheetId="7330">
        <row r="4">
          <cell r="I4">
            <v>0</v>
          </cell>
        </row>
      </sheetData>
      <sheetData sheetId="7331">
        <row r="4">
          <cell r="I4">
            <v>0</v>
          </cell>
        </row>
      </sheetData>
      <sheetData sheetId="7332">
        <row r="4">
          <cell r="I4">
            <v>0</v>
          </cell>
        </row>
      </sheetData>
      <sheetData sheetId="7333">
        <row r="4">
          <cell r="I4">
            <v>0</v>
          </cell>
        </row>
      </sheetData>
      <sheetData sheetId="7334">
        <row r="4">
          <cell r="I4">
            <v>0</v>
          </cell>
        </row>
      </sheetData>
      <sheetData sheetId="7335">
        <row r="4">
          <cell r="I4">
            <v>0</v>
          </cell>
        </row>
      </sheetData>
      <sheetData sheetId="7336">
        <row r="4">
          <cell r="I4">
            <v>0</v>
          </cell>
        </row>
      </sheetData>
      <sheetData sheetId="7337">
        <row r="4">
          <cell r="I4">
            <v>0</v>
          </cell>
        </row>
      </sheetData>
      <sheetData sheetId="7338">
        <row r="4">
          <cell r="I4">
            <v>0</v>
          </cell>
        </row>
      </sheetData>
      <sheetData sheetId="7339">
        <row r="4">
          <cell r="I4">
            <v>0</v>
          </cell>
        </row>
      </sheetData>
      <sheetData sheetId="7340">
        <row r="4">
          <cell r="I4">
            <v>0</v>
          </cell>
        </row>
      </sheetData>
      <sheetData sheetId="7341">
        <row r="4">
          <cell r="I4">
            <v>0</v>
          </cell>
        </row>
      </sheetData>
      <sheetData sheetId="7342">
        <row r="4">
          <cell r="I4">
            <v>0</v>
          </cell>
        </row>
      </sheetData>
      <sheetData sheetId="7343">
        <row r="4">
          <cell r="I4">
            <v>0</v>
          </cell>
        </row>
      </sheetData>
      <sheetData sheetId="7344">
        <row r="4">
          <cell r="I4">
            <v>0</v>
          </cell>
        </row>
      </sheetData>
      <sheetData sheetId="7345">
        <row r="4">
          <cell r="I4">
            <v>0</v>
          </cell>
        </row>
      </sheetData>
      <sheetData sheetId="7346">
        <row r="4">
          <cell r="I4">
            <v>0</v>
          </cell>
        </row>
      </sheetData>
      <sheetData sheetId="7347">
        <row r="4">
          <cell r="I4">
            <v>0</v>
          </cell>
        </row>
      </sheetData>
      <sheetData sheetId="7348">
        <row r="4">
          <cell r="I4">
            <v>0</v>
          </cell>
        </row>
      </sheetData>
      <sheetData sheetId="7349">
        <row r="4">
          <cell r="I4">
            <v>0</v>
          </cell>
        </row>
      </sheetData>
      <sheetData sheetId="7350">
        <row r="4">
          <cell r="I4">
            <v>0</v>
          </cell>
        </row>
      </sheetData>
      <sheetData sheetId="7351">
        <row r="4">
          <cell r="I4">
            <v>0</v>
          </cell>
        </row>
      </sheetData>
      <sheetData sheetId="7352">
        <row r="4">
          <cell r="I4">
            <v>0</v>
          </cell>
        </row>
      </sheetData>
      <sheetData sheetId="7353">
        <row r="4">
          <cell r="I4">
            <v>0</v>
          </cell>
        </row>
      </sheetData>
      <sheetData sheetId="7354">
        <row r="4">
          <cell r="I4">
            <v>0</v>
          </cell>
        </row>
      </sheetData>
      <sheetData sheetId="7355">
        <row r="4">
          <cell r="I4">
            <v>0</v>
          </cell>
        </row>
      </sheetData>
      <sheetData sheetId="7356">
        <row r="4">
          <cell r="I4">
            <v>0</v>
          </cell>
        </row>
      </sheetData>
      <sheetData sheetId="7357">
        <row r="4">
          <cell r="I4">
            <v>0</v>
          </cell>
        </row>
      </sheetData>
      <sheetData sheetId="7358">
        <row r="4">
          <cell r="I4">
            <v>0</v>
          </cell>
        </row>
      </sheetData>
      <sheetData sheetId="7359">
        <row r="4">
          <cell r="I4">
            <v>0</v>
          </cell>
        </row>
      </sheetData>
      <sheetData sheetId="7360">
        <row r="4">
          <cell r="I4">
            <v>0</v>
          </cell>
        </row>
      </sheetData>
      <sheetData sheetId="7361">
        <row r="4">
          <cell r="I4">
            <v>0</v>
          </cell>
        </row>
      </sheetData>
      <sheetData sheetId="7362">
        <row r="4">
          <cell r="I4">
            <v>0</v>
          </cell>
        </row>
      </sheetData>
      <sheetData sheetId="7363">
        <row r="4">
          <cell r="I4">
            <v>0</v>
          </cell>
        </row>
      </sheetData>
      <sheetData sheetId="7364">
        <row r="4">
          <cell r="I4">
            <v>0</v>
          </cell>
        </row>
      </sheetData>
      <sheetData sheetId="7365">
        <row r="4">
          <cell r="I4">
            <v>0</v>
          </cell>
        </row>
      </sheetData>
      <sheetData sheetId="7366">
        <row r="4">
          <cell r="I4">
            <v>0</v>
          </cell>
        </row>
      </sheetData>
      <sheetData sheetId="7367">
        <row r="4">
          <cell r="I4">
            <v>0</v>
          </cell>
        </row>
      </sheetData>
      <sheetData sheetId="7368">
        <row r="4">
          <cell r="I4">
            <v>0</v>
          </cell>
        </row>
      </sheetData>
      <sheetData sheetId="7369">
        <row r="4">
          <cell r="I4">
            <v>0</v>
          </cell>
        </row>
      </sheetData>
      <sheetData sheetId="7370">
        <row r="4">
          <cell r="I4">
            <v>0</v>
          </cell>
        </row>
      </sheetData>
      <sheetData sheetId="7371">
        <row r="4">
          <cell r="I4">
            <v>0</v>
          </cell>
        </row>
      </sheetData>
      <sheetData sheetId="7372">
        <row r="4">
          <cell r="I4">
            <v>0</v>
          </cell>
        </row>
      </sheetData>
      <sheetData sheetId="7373">
        <row r="4">
          <cell r="I4">
            <v>0</v>
          </cell>
        </row>
      </sheetData>
      <sheetData sheetId="7374">
        <row r="4">
          <cell r="I4">
            <v>0</v>
          </cell>
        </row>
      </sheetData>
      <sheetData sheetId="7375">
        <row r="4">
          <cell r="I4">
            <v>0</v>
          </cell>
        </row>
      </sheetData>
      <sheetData sheetId="7376">
        <row r="4">
          <cell r="I4">
            <v>0</v>
          </cell>
        </row>
      </sheetData>
      <sheetData sheetId="7377">
        <row r="4">
          <cell r="I4">
            <v>0</v>
          </cell>
        </row>
      </sheetData>
      <sheetData sheetId="7378">
        <row r="4">
          <cell r="I4">
            <v>0</v>
          </cell>
        </row>
      </sheetData>
      <sheetData sheetId="7379">
        <row r="4">
          <cell r="I4">
            <v>0</v>
          </cell>
        </row>
      </sheetData>
      <sheetData sheetId="7380">
        <row r="4">
          <cell r="I4">
            <v>0</v>
          </cell>
        </row>
      </sheetData>
      <sheetData sheetId="7381">
        <row r="4">
          <cell r="I4">
            <v>0</v>
          </cell>
        </row>
      </sheetData>
      <sheetData sheetId="7382">
        <row r="4">
          <cell r="I4">
            <v>0</v>
          </cell>
        </row>
      </sheetData>
      <sheetData sheetId="7383">
        <row r="4">
          <cell r="I4">
            <v>0</v>
          </cell>
        </row>
      </sheetData>
      <sheetData sheetId="7384">
        <row r="4">
          <cell r="I4">
            <v>0</v>
          </cell>
        </row>
      </sheetData>
      <sheetData sheetId="7385">
        <row r="4">
          <cell r="I4">
            <v>0</v>
          </cell>
        </row>
      </sheetData>
      <sheetData sheetId="7386">
        <row r="4">
          <cell r="I4">
            <v>0</v>
          </cell>
        </row>
      </sheetData>
      <sheetData sheetId="7387">
        <row r="4">
          <cell r="I4">
            <v>0</v>
          </cell>
        </row>
      </sheetData>
      <sheetData sheetId="7388">
        <row r="4">
          <cell r="I4">
            <v>0</v>
          </cell>
        </row>
      </sheetData>
      <sheetData sheetId="7389">
        <row r="4">
          <cell r="I4">
            <v>0</v>
          </cell>
        </row>
      </sheetData>
      <sheetData sheetId="7390">
        <row r="4">
          <cell r="I4">
            <v>0</v>
          </cell>
        </row>
      </sheetData>
      <sheetData sheetId="7391">
        <row r="4">
          <cell r="I4">
            <v>0</v>
          </cell>
        </row>
      </sheetData>
      <sheetData sheetId="7392">
        <row r="4">
          <cell r="I4">
            <v>0</v>
          </cell>
        </row>
      </sheetData>
      <sheetData sheetId="7393">
        <row r="4">
          <cell r="I4">
            <v>0</v>
          </cell>
        </row>
      </sheetData>
      <sheetData sheetId="7394">
        <row r="4">
          <cell r="I4">
            <v>0</v>
          </cell>
        </row>
      </sheetData>
      <sheetData sheetId="7395">
        <row r="4">
          <cell r="I4">
            <v>0</v>
          </cell>
        </row>
      </sheetData>
      <sheetData sheetId="7396">
        <row r="4">
          <cell r="I4">
            <v>0</v>
          </cell>
        </row>
      </sheetData>
      <sheetData sheetId="7397">
        <row r="4">
          <cell r="I4">
            <v>0</v>
          </cell>
        </row>
      </sheetData>
      <sheetData sheetId="7398">
        <row r="4">
          <cell r="I4">
            <v>0</v>
          </cell>
        </row>
      </sheetData>
      <sheetData sheetId="7399">
        <row r="4">
          <cell r="I4">
            <v>0</v>
          </cell>
        </row>
      </sheetData>
      <sheetData sheetId="7400">
        <row r="4">
          <cell r="I4">
            <v>0</v>
          </cell>
        </row>
      </sheetData>
      <sheetData sheetId="7401">
        <row r="4">
          <cell r="I4">
            <v>0</v>
          </cell>
        </row>
      </sheetData>
      <sheetData sheetId="7402">
        <row r="4">
          <cell r="I4">
            <v>0</v>
          </cell>
        </row>
      </sheetData>
      <sheetData sheetId="7403">
        <row r="4">
          <cell r="I4">
            <v>0</v>
          </cell>
        </row>
      </sheetData>
      <sheetData sheetId="7404">
        <row r="4">
          <cell r="I4">
            <v>0</v>
          </cell>
        </row>
      </sheetData>
      <sheetData sheetId="7405">
        <row r="4">
          <cell r="I4">
            <v>0</v>
          </cell>
        </row>
      </sheetData>
      <sheetData sheetId="7406">
        <row r="4">
          <cell r="I4">
            <v>0</v>
          </cell>
        </row>
      </sheetData>
      <sheetData sheetId="7407">
        <row r="4">
          <cell r="I4">
            <v>0</v>
          </cell>
        </row>
      </sheetData>
      <sheetData sheetId="7408">
        <row r="4">
          <cell r="I4">
            <v>0</v>
          </cell>
        </row>
      </sheetData>
      <sheetData sheetId="7409">
        <row r="4">
          <cell r="I4">
            <v>0</v>
          </cell>
        </row>
      </sheetData>
      <sheetData sheetId="7410">
        <row r="4">
          <cell r="I4">
            <v>0</v>
          </cell>
        </row>
      </sheetData>
      <sheetData sheetId="7411">
        <row r="4">
          <cell r="I4">
            <v>0</v>
          </cell>
        </row>
      </sheetData>
      <sheetData sheetId="7412">
        <row r="4">
          <cell r="I4">
            <v>0</v>
          </cell>
        </row>
      </sheetData>
      <sheetData sheetId="7413">
        <row r="4">
          <cell r="I4">
            <v>0</v>
          </cell>
        </row>
      </sheetData>
      <sheetData sheetId="7414">
        <row r="4">
          <cell r="I4">
            <v>0</v>
          </cell>
        </row>
      </sheetData>
      <sheetData sheetId="7415">
        <row r="4">
          <cell r="I4">
            <v>0</v>
          </cell>
        </row>
      </sheetData>
      <sheetData sheetId="7416">
        <row r="4">
          <cell r="I4">
            <v>0</v>
          </cell>
        </row>
      </sheetData>
      <sheetData sheetId="7417">
        <row r="4">
          <cell r="I4">
            <v>0</v>
          </cell>
        </row>
      </sheetData>
      <sheetData sheetId="7418">
        <row r="4">
          <cell r="I4">
            <v>0</v>
          </cell>
        </row>
      </sheetData>
      <sheetData sheetId="7419">
        <row r="4">
          <cell r="I4">
            <v>0</v>
          </cell>
        </row>
      </sheetData>
      <sheetData sheetId="7420">
        <row r="4">
          <cell r="I4">
            <v>0</v>
          </cell>
        </row>
      </sheetData>
      <sheetData sheetId="7421">
        <row r="4">
          <cell r="I4">
            <v>0</v>
          </cell>
        </row>
      </sheetData>
      <sheetData sheetId="7422">
        <row r="4">
          <cell r="I4">
            <v>0</v>
          </cell>
        </row>
      </sheetData>
      <sheetData sheetId="7423">
        <row r="4">
          <cell r="I4">
            <v>0</v>
          </cell>
        </row>
      </sheetData>
      <sheetData sheetId="7424">
        <row r="4">
          <cell r="I4">
            <v>0</v>
          </cell>
        </row>
      </sheetData>
      <sheetData sheetId="7425">
        <row r="4">
          <cell r="I4">
            <v>0</v>
          </cell>
        </row>
      </sheetData>
      <sheetData sheetId="7426">
        <row r="4">
          <cell r="I4">
            <v>0</v>
          </cell>
        </row>
      </sheetData>
      <sheetData sheetId="7427">
        <row r="4">
          <cell r="I4">
            <v>0</v>
          </cell>
        </row>
      </sheetData>
      <sheetData sheetId="7428">
        <row r="4">
          <cell r="I4">
            <v>0</v>
          </cell>
        </row>
      </sheetData>
      <sheetData sheetId="7429">
        <row r="4">
          <cell r="I4">
            <v>0</v>
          </cell>
        </row>
      </sheetData>
      <sheetData sheetId="7430">
        <row r="4">
          <cell r="I4">
            <v>0</v>
          </cell>
        </row>
      </sheetData>
      <sheetData sheetId="7431">
        <row r="4">
          <cell r="I4">
            <v>0</v>
          </cell>
        </row>
      </sheetData>
      <sheetData sheetId="7432">
        <row r="4">
          <cell r="I4">
            <v>0</v>
          </cell>
        </row>
      </sheetData>
      <sheetData sheetId="7433">
        <row r="4">
          <cell r="I4">
            <v>0</v>
          </cell>
        </row>
      </sheetData>
      <sheetData sheetId="7434">
        <row r="4">
          <cell r="I4">
            <v>0</v>
          </cell>
        </row>
      </sheetData>
      <sheetData sheetId="7435">
        <row r="4">
          <cell r="I4">
            <v>0</v>
          </cell>
        </row>
      </sheetData>
      <sheetData sheetId="7436">
        <row r="4">
          <cell r="I4">
            <v>0</v>
          </cell>
        </row>
      </sheetData>
      <sheetData sheetId="7437">
        <row r="4">
          <cell r="I4">
            <v>0</v>
          </cell>
        </row>
      </sheetData>
      <sheetData sheetId="7438">
        <row r="4">
          <cell r="I4">
            <v>0</v>
          </cell>
        </row>
      </sheetData>
      <sheetData sheetId="7439">
        <row r="4">
          <cell r="I4">
            <v>0</v>
          </cell>
        </row>
      </sheetData>
      <sheetData sheetId="7440">
        <row r="4">
          <cell r="I4">
            <v>0</v>
          </cell>
        </row>
      </sheetData>
      <sheetData sheetId="7441">
        <row r="4">
          <cell r="I4">
            <v>0</v>
          </cell>
        </row>
      </sheetData>
      <sheetData sheetId="7442">
        <row r="4">
          <cell r="I4">
            <v>0</v>
          </cell>
        </row>
      </sheetData>
      <sheetData sheetId="7443">
        <row r="4">
          <cell r="I4">
            <v>0</v>
          </cell>
        </row>
      </sheetData>
      <sheetData sheetId="7444">
        <row r="4">
          <cell r="I4">
            <v>0</v>
          </cell>
        </row>
      </sheetData>
      <sheetData sheetId="7445">
        <row r="4">
          <cell r="I4">
            <v>0</v>
          </cell>
        </row>
      </sheetData>
      <sheetData sheetId="7446">
        <row r="4">
          <cell r="I4">
            <v>0</v>
          </cell>
        </row>
      </sheetData>
      <sheetData sheetId="7447">
        <row r="4">
          <cell r="I4">
            <v>0</v>
          </cell>
        </row>
      </sheetData>
      <sheetData sheetId="7448">
        <row r="4">
          <cell r="I4">
            <v>0</v>
          </cell>
        </row>
      </sheetData>
      <sheetData sheetId="7449">
        <row r="4">
          <cell r="I4">
            <v>0</v>
          </cell>
        </row>
      </sheetData>
      <sheetData sheetId="7450">
        <row r="4">
          <cell r="I4">
            <v>0</v>
          </cell>
        </row>
      </sheetData>
      <sheetData sheetId="7451">
        <row r="4">
          <cell r="I4">
            <v>0</v>
          </cell>
        </row>
      </sheetData>
      <sheetData sheetId="7452">
        <row r="4">
          <cell r="I4">
            <v>0</v>
          </cell>
        </row>
      </sheetData>
      <sheetData sheetId="7453">
        <row r="4">
          <cell r="I4">
            <v>0</v>
          </cell>
        </row>
      </sheetData>
      <sheetData sheetId="7454">
        <row r="4">
          <cell r="I4">
            <v>0</v>
          </cell>
        </row>
      </sheetData>
      <sheetData sheetId="7455">
        <row r="4">
          <cell r="I4">
            <v>0</v>
          </cell>
        </row>
      </sheetData>
      <sheetData sheetId="7456">
        <row r="4">
          <cell r="I4">
            <v>0</v>
          </cell>
        </row>
      </sheetData>
      <sheetData sheetId="7457">
        <row r="4">
          <cell r="I4">
            <v>0</v>
          </cell>
        </row>
      </sheetData>
      <sheetData sheetId="7458">
        <row r="4">
          <cell r="I4">
            <v>0</v>
          </cell>
        </row>
      </sheetData>
      <sheetData sheetId="7459">
        <row r="4">
          <cell r="I4">
            <v>0</v>
          </cell>
        </row>
      </sheetData>
      <sheetData sheetId="7460">
        <row r="4">
          <cell r="I4">
            <v>0</v>
          </cell>
        </row>
      </sheetData>
      <sheetData sheetId="7461">
        <row r="4">
          <cell r="I4">
            <v>0</v>
          </cell>
        </row>
      </sheetData>
      <sheetData sheetId="7462">
        <row r="4">
          <cell r="I4">
            <v>0</v>
          </cell>
        </row>
      </sheetData>
      <sheetData sheetId="7463">
        <row r="4">
          <cell r="I4">
            <v>0</v>
          </cell>
        </row>
      </sheetData>
      <sheetData sheetId="7464">
        <row r="4">
          <cell r="I4">
            <v>0</v>
          </cell>
        </row>
      </sheetData>
      <sheetData sheetId="7465">
        <row r="4">
          <cell r="I4">
            <v>0</v>
          </cell>
        </row>
      </sheetData>
      <sheetData sheetId="7466">
        <row r="4">
          <cell r="I4">
            <v>0</v>
          </cell>
        </row>
      </sheetData>
      <sheetData sheetId="7467">
        <row r="4">
          <cell r="I4">
            <v>0</v>
          </cell>
        </row>
      </sheetData>
      <sheetData sheetId="7468">
        <row r="4">
          <cell r="I4">
            <v>0</v>
          </cell>
        </row>
      </sheetData>
      <sheetData sheetId="7469">
        <row r="4">
          <cell r="I4">
            <v>0</v>
          </cell>
        </row>
      </sheetData>
      <sheetData sheetId="7470">
        <row r="4">
          <cell r="I4">
            <v>0</v>
          </cell>
        </row>
      </sheetData>
      <sheetData sheetId="7471">
        <row r="4">
          <cell r="I4">
            <v>0</v>
          </cell>
        </row>
      </sheetData>
      <sheetData sheetId="7472">
        <row r="4">
          <cell r="I4">
            <v>0</v>
          </cell>
        </row>
      </sheetData>
      <sheetData sheetId="7473">
        <row r="4">
          <cell r="I4">
            <v>0</v>
          </cell>
        </row>
      </sheetData>
      <sheetData sheetId="7474">
        <row r="4">
          <cell r="I4">
            <v>0</v>
          </cell>
        </row>
      </sheetData>
      <sheetData sheetId="7475">
        <row r="4">
          <cell r="I4">
            <v>0</v>
          </cell>
        </row>
      </sheetData>
      <sheetData sheetId="7476">
        <row r="4">
          <cell r="I4">
            <v>0</v>
          </cell>
        </row>
      </sheetData>
      <sheetData sheetId="7477">
        <row r="4">
          <cell r="I4">
            <v>0</v>
          </cell>
        </row>
      </sheetData>
      <sheetData sheetId="7478">
        <row r="4">
          <cell r="I4">
            <v>0</v>
          </cell>
        </row>
      </sheetData>
      <sheetData sheetId="7479">
        <row r="4">
          <cell r="I4">
            <v>0</v>
          </cell>
        </row>
      </sheetData>
      <sheetData sheetId="7480">
        <row r="4">
          <cell r="I4">
            <v>0</v>
          </cell>
        </row>
      </sheetData>
      <sheetData sheetId="7481">
        <row r="4">
          <cell r="I4">
            <v>0</v>
          </cell>
        </row>
      </sheetData>
      <sheetData sheetId="7482">
        <row r="4">
          <cell r="I4">
            <v>0</v>
          </cell>
        </row>
      </sheetData>
      <sheetData sheetId="7483">
        <row r="4">
          <cell r="I4">
            <v>0</v>
          </cell>
        </row>
      </sheetData>
      <sheetData sheetId="7484">
        <row r="4">
          <cell r="I4">
            <v>0</v>
          </cell>
        </row>
      </sheetData>
      <sheetData sheetId="7485">
        <row r="4">
          <cell r="I4">
            <v>0</v>
          </cell>
        </row>
      </sheetData>
      <sheetData sheetId="7486">
        <row r="4">
          <cell r="I4">
            <v>0</v>
          </cell>
        </row>
      </sheetData>
      <sheetData sheetId="7487">
        <row r="4">
          <cell r="I4">
            <v>0</v>
          </cell>
        </row>
      </sheetData>
      <sheetData sheetId="7488">
        <row r="4">
          <cell r="I4">
            <v>0</v>
          </cell>
        </row>
      </sheetData>
      <sheetData sheetId="7489">
        <row r="4">
          <cell r="I4">
            <v>0</v>
          </cell>
        </row>
      </sheetData>
      <sheetData sheetId="7490">
        <row r="4">
          <cell r="I4">
            <v>0</v>
          </cell>
        </row>
      </sheetData>
      <sheetData sheetId="7491">
        <row r="4">
          <cell r="I4">
            <v>0</v>
          </cell>
        </row>
      </sheetData>
      <sheetData sheetId="7492">
        <row r="4">
          <cell r="I4">
            <v>0</v>
          </cell>
        </row>
      </sheetData>
      <sheetData sheetId="7493">
        <row r="4">
          <cell r="I4">
            <v>0</v>
          </cell>
        </row>
      </sheetData>
      <sheetData sheetId="7494">
        <row r="4">
          <cell r="I4">
            <v>0</v>
          </cell>
        </row>
      </sheetData>
      <sheetData sheetId="7495">
        <row r="4">
          <cell r="I4">
            <v>0</v>
          </cell>
        </row>
      </sheetData>
      <sheetData sheetId="7496">
        <row r="4">
          <cell r="I4">
            <v>0</v>
          </cell>
        </row>
      </sheetData>
      <sheetData sheetId="7497">
        <row r="4">
          <cell r="I4">
            <v>0</v>
          </cell>
        </row>
      </sheetData>
      <sheetData sheetId="7498">
        <row r="4">
          <cell r="I4">
            <v>0</v>
          </cell>
        </row>
      </sheetData>
      <sheetData sheetId="7499">
        <row r="4">
          <cell r="I4">
            <v>0</v>
          </cell>
        </row>
      </sheetData>
      <sheetData sheetId="7500">
        <row r="4">
          <cell r="I4">
            <v>0</v>
          </cell>
        </row>
      </sheetData>
      <sheetData sheetId="7501">
        <row r="4">
          <cell r="I4">
            <v>0</v>
          </cell>
        </row>
      </sheetData>
      <sheetData sheetId="7502">
        <row r="4">
          <cell r="I4">
            <v>0</v>
          </cell>
        </row>
      </sheetData>
      <sheetData sheetId="7503">
        <row r="4">
          <cell r="I4">
            <v>0</v>
          </cell>
        </row>
      </sheetData>
      <sheetData sheetId="7504">
        <row r="4">
          <cell r="I4">
            <v>0</v>
          </cell>
        </row>
      </sheetData>
      <sheetData sheetId="7505">
        <row r="4">
          <cell r="I4">
            <v>0</v>
          </cell>
        </row>
      </sheetData>
      <sheetData sheetId="7506">
        <row r="4">
          <cell r="I4">
            <v>0</v>
          </cell>
        </row>
      </sheetData>
      <sheetData sheetId="7507">
        <row r="4">
          <cell r="I4">
            <v>0</v>
          </cell>
        </row>
      </sheetData>
      <sheetData sheetId="7508">
        <row r="4">
          <cell r="I4">
            <v>0</v>
          </cell>
        </row>
      </sheetData>
      <sheetData sheetId="7509">
        <row r="4">
          <cell r="I4">
            <v>0</v>
          </cell>
        </row>
      </sheetData>
      <sheetData sheetId="7510">
        <row r="4">
          <cell r="I4">
            <v>0</v>
          </cell>
        </row>
      </sheetData>
      <sheetData sheetId="7511">
        <row r="4">
          <cell r="I4">
            <v>0</v>
          </cell>
        </row>
      </sheetData>
      <sheetData sheetId="7512">
        <row r="4">
          <cell r="I4">
            <v>0</v>
          </cell>
        </row>
      </sheetData>
      <sheetData sheetId="7513">
        <row r="4">
          <cell r="I4">
            <v>0</v>
          </cell>
        </row>
      </sheetData>
      <sheetData sheetId="7514">
        <row r="4">
          <cell r="I4">
            <v>0</v>
          </cell>
        </row>
      </sheetData>
      <sheetData sheetId="7515">
        <row r="4">
          <cell r="I4">
            <v>0</v>
          </cell>
        </row>
      </sheetData>
      <sheetData sheetId="7516">
        <row r="4">
          <cell r="I4">
            <v>0</v>
          </cell>
        </row>
      </sheetData>
      <sheetData sheetId="7517">
        <row r="4">
          <cell r="I4">
            <v>0</v>
          </cell>
        </row>
      </sheetData>
      <sheetData sheetId="7518">
        <row r="4">
          <cell r="I4">
            <v>0</v>
          </cell>
        </row>
      </sheetData>
      <sheetData sheetId="7519">
        <row r="4">
          <cell r="I4">
            <v>0</v>
          </cell>
        </row>
      </sheetData>
      <sheetData sheetId="7520">
        <row r="4">
          <cell r="I4">
            <v>0</v>
          </cell>
        </row>
      </sheetData>
      <sheetData sheetId="7521">
        <row r="4">
          <cell r="I4">
            <v>0</v>
          </cell>
        </row>
      </sheetData>
      <sheetData sheetId="7522">
        <row r="4">
          <cell r="I4">
            <v>0</v>
          </cell>
        </row>
      </sheetData>
      <sheetData sheetId="7523">
        <row r="4">
          <cell r="I4">
            <v>0</v>
          </cell>
        </row>
      </sheetData>
      <sheetData sheetId="7524">
        <row r="4">
          <cell r="I4">
            <v>0</v>
          </cell>
        </row>
      </sheetData>
      <sheetData sheetId="7525">
        <row r="4">
          <cell r="I4">
            <v>0</v>
          </cell>
        </row>
      </sheetData>
      <sheetData sheetId="7526">
        <row r="4">
          <cell r="I4">
            <v>0</v>
          </cell>
        </row>
      </sheetData>
      <sheetData sheetId="7527">
        <row r="4">
          <cell r="I4">
            <v>0</v>
          </cell>
        </row>
      </sheetData>
      <sheetData sheetId="7528">
        <row r="4">
          <cell r="I4">
            <v>0</v>
          </cell>
        </row>
      </sheetData>
      <sheetData sheetId="7529">
        <row r="4">
          <cell r="I4">
            <v>0</v>
          </cell>
        </row>
      </sheetData>
      <sheetData sheetId="7530">
        <row r="4">
          <cell r="I4">
            <v>0</v>
          </cell>
        </row>
      </sheetData>
      <sheetData sheetId="7531">
        <row r="4">
          <cell r="I4">
            <v>0</v>
          </cell>
        </row>
      </sheetData>
      <sheetData sheetId="7532">
        <row r="4">
          <cell r="I4">
            <v>0</v>
          </cell>
        </row>
      </sheetData>
      <sheetData sheetId="7533">
        <row r="4">
          <cell r="I4">
            <v>0</v>
          </cell>
        </row>
      </sheetData>
      <sheetData sheetId="7534">
        <row r="4">
          <cell r="I4">
            <v>0</v>
          </cell>
        </row>
      </sheetData>
      <sheetData sheetId="7535">
        <row r="4">
          <cell r="I4">
            <v>0</v>
          </cell>
        </row>
      </sheetData>
      <sheetData sheetId="7536">
        <row r="4">
          <cell r="I4">
            <v>0</v>
          </cell>
        </row>
      </sheetData>
      <sheetData sheetId="7537">
        <row r="4">
          <cell r="I4">
            <v>0</v>
          </cell>
        </row>
      </sheetData>
      <sheetData sheetId="7538">
        <row r="4">
          <cell r="I4">
            <v>0</v>
          </cell>
        </row>
      </sheetData>
      <sheetData sheetId="7539">
        <row r="4">
          <cell r="I4">
            <v>0</v>
          </cell>
        </row>
      </sheetData>
      <sheetData sheetId="7540">
        <row r="4">
          <cell r="I4">
            <v>0</v>
          </cell>
        </row>
      </sheetData>
      <sheetData sheetId="7541">
        <row r="4">
          <cell r="I4">
            <v>0</v>
          </cell>
        </row>
      </sheetData>
      <sheetData sheetId="7542">
        <row r="4">
          <cell r="I4">
            <v>0</v>
          </cell>
        </row>
      </sheetData>
      <sheetData sheetId="7543">
        <row r="4">
          <cell r="I4">
            <v>0</v>
          </cell>
        </row>
      </sheetData>
      <sheetData sheetId="7544">
        <row r="4">
          <cell r="I4">
            <v>0</v>
          </cell>
        </row>
      </sheetData>
      <sheetData sheetId="7545">
        <row r="4">
          <cell r="I4">
            <v>0</v>
          </cell>
        </row>
      </sheetData>
      <sheetData sheetId="7546">
        <row r="4">
          <cell r="I4">
            <v>0</v>
          </cell>
        </row>
      </sheetData>
      <sheetData sheetId="7547">
        <row r="4">
          <cell r="I4">
            <v>0</v>
          </cell>
        </row>
      </sheetData>
      <sheetData sheetId="7548">
        <row r="4">
          <cell r="I4">
            <v>0</v>
          </cell>
        </row>
      </sheetData>
      <sheetData sheetId="7549">
        <row r="4">
          <cell r="I4">
            <v>0</v>
          </cell>
        </row>
      </sheetData>
      <sheetData sheetId="7550">
        <row r="4">
          <cell r="I4">
            <v>0</v>
          </cell>
        </row>
      </sheetData>
      <sheetData sheetId="7551">
        <row r="4">
          <cell r="I4">
            <v>0</v>
          </cell>
        </row>
      </sheetData>
      <sheetData sheetId="7552">
        <row r="4">
          <cell r="I4">
            <v>0</v>
          </cell>
        </row>
      </sheetData>
      <sheetData sheetId="7553">
        <row r="4">
          <cell r="I4">
            <v>0</v>
          </cell>
        </row>
      </sheetData>
      <sheetData sheetId="7554">
        <row r="4">
          <cell r="I4">
            <v>0</v>
          </cell>
        </row>
      </sheetData>
      <sheetData sheetId="7555">
        <row r="4">
          <cell r="I4">
            <v>0</v>
          </cell>
        </row>
      </sheetData>
      <sheetData sheetId="7556">
        <row r="4">
          <cell r="I4">
            <v>0</v>
          </cell>
        </row>
      </sheetData>
      <sheetData sheetId="7557">
        <row r="4">
          <cell r="I4">
            <v>0</v>
          </cell>
        </row>
      </sheetData>
      <sheetData sheetId="7558">
        <row r="4">
          <cell r="I4">
            <v>0</v>
          </cell>
        </row>
      </sheetData>
      <sheetData sheetId="7559">
        <row r="4">
          <cell r="I4">
            <v>0</v>
          </cell>
        </row>
      </sheetData>
      <sheetData sheetId="7560">
        <row r="4">
          <cell r="I4">
            <v>0</v>
          </cell>
        </row>
      </sheetData>
      <sheetData sheetId="7561">
        <row r="4">
          <cell r="I4">
            <v>0</v>
          </cell>
        </row>
      </sheetData>
      <sheetData sheetId="7562">
        <row r="4">
          <cell r="I4">
            <v>0</v>
          </cell>
        </row>
      </sheetData>
      <sheetData sheetId="7563">
        <row r="4">
          <cell r="I4">
            <v>0</v>
          </cell>
        </row>
      </sheetData>
      <sheetData sheetId="7564">
        <row r="4">
          <cell r="I4">
            <v>0</v>
          </cell>
        </row>
      </sheetData>
      <sheetData sheetId="7565">
        <row r="4">
          <cell r="I4">
            <v>0</v>
          </cell>
        </row>
      </sheetData>
      <sheetData sheetId="7566">
        <row r="4">
          <cell r="I4">
            <v>0</v>
          </cell>
        </row>
      </sheetData>
      <sheetData sheetId="7567">
        <row r="4">
          <cell r="I4">
            <v>0</v>
          </cell>
        </row>
      </sheetData>
      <sheetData sheetId="7568">
        <row r="4">
          <cell r="I4">
            <v>0</v>
          </cell>
        </row>
      </sheetData>
      <sheetData sheetId="7569">
        <row r="4">
          <cell r="I4">
            <v>0</v>
          </cell>
        </row>
      </sheetData>
      <sheetData sheetId="7570">
        <row r="4">
          <cell r="I4">
            <v>0</v>
          </cell>
        </row>
      </sheetData>
      <sheetData sheetId="7571">
        <row r="4">
          <cell r="I4">
            <v>0</v>
          </cell>
        </row>
      </sheetData>
      <sheetData sheetId="7572">
        <row r="4">
          <cell r="I4">
            <v>0</v>
          </cell>
        </row>
      </sheetData>
      <sheetData sheetId="7573">
        <row r="4">
          <cell r="I4">
            <v>0</v>
          </cell>
        </row>
      </sheetData>
      <sheetData sheetId="7574">
        <row r="4">
          <cell r="I4">
            <v>0</v>
          </cell>
        </row>
      </sheetData>
      <sheetData sheetId="7575">
        <row r="4">
          <cell r="I4">
            <v>0</v>
          </cell>
        </row>
      </sheetData>
      <sheetData sheetId="7576">
        <row r="4">
          <cell r="I4">
            <v>0</v>
          </cell>
        </row>
      </sheetData>
      <sheetData sheetId="7577">
        <row r="4">
          <cell r="I4">
            <v>0</v>
          </cell>
        </row>
      </sheetData>
      <sheetData sheetId="7578">
        <row r="4">
          <cell r="I4">
            <v>0</v>
          </cell>
        </row>
      </sheetData>
      <sheetData sheetId="7579">
        <row r="4">
          <cell r="I4">
            <v>0</v>
          </cell>
        </row>
      </sheetData>
      <sheetData sheetId="7580">
        <row r="4">
          <cell r="I4">
            <v>0</v>
          </cell>
        </row>
      </sheetData>
      <sheetData sheetId="7581">
        <row r="4">
          <cell r="I4">
            <v>0</v>
          </cell>
        </row>
      </sheetData>
      <sheetData sheetId="7582">
        <row r="4">
          <cell r="I4">
            <v>0</v>
          </cell>
        </row>
      </sheetData>
      <sheetData sheetId="7583">
        <row r="4">
          <cell r="I4">
            <v>0</v>
          </cell>
        </row>
      </sheetData>
      <sheetData sheetId="7584">
        <row r="4">
          <cell r="I4">
            <v>0</v>
          </cell>
        </row>
      </sheetData>
      <sheetData sheetId="7585">
        <row r="4">
          <cell r="I4">
            <v>0</v>
          </cell>
        </row>
      </sheetData>
      <sheetData sheetId="7586">
        <row r="4">
          <cell r="I4">
            <v>0</v>
          </cell>
        </row>
      </sheetData>
      <sheetData sheetId="7587">
        <row r="4">
          <cell r="I4">
            <v>0</v>
          </cell>
        </row>
      </sheetData>
      <sheetData sheetId="7588">
        <row r="4">
          <cell r="I4">
            <v>0</v>
          </cell>
        </row>
      </sheetData>
      <sheetData sheetId="7589">
        <row r="4">
          <cell r="I4">
            <v>0</v>
          </cell>
        </row>
      </sheetData>
      <sheetData sheetId="7590">
        <row r="4">
          <cell r="I4">
            <v>0</v>
          </cell>
        </row>
      </sheetData>
      <sheetData sheetId="7591">
        <row r="4">
          <cell r="I4">
            <v>0</v>
          </cell>
        </row>
      </sheetData>
      <sheetData sheetId="7592">
        <row r="4">
          <cell r="I4">
            <v>0</v>
          </cell>
        </row>
      </sheetData>
      <sheetData sheetId="7593">
        <row r="4">
          <cell r="I4">
            <v>0</v>
          </cell>
        </row>
      </sheetData>
      <sheetData sheetId="7594">
        <row r="4">
          <cell r="I4">
            <v>0</v>
          </cell>
        </row>
      </sheetData>
      <sheetData sheetId="7595">
        <row r="4">
          <cell r="I4">
            <v>0</v>
          </cell>
        </row>
      </sheetData>
      <sheetData sheetId="7596">
        <row r="4">
          <cell r="I4">
            <v>0</v>
          </cell>
        </row>
      </sheetData>
      <sheetData sheetId="7597">
        <row r="4">
          <cell r="I4">
            <v>0</v>
          </cell>
        </row>
      </sheetData>
      <sheetData sheetId="7598">
        <row r="4">
          <cell r="I4">
            <v>0</v>
          </cell>
        </row>
      </sheetData>
      <sheetData sheetId="7599">
        <row r="4">
          <cell r="I4">
            <v>0</v>
          </cell>
        </row>
      </sheetData>
      <sheetData sheetId="7600">
        <row r="4">
          <cell r="I4">
            <v>0</v>
          </cell>
        </row>
      </sheetData>
      <sheetData sheetId="7601">
        <row r="4">
          <cell r="I4">
            <v>0</v>
          </cell>
        </row>
      </sheetData>
      <sheetData sheetId="7602">
        <row r="4">
          <cell r="I4">
            <v>0</v>
          </cell>
        </row>
      </sheetData>
      <sheetData sheetId="7603">
        <row r="4">
          <cell r="I4">
            <v>0</v>
          </cell>
        </row>
      </sheetData>
      <sheetData sheetId="7604">
        <row r="4">
          <cell r="I4">
            <v>0</v>
          </cell>
        </row>
      </sheetData>
      <sheetData sheetId="7605">
        <row r="4">
          <cell r="I4">
            <v>0</v>
          </cell>
        </row>
      </sheetData>
      <sheetData sheetId="7606">
        <row r="4">
          <cell r="I4">
            <v>0</v>
          </cell>
        </row>
      </sheetData>
      <sheetData sheetId="7607">
        <row r="4">
          <cell r="I4">
            <v>0</v>
          </cell>
        </row>
      </sheetData>
      <sheetData sheetId="7608">
        <row r="4">
          <cell r="I4">
            <v>0</v>
          </cell>
        </row>
      </sheetData>
      <sheetData sheetId="7609">
        <row r="4">
          <cell r="I4">
            <v>0</v>
          </cell>
        </row>
      </sheetData>
      <sheetData sheetId="7610">
        <row r="4">
          <cell r="I4">
            <v>0</v>
          </cell>
        </row>
      </sheetData>
      <sheetData sheetId="7611">
        <row r="4">
          <cell r="I4">
            <v>0</v>
          </cell>
        </row>
      </sheetData>
      <sheetData sheetId="7612">
        <row r="4">
          <cell r="I4">
            <v>0</v>
          </cell>
        </row>
      </sheetData>
      <sheetData sheetId="7613">
        <row r="4">
          <cell r="I4">
            <v>0</v>
          </cell>
        </row>
      </sheetData>
      <sheetData sheetId="7614">
        <row r="4">
          <cell r="I4">
            <v>0</v>
          </cell>
        </row>
      </sheetData>
      <sheetData sheetId="7615">
        <row r="4">
          <cell r="I4">
            <v>0</v>
          </cell>
        </row>
      </sheetData>
      <sheetData sheetId="7616">
        <row r="4">
          <cell r="I4">
            <v>0</v>
          </cell>
        </row>
      </sheetData>
      <sheetData sheetId="7617">
        <row r="4">
          <cell r="I4">
            <v>0</v>
          </cell>
        </row>
      </sheetData>
      <sheetData sheetId="7618">
        <row r="4">
          <cell r="I4">
            <v>0</v>
          </cell>
        </row>
      </sheetData>
      <sheetData sheetId="7619">
        <row r="4">
          <cell r="I4">
            <v>0</v>
          </cell>
        </row>
      </sheetData>
      <sheetData sheetId="7620">
        <row r="4">
          <cell r="I4">
            <v>0</v>
          </cell>
        </row>
      </sheetData>
      <sheetData sheetId="7621">
        <row r="4">
          <cell r="I4">
            <v>0</v>
          </cell>
        </row>
      </sheetData>
      <sheetData sheetId="7622">
        <row r="4">
          <cell r="I4">
            <v>0</v>
          </cell>
        </row>
      </sheetData>
      <sheetData sheetId="7623">
        <row r="4">
          <cell r="I4">
            <v>0</v>
          </cell>
        </row>
      </sheetData>
      <sheetData sheetId="7624">
        <row r="4">
          <cell r="I4">
            <v>0</v>
          </cell>
        </row>
      </sheetData>
      <sheetData sheetId="7625">
        <row r="4">
          <cell r="I4">
            <v>0</v>
          </cell>
        </row>
      </sheetData>
      <sheetData sheetId="7626">
        <row r="4">
          <cell r="I4">
            <v>0</v>
          </cell>
        </row>
      </sheetData>
      <sheetData sheetId="7627">
        <row r="4">
          <cell r="I4">
            <v>0</v>
          </cell>
        </row>
      </sheetData>
      <sheetData sheetId="7628">
        <row r="4">
          <cell r="I4">
            <v>0</v>
          </cell>
        </row>
      </sheetData>
      <sheetData sheetId="7629">
        <row r="4">
          <cell r="I4">
            <v>0</v>
          </cell>
        </row>
      </sheetData>
      <sheetData sheetId="7630">
        <row r="4">
          <cell r="I4">
            <v>0</v>
          </cell>
        </row>
      </sheetData>
      <sheetData sheetId="7631">
        <row r="4">
          <cell r="I4">
            <v>0</v>
          </cell>
        </row>
      </sheetData>
      <sheetData sheetId="7632">
        <row r="4">
          <cell r="I4">
            <v>0</v>
          </cell>
        </row>
      </sheetData>
      <sheetData sheetId="7633">
        <row r="4">
          <cell r="I4">
            <v>0</v>
          </cell>
        </row>
      </sheetData>
      <sheetData sheetId="7634">
        <row r="4">
          <cell r="I4">
            <v>0</v>
          </cell>
        </row>
      </sheetData>
      <sheetData sheetId="7635">
        <row r="4">
          <cell r="I4">
            <v>0</v>
          </cell>
        </row>
      </sheetData>
      <sheetData sheetId="7636">
        <row r="4">
          <cell r="I4">
            <v>0</v>
          </cell>
        </row>
      </sheetData>
      <sheetData sheetId="7637">
        <row r="4">
          <cell r="I4">
            <v>0</v>
          </cell>
        </row>
      </sheetData>
      <sheetData sheetId="7638">
        <row r="4">
          <cell r="I4">
            <v>0</v>
          </cell>
        </row>
      </sheetData>
      <sheetData sheetId="7639">
        <row r="4">
          <cell r="I4">
            <v>0</v>
          </cell>
        </row>
      </sheetData>
      <sheetData sheetId="7640">
        <row r="4">
          <cell r="I4">
            <v>0</v>
          </cell>
        </row>
      </sheetData>
      <sheetData sheetId="7641">
        <row r="4">
          <cell r="I4">
            <v>0</v>
          </cell>
        </row>
      </sheetData>
      <sheetData sheetId="7642">
        <row r="4">
          <cell r="I4">
            <v>0</v>
          </cell>
        </row>
      </sheetData>
      <sheetData sheetId="7643">
        <row r="4">
          <cell r="I4">
            <v>0</v>
          </cell>
        </row>
      </sheetData>
      <sheetData sheetId="7644">
        <row r="4">
          <cell r="I4">
            <v>0</v>
          </cell>
        </row>
      </sheetData>
      <sheetData sheetId="7645">
        <row r="4">
          <cell r="I4">
            <v>0</v>
          </cell>
        </row>
      </sheetData>
      <sheetData sheetId="7646">
        <row r="4">
          <cell r="I4">
            <v>0</v>
          </cell>
        </row>
      </sheetData>
      <sheetData sheetId="7647">
        <row r="4">
          <cell r="I4">
            <v>0</v>
          </cell>
        </row>
      </sheetData>
      <sheetData sheetId="7648">
        <row r="4">
          <cell r="I4">
            <v>0</v>
          </cell>
        </row>
      </sheetData>
      <sheetData sheetId="7649">
        <row r="4">
          <cell r="I4">
            <v>0</v>
          </cell>
        </row>
      </sheetData>
      <sheetData sheetId="7650">
        <row r="4">
          <cell r="I4">
            <v>0</v>
          </cell>
        </row>
      </sheetData>
      <sheetData sheetId="7651">
        <row r="4">
          <cell r="I4">
            <v>0</v>
          </cell>
        </row>
      </sheetData>
      <sheetData sheetId="7652">
        <row r="4">
          <cell r="I4">
            <v>0</v>
          </cell>
        </row>
      </sheetData>
      <sheetData sheetId="7653">
        <row r="4">
          <cell r="I4">
            <v>0</v>
          </cell>
        </row>
      </sheetData>
      <sheetData sheetId="7654">
        <row r="4">
          <cell r="I4">
            <v>0</v>
          </cell>
        </row>
      </sheetData>
      <sheetData sheetId="7655">
        <row r="4">
          <cell r="I4">
            <v>0</v>
          </cell>
        </row>
      </sheetData>
      <sheetData sheetId="7656">
        <row r="4">
          <cell r="I4">
            <v>0</v>
          </cell>
        </row>
      </sheetData>
      <sheetData sheetId="7657">
        <row r="4">
          <cell r="I4">
            <v>0</v>
          </cell>
        </row>
      </sheetData>
      <sheetData sheetId="7658">
        <row r="4">
          <cell r="I4">
            <v>0</v>
          </cell>
        </row>
      </sheetData>
      <sheetData sheetId="7659">
        <row r="4">
          <cell r="I4">
            <v>0</v>
          </cell>
        </row>
      </sheetData>
      <sheetData sheetId="7660">
        <row r="4">
          <cell r="I4">
            <v>0</v>
          </cell>
        </row>
      </sheetData>
      <sheetData sheetId="7661">
        <row r="4">
          <cell r="I4">
            <v>0</v>
          </cell>
        </row>
      </sheetData>
      <sheetData sheetId="7662">
        <row r="4">
          <cell r="I4">
            <v>0</v>
          </cell>
        </row>
      </sheetData>
      <sheetData sheetId="7663">
        <row r="4">
          <cell r="I4">
            <v>0</v>
          </cell>
        </row>
      </sheetData>
      <sheetData sheetId="7664">
        <row r="4">
          <cell r="I4">
            <v>0</v>
          </cell>
        </row>
      </sheetData>
      <sheetData sheetId="7665">
        <row r="4">
          <cell r="I4">
            <v>0</v>
          </cell>
        </row>
      </sheetData>
      <sheetData sheetId="7666">
        <row r="4">
          <cell r="I4">
            <v>0</v>
          </cell>
        </row>
      </sheetData>
      <sheetData sheetId="7667">
        <row r="4">
          <cell r="I4">
            <v>0</v>
          </cell>
        </row>
      </sheetData>
      <sheetData sheetId="7668">
        <row r="4">
          <cell r="I4">
            <v>0</v>
          </cell>
        </row>
      </sheetData>
      <sheetData sheetId="7669">
        <row r="4">
          <cell r="I4">
            <v>0</v>
          </cell>
        </row>
      </sheetData>
      <sheetData sheetId="7670">
        <row r="4">
          <cell r="I4">
            <v>0</v>
          </cell>
        </row>
      </sheetData>
      <sheetData sheetId="7671">
        <row r="4">
          <cell r="I4">
            <v>0</v>
          </cell>
        </row>
      </sheetData>
      <sheetData sheetId="7672">
        <row r="4">
          <cell r="I4">
            <v>0</v>
          </cell>
        </row>
      </sheetData>
      <sheetData sheetId="7673">
        <row r="4">
          <cell r="I4">
            <v>0</v>
          </cell>
        </row>
      </sheetData>
      <sheetData sheetId="7674">
        <row r="4">
          <cell r="I4">
            <v>0</v>
          </cell>
        </row>
      </sheetData>
      <sheetData sheetId="7675">
        <row r="4">
          <cell r="I4">
            <v>0</v>
          </cell>
        </row>
      </sheetData>
      <sheetData sheetId="7676">
        <row r="4">
          <cell r="I4">
            <v>0</v>
          </cell>
        </row>
      </sheetData>
      <sheetData sheetId="7677">
        <row r="4">
          <cell r="I4">
            <v>0</v>
          </cell>
        </row>
      </sheetData>
      <sheetData sheetId="7678">
        <row r="4">
          <cell r="I4">
            <v>0</v>
          </cell>
        </row>
      </sheetData>
      <sheetData sheetId="7679">
        <row r="4">
          <cell r="I4">
            <v>0</v>
          </cell>
        </row>
      </sheetData>
      <sheetData sheetId="7680">
        <row r="4">
          <cell r="I4">
            <v>0</v>
          </cell>
        </row>
      </sheetData>
      <sheetData sheetId="7681">
        <row r="4">
          <cell r="I4">
            <v>0</v>
          </cell>
        </row>
      </sheetData>
      <sheetData sheetId="7682">
        <row r="4">
          <cell r="I4">
            <v>0</v>
          </cell>
        </row>
      </sheetData>
      <sheetData sheetId="7683">
        <row r="4">
          <cell r="I4">
            <v>0</v>
          </cell>
        </row>
      </sheetData>
      <sheetData sheetId="7684">
        <row r="4">
          <cell r="I4">
            <v>0</v>
          </cell>
        </row>
      </sheetData>
      <sheetData sheetId="7685">
        <row r="4">
          <cell r="I4">
            <v>0</v>
          </cell>
        </row>
      </sheetData>
      <sheetData sheetId="7686">
        <row r="4">
          <cell r="I4">
            <v>0</v>
          </cell>
        </row>
      </sheetData>
      <sheetData sheetId="7687">
        <row r="4">
          <cell r="I4">
            <v>0</v>
          </cell>
        </row>
      </sheetData>
      <sheetData sheetId="7688">
        <row r="4">
          <cell r="I4">
            <v>0</v>
          </cell>
        </row>
      </sheetData>
      <sheetData sheetId="7689">
        <row r="4">
          <cell r="I4">
            <v>0</v>
          </cell>
        </row>
      </sheetData>
      <sheetData sheetId="7690">
        <row r="4">
          <cell r="I4">
            <v>0</v>
          </cell>
        </row>
      </sheetData>
      <sheetData sheetId="7691">
        <row r="4">
          <cell r="I4">
            <v>0</v>
          </cell>
        </row>
      </sheetData>
      <sheetData sheetId="7692">
        <row r="4">
          <cell r="I4">
            <v>0</v>
          </cell>
        </row>
      </sheetData>
      <sheetData sheetId="7693">
        <row r="4">
          <cell r="I4">
            <v>0</v>
          </cell>
        </row>
      </sheetData>
      <sheetData sheetId="7694">
        <row r="4">
          <cell r="I4">
            <v>0</v>
          </cell>
        </row>
      </sheetData>
      <sheetData sheetId="7695">
        <row r="4">
          <cell r="I4">
            <v>0</v>
          </cell>
        </row>
      </sheetData>
      <sheetData sheetId="7696">
        <row r="4">
          <cell r="I4">
            <v>0</v>
          </cell>
        </row>
      </sheetData>
      <sheetData sheetId="7697">
        <row r="4">
          <cell r="I4">
            <v>0</v>
          </cell>
        </row>
      </sheetData>
      <sheetData sheetId="7698">
        <row r="4">
          <cell r="I4">
            <v>0</v>
          </cell>
        </row>
      </sheetData>
      <sheetData sheetId="7699">
        <row r="4">
          <cell r="I4">
            <v>0</v>
          </cell>
        </row>
      </sheetData>
      <sheetData sheetId="7700">
        <row r="4">
          <cell r="I4">
            <v>0</v>
          </cell>
        </row>
      </sheetData>
      <sheetData sheetId="7701">
        <row r="4">
          <cell r="I4">
            <v>0</v>
          </cell>
        </row>
      </sheetData>
      <sheetData sheetId="7702">
        <row r="4">
          <cell r="I4">
            <v>0</v>
          </cell>
        </row>
      </sheetData>
      <sheetData sheetId="7703">
        <row r="4">
          <cell r="I4">
            <v>0</v>
          </cell>
        </row>
      </sheetData>
      <sheetData sheetId="7704">
        <row r="4">
          <cell r="I4">
            <v>0</v>
          </cell>
        </row>
      </sheetData>
      <sheetData sheetId="7705">
        <row r="4">
          <cell r="I4">
            <v>0</v>
          </cell>
        </row>
      </sheetData>
      <sheetData sheetId="7706">
        <row r="4">
          <cell r="I4">
            <v>0</v>
          </cell>
        </row>
      </sheetData>
      <sheetData sheetId="7707">
        <row r="4">
          <cell r="I4">
            <v>0</v>
          </cell>
        </row>
      </sheetData>
      <sheetData sheetId="7708">
        <row r="4">
          <cell r="I4">
            <v>0</v>
          </cell>
        </row>
      </sheetData>
      <sheetData sheetId="7709">
        <row r="4">
          <cell r="I4">
            <v>0</v>
          </cell>
        </row>
      </sheetData>
      <sheetData sheetId="7710">
        <row r="4">
          <cell r="I4">
            <v>0</v>
          </cell>
        </row>
      </sheetData>
      <sheetData sheetId="7711">
        <row r="4">
          <cell r="I4">
            <v>0</v>
          </cell>
        </row>
      </sheetData>
      <sheetData sheetId="7712">
        <row r="4">
          <cell r="I4">
            <v>0</v>
          </cell>
        </row>
      </sheetData>
      <sheetData sheetId="7713">
        <row r="4">
          <cell r="I4">
            <v>0</v>
          </cell>
        </row>
      </sheetData>
      <sheetData sheetId="7714">
        <row r="4">
          <cell r="I4">
            <v>0</v>
          </cell>
        </row>
      </sheetData>
      <sheetData sheetId="7715">
        <row r="4">
          <cell r="I4">
            <v>0</v>
          </cell>
        </row>
      </sheetData>
      <sheetData sheetId="7716">
        <row r="4">
          <cell r="I4">
            <v>0</v>
          </cell>
        </row>
      </sheetData>
      <sheetData sheetId="7717">
        <row r="4">
          <cell r="I4">
            <v>0</v>
          </cell>
        </row>
      </sheetData>
      <sheetData sheetId="7718">
        <row r="4">
          <cell r="I4">
            <v>0</v>
          </cell>
        </row>
      </sheetData>
      <sheetData sheetId="7719">
        <row r="4">
          <cell r="I4">
            <v>0</v>
          </cell>
        </row>
      </sheetData>
      <sheetData sheetId="7720">
        <row r="4">
          <cell r="I4">
            <v>0</v>
          </cell>
        </row>
      </sheetData>
      <sheetData sheetId="7721">
        <row r="4">
          <cell r="I4">
            <v>0</v>
          </cell>
        </row>
      </sheetData>
      <sheetData sheetId="7722">
        <row r="4">
          <cell r="I4">
            <v>0</v>
          </cell>
        </row>
      </sheetData>
      <sheetData sheetId="7723">
        <row r="4">
          <cell r="I4">
            <v>0</v>
          </cell>
        </row>
      </sheetData>
      <sheetData sheetId="7724">
        <row r="4">
          <cell r="I4">
            <v>0</v>
          </cell>
        </row>
      </sheetData>
      <sheetData sheetId="7725">
        <row r="4">
          <cell r="I4">
            <v>0</v>
          </cell>
        </row>
      </sheetData>
      <sheetData sheetId="7726">
        <row r="4">
          <cell r="I4">
            <v>0</v>
          </cell>
        </row>
      </sheetData>
      <sheetData sheetId="7727">
        <row r="4">
          <cell r="I4">
            <v>0</v>
          </cell>
        </row>
      </sheetData>
      <sheetData sheetId="7728">
        <row r="4">
          <cell r="I4">
            <v>0</v>
          </cell>
        </row>
      </sheetData>
      <sheetData sheetId="7729">
        <row r="4">
          <cell r="I4">
            <v>0</v>
          </cell>
        </row>
      </sheetData>
      <sheetData sheetId="7730">
        <row r="4">
          <cell r="I4">
            <v>0</v>
          </cell>
        </row>
      </sheetData>
      <sheetData sheetId="7731">
        <row r="4">
          <cell r="I4">
            <v>0</v>
          </cell>
        </row>
      </sheetData>
      <sheetData sheetId="7732">
        <row r="4">
          <cell r="I4">
            <v>0</v>
          </cell>
        </row>
      </sheetData>
      <sheetData sheetId="7733">
        <row r="4">
          <cell r="I4">
            <v>0</v>
          </cell>
        </row>
      </sheetData>
      <sheetData sheetId="7734">
        <row r="4">
          <cell r="I4">
            <v>0</v>
          </cell>
        </row>
      </sheetData>
      <sheetData sheetId="7735">
        <row r="4">
          <cell r="I4">
            <v>0</v>
          </cell>
        </row>
      </sheetData>
      <sheetData sheetId="7736">
        <row r="4">
          <cell r="I4">
            <v>0</v>
          </cell>
        </row>
      </sheetData>
      <sheetData sheetId="7737">
        <row r="4">
          <cell r="I4">
            <v>0</v>
          </cell>
        </row>
      </sheetData>
      <sheetData sheetId="7738">
        <row r="4">
          <cell r="I4">
            <v>0</v>
          </cell>
        </row>
      </sheetData>
      <sheetData sheetId="7739">
        <row r="4">
          <cell r="I4">
            <v>0</v>
          </cell>
        </row>
      </sheetData>
      <sheetData sheetId="7740">
        <row r="4">
          <cell r="I4">
            <v>0</v>
          </cell>
        </row>
      </sheetData>
      <sheetData sheetId="7741">
        <row r="4">
          <cell r="I4">
            <v>0</v>
          </cell>
        </row>
      </sheetData>
      <sheetData sheetId="7742">
        <row r="4">
          <cell r="I4">
            <v>0</v>
          </cell>
        </row>
      </sheetData>
      <sheetData sheetId="7743">
        <row r="4">
          <cell r="I4">
            <v>0</v>
          </cell>
        </row>
      </sheetData>
      <sheetData sheetId="7744">
        <row r="4">
          <cell r="I4">
            <v>0</v>
          </cell>
        </row>
      </sheetData>
      <sheetData sheetId="7745">
        <row r="4">
          <cell r="I4">
            <v>0</v>
          </cell>
        </row>
      </sheetData>
      <sheetData sheetId="7746">
        <row r="4">
          <cell r="I4">
            <v>0</v>
          </cell>
        </row>
      </sheetData>
      <sheetData sheetId="7747">
        <row r="4">
          <cell r="I4">
            <v>0</v>
          </cell>
        </row>
      </sheetData>
      <sheetData sheetId="7748">
        <row r="4">
          <cell r="I4">
            <v>0</v>
          </cell>
        </row>
      </sheetData>
      <sheetData sheetId="7749">
        <row r="4">
          <cell r="I4">
            <v>0</v>
          </cell>
        </row>
      </sheetData>
      <sheetData sheetId="7750">
        <row r="4">
          <cell r="I4">
            <v>0</v>
          </cell>
        </row>
      </sheetData>
      <sheetData sheetId="7751">
        <row r="4">
          <cell r="I4">
            <v>0</v>
          </cell>
        </row>
      </sheetData>
      <sheetData sheetId="7752">
        <row r="4">
          <cell r="I4">
            <v>0</v>
          </cell>
        </row>
      </sheetData>
      <sheetData sheetId="7753">
        <row r="4">
          <cell r="I4">
            <v>0</v>
          </cell>
        </row>
      </sheetData>
      <sheetData sheetId="7754">
        <row r="4">
          <cell r="I4">
            <v>0</v>
          </cell>
        </row>
      </sheetData>
      <sheetData sheetId="7755">
        <row r="4">
          <cell r="I4">
            <v>0</v>
          </cell>
        </row>
      </sheetData>
      <sheetData sheetId="7756">
        <row r="4">
          <cell r="I4">
            <v>0</v>
          </cell>
        </row>
      </sheetData>
      <sheetData sheetId="7757">
        <row r="4">
          <cell r="I4">
            <v>0</v>
          </cell>
        </row>
      </sheetData>
      <sheetData sheetId="7758">
        <row r="4">
          <cell r="I4">
            <v>0</v>
          </cell>
        </row>
      </sheetData>
      <sheetData sheetId="7759">
        <row r="4">
          <cell r="I4">
            <v>0</v>
          </cell>
        </row>
      </sheetData>
      <sheetData sheetId="7760">
        <row r="4">
          <cell r="I4">
            <v>0</v>
          </cell>
        </row>
      </sheetData>
      <sheetData sheetId="7761">
        <row r="4">
          <cell r="I4">
            <v>0</v>
          </cell>
        </row>
      </sheetData>
      <sheetData sheetId="7762">
        <row r="4">
          <cell r="I4">
            <v>0</v>
          </cell>
        </row>
      </sheetData>
      <sheetData sheetId="7763">
        <row r="4">
          <cell r="I4">
            <v>0</v>
          </cell>
        </row>
      </sheetData>
      <sheetData sheetId="7764">
        <row r="4">
          <cell r="I4">
            <v>0</v>
          </cell>
        </row>
      </sheetData>
      <sheetData sheetId="7765">
        <row r="4">
          <cell r="I4">
            <v>0</v>
          </cell>
        </row>
      </sheetData>
      <sheetData sheetId="7766">
        <row r="4">
          <cell r="I4">
            <v>0</v>
          </cell>
        </row>
      </sheetData>
      <sheetData sheetId="7767">
        <row r="4">
          <cell r="I4">
            <v>0</v>
          </cell>
        </row>
      </sheetData>
      <sheetData sheetId="7768">
        <row r="4">
          <cell r="I4">
            <v>0</v>
          </cell>
        </row>
      </sheetData>
      <sheetData sheetId="7769">
        <row r="4">
          <cell r="I4">
            <v>0</v>
          </cell>
        </row>
      </sheetData>
      <sheetData sheetId="7770">
        <row r="4">
          <cell r="I4">
            <v>0</v>
          </cell>
        </row>
      </sheetData>
      <sheetData sheetId="7771">
        <row r="4">
          <cell r="I4">
            <v>0</v>
          </cell>
        </row>
      </sheetData>
      <sheetData sheetId="7772">
        <row r="4">
          <cell r="I4">
            <v>0</v>
          </cell>
        </row>
      </sheetData>
      <sheetData sheetId="7773">
        <row r="4">
          <cell r="I4">
            <v>0</v>
          </cell>
        </row>
      </sheetData>
      <sheetData sheetId="7774">
        <row r="4">
          <cell r="I4">
            <v>0</v>
          </cell>
        </row>
      </sheetData>
      <sheetData sheetId="7775">
        <row r="4">
          <cell r="I4">
            <v>0</v>
          </cell>
        </row>
      </sheetData>
      <sheetData sheetId="7776">
        <row r="4">
          <cell r="I4">
            <v>0</v>
          </cell>
        </row>
      </sheetData>
      <sheetData sheetId="7777">
        <row r="4">
          <cell r="I4">
            <v>0</v>
          </cell>
        </row>
      </sheetData>
      <sheetData sheetId="7778">
        <row r="4">
          <cell r="I4">
            <v>0</v>
          </cell>
        </row>
      </sheetData>
      <sheetData sheetId="7779">
        <row r="4">
          <cell r="I4">
            <v>0</v>
          </cell>
        </row>
      </sheetData>
      <sheetData sheetId="7780">
        <row r="4">
          <cell r="I4">
            <v>0</v>
          </cell>
        </row>
      </sheetData>
      <sheetData sheetId="7781">
        <row r="4">
          <cell r="I4">
            <v>0</v>
          </cell>
        </row>
      </sheetData>
      <sheetData sheetId="7782">
        <row r="4">
          <cell r="I4">
            <v>0</v>
          </cell>
        </row>
      </sheetData>
      <sheetData sheetId="7783">
        <row r="4">
          <cell r="I4">
            <v>0</v>
          </cell>
        </row>
      </sheetData>
      <sheetData sheetId="7784">
        <row r="4">
          <cell r="I4">
            <v>0</v>
          </cell>
        </row>
      </sheetData>
      <sheetData sheetId="7785">
        <row r="4">
          <cell r="I4">
            <v>0</v>
          </cell>
        </row>
      </sheetData>
      <sheetData sheetId="7786">
        <row r="4">
          <cell r="I4">
            <v>0</v>
          </cell>
        </row>
      </sheetData>
      <sheetData sheetId="7787">
        <row r="4">
          <cell r="I4">
            <v>0</v>
          </cell>
        </row>
      </sheetData>
      <sheetData sheetId="7788">
        <row r="4">
          <cell r="I4">
            <v>0</v>
          </cell>
        </row>
      </sheetData>
      <sheetData sheetId="7789">
        <row r="4">
          <cell r="I4">
            <v>0</v>
          </cell>
        </row>
      </sheetData>
      <sheetData sheetId="7790">
        <row r="4">
          <cell r="I4">
            <v>0</v>
          </cell>
        </row>
      </sheetData>
      <sheetData sheetId="7791">
        <row r="4">
          <cell r="I4">
            <v>0</v>
          </cell>
        </row>
      </sheetData>
      <sheetData sheetId="7792">
        <row r="4">
          <cell r="I4">
            <v>0</v>
          </cell>
        </row>
      </sheetData>
      <sheetData sheetId="7793">
        <row r="4">
          <cell r="I4">
            <v>0</v>
          </cell>
        </row>
      </sheetData>
      <sheetData sheetId="7794">
        <row r="4">
          <cell r="I4">
            <v>0</v>
          </cell>
        </row>
      </sheetData>
      <sheetData sheetId="7795">
        <row r="4">
          <cell r="I4">
            <v>0</v>
          </cell>
        </row>
      </sheetData>
      <sheetData sheetId="7796">
        <row r="4">
          <cell r="I4">
            <v>0</v>
          </cell>
        </row>
      </sheetData>
      <sheetData sheetId="7797">
        <row r="4">
          <cell r="I4">
            <v>0</v>
          </cell>
        </row>
      </sheetData>
      <sheetData sheetId="7798">
        <row r="4">
          <cell r="I4">
            <v>0</v>
          </cell>
        </row>
      </sheetData>
      <sheetData sheetId="7799">
        <row r="4">
          <cell r="I4">
            <v>0</v>
          </cell>
        </row>
      </sheetData>
      <sheetData sheetId="7800">
        <row r="4">
          <cell r="I4">
            <v>0</v>
          </cell>
        </row>
      </sheetData>
      <sheetData sheetId="7801">
        <row r="4">
          <cell r="I4">
            <v>0</v>
          </cell>
        </row>
      </sheetData>
      <sheetData sheetId="7802">
        <row r="4">
          <cell r="I4">
            <v>0</v>
          </cell>
        </row>
      </sheetData>
      <sheetData sheetId="7803">
        <row r="4">
          <cell r="I4">
            <v>0</v>
          </cell>
        </row>
      </sheetData>
      <sheetData sheetId="7804">
        <row r="4">
          <cell r="I4">
            <v>0</v>
          </cell>
        </row>
      </sheetData>
      <sheetData sheetId="7805">
        <row r="4">
          <cell r="I4">
            <v>0</v>
          </cell>
        </row>
      </sheetData>
      <sheetData sheetId="7806">
        <row r="4">
          <cell r="I4">
            <v>0</v>
          </cell>
        </row>
      </sheetData>
      <sheetData sheetId="7807">
        <row r="4">
          <cell r="I4">
            <v>0</v>
          </cell>
        </row>
      </sheetData>
      <sheetData sheetId="7808">
        <row r="4">
          <cell r="I4">
            <v>0</v>
          </cell>
        </row>
      </sheetData>
      <sheetData sheetId="7809">
        <row r="4">
          <cell r="I4">
            <v>0</v>
          </cell>
        </row>
      </sheetData>
      <sheetData sheetId="7810">
        <row r="4">
          <cell r="I4">
            <v>0</v>
          </cell>
        </row>
      </sheetData>
      <sheetData sheetId="7811">
        <row r="4">
          <cell r="I4">
            <v>0</v>
          </cell>
        </row>
      </sheetData>
      <sheetData sheetId="7812">
        <row r="4">
          <cell r="I4">
            <v>0</v>
          </cell>
        </row>
      </sheetData>
      <sheetData sheetId="7813">
        <row r="4">
          <cell r="I4">
            <v>0</v>
          </cell>
        </row>
      </sheetData>
      <sheetData sheetId="7814">
        <row r="4">
          <cell r="I4">
            <v>0</v>
          </cell>
        </row>
      </sheetData>
      <sheetData sheetId="7815">
        <row r="4">
          <cell r="I4">
            <v>0</v>
          </cell>
        </row>
      </sheetData>
      <sheetData sheetId="7816">
        <row r="4">
          <cell r="I4">
            <v>0</v>
          </cell>
        </row>
      </sheetData>
      <sheetData sheetId="7817">
        <row r="4">
          <cell r="I4">
            <v>0</v>
          </cell>
        </row>
      </sheetData>
      <sheetData sheetId="7818">
        <row r="4">
          <cell r="I4">
            <v>0</v>
          </cell>
        </row>
      </sheetData>
      <sheetData sheetId="7819">
        <row r="4">
          <cell r="I4">
            <v>0</v>
          </cell>
        </row>
      </sheetData>
      <sheetData sheetId="7820">
        <row r="4">
          <cell r="I4">
            <v>0</v>
          </cell>
        </row>
      </sheetData>
      <sheetData sheetId="7821">
        <row r="4">
          <cell r="I4">
            <v>0</v>
          </cell>
        </row>
      </sheetData>
      <sheetData sheetId="7822">
        <row r="4">
          <cell r="I4">
            <v>0</v>
          </cell>
        </row>
      </sheetData>
      <sheetData sheetId="7823">
        <row r="4">
          <cell r="I4">
            <v>0</v>
          </cell>
        </row>
      </sheetData>
      <sheetData sheetId="7824">
        <row r="4">
          <cell r="I4">
            <v>0</v>
          </cell>
        </row>
      </sheetData>
      <sheetData sheetId="7825">
        <row r="4">
          <cell r="I4">
            <v>0</v>
          </cell>
        </row>
      </sheetData>
      <sheetData sheetId="7826">
        <row r="4">
          <cell r="I4">
            <v>0</v>
          </cell>
        </row>
      </sheetData>
      <sheetData sheetId="7827">
        <row r="4">
          <cell r="I4">
            <v>0</v>
          </cell>
        </row>
      </sheetData>
      <sheetData sheetId="7828">
        <row r="4">
          <cell r="I4">
            <v>0</v>
          </cell>
        </row>
      </sheetData>
      <sheetData sheetId="7829">
        <row r="4">
          <cell r="I4">
            <v>0</v>
          </cell>
        </row>
      </sheetData>
      <sheetData sheetId="7830">
        <row r="4">
          <cell r="I4">
            <v>0</v>
          </cell>
        </row>
      </sheetData>
      <sheetData sheetId="7831">
        <row r="4">
          <cell r="I4">
            <v>0</v>
          </cell>
        </row>
      </sheetData>
      <sheetData sheetId="7832">
        <row r="4">
          <cell r="I4">
            <v>0</v>
          </cell>
        </row>
      </sheetData>
      <sheetData sheetId="7833">
        <row r="4">
          <cell r="I4">
            <v>0</v>
          </cell>
        </row>
      </sheetData>
      <sheetData sheetId="7834">
        <row r="4">
          <cell r="I4">
            <v>0</v>
          </cell>
        </row>
      </sheetData>
      <sheetData sheetId="7835">
        <row r="4">
          <cell r="I4">
            <v>0</v>
          </cell>
        </row>
      </sheetData>
      <sheetData sheetId="7836">
        <row r="4">
          <cell r="I4">
            <v>0</v>
          </cell>
        </row>
      </sheetData>
      <sheetData sheetId="7837">
        <row r="4">
          <cell r="I4">
            <v>0</v>
          </cell>
        </row>
      </sheetData>
      <sheetData sheetId="7838">
        <row r="4">
          <cell r="I4">
            <v>0</v>
          </cell>
        </row>
      </sheetData>
      <sheetData sheetId="7839">
        <row r="4">
          <cell r="I4">
            <v>0</v>
          </cell>
        </row>
      </sheetData>
      <sheetData sheetId="7840">
        <row r="4">
          <cell r="I4">
            <v>0</v>
          </cell>
        </row>
      </sheetData>
      <sheetData sheetId="7841">
        <row r="4">
          <cell r="I4">
            <v>0</v>
          </cell>
        </row>
      </sheetData>
      <sheetData sheetId="7842">
        <row r="4">
          <cell r="I4">
            <v>0</v>
          </cell>
        </row>
      </sheetData>
      <sheetData sheetId="7843">
        <row r="4">
          <cell r="I4">
            <v>0</v>
          </cell>
        </row>
      </sheetData>
      <sheetData sheetId="7844">
        <row r="4">
          <cell r="I4">
            <v>0</v>
          </cell>
        </row>
      </sheetData>
      <sheetData sheetId="7845">
        <row r="4">
          <cell r="I4">
            <v>0</v>
          </cell>
        </row>
      </sheetData>
      <sheetData sheetId="7846">
        <row r="4">
          <cell r="I4">
            <v>0</v>
          </cell>
        </row>
      </sheetData>
      <sheetData sheetId="7847">
        <row r="4">
          <cell r="I4">
            <v>0</v>
          </cell>
        </row>
      </sheetData>
      <sheetData sheetId="7848">
        <row r="4">
          <cell r="I4">
            <v>0</v>
          </cell>
        </row>
      </sheetData>
      <sheetData sheetId="7849">
        <row r="4">
          <cell r="I4">
            <v>0</v>
          </cell>
        </row>
      </sheetData>
      <sheetData sheetId="7850">
        <row r="4">
          <cell r="I4">
            <v>0</v>
          </cell>
        </row>
      </sheetData>
      <sheetData sheetId="7851">
        <row r="4">
          <cell r="I4">
            <v>0</v>
          </cell>
        </row>
      </sheetData>
      <sheetData sheetId="7852">
        <row r="4">
          <cell r="I4">
            <v>0</v>
          </cell>
        </row>
      </sheetData>
      <sheetData sheetId="7853">
        <row r="4">
          <cell r="I4">
            <v>0</v>
          </cell>
        </row>
      </sheetData>
      <sheetData sheetId="7854">
        <row r="4">
          <cell r="I4">
            <v>0</v>
          </cell>
        </row>
      </sheetData>
      <sheetData sheetId="7855">
        <row r="4">
          <cell r="I4">
            <v>0</v>
          </cell>
        </row>
      </sheetData>
      <sheetData sheetId="7856">
        <row r="4">
          <cell r="I4">
            <v>0</v>
          </cell>
        </row>
      </sheetData>
      <sheetData sheetId="7857">
        <row r="4">
          <cell r="I4">
            <v>0</v>
          </cell>
        </row>
      </sheetData>
      <sheetData sheetId="7858">
        <row r="4">
          <cell r="I4">
            <v>0</v>
          </cell>
        </row>
      </sheetData>
      <sheetData sheetId="7859">
        <row r="4">
          <cell r="I4">
            <v>0</v>
          </cell>
        </row>
      </sheetData>
      <sheetData sheetId="7860">
        <row r="4">
          <cell r="I4">
            <v>0</v>
          </cell>
        </row>
      </sheetData>
      <sheetData sheetId="7861">
        <row r="4">
          <cell r="I4">
            <v>0</v>
          </cell>
        </row>
      </sheetData>
      <sheetData sheetId="7862">
        <row r="4">
          <cell r="I4">
            <v>0</v>
          </cell>
        </row>
      </sheetData>
      <sheetData sheetId="7863">
        <row r="4">
          <cell r="I4">
            <v>0</v>
          </cell>
        </row>
      </sheetData>
      <sheetData sheetId="7864">
        <row r="4">
          <cell r="I4">
            <v>0</v>
          </cell>
        </row>
      </sheetData>
      <sheetData sheetId="7865">
        <row r="4">
          <cell r="I4">
            <v>0</v>
          </cell>
        </row>
      </sheetData>
      <sheetData sheetId="7866">
        <row r="4">
          <cell r="I4">
            <v>0</v>
          </cell>
        </row>
      </sheetData>
      <sheetData sheetId="7867">
        <row r="4">
          <cell r="I4">
            <v>0</v>
          </cell>
        </row>
      </sheetData>
      <sheetData sheetId="7868">
        <row r="4">
          <cell r="I4">
            <v>0</v>
          </cell>
        </row>
      </sheetData>
      <sheetData sheetId="7869">
        <row r="4">
          <cell r="I4">
            <v>0</v>
          </cell>
        </row>
      </sheetData>
      <sheetData sheetId="7870">
        <row r="4">
          <cell r="I4">
            <v>0</v>
          </cell>
        </row>
      </sheetData>
      <sheetData sheetId="7871">
        <row r="4">
          <cell r="I4">
            <v>0</v>
          </cell>
        </row>
      </sheetData>
      <sheetData sheetId="7872">
        <row r="4">
          <cell r="I4">
            <v>0</v>
          </cell>
        </row>
      </sheetData>
      <sheetData sheetId="7873">
        <row r="4">
          <cell r="I4">
            <v>0</v>
          </cell>
        </row>
      </sheetData>
      <sheetData sheetId="7874">
        <row r="4">
          <cell r="I4">
            <v>0</v>
          </cell>
        </row>
      </sheetData>
      <sheetData sheetId="7875">
        <row r="4">
          <cell r="I4">
            <v>0</v>
          </cell>
        </row>
      </sheetData>
      <sheetData sheetId="7876">
        <row r="4">
          <cell r="I4">
            <v>0</v>
          </cell>
        </row>
      </sheetData>
      <sheetData sheetId="7877">
        <row r="4">
          <cell r="I4">
            <v>0</v>
          </cell>
        </row>
      </sheetData>
      <sheetData sheetId="7878">
        <row r="4">
          <cell r="I4">
            <v>0</v>
          </cell>
        </row>
      </sheetData>
      <sheetData sheetId="7879">
        <row r="4">
          <cell r="I4">
            <v>0</v>
          </cell>
        </row>
      </sheetData>
      <sheetData sheetId="7880">
        <row r="4">
          <cell r="I4">
            <v>0</v>
          </cell>
        </row>
      </sheetData>
      <sheetData sheetId="7881">
        <row r="4">
          <cell r="I4">
            <v>0</v>
          </cell>
        </row>
      </sheetData>
      <sheetData sheetId="7882">
        <row r="4">
          <cell r="I4">
            <v>0</v>
          </cell>
        </row>
      </sheetData>
      <sheetData sheetId="7883">
        <row r="4">
          <cell r="I4">
            <v>0</v>
          </cell>
        </row>
      </sheetData>
      <sheetData sheetId="7884">
        <row r="4">
          <cell r="I4">
            <v>0</v>
          </cell>
        </row>
      </sheetData>
      <sheetData sheetId="7885">
        <row r="4">
          <cell r="I4">
            <v>0</v>
          </cell>
        </row>
      </sheetData>
      <sheetData sheetId="7886">
        <row r="4">
          <cell r="I4">
            <v>0</v>
          </cell>
        </row>
      </sheetData>
      <sheetData sheetId="7887">
        <row r="4">
          <cell r="I4">
            <v>0</v>
          </cell>
        </row>
      </sheetData>
      <sheetData sheetId="7888">
        <row r="4">
          <cell r="I4">
            <v>0</v>
          </cell>
        </row>
      </sheetData>
      <sheetData sheetId="7889">
        <row r="4">
          <cell r="I4">
            <v>0</v>
          </cell>
        </row>
      </sheetData>
      <sheetData sheetId="7890">
        <row r="4">
          <cell r="I4">
            <v>0</v>
          </cell>
        </row>
      </sheetData>
      <sheetData sheetId="7891">
        <row r="4">
          <cell r="I4">
            <v>0</v>
          </cell>
        </row>
      </sheetData>
      <sheetData sheetId="7892">
        <row r="4">
          <cell r="I4">
            <v>0</v>
          </cell>
        </row>
      </sheetData>
      <sheetData sheetId="7893">
        <row r="4">
          <cell r="I4">
            <v>0</v>
          </cell>
        </row>
      </sheetData>
      <sheetData sheetId="7894">
        <row r="4">
          <cell r="I4">
            <v>0</v>
          </cell>
        </row>
      </sheetData>
      <sheetData sheetId="7895">
        <row r="4">
          <cell r="I4">
            <v>0</v>
          </cell>
        </row>
      </sheetData>
      <sheetData sheetId="7896">
        <row r="4">
          <cell r="I4">
            <v>0</v>
          </cell>
        </row>
      </sheetData>
      <sheetData sheetId="7897">
        <row r="4">
          <cell r="I4">
            <v>0</v>
          </cell>
        </row>
      </sheetData>
      <sheetData sheetId="7898">
        <row r="4">
          <cell r="I4">
            <v>0</v>
          </cell>
        </row>
      </sheetData>
      <sheetData sheetId="7899">
        <row r="4">
          <cell r="I4">
            <v>0</v>
          </cell>
        </row>
      </sheetData>
      <sheetData sheetId="7900">
        <row r="4">
          <cell r="I4">
            <v>0</v>
          </cell>
        </row>
      </sheetData>
      <sheetData sheetId="7901">
        <row r="4">
          <cell r="I4">
            <v>0</v>
          </cell>
        </row>
      </sheetData>
      <sheetData sheetId="7902">
        <row r="4">
          <cell r="I4">
            <v>0</v>
          </cell>
        </row>
      </sheetData>
      <sheetData sheetId="7903">
        <row r="4">
          <cell r="I4">
            <v>0</v>
          </cell>
        </row>
      </sheetData>
      <sheetData sheetId="7904">
        <row r="4">
          <cell r="I4">
            <v>0</v>
          </cell>
        </row>
      </sheetData>
      <sheetData sheetId="7905">
        <row r="4">
          <cell r="I4">
            <v>0</v>
          </cell>
        </row>
      </sheetData>
      <sheetData sheetId="7906">
        <row r="4">
          <cell r="I4">
            <v>0</v>
          </cell>
        </row>
      </sheetData>
      <sheetData sheetId="7907">
        <row r="4">
          <cell r="I4">
            <v>0</v>
          </cell>
        </row>
      </sheetData>
      <sheetData sheetId="7908">
        <row r="4">
          <cell r="I4">
            <v>0</v>
          </cell>
        </row>
      </sheetData>
      <sheetData sheetId="7909">
        <row r="4">
          <cell r="I4">
            <v>0</v>
          </cell>
        </row>
      </sheetData>
      <sheetData sheetId="7910">
        <row r="4">
          <cell r="I4">
            <v>0</v>
          </cell>
        </row>
      </sheetData>
      <sheetData sheetId="7911">
        <row r="4">
          <cell r="I4">
            <v>0</v>
          </cell>
        </row>
      </sheetData>
      <sheetData sheetId="7912">
        <row r="4">
          <cell r="I4">
            <v>0</v>
          </cell>
        </row>
      </sheetData>
      <sheetData sheetId="7913">
        <row r="4">
          <cell r="I4">
            <v>0</v>
          </cell>
        </row>
      </sheetData>
      <sheetData sheetId="7914">
        <row r="4">
          <cell r="I4">
            <v>0</v>
          </cell>
        </row>
      </sheetData>
      <sheetData sheetId="7915">
        <row r="4">
          <cell r="I4">
            <v>0</v>
          </cell>
        </row>
      </sheetData>
      <sheetData sheetId="7916">
        <row r="4">
          <cell r="I4">
            <v>0</v>
          </cell>
        </row>
      </sheetData>
      <sheetData sheetId="7917">
        <row r="4">
          <cell r="I4">
            <v>0</v>
          </cell>
        </row>
      </sheetData>
      <sheetData sheetId="7918">
        <row r="4">
          <cell r="I4">
            <v>0</v>
          </cell>
        </row>
      </sheetData>
      <sheetData sheetId="7919">
        <row r="4">
          <cell r="I4">
            <v>0</v>
          </cell>
        </row>
      </sheetData>
      <sheetData sheetId="7920">
        <row r="4">
          <cell r="I4">
            <v>0</v>
          </cell>
        </row>
      </sheetData>
      <sheetData sheetId="7921">
        <row r="4">
          <cell r="I4">
            <v>0</v>
          </cell>
        </row>
      </sheetData>
      <sheetData sheetId="7922">
        <row r="4">
          <cell r="I4">
            <v>0</v>
          </cell>
        </row>
      </sheetData>
      <sheetData sheetId="7923">
        <row r="4">
          <cell r="I4">
            <v>0</v>
          </cell>
        </row>
      </sheetData>
      <sheetData sheetId="7924">
        <row r="4">
          <cell r="I4">
            <v>0</v>
          </cell>
        </row>
      </sheetData>
      <sheetData sheetId="7925">
        <row r="4">
          <cell r="I4">
            <v>0</v>
          </cell>
        </row>
      </sheetData>
      <sheetData sheetId="7926">
        <row r="4">
          <cell r="I4">
            <v>0</v>
          </cell>
        </row>
      </sheetData>
      <sheetData sheetId="7927">
        <row r="4">
          <cell r="I4">
            <v>0</v>
          </cell>
        </row>
      </sheetData>
      <sheetData sheetId="7928">
        <row r="4">
          <cell r="I4">
            <v>0</v>
          </cell>
        </row>
      </sheetData>
      <sheetData sheetId="7929">
        <row r="4">
          <cell r="I4">
            <v>0</v>
          </cell>
        </row>
      </sheetData>
      <sheetData sheetId="7930">
        <row r="4">
          <cell r="I4">
            <v>0</v>
          </cell>
        </row>
      </sheetData>
      <sheetData sheetId="7931">
        <row r="4">
          <cell r="I4">
            <v>0</v>
          </cell>
        </row>
      </sheetData>
      <sheetData sheetId="7932">
        <row r="4">
          <cell r="I4">
            <v>0</v>
          </cell>
        </row>
      </sheetData>
      <sheetData sheetId="7933">
        <row r="4">
          <cell r="I4">
            <v>0</v>
          </cell>
        </row>
      </sheetData>
      <sheetData sheetId="7934">
        <row r="4">
          <cell r="I4">
            <v>0</v>
          </cell>
        </row>
      </sheetData>
      <sheetData sheetId="7935">
        <row r="4">
          <cell r="I4">
            <v>0</v>
          </cell>
        </row>
      </sheetData>
      <sheetData sheetId="7936">
        <row r="4">
          <cell r="I4">
            <v>0</v>
          </cell>
        </row>
      </sheetData>
      <sheetData sheetId="7937">
        <row r="4">
          <cell r="I4">
            <v>0</v>
          </cell>
        </row>
      </sheetData>
      <sheetData sheetId="7938">
        <row r="4">
          <cell r="I4">
            <v>0</v>
          </cell>
        </row>
      </sheetData>
      <sheetData sheetId="7939">
        <row r="4">
          <cell r="I4">
            <v>0</v>
          </cell>
        </row>
      </sheetData>
      <sheetData sheetId="7940">
        <row r="4">
          <cell r="I4">
            <v>0</v>
          </cell>
        </row>
      </sheetData>
      <sheetData sheetId="7941">
        <row r="4">
          <cell r="I4">
            <v>0</v>
          </cell>
        </row>
      </sheetData>
      <sheetData sheetId="7942">
        <row r="4">
          <cell r="I4">
            <v>0</v>
          </cell>
        </row>
      </sheetData>
      <sheetData sheetId="7943">
        <row r="4">
          <cell r="I4">
            <v>0</v>
          </cell>
        </row>
      </sheetData>
      <sheetData sheetId="7944">
        <row r="4">
          <cell r="I4">
            <v>0</v>
          </cell>
        </row>
      </sheetData>
      <sheetData sheetId="7945">
        <row r="4">
          <cell r="I4">
            <v>0</v>
          </cell>
        </row>
      </sheetData>
      <sheetData sheetId="7946">
        <row r="4">
          <cell r="I4">
            <v>0</v>
          </cell>
        </row>
      </sheetData>
      <sheetData sheetId="7947">
        <row r="4">
          <cell r="I4">
            <v>0</v>
          </cell>
        </row>
      </sheetData>
      <sheetData sheetId="7948">
        <row r="4">
          <cell r="I4">
            <v>0</v>
          </cell>
        </row>
      </sheetData>
      <sheetData sheetId="7949">
        <row r="4">
          <cell r="I4">
            <v>0</v>
          </cell>
        </row>
      </sheetData>
      <sheetData sheetId="7950">
        <row r="4">
          <cell r="I4">
            <v>0</v>
          </cell>
        </row>
      </sheetData>
      <sheetData sheetId="7951">
        <row r="4">
          <cell r="I4">
            <v>0</v>
          </cell>
        </row>
      </sheetData>
      <sheetData sheetId="7952">
        <row r="4">
          <cell r="I4">
            <v>0</v>
          </cell>
        </row>
      </sheetData>
      <sheetData sheetId="7953">
        <row r="4">
          <cell r="I4">
            <v>0</v>
          </cell>
        </row>
      </sheetData>
      <sheetData sheetId="7954">
        <row r="4">
          <cell r="I4">
            <v>0</v>
          </cell>
        </row>
      </sheetData>
      <sheetData sheetId="7955">
        <row r="4">
          <cell r="I4">
            <v>0</v>
          </cell>
        </row>
      </sheetData>
      <sheetData sheetId="7956">
        <row r="4">
          <cell r="I4">
            <v>0</v>
          </cell>
        </row>
      </sheetData>
      <sheetData sheetId="7957">
        <row r="4">
          <cell r="I4">
            <v>0</v>
          </cell>
        </row>
      </sheetData>
      <sheetData sheetId="7958">
        <row r="4">
          <cell r="I4">
            <v>0</v>
          </cell>
        </row>
      </sheetData>
      <sheetData sheetId="7959">
        <row r="4">
          <cell r="I4">
            <v>0</v>
          </cell>
        </row>
      </sheetData>
      <sheetData sheetId="7960">
        <row r="4">
          <cell r="I4">
            <v>0</v>
          </cell>
        </row>
      </sheetData>
      <sheetData sheetId="7961">
        <row r="4">
          <cell r="I4">
            <v>0</v>
          </cell>
        </row>
      </sheetData>
      <sheetData sheetId="7962">
        <row r="4">
          <cell r="I4">
            <v>0</v>
          </cell>
        </row>
      </sheetData>
      <sheetData sheetId="7963">
        <row r="4">
          <cell r="I4">
            <v>0</v>
          </cell>
        </row>
      </sheetData>
      <sheetData sheetId="7964">
        <row r="4">
          <cell r="I4">
            <v>0</v>
          </cell>
        </row>
      </sheetData>
      <sheetData sheetId="7965">
        <row r="4">
          <cell r="I4">
            <v>0</v>
          </cell>
        </row>
      </sheetData>
      <sheetData sheetId="7966">
        <row r="4">
          <cell r="I4">
            <v>0</v>
          </cell>
        </row>
      </sheetData>
      <sheetData sheetId="7967">
        <row r="4">
          <cell r="I4">
            <v>0</v>
          </cell>
        </row>
      </sheetData>
      <sheetData sheetId="7968">
        <row r="4">
          <cell r="I4">
            <v>0</v>
          </cell>
        </row>
      </sheetData>
      <sheetData sheetId="7969">
        <row r="4">
          <cell r="I4">
            <v>0</v>
          </cell>
        </row>
      </sheetData>
      <sheetData sheetId="7970">
        <row r="4">
          <cell r="I4">
            <v>0</v>
          </cell>
        </row>
      </sheetData>
      <sheetData sheetId="7971">
        <row r="4">
          <cell r="I4">
            <v>0</v>
          </cell>
        </row>
      </sheetData>
      <sheetData sheetId="7972">
        <row r="4">
          <cell r="I4">
            <v>0</v>
          </cell>
        </row>
      </sheetData>
      <sheetData sheetId="7973">
        <row r="4">
          <cell r="I4">
            <v>0</v>
          </cell>
        </row>
      </sheetData>
      <sheetData sheetId="7974">
        <row r="4">
          <cell r="I4">
            <v>0</v>
          </cell>
        </row>
      </sheetData>
      <sheetData sheetId="7975">
        <row r="4">
          <cell r="I4">
            <v>0</v>
          </cell>
        </row>
      </sheetData>
      <sheetData sheetId="7976">
        <row r="4">
          <cell r="I4">
            <v>0</v>
          </cell>
        </row>
      </sheetData>
      <sheetData sheetId="7977">
        <row r="4">
          <cell r="I4">
            <v>0</v>
          </cell>
        </row>
      </sheetData>
      <sheetData sheetId="7978">
        <row r="4">
          <cell r="I4">
            <v>0</v>
          </cell>
        </row>
      </sheetData>
      <sheetData sheetId="7979">
        <row r="4">
          <cell r="I4">
            <v>0</v>
          </cell>
        </row>
      </sheetData>
      <sheetData sheetId="7980">
        <row r="4">
          <cell r="I4">
            <v>0</v>
          </cell>
        </row>
      </sheetData>
      <sheetData sheetId="7981">
        <row r="4">
          <cell r="I4">
            <v>0</v>
          </cell>
        </row>
      </sheetData>
      <sheetData sheetId="7982">
        <row r="4">
          <cell r="I4">
            <v>0</v>
          </cell>
        </row>
      </sheetData>
      <sheetData sheetId="7983">
        <row r="4">
          <cell r="I4">
            <v>0</v>
          </cell>
        </row>
      </sheetData>
      <sheetData sheetId="7984">
        <row r="4">
          <cell r="I4">
            <v>0</v>
          </cell>
        </row>
      </sheetData>
      <sheetData sheetId="7985">
        <row r="4">
          <cell r="I4">
            <v>0</v>
          </cell>
        </row>
      </sheetData>
      <sheetData sheetId="7986">
        <row r="4">
          <cell r="I4">
            <v>0</v>
          </cell>
        </row>
      </sheetData>
      <sheetData sheetId="7987">
        <row r="4">
          <cell r="I4">
            <v>0</v>
          </cell>
        </row>
      </sheetData>
      <sheetData sheetId="7988">
        <row r="4">
          <cell r="I4">
            <v>0</v>
          </cell>
        </row>
      </sheetData>
      <sheetData sheetId="7989">
        <row r="4">
          <cell r="I4">
            <v>0</v>
          </cell>
        </row>
      </sheetData>
      <sheetData sheetId="7990">
        <row r="4">
          <cell r="I4">
            <v>0</v>
          </cell>
        </row>
      </sheetData>
      <sheetData sheetId="7991">
        <row r="4">
          <cell r="I4">
            <v>0</v>
          </cell>
        </row>
      </sheetData>
      <sheetData sheetId="7992">
        <row r="4">
          <cell r="I4">
            <v>0</v>
          </cell>
        </row>
      </sheetData>
      <sheetData sheetId="7993">
        <row r="4">
          <cell r="I4">
            <v>0</v>
          </cell>
        </row>
      </sheetData>
      <sheetData sheetId="7994">
        <row r="4">
          <cell r="I4">
            <v>0</v>
          </cell>
        </row>
      </sheetData>
      <sheetData sheetId="7995">
        <row r="4">
          <cell r="I4">
            <v>0</v>
          </cell>
        </row>
      </sheetData>
      <sheetData sheetId="7996">
        <row r="4">
          <cell r="I4">
            <v>0</v>
          </cell>
        </row>
      </sheetData>
      <sheetData sheetId="7997">
        <row r="4">
          <cell r="I4">
            <v>0</v>
          </cell>
        </row>
      </sheetData>
      <sheetData sheetId="7998">
        <row r="4">
          <cell r="I4">
            <v>0</v>
          </cell>
        </row>
      </sheetData>
      <sheetData sheetId="7999">
        <row r="4">
          <cell r="I4">
            <v>0</v>
          </cell>
        </row>
      </sheetData>
      <sheetData sheetId="8000">
        <row r="4">
          <cell r="I4">
            <v>0</v>
          </cell>
        </row>
      </sheetData>
      <sheetData sheetId="8001">
        <row r="4">
          <cell r="I4">
            <v>0</v>
          </cell>
        </row>
      </sheetData>
      <sheetData sheetId="8002">
        <row r="4">
          <cell r="I4">
            <v>0</v>
          </cell>
        </row>
      </sheetData>
      <sheetData sheetId="8003">
        <row r="4">
          <cell r="I4">
            <v>0</v>
          </cell>
        </row>
      </sheetData>
      <sheetData sheetId="8004">
        <row r="4">
          <cell r="I4">
            <v>0</v>
          </cell>
        </row>
      </sheetData>
      <sheetData sheetId="8005">
        <row r="4">
          <cell r="I4">
            <v>0</v>
          </cell>
        </row>
      </sheetData>
      <sheetData sheetId="8006">
        <row r="4">
          <cell r="I4">
            <v>0</v>
          </cell>
        </row>
      </sheetData>
      <sheetData sheetId="8007">
        <row r="4">
          <cell r="I4">
            <v>0</v>
          </cell>
        </row>
      </sheetData>
      <sheetData sheetId="8008">
        <row r="4">
          <cell r="I4">
            <v>0</v>
          </cell>
        </row>
      </sheetData>
      <sheetData sheetId="8009">
        <row r="4">
          <cell r="I4">
            <v>0</v>
          </cell>
        </row>
      </sheetData>
      <sheetData sheetId="8010">
        <row r="4">
          <cell r="I4">
            <v>0</v>
          </cell>
        </row>
      </sheetData>
      <sheetData sheetId="8011">
        <row r="4">
          <cell r="I4">
            <v>0</v>
          </cell>
        </row>
      </sheetData>
      <sheetData sheetId="8012">
        <row r="4">
          <cell r="I4">
            <v>0</v>
          </cell>
        </row>
      </sheetData>
      <sheetData sheetId="8013">
        <row r="4">
          <cell r="I4">
            <v>0</v>
          </cell>
        </row>
      </sheetData>
      <sheetData sheetId="8014">
        <row r="4">
          <cell r="I4">
            <v>0</v>
          </cell>
        </row>
      </sheetData>
      <sheetData sheetId="8015">
        <row r="4">
          <cell r="I4">
            <v>0</v>
          </cell>
        </row>
      </sheetData>
      <sheetData sheetId="8016">
        <row r="4">
          <cell r="I4">
            <v>0</v>
          </cell>
        </row>
      </sheetData>
      <sheetData sheetId="8017">
        <row r="4">
          <cell r="I4">
            <v>0</v>
          </cell>
        </row>
      </sheetData>
      <sheetData sheetId="8018">
        <row r="4">
          <cell r="I4">
            <v>0</v>
          </cell>
        </row>
      </sheetData>
      <sheetData sheetId="8019">
        <row r="4">
          <cell r="I4">
            <v>0</v>
          </cell>
        </row>
      </sheetData>
      <sheetData sheetId="8020">
        <row r="4">
          <cell r="I4">
            <v>0</v>
          </cell>
        </row>
      </sheetData>
      <sheetData sheetId="8021">
        <row r="4">
          <cell r="I4">
            <v>0</v>
          </cell>
        </row>
      </sheetData>
      <sheetData sheetId="8022">
        <row r="4">
          <cell r="I4">
            <v>0</v>
          </cell>
        </row>
      </sheetData>
      <sheetData sheetId="8023">
        <row r="4">
          <cell r="I4">
            <v>0</v>
          </cell>
        </row>
      </sheetData>
      <sheetData sheetId="8024">
        <row r="4">
          <cell r="I4">
            <v>0</v>
          </cell>
        </row>
      </sheetData>
      <sheetData sheetId="8025">
        <row r="4">
          <cell r="I4">
            <v>0</v>
          </cell>
        </row>
      </sheetData>
      <sheetData sheetId="8026">
        <row r="4">
          <cell r="I4">
            <v>0</v>
          </cell>
        </row>
      </sheetData>
      <sheetData sheetId="8027">
        <row r="4">
          <cell r="I4">
            <v>0</v>
          </cell>
        </row>
      </sheetData>
      <sheetData sheetId="8028">
        <row r="4">
          <cell r="I4">
            <v>0</v>
          </cell>
        </row>
      </sheetData>
      <sheetData sheetId="8029">
        <row r="4">
          <cell r="I4">
            <v>0</v>
          </cell>
        </row>
      </sheetData>
      <sheetData sheetId="8030">
        <row r="4">
          <cell r="I4">
            <v>0</v>
          </cell>
        </row>
      </sheetData>
      <sheetData sheetId="8031">
        <row r="4">
          <cell r="I4">
            <v>0</v>
          </cell>
        </row>
      </sheetData>
      <sheetData sheetId="8032">
        <row r="4">
          <cell r="I4">
            <v>0</v>
          </cell>
        </row>
      </sheetData>
      <sheetData sheetId="8033">
        <row r="4">
          <cell r="I4">
            <v>0</v>
          </cell>
        </row>
      </sheetData>
      <sheetData sheetId="8034">
        <row r="4">
          <cell r="I4">
            <v>0</v>
          </cell>
        </row>
      </sheetData>
      <sheetData sheetId="8035">
        <row r="4">
          <cell r="I4">
            <v>0</v>
          </cell>
        </row>
      </sheetData>
      <sheetData sheetId="8036">
        <row r="4">
          <cell r="I4">
            <v>0</v>
          </cell>
        </row>
      </sheetData>
      <sheetData sheetId="8037">
        <row r="4">
          <cell r="I4">
            <v>0</v>
          </cell>
        </row>
      </sheetData>
      <sheetData sheetId="8038">
        <row r="4">
          <cell r="I4">
            <v>0</v>
          </cell>
        </row>
      </sheetData>
      <sheetData sheetId="8039">
        <row r="4">
          <cell r="I4">
            <v>0</v>
          </cell>
        </row>
      </sheetData>
      <sheetData sheetId="8040">
        <row r="4">
          <cell r="I4">
            <v>0</v>
          </cell>
        </row>
      </sheetData>
      <sheetData sheetId="8041">
        <row r="4">
          <cell r="I4">
            <v>0</v>
          </cell>
        </row>
      </sheetData>
      <sheetData sheetId="8042">
        <row r="4">
          <cell r="I4">
            <v>0</v>
          </cell>
        </row>
      </sheetData>
      <sheetData sheetId="8043">
        <row r="4">
          <cell r="I4">
            <v>0</v>
          </cell>
        </row>
      </sheetData>
      <sheetData sheetId="8044">
        <row r="4">
          <cell r="I4">
            <v>0</v>
          </cell>
        </row>
      </sheetData>
      <sheetData sheetId="8045">
        <row r="4">
          <cell r="I4">
            <v>0</v>
          </cell>
        </row>
      </sheetData>
      <sheetData sheetId="8046">
        <row r="4">
          <cell r="I4">
            <v>0</v>
          </cell>
        </row>
      </sheetData>
      <sheetData sheetId="8047">
        <row r="4">
          <cell r="I4">
            <v>0</v>
          </cell>
        </row>
      </sheetData>
      <sheetData sheetId="8048">
        <row r="4">
          <cell r="I4">
            <v>0</v>
          </cell>
        </row>
      </sheetData>
      <sheetData sheetId="8049">
        <row r="4">
          <cell r="I4">
            <v>0</v>
          </cell>
        </row>
      </sheetData>
      <sheetData sheetId="8050">
        <row r="4">
          <cell r="I4">
            <v>0</v>
          </cell>
        </row>
      </sheetData>
      <sheetData sheetId="8051">
        <row r="4">
          <cell r="I4">
            <v>0</v>
          </cell>
        </row>
      </sheetData>
      <sheetData sheetId="8052">
        <row r="4">
          <cell r="I4">
            <v>0</v>
          </cell>
        </row>
      </sheetData>
      <sheetData sheetId="8053">
        <row r="4">
          <cell r="I4">
            <v>0</v>
          </cell>
        </row>
      </sheetData>
      <sheetData sheetId="8054">
        <row r="4">
          <cell r="I4">
            <v>0</v>
          </cell>
        </row>
      </sheetData>
      <sheetData sheetId="8055">
        <row r="4">
          <cell r="I4">
            <v>0</v>
          </cell>
        </row>
      </sheetData>
      <sheetData sheetId="8056">
        <row r="4">
          <cell r="I4">
            <v>0</v>
          </cell>
        </row>
      </sheetData>
      <sheetData sheetId="8057">
        <row r="4">
          <cell r="I4">
            <v>0</v>
          </cell>
        </row>
      </sheetData>
      <sheetData sheetId="8058">
        <row r="4">
          <cell r="I4">
            <v>0</v>
          </cell>
        </row>
      </sheetData>
      <sheetData sheetId="8059">
        <row r="4">
          <cell r="I4">
            <v>0</v>
          </cell>
        </row>
      </sheetData>
      <sheetData sheetId="8060">
        <row r="4">
          <cell r="I4">
            <v>0</v>
          </cell>
        </row>
      </sheetData>
      <sheetData sheetId="8061">
        <row r="4">
          <cell r="I4">
            <v>0</v>
          </cell>
        </row>
      </sheetData>
      <sheetData sheetId="8062">
        <row r="4">
          <cell r="I4">
            <v>0</v>
          </cell>
        </row>
      </sheetData>
      <sheetData sheetId="8063">
        <row r="4">
          <cell r="I4">
            <v>0</v>
          </cell>
        </row>
      </sheetData>
      <sheetData sheetId="8064">
        <row r="4">
          <cell r="I4">
            <v>0</v>
          </cell>
        </row>
      </sheetData>
      <sheetData sheetId="8065">
        <row r="4">
          <cell r="I4">
            <v>0</v>
          </cell>
        </row>
      </sheetData>
      <sheetData sheetId="8066">
        <row r="4">
          <cell r="I4">
            <v>0</v>
          </cell>
        </row>
      </sheetData>
      <sheetData sheetId="8067">
        <row r="4">
          <cell r="I4">
            <v>0</v>
          </cell>
        </row>
      </sheetData>
      <sheetData sheetId="8068">
        <row r="4">
          <cell r="I4">
            <v>0</v>
          </cell>
        </row>
      </sheetData>
      <sheetData sheetId="8069">
        <row r="4">
          <cell r="I4">
            <v>0</v>
          </cell>
        </row>
      </sheetData>
      <sheetData sheetId="8070">
        <row r="4">
          <cell r="I4">
            <v>0</v>
          </cell>
        </row>
      </sheetData>
      <sheetData sheetId="8071">
        <row r="4">
          <cell r="I4">
            <v>0</v>
          </cell>
        </row>
      </sheetData>
      <sheetData sheetId="8072">
        <row r="4">
          <cell r="I4">
            <v>0</v>
          </cell>
        </row>
      </sheetData>
      <sheetData sheetId="8073">
        <row r="4">
          <cell r="I4">
            <v>0</v>
          </cell>
        </row>
      </sheetData>
      <sheetData sheetId="8074">
        <row r="4">
          <cell r="I4">
            <v>0</v>
          </cell>
        </row>
      </sheetData>
      <sheetData sheetId="8075">
        <row r="4">
          <cell r="I4">
            <v>0</v>
          </cell>
        </row>
      </sheetData>
      <sheetData sheetId="8076">
        <row r="4">
          <cell r="I4">
            <v>0</v>
          </cell>
        </row>
      </sheetData>
      <sheetData sheetId="8077">
        <row r="4">
          <cell r="I4">
            <v>0</v>
          </cell>
        </row>
      </sheetData>
      <sheetData sheetId="8078">
        <row r="4">
          <cell r="I4">
            <v>0</v>
          </cell>
        </row>
      </sheetData>
      <sheetData sheetId="8079">
        <row r="4">
          <cell r="I4">
            <v>0</v>
          </cell>
        </row>
      </sheetData>
      <sheetData sheetId="8080">
        <row r="4">
          <cell r="I4">
            <v>0</v>
          </cell>
        </row>
      </sheetData>
      <sheetData sheetId="8081">
        <row r="4">
          <cell r="I4">
            <v>0</v>
          </cell>
        </row>
      </sheetData>
      <sheetData sheetId="8082">
        <row r="4">
          <cell r="I4">
            <v>0</v>
          </cell>
        </row>
      </sheetData>
      <sheetData sheetId="8083">
        <row r="4">
          <cell r="I4">
            <v>0</v>
          </cell>
        </row>
      </sheetData>
      <sheetData sheetId="8084">
        <row r="4">
          <cell r="I4">
            <v>0</v>
          </cell>
        </row>
      </sheetData>
      <sheetData sheetId="8085">
        <row r="4">
          <cell r="I4">
            <v>0</v>
          </cell>
        </row>
      </sheetData>
      <sheetData sheetId="8086">
        <row r="4">
          <cell r="I4">
            <v>0</v>
          </cell>
        </row>
      </sheetData>
      <sheetData sheetId="8087">
        <row r="4">
          <cell r="I4">
            <v>0</v>
          </cell>
        </row>
      </sheetData>
      <sheetData sheetId="8088">
        <row r="4">
          <cell r="I4">
            <v>0</v>
          </cell>
        </row>
      </sheetData>
      <sheetData sheetId="8089">
        <row r="4">
          <cell r="I4">
            <v>0</v>
          </cell>
        </row>
      </sheetData>
      <sheetData sheetId="8090">
        <row r="4">
          <cell r="I4">
            <v>0</v>
          </cell>
        </row>
      </sheetData>
      <sheetData sheetId="8091">
        <row r="4">
          <cell r="I4">
            <v>0</v>
          </cell>
        </row>
      </sheetData>
      <sheetData sheetId="8092">
        <row r="4">
          <cell r="I4">
            <v>0</v>
          </cell>
        </row>
      </sheetData>
      <sheetData sheetId="8093">
        <row r="4">
          <cell r="I4">
            <v>0</v>
          </cell>
        </row>
      </sheetData>
      <sheetData sheetId="8094">
        <row r="4">
          <cell r="I4">
            <v>0</v>
          </cell>
        </row>
      </sheetData>
      <sheetData sheetId="8095">
        <row r="4">
          <cell r="I4">
            <v>0</v>
          </cell>
        </row>
      </sheetData>
      <sheetData sheetId="8096">
        <row r="4">
          <cell r="I4">
            <v>0</v>
          </cell>
        </row>
      </sheetData>
      <sheetData sheetId="8097">
        <row r="4">
          <cell r="I4">
            <v>0</v>
          </cell>
        </row>
      </sheetData>
      <sheetData sheetId="8098">
        <row r="4">
          <cell r="I4">
            <v>0</v>
          </cell>
        </row>
      </sheetData>
      <sheetData sheetId="8099">
        <row r="4">
          <cell r="I4">
            <v>0</v>
          </cell>
        </row>
      </sheetData>
      <sheetData sheetId="8100">
        <row r="4">
          <cell r="I4">
            <v>0</v>
          </cell>
        </row>
      </sheetData>
      <sheetData sheetId="8101">
        <row r="4">
          <cell r="I4">
            <v>0</v>
          </cell>
        </row>
      </sheetData>
      <sheetData sheetId="8102">
        <row r="4">
          <cell r="I4">
            <v>0</v>
          </cell>
        </row>
      </sheetData>
      <sheetData sheetId="8103">
        <row r="4">
          <cell r="I4">
            <v>0</v>
          </cell>
        </row>
      </sheetData>
      <sheetData sheetId="8104">
        <row r="4">
          <cell r="I4">
            <v>0</v>
          </cell>
        </row>
      </sheetData>
      <sheetData sheetId="8105">
        <row r="4">
          <cell r="I4">
            <v>0</v>
          </cell>
        </row>
      </sheetData>
      <sheetData sheetId="8106">
        <row r="4">
          <cell r="I4">
            <v>0</v>
          </cell>
        </row>
      </sheetData>
      <sheetData sheetId="8107">
        <row r="4">
          <cell r="I4">
            <v>0</v>
          </cell>
        </row>
      </sheetData>
      <sheetData sheetId="8108">
        <row r="4">
          <cell r="I4">
            <v>0</v>
          </cell>
        </row>
      </sheetData>
      <sheetData sheetId="8109">
        <row r="4">
          <cell r="I4">
            <v>0</v>
          </cell>
        </row>
      </sheetData>
      <sheetData sheetId="8110">
        <row r="4">
          <cell r="I4">
            <v>0</v>
          </cell>
        </row>
      </sheetData>
      <sheetData sheetId="8111">
        <row r="4">
          <cell r="I4">
            <v>0</v>
          </cell>
        </row>
      </sheetData>
      <sheetData sheetId="8112">
        <row r="4">
          <cell r="I4">
            <v>0</v>
          </cell>
        </row>
      </sheetData>
      <sheetData sheetId="8113">
        <row r="4">
          <cell r="I4">
            <v>0</v>
          </cell>
        </row>
      </sheetData>
      <sheetData sheetId="8114">
        <row r="4">
          <cell r="I4">
            <v>0</v>
          </cell>
        </row>
      </sheetData>
      <sheetData sheetId="8115">
        <row r="4">
          <cell r="I4">
            <v>0</v>
          </cell>
        </row>
      </sheetData>
      <sheetData sheetId="8116">
        <row r="4">
          <cell r="I4">
            <v>0</v>
          </cell>
        </row>
      </sheetData>
      <sheetData sheetId="8117">
        <row r="4">
          <cell r="I4">
            <v>0</v>
          </cell>
        </row>
      </sheetData>
      <sheetData sheetId="8118">
        <row r="4">
          <cell r="I4">
            <v>0</v>
          </cell>
        </row>
      </sheetData>
      <sheetData sheetId="8119">
        <row r="4">
          <cell r="I4">
            <v>0</v>
          </cell>
        </row>
      </sheetData>
      <sheetData sheetId="8120">
        <row r="4">
          <cell r="I4">
            <v>0</v>
          </cell>
        </row>
      </sheetData>
      <sheetData sheetId="8121">
        <row r="4">
          <cell r="I4">
            <v>0</v>
          </cell>
        </row>
      </sheetData>
      <sheetData sheetId="8122">
        <row r="4">
          <cell r="I4">
            <v>0</v>
          </cell>
        </row>
      </sheetData>
      <sheetData sheetId="8123">
        <row r="4">
          <cell r="I4">
            <v>0</v>
          </cell>
        </row>
      </sheetData>
      <sheetData sheetId="8124">
        <row r="4">
          <cell r="I4">
            <v>0</v>
          </cell>
        </row>
      </sheetData>
      <sheetData sheetId="8125">
        <row r="4">
          <cell r="I4">
            <v>0</v>
          </cell>
        </row>
      </sheetData>
      <sheetData sheetId="8126">
        <row r="4">
          <cell r="I4">
            <v>0</v>
          </cell>
        </row>
      </sheetData>
      <sheetData sheetId="8127">
        <row r="4">
          <cell r="I4">
            <v>0</v>
          </cell>
        </row>
      </sheetData>
      <sheetData sheetId="8128">
        <row r="4">
          <cell r="I4">
            <v>0</v>
          </cell>
        </row>
      </sheetData>
      <sheetData sheetId="8129">
        <row r="4">
          <cell r="I4">
            <v>0</v>
          </cell>
        </row>
      </sheetData>
      <sheetData sheetId="8130">
        <row r="4">
          <cell r="I4">
            <v>0</v>
          </cell>
        </row>
      </sheetData>
      <sheetData sheetId="8131">
        <row r="4">
          <cell r="I4">
            <v>0</v>
          </cell>
        </row>
      </sheetData>
      <sheetData sheetId="8132">
        <row r="4">
          <cell r="I4">
            <v>0</v>
          </cell>
        </row>
      </sheetData>
      <sheetData sheetId="8133">
        <row r="4">
          <cell r="I4">
            <v>0</v>
          </cell>
        </row>
      </sheetData>
      <sheetData sheetId="8134">
        <row r="4">
          <cell r="I4">
            <v>0</v>
          </cell>
        </row>
      </sheetData>
      <sheetData sheetId="8135">
        <row r="4">
          <cell r="I4">
            <v>0</v>
          </cell>
        </row>
      </sheetData>
      <sheetData sheetId="8136">
        <row r="4">
          <cell r="I4">
            <v>0</v>
          </cell>
        </row>
      </sheetData>
      <sheetData sheetId="8137">
        <row r="4">
          <cell r="I4">
            <v>0</v>
          </cell>
        </row>
      </sheetData>
      <sheetData sheetId="8138">
        <row r="4">
          <cell r="I4">
            <v>0</v>
          </cell>
        </row>
      </sheetData>
      <sheetData sheetId="8139">
        <row r="4">
          <cell r="I4">
            <v>0</v>
          </cell>
        </row>
      </sheetData>
      <sheetData sheetId="8140">
        <row r="4">
          <cell r="I4">
            <v>0</v>
          </cell>
        </row>
      </sheetData>
      <sheetData sheetId="8141">
        <row r="4">
          <cell r="I4">
            <v>0</v>
          </cell>
        </row>
      </sheetData>
      <sheetData sheetId="8142">
        <row r="4">
          <cell r="I4">
            <v>0</v>
          </cell>
        </row>
      </sheetData>
      <sheetData sheetId="8143">
        <row r="4">
          <cell r="I4">
            <v>0</v>
          </cell>
        </row>
      </sheetData>
      <sheetData sheetId="8144">
        <row r="4">
          <cell r="I4">
            <v>0</v>
          </cell>
        </row>
      </sheetData>
      <sheetData sheetId="8145">
        <row r="4">
          <cell r="I4">
            <v>0</v>
          </cell>
        </row>
      </sheetData>
      <sheetData sheetId="8146">
        <row r="4">
          <cell r="I4">
            <v>0</v>
          </cell>
        </row>
      </sheetData>
      <sheetData sheetId="8147">
        <row r="4">
          <cell r="I4">
            <v>0</v>
          </cell>
        </row>
      </sheetData>
      <sheetData sheetId="8148">
        <row r="4">
          <cell r="I4">
            <v>0</v>
          </cell>
        </row>
      </sheetData>
      <sheetData sheetId="8149">
        <row r="4">
          <cell r="I4">
            <v>0</v>
          </cell>
        </row>
      </sheetData>
      <sheetData sheetId="8150">
        <row r="4">
          <cell r="I4">
            <v>0</v>
          </cell>
        </row>
      </sheetData>
      <sheetData sheetId="8151">
        <row r="4">
          <cell r="I4">
            <v>0</v>
          </cell>
        </row>
      </sheetData>
      <sheetData sheetId="8152">
        <row r="4">
          <cell r="I4">
            <v>0</v>
          </cell>
        </row>
      </sheetData>
      <sheetData sheetId="8153">
        <row r="4">
          <cell r="I4">
            <v>0</v>
          </cell>
        </row>
      </sheetData>
      <sheetData sheetId="8154">
        <row r="4">
          <cell r="I4">
            <v>0</v>
          </cell>
        </row>
      </sheetData>
      <sheetData sheetId="8155">
        <row r="4">
          <cell r="I4">
            <v>0</v>
          </cell>
        </row>
      </sheetData>
      <sheetData sheetId="8156">
        <row r="4">
          <cell r="I4">
            <v>0</v>
          </cell>
        </row>
      </sheetData>
      <sheetData sheetId="8157">
        <row r="4">
          <cell r="I4">
            <v>0</v>
          </cell>
        </row>
      </sheetData>
      <sheetData sheetId="8158">
        <row r="4">
          <cell r="I4">
            <v>0</v>
          </cell>
        </row>
      </sheetData>
      <sheetData sheetId="8159">
        <row r="4">
          <cell r="I4">
            <v>0</v>
          </cell>
        </row>
      </sheetData>
      <sheetData sheetId="8160">
        <row r="4">
          <cell r="I4">
            <v>0</v>
          </cell>
        </row>
      </sheetData>
      <sheetData sheetId="8161">
        <row r="4">
          <cell r="I4">
            <v>0</v>
          </cell>
        </row>
      </sheetData>
      <sheetData sheetId="8162">
        <row r="4">
          <cell r="I4">
            <v>0</v>
          </cell>
        </row>
      </sheetData>
      <sheetData sheetId="8163">
        <row r="4">
          <cell r="I4">
            <v>0</v>
          </cell>
        </row>
      </sheetData>
      <sheetData sheetId="8164">
        <row r="4">
          <cell r="I4">
            <v>0</v>
          </cell>
        </row>
      </sheetData>
      <sheetData sheetId="8165">
        <row r="4">
          <cell r="I4">
            <v>0</v>
          </cell>
        </row>
      </sheetData>
      <sheetData sheetId="8166">
        <row r="4">
          <cell r="I4">
            <v>0</v>
          </cell>
        </row>
      </sheetData>
      <sheetData sheetId="8167">
        <row r="4">
          <cell r="I4">
            <v>0</v>
          </cell>
        </row>
      </sheetData>
      <sheetData sheetId="8168">
        <row r="4">
          <cell r="I4">
            <v>0</v>
          </cell>
        </row>
      </sheetData>
      <sheetData sheetId="8169">
        <row r="4">
          <cell r="I4">
            <v>0</v>
          </cell>
        </row>
      </sheetData>
      <sheetData sheetId="8170">
        <row r="4">
          <cell r="I4">
            <v>0</v>
          </cell>
        </row>
      </sheetData>
      <sheetData sheetId="8171">
        <row r="4">
          <cell r="I4">
            <v>0</v>
          </cell>
        </row>
      </sheetData>
      <sheetData sheetId="8172">
        <row r="4">
          <cell r="I4">
            <v>0</v>
          </cell>
        </row>
      </sheetData>
      <sheetData sheetId="8173">
        <row r="4">
          <cell r="I4">
            <v>0</v>
          </cell>
        </row>
      </sheetData>
      <sheetData sheetId="8174">
        <row r="4">
          <cell r="I4">
            <v>0</v>
          </cell>
        </row>
      </sheetData>
      <sheetData sheetId="8175">
        <row r="4">
          <cell r="I4">
            <v>0</v>
          </cell>
        </row>
      </sheetData>
      <sheetData sheetId="8176">
        <row r="4">
          <cell r="I4">
            <v>0</v>
          </cell>
        </row>
      </sheetData>
      <sheetData sheetId="8177">
        <row r="4">
          <cell r="I4">
            <v>0</v>
          </cell>
        </row>
      </sheetData>
      <sheetData sheetId="8178">
        <row r="4">
          <cell r="I4">
            <v>0</v>
          </cell>
        </row>
      </sheetData>
      <sheetData sheetId="8179">
        <row r="4">
          <cell r="I4">
            <v>0</v>
          </cell>
        </row>
      </sheetData>
      <sheetData sheetId="8180">
        <row r="4">
          <cell r="I4">
            <v>0</v>
          </cell>
        </row>
      </sheetData>
      <sheetData sheetId="8181">
        <row r="4">
          <cell r="I4">
            <v>0</v>
          </cell>
        </row>
      </sheetData>
      <sheetData sheetId="8182">
        <row r="4">
          <cell r="I4">
            <v>0</v>
          </cell>
        </row>
      </sheetData>
      <sheetData sheetId="8183">
        <row r="4">
          <cell r="I4">
            <v>0</v>
          </cell>
        </row>
      </sheetData>
      <sheetData sheetId="8184">
        <row r="4">
          <cell r="I4">
            <v>0</v>
          </cell>
        </row>
      </sheetData>
      <sheetData sheetId="8185">
        <row r="4">
          <cell r="I4">
            <v>0</v>
          </cell>
        </row>
      </sheetData>
      <sheetData sheetId="8186">
        <row r="4">
          <cell r="I4">
            <v>0</v>
          </cell>
        </row>
      </sheetData>
      <sheetData sheetId="8187">
        <row r="4">
          <cell r="I4">
            <v>0</v>
          </cell>
        </row>
      </sheetData>
      <sheetData sheetId="8188">
        <row r="4">
          <cell r="I4">
            <v>0</v>
          </cell>
        </row>
      </sheetData>
      <sheetData sheetId="8189">
        <row r="4">
          <cell r="I4">
            <v>0</v>
          </cell>
        </row>
      </sheetData>
      <sheetData sheetId="8190">
        <row r="4">
          <cell r="I4">
            <v>0</v>
          </cell>
        </row>
      </sheetData>
      <sheetData sheetId="8191">
        <row r="4">
          <cell r="I4">
            <v>0</v>
          </cell>
        </row>
      </sheetData>
      <sheetData sheetId="8192">
        <row r="4">
          <cell r="I4">
            <v>0</v>
          </cell>
        </row>
      </sheetData>
      <sheetData sheetId="8193">
        <row r="4">
          <cell r="I4">
            <v>0</v>
          </cell>
        </row>
      </sheetData>
      <sheetData sheetId="8194">
        <row r="4">
          <cell r="I4">
            <v>0</v>
          </cell>
        </row>
      </sheetData>
      <sheetData sheetId="8195">
        <row r="4">
          <cell r="I4">
            <v>0</v>
          </cell>
        </row>
      </sheetData>
      <sheetData sheetId="8196">
        <row r="4">
          <cell r="I4">
            <v>0</v>
          </cell>
        </row>
      </sheetData>
      <sheetData sheetId="8197">
        <row r="4">
          <cell r="I4">
            <v>0</v>
          </cell>
        </row>
      </sheetData>
      <sheetData sheetId="8198">
        <row r="4">
          <cell r="I4">
            <v>0</v>
          </cell>
        </row>
      </sheetData>
      <sheetData sheetId="8199">
        <row r="4">
          <cell r="I4">
            <v>0</v>
          </cell>
        </row>
      </sheetData>
      <sheetData sheetId="8200">
        <row r="4">
          <cell r="I4">
            <v>0</v>
          </cell>
        </row>
      </sheetData>
      <sheetData sheetId="8201">
        <row r="4">
          <cell r="I4">
            <v>0</v>
          </cell>
        </row>
      </sheetData>
      <sheetData sheetId="8202">
        <row r="4">
          <cell r="I4">
            <v>0</v>
          </cell>
        </row>
      </sheetData>
      <sheetData sheetId="8203">
        <row r="4">
          <cell r="I4">
            <v>0</v>
          </cell>
        </row>
      </sheetData>
      <sheetData sheetId="8204">
        <row r="4">
          <cell r="I4">
            <v>0</v>
          </cell>
        </row>
      </sheetData>
      <sheetData sheetId="8205">
        <row r="4">
          <cell r="I4">
            <v>0</v>
          </cell>
        </row>
      </sheetData>
      <sheetData sheetId="8206">
        <row r="4">
          <cell r="I4">
            <v>0</v>
          </cell>
        </row>
      </sheetData>
      <sheetData sheetId="8207">
        <row r="4">
          <cell r="I4">
            <v>0</v>
          </cell>
        </row>
      </sheetData>
      <sheetData sheetId="8208">
        <row r="4">
          <cell r="I4">
            <v>0</v>
          </cell>
        </row>
      </sheetData>
      <sheetData sheetId="8209">
        <row r="4">
          <cell r="I4">
            <v>0</v>
          </cell>
        </row>
      </sheetData>
      <sheetData sheetId="8210">
        <row r="4">
          <cell r="I4">
            <v>0</v>
          </cell>
        </row>
      </sheetData>
      <sheetData sheetId="8211">
        <row r="4">
          <cell r="I4">
            <v>0</v>
          </cell>
        </row>
      </sheetData>
      <sheetData sheetId="8212">
        <row r="4">
          <cell r="I4">
            <v>0</v>
          </cell>
        </row>
      </sheetData>
      <sheetData sheetId="8213">
        <row r="4">
          <cell r="I4">
            <v>0</v>
          </cell>
        </row>
      </sheetData>
      <sheetData sheetId="8214">
        <row r="4">
          <cell r="I4">
            <v>0</v>
          </cell>
        </row>
      </sheetData>
      <sheetData sheetId="8215">
        <row r="4">
          <cell r="I4">
            <v>0</v>
          </cell>
        </row>
      </sheetData>
      <sheetData sheetId="8216">
        <row r="4">
          <cell r="I4">
            <v>0</v>
          </cell>
        </row>
      </sheetData>
      <sheetData sheetId="8217">
        <row r="4">
          <cell r="I4">
            <v>0</v>
          </cell>
        </row>
      </sheetData>
      <sheetData sheetId="8218">
        <row r="4">
          <cell r="I4">
            <v>0</v>
          </cell>
        </row>
      </sheetData>
      <sheetData sheetId="8219">
        <row r="4">
          <cell r="I4">
            <v>0</v>
          </cell>
        </row>
      </sheetData>
      <sheetData sheetId="8220">
        <row r="4">
          <cell r="I4">
            <v>0</v>
          </cell>
        </row>
      </sheetData>
      <sheetData sheetId="8221">
        <row r="4">
          <cell r="I4">
            <v>0</v>
          </cell>
        </row>
      </sheetData>
      <sheetData sheetId="8222">
        <row r="4">
          <cell r="I4">
            <v>0</v>
          </cell>
        </row>
      </sheetData>
      <sheetData sheetId="8223">
        <row r="4">
          <cell r="I4">
            <v>0</v>
          </cell>
        </row>
      </sheetData>
      <sheetData sheetId="8224">
        <row r="4">
          <cell r="I4">
            <v>0</v>
          </cell>
        </row>
      </sheetData>
      <sheetData sheetId="8225">
        <row r="4">
          <cell r="I4">
            <v>0</v>
          </cell>
        </row>
      </sheetData>
      <sheetData sheetId="8226">
        <row r="4">
          <cell r="I4">
            <v>0</v>
          </cell>
        </row>
      </sheetData>
      <sheetData sheetId="8227">
        <row r="4">
          <cell r="I4">
            <v>0</v>
          </cell>
        </row>
      </sheetData>
      <sheetData sheetId="8228">
        <row r="4">
          <cell r="I4">
            <v>0</v>
          </cell>
        </row>
      </sheetData>
      <sheetData sheetId="8229">
        <row r="4">
          <cell r="I4">
            <v>0</v>
          </cell>
        </row>
      </sheetData>
      <sheetData sheetId="8230">
        <row r="4">
          <cell r="I4">
            <v>0</v>
          </cell>
        </row>
      </sheetData>
      <sheetData sheetId="8231">
        <row r="4">
          <cell r="I4">
            <v>0</v>
          </cell>
        </row>
      </sheetData>
      <sheetData sheetId="8232">
        <row r="4">
          <cell r="I4">
            <v>0</v>
          </cell>
        </row>
      </sheetData>
      <sheetData sheetId="8233">
        <row r="4">
          <cell r="I4">
            <v>0</v>
          </cell>
        </row>
      </sheetData>
      <sheetData sheetId="8234">
        <row r="4">
          <cell r="I4">
            <v>0</v>
          </cell>
        </row>
      </sheetData>
      <sheetData sheetId="8235">
        <row r="4">
          <cell r="I4">
            <v>0</v>
          </cell>
        </row>
      </sheetData>
      <sheetData sheetId="8236">
        <row r="4">
          <cell r="I4">
            <v>0</v>
          </cell>
        </row>
      </sheetData>
      <sheetData sheetId="8237">
        <row r="4">
          <cell r="I4">
            <v>0</v>
          </cell>
        </row>
      </sheetData>
      <sheetData sheetId="8238">
        <row r="4">
          <cell r="I4">
            <v>0</v>
          </cell>
        </row>
      </sheetData>
      <sheetData sheetId="8239">
        <row r="4">
          <cell r="I4">
            <v>0</v>
          </cell>
        </row>
      </sheetData>
      <sheetData sheetId="8240">
        <row r="4">
          <cell r="I4">
            <v>0</v>
          </cell>
        </row>
      </sheetData>
      <sheetData sheetId="8241">
        <row r="4">
          <cell r="I4">
            <v>0</v>
          </cell>
        </row>
      </sheetData>
      <sheetData sheetId="8242">
        <row r="4">
          <cell r="I4">
            <v>0</v>
          </cell>
        </row>
      </sheetData>
      <sheetData sheetId="8243">
        <row r="4">
          <cell r="I4">
            <v>0</v>
          </cell>
        </row>
      </sheetData>
      <sheetData sheetId="8244">
        <row r="4">
          <cell r="I4">
            <v>0</v>
          </cell>
        </row>
      </sheetData>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ow r="4">
          <cell r="I4">
            <v>0</v>
          </cell>
        </row>
      </sheetData>
      <sheetData sheetId="8295">
        <row r="4">
          <cell r="I4">
            <v>0</v>
          </cell>
        </row>
      </sheetData>
      <sheetData sheetId="8296">
        <row r="4">
          <cell r="I4">
            <v>0</v>
          </cell>
        </row>
      </sheetData>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ow r="4">
          <cell r="I4">
            <v>0</v>
          </cell>
        </row>
      </sheetData>
      <sheetData sheetId="8334">
        <row r="4">
          <cell r="I4">
            <v>0</v>
          </cell>
        </row>
      </sheetData>
      <sheetData sheetId="8335">
        <row r="4">
          <cell r="I4">
            <v>0</v>
          </cell>
        </row>
      </sheetData>
      <sheetData sheetId="8336">
        <row r="4">
          <cell r="I4">
            <v>0</v>
          </cell>
        </row>
      </sheetData>
      <sheetData sheetId="8337">
        <row r="4">
          <cell r="I4">
            <v>0</v>
          </cell>
        </row>
      </sheetData>
      <sheetData sheetId="8338">
        <row r="4">
          <cell r="I4">
            <v>0</v>
          </cell>
        </row>
      </sheetData>
      <sheetData sheetId="8339">
        <row r="4">
          <cell r="I4">
            <v>0</v>
          </cell>
        </row>
      </sheetData>
      <sheetData sheetId="8340">
        <row r="4">
          <cell r="I4">
            <v>0</v>
          </cell>
        </row>
      </sheetData>
      <sheetData sheetId="8341">
        <row r="4">
          <cell r="I4">
            <v>0</v>
          </cell>
        </row>
      </sheetData>
      <sheetData sheetId="8342">
        <row r="4">
          <cell r="I4">
            <v>0</v>
          </cell>
        </row>
      </sheetData>
      <sheetData sheetId="8343">
        <row r="4">
          <cell r="I4">
            <v>0</v>
          </cell>
        </row>
      </sheetData>
      <sheetData sheetId="8344">
        <row r="4">
          <cell r="I4">
            <v>0</v>
          </cell>
        </row>
      </sheetData>
      <sheetData sheetId="8345">
        <row r="4">
          <cell r="I4">
            <v>0</v>
          </cell>
        </row>
      </sheetData>
      <sheetData sheetId="8346">
        <row r="4">
          <cell r="I4">
            <v>0</v>
          </cell>
        </row>
      </sheetData>
      <sheetData sheetId="8347">
        <row r="4">
          <cell r="I4">
            <v>0</v>
          </cell>
        </row>
      </sheetData>
      <sheetData sheetId="8348">
        <row r="4">
          <cell r="I4">
            <v>0</v>
          </cell>
        </row>
      </sheetData>
      <sheetData sheetId="8349">
        <row r="4">
          <cell r="I4">
            <v>0</v>
          </cell>
        </row>
      </sheetData>
      <sheetData sheetId="8350">
        <row r="4">
          <cell r="I4">
            <v>0</v>
          </cell>
        </row>
      </sheetData>
      <sheetData sheetId="8351">
        <row r="4">
          <cell r="I4">
            <v>0</v>
          </cell>
        </row>
      </sheetData>
      <sheetData sheetId="8352">
        <row r="4">
          <cell r="I4">
            <v>0</v>
          </cell>
        </row>
      </sheetData>
      <sheetData sheetId="8353">
        <row r="4">
          <cell r="I4">
            <v>0</v>
          </cell>
        </row>
      </sheetData>
      <sheetData sheetId="8354">
        <row r="4">
          <cell r="I4">
            <v>0</v>
          </cell>
        </row>
      </sheetData>
      <sheetData sheetId="8355">
        <row r="4">
          <cell r="I4">
            <v>0</v>
          </cell>
        </row>
      </sheetData>
      <sheetData sheetId="8356">
        <row r="4">
          <cell r="I4">
            <v>0</v>
          </cell>
        </row>
      </sheetData>
      <sheetData sheetId="8357">
        <row r="4">
          <cell r="I4">
            <v>0</v>
          </cell>
        </row>
      </sheetData>
      <sheetData sheetId="8358">
        <row r="4">
          <cell r="I4">
            <v>0</v>
          </cell>
        </row>
      </sheetData>
      <sheetData sheetId="8359">
        <row r="4">
          <cell r="I4">
            <v>0</v>
          </cell>
        </row>
      </sheetData>
      <sheetData sheetId="8360">
        <row r="4">
          <cell r="I4">
            <v>0</v>
          </cell>
        </row>
      </sheetData>
      <sheetData sheetId="8361">
        <row r="4">
          <cell r="I4">
            <v>0</v>
          </cell>
        </row>
      </sheetData>
      <sheetData sheetId="8362">
        <row r="4">
          <cell r="I4">
            <v>0</v>
          </cell>
        </row>
      </sheetData>
      <sheetData sheetId="8363">
        <row r="4">
          <cell r="I4">
            <v>0</v>
          </cell>
        </row>
      </sheetData>
      <sheetData sheetId="8364">
        <row r="4">
          <cell r="I4">
            <v>0</v>
          </cell>
        </row>
      </sheetData>
      <sheetData sheetId="8365">
        <row r="4">
          <cell r="I4">
            <v>0</v>
          </cell>
        </row>
      </sheetData>
      <sheetData sheetId="8366">
        <row r="4">
          <cell r="I4">
            <v>0</v>
          </cell>
        </row>
      </sheetData>
      <sheetData sheetId="8367">
        <row r="4">
          <cell r="I4">
            <v>0</v>
          </cell>
        </row>
      </sheetData>
      <sheetData sheetId="8368">
        <row r="4">
          <cell r="I4">
            <v>0</v>
          </cell>
        </row>
      </sheetData>
      <sheetData sheetId="8369">
        <row r="4">
          <cell r="I4">
            <v>0</v>
          </cell>
        </row>
      </sheetData>
      <sheetData sheetId="8370">
        <row r="4">
          <cell r="I4">
            <v>0</v>
          </cell>
        </row>
      </sheetData>
      <sheetData sheetId="8371">
        <row r="4">
          <cell r="I4">
            <v>0</v>
          </cell>
        </row>
      </sheetData>
      <sheetData sheetId="8372">
        <row r="4">
          <cell r="I4">
            <v>0</v>
          </cell>
        </row>
      </sheetData>
      <sheetData sheetId="8373">
        <row r="4">
          <cell r="I4">
            <v>0</v>
          </cell>
        </row>
      </sheetData>
      <sheetData sheetId="8374">
        <row r="4">
          <cell r="I4">
            <v>0</v>
          </cell>
        </row>
      </sheetData>
      <sheetData sheetId="8375">
        <row r="4">
          <cell r="I4">
            <v>0</v>
          </cell>
        </row>
      </sheetData>
      <sheetData sheetId="8376">
        <row r="4">
          <cell r="I4">
            <v>0</v>
          </cell>
        </row>
      </sheetData>
      <sheetData sheetId="8377">
        <row r="4">
          <cell r="I4">
            <v>0</v>
          </cell>
        </row>
      </sheetData>
      <sheetData sheetId="8378">
        <row r="4">
          <cell r="I4">
            <v>0</v>
          </cell>
        </row>
      </sheetData>
      <sheetData sheetId="8379">
        <row r="4">
          <cell r="I4">
            <v>0</v>
          </cell>
        </row>
      </sheetData>
      <sheetData sheetId="8380">
        <row r="4">
          <cell r="I4">
            <v>0</v>
          </cell>
        </row>
      </sheetData>
      <sheetData sheetId="8381">
        <row r="4">
          <cell r="I4">
            <v>0</v>
          </cell>
        </row>
      </sheetData>
      <sheetData sheetId="8382">
        <row r="4">
          <cell r="I4">
            <v>0</v>
          </cell>
        </row>
      </sheetData>
      <sheetData sheetId="8383">
        <row r="4">
          <cell r="I4">
            <v>0</v>
          </cell>
        </row>
      </sheetData>
      <sheetData sheetId="8384">
        <row r="4">
          <cell r="I4">
            <v>0</v>
          </cell>
        </row>
      </sheetData>
      <sheetData sheetId="8385">
        <row r="4">
          <cell r="I4">
            <v>0</v>
          </cell>
        </row>
      </sheetData>
      <sheetData sheetId="8386">
        <row r="4">
          <cell r="I4">
            <v>0</v>
          </cell>
        </row>
      </sheetData>
      <sheetData sheetId="8387">
        <row r="4">
          <cell r="I4">
            <v>0</v>
          </cell>
        </row>
      </sheetData>
      <sheetData sheetId="8388">
        <row r="4">
          <cell r="I4">
            <v>0</v>
          </cell>
        </row>
      </sheetData>
      <sheetData sheetId="8389">
        <row r="4">
          <cell r="I4">
            <v>0</v>
          </cell>
        </row>
      </sheetData>
      <sheetData sheetId="8390">
        <row r="4">
          <cell r="I4">
            <v>0</v>
          </cell>
        </row>
      </sheetData>
      <sheetData sheetId="8391">
        <row r="4">
          <cell r="I4">
            <v>0</v>
          </cell>
        </row>
      </sheetData>
      <sheetData sheetId="8392">
        <row r="4">
          <cell r="I4">
            <v>0</v>
          </cell>
        </row>
      </sheetData>
      <sheetData sheetId="8393">
        <row r="4">
          <cell r="I4">
            <v>0</v>
          </cell>
        </row>
      </sheetData>
      <sheetData sheetId="8394">
        <row r="4">
          <cell r="I4">
            <v>0</v>
          </cell>
        </row>
      </sheetData>
      <sheetData sheetId="8395">
        <row r="4">
          <cell r="I4">
            <v>0</v>
          </cell>
        </row>
      </sheetData>
      <sheetData sheetId="8396">
        <row r="4">
          <cell r="I4">
            <v>0</v>
          </cell>
        </row>
      </sheetData>
      <sheetData sheetId="8397">
        <row r="4">
          <cell r="I4">
            <v>0</v>
          </cell>
        </row>
      </sheetData>
      <sheetData sheetId="8398">
        <row r="4">
          <cell r="I4">
            <v>0</v>
          </cell>
        </row>
      </sheetData>
      <sheetData sheetId="8399">
        <row r="4">
          <cell r="I4">
            <v>0</v>
          </cell>
        </row>
      </sheetData>
      <sheetData sheetId="8400">
        <row r="4">
          <cell r="I4">
            <v>0</v>
          </cell>
        </row>
      </sheetData>
      <sheetData sheetId="8401">
        <row r="4">
          <cell r="I4">
            <v>0</v>
          </cell>
        </row>
      </sheetData>
      <sheetData sheetId="8402">
        <row r="4">
          <cell r="I4">
            <v>0</v>
          </cell>
        </row>
      </sheetData>
      <sheetData sheetId="8403">
        <row r="4">
          <cell r="I4">
            <v>0</v>
          </cell>
        </row>
      </sheetData>
      <sheetData sheetId="8404">
        <row r="4">
          <cell r="I4">
            <v>0</v>
          </cell>
        </row>
      </sheetData>
      <sheetData sheetId="8405">
        <row r="4">
          <cell r="I4">
            <v>0</v>
          </cell>
        </row>
      </sheetData>
      <sheetData sheetId="8406">
        <row r="4">
          <cell r="I4">
            <v>0</v>
          </cell>
        </row>
      </sheetData>
      <sheetData sheetId="8407">
        <row r="4">
          <cell r="I4">
            <v>0</v>
          </cell>
        </row>
      </sheetData>
      <sheetData sheetId="8408">
        <row r="4">
          <cell r="I4">
            <v>0</v>
          </cell>
        </row>
      </sheetData>
      <sheetData sheetId="8409">
        <row r="4">
          <cell r="I4">
            <v>0</v>
          </cell>
        </row>
      </sheetData>
      <sheetData sheetId="8410">
        <row r="4">
          <cell r="I4">
            <v>0</v>
          </cell>
        </row>
      </sheetData>
      <sheetData sheetId="8411">
        <row r="4">
          <cell r="I4">
            <v>0</v>
          </cell>
        </row>
      </sheetData>
      <sheetData sheetId="8412">
        <row r="4">
          <cell r="I4">
            <v>0</v>
          </cell>
        </row>
      </sheetData>
      <sheetData sheetId="8413">
        <row r="4">
          <cell r="I4">
            <v>0</v>
          </cell>
        </row>
      </sheetData>
      <sheetData sheetId="8414">
        <row r="4">
          <cell r="I4">
            <v>0</v>
          </cell>
        </row>
      </sheetData>
      <sheetData sheetId="8415">
        <row r="4">
          <cell r="I4">
            <v>0</v>
          </cell>
        </row>
      </sheetData>
      <sheetData sheetId="8416">
        <row r="4">
          <cell r="I4">
            <v>0</v>
          </cell>
        </row>
      </sheetData>
      <sheetData sheetId="8417">
        <row r="4">
          <cell r="I4">
            <v>0</v>
          </cell>
        </row>
      </sheetData>
      <sheetData sheetId="8418">
        <row r="4">
          <cell r="I4">
            <v>0</v>
          </cell>
        </row>
      </sheetData>
      <sheetData sheetId="8419">
        <row r="4">
          <cell r="I4">
            <v>0</v>
          </cell>
        </row>
      </sheetData>
      <sheetData sheetId="8420">
        <row r="4">
          <cell r="I4">
            <v>0</v>
          </cell>
        </row>
      </sheetData>
      <sheetData sheetId="8421">
        <row r="4">
          <cell r="I4">
            <v>0</v>
          </cell>
        </row>
      </sheetData>
      <sheetData sheetId="8422">
        <row r="4">
          <cell r="I4">
            <v>0</v>
          </cell>
        </row>
      </sheetData>
      <sheetData sheetId="8423">
        <row r="4">
          <cell r="I4">
            <v>0</v>
          </cell>
        </row>
      </sheetData>
      <sheetData sheetId="8424">
        <row r="4">
          <cell r="I4">
            <v>0</v>
          </cell>
        </row>
      </sheetData>
      <sheetData sheetId="8425">
        <row r="4">
          <cell r="I4">
            <v>0</v>
          </cell>
        </row>
      </sheetData>
      <sheetData sheetId="8426">
        <row r="4">
          <cell r="I4">
            <v>0</v>
          </cell>
        </row>
      </sheetData>
      <sheetData sheetId="8427">
        <row r="4">
          <cell r="I4">
            <v>0</v>
          </cell>
        </row>
      </sheetData>
      <sheetData sheetId="8428">
        <row r="4">
          <cell r="I4">
            <v>0</v>
          </cell>
        </row>
      </sheetData>
      <sheetData sheetId="8429">
        <row r="4">
          <cell r="I4">
            <v>0</v>
          </cell>
        </row>
      </sheetData>
      <sheetData sheetId="8430">
        <row r="4">
          <cell r="I4">
            <v>0</v>
          </cell>
        </row>
      </sheetData>
      <sheetData sheetId="8431">
        <row r="4">
          <cell r="I4">
            <v>0</v>
          </cell>
        </row>
      </sheetData>
      <sheetData sheetId="8432">
        <row r="4">
          <cell r="I4">
            <v>0</v>
          </cell>
        </row>
      </sheetData>
      <sheetData sheetId="8433">
        <row r="4">
          <cell r="I4">
            <v>0</v>
          </cell>
        </row>
      </sheetData>
      <sheetData sheetId="8434">
        <row r="4">
          <cell r="I4">
            <v>0</v>
          </cell>
        </row>
      </sheetData>
      <sheetData sheetId="8435">
        <row r="4">
          <cell r="I4">
            <v>0</v>
          </cell>
        </row>
      </sheetData>
      <sheetData sheetId="8436">
        <row r="4">
          <cell r="I4">
            <v>0</v>
          </cell>
        </row>
      </sheetData>
      <sheetData sheetId="8437">
        <row r="4">
          <cell r="I4">
            <v>0</v>
          </cell>
        </row>
      </sheetData>
      <sheetData sheetId="8438">
        <row r="4">
          <cell r="I4">
            <v>0</v>
          </cell>
        </row>
      </sheetData>
      <sheetData sheetId="8439">
        <row r="4">
          <cell r="I4">
            <v>0</v>
          </cell>
        </row>
      </sheetData>
      <sheetData sheetId="8440">
        <row r="4">
          <cell r="I4">
            <v>0</v>
          </cell>
        </row>
      </sheetData>
      <sheetData sheetId="8441">
        <row r="4">
          <cell r="I4">
            <v>0</v>
          </cell>
        </row>
      </sheetData>
      <sheetData sheetId="8442">
        <row r="4">
          <cell r="I4">
            <v>0</v>
          </cell>
        </row>
      </sheetData>
      <sheetData sheetId="8443">
        <row r="4">
          <cell r="I4">
            <v>0</v>
          </cell>
        </row>
      </sheetData>
      <sheetData sheetId="8444">
        <row r="4">
          <cell r="I4">
            <v>0</v>
          </cell>
        </row>
      </sheetData>
      <sheetData sheetId="8445">
        <row r="4">
          <cell r="I4">
            <v>0</v>
          </cell>
        </row>
      </sheetData>
      <sheetData sheetId="8446">
        <row r="4">
          <cell r="I4">
            <v>0</v>
          </cell>
        </row>
      </sheetData>
      <sheetData sheetId="8447">
        <row r="4">
          <cell r="I4">
            <v>0</v>
          </cell>
        </row>
      </sheetData>
      <sheetData sheetId="8448">
        <row r="4">
          <cell r="I4">
            <v>0</v>
          </cell>
        </row>
      </sheetData>
      <sheetData sheetId="8449">
        <row r="4">
          <cell r="I4">
            <v>0</v>
          </cell>
        </row>
      </sheetData>
      <sheetData sheetId="8450">
        <row r="4">
          <cell r="I4">
            <v>0</v>
          </cell>
        </row>
      </sheetData>
      <sheetData sheetId="8451">
        <row r="4">
          <cell r="I4">
            <v>0</v>
          </cell>
        </row>
      </sheetData>
      <sheetData sheetId="8452">
        <row r="4">
          <cell r="I4">
            <v>0</v>
          </cell>
        </row>
      </sheetData>
      <sheetData sheetId="8453">
        <row r="4">
          <cell r="I4">
            <v>0</v>
          </cell>
        </row>
      </sheetData>
      <sheetData sheetId="8454">
        <row r="4">
          <cell r="I4">
            <v>0</v>
          </cell>
        </row>
      </sheetData>
      <sheetData sheetId="8455">
        <row r="4">
          <cell r="I4">
            <v>0</v>
          </cell>
        </row>
      </sheetData>
      <sheetData sheetId="8456">
        <row r="4">
          <cell r="I4">
            <v>0</v>
          </cell>
        </row>
      </sheetData>
      <sheetData sheetId="8457">
        <row r="4">
          <cell r="I4">
            <v>0</v>
          </cell>
        </row>
      </sheetData>
      <sheetData sheetId="8458">
        <row r="4">
          <cell r="I4">
            <v>0</v>
          </cell>
        </row>
      </sheetData>
      <sheetData sheetId="8459">
        <row r="4">
          <cell r="I4">
            <v>0</v>
          </cell>
        </row>
      </sheetData>
      <sheetData sheetId="8460">
        <row r="4">
          <cell r="I4">
            <v>0</v>
          </cell>
        </row>
      </sheetData>
      <sheetData sheetId="8461">
        <row r="4">
          <cell r="I4">
            <v>0</v>
          </cell>
        </row>
      </sheetData>
      <sheetData sheetId="8462">
        <row r="4">
          <cell r="I4">
            <v>0</v>
          </cell>
        </row>
      </sheetData>
      <sheetData sheetId="8463">
        <row r="4">
          <cell r="I4">
            <v>0</v>
          </cell>
        </row>
      </sheetData>
      <sheetData sheetId="8464">
        <row r="4">
          <cell r="I4">
            <v>0</v>
          </cell>
        </row>
      </sheetData>
      <sheetData sheetId="8465">
        <row r="4">
          <cell r="I4">
            <v>0</v>
          </cell>
        </row>
      </sheetData>
      <sheetData sheetId="8466">
        <row r="4">
          <cell r="I4">
            <v>0</v>
          </cell>
        </row>
      </sheetData>
      <sheetData sheetId="8467">
        <row r="4">
          <cell r="I4">
            <v>0</v>
          </cell>
        </row>
      </sheetData>
      <sheetData sheetId="8468">
        <row r="4">
          <cell r="I4">
            <v>0</v>
          </cell>
        </row>
      </sheetData>
      <sheetData sheetId="8469">
        <row r="4">
          <cell r="I4">
            <v>0</v>
          </cell>
        </row>
      </sheetData>
      <sheetData sheetId="8470">
        <row r="4">
          <cell r="I4">
            <v>0</v>
          </cell>
        </row>
      </sheetData>
      <sheetData sheetId="8471">
        <row r="4">
          <cell r="I4">
            <v>0</v>
          </cell>
        </row>
      </sheetData>
      <sheetData sheetId="8472">
        <row r="4">
          <cell r="I4">
            <v>0</v>
          </cell>
        </row>
      </sheetData>
      <sheetData sheetId="8473">
        <row r="4">
          <cell r="I4">
            <v>0</v>
          </cell>
        </row>
      </sheetData>
      <sheetData sheetId="8474">
        <row r="4">
          <cell r="I4">
            <v>0</v>
          </cell>
        </row>
      </sheetData>
      <sheetData sheetId="8475">
        <row r="4">
          <cell r="I4">
            <v>0</v>
          </cell>
        </row>
      </sheetData>
      <sheetData sheetId="8476">
        <row r="4">
          <cell r="I4">
            <v>0</v>
          </cell>
        </row>
      </sheetData>
      <sheetData sheetId="8477">
        <row r="4">
          <cell r="I4">
            <v>0</v>
          </cell>
        </row>
      </sheetData>
      <sheetData sheetId="8478">
        <row r="4">
          <cell r="I4">
            <v>0</v>
          </cell>
        </row>
      </sheetData>
      <sheetData sheetId="8479">
        <row r="4">
          <cell r="I4">
            <v>0</v>
          </cell>
        </row>
      </sheetData>
      <sheetData sheetId="8480">
        <row r="4">
          <cell r="I4">
            <v>0</v>
          </cell>
        </row>
      </sheetData>
      <sheetData sheetId="8481">
        <row r="4">
          <cell r="I4">
            <v>0</v>
          </cell>
        </row>
      </sheetData>
      <sheetData sheetId="8482">
        <row r="4">
          <cell r="I4">
            <v>0</v>
          </cell>
        </row>
      </sheetData>
      <sheetData sheetId="8483">
        <row r="4">
          <cell r="I4">
            <v>0</v>
          </cell>
        </row>
      </sheetData>
      <sheetData sheetId="8484">
        <row r="4">
          <cell r="I4">
            <v>0</v>
          </cell>
        </row>
      </sheetData>
      <sheetData sheetId="8485">
        <row r="4">
          <cell r="I4">
            <v>0</v>
          </cell>
        </row>
      </sheetData>
      <sheetData sheetId="8486">
        <row r="4">
          <cell r="I4">
            <v>0</v>
          </cell>
        </row>
      </sheetData>
      <sheetData sheetId="8487">
        <row r="4">
          <cell r="I4">
            <v>0</v>
          </cell>
        </row>
      </sheetData>
      <sheetData sheetId="8488">
        <row r="4">
          <cell r="I4">
            <v>0</v>
          </cell>
        </row>
      </sheetData>
      <sheetData sheetId="8489">
        <row r="4">
          <cell r="I4">
            <v>0</v>
          </cell>
        </row>
      </sheetData>
      <sheetData sheetId="8490">
        <row r="4">
          <cell r="I4">
            <v>0</v>
          </cell>
        </row>
      </sheetData>
      <sheetData sheetId="8491">
        <row r="4">
          <cell r="I4">
            <v>0</v>
          </cell>
        </row>
      </sheetData>
      <sheetData sheetId="8492">
        <row r="4">
          <cell r="I4">
            <v>0</v>
          </cell>
        </row>
      </sheetData>
      <sheetData sheetId="8493">
        <row r="4">
          <cell r="I4">
            <v>0</v>
          </cell>
        </row>
      </sheetData>
      <sheetData sheetId="8494">
        <row r="4">
          <cell r="I4">
            <v>0</v>
          </cell>
        </row>
      </sheetData>
      <sheetData sheetId="8495">
        <row r="4">
          <cell r="I4">
            <v>0</v>
          </cell>
        </row>
      </sheetData>
      <sheetData sheetId="8496">
        <row r="4">
          <cell r="I4">
            <v>0</v>
          </cell>
        </row>
      </sheetData>
      <sheetData sheetId="8497">
        <row r="4">
          <cell r="I4">
            <v>0</v>
          </cell>
        </row>
      </sheetData>
      <sheetData sheetId="8498">
        <row r="4">
          <cell r="I4">
            <v>0</v>
          </cell>
        </row>
      </sheetData>
      <sheetData sheetId="8499">
        <row r="4">
          <cell r="I4">
            <v>0</v>
          </cell>
        </row>
      </sheetData>
      <sheetData sheetId="8500">
        <row r="4">
          <cell r="I4">
            <v>0</v>
          </cell>
        </row>
      </sheetData>
      <sheetData sheetId="8501">
        <row r="4">
          <cell r="I4">
            <v>0</v>
          </cell>
        </row>
      </sheetData>
      <sheetData sheetId="8502">
        <row r="4">
          <cell r="I4">
            <v>0</v>
          </cell>
        </row>
      </sheetData>
      <sheetData sheetId="8503">
        <row r="4">
          <cell r="I4">
            <v>0</v>
          </cell>
        </row>
      </sheetData>
      <sheetData sheetId="8504">
        <row r="4">
          <cell r="I4">
            <v>0</v>
          </cell>
        </row>
      </sheetData>
      <sheetData sheetId="8505">
        <row r="4">
          <cell r="I4">
            <v>0</v>
          </cell>
        </row>
      </sheetData>
      <sheetData sheetId="8506">
        <row r="4">
          <cell r="I4">
            <v>0</v>
          </cell>
        </row>
      </sheetData>
      <sheetData sheetId="8507">
        <row r="4">
          <cell r="I4">
            <v>0</v>
          </cell>
        </row>
      </sheetData>
      <sheetData sheetId="8508">
        <row r="4">
          <cell r="I4">
            <v>0</v>
          </cell>
        </row>
      </sheetData>
      <sheetData sheetId="8509">
        <row r="4">
          <cell r="I4">
            <v>0</v>
          </cell>
        </row>
      </sheetData>
      <sheetData sheetId="8510">
        <row r="4">
          <cell r="I4">
            <v>0</v>
          </cell>
        </row>
      </sheetData>
      <sheetData sheetId="8511">
        <row r="4">
          <cell r="I4">
            <v>0</v>
          </cell>
        </row>
      </sheetData>
      <sheetData sheetId="8512">
        <row r="4">
          <cell r="I4">
            <v>0</v>
          </cell>
        </row>
      </sheetData>
      <sheetData sheetId="8513">
        <row r="4">
          <cell r="I4">
            <v>0</v>
          </cell>
        </row>
      </sheetData>
      <sheetData sheetId="8514">
        <row r="4">
          <cell r="I4">
            <v>0</v>
          </cell>
        </row>
      </sheetData>
      <sheetData sheetId="8515">
        <row r="4">
          <cell r="I4">
            <v>0</v>
          </cell>
        </row>
      </sheetData>
      <sheetData sheetId="8516">
        <row r="4">
          <cell r="I4">
            <v>0</v>
          </cell>
        </row>
      </sheetData>
      <sheetData sheetId="8517">
        <row r="4">
          <cell r="I4">
            <v>0</v>
          </cell>
        </row>
      </sheetData>
      <sheetData sheetId="8518">
        <row r="4">
          <cell r="I4">
            <v>0</v>
          </cell>
        </row>
      </sheetData>
      <sheetData sheetId="8519">
        <row r="4">
          <cell r="I4">
            <v>0</v>
          </cell>
        </row>
      </sheetData>
      <sheetData sheetId="8520">
        <row r="4">
          <cell r="I4">
            <v>0</v>
          </cell>
        </row>
      </sheetData>
      <sheetData sheetId="8521">
        <row r="4">
          <cell r="I4">
            <v>0</v>
          </cell>
        </row>
      </sheetData>
      <sheetData sheetId="8522">
        <row r="4">
          <cell r="I4">
            <v>0</v>
          </cell>
        </row>
      </sheetData>
      <sheetData sheetId="8523">
        <row r="4">
          <cell r="I4">
            <v>0</v>
          </cell>
        </row>
      </sheetData>
      <sheetData sheetId="8524">
        <row r="4">
          <cell r="I4">
            <v>0</v>
          </cell>
        </row>
      </sheetData>
      <sheetData sheetId="8525">
        <row r="4">
          <cell r="I4">
            <v>0</v>
          </cell>
        </row>
      </sheetData>
      <sheetData sheetId="8526">
        <row r="4">
          <cell r="I4">
            <v>0</v>
          </cell>
        </row>
      </sheetData>
      <sheetData sheetId="8527">
        <row r="4">
          <cell r="I4">
            <v>0</v>
          </cell>
        </row>
      </sheetData>
      <sheetData sheetId="8528">
        <row r="4">
          <cell r="I4">
            <v>0</v>
          </cell>
        </row>
      </sheetData>
      <sheetData sheetId="8529">
        <row r="4">
          <cell r="I4">
            <v>0</v>
          </cell>
        </row>
      </sheetData>
      <sheetData sheetId="8530">
        <row r="4">
          <cell r="I4">
            <v>0</v>
          </cell>
        </row>
      </sheetData>
      <sheetData sheetId="8531">
        <row r="4">
          <cell r="I4">
            <v>0</v>
          </cell>
        </row>
      </sheetData>
      <sheetData sheetId="8532">
        <row r="4">
          <cell r="I4">
            <v>0</v>
          </cell>
        </row>
      </sheetData>
      <sheetData sheetId="8533">
        <row r="4">
          <cell r="I4">
            <v>0</v>
          </cell>
        </row>
      </sheetData>
      <sheetData sheetId="8534">
        <row r="4">
          <cell r="I4">
            <v>0</v>
          </cell>
        </row>
      </sheetData>
      <sheetData sheetId="8535">
        <row r="4">
          <cell r="I4">
            <v>0</v>
          </cell>
        </row>
      </sheetData>
      <sheetData sheetId="8536">
        <row r="4">
          <cell r="I4">
            <v>0</v>
          </cell>
        </row>
      </sheetData>
      <sheetData sheetId="8537">
        <row r="4">
          <cell r="I4">
            <v>0</v>
          </cell>
        </row>
      </sheetData>
      <sheetData sheetId="8538">
        <row r="4">
          <cell r="I4">
            <v>0</v>
          </cell>
        </row>
      </sheetData>
      <sheetData sheetId="8539">
        <row r="4">
          <cell r="I4">
            <v>0</v>
          </cell>
        </row>
      </sheetData>
      <sheetData sheetId="8540">
        <row r="4">
          <cell r="I4">
            <v>0</v>
          </cell>
        </row>
      </sheetData>
      <sheetData sheetId="8541">
        <row r="4">
          <cell r="I4">
            <v>0</v>
          </cell>
        </row>
      </sheetData>
      <sheetData sheetId="8542">
        <row r="4">
          <cell r="I4">
            <v>0</v>
          </cell>
        </row>
      </sheetData>
      <sheetData sheetId="8543">
        <row r="4">
          <cell r="I4">
            <v>0</v>
          </cell>
        </row>
      </sheetData>
      <sheetData sheetId="8544">
        <row r="4">
          <cell r="I4">
            <v>0</v>
          </cell>
        </row>
      </sheetData>
      <sheetData sheetId="8545">
        <row r="4">
          <cell r="I4">
            <v>0</v>
          </cell>
        </row>
      </sheetData>
      <sheetData sheetId="8546">
        <row r="4">
          <cell r="I4">
            <v>0</v>
          </cell>
        </row>
      </sheetData>
      <sheetData sheetId="8547">
        <row r="4">
          <cell r="I4">
            <v>0</v>
          </cell>
        </row>
      </sheetData>
      <sheetData sheetId="8548">
        <row r="4">
          <cell r="I4">
            <v>0</v>
          </cell>
        </row>
      </sheetData>
      <sheetData sheetId="8549">
        <row r="4">
          <cell r="I4">
            <v>0</v>
          </cell>
        </row>
      </sheetData>
      <sheetData sheetId="8550">
        <row r="4">
          <cell r="I4">
            <v>0</v>
          </cell>
        </row>
      </sheetData>
      <sheetData sheetId="8551">
        <row r="4">
          <cell r="I4">
            <v>0</v>
          </cell>
        </row>
      </sheetData>
      <sheetData sheetId="8552">
        <row r="4">
          <cell r="I4">
            <v>0</v>
          </cell>
        </row>
      </sheetData>
      <sheetData sheetId="8553">
        <row r="4">
          <cell r="I4">
            <v>0</v>
          </cell>
        </row>
      </sheetData>
      <sheetData sheetId="8554">
        <row r="4">
          <cell r="I4">
            <v>0</v>
          </cell>
        </row>
      </sheetData>
      <sheetData sheetId="8555">
        <row r="4">
          <cell r="I4">
            <v>0</v>
          </cell>
        </row>
      </sheetData>
      <sheetData sheetId="8556">
        <row r="4">
          <cell r="I4">
            <v>0</v>
          </cell>
        </row>
      </sheetData>
      <sheetData sheetId="8557">
        <row r="4">
          <cell r="I4">
            <v>0</v>
          </cell>
        </row>
      </sheetData>
      <sheetData sheetId="8558">
        <row r="4">
          <cell r="I4">
            <v>0</v>
          </cell>
        </row>
      </sheetData>
      <sheetData sheetId="8559">
        <row r="4">
          <cell r="I4">
            <v>0</v>
          </cell>
        </row>
      </sheetData>
      <sheetData sheetId="8560">
        <row r="4">
          <cell r="I4">
            <v>0</v>
          </cell>
        </row>
      </sheetData>
      <sheetData sheetId="8561">
        <row r="4">
          <cell r="I4">
            <v>0</v>
          </cell>
        </row>
      </sheetData>
      <sheetData sheetId="8562">
        <row r="4">
          <cell r="I4">
            <v>0</v>
          </cell>
        </row>
      </sheetData>
      <sheetData sheetId="8563">
        <row r="4">
          <cell r="I4">
            <v>0</v>
          </cell>
        </row>
      </sheetData>
      <sheetData sheetId="8564">
        <row r="4">
          <cell r="I4">
            <v>0</v>
          </cell>
        </row>
      </sheetData>
      <sheetData sheetId="8565">
        <row r="4">
          <cell r="I4">
            <v>0</v>
          </cell>
        </row>
      </sheetData>
      <sheetData sheetId="8566">
        <row r="4">
          <cell r="I4">
            <v>0</v>
          </cell>
        </row>
      </sheetData>
      <sheetData sheetId="8567">
        <row r="4">
          <cell r="I4">
            <v>0</v>
          </cell>
        </row>
      </sheetData>
      <sheetData sheetId="8568">
        <row r="4">
          <cell r="I4">
            <v>0</v>
          </cell>
        </row>
      </sheetData>
      <sheetData sheetId="8569">
        <row r="4">
          <cell r="I4">
            <v>0</v>
          </cell>
        </row>
      </sheetData>
      <sheetData sheetId="8570">
        <row r="4">
          <cell r="I4">
            <v>0</v>
          </cell>
        </row>
      </sheetData>
      <sheetData sheetId="8571">
        <row r="4">
          <cell r="I4">
            <v>0</v>
          </cell>
        </row>
      </sheetData>
      <sheetData sheetId="8572">
        <row r="4">
          <cell r="I4">
            <v>0</v>
          </cell>
        </row>
      </sheetData>
      <sheetData sheetId="8573">
        <row r="4">
          <cell r="I4">
            <v>0</v>
          </cell>
        </row>
      </sheetData>
      <sheetData sheetId="8574">
        <row r="4">
          <cell r="I4">
            <v>0</v>
          </cell>
        </row>
      </sheetData>
      <sheetData sheetId="8575">
        <row r="4">
          <cell r="I4">
            <v>0</v>
          </cell>
        </row>
      </sheetData>
      <sheetData sheetId="8576">
        <row r="4">
          <cell r="I4">
            <v>0</v>
          </cell>
        </row>
      </sheetData>
      <sheetData sheetId="8577">
        <row r="4">
          <cell r="I4">
            <v>0</v>
          </cell>
        </row>
      </sheetData>
      <sheetData sheetId="8578">
        <row r="4">
          <cell r="I4">
            <v>0</v>
          </cell>
        </row>
      </sheetData>
      <sheetData sheetId="8579">
        <row r="4">
          <cell r="I4">
            <v>0</v>
          </cell>
        </row>
      </sheetData>
      <sheetData sheetId="8580">
        <row r="4">
          <cell r="I4">
            <v>0</v>
          </cell>
        </row>
      </sheetData>
      <sheetData sheetId="8581">
        <row r="4">
          <cell r="I4">
            <v>0</v>
          </cell>
        </row>
      </sheetData>
      <sheetData sheetId="8582">
        <row r="4">
          <cell r="I4">
            <v>0</v>
          </cell>
        </row>
      </sheetData>
      <sheetData sheetId="8583">
        <row r="4">
          <cell r="I4">
            <v>0</v>
          </cell>
        </row>
      </sheetData>
      <sheetData sheetId="8584">
        <row r="4">
          <cell r="I4">
            <v>0</v>
          </cell>
        </row>
      </sheetData>
      <sheetData sheetId="8585">
        <row r="4">
          <cell r="I4">
            <v>0</v>
          </cell>
        </row>
      </sheetData>
      <sheetData sheetId="8586">
        <row r="4">
          <cell r="I4">
            <v>0</v>
          </cell>
        </row>
      </sheetData>
      <sheetData sheetId="8587">
        <row r="4">
          <cell r="I4">
            <v>0</v>
          </cell>
        </row>
      </sheetData>
      <sheetData sheetId="8588">
        <row r="4">
          <cell r="I4">
            <v>0</v>
          </cell>
        </row>
      </sheetData>
      <sheetData sheetId="8589">
        <row r="4">
          <cell r="I4">
            <v>0</v>
          </cell>
        </row>
      </sheetData>
      <sheetData sheetId="8590">
        <row r="4">
          <cell r="I4">
            <v>0</v>
          </cell>
        </row>
      </sheetData>
      <sheetData sheetId="8591">
        <row r="4">
          <cell r="I4">
            <v>0</v>
          </cell>
        </row>
      </sheetData>
      <sheetData sheetId="8592">
        <row r="4">
          <cell r="I4">
            <v>0</v>
          </cell>
        </row>
      </sheetData>
      <sheetData sheetId="8593">
        <row r="4">
          <cell r="I4">
            <v>0</v>
          </cell>
        </row>
      </sheetData>
      <sheetData sheetId="8594">
        <row r="4">
          <cell r="I4">
            <v>0</v>
          </cell>
        </row>
      </sheetData>
      <sheetData sheetId="8595">
        <row r="4">
          <cell r="I4">
            <v>0</v>
          </cell>
        </row>
      </sheetData>
      <sheetData sheetId="8596">
        <row r="4">
          <cell r="I4">
            <v>0</v>
          </cell>
        </row>
      </sheetData>
      <sheetData sheetId="8597">
        <row r="4">
          <cell r="I4">
            <v>0</v>
          </cell>
        </row>
      </sheetData>
      <sheetData sheetId="8598">
        <row r="4">
          <cell r="I4">
            <v>0</v>
          </cell>
        </row>
      </sheetData>
      <sheetData sheetId="8599">
        <row r="4">
          <cell r="I4">
            <v>0</v>
          </cell>
        </row>
      </sheetData>
      <sheetData sheetId="8600">
        <row r="4">
          <cell r="I4">
            <v>0</v>
          </cell>
        </row>
      </sheetData>
      <sheetData sheetId="8601">
        <row r="4">
          <cell r="I4">
            <v>0</v>
          </cell>
        </row>
      </sheetData>
      <sheetData sheetId="8602">
        <row r="4">
          <cell r="I4">
            <v>0</v>
          </cell>
        </row>
      </sheetData>
      <sheetData sheetId="8603">
        <row r="4">
          <cell r="I4">
            <v>0</v>
          </cell>
        </row>
      </sheetData>
      <sheetData sheetId="8604">
        <row r="4">
          <cell r="I4">
            <v>0</v>
          </cell>
        </row>
      </sheetData>
      <sheetData sheetId="8605">
        <row r="4">
          <cell r="I4">
            <v>0</v>
          </cell>
        </row>
      </sheetData>
      <sheetData sheetId="8606">
        <row r="4">
          <cell r="I4">
            <v>0</v>
          </cell>
        </row>
      </sheetData>
      <sheetData sheetId="8607">
        <row r="4">
          <cell r="I4">
            <v>0</v>
          </cell>
        </row>
      </sheetData>
      <sheetData sheetId="8608">
        <row r="4">
          <cell r="I4">
            <v>0</v>
          </cell>
        </row>
      </sheetData>
      <sheetData sheetId="8609">
        <row r="4">
          <cell r="I4">
            <v>0</v>
          </cell>
        </row>
      </sheetData>
      <sheetData sheetId="8610">
        <row r="4">
          <cell r="I4">
            <v>0</v>
          </cell>
        </row>
      </sheetData>
      <sheetData sheetId="8611">
        <row r="4">
          <cell r="I4">
            <v>0</v>
          </cell>
        </row>
      </sheetData>
      <sheetData sheetId="8612">
        <row r="4">
          <cell r="I4">
            <v>0</v>
          </cell>
        </row>
      </sheetData>
      <sheetData sheetId="8613">
        <row r="4">
          <cell r="I4">
            <v>0</v>
          </cell>
        </row>
      </sheetData>
      <sheetData sheetId="8614">
        <row r="4">
          <cell r="I4">
            <v>0</v>
          </cell>
        </row>
      </sheetData>
      <sheetData sheetId="8615">
        <row r="4">
          <cell r="I4">
            <v>0</v>
          </cell>
        </row>
      </sheetData>
      <sheetData sheetId="8616">
        <row r="4">
          <cell r="I4">
            <v>0</v>
          </cell>
        </row>
      </sheetData>
      <sheetData sheetId="8617">
        <row r="4">
          <cell r="I4">
            <v>0</v>
          </cell>
        </row>
      </sheetData>
      <sheetData sheetId="8618">
        <row r="4">
          <cell r="I4">
            <v>0</v>
          </cell>
        </row>
      </sheetData>
      <sheetData sheetId="8619">
        <row r="4">
          <cell r="I4">
            <v>0</v>
          </cell>
        </row>
      </sheetData>
      <sheetData sheetId="8620">
        <row r="4">
          <cell r="I4">
            <v>0</v>
          </cell>
        </row>
      </sheetData>
      <sheetData sheetId="8621">
        <row r="4">
          <cell r="I4">
            <v>0</v>
          </cell>
        </row>
      </sheetData>
      <sheetData sheetId="8622">
        <row r="4">
          <cell r="I4">
            <v>0</v>
          </cell>
        </row>
      </sheetData>
      <sheetData sheetId="8623">
        <row r="4">
          <cell r="I4">
            <v>0</v>
          </cell>
        </row>
      </sheetData>
      <sheetData sheetId="8624">
        <row r="4">
          <cell r="I4">
            <v>0</v>
          </cell>
        </row>
      </sheetData>
      <sheetData sheetId="8625">
        <row r="4">
          <cell r="I4">
            <v>0</v>
          </cell>
        </row>
      </sheetData>
      <sheetData sheetId="8626">
        <row r="4">
          <cell r="I4">
            <v>0</v>
          </cell>
        </row>
      </sheetData>
      <sheetData sheetId="8627">
        <row r="4">
          <cell r="I4">
            <v>0</v>
          </cell>
        </row>
      </sheetData>
      <sheetData sheetId="8628">
        <row r="4">
          <cell r="I4">
            <v>0</v>
          </cell>
        </row>
      </sheetData>
      <sheetData sheetId="8629">
        <row r="4">
          <cell r="I4">
            <v>0</v>
          </cell>
        </row>
      </sheetData>
      <sheetData sheetId="8630">
        <row r="4">
          <cell r="I4">
            <v>0</v>
          </cell>
        </row>
      </sheetData>
      <sheetData sheetId="8631">
        <row r="4">
          <cell r="I4">
            <v>0</v>
          </cell>
        </row>
      </sheetData>
      <sheetData sheetId="8632">
        <row r="4">
          <cell r="I4">
            <v>0</v>
          </cell>
        </row>
      </sheetData>
      <sheetData sheetId="8633">
        <row r="4">
          <cell r="I4">
            <v>0</v>
          </cell>
        </row>
      </sheetData>
      <sheetData sheetId="8634">
        <row r="4">
          <cell r="I4">
            <v>0</v>
          </cell>
        </row>
      </sheetData>
      <sheetData sheetId="8635">
        <row r="4">
          <cell r="I4">
            <v>0</v>
          </cell>
        </row>
      </sheetData>
      <sheetData sheetId="8636">
        <row r="4">
          <cell r="I4">
            <v>0</v>
          </cell>
        </row>
      </sheetData>
      <sheetData sheetId="8637">
        <row r="4">
          <cell r="I4">
            <v>0</v>
          </cell>
        </row>
      </sheetData>
      <sheetData sheetId="8638">
        <row r="4">
          <cell r="I4">
            <v>0</v>
          </cell>
        </row>
      </sheetData>
      <sheetData sheetId="8639">
        <row r="4">
          <cell r="I4">
            <v>0</v>
          </cell>
        </row>
      </sheetData>
      <sheetData sheetId="8640">
        <row r="4">
          <cell r="I4">
            <v>0</v>
          </cell>
        </row>
      </sheetData>
      <sheetData sheetId="8641">
        <row r="4">
          <cell r="I4">
            <v>0</v>
          </cell>
        </row>
      </sheetData>
      <sheetData sheetId="8642">
        <row r="4">
          <cell r="I4">
            <v>0</v>
          </cell>
        </row>
      </sheetData>
      <sheetData sheetId="8643">
        <row r="4">
          <cell r="I4">
            <v>0</v>
          </cell>
        </row>
      </sheetData>
      <sheetData sheetId="8644">
        <row r="4">
          <cell r="I4">
            <v>0</v>
          </cell>
        </row>
      </sheetData>
      <sheetData sheetId="8645">
        <row r="4">
          <cell r="I4">
            <v>0</v>
          </cell>
        </row>
      </sheetData>
      <sheetData sheetId="8646">
        <row r="4">
          <cell r="I4">
            <v>0</v>
          </cell>
        </row>
      </sheetData>
      <sheetData sheetId="8647">
        <row r="4">
          <cell r="I4">
            <v>0</v>
          </cell>
        </row>
      </sheetData>
      <sheetData sheetId="8648">
        <row r="4">
          <cell r="I4">
            <v>0</v>
          </cell>
        </row>
      </sheetData>
      <sheetData sheetId="8649">
        <row r="4">
          <cell r="I4">
            <v>0</v>
          </cell>
        </row>
      </sheetData>
      <sheetData sheetId="8650">
        <row r="4">
          <cell r="I4">
            <v>0</v>
          </cell>
        </row>
      </sheetData>
      <sheetData sheetId="8651">
        <row r="4">
          <cell r="I4">
            <v>0</v>
          </cell>
        </row>
      </sheetData>
      <sheetData sheetId="8652">
        <row r="4">
          <cell r="I4">
            <v>0</v>
          </cell>
        </row>
      </sheetData>
      <sheetData sheetId="8653">
        <row r="4">
          <cell r="I4">
            <v>0</v>
          </cell>
        </row>
      </sheetData>
      <sheetData sheetId="8654">
        <row r="4">
          <cell r="I4">
            <v>0</v>
          </cell>
        </row>
      </sheetData>
      <sheetData sheetId="8655">
        <row r="4">
          <cell r="I4">
            <v>0</v>
          </cell>
        </row>
      </sheetData>
      <sheetData sheetId="8656">
        <row r="4">
          <cell r="I4">
            <v>0</v>
          </cell>
        </row>
      </sheetData>
      <sheetData sheetId="8657">
        <row r="4">
          <cell r="I4">
            <v>0</v>
          </cell>
        </row>
      </sheetData>
      <sheetData sheetId="8658">
        <row r="4">
          <cell r="I4">
            <v>0</v>
          </cell>
        </row>
      </sheetData>
      <sheetData sheetId="8659">
        <row r="4">
          <cell r="I4">
            <v>0</v>
          </cell>
        </row>
      </sheetData>
      <sheetData sheetId="8660">
        <row r="4">
          <cell r="I4">
            <v>0</v>
          </cell>
        </row>
      </sheetData>
      <sheetData sheetId="8661">
        <row r="4">
          <cell r="I4">
            <v>0</v>
          </cell>
        </row>
      </sheetData>
      <sheetData sheetId="8662">
        <row r="4">
          <cell r="I4">
            <v>0</v>
          </cell>
        </row>
      </sheetData>
      <sheetData sheetId="8663">
        <row r="4">
          <cell r="I4">
            <v>0</v>
          </cell>
        </row>
      </sheetData>
      <sheetData sheetId="8664">
        <row r="4">
          <cell r="I4">
            <v>0</v>
          </cell>
        </row>
      </sheetData>
      <sheetData sheetId="8665">
        <row r="4">
          <cell r="I4">
            <v>0</v>
          </cell>
        </row>
      </sheetData>
      <sheetData sheetId="8666">
        <row r="4">
          <cell r="I4">
            <v>0</v>
          </cell>
        </row>
      </sheetData>
      <sheetData sheetId="8667">
        <row r="4">
          <cell r="I4">
            <v>0</v>
          </cell>
        </row>
      </sheetData>
      <sheetData sheetId="8668">
        <row r="4">
          <cell r="I4">
            <v>0</v>
          </cell>
        </row>
      </sheetData>
      <sheetData sheetId="8669">
        <row r="4">
          <cell r="I4">
            <v>0</v>
          </cell>
        </row>
      </sheetData>
      <sheetData sheetId="8670">
        <row r="4">
          <cell r="I4">
            <v>0</v>
          </cell>
        </row>
      </sheetData>
      <sheetData sheetId="8671">
        <row r="4">
          <cell r="I4">
            <v>0</v>
          </cell>
        </row>
      </sheetData>
      <sheetData sheetId="8672">
        <row r="4">
          <cell r="I4">
            <v>0</v>
          </cell>
        </row>
      </sheetData>
      <sheetData sheetId="8673">
        <row r="4">
          <cell r="I4">
            <v>0</v>
          </cell>
        </row>
      </sheetData>
      <sheetData sheetId="8674">
        <row r="4">
          <cell r="I4">
            <v>0</v>
          </cell>
        </row>
      </sheetData>
      <sheetData sheetId="8675">
        <row r="4">
          <cell r="I4">
            <v>0</v>
          </cell>
        </row>
      </sheetData>
      <sheetData sheetId="8676">
        <row r="4">
          <cell r="I4">
            <v>0</v>
          </cell>
        </row>
      </sheetData>
      <sheetData sheetId="8677">
        <row r="4">
          <cell r="I4">
            <v>0</v>
          </cell>
        </row>
      </sheetData>
      <sheetData sheetId="8678">
        <row r="4">
          <cell r="I4">
            <v>0</v>
          </cell>
        </row>
      </sheetData>
      <sheetData sheetId="8679">
        <row r="4">
          <cell r="I4">
            <v>0</v>
          </cell>
        </row>
      </sheetData>
      <sheetData sheetId="8680">
        <row r="4">
          <cell r="I4">
            <v>0</v>
          </cell>
        </row>
      </sheetData>
      <sheetData sheetId="8681">
        <row r="4">
          <cell r="I4">
            <v>0</v>
          </cell>
        </row>
      </sheetData>
      <sheetData sheetId="8682">
        <row r="4">
          <cell r="I4">
            <v>0</v>
          </cell>
        </row>
      </sheetData>
      <sheetData sheetId="8683">
        <row r="4">
          <cell r="I4">
            <v>0</v>
          </cell>
        </row>
      </sheetData>
      <sheetData sheetId="8684">
        <row r="4">
          <cell r="I4">
            <v>0</v>
          </cell>
        </row>
      </sheetData>
      <sheetData sheetId="8685">
        <row r="4">
          <cell r="I4">
            <v>0</v>
          </cell>
        </row>
      </sheetData>
      <sheetData sheetId="8686">
        <row r="4">
          <cell r="I4">
            <v>0</v>
          </cell>
        </row>
      </sheetData>
      <sheetData sheetId="8687">
        <row r="4">
          <cell r="I4">
            <v>0</v>
          </cell>
        </row>
      </sheetData>
      <sheetData sheetId="8688">
        <row r="4">
          <cell r="I4">
            <v>0</v>
          </cell>
        </row>
      </sheetData>
      <sheetData sheetId="8689">
        <row r="4">
          <cell r="I4">
            <v>0</v>
          </cell>
        </row>
      </sheetData>
      <sheetData sheetId="8690">
        <row r="4">
          <cell r="I4">
            <v>0</v>
          </cell>
        </row>
      </sheetData>
      <sheetData sheetId="8691">
        <row r="4">
          <cell r="I4">
            <v>0</v>
          </cell>
        </row>
      </sheetData>
      <sheetData sheetId="8692">
        <row r="4">
          <cell r="I4">
            <v>0</v>
          </cell>
        </row>
      </sheetData>
      <sheetData sheetId="8693">
        <row r="4">
          <cell r="I4">
            <v>0</v>
          </cell>
        </row>
      </sheetData>
      <sheetData sheetId="8694">
        <row r="4">
          <cell r="I4">
            <v>0</v>
          </cell>
        </row>
      </sheetData>
      <sheetData sheetId="8695">
        <row r="4">
          <cell r="I4">
            <v>0</v>
          </cell>
        </row>
      </sheetData>
      <sheetData sheetId="8696">
        <row r="4">
          <cell r="I4">
            <v>0</v>
          </cell>
        </row>
      </sheetData>
      <sheetData sheetId="8697">
        <row r="4">
          <cell r="I4">
            <v>0</v>
          </cell>
        </row>
      </sheetData>
      <sheetData sheetId="8698">
        <row r="4">
          <cell r="I4">
            <v>0</v>
          </cell>
        </row>
      </sheetData>
      <sheetData sheetId="8699">
        <row r="4">
          <cell r="I4">
            <v>0</v>
          </cell>
        </row>
      </sheetData>
      <sheetData sheetId="8700">
        <row r="4">
          <cell r="I4">
            <v>0</v>
          </cell>
        </row>
      </sheetData>
      <sheetData sheetId="8701">
        <row r="4">
          <cell r="I4">
            <v>0</v>
          </cell>
        </row>
      </sheetData>
      <sheetData sheetId="8702">
        <row r="4">
          <cell r="I4">
            <v>0</v>
          </cell>
        </row>
      </sheetData>
      <sheetData sheetId="8703">
        <row r="4">
          <cell r="I4">
            <v>0</v>
          </cell>
        </row>
      </sheetData>
      <sheetData sheetId="8704">
        <row r="4">
          <cell r="I4">
            <v>0</v>
          </cell>
        </row>
      </sheetData>
      <sheetData sheetId="8705">
        <row r="4">
          <cell r="I4">
            <v>0</v>
          </cell>
        </row>
      </sheetData>
      <sheetData sheetId="8706">
        <row r="4">
          <cell r="I4">
            <v>0</v>
          </cell>
        </row>
      </sheetData>
      <sheetData sheetId="8707">
        <row r="4">
          <cell r="I4">
            <v>0</v>
          </cell>
        </row>
      </sheetData>
      <sheetData sheetId="8708">
        <row r="4">
          <cell r="I4">
            <v>0</v>
          </cell>
        </row>
      </sheetData>
      <sheetData sheetId="8709">
        <row r="4">
          <cell r="I4">
            <v>0</v>
          </cell>
        </row>
      </sheetData>
      <sheetData sheetId="8710">
        <row r="4">
          <cell r="I4">
            <v>0</v>
          </cell>
        </row>
      </sheetData>
      <sheetData sheetId="8711">
        <row r="4">
          <cell r="I4">
            <v>0</v>
          </cell>
        </row>
      </sheetData>
      <sheetData sheetId="8712">
        <row r="4">
          <cell r="I4">
            <v>0</v>
          </cell>
        </row>
      </sheetData>
      <sheetData sheetId="8713">
        <row r="4">
          <cell r="I4">
            <v>0</v>
          </cell>
        </row>
      </sheetData>
      <sheetData sheetId="8714">
        <row r="4">
          <cell r="I4">
            <v>0</v>
          </cell>
        </row>
      </sheetData>
      <sheetData sheetId="8715">
        <row r="4">
          <cell r="I4">
            <v>0</v>
          </cell>
        </row>
      </sheetData>
      <sheetData sheetId="8716">
        <row r="4">
          <cell r="I4">
            <v>0</v>
          </cell>
        </row>
      </sheetData>
      <sheetData sheetId="8717">
        <row r="4">
          <cell r="I4">
            <v>0</v>
          </cell>
        </row>
      </sheetData>
      <sheetData sheetId="8718">
        <row r="4">
          <cell r="I4">
            <v>0</v>
          </cell>
        </row>
      </sheetData>
      <sheetData sheetId="8719">
        <row r="4">
          <cell r="I4">
            <v>0</v>
          </cell>
        </row>
      </sheetData>
      <sheetData sheetId="8720">
        <row r="4">
          <cell r="I4">
            <v>0</v>
          </cell>
        </row>
      </sheetData>
      <sheetData sheetId="8721">
        <row r="4">
          <cell r="I4">
            <v>0</v>
          </cell>
        </row>
      </sheetData>
      <sheetData sheetId="8722">
        <row r="4">
          <cell r="I4">
            <v>0</v>
          </cell>
        </row>
      </sheetData>
      <sheetData sheetId="8723">
        <row r="4">
          <cell r="I4">
            <v>0</v>
          </cell>
        </row>
      </sheetData>
      <sheetData sheetId="8724">
        <row r="4">
          <cell r="I4">
            <v>0</v>
          </cell>
        </row>
      </sheetData>
      <sheetData sheetId="8725">
        <row r="4">
          <cell r="I4">
            <v>0</v>
          </cell>
        </row>
      </sheetData>
      <sheetData sheetId="8726">
        <row r="4">
          <cell r="I4">
            <v>0</v>
          </cell>
        </row>
      </sheetData>
      <sheetData sheetId="8727">
        <row r="4">
          <cell r="I4">
            <v>0</v>
          </cell>
        </row>
      </sheetData>
      <sheetData sheetId="8728">
        <row r="4">
          <cell r="I4">
            <v>0</v>
          </cell>
        </row>
      </sheetData>
      <sheetData sheetId="8729">
        <row r="4">
          <cell r="I4">
            <v>0</v>
          </cell>
        </row>
      </sheetData>
      <sheetData sheetId="8730">
        <row r="4">
          <cell r="I4">
            <v>0</v>
          </cell>
        </row>
      </sheetData>
      <sheetData sheetId="8731">
        <row r="4">
          <cell r="I4">
            <v>0</v>
          </cell>
        </row>
      </sheetData>
      <sheetData sheetId="8732">
        <row r="4">
          <cell r="I4">
            <v>0</v>
          </cell>
        </row>
      </sheetData>
      <sheetData sheetId="8733">
        <row r="4">
          <cell r="I4">
            <v>0</v>
          </cell>
        </row>
      </sheetData>
      <sheetData sheetId="8734">
        <row r="4">
          <cell r="I4">
            <v>0</v>
          </cell>
        </row>
      </sheetData>
      <sheetData sheetId="8735">
        <row r="4">
          <cell r="I4">
            <v>0</v>
          </cell>
        </row>
      </sheetData>
      <sheetData sheetId="8736">
        <row r="4">
          <cell r="I4">
            <v>0</v>
          </cell>
        </row>
      </sheetData>
      <sheetData sheetId="8737">
        <row r="4">
          <cell r="I4">
            <v>0</v>
          </cell>
        </row>
      </sheetData>
      <sheetData sheetId="8738">
        <row r="4">
          <cell r="I4">
            <v>0</v>
          </cell>
        </row>
      </sheetData>
      <sheetData sheetId="8739">
        <row r="4">
          <cell r="I4">
            <v>0</v>
          </cell>
        </row>
      </sheetData>
      <sheetData sheetId="8740">
        <row r="4">
          <cell r="I4">
            <v>0</v>
          </cell>
        </row>
      </sheetData>
      <sheetData sheetId="8741">
        <row r="4">
          <cell r="I4">
            <v>0</v>
          </cell>
        </row>
      </sheetData>
      <sheetData sheetId="8742">
        <row r="4">
          <cell r="I4">
            <v>0</v>
          </cell>
        </row>
      </sheetData>
      <sheetData sheetId="8743">
        <row r="4">
          <cell r="I4">
            <v>0</v>
          </cell>
        </row>
      </sheetData>
      <sheetData sheetId="8744">
        <row r="4">
          <cell r="I4">
            <v>0</v>
          </cell>
        </row>
      </sheetData>
      <sheetData sheetId="8745">
        <row r="4">
          <cell r="I4">
            <v>0</v>
          </cell>
        </row>
      </sheetData>
      <sheetData sheetId="8746">
        <row r="4">
          <cell r="I4">
            <v>0</v>
          </cell>
        </row>
      </sheetData>
      <sheetData sheetId="8747">
        <row r="4">
          <cell r="I4">
            <v>0</v>
          </cell>
        </row>
      </sheetData>
      <sheetData sheetId="8748">
        <row r="4">
          <cell r="I4">
            <v>0</v>
          </cell>
        </row>
      </sheetData>
      <sheetData sheetId="8749">
        <row r="4">
          <cell r="I4">
            <v>0</v>
          </cell>
        </row>
      </sheetData>
      <sheetData sheetId="8750">
        <row r="4">
          <cell r="I4">
            <v>0</v>
          </cell>
        </row>
      </sheetData>
      <sheetData sheetId="8751">
        <row r="4">
          <cell r="I4">
            <v>0</v>
          </cell>
        </row>
      </sheetData>
      <sheetData sheetId="8752">
        <row r="4">
          <cell r="I4">
            <v>0</v>
          </cell>
        </row>
      </sheetData>
      <sheetData sheetId="8753">
        <row r="4">
          <cell r="I4">
            <v>0</v>
          </cell>
        </row>
      </sheetData>
      <sheetData sheetId="8754">
        <row r="4">
          <cell r="I4">
            <v>0</v>
          </cell>
        </row>
      </sheetData>
      <sheetData sheetId="8755">
        <row r="4">
          <cell r="I4">
            <v>0</v>
          </cell>
        </row>
      </sheetData>
      <sheetData sheetId="8756">
        <row r="4">
          <cell r="I4">
            <v>0</v>
          </cell>
        </row>
      </sheetData>
      <sheetData sheetId="8757">
        <row r="4">
          <cell r="I4">
            <v>0</v>
          </cell>
        </row>
      </sheetData>
      <sheetData sheetId="8758">
        <row r="4">
          <cell r="I4">
            <v>0</v>
          </cell>
        </row>
      </sheetData>
      <sheetData sheetId="8759">
        <row r="4">
          <cell r="I4">
            <v>0</v>
          </cell>
        </row>
      </sheetData>
      <sheetData sheetId="8760">
        <row r="4">
          <cell r="I4">
            <v>0</v>
          </cell>
        </row>
      </sheetData>
      <sheetData sheetId="8761">
        <row r="4">
          <cell r="I4">
            <v>0</v>
          </cell>
        </row>
      </sheetData>
      <sheetData sheetId="8762">
        <row r="4">
          <cell r="I4">
            <v>0</v>
          </cell>
        </row>
      </sheetData>
      <sheetData sheetId="8763">
        <row r="4">
          <cell r="I4">
            <v>0</v>
          </cell>
        </row>
      </sheetData>
      <sheetData sheetId="8764">
        <row r="4">
          <cell r="I4">
            <v>0</v>
          </cell>
        </row>
      </sheetData>
      <sheetData sheetId="8765">
        <row r="4">
          <cell r="I4">
            <v>0</v>
          </cell>
        </row>
      </sheetData>
      <sheetData sheetId="8766">
        <row r="4">
          <cell r="I4">
            <v>0</v>
          </cell>
        </row>
      </sheetData>
      <sheetData sheetId="8767">
        <row r="4">
          <cell r="I4">
            <v>0</v>
          </cell>
        </row>
      </sheetData>
      <sheetData sheetId="8768">
        <row r="4">
          <cell r="I4">
            <v>0</v>
          </cell>
        </row>
      </sheetData>
      <sheetData sheetId="8769">
        <row r="4">
          <cell r="I4">
            <v>0</v>
          </cell>
        </row>
      </sheetData>
      <sheetData sheetId="8770">
        <row r="4">
          <cell r="I4">
            <v>0</v>
          </cell>
        </row>
      </sheetData>
      <sheetData sheetId="8771">
        <row r="4">
          <cell r="I4">
            <v>0</v>
          </cell>
        </row>
      </sheetData>
      <sheetData sheetId="8772">
        <row r="4">
          <cell r="I4">
            <v>0</v>
          </cell>
        </row>
      </sheetData>
      <sheetData sheetId="8773">
        <row r="4">
          <cell r="I4">
            <v>0</v>
          </cell>
        </row>
      </sheetData>
      <sheetData sheetId="8774">
        <row r="4">
          <cell r="I4">
            <v>0</v>
          </cell>
        </row>
      </sheetData>
      <sheetData sheetId="8775">
        <row r="4">
          <cell r="I4">
            <v>0</v>
          </cell>
        </row>
      </sheetData>
      <sheetData sheetId="8776">
        <row r="4">
          <cell r="I4">
            <v>0</v>
          </cell>
        </row>
      </sheetData>
      <sheetData sheetId="8777">
        <row r="4">
          <cell r="I4">
            <v>0</v>
          </cell>
        </row>
      </sheetData>
      <sheetData sheetId="8778">
        <row r="4">
          <cell r="I4">
            <v>0</v>
          </cell>
        </row>
      </sheetData>
      <sheetData sheetId="8779">
        <row r="4">
          <cell r="I4">
            <v>0</v>
          </cell>
        </row>
      </sheetData>
      <sheetData sheetId="8780">
        <row r="4">
          <cell r="I4">
            <v>0</v>
          </cell>
        </row>
      </sheetData>
      <sheetData sheetId="8781">
        <row r="4">
          <cell r="I4">
            <v>0</v>
          </cell>
        </row>
      </sheetData>
      <sheetData sheetId="8782">
        <row r="4">
          <cell r="I4">
            <v>0</v>
          </cell>
        </row>
      </sheetData>
      <sheetData sheetId="8783">
        <row r="4">
          <cell r="I4">
            <v>0</v>
          </cell>
        </row>
      </sheetData>
      <sheetData sheetId="8784">
        <row r="4">
          <cell r="I4">
            <v>0</v>
          </cell>
        </row>
      </sheetData>
      <sheetData sheetId="8785">
        <row r="4">
          <cell r="I4">
            <v>0</v>
          </cell>
        </row>
      </sheetData>
      <sheetData sheetId="8786">
        <row r="4">
          <cell r="I4">
            <v>0</v>
          </cell>
        </row>
      </sheetData>
      <sheetData sheetId="8787">
        <row r="4">
          <cell r="I4">
            <v>0</v>
          </cell>
        </row>
      </sheetData>
      <sheetData sheetId="8788">
        <row r="4">
          <cell r="I4">
            <v>0</v>
          </cell>
        </row>
      </sheetData>
      <sheetData sheetId="8789">
        <row r="4">
          <cell r="I4">
            <v>0</v>
          </cell>
        </row>
      </sheetData>
      <sheetData sheetId="8790">
        <row r="4">
          <cell r="I4">
            <v>0</v>
          </cell>
        </row>
      </sheetData>
      <sheetData sheetId="8791">
        <row r="4">
          <cell r="I4">
            <v>0</v>
          </cell>
        </row>
      </sheetData>
      <sheetData sheetId="8792">
        <row r="4">
          <cell r="I4">
            <v>0</v>
          </cell>
        </row>
      </sheetData>
      <sheetData sheetId="8793">
        <row r="4">
          <cell r="I4">
            <v>0</v>
          </cell>
        </row>
      </sheetData>
      <sheetData sheetId="8794">
        <row r="4">
          <cell r="I4">
            <v>0</v>
          </cell>
        </row>
      </sheetData>
      <sheetData sheetId="8795">
        <row r="4">
          <cell r="I4">
            <v>0</v>
          </cell>
        </row>
      </sheetData>
      <sheetData sheetId="8796">
        <row r="4">
          <cell r="I4">
            <v>0</v>
          </cell>
        </row>
      </sheetData>
      <sheetData sheetId="8797">
        <row r="4">
          <cell r="I4">
            <v>0</v>
          </cell>
        </row>
      </sheetData>
      <sheetData sheetId="8798">
        <row r="4">
          <cell r="I4">
            <v>0</v>
          </cell>
        </row>
      </sheetData>
      <sheetData sheetId="8799">
        <row r="4">
          <cell r="I4">
            <v>0</v>
          </cell>
        </row>
      </sheetData>
      <sheetData sheetId="8800">
        <row r="4">
          <cell r="I4">
            <v>0</v>
          </cell>
        </row>
      </sheetData>
      <sheetData sheetId="8801">
        <row r="4">
          <cell r="I4">
            <v>0</v>
          </cell>
        </row>
      </sheetData>
      <sheetData sheetId="8802">
        <row r="4">
          <cell r="I4">
            <v>0</v>
          </cell>
        </row>
      </sheetData>
      <sheetData sheetId="8803">
        <row r="4">
          <cell r="I4">
            <v>0</v>
          </cell>
        </row>
      </sheetData>
      <sheetData sheetId="8804">
        <row r="4">
          <cell r="I4">
            <v>0</v>
          </cell>
        </row>
      </sheetData>
      <sheetData sheetId="8805">
        <row r="4">
          <cell r="I4">
            <v>0</v>
          </cell>
        </row>
      </sheetData>
      <sheetData sheetId="8806">
        <row r="4">
          <cell r="I4">
            <v>0</v>
          </cell>
        </row>
      </sheetData>
      <sheetData sheetId="8807">
        <row r="4">
          <cell r="I4">
            <v>0</v>
          </cell>
        </row>
      </sheetData>
      <sheetData sheetId="8808">
        <row r="4">
          <cell r="I4">
            <v>0</v>
          </cell>
        </row>
      </sheetData>
      <sheetData sheetId="8809">
        <row r="4">
          <cell r="I4">
            <v>0</v>
          </cell>
        </row>
      </sheetData>
      <sheetData sheetId="8810">
        <row r="4">
          <cell r="I4">
            <v>0</v>
          </cell>
        </row>
      </sheetData>
      <sheetData sheetId="8811">
        <row r="4">
          <cell r="I4">
            <v>0</v>
          </cell>
        </row>
      </sheetData>
      <sheetData sheetId="8812">
        <row r="4">
          <cell r="I4">
            <v>0</v>
          </cell>
        </row>
      </sheetData>
      <sheetData sheetId="8813">
        <row r="4">
          <cell r="I4">
            <v>0</v>
          </cell>
        </row>
      </sheetData>
      <sheetData sheetId="8814">
        <row r="4">
          <cell r="I4">
            <v>0</v>
          </cell>
        </row>
      </sheetData>
      <sheetData sheetId="8815">
        <row r="4">
          <cell r="I4">
            <v>0</v>
          </cell>
        </row>
      </sheetData>
      <sheetData sheetId="8816">
        <row r="4">
          <cell r="I4">
            <v>0</v>
          </cell>
        </row>
      </sheetData>
      <sheetData sheetId="8817">
        <row r="4">
          <cell r="I4">
            <v>0</v>
          </cell>
        </row>
      </sheetData>
      <sheetData sheetId="8818">
        <row r="4">
          <cell r="I4">
            <v>0</v>
          </cell>
        </row>
      </sheetData>
      <sheetData sheetId="8819">
        <row r="4">
          <cell r="I4">
            <v>0</v>
          </cell>
        </row>
      </sheetData>
      <sheetData sheetId="8820">
        <row r="4">
          <cell r="I4">
            <v>0</v>
          </cell>
        </row>
      </sheetData>
      <sheetData sheetId="8821">
        <row r="4">
          <cell r="I4">
            <v>0</v>
          </cell>
        </row>
      </sheetData>
      <sheetData sheetId="8822">
        <row r="4">
          <cell r="I4">
            <v>0</v>
          </cell>
        </row>
      </sheetData>
      <sheetData sheetId="8823">
        <row r="4">
          <cell r="I4">
            <v>0</v>
          </cell>
        </row>
      </sheetData>
      <sheetData sheetId="8824">
        <row r="4">
          <cell r="I4">
            <v>0</v>
          </cell>
        </row>
      </sheetData>
      <sheetData sheetId="8825">
        <row r="4">
          <cell r="I4">
            <v>0</v>
          </cell>
        </row>
      </sheetData>
      <sheetData sheetId="8826">
        <row r="4">
          <cell r="I4">
            <v>0</v>
          </cell>
        </row>
      </sheetData>
      <sheetData sheetId="8827">
        <row r="4">
          <cell r="I4">
            <v>0</v>
          </cell>
        </row>
      </sheetData>
      <sheetData sheetId="8828">
        <row r="4">
          <cell r="I4">
            <v>0</v>
          </cell>
        </row>
      </sheetData>
      <sheetData sheetId="8829">
        <row r="4">
          <cell r="I4">
            <v>0</v>
          </cell>
        </row>
      </sheetData>
      <sheetData sheetId="8830">
        <row r="4">
          <cell r="I4">
            <v>0</v>
          </cell>
        </row>
      </sheetData>
      <sheetData sheetId="8831">
        <row r="4">
          <cell r="I4">
            <v>0</v>
          </cell>
        </row>
      </sheetData>
      <sheetData sheetId="8832">
        <row r="4">
          <cell r="I4">
            <v>0</v>
          </cell>
        </row>
      </sheetData>
      <sheetData sheetId="8833">
        <row r="4">
          <cell r="I4">
            <v>0</v>
          </cell>
        </row>
      </sheetData>
      <sheetData sheetId="8834">
        <row r="4">
          <cell r="I4">
            <v>0</v>
          </cell>
        </row>
      </sheetData>
      <sheetData sheetId="8835">
        <row r="4">
          <cell r="I4">
            <v>0</v>
          </cell>
        </row>
      </sheetData>
      <sheetData sheetId="8836">
        <row r="4">
          <cell r="I4">
            <v>0</v>
          </cell>
        </row>
      </sheetData>
      <sheetData sheetId="8837">
        <row r="4">
          <cell r="I4">
            <v>0</v>
          </cell>
        </row>
      </sheetData>
      <sheetData sheetId="8838">
        <row r="4">
          <cell r="I4">
            <v>0</v>
          </cell>
        </row>
      </sheetData>
      <sheetData sheetId="8839">
        <row r="4">
          <cell r="I4">
            <v>0</v>
          </cell>
        </row>
      </sheetData>
      <sheetData sheetId="8840">
        <row r="4">
          <cell r="I4">
            <v>0</v>
          </cell>
        </row>
      </sheetData>
      <sheetData sheetId="8841">
        <row r="4">
          <cell r="I4">
            <v>0</v>
          </cell>
        </row>
      </sheetData>
      <sheetData sheetId="8842">
        <row r="4">
          <cell r="I4">
            <v>0</v>
          </cell>
        </row>
      </sheetData>
      <sheetData sheetId="8843">
        <row r="4">
          <cell r="I4">
            <v>0</v>
          </cell>
        </row>
      </sheetData>
      <sheetData sheetId="8844">
        <row r="4">
          <cell r="I4">
            <v>0</v>
          </cell>
        </row>
      </sheetData>
      <sheetData sheetId="8845">
        <row r="4">
          <cell r="I4">
            <v>0</v>
          </cell>
        </row>
      </sheetData>
      <sheetData sheetId="8846">
        <row r="4">
          <cell r="I4">
            <v>0</v>
          </cell>
        </row>
      </sheetData>
      <sheetData sheetId="8847">
        <row r="4">
          <cell r="I4">
            <v>0</v>
          </cell>
        </row>
      </sheetData>
      <sheetData sheetId="8848">
        <row r="4">
          <cell r="I4">
            <v>0</v>
          </cell>
        </row>
      </sheetData>
      <sheetData sheetId="8849">
        <row r="4">
          <cell r="I4">
            <v>0</v>
          </cell>
        </row>
      </sheetData>
      <sheetData sheetId="8850">
        <row r="4">
          <cell r="I4">
            <v>0</v>
          </cell>
        </row>
      </sheetData>
      <sheetData sheetId="8851">
        <row r="4">
          <cell r="I4">
            <v>0</v>
          </cell>
        </row>
      </sheetData>
      <sheetData sheetId="8852">
        <row r="4">
          <cell r="I4">
            <v>0</v>
          </cell>
        </row>
      </sheetData>
      <sheetData sheetId="8853">
        <row r="4">
          <cell r="I4">
            <v>0</v>
          </cell>
        </row>
      </sheetData>
      <sheetData sheetId="8854">
        <row r="4">
          <cell r="I4">
            <v>0</v>
          </cell>
        </row>
      </sheetData>
      <sheetData sheetId="8855">
        <row r="4">
          <cell r="I4">
            <v>0</v>
          </cell>
        </row>
      </sheetData>
      <sheetData sheetId="8856">
        <row r="4">
          <cell r="I4">
            <v>0</v>
          </cell>
        </row>
      </sheetData>
      <sheetData sheetId="8857">
        <row r="4">
          <cell r="I4">
            <v>0</v>
          </cell>
        </row>
      </sheetData>
      <sheetData sheetId="8858">
        <row r="4">
          <cell r="I4">
            <v>0</v>
          </cell>
        </row>
      </sheetData>
      <sheetData sheetId="8859">
        <row r="4">
          <cell r="I4">
            <v>0</v>
          </cell>
        </row>
      </sheetData>
      <sheetData sheetId="8860">
        <row r="4">
          <cell r="I4">
            <v>0</v>
          </cell>
        </row>
      </sheetData>
      <sheetData sheetId="8861">
        <row r="4">
          <cell r="I4">
            <v>0</v>
          </cell>
        </row>
      </sheetData>
      <sheetData sheetId="8862">
        <row r="4">
          <cell r="I4">
            <v>0</v>
          </cell>
        </row>
      </sheetData>
      <sheetData sheetId="8863">
        <row r="4">
          <cell r="I4">
            <v>0</v>
          </cell>
        </row>
      </sheetData>
      <sheetData sheetId="8864">
        <row r="4">
          <cell r="I4">
            <v>0</v>
          </cell>
        </row>
      </sheetData>
      <sheetData sheetId="8865">
        <row r="4">
          <cell r="I4">
            <v>0</v>
          </cell>
        </row>
      </sheetData>
      <sheetData sheetId="8866">
        <row r="4">
          <cell r="I4">
            <v>0</v>
          </cell>
        </row>
      </sheetData>
      <sheetData sheetId="8867">
        <row r="4">
          <cell r="I4">
            <v>0</v>
          </cell>
        </row>
      </sheetData>
      <sheetData sheetId="8868">
        <row r="4">
          <cell r="I4">
            <v>0</v>
          </cell>
        </row>
      </sheetData>
      <sheetData sheetId="8869">
        <row r="4">
          <cell r="I4">
            <v>0</v>
          </cell>
        </row>
      </sheetData>
      <sheetData sheetId="8870">
        <row r="4">
          <cell r="I4">
            <v>0</v>
          </cell>
        </row>
      </sheetData>
      <sheetData sheetId="8871">
        <row r="4">
          <cell r="I4">
            <v>0</v>
          </cell>
        </row>
      </sheetData>
      <sheetData sheetId="8872">
        <row r="4">
          <cell r="I4">
            <v>0</v>
          </cell>
        </row>
      </sheetData>
      <sheetData sheetId="8873">
        <row r="4">
          <cell r="I4">
            <v>0</v>
          </cell>
        </row>
      </sheetData>
      <sheetData sheetId="8874">
        <row r="4">
          <cell r="I4">
            <v>0</v>
          </cell>
        </row>
      </sheetData>
      <sheetData sheetId="8875">
        <row r="4">
          <cell r="I4">
            <v>0</v>
          </cell>
        </row>
      </sheetData>
      <sheetData sheetId="8876">
        <row r="4">
          <cell r="I4">
            <v>0</v>
          </cell>
        </row>
      </sheetData>
      <sheetData sheetId="8877">
        <row r="4">
          <cell r="I4">
            <v>0</v>
          </cell>
        </row>
      </sheetData>
      <sheetData sheetId="8878">
        <row r="4">
          <cell r="I4">
            <v>0</v>
          </cell>
        </row>
      </sheetData>
      <sheetData sheetId="8879">
        <row r="4">
          <cell r="I4">
            <v>0</v>
          </cell>
        </row>
      </sheetData>
      <sheetData sheetId="8880">
        <row r="4">
          <cell r="I4">
            <v>0</v>
          </cell>
        </row>
      </sheetData>
      <sheetData sheetId="8881">
        <row r="4">
          <cell r="I4">
            <v>0</v>
          </cell>
        </row>
      </sheetData>
      <sheetData sheetId="8882">
        <row r="4">
          <cell r="I4">
            <v>0</v>
          </cell>
        </row>
      </sheetData>
      <sheetData sheetId="8883">
        <row r="4">
          <cell r="I4">
            <v>0</v>
          </cell>
        </row>
      </sheetData>
      <sheetData sheetId="8884">
        <row r="4">
          <cell r="I4">
            <v>0</v>
          </cell>
        </row>
      </sheetData>
      <sheetData sheetId="8885">
        <row r="4">
          <cell r="I4">
            <v>0</v>
          </cell>
        </row>
      </sheetData>
      <sheetData sheetId="8886">
        <row r="4">
          <cell r="I4">
            <v>0</v>
          </cell>
        </row>
      </sheetData>
      <sheetData sheetId="8887">
        <row r="4">
          <cell r="I4">
            <v>0</v>
          </cell>
        </row>
      </sheetData>
      <sheetData sheetId="8888">
        <row r="4">
          <cell r="I4">
            <v>0</v>
          </cell>
        </row>
      </sheetData>
      <sheetData sheetId="8889">
        <row r="4">
          <cell r="I4">
            <v>0</v>
          </cell>
        </row>
      </sheetData>
      <sheetData sheetId="8890">
        <row r="4">
          <cell r="I4">
            <v>0</v>
          </cell>
        </row>
      </sheetData>
      <sheetData sheetId="8891">
        <row r="4">
          <cell r="I4">
            <v>0</v>
          </cell>
        </row>
      </sheetData>
      <sheetData sheetId="8892">
        <row r="4">
          <cell r="I4">
            <v>0</v>
          </cell>
        </row>
      </sheetData>
      <sheetData sheetId="8893">
        <row r="4">
          <cell r="I4">
            <v>0</v>
          </cell>
        </row>
      </sheetData>
      <sheetData sheetId="8894">
        <row r="4">
          <cell r="I4">
            <v>0</v>
          </cell>
        </row>
      </sheetData>
      <sheetData sheetId="8895">
        <row r="4">
          <cell r="I4">
            <v>0</v>
          </cell>
        </row>
      </sheetData>
      <sheetData sheetId="8896">
        <row r="4">
          <cell r="I4">
            <v>0</v>
          </cell>
        </row>
      </sheetData>
      <sheetData sheetId="8897">
        <row r="4">
          <cell r="I4">
            <v>0</v>
          </cell>
        </row>
      </sheetData>
      <sheetData sheetId="8898">
        <row r="4">
          <cell r="I4">
            <v>0</v>
          </cell>
        </row>
      </sheetData>
      <sheetData sheetId="8899">
        <row r="4">
          <cell r="I4">
            <v>0</v>
          </cell>
        </row>
      </sheetData>
      <sheetData sheetId="8900">
        <row r="4">
          <cell r="I4">
            <v>0</v>
          </cell>
        </row>
      </sheetData>
      <sheetData sheetId="8901">
        <row r="4">
          <cell r="I4">
            <v>0</v>
          </cell>
        </row>
      </sheetData>
      <sheetData sheetId="8902">
        <row r="4">
          <cell r="I4">
            <v>0</v>
          </cell>
        </row>
      </sheetData>
      <sheetData sheetId="8903">
        <row r="4">
          <cell r="I4">
            <v>0</v>
          </cell>
        </row>
      </sheetData>
      <sheetData sheetId="8904">
        <row r="4">
          <cell r="I4">
            <v>0</v>
          </cell>
        </row>
      </sheetData>
      <sheetData sheetId="8905">
        <row r="4">
          <cell r="I4">
            <v>0</v>
          </cell>
        </row>
      </sheetData>
      <sheetData sheetId="8906">
        <row r="4">
          <cell r="I4">
            <v>0</v>
          </cell>
        </row>
      </sheetData>
      <sheetData sheetId="8907">
        <row r="4">
          <cell r="I4">
            <v>0</v>
          </cell>
        </row>
      </sheetData>
      <sheetData sheetId="8908">
        <row r="4">
          <cell r="I4">
            <v>0</v>
          </cell>
        </row>
      </sheetData>
      <sheetData sheetId="8909">
        <row r="4">
          <cell r="I4">
            <v>0</v>
          </cell>
        </row>
      </sheetData>
      <sheetData sheetId="8910">
        <row r="4">
          <cell r="I4">
            <v>0</v>
          </cell>
        </row>
      </sheetData>
      <sheetData sheetId="8911">
        <row r="4">
          <cell r="I4">
            <v>0</v>
          </cell>
        </row>
      </sheetData>
      <sheetData sheetId="8912">
        <row r="4">
          <cell r="I4">
            <v>0</v>
          </cell>
        </row>
      </sheetData>
      <sheetData sheetId="8913">
        <row r="4">
          <cell r="I4">
            <v>0</v>
          </cell>
        </row>
      </sheetData>
      <sheetData sheetId="8914">
        <row r="4">
          <cell r="I4">
            <v>0</v>
          </cell>
        </row>
      </sheetData>
      <sheetData sheetId="8915">
        <row r="4">
          <cell r="I4">
            <v>0</v>
          </cell>
        </row>
      </sheetData>
      <sheetData sheetId="8916">
        <row r="4">
          <cell r="I4">
            <v>0</v>
          </cell>
        </row>
      </sheetData>
      <sheetData sheetId="8917">
        <row r="4">
          <cell r="I4">
            <v>0</v>
          </cell>
        </row>
      </sheetData>
      <sheetData sheetId="8918">
        <row r="4">
          <cell r="I4">
            <v>0</v>
          </cell>
        </row>
      </sheetData>
      <sheetData sheetId="8919">
        <row r="4">
          <cell r="I4">
            <v>0</v>
          </cell>
        </row>
      </sheetData>
      <sheetData sheetId="8920">
        <row r="4">
          <cell r="I4">
            <v>0</v>
          </cell>
        </row>
      </sheetData>
      <sheetData sheetId="8921">
        <row r="4">
          <cell r="I4">
            <v>0</v>
          </cell>
        </row>
      </sheetData>
      <sheetData sheetId="8922">
        <row r="4">
          <cell r="I4">
            <v>0</v>
          </cell>
        </row>
      </sheetData>
      <sheetData sheetId="8923">
        <row r="4">
          <cell r="I4">
            <v>0</v>
          </cell>
        </row>
      </sheetData>
      <sheetData sheetId="8924">
        <row r="4">
          <cell r="I4">
            <v>0</v>
          </cell>
        </row>
      </sheetData>
      <sheetData sheetId="8925">
        <row r="4">
          <cell r="I4">
            <v>0</v>
          </cell>
        </row>
      </sheetData>
      <sheetData sheetId="8926">
        <row r="4">
          <cell r="I4">
            <v>0</v>
          </cell>
        </row>
      </sheetData>
      <sheetData sheetId="8927">
        <row r="4">
          <cell r="I4">
            <v>0</v>
          </cell>
        </row>
      </sheetData>
      <sheetData sheetId="8928">
        <row r="4">
          <cell r="I4">
            <v>0</v>
          </cell>
        </row>
      </sheetData>
      <sheetData sheetId="8929">
        <row r="4">
          <cell r="I4">
            <v>0</v>
          </cell>
        </row>
      </sheetData>
      <sheetData sheetId="8930">
        <row r="4">
          <cell r="I4">
            <v>0</v>
          </cell>
        </row>
      </sheetData>
      <sheetData sheetId="8931">
        <row r="4">
          <cell r="I4">
            <v>0</v>
          </cell>
        </row>
      </sheetData>
      <sheetData sheetId="8932">
        <row r="4">
          <cell r="I4">
            <v>0</v>
          </cell>
        </row>
      </sheetData>
      <sheetData sheetId="8933">
        <row r="4">
          <cell r="I4">
            <v>0</v>
          </cell>
        </row>
      </sheetData>
      <sheetData sheetId="8934">
        <row r="4">
          <cell r="I4">
            <v>0</v>
          </cell>
        </row>
      </sheetData>
      <sheetData sheetId="8935">
        <row r="4">
          <cell r="I4">
            <v>0</v>
          </cell>
        </row>
      </sheetData>
      <sheetData sheetId="8936">
        <row r="4">
          <cell r="I4">
            <v>0</v>
          </cell>
        </row>
      </sheetData>
      <sheetData sheetId="8937">
        <row r="4">
          <cell r="I4">
            <v>0</v>
          </cell>
        </row>
      </sheetData>
      <sheetData sheetId="8938">
        <row r="4">
          <cell r="I4">
            <v>0</v>
          </cell>
        </row>
      </sheetData>
      <sheetData sheetId="8939">
        <row r="4">
          <cell r="I4">
            <v>0</v>
          </cell>
        </row>
      </sheetData>
      <sheetData sheetId="8940">
        <row r="4">
          <cell r="I4">
            <v>0</v>
          </cell>
        </row>
      </sheetData>
      <sheetData sheetId="8941">
        <row r="4">
          <cell r="I4">
            <v>0</v>
          </cell>
        </row>
      </sheetData>
      <sheetData sheetId="8942">
        <row r="4">
          <cell r="I4">
            <v>0</v>
          </cell>
        </row>
      </sheetData>
      <sheetData sheetId="8943">
        <row r="4">
          <cell r="I4">
            <v>0</v>
          </cell>
        </row>
      </sheetData>
      <sheetData sheetId="8944">
        <row r="4">
          <cell r="I4">
            <v>0</v>
          </cell>
        </row>
      </sheetData>
      <sheetData sheetId="8945">
        <row r="4">
          <cell r="I4">
            <v>0</v>
          </cell>
        </row>
      </sheetData>
      <sheetData sheetId="8946">
        <row r="4">
          <cell r="I4">
            <v>0</v>
          </cell>
        </row>
      </sheetData>
      <sheetData sheetId="8947">
        <row r="4">
          <cell r="I4">
            <v>0</v>
          </cell>
        </row>
      </sheetData>
      <sheetData sheetId="8948">
        <row r="4">
          <cell r="I4">
            <v>0</v>
          </cell>
        </row>
      </sheetData>
      <sheetData sheetId="8949">
        <row r="4">
          <cell r="I4">
            <v>0</v>
          </cell>
        </row>
      </sheetData>
      <sheetData sheetId="8950">
        <row r="4">
          <cell r="I4">
            <v>0</v>
          </cell>
        </row>
      </sheetData>
      <sheetData sheetId="8951">
        <row r="4">
          <cell r="I4">
            <v>0</v>
          </cell>
        </row>
      </sheetData>
      <sheetData sheetId="8952">
        <row r="4">
          <cell r="I4">
            <v>0</v>
          </cell>
        </row>
      </sheetData>
      <sheetData sheetId="8953">
        <row r="4">
          <cell r="I4">
            <v>0</v>
          </cell>
        </row>
      </sheetData>
      <sheetData sheetId="8954">
        <row r="4">
          <cell r="I4">
            <v>0</v>
          </cell>
        </row>
      </sheetData>
      <sheetData sheetId="8955">
        <row r="4">
          <cell r="I4">
            <v>0</v>
          </cell>
        </row>
      </sheetData>
      <sheetData sheetId="8956">
        <row r="4">
          <cell r="I4">
            <v>0</v>
          </cell>
        </row>
      </sheetData>
      <sheetData sheetId="8957">
        <row r="4">
          <cell r="I4">
            <v>0</v>
          </cell>
        </row>
      </sheetData>
      <sheetData sheetId="8958">
        <row r="4">
          <cell r="I4">
            <v>0</v>
          </cell>
        </row>
      </sheetData>
      <sheetData sheetId="8959">
        <row r="4">
          <cell r="I4">
            <v>0</v>
          </cell>
        </row>
      </sheetData>
      <sheetData sheetId="8960">
        <row r="4">
          <cell r="I4">
            <v>0</v>
          </cell>
        </row>
      </sheetData>
      <sheetData sheetId="8961">
        <row r="4">
          <cell r="I4">
            <v>0</v>
          </cell>
        </row>
      </sheetData>
      <sheetData sheetId="8962">
        <row r="4">
          <cell r="I4">
            <v>0</v>
          </cell>
        </row>
      </sheetData>
      <sheetData sheetId="8963">
        <row r="4">
          <cell r="I4">
            <v>0</v>
          </cell>
        </row>
      </sheetData>
      <sheetData sheetId="8964">
        <row r="4">
          <cell r="I4">
            <v>0</v>
          </cell>
        </row>
      </sheetData>
      <sheetData sheetId="8965">
        <row r="4">
          <cell r="I4">
            <v>0</v>
          </cell>
        </row>
      </sheetData>
      <sheetData sheetId="8966">
        <row r="4">
          <cell r="I4">
            <v>0</v>
          </cell>
        </row>
      </sheetData>
      <sheetData sheetId="8967">
        <row r="4">
          <cell r="I4">
            <v>0</v>
          </cell>
        </row>
      </sheetData>
      <sheetData sheetId="8968">
        <row r="4">
          <cell r="I4">
            <v>0</v>
          </cell>
        </row>
      </sheetData>
      <sheetData sheetId="8969">
        <row r="4">
          <cell r="I4">
            <v>0</v>
          </cell>
        </row>
      </sheetData>
      <sheetData sheetId="8970">
        <row r="4">
          <cell r="I4">
            <v>0</v>
          </cell>
        </row>
      </sheetData>
      <sheetData sheetId="8971">
        <row r="4">
          <cell r="I4">
            <v>0</v>
          </cell>
        </row>
      </sheetData>
      <sheetData sheetId="8972">
        <row r="4">
          <cell r="I4">
            <v>0</v>
          </cell>
        </row>
      </sheetData>
      <sheetData sheetId="8973">
        <row r="4">
          <cell r="I4">
            <v>0</v>
          </cell>
        </row>
      </sheetData>
      <sheetData sheetId="8974">
        <row r="4">
          <cell r="I4">
            <v>0</v>
          </cell>
        </row>
      </sheetData>
      <sheetData sheetId="8975">
        <row r="4">
          <cell r="I4">
            <v>0</v>
          </cell>
        </row>
      </sheetData>
      <sheetData sheetId="8976">
        <row r="4">
          <cell r="I4">
            <v>0</v>
          </cell>
        </row>
      </sheetData>
      <sheetData sheetId="8977">
        <row r="4">
          <cell r="I4">
            <v>0</v>
          </cell>
        </row>
      </sheetData>
      <sheetData sheetId="8978">
        <row r="4">
          <cell r="I4">
            <v>0</v>
          </cell>
        </row>
      </sheetData>
      <sheetData sheetId="8979">
        <row r="4">
          <cell r="I4">
            <v>0</v>
          </cell>
        </row>
      </sheetData>
      <sheetData sheetId="8980">
        <row r="4">
          <cell r="I4">
            <v>0</v>
          </cell>
        </row>
      </sheetData>
      <sheetData sheetId="8981">
        <row r="4">
          <cell r="I4">
            <v>0</v>
          </cell>
        </row>
      </sheetData>
      <sheetData sheetId="8982">
        <row r="4">
          <cell r="I4">
            <v>0</v>
          </cell>
        </row>
      </sheetData>
      <sheetData sheetId="8983">
        <row r="4">
          <cell r="I4">
            <v>0</v>
          </cell>
        </row>
      </sheetData>
      <sheetData sheetId="8984">
        <row r="4">
          <cell r="I4">
            <v>0</v>
          </cell>
        </row>
      </sheetData>
      <sheetData sheetId="8985">
        <row r="4">
          <cell r="I4">
            <v>0</v>
          </cell>
        </row>
      </sheetData>
      <sheetData sheetId="8986">
        <row r="4">
          <cell r="I4">
            <v>0</v>
          </cell>
        </row>
      </sheetData>
      <sheetData sheetId="8987">
        <row r="4">
          <cell r="I4">
            <v>0</v>
          </cell>
        </row>
      </sheetData>
      <sheetData sheetId="8988">
        <row r="4">
          <cell r="I4">
            <v>0</v>
          </cell>
        </row>
      </sheetData>
      <sheetData sheetId="8989">
        <row r="4">
          <cell r="I4">
            <v>0</v>
          </cell>
        </row>
      </sheetData>
      <sheetData sheetId="8990">
        <row r="4">
          <cell r="I4">
            <v>0</v>
          </cell>
        </row>
      </sheetData>
      <sheetData sheetId="8991">
        <row r="4">
          <cell r="I4">
            <v>0</v>
          </cell>
        </row>
      </sheetData>
      <sheetData sheetId="8992">
        <row r="4">
          <cell r="I4">
            <v>0</v>
          </cell>
        </row>
      </sheetData>
      <sheetData sheetId="8993">
        <row r="4">
          <cell r="I4">
            <v>0</v>
          </cell>
        </row>
      </sheetData>
      <sheetData sheetId="8994">
        <row r="4">
          <cell r="I4">
            <v>0</v>
          </cell>
        </row>
      </sheetData>
      <sheetData sheetId="8995">
        <row r="4">
          <cell r="I4">
            <v>0</v>
          </cell>
        </row>
      </sheetData>
      <sheetData sheetId="8996">
        <row r="4">
          <cell r="I4">
            <v>0</v>
          </cell>
        </row>
      </sheetData>
      <sheetData sheetId="8997">
        <row r="4">
          <cell r="I4">
            <v>0</v>
          </cell>
        </row>
      </sheetData>
      <sheetData sheetId="8998">
        <row r="4">
          <cell r="I4">
            <v>0</v>
          </cell>
        </row>
      </sheetData>
      <sheetData sheetId="8999">
        <row r="4">
          <cell r="I4">
            <v>0</v>
          </cell>
        </row>
      </sheetData>
      <sheetData sheetId="9000">
        <row r="4">
          <cell r="I4">
            <v>0</v>
          </cell>
        </row>
      </sheetData>
      <sheetData sheetId="9001">
        <row r="4">
          <cell r="I4">
            <v>0</v>
          </cell>
        </row>
      </sheetData>
      <sheetData sheetId="9002">
        <row r="4">
          <cell r="I4">
            <v>0</v>
          </cell>
        </row>
      </sheetData>
      <sheetData sheetId="9003">
        <row r="4">
          <cell r="I4">
            <v>0</v>
          </cell>
        </row>
      </sheetData>
      <sheetData sheetId="9004">
        <row r="4">
          <cell r="I4">
            <v>0</v>
          </cell>
        </row>
      </sheetData>
      <sheetData sheetId="9005">
        <row r="4">
          <cell r="I4">
            <v>0</v>
          </cell>
        </row>
      </sheetData>
      <sheetData sheetId="9006">
        <row r="4">
          <cell r="I4">
            <v>0</v>
          </cell>
        </row>
      </sheetData>
      <sheetData sheetId="9007">
        <row r="4">
          <cell r="I4">
            <v>0</v>
          </cell>
        </row>
      </sheetData>
      <sheetData sheetId="9008">
        <row r="4">
          <cell r="I4">
            <v>0</v>
          </cell>
        </row>
      </sheetData>
      <sheetData sheetId="9009">
        <row r="4">
          <cell r="I4">
            <v>0</v>
          </cell>
        </row>
      </sheetData>
      <sheetData sheetId="9010">
        <row r="4">
          <cell r="I4">
            <v>0</v>
          </cell>
        </row>
      </sheetData>
      <sheetData sheetId="9011">
        <row r="4">
          <cell r="I4">
            <v>0</v>
          </cell>
        </row>
      </sheetData>
      <sheetData sheetId="9012">
        <row r="4">
          <cell r="I4">
            <v>0</v>
          </cell>
        </row>
      </sheetData>
      <sheetData sheetId="9013">
        <row r="4">
          <cell r="I4">
            <v>0</v>
          </cell>
        </row>
      </sheetData>
      <sheetData sheetId="9014">
        <row r="4">
          <cell r="I4">
            <v>0</v>
          </cell>
        </row>
      </sheetData>
      <sheetData sheetId="9015">
        <row r="4">
          <cell r="I4">
            <v>0</v>
          </cell>
        </row>
      </sheetData>
      <sheetData sheetId="9016">
        <row r="4">
          <cell r="I4">
            <v>0</v>
          </cell>
        </row>
      </sheetData>
      <sheetData sheetId="9017">
        <row r="4">
          <cell r="I4">
            <v>0</v>
          </cell>
        </row>
      </sheetData>
      <sheetData sheetId="9018">
        <row r="4">
          <cell r="I4">
            <v>0</v>
          </cell>
        </row>
      </sheetData>
      <sheetData sheetId="9019">
        <row r="4">
          <cell r="I4">
            <v>0</v>
          </cell>
        </row>
      </sheetData>
      <sheetData sheetId="9020">
        <row r="4">
          <cell r="I4">
            <v>0</v>
          </cell>
        </row>
      </sheetData>
      <sheetData sheetId="9021">
        <row r="4">
          <cell r="I4">
            <v>0</v>
          </cell>
        </row>
      </sheetData>
      <sheetData sheetId="9022">
        <row r="4">
          <cell r="I4">
            <v>0</v>
          </cell>
        </row>
      </sheetData>
      <sheetData sheetId="9023">
        <row r="4">
          <cell r="I4">
            <v>0</v>
          </cell>
        </row>
      </sheetData>
      <sheetData sheetId="9024">
        <row r="4">
          <cell r="I4">
            <v>0</v>
          </cell>
        </row>
      </sheetData>
      <sheetData sheetId="9025">
        <row r="4">
          <cell r="I4">
            <v>0</v>
          </cell>
        </row>
      </sheetData>
      <sheetData sheetId="9026">
        <row r="4">
          <cell r="I4">
            <v>0</v>
          </cell>
        </row>
      </sheetData>
      <sheetData sheetId="9027">
        <row r="4">
          <cell r="I4">
            <v>0</v>
          </cell>
        </row>
      </sheetData>
      <sheetData sheetId="9028">
        <row r="4">
          <cell r="I4">
            <v>0</v>
          </cell>
        </row>
      </sheetData>
      <sheetData sheetId="9029">
        <row r="4">
          <cell r="I4">
            <v>0</v>
          </cell>
        </row>
      </sheetData>
      <sheetData sheetId="9030">
        <row r="4">
          <cell r="I4">
            <v>0</v>
          </cell>
        </row>
      </sheetData>
      <sheetData sheetId="9031">
        <row r="4">
          <cell r="I4">
            <v>0</v>
          </cell>
        </row>
      </sheetData>
      <sheetData sheetId="9032">
        <row r="4">
          <cell r="I4">
            <v>0</v>
          </cell>
        </row>
      </sheetData>
      <sheetData sheetId="9033">
        <row r="4">
          <cell r="I4">
            <v>0</v>
          </cell>
        </row>
      </sheetData>
      <sheetData sheetId="9034">
        <row r="4">
          <cell r="I4">
            <v>0</v>
          </cell>
        </row>
      </sheetData>
      <sheetData sheetId="9035">
        <row r="4">
          <cell r="I4">
            <v>0</v>
          </cell>
        </row>
      </sheetData>
      <sheetData sheetId="9036">
        <row r="4">
          <cell r="I4">
            <v>0</v>
          </cell>
        </row>
      </sheetData>
      <sheetData sheetId="9037">
        <row r="4">
          <cell r="I4">
            <v>0</v>
          </cell>
        </row>
      </sheetData>
      <sheetData sheetId="9038">
        <row r="4">
          <cell r="I4">
            <v>0</v>
          </cell>
        </row>
      </sheetData>
      <sheetData sheetId="9039">
        <row r="4">
          <cell r="I4">
            <v>0</v>
          </cell>
        </row>
      </sheetData>
      <sheetData sheetId="9040">
        <row r="4">
          <cell r="I4">
            <v>0</v>
          </cell>
        </row>
      </sheetData>
      <sheetData sheetId="9041">
        <row r="4">
          <cell r="I4">
            <v>0</v>
          </cell>
        </row>
      </sheetData>
      <sheetData sheetId="9042">
        <row r="4">
          <cell r="I4">
            <v>0</v>
          </cell>
        </row>
      </sheetData>
      <sheetData sheetId="9043">
        <row r="4">
          <cell r="I4">
            <v>0</v>
          </cell>
        </row>
      </sheetData>
      <sheetData sheetId="9044">
        <row r="4">
          <cell r="I4">
            <v>0</v>
          </cell>
        </row>
      </sheetData>
      <sheetData sheetId="9045">
        <row r="4">
          <cell r="I4">
            <v>0</v>
          </cell>
        </row>
      </sheetData>
      <sheetData sheetId="9046">
        <row r="4">
          <cell r="I4">
            <v>0</v>
          </cell>
        </row>
      </sheetData>
      <sheetData sheetId="9047">
        <row r="4">
          <cell r="I4">
            <v>0</v>
          </cell>
        </row>
      </sheetData>
      <sheetData sheetId="9048">
        <row r="4">
          <cell r="I4">
            <v>0</v>
          </cell>
        </row>
      </sheetData>
      <sheetData sheetId="9049">
        <row r="4">
          <cell r="I4">
            <v>0</v>
          </cell>
        </row>
      </sheetData>
      <sheetData sheetId="9050">
        <row r="4">
          <cell r="I4">
            <v>0</v>
          </cell>
        </row>
      </sheetData>
      <sheetData sheetId="9051">
        <row r="4">
          <cell r="I4">
            <v>0</v>
          </cell>
        </row>
      </sheetData>
      <sheetData sheetId="9052">
        <row r="4">
          <cell r="I4">
            <v>0</v>
          </cell>
        </row>
      </sheetData>
      <sheetData sheetId="9053">
        <row r="4">
          <cell r="I4">
            <v>0</v>
          </cell>
        </row>
      </sheetData>
      <sheetData sheetId="9054">
        <row r="4">
          <cell r="I4">
            <v>0</v>
          </cell>
        </row>
      </sheetData>
      <sheetData sheetId="9055">
        <row r="4">
          <cell r="I4">
            <v>0</v>
          </cell>
        </row>
      </sheetData>
      <sheetData sheetId="9056">
        <row r="4">
          <cell r="I4">
            <v>0</v>
          </cell>
        </row>
      </sheetData>
      <sheetData sheetId="9057">
        <row r="4">
          <cell r="I4">
            <v>0</v>
          </cell>
        </row>
      </sheetData>
      <sheetData sheetId="9058">
        <row r="4">
          <cell r="I4">
            <v>0</v>
          </cell>
        </row>
      </sheetData>
      <sheetData sheetId="9059">
        <row r="4">
          <cell r="I4">
            <v>0</v>
          </cell>
        </row>
      </sheetData>
      <sheetData sheetId="9060">
        <row r="4">
          <cell r="I4">
            <v>0</v>
          </cell>
        </row>
      </sheetData>
      <sheetData sheetId="9061">
        <row r="4">
          <cell r="I4">
            <v>0</v>
          </cell>
        </row>
      </sheetData>
      <sheetData sheetId="9062">
        <row r="4">
          <cell r="I4">
            <v>0</v>
          </cell>
        </row>
      </sheetData>
      <sheetData sheetId="9063">
        <row r="4">
          <cell r="I4">
            <v>0</v>
          </cell>
        </row>
      </sheetData>
      <sheetData sheetId="9064">
        <row r="4">
          <cell r="I4">
            <v>0</v>
          </cell>
        </row>
      </sheetData>
      <sheetData sheetId="9065">
        <row r="4">
          <cell r="I4">
            <v>0</v>
          </cell>
        </row>
      </sheetData>
      <sheetData sheetId="9066">
        <row r="4">
          <cell r="I4">
            <v>0</v>
          </cell>
        </row>
      </sheetData>
      <sheetData sheetId="9067">
        <row r="4">
          <cell r="I4">
            <v>0</v>
          </cell>
        </row>
      </sheetData>
      <sheetData sheetId="9068">
        <row r="4">
          <cell r="I4">
            <v>0</v>
          </cell>
        </row>
      </sheetData>
      <sheetData sheetId="9069">
        <row r="4">
          <cell r="I4">
            <v>0</v>
          </cell>
        </row>
      </sheetData>
      <sheetData sheetId="9070">
        <row r="4">
          <cell r="I4">
            <v>0</v>
          </cell>
        </row>
      </sheetData>
      <sheetData sheetId="9071">
        <row r="4">
          <cell r="I4">
            <v>0</v>
          </cell>
        </row>
      </sheetData>
      <sheetData sheetId="9072">
        <row r="4">
          <cell r="I4">
            <v>0</v>
          </cell>
        </row>
      </sheetData>
      <sheetData sheetId="9073">
        <row r="4">
          <cell r="I4">
            <v>0</v>
          </cell>
        </row>
      </sheetData>
      <sheetData sheetId="9074">
        <row r="4">
          <cell r="I4">
            <v>0</v>
          </cell>
        </row>
      </sheetData>
      <sheetData sheetId="9075">
        <row r="4">
          <cell r="I4">
            <v>0</v>
          </cell>
        </row>
      </sheetData>
      <sheetData sheetId="9076">
        <row r="4">
          <cell r="I4">
            <v>0</v>
          </cell>
        </row>
      </sheetData>
      <sheetData sheetId="9077">
        <row r="4">
          <cell r="I4">
            <v>0</v>
          </cell>
        </row>
      </sheetData>
      <sheetData sheetId="9078">
        <row r="4">
          <cell r="I4">
            <v>0</v>
          </cell>
        </row>
      </sheetData>
      <sheetData sheetId="9079">
        <row r="4">
          <cell r="I4">
            <v>0</v>
          </cell>
        </row>
      </sheetData>
      <sheetData sheetId="9080">
        <row r="4">
          <cell r="I4">
            <v>0</v>
          </cell>
        </row>
      </sheetData>
      <sheetData sheetId="9081">
        <row r="4">
          <cell r="I4">
            <v>0</v>
          </cell>
        </row>
      </sheetData>
      <sheetData sheetId="9082">
        <row r="4">
          <cell r="I4">
            <v>0</v>
          </cell>
        </row>
      </sheetData>
      <sheetData sheetId="9083">
        <row r="4">
          <cell r="I4">
            <v>0</v>
          </cell>
        </row>
      </sheetData>
      <sheetData sheetId="9084">
        <row r="4">
          <cell r="I4">
            <v>0</v>
          </cell>
        </row>
      </sheetData>
      <sheetData sheetId="9085">
        <row r="4">
          <cell r="I4">
            <v>0</v>
          </cell>
        </row>
      </sheetData>
      <sheetData sheetId="9086">
        <row r="4">
          <cell r="I4">
            <v>0</v>
          </cell>
        </row>
      </sheetData>
      <sheetData sheetId="9087">
        <row r="4">
          <cell r="I4">
            <v>0</v>
          </cell>
        </row>
      </sheetData>
      <sheetData sheetId="9088">
        <row r="4">
          <cell r="I4">
            <v>0</v>
          </cell>
        </row>
      </sheetData>
      <sheetData sheetId="9089">
        <row r="4">
          <cell r="I4">
            <v>0</v>
          </cell>
        </row>
      </sheetData>
      <sheetData sheetId="9090">
        <row r="4">
          <cell r="I4">
            <v>0</v>
          </cell>
        </row>
      </sheetData>
      <sheetData sheetId="9091">
        <row r="4">
          <cell r="I4">
            <v>0</v>
          </cell>
        </row>
      </sheetData>
      <sheetData sheetId="9092">
        <row r="4">
          <cell r="I4">
            <v>0</v>
          </cell>
        </row>
      </sheetData>
      <sheetData sheetId="9093">
        <row r="4">
          <cell r="I4">
            <v>0</v>
          </cell>
        </row>
      </sheetData>
      <sheetData sheetId="9094">
        <row r="4">
          <cell r="I4">
            <v>0</v>
          </cell>
        </row>
      </sheetData>
      <sheetData sheetId="9095">
        <row r="4">
          <cell r="I4">
            <v>0</v>
          </cell>
        </row>
      </sheetData>
      <sheetData sheetId="9096">
        <row r="4">
          <cell r="I4">
            <v>0</v>
          </cell>
        </row>
      </sheetData>
      <sheetData sheetId="9097" refreshError="1"/>
      <sheetData sheetId="9098" refreshError="1"/>
      <sheetData sheetId="9099" refreshError="1"/>
      <sheetData sheetId="9100" refreshError="1"/>
      <sheetData sheetId="9101" refreshError="1"/>
      <sheetData sheetId="9102" refreshError="1"/>
      <sheetData sheetId="9103" refreshError="1"/>
      <sheetData sheetId="9104">
        <row r="4">
          <cell r="I4">
            <v>0</v>
          </cell>
        </row>
      </sheetData>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ow r="4">
          <cell r="I4">
            <v>0</v>
          </cell>
        </row>
      </sheetData>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ow r="4">
          <cell r="I4">
            <v>0</v>
          </cell>
        </row>
      </sheetData>
      <sheetData sheetId="9174">
        <row r="4">
          <cell r="I4">
            <v>0</v>
          </cell>
        </row>
      </sheetData>
      <sheetData sheetId="9175">
        <row r="4">
          <cell r="I4">
            <v>0</v>
          </cell>
        </row>
      </sheetData>
      <sheetData sheetId="9176">
        <row r="4">
          <cell r="I4">
            <v>0</v>
          </cell>
        </row>
      </sheetData>
      <sheetData sheetId="9177">
        <row r="4">
          <cell r="I4">
            <v>0</v>
          </cell>
        </row>
      </sheetData>
      <sheetData sheetId="9178" refreshError="1"/>
      <sheetData sheetId="9179">
        <row r="4">
          <cell r="I4">
            <v>0</v>
          </cell>
        </row>
      </sheetData>
      <sheetData sheetId="9180">
        <row r="4">
          <cell r="I4">
            <v>0</v>
          </cell>
        </row>
      </sheetData>
      <sheetData sheetId="9181">
        <row r="4">
          <cell r="I4">
            <v>0</v>
          </cell>
        </row>
      </sheetData>
      <sheetData sheetId="9182">
        <row r="4">
          <cell r="I4">
            <v>0</v>
          </cell>
        </row>
      </sheetData>
      <sheetData sheetId="9183">
        <row r="4">
          <cell r="I4">
            <v>0</v>
          </cell>
        </row>
      </sheetData>
      <sheetData sheetId="9184">
        <row r="4">
          <cell r="I4">
            <v>0</v>
          </cell>
        </row>
      </sheetData>
      <sheetData sheetId="9185">
        <row r="4">
          <cell r="I4">
            <v>0</v>
          </cell>
        </row>
      </sheetData>
      <sheetData sheetId="9186">
        <row r="4">
          <cell r="I4">
            <v>0</v>
          </cell>
        </row>
      </sheetData>
      <sheetData sheetId="9187">
        <row r="4">
          <cell r="I4">
            <v>0</v>
          </cell>
        </row>
      </sheetData>
      <sheetData sheetId="9188">
        <row r="4">
          <cell r="I4">
            <v>0</v>
          </cell>
        </row>
      </sheetData>
      <sheetData sheetId="9189">
        <row r="4">
          <cell r="I4">
            <v>0</v>
          </cell>
        </row>
      </sheetData>
      <sheetData sheetId="9190">
        <row r="4">
          <cell r="I4">
            <v>0</v>
          </cell>
        </row>
      </sheetData>
      <sheetData sheetId="9191">
        <row r="4">
          <cell r="I4">
            <v>0</v>
          </cell>
        </row>
      </sheetData>
      <sheetData sheetId="9192">
        <row r="4">
          <cell r="I4">
            <v>0</v>
          </cell>
        </row>
      </sheetData>
      <sheetData sheetId="9193">
        <row r="4">
          <cell r="I4">
            <v>0</v>
          </cell>
        </row>
      </sheetData>
      <sheetData sheetId="9194">
        <row r="4">
          <cell r="I4">
            <v>0</v>
          </cell>
        </row>
      </sheetData>
      <sheetData sheetId="9195">
        <row r="4">
          <cell r="I4">
            <v>0</v>
          </cell>
        </row>
      </sheetData>
      <sheetData sheetId="9196">
        <row r="4">
          <cell r="I4">
            <v>0</v>
          </cell>
        </row>
      </sheetData>
      <sheetData sheetId="9197">
        <row r="4">
          <cell r="I4">
            <v>0</v>
          </cell>
        </row>
      </sheetData>
      <sheetData sheetId="9198">
        <row r="4">
          <cell r="I4">
            <v>0</v>
          </cell>
        </row>
      </sheetData>
      <sheetData sheetId="9199">
        <row r="4">
          <cell r="I4">
            <v>0</v>
          </cell>
        </row>
      </sheetData>
      <sheetData sheetId="9200">
        <row r="4">
          <cell r="I4">
            <v>0</v>
          </cell>
        </row>
      </sheetData>
      <sheetData sheetId="9201">
        <row r="4">
          <cell r="I4">
            <v>0</v>
          </cell>
        </row>
      </sheetData>
      <sheetData sheetId="9202">
        <row r="4">
          <cell r="I4">
            <v>0</v>
          </cell>
        </row>
      </sheetData>
      <sheetData sheetId="9203">
        <row r="4">
          <cell r="I4">
            <v>0</v>
          </cell>
        </row>
      </sheetData>
      <sheetData sheetId="9204">
        <row r="4">
          <cell r="I4">
            <v>0</v>
          </cell>
        </row>
      </sheetData>
      <sheetData sheetId="9205">
        <row r="4">
          <cell r="I4">
            <v>0</v>
          </cell>
        </row>
      </sheetData>
      <sheetData sheetId="9206">
        <row r="4">
          <cell r="I4">
            <v>0</v>
          </cell>
        </row>
      </sheetData>
      <sheetData sheetId="9207">
        <row r="4">
          <cell r="I4">
            <v>0</v>
          </cell>
        </row>
      </sheetData>
      <sheetData sheetId="9208">
        <row r="4">
          <cell r="I4">
            <v>0</v>
          </cell>
        </row>
      </sheetData>
      <sheetData sheetId="9209">
        <row r="4">
          <cell r="I4">
            <v>0</v>
          </cell>
        </row>
      </sheetData>
      <sheetData sheetId="9210">
        <row r="4">
          <cell r="I4">
            <v>0</v>
          </cell>
        </row>
      </sheetData>
      <sheetData sheetId="9211">
        <row r="4">
          <cell r="I4">
            <v>0</v>
          </cell>
        </row>
      </sheetData>
      <sheetData sheetId="9212">
        <row r="4">
          <cell r="I4">
            <v>0</v>
          </cell>
        </row>
      </sheetData>
      <sheetData sheetId="9213">
        <row r="4">
          <cell r="I4">
            <v>0</v>
          </cell>
        </row>
      </sheetData>
      <sheetData sheetId="9214">
        <row r="4">
          <cell r="I4">
            <v>0</v>
          </cell>
        </row>
      </sheetData>
      <sheetData sheetId="9215">
        <row r="4">
          <cell r="I4">
            <v>0</v>
          </cell>
        </row>
      </sheetData>
      <sheetData sheetId="9216">
        <row r="4">
          <cell r="I4">
            <v>0</v>
          </cell>
        </row>
      </sheetData>
      <sheetData sheetId="9217">
        <row r="4">
          <cell r="I4">
            <v>0</v>
          </cell>
        </row>
      </sheetData>
      <sheetData sheetId="9218">
        <row r="4">
          <cell r="I4">
            <v>0</v>
          </cell>
        </row>
      </sheetData>
      <sheetData sheetId="9219">
        <row r="4">
          <cell r="I4">
            <v>0</v>
          </cell>
        </row>
      </sheetData>
      <sheetData sheetId="9220">
        <row r="4">
          <cell r="I4">
            <v>0</v>
          </cell>
        </row>
      </sheetData>
      <sheetData sheetId="9221">
        <row r="4">
          <cell r="I4">
            <v>0</v>
          </cell>
        </row>
      </sheetData>
      <sheetData sheetId="9222">
        <row r="4">
          <cell r="I4">
            <v>0</v>
          </cell>
        </row>
      </sheetData>
      <sheetData sheetId="9223">
        <row r="4">
          <cell r="I4">
            <v>0</v>
          </cell>
        </row>
      </sheetData>
      <sheetData sheetId="9224">
        <row r="4">
          <cell r="I4">
            <v>0</v>
          </cell>
        </row>
      </sheetData>
      <sheetData sheetId="9225">
        <row r="4">
          <cell r="I4">
            <v>0</v>
          </cell>
        </row>
      </sheetData>
      <sheetData sheetId="9226">
        <row r="4">
          <cell r="I4">
            <v>0</v>
          </cell>
        </row>
      </sheetData>
      <sheetData sheetId="9227">
        <row r="4">
          <cell r="I4">
            <v>0</v>
          </cell>
        </row>
      </sheetData>
      <sheetData sheetId="9228">
        <row r="4">
          <cell r="I4">
            <v>0</v>
          </cell>
        </row>
      </sheetData>
      <sheetData sheetId="9229">
        <row r="4">
          <cell r="I4">
            <v>0</v>
          </cell>
        </row>
      </sheetData>
      <sheetData sheetId="9230">
        <row r="4">
          <cell r="I4">
            <v>0</v>
          </cell>
        </row>
      </sheetData>
      <sheetData sheetId="9231">
        <row r="4">
          <cell r="I4">
            <v>0</v>
          </cell>
        </row>
      </sheetData>
      <sheetData sheetId="9232">
        <row r="4">
          <cell r="I4">
            <v>0</v>
          </cell>
        </row>
      </sheetData>
      <sheetData sheetId="9233">
        <row r="4">
          <cell r="I4">
            <v>0</v>
          </cell>
        </row>
      </sheetData>
      <sheetData sheetId="9234">
        <row r="4">
          <cell r="I4">
            <v>0</v>
          </cell>
        </row>
      </sheetData>
      <sheetData sheetId="9235">
        <row r="4">
          <cell r="I4">
            <v>0</v>
          </cell>
        </row>
      </sheetData>
      <sheetData sheetId="9236">
        <row r="4">
          <cell r="I4">
            <v>0</v>
          </cell>
        </row>
      </sheetData>
      <sheetData sheetId="9237">
        <row r="4">
          <cell r="I4">
            <v>0</v>
          </cell>
        </row>
      </sheetData>
      <sheetData sheetId="9238">
        <row r="4">
          <cell r="I4">
            <v>0</v>
          </cell>
        </row>
      </sheetData>
      <sheetData sheetId="9239">
        <row r="4">
          <cell r="I4">
            <v>0</v>
          </cell>
        </row>
      </sheetData>
      <sheetData sheetId="9240">
        <row r="4">
          <cell r="I4">
            <v>0</v>
          </cell>
        </row>
      </sheetData>
      <sheetData sheetId="9241">
        <row r="4">
          <cell r="I4">
            <v>0</v>
          </cell>
        </row>
      </sheetData>
      <sheetData sheetId="9242">
        <row r="4">
          <cell r="I4">
            <v>0</v>
          </cell>
        </row>
      </sheetData>
      <sheetData sheetId="9243">
        <row r="4">
          <cell r="I4">
            <v>0</v>
          </cell>
        </row>
      </sheetData>
      <sheetData sheetId="9244">
        <row r="4">
          <cell r="I4">
            <v>0</v>
          </cell>
        </row>
      </sheetData>
      <sheetData sheetId="9245">
        <row r="4">
          <cell r="I4">
            <v>0</v>
          </cell>
        </row>
      </sheetData>
      <sheetData sheetId="9246">
        <row r="4">
          <cell r="I4">
            <v>0</v>
          </cell>
        </row>
      </sheetData>
      <sheetData sheetId="9247">
        <row r="4">
          <cell r="I4">
            <v>0</v>
          </cell>
        </row>
      </sheetData>
      <sheetData sheetId="9248">
        <row r="4">
          <cell r="I4">
            <v>0</v>
          </cell>
        </row>
      </sheetData>
      <sheetData sheetId="9249">
        <row r="4">
          <cell r="I4">
            <v>0</v>
          </cell>
        </row>
      </sheetData>
      <sheetData sheetId="9250">
        <row r="4">
          <cell r="I4">
            <v>0</v>
          </cell>
        </row>
      </sheetData>
      <sheetData sheetId="9251">
        <row r="4">
          <cell r="I4">
            <v>0</v>
          </cell>
        </row>
      </sheetData>
      <sheetData sheetId="9252">
        <row r="4">
          <cell r="I4">
            <v>0</v>
          </cell>
        </row>
      </sheetData>
      <sheetData sheetId="9253">
        <row r="4">
          <cell r="I4">
            <v>0</v>
          </cell>
        </row>
      </sheetData>
      <sheetData sheetId="9254">
        <row r="4">
          <cell r="I4">
            <v>0</v>
          </cell>
        </row>
      </sheetData>
      <sheetData sheetId="9255">
        <row r="4">
          <cell r="I4">
            <v>0</v>
          </cell>
        </row>
      </sheetData>
      <sheetData sheetId="9256">
        <row r="4">
          <cell r="I4">
            <v>0</v>
          </cell>
        </row>
      </sheetData>
      <sheetData sheetId="9257">
        <row r="4">
          <cell r="I4">
            <v>0</v>
          </cell>
        </row>
      </sheetData>
      <sheetData sheetId="9258">
        <row r="4">
          <cell r="I4">
            <v>0</v>
          </cell>
        </row>
      </sheetData>
      <sheetData sheetId="9259" refreshError="1"/>
      <sheetData sheetId="9260" refreshError="1"/>
      <sheetData sheetId="9261" refreshError="1"/>
      <sheetData sheetId="9262" refreshError="1"/>
      <sheetData sheetId="9263" refreshError="1"/>
      <sheetData sheetId="9264">
        <row r="4">
          <cell r="I4">
            <v>0</v>
          </cell>
        </row>
      </sheetData>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ow r="4">
          <cell r="I4">
            <v>0</v>
          </cell>
        </row>
      </sheetData>
      <sheetData sheetId="9274">
        <row r="4">
          <cell r="I4">
            <v>0</v>
          </cell>
        </row>
      </sheetData>
      <sheetData sheetId="9275">
        <row r="4">
          <cell r="I4">
            <v>0</v>
          </cell>
        </row>
      </sheetData>
      <sheetData sheetId="9276">
        <row r="4">
          <cell r="I4">
            <v>0</v>
          </cell>
        </row>
      </sheetData>
      <sheetData sheetId="9277">
        <row r="4">
          <cell r="I4">
            <v>0</v>
          </cell>
        </row>
      </sheetData>
      <sheetData sheetId="9278">
        <row r="4">
          <cell r="I4">
            <v>0</v>
          </cell>
        </row>
      </sheetData>
      <sheetData sheetId="9279" refreshError="1"/>
      <sheetData sheetId="9280" refreshError="1"/>
      <sheetData sheetId="9281" refreshError="1"/>
      <sheetData sheetId="9282" refreshError="1"/>
      <sheetData sheetId="9283" refreshError="1"/>
      <sheetData sheetId="9284" refreshError="1"/>
      <sheetData sheetId="9285">
        <row r="4">
          <cell r="I4">
            <v>0</v>
          </cell>
        </row>
      </sheetData>
      <sheetData sheetId="9286">
        <row r="4">
          <cell r="I4">
            <v>0</v>
          </cell>
        </row>
      </sheetData>
      <sheetData sheetId="9287">
        <row r="4">
          <cell r="I4">
            <v>0</v>
          </cell>
        </row>
      </sheetData>
      <sheetData sheetId="9288">
        <row r="4">
          <cell r="I4">
            <v>0</v>
          </cell>
        </row>
      </sheetData>
      <sheetData sheetId="9289">
        <row r="4">
          <cell r="I4">
            <v>0</v>
          </cell>
        </row>
      </sheetData>
      <sheetData sheetId="9290">
        <row r="4">
          <cell r="I4">
            <v>0</v>
          </cell>
        </row>
      </sheetData>
      <sheetData sheetId="9291">
        <row r="4">
          <cell r="I4">
            <v>0</v>
          </cell>
        </row>
      </sheetData>
      <sheetData sheetId="9292">
        <row r="4">
          <cell r="I4">
            <v>0</v>
          </cell>
        </row>
      </sheetData>
      <sheetData sheetId="9293">
        <row r="4">
          <cell r="I4">
            <v>0</v>
          </cell>
        </row>
      </sheetData>
      <sheetData sheetId="9294">
        <row r="4">
          <cell r="I4">
            <v>0</v>
          </cell>
        </row>
      </sheetData>
      <sheetData sheetId="9295">
        <row r="4">
          <cell r="I4">
            <v>0</v>
          </cell>
        </row>
      </sheetData>
      <sheetData sheetId="9296">
        <row r="4">
          <cell r="I4">
            <v>0</v>
          </cell>
        </row>
      </sheetData>
      <sheetData sheetId="9297">
        <row r="4">
          <cell r="I4">
            <v>0</v>
          </cell>
        </row>
      </sheetData>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ow r="4">
          <cell r="I4">
            <v>0</v>
          </cell>
        </row>
      </sheetData>
      <sheetData sheetId="9375">
        <row r="4">
          <cell r="I4">
            <v>0</v>
          </cell>
        </row>
      </sheetData>
      <sheetData sheetId="9376">
        <row r="4">
          <cell r="I4">
            <v>0</v>
          </cell>
        </row>
      </sheetData>
      <sheetData sheetId="9377">
        <row r="4">
          <cell r="I4">
            <v>0</v>
          </cell>
        </row>
      </sheetData>
      <sheetData sheetId="9378">
        <row r="4">
          <cell r="I4">
            <v>0</v>
          </cell>
        </row>
      </sheetData>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ow r="4">
          <cell r="I4">
            <v>0</v>
          </cell>
        </row>
      </sheetData>
      <sheetData sheetId="9392">
        <row r="4">
          <cell r="I4">
            <v>0</v>
          </cell>
        </row>
      </sheetData>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ow r="4">
          <cell r="I4">
            <v>0</v>
          </cell>
        </row>
      </sheetData>
      <sheetData sheetId="9530">
        <row r="4">
          <cell r="I4">
            <v>0</v>
          </cell>
        </row>
      </sheetData>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ow r="4">
          <cell r="I4">
            <v>0</v>
          </cell>
        </row>
      </sheetData>
      <sheetData sheetId="9740">
        <row r="4">
          <cell r="I4">
            <v>0</v>
          </cell>
        </row>
      </sheetData>
      <sheetData sheetId="9741">
        <row r="4">
          <cell r="I4">
            <v>0</v>
          </cell>
        </row>
      </sheetData>
      <sheetData sheetId="9742">
        <row r="4">
          <cell r="I4">
            <v>0</v>
          </cell>
        </row>
      </sheetData>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ow r="4">
          <cell r="I4">
            <v>0</v>
          </cell>
        </row>
      </sheetData>
      <sheetData sheetId="9778">
        <row r="4">
          <cell r="I4">
            <v>0</v>
          </cell>
        </row>
      </sheetData>
      <sheetData sheetId="9779">
        <row r="4">
          <cell r="I4">
            <v>0</v>
          </cell>
        </row>
      </sheetData>
      <sheetData sheetId="9780">
        <row r="4">
          <cell r="I4">
            <v>0</v>
          </cell>
        </row>
      </sheetData>
      <sheetData sheetId="9781">
        <row r="4">
          <cell r="I4">
            <v>0</v>
          </cell>
        </row>
      </sheetData>
      <sheetData sheetId="9782">
        <row r="4">
          <cell r="I4">
            <v>0</v>
          </cell>
        </row>
      </sheetData>
      <sheetData sheetId="9783">
        <row r="4">
          <cell r="I4">
            <v>0</v>
          </cell>
        </row>
      </sheetData>
      <sheetData sheetId="9784">
        <row r="4">
          <cell r="I4">
            <v>0</v>
          </cell>
        </row>
      </sheetData>
      <sheetData sheetId="9785">
        <row r="4">
          <cell r="I4">
            <v>0</v>
          </cell>
        </row>
      </sheetData>
      <sheetData sheetId="9786">
        <row r="4">
          <cell r="I4">
            <v>0</v>
          </cell>
        </row>
      </sheetData>
      <sheetData sheetId="9787">
        <row r="4">
          <cell r="I4">
            <v>0</v>
          </cell>
        </row>
      </sheetData>
      <sheetData sheetId="9788">
        <row r="4">
          <cell r="I4">
            <v>0</v>
          </cell>
        </row>
      </sheetData>
      <sheetData sheetId="9789">
        <row r="4">
          <cell r="I4">
            <v>0</v>
          </cell>
        </row>
      </sheetData>
      <sheetData sheetId="9790">
        <row r="4">
          <cell r="I4">
            <v>0</v>
          </cell>
        </row>
      </sheetData>
      <sheetData sheetId="9791">
        <row r="4">
          <cell r="I4">
            <v>0</v>
          </cell>
        </row>
      </sheetData>
      <sheetData sheetId="9792">
        <row r="4">
          <cell r="I4">
            <v>0</v>
          </cell>
        </row>
      </sheetData>
      <sheetData sheetId="9793">
        <row r="4">
          <cell r="I4">
            <v>0</v>
          </cell>
        </row>
      </sheetData>
      <sheetData sheetId="9794">
        <row r="4">
          <cell r="I4">
            <v>0</v>
          </cell>
        </row>
      </sheetData>
      <sheetData sheetId="9795">
        <row r="4">
          <cell r="I4">
            <v>0</v>
          </cell>
        </row>
      </sheetData>
      <sheetData sheetId="9796">
        <row r="4">
          <cell r="I4">
            <v>0</v>
          </cell>
        </row>
      </sheetData>
      <sheetData sheetId="9797">
        <row r="4">
          <cell r="I4">
            <v>0</v>
          </cell>
        </row>
      </sheetData>
      <sheetData sheetId="9798">
        <row r="4">
          <cell r="I4">
            <v>0</v>
          </cell>
        </row>
      </sheetData>
      <sheetData sheetId="9799">
        <row r="4">
          <cell r="I4">
            <v>0</v>
          </cell>
        </row>
      </sheetData>
      <sheetData sheetId="9800">
        <row r="4">
          <cell r="I4">
            <v>0</v>
          </cell>
        </row>
      </sheetData>
      <sheetData sheetId="9801">
        <row r="4">
          <cell r="I4">
            <v>0</v>
          </cell>
        </row>
      </sheetData>
      <sheetData sheetId="9802">
        <row r="4">
          <cell r="I4">
            <v>0</v>
          </cell>
        </row>
      </sheetData>
      <sheetData sheetId="9803">
        <row r="4">
          <cell r="I4">
            <v>0</v>
          </cell>
        </row>
      </sheetData>
      <sheetData sheetId="9804">
        <row r="4">
          <cell r="I4">
            <v>0</v>
          </cell>
        </row>
      </sheetData>
      <sheetData sheetId="9805">
        <row r="4">
          <cell r="I4">
            <v>0</v>
          </cell>
        </row>
      </sheetData>
      <sheetData sheetId="9806">
        <row r="4">
          <cell r="I4">
            <v>0</v>
          </cell>
        </row>
      </sheetData>
      <sheetData sheetId="9807">
        <row r="4">
          <cell r="I4">
            <v>0</v>
          </cell>
        </row>
      </sheetData>
      <sheetData sheetId="9808">
        <row r="4">
          <cell r="I4">
            <v>0</v>
          </cell>
        </row>
      </sheetData>
      <sheetData sheetId="9809">
        <row r="4">
          <cell r="I4">
            <v>0</v>
          </cell>
        </row>
      </sheetData>
      <sheetData sheetId="9810">
        <row r="4">
          <cell r="I4">
            <v>0</v>
          </cell>
        </row>
      </sheetData>
      <sheetData sheetId="9811">
        <row r="4">
          <cell r="I4">
            <v>0</v>
          </cell>
        </row>
      </sheetData>
      <sheetData sheetId="9812">
        <row r="4">
          <cell r="I4">
            <v>0</v>
          </cell>
        </row>
      </sheetData>
      <sheetData sheetId="9813">
        <row r="4">
          <cell r="I4">
            <v>0</v>
          </cell>
        </row>
      </sheetData>
      <sheetData sheetId="9814">
        <row r="4">
          <cell r="I4">
            <v>0</v>
          </cell>
        </row>
      </sheetData>
      <sheetData sheetId="9815">
        <row r="4">
          <cell r="I4">
            <v>0</v>
          </cell>
        </row>
      </sheetData>
      <sheetData sheetId="9816">
        <row r="4">
          <cell r="I4">
            <v>0</v>
          </cell>
        </row>
      </sheetData>
      <sheetData sheetId="9817">
        <row r="4">
          <cell r="I4">
            <v>0</v>
          </cell>
        </row>
      </sheetData>
      <sheetData sheetId="9818">
        <row r="4">
          <cell r="I4">
            <v>0</v>
          </cell>
        </row>
      </sheetData>
      <sheetData sheetId="9819" refreshError="1"/>
      <sheetData sheetId="9820">
        <row r="4">
          <cell r="I4">
            <v>0</v>
          </cell>
        </row>
      </sheetData>
      <sheetData sheetId="9821">
        <row r="4">
          <cell r="I4">
            <v>0</v>
          </cell>
        </row>
      </sheetData>
      <sheetData sheetId="9822">
        <row r="4">
          <cell r="I4">
            <v>0</v>
          </cell>
        </row>
      </sheetData>
      <sheetData sheetId="9823">
        <row r="4">
          <cell r="I4">
            <v>0</v>
          </cell>
        </row>
      </sheetData>
      <sheetData sheetId="9824">
        <row r="4">
          <cell r="I4">
            <v>0</v>
          </cell>
        </row>
      </sheetData>
      <sheetData sheetId="9825">
        <row r="4">
          <cell r="I4">
            <v>0</v>
          </cell>
        </row>
      </sheetData>
      <sheetData sheetId="9826">
        <row r="4">
          <cell r="I4">
            <v>0</v>
          </cell>
        </row>
      </sheetData>
      <sheetData sheetId="9827">
        <row r="4">
          <cell r="I4">
            <v>0</v>
          </cell>
        </row>
      </sheetData>
      <sheetData sheetId="9828">
        <row r="4">
          <cell r="I4">
            <v>0</v>
          </cell>
        </row>
      </sheetData>
      <sheetData sheetId="9829">
        <row r="4">
          <cell r="I4">
            <v>0</v>
          </cell>
        </row>
      </sheetData>
      <sheetData sheetId="9830">
        <row r="4">
          <cell r="I4">
            <v>0</v>
          </cell>
        </row>
      </sheetData>
      <sheetData sheetId="9831">
        <row r="4">
          <cell r="I4">
            <v>0</v>
          </cell>
        </row>
      </sheetData>
      <sheetData sheetId="9832">
        <row r="4">
          <cell r="I4">
            <v>0</v>
          </cell>
        </row>
      </sheetData>
      <sheetData sheetId="9833">
        <row r="4">
          <cell r="I4">
            <v>0</v>
          </cell>
        </row>
      </sheetData>
      <sheetData sheetId="9834">
        <row r="4">
          <cell r="I4">
            <v>0</v>
          </cell>
        </row>
      </sheetData>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sheetData sheetId="9845"/>
      <sheetData sheetId="9846"/>
      <sheetData sheetId="9847"/>
      <sheetData sheetId="9848"/>
      <sheetData sheetId="9849"/>
      <sheetData sheetId="9850"/>
      <sheetData sheetId="9851"/>
      <sheetData sheetId="9852"/>
      <sheetData sheetId="9853" refreshError="1"/>
      <sheetData sheetId="9854"/>
      <sheetData sheetId="9855"/>
      <sheetData sheetId="9856" refreshError="1"/>
      <sheetData sheetId="9857">
        <row r="4">
          <cell r="I4">
            <v>0</v>
          </cell>
        </row>
      </sheetData>
      <sheetData sheetId="9858">
        <row r="4">
          <cell r="I4">
            <v>0</v>
          </cell>
        </row>
      </sheetData>
      <sheetData sheetId="9859">
        <row r="4">
          <cell r="I4">
            <v>0</v>
          </cell>
        </row>
      </sheetData>
      <sheetData sheetId="9860" refreshError="1"/>
      <sheetData sheetId="9861" refreshError="1"/>
      <sheetData sheetId="9862" refreshError="1"/>
      <sheetData sheetId="9863" refreshError="1"/>
      <sheetData sheetId="9864" refreshError="1"/>
      <sheetData sheetId="9865">
        <row r="4">
          <cell r="I4">
            <v>0</v>
          </cell>
        </row>
      </sheetData>
      <sheetData sheetId="9866">
        <row r="4">
          <cell r="I4">
            <v>0</v>
          </cell>
        </row>
      </sheetData>
      <sheetData sheetId="9867">
        <row r="4">
          <cell r="I4">
            <v>0</v>
          </cell>
        </row>
      </sheetData>
      <sheetData sheetId="9868">
        <row r="4">
          <cell r="I4">
            <v>0</v>
          </cell>
        </row>
      </sheetData>
      <sheetData sheetId="9869">
        <row r="4">
          <cell r="I4">
            <v>0</v>
          </cell>
        </row>
      </sheetData>
      <sheetData sheetId="9870">
        <row r="4">
          <cell r="I4">
            <v>0</v>
          </cell>
        </row>
      </sheetData>
      <sheetData sheetId="9871">
        <row r="4">
          <cell r="I4">
            <v>0</v>
          </cell>
        </row>
      </sheetData>
      <sheetData sheetId="9872">
        <row r="4">
          <cell r="I4">
            <v>0</v>
          </cell>
        </row>
      </sheetData>
      <sheetData sheetId="9873">
        <row r="4">
          <cell r="I4">
            <v>0</v>
          </cell>
        </row>
      </sheetData>
      <sheetData sheetId="9874">
        <row r="4">
          <cell r="I4">
            <v>0</v>
          </cell>
        </row>
      </sheetData>
      <sheetData sheetId="9875">
        <row r="4">
          <cell r="I4">
            <v>0</v>
          </cell>
        </row>
      </sheetData>
      <sheetData sheetId="9876">
        <row r="4">
          <cell r="I4">
            <v>0</v>
          </cell>
        </row>
      </sheetData>
      <sheetData sheetId="9877">
        <row r="4">
          <cell r="I4">
            <v>0</v>
          </cell>
        </row>
      </sheetData>
      <sheetData sheetId="9878">
        <row r="4">
          <cell r="I4">
            <v>0</v>
          </cell>
        </row>
      </sheetData>
      <sheetData sheetId="9879">
        <row r="4">
          <cell r="I4">
            <v>0</v>
          </cell>
        </row>
      </sheetData>
      <sheetData sheetId="9880">
        <row r="4">
          <cell r="I4">
            <v>0</v>
          </cell>
        </row>
      </sheetData>
      <sheetData sheetId="9881">
        <row r="4">
          <cell r="I4">
            <v>0</v>
          </cell>
        </row>
      </sheetData>
      <sheetData sheetId="9882">
        <row r="4">
          <cell r="I4">
            <v>0</v>
          </cell>
        </row>
      </sheetData>
      <sheetData sheetId="9883">
        <row r="4">
          <cell r="I4">
            <v>0</v>
          </cell>
        </row>
      </sheetData>
      <sheetData sheetId="9884">
        <row r="4">
          <cell r="I4">
            <v>0</v>
          </cell>
        </row>
      </sheetData>
      <sheetData sheetId="9885">
        <row r="4">
          <cell r="I4">
            <v>0</v>
          </cell>
        </row>
      </sheetData>
      <sheetData sheetId="9886">
        <row r="4">
          <cell r="I4">
            <v>0</v>
          </cell>
        </row>
      </sheetData>
      <sheetData sheetId="9887">
        <row r="4">
          <cell r="I4">
            <v>0</v>
          </cell>
        </row>
      </sheetData>
      <sheetData sheetId="9888">
        <row r="4">
          <cell r="I4">
            <v>0</v>
          </cell>
        </row>
      </sheetData>
      <sheetData sheetId="9889">
        <row r="4">
          <cell r="I4">
            <v>0</v>
          </cell>
        </row>
      </sheetData>
      <sheetData sheetId="9890">
        <row r="4">
          <cell r="I4">
            <v>0</v>
          </cell>
        </row>
      </sheetData>
      <sheetData sheetId="9891">
        <row r="4">
          <cell r="I4">
            <v>0</v>
          </cell>
        </row>
      </sheetData>
      <sheetData sheetId="9892">
        <row r="4">
          <cell r="I4">
            <v>0</v>
          </cell>
        </row>
      </sheetData>
      <sheetData sheetId="9893">
        <row r="4">
          <cell r="I4">
            <v>0</v>
          </cell>
        </row>
      </sheetData>
      <sheetData sheetId="9894">
        <row r="4">
          <cell r="I4">
            <v>0</v>
          </cell>
        </row>
      </sheetData>
      <sheetData sheetId="9895">
        <row r="4">
          <cell r="I4">
            <v>0</v>
          </cell>
        </row>
      </sheetData>
      <sheetData sheetId="9896">
        <row r="4">
          <cell r="I4">
            <v>0</v>
          </cell>
        </row>
      </sheetData>
      <sheetData sheetId="9897">
        <row r="4">
          <cell r="I4">
            <v>0</v>
          </cell>
        </row>
      </sheetData>
      <sheetData sheetId="9898">
        <row r="4">
          <cell r="I4">
            <v>0</v>
          </cell>
        </row>
      </sheetData>
      <sheetData sheetId="9899">
        <row r="4">
          <cell r="I4">
            <v>0</v>
          </cell>
        </row>
      </sheetData>
      <sheetData sheetId="9900">
        <row r="4">
          <cell r="I4">
            <v>0</v>
          </cell>
        </row>
      </sheetData>
      <sheetData sheetId="9901">
        <row r="4">
          <cell r="I4">
            <v>0</v>
          </cell>
        </row>
      </sheetData>
      <sheetData sheetId="9902">
        <row r="4">
          <cell r="I4">
            <v>0</v>
          </cell>
        </row>
      </sheetData>
      <sheetData sheetId="9903">
        <row r="4">
          <cell r="I4">
            <v>0</v>
          </cell>
        </row>
      </sheetData>
      <sheetData sheetId="9904">
        <row r="4">
          <cell r="I4">
            <v>0</v>
          </cell>
        </row>
      </sheetData>
      <sheetData sheetId="9905">
        <row r="4">
          <cell r="I4">
            <v>0</v>
          </cell>
        </row>
      </sheetData>
      <sheetData sheetId="9906">
        <row r="4">
          <cell r="I4">
            <v>0</v>
          </cell>
        </row>
      </sheetData>
      <sheetData sheetId="9907">
        <row r="4">
          <cell r="I4">
            <v>0</v>
          </cell>
        </row>
      </sheetData>
      <sheetData sheetId="9908">
        <row r="4">
          <cell r="I4">
            <v>0</v>
          </cell>
        </row>
      </sheetData>
      <sheetData sheetId="9909">
        <row r="4">
          <cell r="I4">
            <v>0</v>
          </cell>
        </row>
      </sheetData>
      <sheetData sheetId="9910">
        <row r="4">
          <cell r="I4">
            <v>0</v>
          </cell>
        </row>
      </sheetData>
      <sheetData sheetId="9911">
        <row r="4">
          <cell r="I4">
            <v>0</v>
          </cell>
        </row>
      </sheetData>
      <sheetData sheetId="9912">
        <row r="4">
          <cell r="I4">
            <v>0</v>
          </cell>
        </row>
      </sheetData>
      <sheetData sheetId="9913">
        <row r="4">
          <cell r="I4">
            <v>0</v>
          </cell>
        </row>
      </sheetData>
      <sheetData sheetId="9914">
        <row r="4">
          <cell r="I4">
            <v>0</v>
          </cell>
        </row>
      </sheetData>
      <sheetData sheetId="9915">
        <row r="4">
          <cell r="I4">
            <v>0</v>
          </cell>
        </row>
      </sheetData>
      <sheetData sheetId="9916">
        <row r="4">
          <cell r="I4">
            <v>0</v>
          </cell>
        </row>
      </sheetData>
      <sheetData sheetId="9917">
        <row r="4">
          <cell r="I4">
            <v>0</v>
          </cell>
        </row>
      </sheetData>
      <sheetData sheetId="9918">
        <row r="4">
          <cell r="I4">
            <v>0</v>
          </cell>
        </row>
      </sheetData>
      <sheetData sheetId="9919">
        <row r="4">
          <cell r="I4">
            <v>0</v>
          </cell>
        </row>
      </sheetData>
      <sheetData sheetId="9920">
        <row r="4">
          <cell r="I4">
            <v>0</v>
          </cell>
        </row>
      </sheetData>
      <sheetData sheetId="9921">
        <row r="4">
          <cell r="I4">
            <v>0</v>
          </cell>
        </row>
      </sheetData>
      <sheetData sheetId="9922">
        <row r="4">
          <cell r="I4">
            <v>0</v>
          </cell>
        </row>
      </sheetData>
      <sheetData sheetId="9923">
        <row r="4">
          <cell r="I4">
            <v>0</v>
          </cell>
        </row>
      </sheetData>
      <sheetData sheetId="9924">
        <row r="4">
          <cell r="I4">
            <v>0</v>
          </cell>
        </row>
      </sheetData>
      <sheetData sheetId="9925">
        <row r="4">
          <cell r="I4">
            <v>0</v>
          </cell>
        </row>
      </sheetData>
      <sheetData sheetId="9926">
        <row r="4">
          <cell r="I4">
            <v>0</v>
          </cell>
        </row>
      </sheetData>
      <sheetData sheetId="9927">
        <row r="4">
          <cell r="I4">
            <v>0</v>
          </cell>
        </row>
      </sheetData>
      <sheetData sheetId="9928">
        <row r="4">
          <cell r="I4">
            <v>0</v>
          </cell>
        </row>
      </sheetData>
      <sheetData sheetId="9929">
        <row r="4">
          <cell r="I4">
            <v>0</v>
          </cell>
        </row>
      </sheetData>
      <sheetData sheetId="9930">
        <row r="4">
          <cell r="I4">
            <v>0</v>
          </cell>
        </row>
      </sheetData>
      <sheetData sheetId="9931">
        <row r="4">
          <cell r="I4">
            <v>0</v>
          </cell>
        </row>
      </sheetData>
      <sheetData sheetId="9932">
        <row r="4">
          <cell r="I4">
            <v>0</v>
          </cell>
        </row>
      </sheetData>
      <sheetData sheetId="9933">
        <row r="4">
          <cell r="I4">
            <v>0</v>
          </cell>
        </row>
      </sheetData>
      <sheetData sheetId="9934">
        <row r="4">
          <cell r="I4">
            <v>0</v>
          </cell>
        </row>
      </sheetData>
      <sheetData sheetId="9935">
        <row r="4">
          <cell r="I4">
            <v>0</v>
          </cell>
        </row>
      </sheetData>
      <sheetData sheetId="9936">
        <row r="4">
          <cell r="I4">
            <v>0</v>
          </cell>
        </row>
      </sheetData>
      <sheetData sheetId="9937">
        <row r="4">
          <cell r="I4">
            <v>0</v>
          </cell>
        </row>
      </sheetData>
      <sheetData sheetId="9938">
        <row r="4">
          <cell r="I4">
            <v>0</v>
          </cell>
        </row>
      </sheetData>
      <sheetData sheetId="9939">
        <row r="4">
          <cell r="I4">
            <v>0</v>
          </cell>
        </row>
      </sheetData>
      <sheetData sheetId="9940">
        <row r="4">
          <cell r="I4">
            <v>0</v>
          </cell>
        </row>
      </sheetData>
      <sheetData sheetId="9941">
        <row r="4">
          <cell r="I4">
            <v>0</v>
          </cell>
        </row>
      </sheetData>
      <sheetData sheetId="9942">
        <row r="4">
          <cell r="I4">
            <v>0</v>
          </cell>
        </row>
      </sheetData>
      <sheetData sheetId="9943">
        <row r="4">
          <cell r="I4">
            <v>0</v>
          </cell>
        </row>
      </sheetData>
      <sheetData sheetId="9944">
        <row r="4">
          <cell r="I4">
            <v>0</v>
          </cell>
        </row>
      </sheetData>
      <sheetData sheetId="9945">
        <row r="4">
          <cell r="I4">
            <v>0</v>
          </cell>
        </row>
      </sheetData>
      <sheetData sheetId="9946">
        <row r="4">
          <cell r="I4">
            <v>0</v>
          </cell>
        </row>
      </sheetData>
      <sheetData sheetId="9947">
        <row r="4">
          <cell r="I4">
            <v>0</v>
          </cell>
        </row>
      </sheetData>
      <sheetData sheetId="9948">
        <row r="4">
          <cell r="I4">
            <v>0</v>
          </cell>
        </row>
      </sheetData>
      <sheetData sheetId="9949">
        <row r="4">
          <cell r="I4">
            <v>0</v>
          </cell>
        </row>
      </sheetData>
      <sheetData sheetId="9950">
        <row r="4">
          <cell r="I4">
            <v>0</v>
          </cell>
        </row>
      </sheetData>
      <sheetData sheetId="9951">
        <row r="4">
          <cell r="I4">
            <v>0</v>
          </cell>
        </row>
      </sheetData>
      <sheetData sheetId="9952">
        <row r="4">
          <cell r="I4">
            <v>0</v>
          </cell>
        </row>
      </sheetData>
      <sheetData sheetId="9953">
        <row r="4">
          <cell r="I4">
            <v>0</v>
          </cell>
        </row>
      </sheetData>
      <sheetData sheetId="9954">
        <row r="4">
          <cell r="I4">
            <v>0</v>
          </cell>
        </row>
      </sheetData>
      <sheetData sheetId="9955">
        <row r="4">
          <cell r="I4">
            <v>0</v>
          </cell>
        </row>
      </sheetData>
      <sheetData sheetId="9956">
        <row r="4">
          <cell r="I4">
            <v>0</v>
          </cell>
        </row>
      </sheetData>
      <sheetData sheetId="9957">
        <row r="4">
          <cell r="I4">
            <v>0</v>
          </cell>
        </row>
      </sheetData>
      <sheetData sheetId="9958">
        <row r="4">
          <cell r="I4">
            <v>0</v>
          </cell>
        </row>
      </sheetData>
      <sheetData sheetId="9959">
        <row r="4">
          <cell r="I4">
            <v>0</v>
          </cell>
        </row>
      </sheetData>
      <sheetData sheetId="9960">
        <row r="4">
          <cell r="I4">
            <v>0</v>
          </cell>
        </row>
      </sheetData>
      <sheetData sheetId="9961">
        <row r="4">
          <cell r="I4">
            <v>0</v>
          </cell>
        </row>
      </sheetData>
      <sheetData sheetId="9962">
        <row r="4">
          <cell r="I4">
            <v>0</v>
          </cell>
        </row>
      </sheetData>
      <sheetData sheetId="9963">
        <row r="4">
          <cell r="I4">
            <v>0</v>
          </cell>
        </row>
      </sheetData>
      <sheetData sheetId="9964">
        <row r="4">
          <cell r="I4">
            <v>0</v>
          </cell>
        </row>
      </sheetData>
      <sheetData sheetId="9965">
        <row r="4">
          <cell r="I4">
            <v>0</v>
          </cell>
        </row>
      </sheetData>
      <sheetData sheetId="9966">
        <row r="4">
          <cell r="I4">
            <v>0</v>
          </cell>
        </row>
      </sheetData>
      <sheetData sheetId="9967">
        <row r="4">
          <cell r="I4">
            <v>0</v>
          </cell>
        </row>
      </sheetData>
      <sheetData sheetId="9968">
        <row r="4">
          <cell r="I4">
            <v>0</v>
          </cell>
        </row>
      </sheetData>
      <sheetData sheetId="9969">
        <row r="4">
          <cell r="I4">
            <v>0</v>
          </cell>
        </row>
      </sheetData>
      <sheetData sheetId="9970">
        <row r="4">
          <cell r="I4">
            <v>0</v>
          </cell>
        </row>
      </sheetData>
      <sheetData sheetId="9971">
        <row r="4">
          <cell r="I4">
            <v>0</v>
          </cell>
        </row>
      </sheetData>
      <sheetData sheetId="9972">
        <row r="4">
          <cell r="I4">
            <v>0</v>
          </cell>
        </row>
      </sheetData>
      <sheetData sheetId="9973">
        <row r="4">
          <cell r="I4">
            <v>0</v>
          </cell>
        </row>
      </sheetData>
      <sheetData sheetId="9974">
        <row r="4">
          <cell r="I4">
            <v>0</v>
          </cell>
        </row>
      </sheetData>
      <sheetData sheetId="9975">
        <row r="4">
          <cell r="I4">
            <v>0</v>
          </cell>
        </row>
      </sheetData>
      <sheetData sheetId="9976">
        <row r="4">
          <cell r="I4">
            <v>0</v>
          </cell>
        </row>
      </sheetData>
      <sheetData sheetId="9977">
        <row r="4">
          <cell r="I4">
            <v>0</v>
          </cell>
        </row>
      </sheetData>
      <sheetData sheetId="9978">
        <row r="4">
          <cell r="I4">
            <v>0</v>
          </cell>
        </row>
      </sheetData>
      <sheetData sheetId="9979">
        <row r="4">
          <cell r="I4">
            <v>0</v>
          </cell>
        </row>
      </sheetData>
      <sheetData sheetId="9980">
        <row r="4">
          <cell r="I4">
            <v>0</v>
          </cell>
        </row>
      </sheetData>
      <sheetData sheetId="9981">
        <row r="4">
          <cell r="I4">
            <v>0</v>
          </cell>
        </row>
      </sheetData>
      <sheetData sheetId="9982">
        <row r="4">
          <cell r="I4">
            <v>0</v>
          </cell>
        </row>
      </sheetData>
      <sheetData sheetId="9983">
        <row r="4">
          <cell r="I4">
            <v>0</v>
          </cell>
        </row>
      </sheetData>
      <sheetData sheetId="9984">
        <row r="4">
          <cell r="I4">
            <v>0</v>
          </cell>
        </row>
      </sheetData>
      <sheetData sheetId="9985">
        <row r="4">
          <cell r="I4">
            <v>0</v>
          </cell>
        </row>
      </sheetData>
      <sheetData sheetId="9986">
        <row r="4">
          <cell r="I4">
            <v>0</v>
          </cell>
        </row>
      </sheetData>
      <sheetData sheetId="9987">
        <row r="4">
          <cell r="I4">
            <v>0</v>
          </cell>
        </row>
      </sheetData>
      <sheetData sheetId="9988">
        <row r="4">
          <cell r="I4">
            <v>0</v>
          </cell>
        </row>
      </sheetData>
      <sheetData sheetId="9989">
        <row r="4">
          <cell r="I4">
            <v>0</v>
          </cell>
        </row>
      </sheetData>
      <sheetData sheetId="9990">
        <row r="4">
          <cell r="I4">
            <v>0</v>
          </cell>
        </row>
      </sheetData>
      <sheetData sheetId="9991">
        <row r="4">
          <cell r="I4">
            <v>0</v>
          </cell>
        </row>
      </sheetData>
      <sheetData sheetId="9992">
        <row r="4">
          <cell r="I4">
            <v>0</v>
          </cell>
        </row>
      </sheetData>
      <sheetData sheetId="9993">
        <row r="4">
          <cell r="I4">
            <v>0</v>
          </cell>
        </row>
      </sheetData>
      <sheetData sheetId="9994">
        <row r="4">
          <cell r="I4">
            <v>0</v>
          </cell>
        </row>
      </sheetData>
      <sheetData sheetId="9995">
        <row r="4">
          <cell r="I4">
            <v>0</v>
          </cell>
        </row>
      </sheetData>
      <sheetData sheetId="9996">
        <row r="4">
          <cell r="I4">
            <v>0</v>
          </cell>
        </row>
      </sheetData>
      <sheetData sheetId="9997">
        <row r="4">
          <cell r="I4">
            <v>0</v>
          </cell>
        </row>
      </sheetData>
      <sheetData sheetId="9998">
        <row r="4">
          <cell r="I4">
            <v>0</v>
          </cell>
        </row>
      </sheetData>
      <sheetData sheetId="9999">
        <row r="4">
          <cell r="I4">
            <v>0</v>
          </cell>
        </row>
      </sheetData>
      <sheetData sheetId="10000">
        <row r="4">
          <cell r="I4">
            <v>0</v>
          </cell>
        </row>
      </sheetData>
      <sheetData sheetId="10001">
        <row r="4">
          <cell r="I4">
            <v>0</v>
          </cell>
        </row>
      </sheetData>
      <sheetData sheetId="10002">
        <row r="4">
          <cell r="I4">
            <v>0</v>
          </cell>
        </row>
      </sheetData>
      <sheetData sheetId="10003">
        <row r="4">
          <cell r="I4">
            <v>0</v>
          </cell>
        </row>
      </sheetData>
      <sheetData sheetId="10004">
        <row r="4">
          <cell r="I4">
            <v>0</v>
          </cell>
        </row>
      </sheetData>
      <sheetData sheetId="10005">
        <row r="4">
          <cell r="I4">
            <v>0</v>
          </cell>
        </row>
      </sheetData>
      <sheetData sheetId="10006">
        <row r="4">
          <cell r="I4">
            <v>0</v>
          </cell>
        </row>
      </sheetData>
      <sheetData sheetId="10007">
        <row r="4">
          <cell r="I4">
            <v>0</v>
          </cell>
        </row>
      </sheetData>
      <sheetData sheetId="10008">
        <row r="4">
          <cell r="I4">
            <v>0</v>
          </cell>
        </row>
      </sheetData>
      <sheetData sheetId="10009">
        <row r="4">
          <cell r="I4">
            <v>0</v>
          </cell>
        </row>
      </sheetData>
      <sheetData sheetId="10010">
        <row r="4">
          <cell r="I4">
            <v>0</v>
          </cell>
        </row>
      </sheetData>
      <sheetData sheetId="10011">
        <row r="4">
          <cell r="I4">
            <v>0</v>
          </cell>
        </row>
      </sheetData>
      <sheetData sheetId="10012">
        <row r="4">
          <cell r="I4">
            <v>0</v>
          </cell>
        </row>
      </sheetData>
      <sheetData sheetId="10013">
        <row r="4">
          <cell r="I4">
            <v>0</v>
          </cell>
        </row>
      </sheetData>
      <sheetData sheetId="10014">
        <row r="4">
          <cell r="I4">
            <v>0</v>
          </cell>
        </row>
      </sheetData>
      <sheetData sheetId="10015">
        <row r="4">
          <cell r="I4">
            <v>0</v>
          </cell>
        </row>
      </sheetData>
      <sheetData sheetId="10016">
        <row r="4">
          <cell r="I4">
            <v>0</v>
          </cell>
        </row>
      </sheetData>
      <sheetData sheetId="10017">
        <row r="4">
          <cell r="I4">
            <v>0</v>
          </cell>
        </row>
      </sheetData>
      <sheetData sheetId="10018">
        <row r="4">
          <cell r="I4">
            <v>0</v>
          </cell>
        </row>
      </sheetData>
      <sheetData sheetId="10019">
        <row r="4">
          <cell r="I4">
            <v>0</v>
          </cell>
        </row>
      </sheetData>
      <sheetData sheetId="10020">
        <row r="4">
          <cell r="I4">
            <v>0</v>
          </cell>
        </row>
      </sheetData>
      <sheetData sheetId="10021">
        <row r="4">
          <cell r="I4">
            <v>0</v>
          </cell>
        </row>
      </sheetData>
      <sheetData sheetId="10022">
        <row r="4">
          <cell r="I4">
            <v>0</v>
          </cell>
        </row>
      </sheetData>
      <sheetData sheetId="10023">
        <row r="4">
          <cell r="I4">
            <v>0</v>
          </cell>
        </row>
      </sheetData>
      <sheetData sheetId="10024">
        <row r="4">
          <cell r="I4">
            <v>0</v>
          </cell>
        </row>
      </sheetData>
      <sheetData sheetId="10025">
        <row r="4">
          <cell r="I4">
            <v>0</v>
          </cell>
        </row>
      </sheetData>
      <sheetData sheetId="10026">
        <row r="4">
          <cell r="I4">
            <v>0</v>
          </cell>
        </row>
      </sheetData>
      <sheetData sheetId="10027">
        <row r="4">
          <cell r="I4">
            <v>0</v>
          </cell>
        </row>
      </sheetData>
      <sheetData sheetId="10028">
        <row r="4">
          <cell r="I4">
            <v>0</v>
          </cell>
        </row>
      </sheetData>
      <sheetData sheetId="10029">
        <row r="4">
          <cell r="I4">
            <v>0</v>
          </cell>
        </row>
      </sheetData>
      <sheetData sheetId="10030">
        <row r="4">
          <cell r="I4">
            <v>0</v>
          </cell>
        </row>
      </sheetData>
      <sheetData sheetId="10031">
        <row r="4">
          <cell r="I4">
            <v>0</v>
          </cell>
        </row>
      </sheetData>
      <sheetData sheetId="10032">
        <row r="4">
          <cell r="I4">
            <v>0</v>
          </cell>
        </row>
      </sheetData>
      <sheetData sheetId="10033">
        <row r="4">
          <cell r="I4">
            <v>0</v>
          </cell>
        </row>
      </sheetData>
      <sheetData sheetId="10034">
        <row r="4">
          <cell r="I4">
            <v>0</v>
          </cell>
        </row>
      </sheetData>
      <sheetData sheetId="10035">
        <row r="4">
          <cell r="I4">
            <v>0</v>
          </cell>
        </row>
      </sheetData>
      <sheetData sheetId="10036">
        <row r="4">
          <cell r="I4">
            <v>0</v>
          </cell>
        </row>
      </sheetData>
      <sheetData sheetId="10037">
        <row r="4">
          <cell r="I4">
            <v>0</v>
          </cell>
        </row>
      </sheetData>
      <sheetData sheetId="10038">
        <row r="4">
          <cell r="I4">
            <v>0</v>
          </cell>
        </row>
      </sheetData>
      <sheetData sheetId="10039">
        <row r="4">
          <cell r="I4">
            <v>0</v>
          </cell>
        </row>
      </sheetData>
      <sheetData sheetId="10040">
        <row r="4">
          <cell r="I4">
            <v>0</v>
          </cell>
        </row>
      </sheetData>
      <sheetData sheetId="10041">
        <row r="4">
          <cell r="I4">
            <v>0</v>
          </cell>
        </row>
      </sheetData>
      <sheetData sheetId="10042">
        <row r="4">
          <cell r="I4">
            <v>0</v>
          </cell>
        </row>
      </sheetData>
      <sheetData sheetId="10043">
        <row r="4">
          <cell r="I4">
            <v>0</v>
          </cell>
        </row>
      </sheetData>
      <sheetData sheetId="10044">
        <row r="4">
          <cell r="I4">
            <v>0</v>
          </cell>
        </row>
      </sheetData>
      <sheetData sheetId="10045">
        <row r="4">
          <cell r="I4">
            <v>0</v>
          </cell>
        </row>
      </sheetData>
      <sheetData sheetId="10046">
        <row r="4">
          <cell r="I4">
            <v>0</v>
          </cell>
        </row>
      </sheetData>
      <sheetData sheetId="10047">
        <row r="4">
          <cell r="I4">
            <v>0</v>
          </cell>
        </row>
      </sheetData>
      <sheetData sheetId="10048">
        <row r="4">
          <cell r="I4">
            <v>0</v>
          </cell>
        </row>
      </sheetData>
      <sheetData sheetId="10049">
        <row r="4">
          <cell r="I4">
            <v>0</v>
          </cell>
        </row>
      </sheetData>
      <sheetData sheetId="10050">
        <row r="4">
          <cell r="I4">
            <v>0</v>
          </cell>
        </row>
      </sheetData>
      <sheetData sheetId="10051">
        <row r="4">
          <cell r="I4">
            <v>0</v>
          </cell>
        </row>
      </sheetData>
      <sheetData sheetId="10052">
        <row r="4">
          <cell r="I4">
            <v>0</v>
          </cell>
        </row>
      </sheetData>
      <sheetData sheetId="10053">
        <row r="4">
          <cell r="I4">
            <v>0</v>
          </cell>
        </row>
      </sheetData>
      <sheetData sheetId="10054">
        <row r="4">
          <cell r="I4">
            <v>0</v>
          </cell>
        </row>
      </sheetData>
      <sheetData sheetId="10055">
        <row r="4">
          <cell r="I4">
            <v>0</v>
          </cell>
        </row>
      </sheetData>
      <sheetData sheetId="10056">
        <row r="4">
          <cell r="I4">
            <v>0</v>
          </cell>
        </row>
      </sheetData>
      <sheetData sheetId="10057">
        <row r="4">
          <cell r="I4">
            <v>0</v>
          </cell>
        </row>
      </sheetData>
      <sheetData sheetId="10058">
        <row r="4">
          <cell r="I4">
            <v>0</v>
          </cell>
        </row>
      </sheetData>
      <sheetData sheetId="10059">
        <row r="4">
          <cell r="I4">
            <v>0</v>
          </cell>
        </row>
      </sheetData>
      <sheetData sheetId="10060">
        <row r="4">
          <cell r="I4">
            <v>0</v>
          </cell>
        </row>
      </sheetData>
      <sheetData sheetId="10061">
        <row r="4">
          <cell r="I4">
            <v>0</v>
          </cell>
        </row>
      </sheetData>
      <sheetData sheetId="10062">
        <row r="4">
          <cell r="I4">
            <v>0</v>
          </cell>
        </row>
      </sheetData>
      <sheetData sheetId="10063">
        <row r="4">
          <cell r="I4">
            <v>0</v>
          </cell>
        </row>
      </sheetData>
      <sheetData sheetId="10064">
        <row r="4">
          <cell r="I4">
            <v>0</v>
          </cell>
        </row>
      </sheetData>
      <sheetData sheetId="10065">
        <row r="4">
          <cell r="I4">
            <v>0</v>
          </cell>
        </row>
      </sheetData>
      <sheetData sheetId="10066">
        <row r="4">
          <cell r="I4">
            <v>0</v>
          </cell>
        </row>
      </sheetData>
      <sheetData sheetId="10067">
        <row r="4">
          <cell r="I4">
            <v>0</v>
          </cell>
        </row>
      </sheetData>
      <sheetData sheetId="10068">
        <row r="4">
          <cell r="I4">
            <v>0</v>
          </cell>
        </row>
      </sheetData>
      <sheetData sheetId="10069">
        <row r="4">
          <cell r="I4">
            <v>0</v>
          </cell>
        </row>
      </sheetData>
      <sheetData sheetId="10070">
        <row r="4">
          <cell r="I4">
            <v>0</v>
          </cell>
        </row>
      </sheetData>
      <sheetData sheetId="10071">
        <row r="4">
          <cell r="I4">
            <v>0</v>
          </cell>
        </row>
      </sheetData>
      <sheetData sheetId="10072">
        <row r="4">
          <cell r="I4">
            <v>0</v>
          </cell>
        </row>
      </sheetData>
      <sheetData sheetId="10073">
        <row r="4">
          <cell r="I4">
            <v>0</v>
          </cell>
        </row>
      </sheetData>
      <sheetData sheetId="10074">
        <row r="4">
          <cell r="I4">
            <v>0</v>
          </cell>
        </row>
      </sheetData>
      <sheetData sheetId="10075">
        <row r="4">
          <cell r="I4">
            <v>0</v>
          </cell>
        </row>
      </sheetData>
      <sheetData sheetId="10076">
        <row r="4">
          <cell r="I4">
            <v>0</v>
          </cell>
        </row>
      </sheetData>
      <sheetData sheetId="10077">
        <row r="4">
          <cell r="I4">
            <v>0</v>
          </cell>
        </row>
      </sheetData>
      <sheetData sheetId="10078">
        <row r="4">
          <cell r="I4">
            <v>0</v>
          </cell>
        </row>
      </sheetData>
      <sheetData sheetId="10079">
        <row r="4">
          <cell r="I4">
            <v>0</v>
          </cell>
        </row>
      </sheetData>
      <sheetData sheetId="10080">
        <row r="4">
          <cell r="I4">
            <v>0</v>
          </cell>
        </row>
      </sheetData>
      <sheetData sheetId="10081">
        <row r="4">
          <cell r="I4">
            <v>0</v>
          </cell>
        </row>
      </sheetData>
      <sheetData sheetId="10082">
        <row r="4">
          <cell r="I4">
            <v>0</v>
          </cell>
        </row>
      </sheetData>
      <sheetData sheetId="10083">
        <row r="4">
          <cell r="I4">
            <v>0</v>
          </cell>
        </row>
      </sheetData>
      <sheetData sheetId="10084">
        <row r="4">
          <cell r="I4">
            <v>0</v>
          </cell>
        </row>
      </sheetData>
      <sheetData sheetId="10085">
        <row r="4">
          <cell r="I4">
            <v>0</v>
          </cell>
        </row>
      </sheetData>
      <sheetData sheetId="10086">
        <row r="4">
          <cell r="I4">
            <v>0</v>
          </cell>
        </row>
      </sheetData>
      <sheetData sheetId="10087">
        <row r="4">
          <cell r="I4">
            <v>0</v>
          </cell>
        </row>
      </sheetData>
      <sheetData sheetId="10088">
        <row r="4">
          <cell r="I4">
            <v>0</v>
          </cell>
        </row>
      </sheetData>
      <sheetData sheetId="10089">
        <row r="4">
          <cell r="I4">
            <v>0</v>
          </cell>
        </row>
      </sheetData>
      <sheetData sheetId="10090">
        <row r="4">
          <cell r="I4">
            <v>0</v>
          </cell>
        </row>
      </sheetData>
      <sheetData sheetId="10091">
        <row r="4">
          <cell r="I4">
            <v>0</v>
          </cell>
        </row>
      </sheetData>
      <sheetData sheetId="10092">
        <row r="4">
          <cell r="I4">
            <v>0</v>
          </cell>
        </row>
      </sheetData>
      <sheetData sheetId="10093">
        <row r="4">
          <cell r="I4">
            <v>0</v>
          </cell>
        </row>
      </sheetData>
      <sheetData sheetId="10094">
        <row r="4">
          <cell r="I4">
            <v>0</v>
          </cell>
        </row>
      </sheetData>
      <sheetData sheetId="10095">
        <row r="4">
          <cell r="I4">
            <v>0</v>
          </cell>
        </row>
      </sheetData>
      <sheetData sheetId="10096">
        <row r="4">
          <cell r="I4">
            <v>0</v>
          </cell>
        </row>
      </sheetData>
      <sheetData sheetId="10097">
        <row r="4">
          <cell r="I4">
            <v>0</v>
          </cell>
        </row>
      </sheetData>
      <sheetData sheetId="10098">
        <row r="4">
          <cell r="I4">
            <v>0</v>
          </cell>
        </row>
      </sheetData>
      <sheetData sheetId="10099">
        <row r="4">
          <cell r="I4">
            <v>0</v>
          </cell>
        </row>
      </sheetData>
      <sheetData sheetId="10100">
        <row r="4">
          <cell r="I4">
            <v>0</v>
          </cell>
        </row>
      </sheetData>
      <sheetData sheetId="10101">
        <row r="4">
          <cell r="I4">
            <v>0</v>
          </cell>
        </row>
      </sheetData>
      <sheetData sheetId="10102">
        <row r="4">
          <cell r="I4">
            <v>0</v>
          </cell>
        </row>
      </sheetData>
      <sheetData sheetId="10103">
        <row r="4">
          <cell r="I4">
            <v>0</v>
          </cell>
        </row>
      </sheetData>
      <sheetData sheetId="10104">
        <row r="4">
          <cell r="I4">
            <v>0</v>
          </cell>
        </row>
      </sheetData>
      <sheetData sheetId="10105">
        <row r="4">
          <cell r="I4">
            <v>0</v>
          </cell>
        </row>
      </sheetData>
      <sheetData sheetId="10106">
        <row r="4">
          <cell r="I4">
            <v>0</v>
          </cell>
        </row>
      </sheetData>
      <sheetData sheetId="10107">
        <row r="4">
          <cell r="I4">
            <v>0</v>
          </cell>
        </row>
      </sheetData>
      <sheetData sheetId="10108">
        <row r="4">
          <cell r="I4">
            <v>0</v>
          </cell>
        </row>
      </sheetData>
      <sheetData sheetId="10109">
        <row r="4">
          <cell r="I4">
            <v>0</v>
          </cell>
        </row>
      </sheetData>
      <sheetData sheetId="10110">
        <row r="4">
          <cell r="I4">
            <v>0</v>
          </cell>
        </row>
      </sheetData>
      <sheetData sheetId="10111">
        <row r="4">
          <cell r="I4">
            <v>0</v>
          </cell>
        </row>
      </sheetData>
      <sheetData sheetId="10112">
        <row r="4">
          <cell r="I4">
            <v>0</v>
          </cell>
        </row>
      </sheetData>
      <sheetData sheetId="10113">
        <row r="4">
          <cell r="I4">
            <v>0</v>
          </cell>
        </row>
      </sheetData>
      <sheetData sheetId="10114">
        <row r="4">
          <cell r="I4">
            <v>0</v>
          </cell>
        </row>
      </sheetData>
      <sheetData sheetId="10115">
        <row r="4">
          <cell r="I4">
            <v>0</v>
          </cell>
        </row>
      </sheetData>
      <sheetData sheetId="10116">
        <row r="4">
          <cell r="I4">
            <v>0</v>
          </cell>
        </row>
      </sheetData>
      <sheetData sheetId="10117">
        <row r="4">
          <cell r="I4">
            <v>0</v>
          </cell>
        </row>
      </sheetData>
      <sheetData sheetId="10118">
        <row r="4">
          <cell r="I4">
            <v>0</v>
          </cell>
        </row>
      </sheetData>
      <sheetData sheetId="10119">
        <row r="4">
          <cell r="I4">
            <v>0</v>
          </cell>
        </row>
      </sheetData>
      <sheetData sheetId="10120">
        <row r="4">
          <cell r="I4">
            <v>0</v>
          </cell>
        </row>
      </sheetData>
      <sheetData sheetId="10121">
        <row r="4">
          <cell r="I4">
            <v>0</v>
          </cell>
        </row>
      </sheetData>
      <sheetData sheetId="10122">
        <row r="4">
          <cell r="I4">
            <v>0</v>
          </cell>
        </row>
      </sheetData>
      <sheetData sheetId="10123">
        <row r="4">
          <cell r="I4">
            <v>0</v>
          </cell>
        </row>
      </sheetData>
      <sheetData sheetId="10124">
        <row r="4">
          <cell r="I4">
            <v>0</v>
          </cell>
        </row>
      </sheetData>
      <sheetData sheetId="10125">
        <row r="4">
          <cell r="I4">
            <v>0</v>
          </cell>
        </row>
      </sheetData>
      <sheetData sheetId="10126">
        <row r="4">
          <cell r="I4">
            <v>0</v>
          </cell>
        </row>
      </sheetData>
      <sheetData sheetId="10127">
        <row r="4">
          <cell r="I4">
            <v>0</v>
          </cell>
        </row>
      </sheetData>
      <sheetData sheetId="10128">
        <row r="4">
          <cell r="I4">
            <v>0</v>
          </cell>
        </row>
      </sheetData>
      <sheetData sheetId="10129">
        <row r="4">
          <cell r="I4">
            <v>0</v>
          </cell>
        </row>
      </sheetData>
      <sheetData sheetId="10130">
        <row r="4">
          <cell r="I4">
            <v>0</v>
          </cell>
        </row>
      </sheetData>
      <sheetData sheetId="10131">
        <row r="4">
          <cell r="I4">
            <v>0</v>
          </cell>
        </row>
      </sheetData>
      <sheetData sheetId="10132">
        <row r="4">
          <cell r="I4">
            <v>0</v>
          </cell>
        </row>
      </sheetData>
      <sheetData sheetId="10133">
        <row r="4">
          <cell r="I4">
            <v>0</v>
          </cell>
        </row>
      </sheetData>
      <sheetData sheetId="10134">
        <row r="4">
          <cell r="I4">
            <v>0</v>
          </cell>
        </row>
      </sheetData>
      <sheetData sheetId="10135">
        <row r="4">
          <cell r="I4">
            <v>0</v>
          </cell>
        </row>
      </sheetData>
      <sheetData sheetId="10136">
        <row r="4">
          <cell r="I4">
            <v>0</v>
          </cell>
        </row>
      </sheetData>
      <sheetData sheetId="10137">
        <row r="4">
          <cell r="I4">
            <v>0</v>
          </cell>
        </row>
      </sheetData>
      <sheetData sheetId="10138">
        <row r="4">
          <cell r="I4">
            <v>0</v>
          </cell>
        </row>
      </sheetData>
      <sheetData sheetId="10139">
        <row r="4">
          <cell r="I4">
            <v>0</v>
          </cell>
        </row>
      </sheetData>
      <sheetData sheetId="10140">
        <row r="4">
          <cell r="I4">
            <v>0</v>
          </cell>
        </row>
      </sheetData>
      <sheetData sheetId="10141">
        <row r="4">
          <cell r="I4">
            <v>0</v>
          </cell>
        </row>
      </sheetData>
      <sheetData sheetId="10142">
        <row r="4">
          <cell r="I4">
            <v>0</v>
          </cell>
        </row>
      </sheetData>
      <sheetData sheetId="10143">
        <row r="4">
          <cell r="I4">
            <v>0</v>
          </cell>
        </row>
      </sheetData>
      <sheetData sheetId="10144">
        <row r="4">
          <cell r="I4">
            <v>0</v>
          </cell>
        </row>
      </sheetData>
      <sheetData sheetId="10145">
        <row r="4">
          <cell r="I4">
            <v>0</v>
          </cell>
        </row>
      </sheetData>
      <sheetData sheetId="10146">
        <row r="4">
          <cell r="I4">
            <v>0</v>
          </cell>
        </row>
      </sheetData>
      <sheetData sheetId="10147">
        <row r="4">
          <cell r="I4">
            <v>0</v>
          </cell>
        </row>
      </sheetData>
      <sheetData sheetId="10148">
        <row r="4">
          <cell r="I4">
            <v>0</v>
          </cell>
        </row>
      </sheetData>
      <sheetData sheetId="10149">
        <row r="4">
          <cell r="I4">
            <v>0</v>
          </cell>
        </row>
      </sheetData>
      <sheetData sheetId="10150">
        <row r="4">
          <cell r="I4">
            <v>0</v>
          </cell>
        </row>
      </sheetData>
      <sheetData sheetId="10151">
        <row r="4">
          <cell r="I4">
            <v>0</v>
          </cell>
        </row>
      </sheetData>
      <sheetData sheetId="10152">
        <row r="4">
          <cell r="I4">
            <v>0</v>
          </cell>
        </row>
      </sheetData>
      <sheetData sheetId="10153">
        <row r="4">
          <cell r="I4">
            <v>0</v>
          </cell>
        </row>
      </sheetData>
      <sheetData sheetId="10154">
        <row r="4">
          <cell r="I4">
            <v>0</v>
          </cell>
        </row>
      </sheetData>
      <sheetData sheetId="10155">
        <row r="4">
          <cell r="I4">
            <v>0</v>
          </cell>
        </row>
      </sheetData>
      <sheetData sheetId="10156">
        <row r="4">
          <cell r="I4">
            <v>0</v>
          </cell>
        </row>
      </sheetData>
      <sheetData sheetId="10157">
        <row r="4">
          <cell r="I4">
            <v>0</v>
          </cell>
        </row>
      </sheetData>
      <sheetData sheetId="10158">
        <row r="4">
          <cell r="I4">
            <v>0</v>
          </cell>
        </row>
      </sheetData>
      <sheetData sheetId="10159">
        <row r="4">
          <cell r="I4">
            <v>0</v>
          </cell>
        </row>
      </sheetData>
      <sheetData sheetId="10160">
        <row r="4">
          <cell r="I4">
            <v>0</v>
          </cell>
        </row>
      </sheetData>
      <sheetData sheetId="10161">
        <row r="4">
          <cell r="I4">
            <v>0</v>
          </cell>
        </row>
      </sheetData>
      <sheetData sheetId="10162">
        <row r="4">
          <cell r="I4">
            <v>0</v>
          </cell>
        </row>
      </sheetData>
      <sheetData sheetId="10163">
        <row r="4">
          <cell r="I4">
            <v>0</v>
          </cell>
        </row>
      </sheetData>
      <sheetData sheetId="10164">
        <row r="4">
          <cell r="I4">
            <v>0</v>
          </cell>
        </row>
      </sheetData>
      <sheetData sheetId="10165">
        <row r="4">
          <cell r="I4">
            <v>0</v>
          </cell>
        </row>
      </sheetData>
      <sheetData sheetId="10166">
        <row r="4">
          <cell r="I4">
            <v>0</v>
          </cell>
        </row>
      </sheetData>
      <sheetData sheetId="10167">
        <row r="4">
          <cell r="I4">
            <v>0</v>
          </cell>
        </row>
      </sheetData>
      <sheetData sheetId="10168">
        <row r="4">
          <cell r="I4">
            <v>0</v>
          </cell>
        </row>
      </sheetData>
      <sheetData sheetId="10169">
        <row r="4">
          <cell r="I4">
            <v>0</v>
          </cell>
        </row>
      </sheetData>
      <sheetData sheetId="10170">
        <row r="4">
          <cell r="I4">
            <v>0</v>
          </cell>
        </row>
      </sheetData>
      <sheetData sheetId="10171">
        <row r="4">
          <cell r="I4">
            <v>0</v>
          </cell>
        </row>
      </sheetData>
      <sheetData sheetId="10172">
        <row r="4">
          <cell r="I4">
            <v>0</v>
          </cell>
        </row>
      </sheetData>
      <sheetData sheetId="10173">
        <row r="4">
          <cell r="I4">
            <v>0</v>
          </cell>
        </row>
      </sheetData>
      <sheetData sheetId="10174">
        <row r="4">
          <cell r="I4">
            <v>0</v>
          </cell>
        </row>
      </sheetData>
      <sheetData sheetId="10175">
        <row r="4">
          <cell r="I4">
            <v>0</v>
          </cell>
        </row>
      </sheetData>
      <sheetData sheetId="10176">
        <row r="4">
          <cell r="I4">
            <v>0</v>
          </cell>
        </row>
      </sheetData>
      <sheetData sheetId="10177">
        <row r="4">
          <cell r="I4">
            <v>0</v>
          </cell>
        </row>
      </sheetData>
      <sheetData sheetId="10178">
        <row r="4">
          <cell r="I4">
            <v>0</v>
          </cell>
        </row>
      </sheetData>
      <sheetData sheetId="10179">
        <row r="4">
          <cell r="I4">
            <v>0</v>
          </cell>
        </row>
      </sheetData>
      <sheetData sheetId="10180">
        <row r="4">
          <cell r="I4">
            <v>0</v>
          </cell>
        </row>
      </sheetData>
      <sheetData sheetId="10181">
        <row r="4">
          <cell r="I4">
            <v>0</v>
          </cell>
        </row>
      </sheetData>
      <sheetData sheetId="10182">
        <row r="4">
          <cell r="I4">
            <v>0</v>
          </cell>
        </row>
      </sheetData>
      <sheetData sheetId="10183">
        <row r="4">
          <cell r="I4">
            <v>0</v>
          </cell>
        </row>
      </sheetData>
      <sheetData sheetId="10184">
        <row r="4">
          <cell r="I4">
            <v>0</v>
          </cell>
        </row>
      </sheetData>
      <sheetData sheetId="10185">
        <row r="4">
          <cell r="I4">
            <v>0</v>
          </cell>
        </row>
      </sheetData>
      <sheetData sheetId="10186">
        <row r="4">
          <cell r="I4">
            <v>0</v>
          </cell>
        </row>
      </sheetData>
      <sheetData sheetId="10187">
        <row r="4">
          <cell r="I4">
            <v>0</v>
          </cell>
        </row>
      </sheetData>
      <sheetData sheetId="10188">
        <row r="4">
          <cell r="I4">
            <v>0</v>
          </cell>
        </row>
      </sheetData>
      <sheetData sheetId="10189">
        <row r="4">
          <cell r="I4">
            <v>0</v>
          </cell>
        </row>
      </sheetData>
      <sheetData sheetId="10190">
        <row r="4">
          <cell r="I4">
            <v>0</v>
          </cell>
        </row>
      </sheetData>
      <sheetData sheetId="10191">
        <row r="4">
          <cell r="I4">
            <v>0</v>
          </cell>
        </row>
      </sheetData>
      <sheetData sheetId="10192">
        <row r="4">
          <cell r="I4">
            <v>0</v>
          </cell>
        </row>
      </sheetData>
      <sheetData sheetId="10193">
        <row r="4">
          <cell r="I4">
            <v>0</v>
          </cell>
        </row>
      </sheetData>
      <sheetData sheetId="10194">
        <row r="4">
          <cell r="I4">
            <v>0</v>
          </cell>
        </row>
      </sheetData>
      <sheetData sheetId="10195">
        <row r="4">
          <cell r="I4">
            <v>0</v>
          </cell>
        </row>
      </sheetData>
      <sheetData sheetId="10196">
        <row r="4">
          <cell r="I4">
            <v>0</v>
          </cell>
        </row>
      </sheetData>
      <sheetData sheetId="10197">
        <row r="4">
          <cell r="I4">
            <v>0</v>
          </cell>
        </row>
      </sheetData>
      <sheetData sheetId="10198">
        <row r="4">
          <cell r="I4">
            <v>0</v>
          </cell>
        </row>
      </sheetData>
      <sheetData sheetId="10199">
        <row r="4">
          <cell r="I4">
            <v>0</v>
          </cell>
        </row>
      </sheetData>
      <sheetData sheetId="10200">
        <row r="4">
          <cell r="I4">
            <v>0</v>
          </cell>
        </row>
      </sheetData>
      <sheetData sheetId="10201">
        <row r="4">
          <cell r="I4">
            <v>0</v>
          </cell>
        </row>
      </sheetData>
      <sheetData sheetId="10202">
        <row r="4">
          <cell r="I4">
            <v>0</v>
          </cell>
        </row>
      </sheetData>
      <sheetData sheetId="10203">
        <row r="4">
          <cell r="I4">
            <v>0</v>
          </cell>
        </row>
      </sheetData>
      <sheetData sheetId="10204">
        <row r="4">
          <cell r="I4">
            <v>0</v>
          </cell>
        </row>
      </sheetData>
      <sheetData sheetId="10205">
        <row r="4">
          <cell r="I4">
            <v>0</v>
          </cell>
        </row>
      </sheetData>
      <sheetData sheetId="10206">
        <row r="4">
          <cell r="I4">
            <v>0</v>
          </cell>
        </row>
      </sheetData>
      <sheetData sheetId="10207">
        <row r="4">
          <cell r="I4">
            <v>0</v>
          </cell>
        </row>
      </sheetData>
      <sheetData sheetId="10208">
        <row r="4">
          <cell r="I4">
            <v>0</v>
          </cell>
        </row>
      </sheetData>
      <sheetData sheetId="10209">
        <row r="4">
          <cell r="I4">
            <v>0</v>
          </cell>
        </row>
      </sheetData>
      <sheetData sheetId="10210">
        <row r="4">
          <cell r="I4">
            <v>0</v>
          </cell>
        </row>
      </sheetData>
      <sheetData sheetId="10211">
        <row r="4">
          <cell r="I4">
            <v>0</v>
          </cell>
        </row>
      </sheetData>
      <sheetData sheetId="10212">
        <row r="4">
          <cell r="I4">
            <v>0</v>
          </cell>
        </row>
      </sheetData>
      <sheetData sheetId="10213">
        <row r="4">
          <cell r="I4">
            <v>0</v>
          </cell>
        </row>
      </sheetData>
      <sheetData sheetId="10214">
        <row r="4">
          <cell r="I4">
            <v>0</v>
          </cell>
        </row>
      </sheetData>
      <sheetData sheetId="10215">
        <row r="4">
          <cell r="I4">
            <v>0</v>
          </cell>
        </row>
      </sheetData>
      <sheetData sheetId="10216">
        <row r="4">
          <cell r="I4">
            <v>0</v>
          </cell>
        </row>
      </sheetData>
      <sheetData sheetId="10217">
        <row r="4">
          <cell r="I4">
            <v>0</v>
          </cell>
        </row>
      </sheetData>
      <sheetData sheetId="10218">
        <row r="4">
          <cell r="I4">
            <v>0</v>
          </cell>
        </row>
      </sheetData>
      <sheetData sheetId="10219">
        <row r="4">
          <cell r="I4">
            <v>0</v>
          </cell>
        </row>
      </sheetData>
      <sheetData sheetId="10220">
        <row r="4">
          <cell r="I4">
            <v>0</v>
          </cell>
        </row>
      </sheetData>
      <sheetData sheetId="10221">
        <row r="4">
          <cell r="I4">
            <v>0</v>
          </cell>
        </row>
      </sheetData>
      <sheetData sheetId="10222">
        <row r="4">
          <cell r="I4">
            <v>0</v>
          </cell>
        </row>
      </sheetData>
      <sheetData sheetId="10223">
        <row r="4">
          <cell r="I4">
            <v>0</v>
          </cell>
        </row>
      </sheetData>
      <sheetData sheetId="10224">
        <row r="4">
          <cell r="I4">
            <v>0</v>
          </cell>
        </row>
      </sheetData>
      <sheetData sheetId="10225">
        <row r="4">
          <cell r="I4">
            <v>0</v>
          </cell>
        </row>
      </sheetData>
      <sheetData sheetId="10226">
        <row r="4">
          <cell r="I4">
            <v>0</v>
          </cell>
        </row>
      </sheetData>
      <sheetData sheetId="10227">
        <row r="4">
          <cell r="I4">
            <v>0</v>
          </cell>
        </row>
      </sheetData>
      <sheetData sheetId="10228">
        <row r="4">
          <cell r="I4">
            <v>0</v>
          </cell>
        </row>
      </sheetData>
      <sheetData sheetId="10229">
        <row r="4">
          <cell r="I4">
            <v>0</v>
          </cell>
        </row>
      </sheetData>
      <sheetData sheetId="10230">
        <row r="4">
          <cell r="I4">
            <v>0</v>
          </cell>
        </row>
      </sheetData>
      <sheetData sheetId="10231">
        <row r="4">
          <cell r="I4">
            <v>0</v>
          </cell>
        </row>
      </sheetData>
      <sheetData sheetId="10232">
        <row r="4">
          <cell r="I4">
            <v>0</v>
          </cell>
        </row>
      </sheetData>
      <sheetData sheetId="10233">
        <row r="4">
          <cell r="I4">
            <v>0</v>
          </cell>
        </row>
      </sheetData>
      <sheetData sheetId="10234">
        <row r="4">
          <cell r="I4">
            <v>0</v>
          </cell>
        </row>
      </sheetData>
      <sheetData sheetId="10235">
        <row r="4">
          <cell r="I4">
            <v>0</v>
          </cell>
        </row>
      </sheetData>
      <sheetData sheetId="10236">
        <row r="4">
          <cell r="I4">
            <v>0</v>
          </cell>
        </row>
      </sheetData>
      <sheetData sheetId="10237">
        <row r="4">
          <cell r="I4">
            <v>0</v>
          </cell>
        </row>
      </sheetData>
      <sheetData sheetId="10238">
        <row r="4">
          <cell r="I4">
            <v>0</v>
          </cell>
        </row>
      </sheetData>
      <sheetData sheetId="10239">
        <row r="4">
          <cell r="I4">
            <v>0</v>
          </cell>
        </row>
      </sheetData>
      <sheetData sheetId="10240">
        <row r="4">
          <cell r="I4">
            <v>0</v>
          </cell>
        </row>
      </sheetData>
      <sheetData sheetId="10241">
        <row r="4">
          <cell r="I4">
            <v>0</v>
          </cell>
        </row>
      </sheetData>
      <sheetData sheetId="10242">
        <row r="4">
          <cell r="I4">
            <v>0</v>
          </cell>
        </row>
      </sheetData>
      <sheetData sheetId="10243">
        <row r="4">
          <cell r="I4">
            <v>0</v>
          </cell>
        </row>
      </sheetData>
      <sheetData sheetId="10244">
        <row r="4">
          <cell r="I4">
            <v>0</v>
          </cell>
        </row>
      </sheetData>
      <sheetData sheetId="10245">
        <row r="4">
          <cell r="I4">
            <v>0</v>
          </cell>
        </row>
      </sheetData>
      <sheetData sheetId="10246">
        <row r="4">
          <cell r="I4">
            <v>0</v>
          </cell>
        </row>
      </sheetData>
      <sheetData sheetId="10247">
        <row r="4">
          <cell r="I4">
            <v>0</v>
          </cell>
        </row>
      </sheetData>
      <sheetData sheetId="10248">
        <row r="4">
          <cell r="I4">
            <v>0</v>
          </cell>
        </row>
      </sheetData>
      <sheetData sheetId="10249">
        <row r="4">
          <cell r="I4">
            <v>0</v>
          </cell>
        </row>
      </sheetData>
      <sheetData sheetId="10250">
        <row r="4">
          <cell r="I4">
            <v>0</v>
          </cell>
        </row>
      </sheetData>
      <sheetData sheetId="10251">
        <row r="4">
          <cell r="I4">
            <v>0</v>
          </cell>
        </row>
      </sheetData>
      <sheetData sheetId="10252">
        <row r="4">
          <cell r="I4">
            <v>0</v>
          </cell>
        </row>
      </sheetData>
      <sheetData sheetId="10253">
        <row r="4">
          <cell r="I4">
            <v>0</v>
          </cell>
        </row>
      </sheetData>
      <sheetData sheetId="10254">
        <row r="4">
          <cell r="I4">
            <v>0</v>
          </cell>
        </row>
      </sheetData>
      <sheetData sheetId="10255">
        <row r="4">
          <cell r="I4">
            <v>0</v>
          </cell>
        </row>
      </sheetData>
      <sheetData sheetId="10256">
        <row r="4">
          <cell r="I4">
            <v>0</v>
          </cell>
        </row>
      </sheetData>
      <sheetData sheetId="10257">
        <row r="4">
          <cell r="I4">
            <v>0</v>
          </cell>
        </row>
      </sheetData>
      <sheetData sheetId="10258">
        <row r="4">
          <cell r="I4">
            <v>0</v>
          </cell>
        </row>
      </sheetData>
      <sheetData sheetId="10259">
        <row r="4">
          <cell r="I4">
            <v>0</v>
          </cell>
        </row>
      </sheetData>
      <sheetData sheetId="10260">
        <row r="4">
          <cell r="I4">
            <v>0</v>
          </cell>
        </row>
      </sheetData>
      <sheetData sheetId="10261">
        <row r="4">
          <cell r="I4">
            <v>0</v>
          </cell>
        </row>
      </sheetData>
      <sheetData sheetId="10262">
        <row r="4">
          <cell r="I4">
            <v>0</v>
          </cell>
        </row>
      </sheetData>
      <sheetData sheetId="10263">
        <row r="4">
          <cell r="I4">
            <v>0</v>
          </cell>
        </row>
      </sheetData>
      <sheetData sheetId="10264">
        <row r="4">
          <cell r="I4">
            <v>0</v>
          </cell>
        </row>
      </sheetData>
      <sheetData sheetId="10265">
        <row r="4">
          <cell r="I4">
            <v>0</v>
          </cell>
        </row>
      </sheetData>
      <sheetData sheetId="10266">
        <row r="4">
          <cell r="I4">
            <v>0</v>
          </cell>
        </row>
      </sheetData>
      <sheetData sheetId="10267">
        <row r="4">
          <cell r="I4">
            <v>0</v>
          </cell>
        </row>
      </sheetData>
      <sheetData sheetId="10268">
        <row r="4">
          <cell r="I4">
            <v>0</v>
          </cell>
        </row>
      </sheetData>
      <sheetData sheetId="10269">
        <row r="4">
          <cell r="I4">
            <v>0</v>
          </cell>
        </row>
      </sheetData>
      <sheetData sheetId="10270">
        <row r="4">
          <cell r="I4">
            <v>0</v>
          </cell>
        </row>
      </sheetData>
      <sheetData sheetId="10271">
        <row r="4">
          <cell r="I4">
            <v>0</v>
          </cell>
        </row>
      </sheetData>
      <sheetData sheetId="10272">
        <row r="4">
          <cell r="I4">
            <v>0</v>
          </cell>
        </row>
      </sheetData>
      <sheetData sheetId="10273">
        <row r="4">
          <cell r="I4">
            <v>0</v>
          </cell>
        </row>
      </sheetData>
      <sheetData sheetId="10274">
        <row r="4">
          <cell r="I4">
            <v>0</v>
          </cell>
        </row>
      </sheetData>
      <sheetData sheetId="10275">
        <row r="4">
          <cell r="I4">
            <v>0</v>
          </cell>
        </row>
      </sheetData>
      <sheetData sheetId="10276">
        <row r="4">
          <cell r="I4">
            <v>0</v>
          </cell>
        </row>
      </sheetData>
      <sheetData sheetId="10277">
        <row r="4">
          <cell r="I4">
            <v>0</v>
          </cell>
        </row>
      </sheetData>
      <sheetData sheetId="10278">
        <row r="4">
          <cell r="I4">
            <v>0</v>
          </cell>
        </row>
      </sheetData>
      <sheetData sheetId="10279">
        <row r="4">
          <cell r="I4">
            <v>0</v>
          </cell>
        </row>
      </sheetData>
      <sheetData sheetId="10280">
        <row r="4">
          <cell r="I4">
            <v>0</v>
          </cell>
        </row>
      </sheetData>
      <sheetData sheetId="10281">
        <row r="4">
          <cell r="I4">
            <v>0</v>
          </cell>
        </row>
      </sheetData>
      <sheetData sheetId="10282">
        <row r="4">
          <cell r="I4">
            <v>0</v>
          </cell>
        </row>
      </sheetData>
      <sheetData sheetId="10283">
        <row r="4">
          <cell r="I4">
            <v>0</v>
          </cell>
        </row>
      </sheetData>
      <sheetData sheetId="10284">
        <row r="4">
          <cell r="I4">
            <v>0</v>
          </cell>
        </row>
      </sheetData>
      <sheetData sheetId="10285">
        <row r="4">
          <cell r="I4">
            <v>0</v>
          </cell>
        </row>
      </sheetData>
      <sheetData sheetId="10286">
        <row r="4">
          <cell r="I4">
            <v>0</v>
          </cell>
        </row>
      </sheetData>
      <sheetData sheetId="10287">
        <row r="4">
          <cell r="I4">
            <v>0</v>
          </cell>
        </row>
      </sheetData>
      <sheetData sheetId="10288">
        <row r="4">
          <cell r="I4">
            <v>0</v>
          </cell>
        </row>
      </sheetData>
      <sheetData sheetId="10289">
        <row r="4">
          <cell r="I4">
            <v>0</v>
          </cell>
        </row>
      </sheetData>
      <sheetData sheetId="10290">
        <row r="4">
          <cell r="I4">
            <v>0</v>
          </cell>
        </row>
      </sheetData>
      <sheetData sheetId="10291">
        <row r="4">
          <cell r="I4">
            <v>0</v>
          </cell>
        </row>
      </sheetData>
      <sheetData sheetId="10292">
        <row r="4">
          <cell r="I4">
            <v>0</v>
          </cell>
        </row>
      </sheetData>
      <sheetData sheetId="10293">
        <row r="4">
          <cell r="I4">
            <v>0</v>
          </cell>
        </row>
      </sheetData>
      <sheetData sheetId="10294">
        <row r="4">
          <cell r="I4">
            <v>0</v>
          </cell>
        </row>
      </sheetData>
      <sheetData sheetId="10295">
        <row r="4">
          <cell r="I4">
            <v>0</v>
          </cell>
        </row>
      </sheetData>
      <sheetData sheetId="10296">
        <row r="4">
          <cell r="I4">
            <v>0</v>
          </cell>
        </row>
      </sheetData>
      <sheetData sheetId="10297">
        <row r="4">
          <cell r="I4">
            <v>0</v>
          </cell>
        </row>
      </sheetData>
      <sheetData sheetId="10298">
        <row r="4">
          <cell r="I4">
            <v>0</v>
          </cell>
        </row>
      </sheetData>
      <sheetData sheetId="10299">
        <row r="4">
          <cell r="I4">
            <v>0</v>
          </cell>
        </row>
      </sheetData>
      <sheetData sheetId="10300">
        <row r="4">
          <cell r="I4">
            <v>0</v>
          </cell>
        </row>
      </sheetData>
      <sheetData sheetId="10301">
        <row r="4">
          <cell r="I4">
            <v>0</v>
          </cell>
        </row>
      </sheetData>
      <sheetData sheetId="10302">
        <row r="4">
          <cell r="I4">
            <v>0</v>
          </cell>
        </row>
      </sheetData>
      <sheetData sheetId="10303">
        <row r="4">
          <cell r="I4">
            <v>0</v>
          </cell>
        </row>
      </sheetData>
      <sheetData sheetId="10304">
        <row r="4">
          <cell r="I4">
            <v>0</v>
          </cell>
        </row>
      </sheetData>
      <sheetData sheetId="10305">
        <row r="4">
          <cell r="I4">
            <v>0</v>
          </cell>
        </row>
      </sheetData>
      <sheetData sheetId="10306">
        <row r="4">
          <cell r="I4">
            <v>0</v>
          </cell>
        </row>
      </sheetData>
      <sheetData sheetId="10307">
        <row r="4">
          <cell r="I4">
            <v>0</v>
          </cell>
        </row>
      </sheetData>
      <sheetData sheetId="10308">
        <row r="4">
          <cell r="I4">
            <v>0</v>
          </cell>
        </row>
      </sheetData>
      <sheetData sheetId="10309">
        <row r="4">
          <cell r="I4">
            <v>0</v>
          </cell>
        </row>
      </sheetData>
      <sheetData sheetId="10310">
        <row r="4">
          <cell r="I4">
            <v>0</v>
          </cell>
        </row>
      </sheetData>
      <sheetData sheetId="10311">
        <row r="4">
          <cell r="I4">
            <v>0</v>
          </cell>
        </row>
      </sheetData>
      <sheetData sheetId="10312">
        <row r="4">
          <cell r="I4">
            <v>0</v>
          </cell>
        </row>
      </sheetData>
      <sheetData sheetId="10313">
        <row r="4">
          <cell r="I4">
            <v>0</v>
          </cell>
        </row>
      </sheetData>
      <sheetData sheetId="10314">
        <row r="4">
          <cell r="I4">
            <v>0</v>
          </cell>
        </row>
      </sheetData>
      <sheetData sheetId="10315">
        <row r="4">
          <cell r="I4">
            <v>0</v>
          </cell>
        </row>
      </sheetData>
      <sheetData sheetId="10316">
        <row r="4">
          <cell r="I4">
            <v>0</v>
          </cell>
        </row>
      </sheetData>
      <sheetData sheetId="10317">
        <row r="4">
          <cell r="I4">
            <v>0</v>
          </cell>
        </row>
      </sheetData>
      <sheetData sheetId="10318">
        <row r="4">
          <cell r="I4">
            <v>0</v>
          </cell>
        </row>
      </sheetData>
      <sheetData sheetId="10319">
        <row r="4">
          <cell r="I4">
            <v>0</v>
          </cell>
        </row>
      </sheetData>
      <sheetData sheetId="10320">
        <row r="4">
          <cell r="I4">
            <v>0</v>
          </cell>
        </row>
      </sheetData>
      <sheetData sheetId="10321">
        <row r="4">
          <cell r="I4">
            <v>0</v>
          </cell>
        </row>
      </sheetData>
      <sheetData sheetId="10322">
        <row r="4">
          <cell r="I4">
            <v>0</v>
          </cell>
        </row>
      </sheetData>
      <sheetData sheetId="10323">
        <row r="4">
          <cell r="I4">
            <v>0</v>
          </cell>
        </row>
      </sheetData>
      <sheetData sheetId="10324">
        <row r="4">
          <cell r="I4">
            <v>0</v>
          </cell>
        </row>
      </sheetData>
      <sheetData sheetId="10325">
        <row r="4">
          <cell r="I4">
            <v>0</v>
          </cell>
        </row>
      </sheetData>
      <sheetData sheetId="10326">
        <row r="4">
          <cell r="I4">
            <v>0</v>
          </cell>
        </row>
      </sheetData>
      <sheetData sheetId="10327">
        <row r="4">
          <cell r="I4">
            <v>0</v>
          </cell>
        </row>
      </sheetData>
      <sheetData sheetId="10328">
        <row r="4">
          <cell r="I4">
            <v>0</v>
          </cell>
        </row>
      </sheetData>
      <sheetData sheetId="10329">
        <row r="4">
          <cell r="I4">
            <v>0</v>
          </cell>
        </row>
      </sheetData>
      <sheetData sheetId="10330">
        <row r="4">
          <cell r="I4">
            <v>0</v>
          </cell>
        </row>
      </sheetData>
      <sheetData sheetId="10331">
        <row r="4">
          <cell r="I4">
            <v>0</v>
          </cell>
        </row>
      </sheetData>
      <sheetData sheetId="10332">
        <row r="4">
          <cell r="I4">
            <v>0</v>
          </cell>
        </row>
      </sheetData>
      <sheetData sheetId="10333">
        <row r="4">
          <cell r="I4">
            <v>0</v>
          </cell>
        </row>
      </sheetData>
      <sheetData sheetId="10334">
        <row r="4">
          <cell r="I4">
            <v>0</v>
          </cell>
        </row>
      </sheetData>
      <sheetData sheetId="10335">
        <row r="4">
          <cell r="I4">
            <v>0</v>
          </cell>
        </row>
      </sheetData>
      <sheetData sheetId="10336">
        <row r="4">
          <cell r="I4">
            <v>0</v>
          </cell>
        </row>
      </sheetData>
      <sheetData sheetId="10337">
        <row r="4">
          <cell r="I4">
            <v>0</v>
          </cell>
        </row>
      </sheetData>
      <sheetData sheetId="10338">
        <row r="4">
          <cell r="I4">
            <v>0</v>
          </cell>
        </row>
      </sheetData>
      <sheetData sheetId="10339">
        <row r="4">
          <cell r="I4">
            <v>0</v>
          </cell>
        </row>
      </sheetData>
      <sheetData sheetId="10340">
        <row r="4">
          <cell r="I4">
            <v>0</v>
          </cell>
        </row>
      </sheetData>
      <sheetData sheetId="10341">
        <row r="4">
          <cell r="I4">
            <v>0</v>
          </cell>
        </row>
      </sheetData>
      <sheetData sheetId="10342">
        <row r="4">
          <cell r="I4">
            <v>0</v>
          </cell>
        </row>
      </sheetData>
      <sheetData sheetId="10343">
        <row r="4">
          <cell r="I4">
            <v>0</v>
          </cell>
        </row>
      </sheetData>
      <sheetData sheetId="10344">
        <row r="4">
          <cell r="I4">
            <v>0</v>
          </cell>
        </row>
      </sheetData>
      <sheetData sheetId="10345">
        <row r="4">
          <cell r="I4">
            <v>0</v>
          </cell>
        </row>
      </sheetData>
      <sheetData sheetId="10346">
        <row r="4">
          <cell r="I4">
            <v>0</v>
          </cell>
        </row>
      </sheetData>
      <sheetData sheetId="10347">
        <row r="4">
          <cell r="I4">
            <v>0</v>
          </cell>
        </row>
      </sheetData>
      <sheetData sheetId="10348">
        <row r="4">
          <cell r="I4">
            <v>0</v>
          </cell>
        </row>
      </sheetData>
      <sheetData sheetId="10349">
        <row r="4">
          <cell r="I4">
            <v>0</v>
          </cell>
        </row>
      </sheetData>
      <sheetData sheetId="10350">
        <row r="4">
          <cell r="I4">
            <v>0</v>
          </cell>
        </row>
      </sheetData>
      <sheetData sheetId="10351">
        <row r="4">
          <cell r="I4">
            <v>0</v>
          </cell>
        </row>
      </sheetData>
      <sheetData sheetId="10352">
        <row r="4">
          <cell r="I4">
            <v>0</v>
          </cell>
        </row>
      </sheetData>
      <sheetData sheetId="10353">
        <row r="4">
          <cell r="I4">
            <v>0</v>
          </cell>
        </row>
      </sheetData>
      <sheetData sheetId="10354">
        <row r="4">
          <cell r="I4">
            <v>0</v>
          </cell>
        </row>
      </sheetData>
      <sheetData sheetId="10355">
        <row r="4">
          <cell r="I4">
            <v>0</v>
          </cell>
        </row>
      </sheetData>
      <sheetData sheetId="10356">
        <row r="4">
          <cell r="I4">
            <v>0</v>
          </cell>
        </row>
      </sheetData>
      <sheetData sheetId="10357">
        <row r="4">
          <cell r="I4">
            <v>0</v>
          </cell>
        </row>
      </sheetData>
      <sheetData sheetId="10358">
        <row r="4">
          <cell r="I4">
            <v>0</v>
          </cell>
        </row>
      </sheetData>
      <sheetData sheetId="10359">
        <row r="4">
          <cell r="I4">
            <v>0</v>
          </cell>
        </row>
      </sheetData>
      <sheetData sheetId="10360">
        <row r="4">
          <cell r="I4">
            <v>0</v>
          </cell>
        </row>
      </sheetData>
      <sheetData sheetId="10361">
        <row r="4">
          <cell r="I4">
            <v>0</v>
          </cell>
        </row>
      </sheetData>
      <sheetData sheetId="10362">
        <row r="4">
          <cell r="I4">
            <v>0</v>
          </cell>
        </row>
      </sheetData>
      <sheetData sheetId="10363">
        <row r="4">
          <cell r="I4">
            <v>0</v>
          </cell>
        </row>
      </sheetData>
      <sheetData sheetId="10364">
        <row r="4">
          <cell r="I4">
            <v>0</v>
          </cell>
        </row>
      </sheetData>
      <sheetData sheetId="10365">
        <row r="4">
          <cell r="I4">
            <v>0</v>
          </cell>
        </row>
      </sheetData>
      <sheetData sheetId="10366">
        <row r="4">
          <cell r="I4">
            <v>0</v>
          </cell>
        </row>
      </sheetData>
      <sheetData sheetId="10367">
        <row r="4">
          <cell r="I4">
            <v>0</v>
          </cell>
        </row>
      </sheetData>
      <sheetData sheetId="10368">
        <row r="4">
          <cell r="I4">
            <v>0</v>
          </cell>
        </row>
      </sheetData>
      <sheetData sheetId="10369">
        <row r="4">
          <cell r="I4">
            <v>0</v>
          </cell>
        </row>
      </sheetData>
      <sheetData sheetId="10370">
        <row r="4">
          <cell r="I4">
            <v>0</v>
          </cell>
        </row>
      </sheetData>
      <sheetData sheetId="10371">
        <row r="4">
          <cell r="I4">
            <v>0</v>
          </cell>
        </row>
      </sheetData>
      <sheetData sheetId="10372">
        <row r="4">
          <cell r="I4">
            <v>0</v>
          </cell>
        </row>
      </sheetData>
      <sheetData sheetId="10373">
        <row r="4">
          <cell r="I4">
            <v>0</v>
          </cell>
        </row>
      </sheetData>
      <sheetData sheetId="10374">
        <row r="4">
          <cell r="I4">
            <v>0</v>
          </cell>
        </row>
      </sheetData>
      <sheetData sheetId="10375">
        <row r="4">
          <cell r="I4">
            <v>0</v>
          </cell>
        </row>
      </sheetData>
      <sheetData sheetId="10376">
        <row r="4">
          <cell r="I4">
            <v>0</v>
          </cell>
        </row>
      </sheetData>
      <sheetData sheetId="10377">
        <row r="4">
          <cell r="I4">
            <v>0</v>
          </cell>
        </row>
      </sheetData>
      <sheetData sheetId="10378">
        <row r="4">
          <cell r="I4">
            <v>0</v>
          </cell>
        </row>
      </sheetData>
      <sheetData sheetId="10379">
        <row r="4">
          <cell r="I4">
            <v>0</v>
          </cell>
        </row>
      </sheetData>
      <sheetData sheetId="10380">
        <row r="4">
          <cell r="I4">
            <v>0</v>
          </cell>
        </row>
      </sheetData>
      <sheetData sheetId="10381">
        <row r="4">
          <cell r="I4">
            <v>0</v>
          </cell>
        </row>
      </sheetData>
      <sheetData sheetId="10382">
        <row r="4">
          <cell r="I4">
            <v>0</v>
          </cell>
        </row>
      </sheetData>
      <sheetData sheetId="10383">
        <row r="4">
          <cell r="I4">
            <v>0</v>
          </cell>
        </row>
      </sheetData>
      <sheetData sheetId="10384">
        <row r="4">
          <cell r="I4">
            <v>0</v>
          </cell>
        </row>
      </sheetData>
      <sheetData sheetId="10385">
        <row r="4">
          <cell r="I4">
            <v>0</v>
          </cell>
        </row>
      </sheetData>
      <sheetData sheetId="10386">
        <row r="4">
          <cell r="I4">
            <v>0</v>
          </cell>
        </row>
      </sheetData>
      <sheetData sheetId="10387">
        <row r="4">
          <cell r="I4">
            <v>0</v>
          </cell>
        </row>
      </sheetData>
      <sheetData sheetId="10388">
        <row r="4">
          <cell r="I4">
            <v>0</v>
          </cell>
        </row>
      </sheetData>
      <sheetData sheetId="10389">
        <row r="4">
          <cell r="I4">
            <v>0</v>
          </cell>
        </row>
      </sheetData>
      <sheetData sheetId="10390">
        <row r="4">
          <cell r="I4">
            <v>0</v>
          </cell>
        </row>
      </sheetData>
      <sheetData sheetId="10391">
        <row r="4">
          <cell r="I4">
            <v>0</v>
          </cell>
        </row>
      </sheetData>
      <sheetData sheetId="10392">
        <row r="4">
          <cell r="I4">
            <v>0</v>
          </cell>
        </row>
      </sheetData>
      <sheetData sheetId="10393">
        <row r="4">
          <cell r="I4">
            <v>0</v>
          </cell>
        </row>
      </sheetData>
      <sheetData sheetId="10394">
        <row r="4">
          <cell r="I4">
            <v>0</v>
          </cell>
        </row>
      </sheetData>
      <sheetData sheetId="10395">
        <row r="4">
          <cell r="I4">
            <v>0</v>
          </cell>
        </row>
      </sheetData>
      <sheetData sheetId="10396">
        <row r="4">
          <cell r="I4">
            <v>0</v>
          </cell>
        </row>
      </sheetData>
      <sheetData sheetId="10397">
        <row r="4">
          <cell r="I4">
            <v>0</v>
          </cell>
        </row>
      </sheetData>
      <sheetData sheetId="10398">
        <row r="4">
          <cell r="I4">
            <v>0</v>
          </cell>
        </row>
      </sheetData>
      <sheetData sheetId="10399">
        <row r="4">
          <cell r="I4">
            <v>0</v>
          </cell>
        </row>
      </sheetData>
      <sheetData sheetId="10400">
        <row r="4">
          <cell r="I4">
            <v>0</v>
          </cell>
        </row>
      </sheetData>
      <sheetData sheetId="10401">
        <row r="4">
          <cell r="I4">
            <v>0</v>
          </cell>
        </row>
      </sheetData>
      <sheetData sheetId="10402">
        <row r="4">
          <cell r="I4">
            <v>0</v>
          </cell>
        </row>
      </sheetData>
      <sheetData sheetId="10403">
        <row r="4">
          <cell r="I4">
            <v>0</v>
          </cell>
        </row>
      </sheetData>
      <sheetData sheetId="10404">
        <row r="4">
          <cell r="I4">
            <v>0</v>
          </cell>
        </row>
      </sheetData>
      <sheetData sheetId="10405">
        <row r="4">
          <cell r="I4">
            <v>0</v>
          </cell>
        </row>
      </sheetData>
      <sheetData sheetId="10406">
        <row r="4">
          <cell r="I4">
            <v>0</v>
          </cell>
        </row>
      </sheetData>
      <sheetData sheetId="10407">
        <row r="4">
          <cell r="I4">
            <v>0</v>
          </cell>
        </row>
      </sheetData>
      <sheetData sheetId="10408">
        <row r="4">
          <cell r="I4">
            <v>0</v>
          </cell>
        </row>
      </sheetData>
      <sheetData sheetId="10409">
        <row r="4">
          <cell r="I4">
            <v>0</v>
          </cell>
        </row>
      </sheetData>
      <sheetData sheetId="10410">
        <row r="4">
          <cell r="I4">
            <v>0</v>
          </cell>
        </row>
      </sheetData>
      <sheetData sheetId="10411">
        <row r="4">
          <cell r="I4">
            <v>0</v>
          </cell>
        </row>
      </sheetData>
      <sheetData sheetId="10412">
        <row r="4">
          <cell r="I4">
            <v>0</v>
          </cell>
        </row>
      </sheetData>
      <sheetData sheetId="10413">
        <row r="4">
          <cell r="I4">
            <v>0</v>
          </cell>
        </row>
      </sheetData>
      <sheetData sheetId="10414">
        <row r="4">
          <cell r="I4">
            <v>0</v>
          </cell>
        </row>
      </sheetData>
      <sheetData sheetId="10415">
        <row r="4">
          <cell r="I4">
            <v>0</v>
          </cell>
        </row>
      </sheetData>
      <sheetData sheetId="10416">
        <row r="4">
          <cell r="I4">
            <v>0</v>
          </cell>
        </row>
      </sheetData>
      <sheetData sheetId="10417">
        <row r="4">
          <cell r="I4">
            <v>0</v>
          </cell>
        </row>
      </sheetData>
      <sheetData sheetId="10418">
        <row r="4">
          <cell r="I4">
            <v>0</v>
          </cell>
        </row>
      </sheetData>
      <sheetData sheetId="10419">
        <row r="4">
          <cell r="I4">
            <v>0</v>
          </cell>
        </row>
      </sheetData>
      <sheetData sheetId="10420">
        <row r="4">
          <cell r="I4">
            <v>0</v>
          </cell>
        </row>
      </sheetData>
      <sheetData sheetId="10421">
        <row r="4">
          <cell r="I4">
            <v>0</v>
          </cell>
        </row>
      </sheetData>
      <sheetData sheetId="10422">
        <row r="4">
          <cell r="I4">
            <v>0</v>
          </cell>
        </row>
      </sheetData>
      <sheetData sheetId="10423">
        <row r="4">
          <cell r="I4">
            <v>0</v>
          </cell>
        </row>
      </sheetData>
      <sheetData sheetId="10424">
        <row r="4">
          <cell r="I4">
            <v>0</v>
          </cell>
        </row>
      </sheetData>
      <sheetData sheetId="10425">
        <row r="4">
          <cell r="I4">
            <v>0</v>
          </cell>
        </row>
      </sheetData>
      <sheetData sheetId="10426">
        <row r="4">
          <cell r="I4">
            <v>0</v>
          </cell>
        </row>
      </sheetData>
      <sheetData sheetId="10427">
        <row r="4">
          <cell r="I4">
            <v>0</v>
          </cell>
        </row>
      </sheetData>
      <sheetData sheetId="10428">
        <row r="4">
          <cell r="I4">
            <v>0</v>
          </cell>
        </row>
      </sheetData>
      <sheetData sheetId="10429">
        <row r="4">
          <cell r="I4">
            <v>0</v>
          </cell>
        </row>
      </sheetData>
      <sheetData sheetId="10430">
        <row r="4">
          <cell r="I4">
            <v>0</v>
          </cell>
        </row>
      </sheetData>
      <sheetData sheetId="10431">
        <row r="4">
          <cell r="I4">
            <v>0</v>
          </cell>
        </row>
      </sheetData>
      <sheetData sheetId="10432">
        <row r="4">
          <cell r="I4">
            <v>0</v>
          </cell>
        </row>
      </sheetData>
      <sheetData sheetId="10433">
        <row r="4">
          <cell r="I4">
            <v>0</v>
          </cell>
        </row>
      </sheetData>
      <sheetData sheetId="10434">
        <row r="4">
          <cell r="I4">
            <v>0</v>
          </cell>
        </row>
      </sheetData>
      <sheetData sheetId="10435">
        <row r="4">
          <cell r="I4">
            <v>0</v>
          </cell>
        </row>
      </sheetData>
      <sheetData sheetId="10436">
        <row r="4">
          <cell r="I4">
            <v>0</v>
          </cell>
        </row>
      </sheetData>
      <sheetData sheetId="10437">
        <row r="4">
          <cell r="I4">
            <v>0</v>
          </cell>
        </row>
      </sheetData>
      <sheetData sheetId="10438">
        <row r="4">
          <cell r="I4">
            <v>0</v>
          </cell>
        </row>
      </sheetData>
      <sheetData sheetId="10439">
        <row r="4">
          <cell r="I4">
            <v>0</v>
          </cell>
        </row>
      </sheetData>
      <sheetData sheetId="10440">
        <row r="4">
          <cell r="I4">
            <v>0</v>
          </cell>
        </row>
      </sheetData>
      <sheetData sheetId="10441">
        <row r="4">
          <cell r="I4">
            <v>0</v>
          </cell>
        </row>
      </sheetData>
      <sheetData sheetId="10442">
        <row r="4">
          <cell r="I4">
            <v>0</v>
          </cell>
        </row>
      </sheetData>
      <sheetData sheetId="10443">
        <row r="4">
          <cell r="I4">
            <v>0</v>
          </cell>
        </row>
      </sheetData>
      <sheetData sheetId="10444">
        <row r="4">
          <cell r="I4">
            <v>0</v>
          </cell>
        </row>
      </sheetData>
      <sheetData sheetId="10445">
        <row r="4">
          <cell r="I4">
            <v>0</v>
          </cell>
        </row>
      </sheetData>
      <sheetData sheetId="10446">
        <row r="4">
          <cell r="I4">
            <v>0</v>
          </cell>
        </row>
      </sheetData>
      <sheetData sheetId="10447">
        <row r="4">
          <cell r="I4">
            <v>0</v>
          </cell>
        </row>
      </sheetData>
      <sheetData sheetId="10448">
        <row r="4">
          <cell r="I4">
            <v>0</v>
          </cell>
        </row>
      </sheetData>
      <sheetData sheetId="10449">
        <row r="4">
          <cell r="I4">
            <v>0</v>
          </cell>
        </row>
      </sheetData>
      <sheetData sheetId="10450">
        <row r="4">
          <cell r="I4">
            <v>0</v>
          </cell>
        </row>
      </sheetData>
      <sheetData sheetId="10451">
        <row r="4">
          <cell r="I4">
            <v>0</v>
          </cell>
        </row>
      </sheetData>
      <sheetData sheetId="10452">
        <row r="4">
          <cell r="I4">
            <v>0</v>
          </cell>
        </row>
      </sheetData>
      <sheetData sheetId="10453">
        <row r="4">
          <cell r="I4">
            <v>0</v>
          </cell>
        </row>
      </sheetData>
      <sheetData sheetId="10454">
        <row r="4">
          <cell r="I4">
            <v>0</v>
          </cell>
        </row>
      </sheetData>
      <sheetData sheetId="10455">
        <row r="4">
          <cell r="I4">
            <v>0</v>
          </cell>
        </row>
      </sheetData>
      <sheetData sheetId="10456">
        <row r="4">
          <cell r="I4">
            <v>0</v>
          </cell>
        </row>
      </sheetData>
      <sheetData sheetId="10457">
        <row r="4">
          <cell r="I4">
            <v>0</v>
          </cell>
        </row>
      </sheetData>
      <sheetData sheetId="10458">
        <row r="4">
          <cell r="I4">
            <v>0</v>
          </cell>
        </row>
      </sheetData>
      <sheetData sheetId="10459">
        <row r="4">
          <cell r="I4">
            <v>0</v>
          </cell>
        </row>
      </sheetData>
      <sheetData sheetId="10460">
        <row r="4">
          <cell r="I4">
            <v>0</v>
          </cell>
        </row>
      </sheetData>
      <sheetData sheetId="10461">
        <row r="4">
          <cell r="I4">
            <v>0</v>
          </cell>
        </row>
      </sheetData>
      <sheetData sheetId="10462">
        <row r="4">
          <cell r="I4">
            <v>0</v>
          </cell>
        </row>
      </sheetData>
      <sheetData sheetId="10463">
        <row r="4">
          <cell r="I4">
            <v>0</v>
          </cell>
        </row>
      </sheetData>
      <sheetData sheetId="10464">
        <row r="4">
          <cell r="I4">
            <v>0</v>
          </cell>
        </row>
      </sheetData>
      <sheetData sheetId="10465">
        <row r="4">
          <cell r="I4">
            <v>0</v>
          </cell>
        </row>
      </sheetData>
      <sheetData sheetId="10466">
        <row r="4">
          <cell r="I4">
            <v>0</v>
          </cell>
        </row>
      </sheetData>
      <sheetData sheetId="10467">
        <row r="4">
          <cell r="I4">
            <v>0</v>
          </cell>
        </row>
      </sheetData>
      <sheetData sheetId="10468">
        <row r="4">
          <cell r="I4">
            <v>0</v>
          </cell>
        </row>
      </sheetData>
      <sheetData sheetId="10469">
        <row r="4">
          <cell r="I4">
            <v>0</v>
          </cell>
        </row>
      </sheetData>
      <sheetData sheetId="10470">
        <row r="4">
          <cell r="I4">
            <v>0</v>
          </cell>
        </row>
      </sheetData>
      <sheetData sheetId="10471">
        <row r="4">
          <cell r="I4">
            <v>0</v>
          </cell>
        </row>
      </sheetData>
      <sheetData sheetId="10472">
        <row r="4">
          <cell r="I4">
            <v>0</v>
          </cell>
        </row>
      </sheetData>
      <sheetData sheetId="10473">
        <row r="4">
          <cell r="I4">
            <v>0</v>
          </cell>
        </row>
      </sheetData>
      <sheetData sheetId="10474">
        <row r="4">
          <cell r="I4">
            <v>0</v>
          </cell>
        </row>
      </sheetData>
      <sheetData sheetId="10475">
        <row r="4">
          <cell r="I4">
            <v>0</v>
          </cell>
        </row>
      </sheetData>
      <sheetData sheetId="10476">
        <row r="4">
          <cell r="I4">
            <v>0</v>
          </cell>
        </row>
      </sheetData>
      <sheetData sheetId="10477">
        <row r="4">
          <cell r="I4">
            <v>0</v>
          </cell>
        </row>
      </sheetData>
      <sheetData sheetId="10478">
        <row r="4">
          <cell r="I4">
            <v>0</v>
          </cell>
        </row>
      </sheetData>
      <sheetData sheetId="10479">
        <row r="4">
          <cell r="I4">
            <v>0</v>
          </cell>
        </row>
      </sheetData>
      <sheetData sheetId="10480">
        <row r="4">
          <cell r="I4">
            <v>0</v>
          </cell>
        </row>
      </sheetData>
      <sheetData sheetId="10481">
        <row r="4">
          <cell r="I4">
            <v>0</v>
          </cell>
        </row>
      </sheetData>
      <sheetData sheetId="10482">
        <row r="4">
          <cell r="I4">
            <v>0</v>
          </cell>
        </row>
      </sheetData>
      <sheetData sheetId="10483">
        <row r="4">
          <cell r="I4">
            <v>0</v>
          </cell>
        </row>
      </sheetData>
      <sheetData sheetId="10484">
        <row r="4">
          <cell r="I4">
            <v>0</v>
          </cell>
        </row>
      </sheetData>
      <sheetData sheetId="10485">
        <row r="4">
          <cell r="I4">
            <v>0</v>
          </cell>
        </row>
      </sheetData>
      <sheetData sheetId="10486">
        <row r="4">
          <cell r="I4">
            <v>0</v>
          </cell>
        </row>
      </sheetData>
      <sheetData sheetId="10487">
        <row r="4">
          <cell r="I4">
            <v>0</v>
          </cell>
        </row>
      </sheetData>
      <sheetData sheetId="10488">
        <row r="4">
          <cell r="I4">
            <v>0</v>
          </cell>
        </row>
      </sheetData>
      <sheetData sheetId="10489">
        <row r="4">
          <cell r="I4">
            <v>0</v>
          </cell>
        </row>
      </sheetData>
      <sheetData sheetId="10490">
        <row r="4">
          <cell r="I4">
            <v>0</v>
          </cell>
        </row>
      </sheetData>
      <sheetData sheetId="10491">
        <row r="4">
          <cell r="I4">
            <v>0</v>
          </cell>
        </row>
      </sheetData>
      <sheetData sheetId="10492">
        <row r="4">
          <cell r="I4">
            <v>0</v>
          </cell>
        </row>
      </sheetData>
      <sheetData sheetId="10493">
        <row r="4">
          <cell r="I4">
            <v>0</v>
          </cell>
        </row>
      </sheetData>
      <sheetData sheetId="10494">
        <row r="4">
          <cell r="I4">
            <v>0</v>
          </cell>
        </row>
      </sheetData>
      <sheetData sheetId="10495">
        <row r="4">
          <cell r="I4">
            <v>0</v>
          </cell>
        </row>
      </sheetData>
      <sheetData sheetId="10496">
        <row r="4">
          <cell r="I4">
            <v>0</v>
          </cell>
        </row>
      </sheetData>
      <sheetData sheetId="10497">
        <row r="4">
          <cell r="I4">
            <v>0</v>
          </cell>
        </row>
      </sheetData>
      <sheetData sheetId="10498">
        <row r="4">
          <cell r="I4">
            <v>0</v>
          </cell>
        </row>
      </sheetData>
      <sheetData sheetId="10499">
        <row r="4">
          <cell r="I4">
            <v>0</v>
          </cell>
        </row>
      </sheetData>
      <sheetData sheetId="10500">
        <row r="4">
          <cell r="I4">
            <v>0</v>
          </cell>
        </row>
      </sheetData>
      <sheetData sheetId="10501">
        <row r="4">
          <cell r="I4">
            <v>0</v>
          </cell>
        </row>
      </sheetData>
      <sheetData sheetId="10502">
        <row r="4">
          <cell r="I4">
            <v>0</v>
          </cell>
        </row>
      </sheetData>
      <sheetData sheetId="10503">
        <row r="4">
          <cell r="I4">
            <v>0</v>
          </cell>
        </row>
      </sheetData>
      <sheetData sheetId="10504">
        <row r="4">
          <cell r="I4">
            <v>0</v>
          </cell>
        </row>
      </sheetData>
      <sheetData sheetId="10505">
        <row r="4">
          <cell r="I4">
            <v>0</v>
          </cell>
        </row>
      </sheetData>
      <sheetData sheetId="10506">
        <row r="4">
          <cell r="I4">
            <v>0</v>
          </cell>
        </row>
      </sheetData>
      <sheetData sheetId="10507">
        <row r="4">
          <cell r="I4">
            <v>0</v>
          </cell>
        </row>
      </sheetData>
      <sheetData sheetId="10508">
        <row r="4">
          <cell r="I4">
            <v>0</v>
          </cell>
        </row>
      </sheetData>
      <sheetData sheetId="10509">
        <row r="4">
          <cell r="I4">
            <v>0</v>
          </cell>
        </row>
      </sheetData>
      <sheetData sheetId="10510">
        <row r="4">
          <cell r="I4">
            <v>0</v>
          </cell>
        </row>
      </sheetData>
      <sheetData sheetId="10511">
        <row r="4">
          <cell r="I4">
            <v>0</v>
          </cell>
        </row>
      </sheetData>
      <sheetData sheetId="10512">
        <row r="4">
          <cell r="I4">
            <v>0</v>
          </cell>
        </row>
      </sheetData>
      <sheetData sheetId="10513">
        <row r="4">
          <cell r="I4">
            <v>0</v>
          </cell>
        </row>
      </sheetData>
      <sheetData sheetId="10514">
        <row r="4">
          <cell r="I4">
            <v>0</v>
          </cell>
        </row>
      </sheetData>
      <sheetData sheetId="10515">
        <row r="4">
          <cell r="I4">
            <v>0</v>
          </cell>
        </row>
      </sheetData>
      <sheetData sheetId="10516">
        <row r="4">
          <cell r="I4">
            <v>0</v>
          </cell>
        </row>
      </sheetData>
      <sheetData sheetId="10517">
        <row r="4">
          <cell r="I4">
            <v>0</v>
          </cell>
        </row>
      </sheetData>
      <sheetData sheetId="10518">
        <row r="4">
          <cell r="I4">
            <v>0</v>
          </cell>
        </row>
      </sheetData>
      <sheetData sheetId="10519">
        <row r="4">
          <cell r="I4">
            <v>0</v>
          </cell>
        </row>
      </sheetData>
      <sheetData sheetId="10520">
        <row r="4">
          <cell r="I4">
            <v>0</v>
          </cell>
        </row>
      </sheetData>
      <sheetData sheetId="10521">
        <row r="4">
          <cell r="I4">
            <v>0</v>
          </cell>
        </row>
      </sheetData>
      <sheetData sheetId="10522">
        <row r="4">
          <cell r="I4">
            <v>0</v>
          </cell>
        </row>
      </sheetData>
      <sheetData sheetId="10523">
        <row r="4">
          <cell r="I4">
            <v>0</v>
          </cell>
        </row>
      </sheetData>
      <sheetData sheetId="10524">
        <row r="4">
          <cell r="I4">
            <v>0</v>
          </cell>
        </row>
      </sheetData>
      <sheetData sheetId="10525">
        <row r="4">
          <cell r="I4">
            <v>0</v>
          </cell>
        </row>
      </sheetData>
      <sheetData sheetId="10526">
        <row r="4">
          <cell r="I4">
            <v>0</v>
          </cell>
        </row>
      </sheetData>
      <sheetData sheetId="10527">
        <row r="4">
          <cell r="I4">
            <v>0</v>
          </cell>
        </row>
      </sheetData>
      <sheetData sheetId="10528">
        <row r="4">
          <cell r="I4">
            <v>0</v>
          </cell>
        </row>
      </sheetData>
      <sheetData sheetId="10529">
        <row r="4">
          <cell r="I4">
            <v>0</v>
          </cell>
        </row>
      </sheetData>
      <sheetData sheetId="10530">
        <row r="4">
          <cell r="I4">
            <v>0</v>
          </cell>
        </row>
      </sheetData>
      <sheetData sheetId="10531">
        <row r="4">
          <cell r="I4">
            <v>0</v>
          </cell>
        </row>
      </sheetData>
      <sheetData sheetId="10532">
        <row r="4">
          <cell r="I4">
            <v>0</v>
          </cell>
        </row>
      </sheetData>
      <sheetData sheetId="10533">
        <row r="4">
          <cell r="I4">
            <v>0</v>
          </cell>
        </row>
      </sheetData>
      <sheetData sheetId="10534">
        <row r="4">
          <cell r="I4">
            <v>0</v>
          </cell>
        </row>
      </sheetData>
      <sheetData sheetId="10535">
        <row r="4">
          <cell r="I4">
            <v>0</v>
          </cell>
        </row>
      </sheetData>
      <sheetData sheetId="10536">
        <row r="4">
          <cell r="I4">
            <v>0</v>
          </cell>
        </row>
      </sheetData>
      <sheetData sheetId="10537">
        <row r="4">
          <cell r="I4">
            <v>0</v>
          </cell>
        </row>
      </sheetData>
      <sheetData sheetId="10538">
        <row r="4">
          <cell r="I4">
            <v>0</v>
          </cell>
        </row>
      </sheetData>
      <sheetData sheetId="10539">
        <row r="4">
          <cell r="I4">
            <v>0</v>
          </cell>
        </row>
      </sheetData>
      <sheetData sheetId="10540">
        <row r="4">
          <cell r="I4">
            <v>0</v>
          </cell>
        </row>
      </sheetData>
      <sheetData sheetId="10541">
        <row r="4">
          <cell r="I4">
            <v>0</v>
          </cell>
        </row>
      </sheetData>
      <sheetData sheetId="10542">
        <row r="4">
          <cell r="I4">
            <v>0</v>
          </cell>
        </row>
      </sheetData>
      <sheetData sheetId="10543">
        <row r="4">
          <cell r="I4">
            <v>0</v>
          </cell>
        </row>
      </sheetData>
      <sheetData sheetId="10544">
        <row r="4">
          <cell r="I4">
            <v>0</v>
          </cell>
        </row>
      </sheetData>
      <sheetData sheetId="10545">
        <row r="4">
          <cell r="I4">
            <v>0</v>
          </cell>
        </row>
      </sheetData>
      <sheetData sheetId="10546">
        <row r="4">
          <cell r="I4">
            <v>0</v>
          </cell>
        </row>
      </sheetData>
      <sheetData sheetId="10547">
        <row r="4">
          <cell r="I4">
            <v>0</v>
          </cell>
        </row>
      </sheetData>
      <sheetData sheetId="10548">
        <row r="4">
          <cell r="I4">
            <v>0</v>
          </cell>
        </row>
      </sheetData>
      <sheetData sheetId="10549">
        <row r="4">
          <cell r="I4">
            <v>0</v>
          </cell>
        </row>
      </sheetData>
      <sheetData sheetId="10550">
        <row r="4">
          <cell r="I4">
            <v>0</v>
          </cell>
        </row>
      </sheetData>
      <sheetData sheetId="10551">
        <row r="4">
          <cell r="I4">
            <v>0</v>
          </cell>
        </row>
      </sheetData>
      <sheetData sheetId="10552">
        <row r="4">
          <cell r="I4">
            <v>0</v>
          </cell>
        </row>
      </sheetData>
      <sheetData sheetId="10553">
        <row r="4">
          <cell r="I4">
            <v>0</v>
          </cell>
        </row>
      </sheetData>
      <sheetData sheetId="10554">
        <row r="4">
          <cell r="I4">
            <v>0</v>
          </cell>
        </row>
      </sheetData>
      <sheetData sheetId="10555">
        <row r="4">
          <cell r="I4">
            <v>0</v>
          </cell>
        </row>
      </sheetData>
      <sheetData sheetId="10556">
        <row r="4">
          <cell r="I4">
            <v>0</v>
          </cell>
        </row>
      </sheetData>
      <sheetData sheetId="10557">
        <row r="4">
          <cell r="I4">
            <v>0</v>
          </cell>
        </row>
      </sheetData>
      <sheetData sheetId="10558">
        <row r="4">
          <cell r="I4">
            <v>0</v>
          </cell>
        </row>
      </sheetData>
      <sheetData sheetId="10559">
        <row r="4">
          <cell r="I4">
            <v>0</v>
          </cell>
        </row>
      </sheetData>
      <sheetData sheetId="10560">
        <row r="4">
          <cell r="I4">
            <v>0</v>
          </cell>
        </row>
      </sheetData>
      <sheetData sheetId="10561">
        <row r="4">
          <cell r="I4">
            <v>0</v>
          </cell>
        </row>
      </sheetData>
      <sheetData sheetId="10562">
        <row r="4">
          <cell r="I4">
            <v>0</v>
          </cell>
        </row>
      </sheetData>
      <sheetData sheetId="10563">
        <row r="4">
          <cell r="I4">
            <v>0</v>
          </cell>
        </row>
      </sheetData>
      <sheetData sheetId="10564">
        <row r="4">
          <cell r="I4">
            <v>0</v>
          </cell>
        </row>
      </sheetData>
      <sheetData sheetId="10565">
        <row r="4">
          <cell r="I4">
            <v>0</v>
          </cell>
        </row>
      </sheetData>
      <sheetData sheetId="10566">
        <row r="4">
          <cell r="I4">
            <v>0</v>
          </cell>
        </row>
      </sheetData>
      <sheetData sheetId="10567">
        <row r="4">
          <cell r="I4">
            <v>0</v>
          </cell>
        </row>
      </sheetData>
      <sheetData sheetId="10568">
        <row r="4">
          <cell r="I4">
            <v>0</v>
          </cell>
        </row>
      </sheetData>
      <sheetData sheetId="10569">
        <row r="4">
          <cell r="I4">
            <v>0</v>
          </cell>
        </row>
      </sheetData>
      <sheetData sheetId="10570">
        <row r="4">
          <cell r="I4">
            <v>0</v>
          </cell>
        </row>
      </sheetData>
      <sheetData sheetId="10571">
        <row r="4">
          <cell r="I4">
            <v>0</v>
          </cell>
        </row>
      </sheetData>
      <sheetData sheetId="10572">
        <row r="4">
          <cell r="I4">
            <v>0</v>
          </cell>
        </row>
      </sheetData>
      <sheetData sheetId="10573">
        <row r="4">
          <cell r="I4">
            <v>0</v>
          </cell>
        </row>
      </sheetData>
      <sheetData sheetId="10574">
        <row r="4">
          <cell r="I4">
            <v>0</v>
          </cell>
        </row>
      </sheetData>
      <sheetData sheetId="10575">
        <row r="4">
          <cell r="I4">
            <v>0</v>
          </cell>
        </row>
      </sheetData>
      <sheetData sheetId="10576">
        <row r="4">
          <cell r="I4">
            <v>0</v>
          </cell>
        </row>
      </sheetData>
      <sheetData sheetId="10577">
        <row r="4">
          <cell r="I4">
            <v>0</v>
          </cell>
        </row>
      </sheetData>
      <sheetData sheetId="10578">
        <row r="4">
          <cell r="I4">
            <v>0</v>
          </cell>
        </row>
      </sheetData>
      <sheetData sheetId="10579">
        <row r="4">
          <cell r="I4">
            <v>0</v>
          </cell>
        </row>
      </sheetData>
      <sheetData sheetId="10580">
        <row r="4">
          <cell r="I4">
            <v>0</v>
          </cell>
        </row>
      </sheetData>
      <sheetData sheetId="10581">
        <row r="4">
          <cell r="I4">
            <v>0</v>
          </cell>
        </row>
      </sheetData>
      <sheetData sheetId="10582">
        <row r="4">
          <cell r="I4">
            <v>0</v>
          </cell>
        </row>
      </sheetData>
      <sheetData sheetId="10583">
        <row r="4">
          <cell r="I4">
            <v>0</v>
          </cell>
        </row>
      </sheetData>
      <sheetData sheetId="10584">
        <row r="4">
          <cell r="I4">
            <v>0</v>
          </cell>
        </row>
      </sheetData>
      <sheetData sheetId="10585">
        <row r="4">
          <cell r="I4">
            <v>0</v>
          </cell>
        </row>
      </sheetData>
      <sheetData sheetId="10586">
        <row r="4">
          <cell r="I4">
            <v>0</v>
          </cell>
        </row>
      </sheetData>
      <sheetData sheetId="10587">
        <row r="4">
          <cell r="I4">
            <v>0</v>
          </cell>
        </row>
      </sheetData>
      <sheetData sheetId="10588">
        <row r="4">
          <cell r="I4">
            <v>0</v>
          </cell>
        </row>
      </sheetData>
      <sheetData sheetId="10589">
        <row r="4">
          <cell r="I4">
            <v>0</v>
          </cell>
        </row>
      </sheetData>
      <sheetData sheetId="10590">
        <row r="4">
          <cell r="I4">
            <v>0</v>
          </cell>
        </row>
      </sheetData>
      <sheetData sheetId="10591">
        <row r="4">
          <cell r="I4">
            <v>0</v>
          </cell>
        </row>
      </sheetData>
      <sheetData sheetId="10592">
        <row r="4">
          <cell r="I4">
            <v>0</v>
          </cell>
        </row>
      </sheetData>
      <sheetData sheetId="10593">
        <row r="4">
          <cell r="I4">
            <v>0</v>
          </cell>
        </row>
      </sheetData>
      <sheetData sheetId="10594">
        <row r="4">
          <cell r="I4">
            <v>0</v>
          </cell>
        </row>
      </sheetData>
      <sheetData sheetId="10595">
        <row r="4">
          <cell r="I4">
            <v>0</v>
          </cell>
        </row>
      </sheetData>
      <sheetData sheetId="10596">
        <row r="4">
          <cell r="I4">
            <v>0</v>
          </cell>
        </row>
      </sheetData>
      <sheetData sheetId="10597">
        <row r="4">
          <cell r="I4">
            <v>0</v>
          </cell>
        </row>
      </sheetData>
      <sheetData sheetId="10598">
        <row r="4">
          <cell r="I4">
            <v>0</v>
          </cell>
        </row>
      </sheetData>
      <sheetData sheetId="10599">
        <row r="4">
          <cell r="I4">
            <v>0</v>
          </cell>
        </row>
      </sheetData>
      <sheetData sheetId="10600">
        <row r="4">
          <cell r="I4">
            <v>0</v>
          </cell>
        </row>
      </sheetData>
      <sheetData sheetId="10601">
        <row r="4">
          <cell r="I4">
            <v>0</v>
          </cell>
        </row>
      </sheetData>
      <sheetData sheetId="10602">
        <row r="4">
          <cell r="I4">
            <v>0</v>
          </cell>
        </row>
      </sheetData>
      <sheetData sheetId="10603">
        <row r="4">
          <cell r="I4">
            <v>0</v>
          </cell>
        </row>
      </sheetData>
      <sheetData sheetId="10604">
        <row r="4">
          <cell r="I4">
            <v>0</v>
          </cell>
        </row>
      </sheetData>
      <sheetData sheetId="10605">
        <row r="4">
          <cell r="I4">
            <v>0</v>
          </cell>
        </row>
      </sheetData>
      <sheetData sheetId="10606">
        <row r="4">
          <cell r="I4">
            <v>0</v>
          </cell>
        </row>
      </sheetData>
      <sheetData sheetId="10607">
        <row r="4">
          <cell r="I4">
            <v>0</v>
          </cell>
        </row>
      </sheetData>
      <sheetData sheetId="10608">
        <row r="4">
          <cell r="I4">
            <v>0</v>
          </cell>
        </row>
      </sheetData>
      <sheetData sheetId="10609">
        <row r="4">
          <cell r="I4">
            <v>0</v>
          </cell>
        </row>
      </sheetData>
      <sheetData sheetId="10610">
        <row r="4">
          <cell r="I4">
            <v>0</v>
          </cell>
        </row>
      </sheetData>
      <sheetData sheetId="10611">
        <row r="4">
          <cell r="I4">
            <v>0</v>
          </cell>
        </row>
      </sheetData>
      <sheetData sheetId="10612">
        <row r="4">
          <cell r="I4">
            <v>0</v>
          </cell>
        </row>
      </sheetData>
      <sheetData sheetId="10613">
        <row r="4">
          <cell r="I4">
            <v>0</v>
          </cell>
        </row>
      </sheetData>
      <sheetData sheetId="10614">
        <row r="4">
          <cell r="I4">
            <v>0</v>
          </cell>
        </row>
      </sheetData>
      <sheetData sheetId="10615">
        <row r="4">
          <cell r="I4">
            <v>0</v>
          </cell>
        </row>
      </sheetData>
      <sheetData sheetId="10616">
        <row r="4">
          <cell r="I4">
            <v>0</v>
          </cell>
        </row>
      </sheetData>
      <sheetData sheetId="10617">
        <row r="4">
          <cell r="I4">
            <v>0</v>
          </cell>
        </row>
      </sheetData>
      <sheetData sheetId="10618">
        <row r="4">
          <cell r="I4">
            <v>0</v>
          </cell>
        </row>
      </sheetData>
      <sheetData sheetId="10619">
        <row r="4">
          <cell r="I4">
            <v>0</v>
          </cell>
        </row>
      </sheetData>
      <sheetData sheetId="10620">
        <row r="4">
          <cell r="I4">
            <v>0</v>
          </cell>
        </row>
      </sheetData>
      <sheetData sheetId="10621">
        <row r="4">
          <cell r="I4">
            <v>0</v>
          </cell>
        </row>
      </sheetData>
      <sheetData sheetId="10622">
        <row r="4">
          <cell r="I4">
            <v>0</v>
          </cell>
        </row>
      </sheetData>
      <sheetData sheetId="10623">
        <row r="4">
          <cell r="I4">
            <v>0</v>
          </cell>
        </row>
      </sheetData>
      <sheetData sheetId="10624">
        <row r="4">
          <cell r="I4">
            <v>0</v>
          </cell>
        </row>
      </sheetData>
      <sheetData sheetId="10625">
        <row r="4">
          <cell r="I4">
            <v>0</v>
          </cell>
        </row>
      </sheetData>
      <sheetData sheetId="10626">
        <row r="4">
          <cell r="I4">
            <v>0</v>
          </cell>
        </row>
      </sheetData>
      <sheetData sheetId="10627">
        <row r="4">
          <cell r="I4">
            <v>0</v>
          </cell>
        </row>
      </sheetData>
      <sheetData sheetId="10628">
        <row r="4">
          <cell r="I4">
            <v>0</v>
          </cell>
        </row>
      </sheetData>
      <sheetData sheetId="10629">
        <row r="4">
          <cell r="I4">
            <v>0</v>
          </cell>
        </row>
      </sheetData>
      <sheetData sheetId="10630">
        <row r="4">
          <cell r="I4">
            <v>0</v>
          </cell>
        </row>
      </sheetData>
      <sheetData sheetId="10631">
        <row r="4">
          <cell r="I4">
            <v>0</v>
          </cell>
        </row>
      </sheetData>
      <sheetData sheetId="10632">
        <row r="4">
          <cell r="I4">
            <v>0</v>
          </cell>
        </row>
      </sheetData>
      <sheetData sheetId="10633">
        <row r="4">
          <cell r="I4">
            <v>0</v>
          </cell>
        </row>
      </sheetData>
      <sheetData sheetId="10634">
        <row r="4">
          <cell r="I4">
            <v>0</v>
          </cell>
        </row>
      </sheetData>
      <sheetData sheetId="10635">
        <row r="4">
          <cell r="I4">
            <v>0</v>
          </cell>
        </row>
      </sheetData>
      <sheetData sheetId="10636">
        <row r="4">
          <cell r="I4">
            <v>0</v>
          </cell>
        </row>
      </sheetData>
      <sheetData sheetId="10637">
        <row r="4">
          <cell r="I4">
            <v>0</v>
          </cell>
        </row>
      </sheetData>
      <sheetData sheetId="10638">
        <row r="4">
          <cell r="I4">
            <v>0</v>
          </cell>
        </row>
      </sheetData>
      <sheetData sheetId="10639">
        <row r="4">
          <cell r="I4">
            <v>0</v>
          </cell>
        </row>
      </sheetData>
      <sheetData sheetId="10640">
        <row r="4">
          <cell r="I4">
            <v>0</v>
          </cell>
        </row>
      </sheetData>
      <sheetData sheetId="10641">
        <row r="4">
          <cell r="I4">
            <v>0</v>
          </cell>
        </row>
      </sheetData>
      <sheetData sheetId="10642">
        <row r="4">
          <cell r="I4">
            <v>0</v>
          </cell>
        </row>
      </sheetData>
      <sheetData sheetId="10643">
        <row r="4">
          <cell r="I4">
            <v>0</v>
          </cell>
        </row>
      </sheetData>
      <sheetData sheetId="10644">
        <row r="4">
          <cell r="I4">
            <v>0</v>
          </cell>
        </row>
      </sheetData>
      <sheetData sheetId="10645">
        <row r="4">
          <cell r="I4">
            <v>0</v>
          </cell>
        </row>
      </sheetData>
      <sheetData sheetId="10646">
        <row r="4">
          <cell r="I4">
            <v>0</v>
          </cell>
        </row>
      </sheetData>
      <sheetData sheetId="10647">
        <row r="4">
          <cell r="I4">
            <v>0</v>
          </cell>
        </row>
      </sheetData>
      <sheetData sheetId="10648">
        <row r="4">
          <cell r="I4">
            <v>0</v>
          </cell>
        </row>
      </sheetData>
      <sheetData sheetId="10649">
        <row r="4">
          <cell r="I4">
            <v>0</v>
          </cell>
        </row>
      </sheetData>
      <sheetData sheetId="10650">
        <row r="4">
          <cell r="I4">
            <v>0</v>
          </cell>
        </row>
      </sheetData>
      <sheetData sheetId="10651">
        <row r="4">
          <cell r="I4">
            <v>0</v>
          </cell>
        </row>
      </sheetData>
      <sheetData sheetId="10652">
        <row r="4">
          <cell r="I4">
            <v>0</v>
          </cell>
        </row>
      </sheetData>
      <sheetData sheetId="10653">
        <row r="4">
          <cell r="I4">
            <v>0</v>
          </cell>
        </row>
      </sheetData>
      <sheetData sheetId="10654">
        <row r="4">
          <cell r="I4">
            <v>0</v>
          </cell>
        </row>
      </sheetData>
      <sheetData sheetId="10655">
        <row r="4">
          <cell r="I4">
            <v>0</v>
          </cell>
        </row>
      </sheetData>
      <sheetData sheetId="10656">
        <row r="4">
          <cell r="I4">
            <v>0</v>
          </cell>
        </row>
      </sheetData>
      <sheetData sheetId="10657">
        <row r="4">
          <cell r="I4">
            <v>0</v>
          </cell>
        </row>
      </sheetData>
      <sheetData sheetId="10658">
        <row r="4">
          <cell r="I4">
            <v>0</v>
          </cell>
        </row>
      </sheetData>
      <sheetData sheetId="10659">
        <row r="4">
          <cell r="I4">
            <v>0</v>
          </cell>
        </row>
      </sheetData>
      <sheetData sheetId="10660">
        <row r="4">
          <cell r="I4">
            <v>0</v>
          </cell>
        </row>
      </sheetData>
      <sheetData sheetId="10661">
        <row r="4">
          <cell r="I4">
            <v>0</v>
          </cell>
        </row>
      </sheetData>
      <sheetData sheetId="10662">
        <row r="4">
          <cell r="I4">
            <v>0</v>
          </cell>
        </row>
      </sheetData>
      <sheetData sheetId="10663">
        <row r="4">
          <cell r="I4">
            <v>0</v>
          </cell>
        </row>
      </sheetData>
      <sheetData sheetId="10664">
        <row r="4">
          <cell r="I4">
            <v>0</v>
          </cell>
        </row>
      </sheetData>
      <sheetData sheetId="10665">
        <row r="4">
          <cell r="I4">
            <v>0</v>
          </cell>
        </row>
      </sheetData>
      <sheetData sheetId="10666">
        <row r="4">
          <cell r="I4">
            <v>0</v>
          </cell>
        </row>
      </sheetData>
      <sheetData sheetId="10667">
        <row r="4">
          <cell r="I4">
            <v>0</v>
          </cell>
        </row>
      </sheetData>
      <sheetData sheetId="10668">
        <row r="4">
          <cell r="I4">
            <v>0</v>
          </cell>
        </row>
      </sheetData>
      <sheetData sheetId="10669">
        <row r="4">
          <cell r="I4">
            <v>0</v>
          </cell>
        </row>
      </sheetData>
      <sheetData sheetId="10670">
        <row r="4">
          <cell r="I4">
            <v>0</v>
          </cell>
        </row>
      </sheetData>
      <sheetData sheetId="10671">
        <row r="4">
          <cell r="I4">
            <v>0</v>
          </cell>
        </row>
      </sheetData>
      <sheetData sheetId="10672">
        <row r="4">
          <cell r="I4">
            <v>0</v>
          </cell>
        </row>
      </sheetData>
      <sheetData sheetId="10673">
        <row r="4">
          <cell r="I4">
            <v>0</v>
          </cell>
        </row>
      </sheetData>
      <sheetData sheetId="10674">
        <row r="4">
          <cell r="I4">
            <v>0</v>
          </cell>
        </row>
      </sheetData>
      <sheetData sheetId="10675">
        <row r="4">
          <cell r="I4">
            <v>0</v>
          </cell>
        </row>
      </sheetData>
      <sheetData sheetId="10676">
        <row r="4">
          <cell r="I4">
            <v>0</v>
          </cell>
        </row>
      </sheetData>
      <sheetData sheetId="10677">
        <row r="4">
          <cell r="I4">
            <v>0</v>
          </cell>
        </row>
      </sheetData>
      <sheetData sheetId="10678">
        <row r="4">
          <cell r="I4">
            <v>0</v>
          </cell>
        </row>
      </sheetData>
      <sheetData sheetId="10679">
        <row r="4">
          <cell r="I4">
            <v>0</v>
          </cell>
        </row>
      </sheetData>
      <sheetData sheetId="10680">
        <row r="4">
          <cell r="I4">
            <v>0</v>
          </cell>
        </row>
      </sheetData>
      <sheetData sheetId="10681">
        <row r="4">
          <cell r="I4">
            <v>0</v>
          </cell>
        </row>
      </sheetData>
      <sheetData sheetId="10682">
        <row r="4">
          <cell r="I4">
            <v>0</v>
          </cell>
        </row>
      </sheetData>
      <sheetData sheetId="10683">
        <row r="4">
          <cell r="I4">
            <v>0</v>
          </cell>
        </row>
      </sheetData>
      <sheetData sheetId="10684">
        <row r="4">
          <cell r="I4">
            <v>0</v>
          </cell>
        </row>
      </sheetData>
      <sheetData sheetId="10685">
        <row r="4">
          <cell r="I4">
            <v>0</v>
          </cell>
        </row>
      </sheetData>
      <sheetData sheetId="10686">
        <row r="4">
          <cell r="I4">
            <v>0</v>
          </cell>
        </row>
      </sheetData>
      <sheetData sheetId="10687">
        <row r="4">
          <cell r="I4">
            <v>0</v>
          </cell>
        </row>
      </sheetData>
      <sheetData sheetId="10688">
        <row r="4">
          <cell r="I4">
            <v>0</v>
          </cell>
        </row>
      </sheetData>
      <sheetData sheetId="10689">
        <row r="4">
          <cell r="I4">
            <v>0</v>
          </cell>
        </row>
      </sheetData>
      <sheetData sheetId="10690">
        <row r="4">
          <cell r="I4">
            <v>0</v>
          </cell>
        </row>
      </sheetData>
      <sheetData sheetId="10691">
        <row r="4">
          <cell r="I4">
            <v>0</v>
          </cell>
        </row>
      </sheetData>
      <sheetData sheetId="10692">
        <row r="4">
          <cell r="I4">
            <v>0</v>
          </cell>
        </row>
      </sheetData>
      <sheetData sheetId="10693">
        <row r="4">
          <cell r="I4">
            <v>0</v>
          </cell>
        </row>
      </sheetData>
      <sheetData sheetId="10694">
        <row r="4">
          <cell r="I4">
            <v>0</v>
          </cell>
        </row>
      </sheetData>
      <sheetData sheetId="10695">
        <row r="4">
          <cell r="I4">
            <v>0</v>
          </cell>
        </row>
      </sheetData>
      <sheetData sheetId="10696">
        <row r="4">
          <cell r="I4">
            <v>0</v>
          </cell>
        </row>
      </sheetData>
      <sheetData sheetId="10697">
        <row r="4">
          <cell r="I4">
            <v>0</v>
          </cell>
        </row>
      </sheetData>
      <sheetData sheetId="10698">
        <row r="4">
          <cell r="I4">
            <v>0</v>
          </cell>
        </row>
      </sheetData>
      <sheetData sheetId="10699">
        <row r="4">
          <cell r="I4">
            <v>0</v>
          </cell>
        </row>
      </sheetData>
      <sheetData sheetId="10700">
        <row r="4">
          <cell r="I4">
            <v>0</v>
          </cell>
        </row>
      </sheetData>
      <sheetData sheetId="10701">
        <row r="4">
          <cell r="I4">
            <v>0</v>
          </cell>
        </row>
      </sheetData>
      <sheetData sheetId="10702">
        <row r="4">
          <cell r="I4">
            <v>0</v>
          </cell>
        </row>
      </sheetData>
      <sheetData sheetId="10703">
        <row r="4">
          <cell r="I4">
            <v>0</v>
          </cell>
        </row>
      </sheetData>
      <sheetData sheetId="10704">
        <row r="4">
          <cell r="I4">
            <v>0</v>
          </cell>
        </row>
      </sheetData>
      <sheetData sheetId="10705">
        <row r="4">
          <cell r="I4">
            <v>0</v>
          </cell>
        </row>
      </sheetData>
      <sheetData sheetId="10706">
        <row r="4">
          <cell r="I4">
            <v>0</v>
          </cell>
        </row>
      </sheetData>
      <sheetData sheetId="10707">
        <row r="4">
          <cell r="I4">
            <v>0</v>
          </cell>
        </row>
      </sheetData>
      <sheetData sheetId="10708">
        <row r="4">
          <cell r="I4">
            <v>0</v>
          </cell>
        </row>
      </sheetData>
      <sheetData sheetId="10709">
        <row r="4">
          <cell r="I4">
            <v>0</v>
          </cell>
        </row>
      </sheetData>
      <sheetData sheetId="10710">
        <row r="4">
          <cell r="I4">
            <v>0</v>
          </cell>
        </row>
      </sheetData>
      <sheetData sheetId="10711">
        <row r="4">
          <cell r="I4">
            <v>0</v>
          </cell>
        </row>
      </sheetData>
      <sheetData sheetId="10712">
        <row r="4">
          <cell r="I4">
            <v>0</v>
          </cell>
        </row>
      </sheetData>
      <sheetData sheetId="10713">
        <row r="4">
          <cell r="I4">
            <v>0</v>
          </cell>
        </row>
      </sheetData>
      <sheetData sheetId="10714">
        <row r="4">
          <cell r="I4">
            <v>0</v>
          </cell>
        </row>
      </sheetData>
      <sheetData sheetId="10715">
        <row r="4">
          <cell r="I4">
            <v>0</v>
          </cell>
        </row>
      </sheetData>
      <sheetData sheetId="10716">
        <row r="4">
          <cell r="I4">
            <v>0</v>
          </cell>
        </row>
      </sheetData>
      <sheetData sheetId="10717">
        <row r="4">
          <cell r="I4">
            <v>0</v>
          </cell>
        </row>
      </sheetData>
      <sheetData sheetId="10718">
        <row r="4">
          <cell r="I4">
            <v>0</v>
          </cell>
        </row>
      </sheetData>
      <sheetData sheetId="10719">
        <row r="4">
          <cell r="I4">
            <v>0</v>
          </cell>
        </row>
      </sheetData>
      <sheetData sheetId="10720">
        <row r="4">
          <cell r="I4">
            <v>0</v>
          </cell>
        </row>
      </sheetData>
      <sheetData sheetId="10721">
        <row r="4">
          <cell r="I4">
            <v>0</v>
          </cell>
        </row>
      </sheetData>
      <sheetData sheetId="10722">
        <row r="4">
          <cell r="I4">
            <v>0</v>
          </cell>
        </row>
      </sheetData>
      <sheetData sheetId="10723">
        <row r="4">
          <cell r="I4">
            <v>0</v>
          </cell>
        </row>
      </sheetData>
      <sheetData sheetId="10724">
        <row r="4">
          <cell r="I4">
            <v>0</v>
          </cell>
        </row>
      </sheetData>
      <sheetData sheetId="10725">
        <row r="4">
          <cell r="I4">
            <v>0</v>
          </cell>
        </row>
      </sheetData>
      <sheetData sheetId="10726">
        <row r="4">
          <cell r="I4">
            <v>0</v>
          </cell>
        </row>
      </sheetData>
      <sheetData sheetId="10727">
        <row r="4">
          <cell r="I4">
            <v>0</v>
          </cell>
        </row>
      </sheetData>
      <sheetData sheetId="10728">
        <row r="4">
          <cell r="I4">
            <v>0</v>
          </cell>
        </row>
      </sheetData>
      <sheetData sheetId="10729">
        <row r="4">
          <cell r="I4">
            <v>0</v>
          </cell>
        </row>
      </sheetData>
      <sheetData sheetId="10730">
        <row r="4">
          <cell r="I4">
            <v>0</v>
          </cell>
        </row>
      </sheetData>
      <sheetData sheetId="10731">
        <row r="4">
          <cell r="I4">
            <v>0</v>
          </cell>
        </row>
      </sheetData>
      <sheetData sheetId="10732">
        <row r="4">
          <cell r="I4">
            <v>0</v>
          </cell>
        </row>
      </sheetData>
      <sheetData sheetId="10733">
        <row r="4">
          <cell r="I4">
            <v>0</v>
          </cell>
        </row>
      </sheetData>
      <sheetData sheetId="10734">
        <row r="4">
          <cell r="I4">
            <v>0</v>
          </cell>
        </row>
      </sheetData>
      <sheetData sheetId="10735">
        <row r="4">
          <cell r="I4">
            <v>0</v>
          </cell>
        </row>
      </sheetData>
      <sheetData sheetId="10736">
        <row r="4">
          <cell r="I4">
            <v>0</v>
          </cell>
        </row>
      </sheetData>
      <sheetData sheetId="10737">
        <row r="4">
          <cell r="I4">
            <v>0</v>
          </cell>
        </row>
      </sheetData>
      <sheetData sheetId="10738">
        <row r="4">
          <cell r="I4">
            <v>0</v>
          </cell>
        </row>
      </sheetData>
      <sheetData sheetId="10739">
        <row r="4">
          <cell r="I4">
            <v>0</v>
          </cell>
        </row>
      </sheetData>
      <sheetData sheetId="10740">
        <row r="4">
          <cell r="I4">
            <v>0</v>
          </cell>
        </row>
      </sheetData>
      <sheetData sheetId="10741">
        <row r="4">
          <cell r="I4">
            <v>0</v>
          </cell>
        </row>
      </sheetData>
      <sheetData sheetId="10742">
        <row r="4">
          <cell r="I4">
            <v>0</v>
          </cell>
        </row>
      </sheetData>
      <sheetData sheetId="10743">
        <row r="4">
          <cell r="I4">
            <v>0</v>
          </cell>
        </row>
      </sheetData>
      <sheetData sheetId="10744">
        <row r="4">
          <cell r="I4">
            <v>0</v>
          </cell>
        </row>
      </sheetData>
      <sheetData sheetId="10745">
        <row r="4">
          <cell r="I4">
            <v>0</v>
          </cell>
        </row>
      </sheetData>
      <sheetData sheetId="10746">
        <row r="4">
          <cell r="I4">
            <v>0</v>
          </cell>
        </row>
      </sheetData>
      <sheetData sheetId="10747">
        <row r="4">
          <cell r="I4">
            <v>0</v>
          </cell>
        </row>
      </sheetData>
      <sheetData sheetId="10748">
        <row r="4">
          <cell r="I4">
            <v>0</v>
          </cell>
        </row>
      </sheetData>
      <sheetData sheetId="10749">
        <row r="4">
          <cell r="I4">
            <v>0</v>
          </cell>
        </row>
      </sheetData>
      <sheetData sheetId="10750">
        <row r="4">
          <cell r="I4">
            <v>0</v>
          </cell>
        </row>
      </sheetData>
      <sheetData sheetId="10751">
        <row r="4">
          <cell r="I4">
            <v>0</v>
          </cell>
        </row>
      </sheetData>
      <sheetData sheetId="10752">
        <row r="4">
          <cell r="I4">
            <v>0</v>
          </cell>
        </row>
      </sheetData>
      <sheetData sheetId="10753">
        <row r="4">
          <cell r="I4">
            <v>0</v>
          </cell>
        </row>
      </sheetData>
      <sheetData sheetId="10754">
        <row r="4">
          <cell r="I4">
            <v>0</v>
          </cell>
        </row>
      </sheetData>
      <sheetData sheetId="10755">
        <row r="4">
          <cell r="I4">
            <v>0</v>
          </cell>
        </row>
      </sheetData>
      <sheetData sheetId="10756" refreshError="1"/>
      <sheetData sheetId="10757">
        <row r="4">
          <cell r="I4">
            <v>0</v>
          </cell>
        </row>
      </sheetData>
      <sheetData sheetId="10758">
        <row r="4">
          <cell r="I4">
            <v>0</v>
          </cell>
        </row>
      </sheetData>
      <sheetData sheetId="10759" refreshError="1"/>
      <sheetData sheetId="10760">
        <row r="4">
          <cell r="I4">
            <v>0</v>
          </cell>
        </row>
      </sheetData>
      <sheetData sheetId="10761" refreshError="1"/>
      <sheetData sheetId="10762" refreshError="1"/>
      <sheetData sheetId="10763" refreshError="1"/>
      <sheetData sheetId="10764">
        <row r="4">
          <cell r="I4">
            <v>0</v>
          </cell>
        </row>
      </sheetData>
      <sheetData sheetId="10765">
        <row r="4">
          <cell r="I4">
            <v>0</v>
          </cell>
        </row>
      </sheetData>
      <sheetData sheetId="10766">
        <row r="4">
          <cell r="I4">
            <v>0</v>
          </cell>
        </row>
      </sheetData>
      <sheetData sheetId="10767">
        <row r="4">
          <cell r="I4">
            <v>0</v>
          </cell>
        </row>
      </sheetData>
      <sheetData sheetId="10768">
        <row r="4">
          <cell r="I4">
            <v>0</v>
          </cell>
        </row>
      </sheetData>
      <sheetData sheetId="10769">
        <row r="4">
          <cell r="I4">
            <v>0</v>
          </cell>
        </row>
      </sheetData>
      <sheetData sheetId="10770">
        <row r="4">
          <cell r="I4">
            <v>0</v>
          </cell>
        </row>
      </sheetData>
      <sheetData sheetId="10771">
        <row r="4">
          <cell r="I4">
            <v>0</v>
          </cell>
        </row>
      </sheetData>
      <sheetData sheetId="10772">
        <row r="4">
          <cell r="I4">
            <v>0</v>
          </cell>
        </row>
      </sheetData>
      <sheetData sheetId="10773">
        <row r="4">
          <cell r="I4">
            <v>0</v>
          </cell>
        </row>
      </sheetData>
      <sheetData sheetId="10774">
        <row r="4">
          <cell r="I4">
            <v>0</v>
          </cell>
        </row>
      </sheetData>
      <sheetData sheetId="10775">
        <row r="4">
          <cell r="I4">
            <v>0</v>
          </cell>
        </row>
      </sheetData>
      <sheetData sheetId="10776">
        <row r="4">
          <cell r="I4">
            <v>0</v>
          </cell>
        </row>
      </sheetData>
      <sheetData sheetId="10777">
        <row r="4">
          <cell r="I4">
            <v>0</v>
          </cell>
        </row>
      </sheetData>
      <sheetData sheetId="10778">
        <row r="4">
          <cell r="I4">
            <v>0</v>
          </cell>
        </row>
      </sheetData>
      <sheetData sheetId="10779">
        <row r="4">
          <cell r="I4">
            <v>0</v>
          </cell>
        </row>
      </sheetData>
      <sheetData sheetId="10780">
        <row r="4">
          <cell r="I4">
            <v>0</v>
          </cell>
        </row>
      </sheetData>
      <sheetData sheetId="10781">
        <row r="4">
          <cell r="I4">
            <v>0</v>
          </cell>
        </row>
      </sheetData>
      <sheetData sheetId="10782">
        <row r="4">
          <cell r="I4">
            <v>0</v>
          </cell>
        </row>
      </sheetData>
      <sheetData sheetId="10783">
        <row r="4">
          <cell r="I4">
            <v>0</v>
          </cell>
        </row>
      </sheetData>
      <sheetData sheetId="10784">
        <row r="4">
          <cell r="I4">
            <v>0</v>
          </cell>
        </row>
      </sheetData>
      <sheetData sheetId="10785">
        <row r="4">
          <cell r="I4">
            <v>0</v>
          </cell>
        </row>
      </sheetData>
      <sheetData sheetId="10786">
        <row r="4">
          <cell r="I4">
            <v>0</v>
          </cell>
        </row>
      </sheetData>
      <sheetData sheetId="10787">
        <row r="4">
          <cell r="I4">
            <v>0</v>
          </cell>
        </row>
      </sheetData>
      <sheetData sheetId="10788">
        <row r="4">
          <cell r="I4">
            <v>0</v>
          </cell>
        </row>
      </sheetData>
      <sheetData sheetId="10789">
        <row r="4">
          <cell r="I4">
            <v>0</v>
          </cell>
        </row>
      </sheetData>
      <sheetData sheetId="10790">
        <row r="4">
          <cell r="I4">
            <v>0</v>
          </cell>
        </row>
      </sheetData>
      <sheetData sheetId="10791">
        <row r="4">
          <cell r="I4">
            <v>0</v>
          </cell>
        </row>
      </sheetData>
      <sheetData sheetId="10792">
        <row r="4">
          <cell r="I4">
            <v>0</v>
          </cell>
        </row>
      </sheetData>
      <sheetData sheetId="10793">
        <row r="4">
          <cell r="I4">
            <v>0</v>
          </cell>
        </row>
      </sheetData>
      <sheetData sheetId="10794">
        <row r="4">
          <cell r="I4">
            <v>0</v>
          </cell>
        </row>
      </sheetData>
      <sheetData sheetId="10795">
        <row r="4">
          <cell r="I4">
            <v>0</v>
          </cell>
        </row>
      </sheetData>
      <sheetData sheetId="10796">
        <row r="4">
          <cell r="I4">
            <v>0</v>
          </cell>
        </row>
      </sheetData>
      <sheetData sheetId="10797">
        <row r="4">
          <cell r="I4">
            <v>0</v>
          </cell>
        </row>
      </sheetData>
      <sheetData sheetId="10798">
        <row r="4">
          <cell r="I4">
            <v>0</v>
          </cell>
        </row>
      </sheetData>
      <sheetData sheetId="10799">
        <row r="4">
          <cell r="I4">
            <v>0</v>
          </cell>
        </row>
      </sheetData>
      <sheetData sheetId="10800">
        <row r="4">
          <cell r="I4">
            <v>0</v>
          </cell>
        </row>
      </sheetData>
      <sheetData sheetId="10801">
        <row r="4">
          <cell r="I4">
            <v>0</v>
          </cell>
        </row>
      </sheetData>
      <sheetData sheetId="10802">
        <row r="4">
          <cell r="I4">
            <v>0</v>
          </cell>
        </row>
      </sheetData>
      <sheetData sheetId="10803">
        <row r="4">
          <cell r="I4">
            <v>0</v>
          </cell>
        </row>
      </sheetData>
      <sheetData sheetId="10804" refreshError="1"/>
      <sheetData sheetId="10805" refreshError="1"/>
      <sheetData sheetId="10806" refreshError="1"/>
      <sheetData sheetId="10807" refreshError="1"/>
      <sheetData sheetId="10808" refreshError="1"/>
      <sheetData sheetId="10809">
        <row r="4">
          <cell r="I4">
            <v>0</v>
          </cell>
        </row>
      </sheetData>
      <sheetData sheetId="10810">
        <row r="4">
          <cell r="I4">
            <v>0</v>
          </cell>
        </row>
      </sheetData>
      <sheetData sheetId="10811">
        <row r="4">
          <cell r="I4">
            <v>0</v>
          </cell>
        </row>
      </sheetData>
      <sheetData sheetId="10812">
        <row r="4">
          <cell r="I4">
            <v>0</v>
          </cell>
        </row>
      </sheetData>
      <sheetData sheetId="10813">
        <row r="4">
          <cell r="I4">
            <v>0</v>
          </cell>
        </row>
      </sheetData>
      <sheetData sheetId="10814">
        <row r="4">
          <cell r="I4">
            <v>0</v>
          </cell>
        </row>
      </sheetData>
      <sheetData sheetId="10815">
        <row r="4">
          <cell r="I4">
            <v>0</v>
          </cell>
        </row>
      </sheetData>
      <sheetData sheetId="10816">
        <row r="4">
          <cell r="I4">
            <v>0</v>
          </cell>
        </row>
      </sheetData>
      <sheetData sheetId="10817">
        <row r="4">
          <cell r="I4">
            <v>0</v>
          </cell>
        </row>
      </sheetData>
      <sheetData sheetId="10818">
        <row r="4">
          <cell r="I4">
            <v>0</v>
          </cell>
        </row>
      </sheetData>
      <sheetData sheetId="10819">
        <row r="4">
          <cell r="I4">
            <v>0</v>
          </cell>
        </row>
      </sheetData>
      <sheetData sheetId="10820">
        <row r="4">
          <cell r="I4">
            <v>0</v>
          </cell>
        </row>
      </sheetData>
      <sheetData sheetId="10821">
        <row r="4">
          <cell r="I4">
            <v>0</v>
          </cell>
        </row>
      </sheetData>
      <sheetData sheetId="10822">
        <row r="4">
          <cell r="I4">
            <v>0</v>
          </cell>
        </row>
      </sheetData>
      <sheetData sheetId="10823">
        <row r="4">
          <cell r="I4">
            <v>0</v>
          </cell>
        </row>
      </sheetData>
      <sheetData sheetId="10824">
        <row r="4">
          <cell r="I4">
            <v>0</v>
          </cell>
        </row>
      </sheetData>
      <sheetData sheetId="10825">
        <row r="4">
          <cell r="I4">
            <v>0</v>
          </cell>
        </row>
      </sheetData>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ow r="4">
          <cell r="I4">
            <v>0</v>
          </cell>
        </row>
      </sheetData>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ow r="4">
          <cell r="I4">
            <v>0</v>
          </cell>
        </row>
      </sheetData>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ow r="4">
          <cell r="I4">
            <v>0</v>
          </cell>
        </row>
      </sheetData>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sheetData sheetId="11002"/>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sheetData sheetId="11020">
        <row r="4">
          <cell r="I4">
            <v>0</v>
          </cell>
        </row>
      </sheetData>
      <sheetData sheetId="11021" refreshError="1"/>
      <sheetData sheetId="11022" refreshError="1"/>
      <sheetData sheetId="11023" refreshError="1"/>
      <sheetData sheetId="11024" refreshError="1"/>
      <sheetData sheetId="11025" refreshError="1"/>
      <sheetData sheetId="11026"/>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ow r="4">
          <cell r="I4">
            <v>0</v>
          </cell>
        </row>
      </sheetData>
      <sheetData sheetId="11040">
        <row r="4">
          <cell r="I4">
            <v>0</v>
          </cell>
        </row>
      </sheetData>
      <sheetData sheetId="11041">
        <row r="4">
          <cell r="I4">
            <v>0</v>
          </cell>
        </row>
      </sheetData>
      <sheetData sheetId="11042">
        <row r="4">
          <cell r="I4">
            <v>0</v>
          </cell>
        </row>
      </sheetData>
      <sheetData sheetId="11043">
        <row r="4">
          <cell r="I4">
            <v>0</v>
          </cell>
        </row>
      </sheetData>
      <sheetData sheetId="11044">
        <row r="4">
          <cell r="I4">
            <v>0</v>
          </cell>
        </row>
      </sheetData>
      <sheetData sheetId="11045">
        <row r="4">
          <cell r="I4">
            <v>0</v>
          </cell>
        </row>
      </sheetData>
      <sheetData sheetId="11046">
        <row r="4">
          <cell r="I4">
            <v>0</v>
          </cell>
        </row>
      </sheetData>
      <sheetData sheetId="11047">
        <row r="4">
          <cell r="I4">
            <v>0</v>
          </cell>
        </row>
      </sheetData>
      <sheetData sheetId="11048">
        <row r="4">
          <cell r="I4">
            <v>0</v>
          </cell>
        </row>
      </sheetData>
      <sheetData sheetId="11049">
        <row r="4">
          <cell r="I4">
            <v>0</v>
          </cell>
        </row>
      </sheetData>
      <sheetData sheetId="11050">
        <row r="4">
          <cell r="I4">
            <v>0</v>
          </cell>
        </row>
      </sheetData>
      <sheetData sheetId="11051">
        <row r="4">
          <cell r="I4">
            <v>0</v>
          </cell>
        </row>
      </sheetData>
      <sheetData sheetId="11052">
        <row r="4">
          <cell r="I4">
            <v>0</v>
          </cell>
        </row>
      </sheetData>
      <sheetData sheetId="11053">
        <row r="4">
          <cell r="I4">
            <v>0</v>
          </cell>
        </row>
      </sheetData>
      <sheetData sheetId="11054">
        <row r="4">
          <cell r="I4">
            <v>0</v>
          </cell>
        </row>
      </sheetData>
      <sheetData sheetId="11055">
        <row r="4">
          <cell r="I4">
            <v>0</v>
          </cell>
        </row>
      </sheetData>
      <sheetData sheetId="11056">
        <row r="4">
          <cell r="I4">
            <v>0</v>
          </cell>
        </row>
      </sheetData>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sheetData sheetId="11065"/>
      <sheetData sheetId="11066"/>
      <sheetData sheetId="11067" refreshError="1"/>
      <sheetData sheetId="11068">
        <row r="4">
          <cell r="I4">
            <v>0</v>
          </cell>
        </row>
      </sheetData>
      <sheetData sheetId="11069">
        <row r="4">
          <cell r="I4">
            <v>0</v>
          </cell>
        </row>
      </sheetData>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sheetData sheetId="11079" refreshError="1"/>
      <sheetData sheetId="11080"/>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sheetData sheetId="11103"/>
      <sheetData sheetId="11104" refreshError="1"/>
      <sheetData sheetId="11105" refreshError="1"/>
      <sheetData sheetId="11106" refreshError="1"/>
      <sheetData sheetId="11107" refreshError="1"/>
      <sheetData sheetId="11108" refreshError="1"/>
      <sheetData sheetId="11109" refreshError="1"/>
      <sheetData sheetId="11110">
        <row r="4">
          <cell r="I4">
            <v>0</v>
          </cell>
        </row>
      </sheetData>
      <sheetData sheetId="11111">
        <row r="4">
          <cell r="I4">
            <v>0</v>
          </cell>
        </row>
      </sheetData>
      <sheetData sheetId="11112" refreshError="1"/>
      <sheetData sheetId="11113"/>
      <sheetData sheetId="11114"/>
      <sheetData sheetId="11115"/>
      <sheetData sheetId="11116"/>
      <sheetData sheetId="11117" refreshError="1"/>
      <sheetData sheetId="11118" refreshError="1"/>
      <sheetData sheetId="11119"/>
      <sheetData sheetId="11120" refreshError="1"/>
      <sheetData sheetId="11121"/>
      <sheetData sheetId="11122">
        <row r="4">
          <cell r="I4">
            <v>0</v>
          </cell>
        </row>
      </sheetData>
      <sheetData sheetId="11123">
        <row r="4">
          <cell r="I4">
            <v>0</v>
          </cell>
        </row>
      </sheetData>
      <sheetData sheetId="11124">
        <row r="4">
          <cell r="I4">
            <v>0</v>
          </cell>
        </row>
      </sheetData>
      <sheetData sheetId="11125"/>
      <sheetData sheetId="11126" refreshError="1"/>
      <sheetData sheetId="11127"/>
      <sheetData sheetId="11128"/>
      <sheetData sheetId="11129">
        <row r="4">
          <cell r="I4">
            <v>0</v>
          </cell>
        </row>
      </sheetData>
      <sheetData sheetId="11130"/>
      <sheetData sheetId="11131"/>
      <sheetData sheetId="11132"/>
      <sheetData sheetId="11133"/>
      <sheetData sheetId="11134"/>
      <sheetData sheetId="11135"/>
      <sheetData sheetId="11136"/>
      <sheetData sheetId="11137"/>
      <sheetData sheetId="11138" refreshError="1"/>
      <sheetData sheetId="11139"/>
      <sheetData sheetId="11140" refreshError="1"/>
      <sheetData sheetId="11141" refreshError="1"/>
      <sheetData sheetId="11142"/>
      <sheetData sheetId="11143"/>
      <sheetData sheetId="11144"/>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sheetData sheetId="11157" refreshError="1"/>
      <sheetData sheetId="11158" refreshError="1"/>
      <sheetData sheetId="11159" refreshError="1"/>
      <sheetData sheetId="11160"/>
      <sheetData sheetId="11161" refreshError="1"/>
      <sheetData sheetId="11162" refreshError="1"/>
      <sheetData sheetId="11163" refreshError="1"/>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row r="4">
          <cell r="I4">
            <v>0</v>
          </cell>
        </row>
      </sheetData>
      <sheetData sheetId="11178"/>
      <sheetData sheetId="11179"/>
      <sheetData sheetId="11180"/>
      <sheetData sheetId="11181"/>
      <sheetData sheetId="11182"/>
      <sheetData sheetId="11183"/>
      <sheetData sheetId="11184"/>
      <sheetData sheetId="11185"/>
      <sheetData sheetId="11186" refreshError="1"/>
      <sheetData sheetId="11187" refreshError="1"/>
      <sheetData sheetId="11188" refreshError="1"/>
      <sheetData sheetId="11189" refreshError="1"/>
      <sheetData sheetId="11190" refreshError="1"/>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row r="4">
          <cell r="I4">
            <v>0</v>
          </cell>
        </row>
      </sheetData>
      <sheetData sheetId="11206">
        <row r="4">
          <cell r="I4">
            <v>0</v>
          </cell>
        </row>
      </sheetData>
      <sheetData sheetId="11207"/>
      <sheetData sheetId="11208"/>
      <sheetData sheetId="11209"/>
      <sheetData sheetId="11210"/>
      <sheetData sheetId="11211"/>
      <sheetData sheetId="11212"/>
      <sheetData sheetId="11213"/>
      <sheetData sheetId="11214"/>
      <sheetData sheetId="11215"/>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ow r="4">
          <cell r="I4">
            <v>0</v>
          </cell>
        </row>
      </sheetData>
      <sheetData sheetId="11244">
        <row r="4">
          <cell r="I4">
            <v>0</v>
          </cell>
        </row>
      </sheetData>
      <sheetData sheetId="11245">
        <row r="4">
          <cell r="I4">
            <v>0</v>
          </cell>
        </row>
      </sheetData>
      <sheetData sheetId="11246">
        <row r="4">
          <cell r="I4">
            <v>0</v>
          </cell>
        </row>
      </sheetData>
      <sheetData sheetId="11247">
        <row r="4">
          <cell r="I4">
            <v>0</v>
          </cell>
        </row>
      </sheetData>
      <sheetData sheetId="11248">
        <row r="4">
          <cell r="I4">
            <v>0</v>
          </cell>
        </row>
      </sheetData>
      <sheetData sheetId="11249">
        <row r="4">
          <cell r="I4">
            <v>0</v>
          </cell>
        </row>
      </sheetData>
      <sheetData sheetId="11250">
        <row r="4">
          <cell r="I4">
            <v>0</v>
          </cell>
        </row>
      </sheetData>
      <sheetData sheetId="11251">
        <row r="4">
          <cell r="I4">
            <v>0</v>
          </cell>
        </row>
      </sheetData>
      <sheetData sheetId="11252">
        <row r="4">
          <cell r="I4">
            <v>0</v>
          </cell>
        </row>
      </sheetData>
      <sheetData sheetId="11253">
        <row r="4">
          <cell r="I4">
            <v>0</v>
          </cell>
        </row>
      </sheetData>
      <sheetData sheetId="11254">
        <row r="4">
          <cell r="I4">
            <v>0</v>
          </cell>
        </row>
      </sheetData>
      <sheetData sheetId="11255">
        <row r="4">
          <cell r="I4">
            <v>0</v>
          </cell>
        </row>
      </sheetData>
      <sheetData sheetId="11256">
        <row r="4">
          <cell r="I4">
            <v>0</v>
          </cell>
        </row>
      </sheetData>
      <sheetData sheetId="11257">
        <row r="4">
          <cell r="I4">
            <v>0</v>
          </cell>
        </row>
      </sheetData>
      <sheetData sheetId="11258">
        <row r="4">
          <cell r="I4">
            <v>0</v>
          </cell>
        </row>
      </sheetData>
      <sheetData sheetId="11259">
        <row r="4">
          <cell r="I4">
            <v>0</v>
          </cell>
        </row>
      </sheetData>
      <sheetData sheetId="11260">
        <row r="4">
          <cell r="I4">
            <v>0</v>
          </cell>
        </row>
      </sheetData>
      <sheetData sheetId="11261">
        <row r="4">
          <cell r="I4">
            <v>0</v>
          </cell>
        </row>
      </sheetData>
      <sheetData sheetId="11262"/>
      <sheetData sheetId="11263"/>
      <sheetData sheetId="11264"/>
      <sheetData sheetId="11265"/>
      <sheetData sheetId="11266"/>
      <sheetData sheetId="11267" refreshError="1"/>
      <sheetData sheetId="11268" refreshError="1"/>
      <sheetData sheetId="11269" refreshError="1"/>
      <sheetData sheetId="11270" refreshError="1"/>
      <sheetData sheetId="11271" refreshError="1"/>
      <sheetData sheetId="11272" refreshError="1"/>
      <sheetData sheetId="11273"/>
      <sheetData sheetId="11274"/>
      <sheetData sheetId="11275"/>
      <sheetData sheetId="11276"/>
      <sheetData sheetId="11277"/>
      <sheetData sheetId="11278"/>
      <sheetData sheetId="11279">
        <row r="4">
          <cell r="I4">
            <v>0</v>
          </cell>
        </row>
      </sheetData>
      <sheetData sheetId="11280">
        <row r="4">
          <cell r="I4">
            <v>0</v>
          </cell>
        </row>
      </sheetData>
      <sheetData sheetId="11281">
        <row r="4">
          <cell r="I4">
            <v>0</v>
          </cell>
        </row>
      </sheetData>
      <sheetData sheetId="11282"/>
      <sheetData sheetId="11283"/>
      <sheetData sheetId="11284"/>
      <sheetData sheetId="11285"/>
      <sheetData sheetId="11286"/>
      <sheetData sheetId="11287"/>
      <sheetData sheetId="11288"/>
      <sheetData sheetId="11289"/>
      <sheetData sheetId="11290"/>
      <sheetData sheetId="11291" refreshError="1"/>
      <sheetData sheetId="11292"/>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sheetData sheetId="11306"/>
      <sheetData sheetId="11307"/>
      <sheetData sheetId="11308" refreshError="1"/>
      <sheetData sheetId="11309" refreshError="1"/>
      <sheetData sheetId="11310" refreshError="1"/>
      <sheetData sheetId="11311" refreshError="1"/>
      <sheetData sheetId="11312"/>
      <sheetData sheetId="11313">
        <row r="4">
          <cell r="I4">
            <v>0</v>
          </cell>
        </row>
      </sheetData>
      <sheetData sheetId="11314">
        <row r="4">
          <cell r="I4">
            <v>0</v>
          </cell>
        </row>
      </sheetData>
      <sheetData sheetId="11315">
        <row r="4">
          <cell r="I4">
            <v>0</v>
          </cell>
        </row>
      </sheetData>
      <sheetData sheetId="11316">
        <row r="4">
          <cell r="I4">
            <v>0</v>
          </cell>
        </row>
      </sheetData>
      <sheetData sheetId="11317">
        <row r="4">
          <cell r="I4">
            <v>0</v>
          </cell>
        </row>
      </sheetData>
      <sheetData sheetId="11318">
        <row r="4">
          <cell r="I4">
            <v>0</v>
          </cell>
        </row>
      </sheetData>
      <sheetData sheetId="11319">
        <row r="4">
          <cell r="I4">
            <v>0</v>
          </cell>
        </row>
      </sheetData>
      <sheetData sheetId="11320" refreshError="1"/>
      <sheetData sheetId="11321" refreshError="1"/>
      <sheetData sheetId="11322" refreshError="1"/>
      <sheetData sheetId="11323"/>
      <sheetData sheetId="11324"/>
      <sheetData sheetId="11325"/>
      <sheetData sheetId="11326"/>
      <sheetData sheetId="11327"/>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sheetData sheetId="11349"/>
      <sheetData sheetId="11350"/>
      <sheetData sheetId="11351"/>
      <sheetData sheetId="11352"/>
      <sheetData sheetId="11353"/>
      <sheetData sheetId="11354" refreshError="1"/>
      <sheetData sheetId="11355"/>
      <sheetData sheetId="11356"/>
      <sheetData sheetId="11357"/>
      <sheetData sheetId="11358" refreshError="1"/>
      <sheetData sheetId="11359" refreshError="1"/>
      <sheetData sheetId="11360" refreshError="1"/>
      <sheetData sheetId="11361" refreshError="1"/>
      <sheetData sheetId="11362"/>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ow r="4">
          <cell r="I4">
            <v>0</v>
          </cell>
        </row>
      </sheetData>
      <sheetData sheetId="11371">
        <row r="4">
          <cell r="I4">
            <v>0</v>
          </cell>
        </row>
      </sheetData>
      <sheetData sheetId="11372">
        <row r="4">
          <cell r="I4">
            <v>0</v>
          </cell>
        </row>
      </sheetData>
      <sheetData sheetId="11373">
        <row r="4">
          <cell r="I4">
            <v>0</v>
          </cell>
        </row>
      </sheetData>
      <sheetData sheetId="11374">
        <row r="4">
          <cell r="I4">
            <v>0</v>
          </cell>
        </row>
      </sheetData>
      <sheetData sheetId="11375">
        <row r="4">
          <cell r="I4">
            <v>0</v>
          </cell>
        </row>
      </sheetData>
      <sheetData sheetId="11376">
        <row r="4">
          <cell r="I4">
            <v>0</v>
          </cell>
        </row>
      </sheetData>
      <sheetData sheetId="11377">
        <row r="4">
          <cell r="I4">
            <v>0</v>
          </cell>
        </row>
      </sheetData>
      <sheetData sheetId="11378">
        <row r="4">
          <cell r="I4">
            <v>0</v>
          </cell>
        </row>
      </sheetData>
      <sheetData sheetId="11379">
        <row r="4">
          <cell r="I4">
            <v>0</v>
          </cell>
        </row>
      </sheetData>
      <sheetData sheetId="11380">
        <row r="4">
          <cell r="I4">
            <v>0</v>
          </cell>
        </row>
      </sheetData>
      <sheetData sheetId="11381">
        <row r="4">
          <cell r="I4">
            <v>0</v>
          </cell>
        </row>
      </sheetData>
      <sheetData sheetId="11382">
        <row r="4">
          <cell r="I4">
            <v>0</v>
          </cell>
        </row>
      </sheetData>
      <sheetData sheetId="11383">
        <row r="4">
          <cell r="I4">
            <v>0</v>
          </cell>
        </row>
      </sheetData>
      <sheetData sheetId="11384">
        <row r="4">
          <cell r="I4">
            <v>0</v>
          </cell>
        </row>
      </sheetData>
      <sheetData sheetId="11385">
        <row r="4">
          <cell r="I4">
            <v>0</v>
          </cell>
        </row>
      </sheetData>
      <sheetData sheetId="11386">
        <row r="4">
          <cell r="I4">
            <v>0</v>
          </cell>
        </row>
      </sheetData>
      <sheetData sheetId="11387">
        <row r="4">
          <cell r="I4">
            <v>0</v>
          </cell>
        </row>
      </sheetData>
      <sheetData sheetId="11388">
        <row r="4">
          <cell r="I4">
            <v>0</v>
          </cell>
        </row>
      </sheetData>
      <sheetData sheetId="11389">
        <row r="4">
          <cell r="I4">
            <v>0</v>
          </cell>
        </row>
      </sheetData>
      <sheetData sheetId="11390">
        <row r="4">
          <cell r="I4">
            <v>0</v>
          </cell>
        </row>
      </sheetData>
      <sheetData sheetId="11391">
        <row r="4">
          <cell r="I4">
            <v>0</v>
          </cell>
        </row>
      </sheetData>
      <sheetData sheetId="11392">
        <row r="4">
          <cell r="I4">
            <v>0</v>
          </cell>
        </row>
      </sheetData>
      <sheetData sheetId="11393">
        <row r="4">
          <cell r="I4">
            <v>0</v>
          </cell>
        </row>
      </sheetData>
      <sheetData sheetId="11394">
        <row r="4">
          <cell r="I4">
            <v>0</v>
          </cell>
        </row>
      </sheetData>
      <sheetData sheetId="11395">
        <row r="4">
          <cell r="I4">
            <v>0</v>
          </cell>
        </row>
      </sheetData>
      <sheetData sheetId="11396">
        <row r="4">
          <cell r="I4">
            <v>0</v>
          </cell>
        </row>
      </sheetData>
      <sheetData sheetId="11397">
        <row r="4">
          <cell r="I4">
            <v>0</v>
          </cell>
        </row>
      </sheetData>
      <sheetData sheetId="11398">
        <row r="4">
          <cell r="I4">
            <v>0</v>
          </cell>
        </row>
      </sheetData>
      <sheetData sheetId="11399">
        <row r="4">
          <cell r="I4">
            <v>0</v>
          </cell>
        </row>
      </sheetData>
      <sheetData sheetId="11400">
        <row r="4">
          <cell r="I4">
            <v>0</v>
          </cell>
        </row>
      </sheetData>
      <sheetData sheetId="11401">
        <row r="4">
          <cell r="I4">
            <v>0</v>
          </cell>
        </row>
      </sheetData>
      <sheetData sheetId="11402">
        <row r="4">
          <cell r="I4">
            <v>0</v>
          </cell>
        </row>
      </sheetData>
      <sheetData sheetId="11403">
        <row r="4">
          <cell r="I4">
            <v>0</v>
          </cell>
        </row>
      </sheetData>
      <sheetData sheetId="11404">
        <row r="4">
          <cell r="I4">
            <v>0</v>
          </cell>
        </row>
      </sheetData>
      <sheetData sheetId="11405">
        <row r="4">
          <cell r="I4">
            <v>0</v>
          </cell>
        </row>
      </sheetData>
      <sheetData sheetId="11406">
        <row r="4">
          <cell r="I4">
            <v>0</v>
          </cell>
        </row>
      </sheetData>
      <sheetData sheetId="11407">
        <row r="4">
          <cell r="I4">
            <v>0</v>
          </cell>
        </row>
      </sheetData>
      <sheetData sheetId="11408">
        <row r="4">
          <cell r="I4">
            <v>0</v>
          </cell>
        </row>
      </sheetData>
      <sheetData sheetId="11409">
        <row r="4">
          <cell r="I4">
            <v>0</v>
          </cell>
        </row>
      </sheetData>
      <sheetData sheetId="11410">
        <row r="4">
          <cell r="I4">
            <v>0</v>
          </cell>
        </row>
      </sheetData>
      <sheetData sheetId="11411">
        <row r="4">
          <cell r="I4">
            <v>0</v>
          </cell>
        </row>
      </sheetData>
      <sheetData sheetId="11412">
        <row r="4">
          <cell r="I4">
            <v>0</v>
          </cell>
        </row>
      </sheetData>
      <sheetData sheetId="11413">
        <row r="4">
          <cell r="I4">
            <v>0</v>
          </cell>
        </row>
      </sheetData>
      <sheetData sheetId="11414">
        <row r="4">
          <cell r="I4">
            <v>0</v>
          </cell>
        </row>
      </sheetData>
      <sheetData sheetId="11415">
        <row r="4">
          <cell r="I4">
            <v>0</v>
          </cell>
        </row>
      </sheetData>
      <sheetData sheetId="11416"/>
      <sheetData sheetId="11417">
        <row r="4">
          <cell r="I4">
            <v>0</v>
          </cell>
        </row>
      </sheetData>
      <sheetData sheetId="11418">
        <row r="4">
          <cell r="I4">
            <v>0</v>
          </cell>
        </row>
      </sheetData>
      <sheetData sheetId="11419">
        <row r="4">
          <cell r="I4">
            <v>0</v>
          </cell>
        </row>
      </sheetData>
      <sheetData sheetId="11420" refreshError="1"/>
      <sheetData sheetId="11421" refreshError="1"/>
      <sheetData sheetId="11422">
        <row r="4">
          <cell r="I4">
            <v>0</v>
          </cell>
        </row>
      </sheetData>
      <sheetData sheetId="11423" refreshError="1"/>
      <sheetData sheetId="11424" refreshError="1"/>
      <sheetData sheetId="11425" refreshError="1"/>
      <sheetData sheetId="11426">
        <row r="4">
          <cell r="I4">
            <v>0</v>
          </cell>
        </row>
      </sheetData>
      <sheetData sheetId="11427">
        <row r="4">
          <cell r="I4">
            <v>0</v>
          </cell>
        </row>
      </sheetData>
      <sheetData sheetId="11428">
        <row r="4">
          <cell r="I4">
            <v>0</v>
          </cell>
        </row>
      </sheetData>
      <sheetData sheetId="11429">
        <row r="4">
          <cell r="I4">
            <v>0</v>
          </cell>
        </row>
      </sheetData>
      <sheetData sheetId="11430">
        <row r="4">
          <cell r="I4">
            <v>0</v>
          </cell>
        </row>
      </sheetData>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sheetData sheetId="11440"/>
      <sheetData sheetId="11441"/>
      <sheetData sheetId="11442"/>
      <sheetData sheetId="11443"/>
      <sheetData sheetId="11444"/>
      <sheetData sheetId="11445"/>
      <sheetData sheetId="11446" refreshError="1"/>
      <sheetData sheetId="11447">
        <row r="4">
          <cell r="I4">
            <v>0</v>
          </cell>
        </row>
      </sheetData>
      <sheetData sheetId="11448" refreshError="1"/>
      <sheetData sheetId="11449"/>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ow r="4">
          <cell r="I4">
            <v>0</v>
          </cell>
        </row>
      </sheetData>
      <sheetData sheetId="11582">
        <row r="4">
          <cell r="I4">
            <v>0</v>
          </cell>
        </row>
      </sheetData>
      <sheetData sheetId="11583">
        <row r="4">
          <cell r="I4">
            <v>0</v>
          </cell>
        </row>
      </sheetData>
      <sheetData sheetId="11584">
        <row r="4">
          <cell r="I4">
            <v>0</v>
          </cell>
        </row>
      </sheetData>
      <sheetData sheetId="11585">
        <row r="4">
          <cell r="I4">
            <v>0</v>
          </cell>
        </row>
      </sheetData>
      <sheetData sheetId="11586">
        <row r="4">
          <cell r="I4">
            <v>0</v>
          </cell>
        </row>
      </sheetData>
      <sheetData sheetId="11587">
        <row r="4">
          <cell r="I4">
            <v>0</v>
          </cell>
        </row>
      </sheetData>
      <sheetData sheetId="11588">
        <row r="4">
          <cell r="I4">
            <v>0</v>
          </cell>
        </row>
      </sheetData>
      <sheetData sheetId="11589">
        <row r="4">
          <cell r="I4">
            <v>0</v>
          </cell>
        </row>
      </sheetData>
      <sheetData sheetId="11590">
        <row r="4">
          <cell r="I4">
            <v>0</v>
          </cell>
        </row>
      </sheetData>
      <sheetData sheetId="11591">
        <row r="4">
          <cell r="I4">
            <v>0</v>
          </cell>
        </row>
      </sheetData>
      <sheetData sheetId="11592">
        <row r="4">
          <cell r="I4">
            <v>0</v>
          </cell>
        </row>
      </sheetData>
      <sheetData sheetId="11593">
        <row r="4">
          <cell r="I4">
            <v>0</v>
          </cell>
        </row>
      </sheetData>
      <sheetData sheetId="11594">
        <row r="4">
          <cell r="I4">
            <v>0</v>
          </cell>
        </row>
      </sheetData>
      <sheetData sheetId="11595">
        <row r="4">
          <cell r="I4">
            <v>0</v>
          </cell>
        </row>
      </sheetData>
      <sheetData sheetId="11596">
        <row r="4">
          <cell r="I4">
            <v>0</v>
          </cell>
        </row>
      </sheetData>
      <sheetData sheetId="11597">
        <row r="4">
          <cell r="I4">
            <v>0</v>
          </cell>
        </row>
      </sheetData>
      <sheetData sheetId="11598">
        <row r="4">
          <cell r="I4">
            <v>0</v>
          </cell>
        </row>
      </sheetData>
      <sheetData sheetId="11599">
        <row r="4">
          <cell r="I4">
            <v>0</v>
          </cell>
        </row>
      </sheetData>
      <sheetData sheetId="11600">
        <row r="4">
          <cell r="I4">
            <v>0</v>
          </cell>
        </row>
      </sheetData>
      <sheetData sheetId="11601">
        <row r="4">
          <cell r="I4">
            <v>0</v>
          </cell>
        </row>
      </sheetData>
      <sheetData sheetId="11602">
        <row r="4">
          <cell r="I4">
            <v>0</v>
          </cell>
        </row>
      </sheetData>
      <sheetData sheetId="11603">
        <row r="4">
          <cell r="I4">
            <v>0</v>
          </cell>
        </row>
      </sheetData>
      <sheetData sheetId="11604">
        <row r="4">
          <cell r="I4">
            <v>0</v>
          </cell>
        </row>
      </sheetData>
      <sheetData sheetId="11605">
        <row r="4">
          <cell r="I4">
            <v>0</v>
          </cell>
        </row>
      </sheetData>
      <sheetData sheetId="11606">
        <row r="4">
          <cell r="I4">
            <v>0</v>
          </cell>
        </row>
      </sheetData>
      <sheetData sheetId="11607">
        <row r="4">
          <cell r="I4">
            <v>0</v>
          </cell>
        </row>
      </sheetData>
      <sheetData sheetId="11608">
        <row r="4">
          <cell r="I4">
            <v>0</v>
          </cell>
        </row>
      </sheetData>
      <sheetData sheetId="11609">
        <row r="4">
          <cell r="I4">
            <v>0</v>
          </cell>
        </row>
      </sheetData>
      <sheetData sheetId="11610">
        <row r="4">
          <cell r="I4">
            <v>0</v>
          </cell>
        </row>
      </sheetData>
      <sheetData sheetId="11611">
        <row r="4">
          <cell r="I4">
            <v>0</v>
          </cell>
        </row>
      </sheetData>
      <sheetData sheetId="11612">
        <row r="4">
          <cell r="I4">
            <v>0</v>
          </cell>
        </row>
      </sheetData>
      <sheetData sheetId="11613">
        <row r="4">
          <cell r="I4">
            <v>0</v>
          </cell>
        </row>
      </sheetData>
      <sheetData sheetId="11614">
        <row r="4">
          <cell r="I4">
            <v>0</v>
          </cell>
        </row>
      </sheetData>
      <sheetData sheetId="11615">
        <row r="4">
          <cell r="I4">
            <v>0</v>
          </cell>
        </row>
      </sheetData>
      <sheetData sheetId="11616">
        <row r="4">
          <cell r="I4">
            <v>0</v>
          </cell>
        </row>
      </sheetData>
      <sheetData sheetId="11617">
        <row r="4">
          <cell r="I4">
            <v>0</v>
          </cell>
        </row>
      </sheetData>
      <sheetData sheetId="11618">
        <row r="4">
          <cell r="I4">
            <v>0</v>
          </cell>
        </row>
      </sheetData>
      <sheetData sheetId="11619">
        <row r="4">
          <cell r="I4">
            <v>0</v>
          </cell>
        </row>
      </sheetData>
      <sheetData sheetId="11620">
        <row r="4">
          <cell r="I4">
            <v>0</v>
          </cell>
        </row>
      </sheetData>
      <sheetData sheetId="11621">
        <row r="4">
          <cell r="I4">
            <v>0</v>
          </cell>
        </row>
      </sheetData>
      <sheetData sheetId="11622">
        <row r="4">
          <cell r="I4">
            <v>0</v>
          </cell>
        </row>
      </sheetData>
      <sheetData sheetId="11623">
        <row r="4">
          <cell r="I4">
            <v>0</v>
          </cell>
        </row>
      </sheetData>
      <sheetData sheetId="11624">
        <row r="4">
          <cell r="I4">
            <v>0</v>
          </cell>
        </row>
      </sheetData>
      <sheetData sheetId="11625">
        <row r="4">
          <cell r="I4">
            <v>0</v>
          </cell>
        </row>
      </sheetData>
      <sheetData sheetId="11626">
        <row r="4">
          <cell r="I4">
            <v>0</v>
          </cell>
        </row>
      </sheetData>
      <sheetData sheetId="11627">
        <row r="4">
          <cell r="I4">
            <v>0</v>
          </cell>
        </row>
      </sheetData>
      <sheetData sheetId="11628">
        <row r="4">
          <cell r="I4">
            <v>0</v>
          </cell>
        </row>
      </sheetData>
      <sheetData sheetId="11629">
        <row r="4">
          <cell r="I4">
            <v>0</v>
          </cell>
        </row>
      </sheetData>
      <sheetData sheetId="11630">
        <row r="4">
          <cell r="I4">
            <v>0</v>
          </cell>
        </row>
      </sheetData>
      <sheetData sheetId="11631">
        <row r="4">
          <cell r="I4">
            <v>0</v>
          </cell>
        </row>
      </sheetData>
      <sheetData sheetId="11632">
        <row r="4">
          <cell r="I4">
            <v>0</v>
          </cell>
        </row>
      </sheetData>
      <sheetData sheetId="11633">
        <row r="4">
          <cell r="I4">
            <v>0</v>
          </cell>
        </row>
      </sheetData>
      <sheetData sheetId="11634">
        <row r="4">
          <cell r="I4">
            <v>0</v>
          </cell>
        </row>
      </sheetData>
      <sheetData sheetId="11635">
        <row r="4">
          <cell r="I4">
            <v>0</v>
          </cell>
        </row>
      </sheetData>
      <sheetData sheetId="11636">
        <row r="4">
          <cell r="I4">
            <v>0</v>
          </cell>
        </row>
      </sheetData>
      <sheetData sheetId="11637">
        <row r="4">
          <cell r="I4">
            <v>0</v>
          </cell>
        </row>
      </sheetData>
      <sheetData sheetId="11638">
        <row r="4">
          <cell r="I4">
            <v>0</v>
          </cell>
        </row>
      </sheetData>
      <sheetData sheetId="11639">
        <row r="4">
          <cell r="I4">
            <v>0</v>
          </cell>
        </row>
      </sheetData>
      <sheetData sheetId="11640">
        <row r="4">
          <cell r="I4">
            <v>0</v>
          </cell>
        </row>
      </sheetData>
      <sheetData sheetId="11641">
        <row r="4">
          <cell r="I4">
            <v>0</v>
          </cell>
        </row>
      </sheetData>
      <sheetData sheetId="11642">
        <row r="4">
          <cell r="I4">
            <v>0</v>
          </cell>
        </row>
      </sheetData>
      <sheetData sheetId="11643">
        <row r="4">
          <cell r="I4">
            <v>0</v>
          </cell>
        </row>
      </sheetData>
      <sheetData sheetId="11644">
        <row r="4">
          <cell r="I4">
            <v>0</v>
          </cell>
        </row>
      </sheetData>
      <sheetData sheetId="11645">
        <row r="4">
          <cell r="I4">
            <v>0</v>
          </cell>
        </row>
      </sheetData>
      <sheetData sheetId="11646">
        <row r="4">
          <cell r="I4">
            <v>0</v>
          </cell>
        </row>
      </sheetData>
      <sheetData sheetId="11647">
        <row r="4">
          <cell r="I4">
            <v>0</v>
          </cell>
        </row>
      </sheetData>
      <sheetData sheetId="11648">
        <row r="4">
          <cell r="I4">
            <v>0</v>
          </cell>
        </row>
      </sheetData>
      <sheetData sheetId="11649">
        <row r="4">
          <cell r="I4">
            <v>0</v>
          </cell>
        </row>
      </sheetData>
      <sheetData sheetId="11650">
        <row r="4">
          <cell r="I4">
            <v>0</v>
          </cell>
        </row>
      </sheetData>
      <sheetData sheetId="11651">
        <row r="4">
          <cell r="I4">
            <v>0</v>
          </cell>
        </row>
      </sheetData>
      <sheetData sheetId="11652">
        <row r="4">
          <cell r="I4">
            <v>0</v>
          </cell>
        </row>
      </sheetData>
      <sheetData sheetId="11653">
        <row r="4">
          <cell r="I4">
            <v>0</v>
          </cell>
        </row>
      </sheetData>
      <sheetData sheetId="11654">
        <row r="4">
          <cell r="I4">
            <v>0</v>
          </cell>
        </row>
      </sheetData>
      <sheetData sheetId="11655">
        <row r="4">
          <cell r="I4">
            <v>0</v>
          </cell>
        </row>
      </sheetData>
      <sheetData sheetId="11656">
        <row r="4">
          <cell r="I4">
            <v>0</v>
          </cell>
        </row>
      </sheetData>
      <sheetData sheetId="11657">
        <row r="4">
          <cell r="I4">
            <v>0</v>
          </cell>
        </row>
      </sheetData>
      <sheetData sheetId="11658">
        <row r="4">
          <cell r="I4">
            <v>0</v>
          </cell>
        </row>
      </sheetData>
      <sheetData sheetId="11659">
        <row r="4">
          <cell r="I4">
            <v>0</v>
          </cell>
        </row>
      </sheetData>
      <sheetData sheetId="11660">
        <row r="4">
          <cell r="I4">
            <v>0</v>
          </cell>
        </row>
      </sheetData>
      <sheetData sheetId="11661">
        <row r="4">
          <cell r="I4">
            <v>0</v>
          </cell>
        </row>
      </sheetData>
      <sheetData sheetId="11662">
        <row r="4">
          <cell r="I4">
            <v>0</v>
          </cell>
        </row>
      </sheetData>
      <sheetData sheetId="11663">
        <row r="4">
          <cell r="I4">
            <v>0</v>
          </cell>
        </row>
      </sheetData>
      <sheetData sheetId="11664">
        <row r="4">
          <cell r="I4">
            <v>0</v>
          </cell>
        </row>
      </sheetData>
      <sheetData sheetId="11665">
        <row r="4">
          <cell r="I4">
            <v>0</v>
          </cell>
        </row>
      </sheetData>
      <sheetData sheetId="11666">
        <row r="4">
          <cell r="I4">
            <v>0</v>
          </cell>
        </row>
      </sheetData>
      <sheetData sheetId="11667">
        <row r="4">
          <cell r="I4">
            <v>0</v>
          </cell>
        </row>
      </sheetData>
      <sheetData sheetId="11668">
        <row r="4">
          <cell r="I4">
            <v>0</v>
          </cell>
        </row>
      </sheetData>
      <sheetData sheetId="11669">
        <row r="4">
          <cell r="I4">
            <v>0</v>
          </cell>
        </row>
      </sheetData>
      <sheetData sheetId="11670">
        <row r="4">
          <cell r="I4">
            <v>0</v>
          </cell>
        </row>
      </sheetData>
      <sheetData sheetId="11671">
        <row r="4">
          <cell r="I4">
            <v>0</v>
          </cell>
        </row>
      </sheetData>
      <sheetData sheetId="11672">
        <row r="4">
          <cell r="I4">
            <v>0</v>
          </cell>
        </row>
      </sheetData>
      <sheetData sheetId="11673">
        <row r="4">
          <cell r="I4">
            <v>0</v>
          </cell>
        </row>
      </sheetData>
      <sheetData sheetId="11674">
        <row r="4">
          <cell r="I4">
            <v>0</v>
          </cell>
        </row>
      </sheetData>
      <sheetData sheetId="11675">
        <row r="4">
          <cell r="I4">
            <v>0</v>
          </cell>
        </row>
      </sheetData>
      <sheetData sheetId="11676">
        <row r="4">
          <cell r="I4">
            <v>0</v>
          </cell>
        </row>
      </sheetData>
      <sheetData sheetId="11677">
        <row r="4">
          <cell r="I4">
            <v>0</v>
          </cell>
        </row>
      </sheetData>
      <sheetData sheetId="11678">
        <row r="4">
          <cell r="I4">
            <v>0</v>
          </cell>
        </row>
      </sheetData>
      <sheetData sheetId="11679">
        <row r="4">
          <cell r="I4">
            <v>0</v>
          </cell>
        </row>
      </sheetData>
      <sheetData sheetId="11680">
        <row r="4">
          <cell r="I4">
            <v>0</v>
          </cell>
        </row>
      </sheetData>
      <sheetData sheetId="11681">
        <row r="4">
          <cell r="I4">
            <v>0</v>
          </cell>
        </row>
      </sheetData>
      <sheetData sheetId="11682">
        <row r="4">
          <cell r="I4">
            <v>0</v>
          </cell>
        </row>
      </sheetData>
      <sheetData sheetId="11683">
        <row r="4">
          <cell r="I4">
            <v>0</v>
          </cell>
        </row>
      </sheetData>
      <sheetData sheetId="11684">
        <row r="4">
          <cell r="I4">
            <v>0</v>
          </cell>
        </row>
      </sheetData>
      <sheetData sheetId="11685">
        <row r="4">
          <cell r="I4">
            <v>0</v>
          </cell>
        </row>
      </sheetData>
      <sheetData sheetId="11686">
        <row r="4">
          <cell r="I4">
            <v>0</v>
          </cell>
        </row>
      </sheetData>
      <sheetData sheetId="11687">
        <row r="4">
          <cell r="I4">
            <v>0</v>
          </cell>
        </row>
      </sheetData>
      <sheetData sheetId="11688">
        <row r="4">
          <cell r="I4">
            <v>0</v>
          </cell>
        </row>
      </sheetData>
      <sheetData sheetId="11689">
        <row r="4">
          <cell r="I4">
            <v>0</v>
          </cell>
        </row>
      </sheetData>
      <sheetData sheetId="11690">
        <row r="4">
          <cell r="I4">
            <v>0</v>
          </cell>
        </row>
      </sheetData>
      <sheetData sheetId="11691">
        <row r="4">
          <cell r="I4">
            <v>0</v>
          </cell>
        </row>
      </sheetData>
      <sheetData sheetId="11692">
        <row r="4">
          <cell r="I4">
            <v>0</v>
          </cell>
        </row>
      </sheetData>
      <sheetData sheetId="11693">
        <row r="4">
          <cell r="I4">
            <v>0</v>
          </cell>
        </row>
      </sheetData>
      <sheetData sheetId="11694">
        <row r="4">
          <cell r="I4">
            <v>0</v>
          </cell>
        </row>
      </sheetData>
      <sheetData sheetId="11695">
        <row r="4">
          <cell r="I4">
            <v>0</v>
          </cell>
        </row>
      </sheetData>
      <sheetData sheetId="11696">
        <row r="4">
          <cell r="I4">
            <v>0</v>
          </cell>
        </row>
      </sheetData>
      <sheetData sheetId="11697">
        <row r="4">
          <cell r="I4">
            <v>0</v>
          </cell>
        </row>
      </sheetData>
      <sheetData sheetId="11698">
        <row r="4">
          <cell r="I4">
            <v>0</v>
          </cell>
        </row>
      </sheetData>
      <sheetData sheetId="11699">
        <row r="4">
          <cell r="I4">
            <v>0</v>
          </cell>
        </row>
      </sheetData>
      <sheetData sheetId="11700">
        <row r="4">
          <cell r="I4">
            <v>0</v>
          </cell>
        </row>
      </sheetData>
      <sheetData sheetId="11701">
        <row r="4">
          <cell r="I4">
            <v>0</v>
          </cell>
        </row>
      </sheetData>
      <sheetData sheetId="11702">
        <row r="4">
          <cell r="I4">
            <v>0</v>
          </cell>
        </row>
      </sheetData>
      <sheetData sheetId="11703">
        <row r="4">
          <cell r="I4">
            <v>0</v>
          </cell>
        </row>
      </sheetData>
      <sheetData sheetId="11704">
        <row r="4">
          <cell r="I4">
            <v>0</v>
          </cell>
        </row>
      </sheetData>
      <sheetData sheetId="11705">
        <row r="4">
          <cell r="I4">
            <v>0</v>
          </cell>
        </row>
      </sheetData>
      <sheetData sheetId="11706">
        <row r="4">
          <cell r="I4">
            <v>0</v>
          </cell>
        </row>
      </sheetData>
      <sheetData sheetId="11707">
        <row r="4">
          <cell r="I4">
            <v>0</v>
          </cell>
        </row>
      </sheetData>
      <sheetData sheetId="11708">
        <row r="4">
          <cell r="I4">
            <v>0</v>
          </cell>
        </row>
      </sheetData>
      <sheetData sheetId="11709">
        <row r="4">
          <cell r="I4">
            <v>0</v>
          </cell>
        </row>
      </sheetData>
      <sheetData sheetId="11710">
        <row r="4">
          <cell r="I4">
            <v>0</v>
          </cell>
        </row>
      </sheetData>
      <sheetData sheetId="11711">
        <row r="4">
          <cell r="I4">
            <v>0</v>
          </cell>
        </row>
      </sheetData>
      <sheetData sheetId="11712">
        <row r="4">
          <cell r="I4">
            <v>0</v>
          </cell>
        </row>
      </sheetData>
      <sheetData sheetId="11713">
        <row r="4">
          <cell r="I4">
            <v>0</v>
          </cell>
        </row>
      </sheetData>
      <sheetData sheetId="11714">
        <row r="4">
          <cell r="I4">
            <v>0</v>
          </cell>
        </row>
      </sheetData>
      <sheetData sheetId="11715">
        <row r="4">
          <cell r="I4">
            <v>0</v>
          </cell>
        </row>
      </sheetData>
      <sheetData sheetId="11716">
        <row r="4">
          <cell r="I4">
            <v>0</v>
          </cell>
        </row>
      </sheetData>
      <sheetData sheetId="11717">
        <row r="4">
          <cell r="I4">
            <v>0</v>
          </cell>
        </row>
      </sheetData>
      <sheetData sheetId="11718">
        <row r="4">
          <cell r="I4">
            <v>0</v>
          </cell>
        </row>
      </sheetData>
      <sheetData sheetId="11719">
        <row r="4">
          <cell r="I4">
            <v>0</v>
          </cell>
        </row>
      </sheetData>
      <sheetData sheetId="11720">
        <row r="4">
          <cell r="I4">
            <v>0</v>
          </cell>
        </row>
      </sheetData>
      <sheetData sheetId="11721">
        <row r="4">
          <cell r="I4">
            <v>0</v>
          </cell>
        </row>
      </sheetData>
      <sheetData sheetId="11722">
        <row r="4">
          <cell r="I4">
            <v>0</v>
          </cell>
        </row>
      </sheetData>
      <sheetData sheetId="11723">
        <row r="4">
          <cell r="I4">
            <v>0</v>
          </cell>
        </row>
      </sheetData>
      <sheetData sheetId="11724">
        <row r="4">
          <cell r="I4">
            <v>0</v>
          </cell>
        </row>
      </sheetData>
      <sheetData sheetId="11725">
        <row r="4">
          <cell r="I4">
            <v>0</v>
          </cell>
        </row>
      </sheetData>
      <sheetData sheetId="11726">
        <row r="4">
          <cell r="I4">
            <v>0</v>
          </cell>
        </row>
      </sheetData>
      <sheetData sheetId="11727">
        <row r="4">
          <cell r="I4">
            <v>0</v>
          </cell>
        </row>
      </sheetData>
      <sheetData sheetId="11728">
        <row r="4">
          <cell r="I4">
            <v>0</v>
          </cell>
        </row>
      </sheetData>
      <sheetData sheetId="11729">
        <row r="4">
          <cell r="I4">
            <v>0</v>
          </cell>
        </row>
      </sheetData>
      <sheetData sheetId="11730">
        <row r="4">
          <cell r="I4">
            <v>0</v>
          </cell>
        </row>
      </sheetData>
      <sheetData sheetId="11731">
        <row r="4">
          <cell r="I4">
            <v>0</v>
          </cell>
        </row>
      </sheetData>
      <sheetData sheetId="11732">
        <row r="4">
          <cell r="I4">
            <v>0</v>
          </cell>
        </row>
      </sheetData>
      <sheetData sheetId="11733">
        <row r="4">
          <cell r="I4">
            <v>0</v>
          </cell>
        </row>
      </sheetData>
      <sheetData sheetId="11734">
        <row r="4">
          <cell r="I4">
            <v>0</v>
          </cell>
        </row>
      </sheetData>
      <sheetData sheetId="11735">
        <row r="4">
          <cell r="I4">
            <v>0</v>
          </cell>
        </row>
      </sheetData>
      <sheetData sheetId="11736">
        <row r="4">
          <cell r="I4">
            <v>0</v>
          </cell>
        </row>
      </sheetData>
      <sheetData sheetId="11737">
        <row r="4">
          <cell r="I4">
            <v>0</v>
          </cell>
        </row>
      </sheetData>
      <sheetData sheetId="11738"/>
      <sheetData sheetId="11739">
        <row r="4">
          <cell r="I4">
            <v>0</v>
          </cell>
        </row>
      </sheetData>
      <sheetData sheetId="11740">
        <row r="4">
          <cell r="I4">
            <v>0</v>
          </cell>
        </row>
      </sheetData>
      <sheetData sheetId="11741">
        <row r="4">
          <cell r="I4">
            <v>0</v>
          </cell>
        </row>
      </sheetData>
      <sheetData sheetId="11742">
        <row r="4">
          <cell r="I4">
            <v>0</v>
          </cell>
        </row>
      </sheetData>
      <sheetData sheetId="11743">
        <row r="4">
          <cell r="I4">
            <v>0</v>
          </cell>
        </row>
      </sheetData>
      <sheetData sheetId="11744">
        <row r="4">
          <cell r="I4">
            <v>0</v>
          </cell>
        </row>
      </sheetData>
      <sheetData sheetId="11745">
        <row r="4">
          <cell r="I4">
            <v>0</v>
          </cell>
        </row>
      </sheetData>
      <sheetData sheetId="11746">
        <row r="4">
          <cell r="I4">
            <v>0</v>
          </cell>
        </row>
      </sheetData>
      <sheetData sheetId="11747">
        <row r="4">
          <cell r="I4">
            <v>0</v>
          </cell>
        </row>
      </sheetData>
      <sheetData sheetId="11748">
        <row r="4">
          <cell r="I4">
            <v>0</v>
          </cell>
        </row>
      </sheetData>
      <sheetData sheetId="11749">
        <row r="4">
          <cell r="I4">
            <v>0</v>
          </cell>
        </row>
      </sheetData>
      <sheetData sheetId="11750">
        <row r="4">
          <cell r="I4">
            <v>0</v>
          </cell>
        </row>
      </sheetData>
      <sheetData sheetId="11751">
        <row r="4">
          <cell r="I4">
            <v>0</v>
          </cell>
        </row>
      </sheetData>
      <sheetData sheetId="11752">
        <row r="4">
          <cell r="I4">
            <v>0</v>
          </cell>
        </row>
      </sheetData>
      <sheetData sheetId="11753">
        <row r="4">
          <cell r="I4">
            <v>0</v>
          </cell>
        </row>
      </sheetData>
      <sheetData sheetId="11754">
        <row r="4">
          <cell r="I4">
            <v>0</v>
          </cell>
        </row>
      </sheetData>
      <sheetData sheetId="11755">
        <row r="4">
          <cell r="I4">
            <v>0</v>
          </cell>
        </row>
      </sheetData>
      <sheetData sheetId="11756">
        <row r="4">
          <cell r="I4">
            <v>0</v>
          </cell>
        </row>
      </sheetData>
      <sheetData sheetId="11757">
        <row r="4">
          <cell r="I4">
            <v>0</v>
          </cell>
        </row>
      </sheetData>
      <sheetData sheetId="11758">
        <row r="4">
          <cell r="I4">
            <v>0</v>
          </cell>
        </row>
      </sheetData>
      <sheetData sheetId="11759">
        <row r="4">
          <cell r="I4">
            <v>0</v>
          </cell>
        </row>
      </sheetData>
      <sheetData sheetId="11760">
        <row r="4">
          <cell r="I4">
            <v>0</v>
          </cell>
        </row>
      </sheetData>
      <sheetData sheetId="11761">
        <row r="4">
          <cell r="I4">
            <v>0</v>
          </cell>
        </row>
      </sheetData>
      <sheetData sheetId="11762">
        <row r="4">
          <cell r="I4">
            <v>0</v>
          </cell>
        </row>
      </sheetData>
      <sheetData sheetId="11763">
        <row r="4">
          <cell r="I4">
            <v>0</v>
          </cell>
        </row>
      </sheetData>
      <sheetData sheetId="11764">
        <row r="4">
          <cell r="I4">
            <v>0</v>
          </cell>
        </row>
      </sheetData>
      <sheetData sheetId="11765">
        <row r="4">
          <cell r="I4">
            <v>0</v>
          </cell>
        </row>
      </sheetData>
      <sheetData sheetId="11766">
        <row r="4">
          <cell r="I4">
            <v>0</v>
          </cell>
        </row>
      </sheetData>
      <sheetData sheetId="11767">
        <row r="4">
          <cell r="I4">
            <v>0</v>
          </cell>
        </row>
      </sheetData>
      <sheetData sheetId="11768">
        <row r="4">
          <cell r="I4">
            <v>0</v>
          </cell>
        </row>
      </sheetData>
      <sheetData sheetId="11769">
        <row r="4">
          <cell r="I4">
            <v>0</v>
          </cell>
        </row>
      </sheetData>
      <sheetData sheetId="11770">
        <row r="4">
          <cell r="I4">
            <v>0</v>
          </cell>
        </row>
      </sheetData>
      <sheetData sheetId="11771">
        <row r="4">
          <cell r="I4">
            <v>0</v>
          </cell>
        </row>
      </sheetData>
      <sheetData sheetId="11772">
        <row r="4">
          <cell r="I4">
            <v>0</v>
          </cell>
        </row>
      </sheetData>
      <sheetData sheetId="11773">
        <row r="4">
          <cell r="I4">
            <v>0</v>
          </cell>
        </row>
      </sheetData>
      <sheetData sheetId="11774">
        <row r="4">
          <cell r="I4">
            <v>0</v>
          </cell>
        </row>
      </sheetData>
      <sheetData sheetId="11775">
        <row r="4">
          <cell r="I4">
            <v>0</v>
          </cell>
        </row>
      </sheetData>
      <sheetData sheetId="11776">
        <row r="4">
          <cell r="I4">
            <v>0</v>
          </cell>
        </row>
      </sheetData>
      <sheetData sheetId="11777">
        <row r="4">
          <cell r="I4">
            <v>0</v>
          </cell>
        </row>
      </sheetData>
      <sheetData sheetId="11778">
        <row r="4">
          <cell r="I4">
            <v>0</v>
          </cell>
        </row>
      </sheetData>
      <sheetData sheetId="11779">
        <row r="4">
          <cell r="I4">
            <v>0</v>
          </cell>
        </row>
      </sheetData>
      <sheetData sheetId="11780">
        <row r="4">
          <cell r="I4">
            <v>0</v>
          </cell>
        </row>
      </sheetData>
      <sheetData sheetId="11781">
        <row r="4">
          <cell r="I4">
            <v>0</v>
          </cell>
        </row>
      </sheetData>
      <sheetData sheetId="11782">
        <row r="4">
          <cell r="I4">
            <v>0</v>
          </cell>
        </row>
      </sheetData>
      <sheetData sheetId="11783">
        <row r="4">
          <cell r="I4">
            <v>0</v>
          </cell>
        </row>
      </sheetData>
      <sheetData sheetId="11784">
        <row r="4">
          <cell r="I4">
            <v>0</v>
          </cell>
        </row>
      </sheetData>
      <sheetData sheetId="11785">
        <row r="4">
          <cell r="I4">
            <v>0</v>
          </cell>
        </row>
      </sheetData>
      <sheetData sheetId="11786">
        <row r="4">
          <cell r="I4">
            <v>0</v>
          </cell>
        </row>
      </sheetData>
      <sheetData sheetId="11787">
        <row r="4">
          <cell r="I4">
            <v>0</v>
          </cell>
        </row>
      </sheetData>
      <sheetData sheetId="11788">
        <row r="4">
          <cell r="I4">
            <v>0</v>
          </cell>
        </row>
      </sheetData>
      <sheetData sheetId="11789">
        <row r="4">
          <cell r="I4">
            <v>0</v>
          </cell>
        </row>
      </sheetData>
      <sheetData sheetId="11790">
        <row r="4">
          <cell r="I4">
            <v>0</v>
          </cell>
        </row>
      </sheetData>
      <sheetData sheetId="11791">
        <row r="4">
          <cell r="I4">
            <v>0</v>
          </cell>
        </row>
      </sheetData>
      <sheetData sheetId="11792">
        <row r="4">
          <cell r="I4">
            <v>0</v>
          </cell>
        </row>
      </sheetData>
      <sheetData sheetId="11793">
        <row r="4">
          <cell r="I4">
            <v>0</v>
          </cell>
        </row>
      </sheetData>
      <sheetData sheetId="11794">
        <row r="4">
          <cell r="I4">
            <v>0</v>
          </cell>
        </row>
      </sheetData>
      <sheetData sheetId="11795">
        <row r="4">
          <cell r="I4">
            <v>0</v>
          </cell>
        </row>
      </sheetData>
      <sheetData sheetId="11796">
        <row r="4">
          <cell r="I4">
            <v>0</v>
          </cell>
        </row>
      </sheetData>
      <sheetData sheetId="11797">
        <row r="4">
          <cell r="I4">
            <v>0</v>
          </cell>
        </row>
      </sheetData>
      <sheetData sheetId="11798">
        <row r="4">
          <cell r="I4">
            <v>0</v>
          </cell>
        </row>
      </sheetData>
      <sheetData sheetId="11799">
        <row r="4">
          <cell r="I4">
            <v>0</v>
          </cell>
        </row>
      </sheetData>
      <sheetData sheetId="11800">
        <row r="4">
          <cell r="I4">
            <v>0</v>
          </cell>
        </row>
      </sheetData>
      <sheetData sheetId="11801">
        <row r="4">
          <cell r="I4">
            <v>0</v>
          </cell>
        </row>
      </sheetData>
      <sheetData sheetId="11802">
        <row r="4">
          <cell r="I4">
            <v>0</v>
          </cell>
        </row>
      </sheetData>
      <sheetData sheetId="11803">
        <row r="4">
          <cell r="I4">
            <v>0</v>
          </cell>
        </row>
      </sheetData>
      <sheetData sheetId="11804">
        <row r="4">
          <cell r="I4">
            <v>0</v>
          </cell>
        </row>
      </sheetData>
      <sheetData sheetId="11805">
        <row r="4">
          <cell r="I4">
            <v>0</v>
          </cell>
        </row>
      </sheetData>
      <sheetData sheetId="11806">
        <row r="4">
          <cell r="I4">
            <v>0</v>
          </cell>
        </row>
      </sheetData>
      <sheetData sheetId="11807">
        <row r="4">
          <cell r="I4">
            <v>0</v>
          </cell>
        </row>
      </sheetData>
      <sheetData sheetId="11808">
        <row r="4">
          <cell r="I4">
            <v>0</v>
          </cell>
        </row>
      </sheetData>
      <sheetData sheetId="11809">
        <row r="4">
          <cell r="I4">
            <v>0</v>
          </cell>
        </row>
      </sheetData>
      <sheetData sheetId="11810">
        <row r="4">
          <cell r="I4">
            <v>0</v>
          </cell>
        </row>
      </sheetData>
      <sheetData sheetId="11811">
        <row r="4">
          <cell r="I4">
            <v>0</v>
          </cell>
        </row>
      </sheetData>
      <sheetData sheetId="11812">
        <row r="4">
          <cell r="I4">
            <v>0</v>
          </cell>
        </row>
      </sheetData>
      <sheetData sheetId="11813">
        <row r="4">
          <cell r="I4">
            <v>0</v>
          </cell>
        </row>
      </sheetData>
      <sheetData sheetId="11814">
        <row r="4">
          <cell r="I4">
            <v>0</v>
          </cell>
        </row>
      </sheetData>
      <sheetData sheetId="11815">
        <row r="4">
          <cell r="I4">
            <v>0</v>
          </cell>
        </row>
      </sheetData>
      <sheetData sheetId="11816">
        <row r="4">
          <cell r="I4">
            <v>0</v>
          </cell>
        </row>
      </sheetData>
      <sheetData sheetId="11817">
        <row r="4">
          <cell r="I4">
            <v>0</v>
          </cell>
        </row>
      </sheetData>
      <sheetData sheetId="11818">
        <row r="4">
          <cell r="I4">
            <v>0</v>
          </cell>
        </row>
      </sheetData>
      <sheetData sheetId="11819">
        <row r="4">
          <cell r="I4">
            <v>0</v>
          </cell>
        </row>
      </sheetData>
      <sheetData sheetId="11820">
        <row r="4">
          <cell r="I4">
            <v>0</v>
          </cell>
        </row>
      </sheetData>
      <sheetData sheetId="11821">
        <row r="4">
          <cell r="I4">
            <v>0</v>
          </cell>
        </row>
      </sheetData>
      <sheetData sheetId="11822">
        <row r="4">
          <cell r="I4">
            <v>0</v>
          </cell>
        </row>
      </sheetData>
      <sheetData sheetId="11823">
        <row r="4">
          <cell r="I4">
            <v>0</v>
          </cell>
        </row>
      </sheetData>
      <sheetData sheetId="11824">
        <row r="4">
          <cell r="I4">
            <v>0</v>
          </cell>
        </row>
      </sheetData>
      <sheetData sheetId="11825">
        <row r="4">
          <cell r="I4">
            <v>0</v>
          </cell>
        </row>
      </sheetData>
      <sheetData sheetId="11826">
        <row r="4">
          <cell r="I4">
            <v>0</v>
          </cell>
        </row>
      </sheetData>
      <sheetData sheetId="11827">
        <row r="4">
          <cell r="I4">
            <v>0</v>
          </cell>
        </row>
      </sheetData>
      <sheetData sheetId="11828">
        <row r="4">
          <cell r="I4">
            <v>0</v>
          </cell>
        </row>
      </sheetData>
      <sheetData sheetId="11829">
        <row r="4">
          <cell r="I4">
            <v>0</v>
          </cell>
        </row>
      </sheetData>
      <sheetData sheetId="11830">
        <row r="4">
          <cell r="I4">
            <v>0</v>
          </cell>
        </row>
      </sheetData>
      <sheetData sheetId="11831">
        <row r="4">
          <cell r="I4">
            <v>0</v>
          </cell>
        </row>
      </sheetData>
      <sheetData sheetId="11832">
        <row r="4">
          <cell r="I4">
            <v>0</v>
          </cell>
        </row>
      </sheetData>
      <sheetData sheetId="11833">
        <row r="4">
          <cell r="I4">
            <v>0</v>
          </cell>
        </row>
      </sheetData>
      <sheetData sheetId="11834">
        <row r="4">
          <cell r="I4">
            <v>0</v>
          </cell>
        </row>
      </sheetData>
      <sheetData sheetId="11835">
        <row r="4">
          <cell r="I4">
            <v>0</v>
          </cell>
        </row>
      </sheetData>
      <sheetData sheetId="11836">
        <row r="4">
          <cell r="I4">
            <v>0</v>
          </cell>
        </row>
      </sheetData>
      <sheetData sheetId="11837">
        <row r="4">
          <cell r="I4">
            <v>0</v>
          </cell>
        </row>
      </sheetData>
      <sheetData sheetId="11838">
        <row r="4">
          <cell r="I4">
            <v>0</v>
          </cell>
        </row>
      </sheetData>
      <sheetData sheetId="11839">
        <row r="4">
          <cell r="I4">
            <v>0</v>
          </cell>
        </row>
      </sheetData>
      <sheetData sheetId="11840">
        <row r="4">
          <cell r="I4">
            <v>0</v>
          </cell>
        </row>
      </sheetData>
      <sheetData sheetId="11841">
        <row r="4">
          <cell r="I4">
            <v>0</v>
          </cell>
        </row>
      </sheetData>
      <sheetData sheetId="11842">
        <row r="4">
          <cell r="I4">
            <v>0</v>
          </cell>
        </row>
      </sheetData>
      <sheetData sheetId="11843">
        <row r="4">
          <cell r="I4">
            <v>0</v>
          </cell>
        </row>
      </sheetData>
      <sheetData sheetId="11844">
        <row r="4">
          <cell r="I4">
            <v>0</v>
          </cell>
        </row>
      </sheetData>
      <sheetData sheetId="11845">
        <row r="4">
          <cell r="I4">
            <v>0</v>
          </cell>
        </row>
      </sheetData>
      <sheetData sheetId="11846">
        <row r="4">
          <cell r="I4">
            <v>0</v>
          </cell>
        </row>
      </sheetData>
      <sheetData sheetId="11847">
        <row r="4">
          <cell r="I4">
            <v>0</v>
          </cell>
        </row>
      </sheetData>
      <sheetData sheetId="11848">
        <row r="4">
          <cell r="I4">
            <v>0</v>
          </cell>
        </row>
      </sheetData>
      <sheetData sheetId="11849">
        <row r="4">
          <cell r="I4">
            <v>0</v>
          </cell>
        </row>
      </sheetData>
      <sheetData sheetId="11850">
        <row r="4">
          <cell r="I4">
            <v>0</v>
          </cell>
        </row>
      </sheetData>
      <sheetData sheetId="11851">
        <row r="4">
          <cell r="I4">
            <v>0</v>
          </cell>
        </row>
      </sheetData>
      <sheetData sheetId="11852">
        <row r="4">
          <cell r="I4">
            <v>0</v>
          </cell>
        </row>
      </sheetData>
      <sheetData sheetId="11853">
        <row r="4">
          <cell r="I4">
            <v>0</v>
          </cell>
        </row>
      </sheetData>
      <sheetData sheetId="11854">
        <row r="4">
          <cell r="I4">
            <v>0</v>
          </cell>
        </row>
      </sheetData>
      <sheetData sheetId="11855">
        <row r="4">
          <cell r="I4">
            <v>0</v>
          </cell>
        </row>
      </sheetData>
      <sheetData sheetId="11856">
        <row r="4">
          <cell r="I4">
            <v>0</v>
          </cell>
        </row>
      </sheetData>
      <sheetData sheetId="11857">
        <row r="4">
          <cell r="I4">
            <v>0</v>
          </cell>
        </row>
      </sheetData>
      <sheetData sheetId="11858">
        <row r="4">
          <cell r="I4">
            <v>0</v>
          </cell>
        </row>
      </sheetData>
      <sheetData sheetId="11859">
        <row r="4">
          <cell r="I4">
            <v>0</v>
          </cell>
        </row>
      </sheetData>
      <sheetData sheetId="11860">
        <row r="4">
          <cell r="I4">
            <v>0</v>
          </cell>
        </row>
      </sheetData>
      <sheetData sheetId="11861">
        <row r="4">
          <cell r="I4">
            <v>0</v>
          </cell>
        </row>
      </sheetData>
      <sheetData sheetId="11862">
        <row r="4">
          <cell r="I4">
            <v>0</v>
          </cell>
        </row>
      </sheetData>
      <sheetData sheetId="11863">
        <row r="4">
          <cell r="I4">
            <v>0</v>
          </cell>
        </row>
      </sheetData>
      <sheetData sheetId="11864">
        <row r="4">
          <cell r="I4">
            <v>0</v>
          </cell>
        </row>
      </sheetData>
      <sheetData sheetId="11865">
        <row r="4">
          <cell r="I4">
            <v>0</v>
          </cell>
        </row>
      </sheetData>
      <sheetData sheetId="11866">
        <row r="4">
          <cell r="I4">
            <v>0</v>
          </cell>
        </row>
      </sheetData>
      <sheetData sheetId="11867">
        <row r="4">
          <cell r="I4">
            <v>0</v>
          </cell>
        </row>
      </sheetData>
      <sheetData sheetId="11868">
        <row r="4">
          <cell r="I4">
            <v>0</v>
          </cell>
        </row>
      </sheetData>
      <sheetData sheetId="11869">
        <row r="4">
          <cell r="I4">
            <v>0</v>
          </cell>
        </row>
      </sheetData>
      <sheetData sheetId="11870">
        <row r="4">
          <cell r="I4">
            <v>0</v>
          </cell>
        </row>
      </sheetData>
      <sheetData sheetId="11871">
        <row r="4">
          <cell r="I4">
            <v>0</v>
          </cell>
        </row>
      </sheetData>
      <sheetData sheetId="11872">
        <row r="4">
          <cell r="I4">
            <v>0</v>
          </cell>
        </row>
      </sheetData>
      <sheetData sheetId="11873">
        <row r="4">
          <cell r="I4">
            <v>0</v>
          </cell>
        </row>
      </sheetData>
      <sheetData sheetId="11874">
        <row r="4">
          <cell r="I4">
            <v>0</v>
          </cell>
        </row>
      </sheetData>
      <sheetData sheetId="11875">
        <row r="4">
          <cell r="I4">
            <v>0</v>
          </cell>
        </row>
      </sheetData>
      <sheetData sheetId="11876">
        <row r="4">
          <cell r="I4">
            <v>0</v>
          </cell>
        </row>
      </sheetData>
      <sheetData sheetId="11877">
        <row r="4">
          <cell r="I4">
            <v>0</v>
          </cell>
        </row>
      </sheetData>
      <sheetData sheetId="11878">
        <row r="4">
          <cell r="I4">
            <v>0</v>
          </cell>
        </row>
      </sheetData>
      <sheetData sheetId="11879">
        <row r="4">
          <cell r="I4">
            <v>0</v>
          </cell>
        </row>
      </sheetData>
      <sheetData sheetId="11880">
        <row r="4">
          <cell r="I4">
            <v>0</v>
          </cell>
        </row>
      </sheetData>
      <sheetData sheetId="11881">
        <row r="4">
          <cell r="I4">
            <v>0</v>
          </cell>
        </row>
      </sheetData>
      <sheetData sheetId="11882">
        <row r="4">
          <cell r="I4">
            <v>0</v>
          </cell>
        </row>
      </sheetData>
      <sheetData sheetId="11883">
        <row r="4">
          <cell r="I4">
            <v>0</v>
          </cell>
        </row>
      </sheetData>
      <sheetData sheetId="11884">
        <row r="4">
          <cell r="I4">
            <v>0</v>
          </cell>
        </row>
      </sheetData>
      <sheetData sheetId="11885">
        <row r="4">
          <cell r="I4">
            <v>0</v>
          </cell>
        </row>
      </sheetData>
      <sheetData sheetId="11886">
        <row r="4">
          <cell r="I4">
            <v>0</v>
          </cell>
        </row>
      </sheetData>
      <sheetData sheetId="11887">
        <row r="4">
          <cell r="I4">
            <v>0</v>
          </cell>
        </row>
      </sheetData>
      <sheetData sheetId="11888">
        <row r="4">
          <cell r="I4">
            <v>0</v>
          </cell>
        </row>
      </sheetData>
      <sheetData sheetId="11889">
        <row r="4">
          <cell r="I4">
            <v>0</v>
          </cell>
        </row>
      </sheetData>
      <sheetData sheetId="11890">
        <row r="4">
          <cell r="I4">
            <v>0</v>
          </cell>
        </row>
      </sheetData>
      <sheetData sheetId="11891">
        <row r="4">
          <cell r="I4">
            <v>0</v>
          </cell>
        </row>
      </sheetData>
      <sheetData sheetId="11892">
        <row r="4">
          <cell r="I4">
            <v>0</v>
          </cell>
        </row>
      </sheetData>
      <sheetData sheetId="11893">
        <row r="4">
          <cell r="I4">
            <v>0</v>
          </cell>
        </row>
      </sheetData>
      <sheetData sheetId="11894">
        <row r="4">
          <cell r="I4">
            <v>0</v>
          </cell>
        </row>
      </sheetData>
      <sheetData sheetId="11895">
        <row r="4">
          <cell r="I4">
            <v>0</v>
          </cell>
        </row>
      </sheetData>
      <sheetData sheetId="11896">
        <row r="4">
          <cell r="I4">
            <v>0</v>
          </cell>
        </row>
      </sheetData>
      <sheetData sheetId="11897">
        <row r="4">
          <cell r="I4">
            <v>0</v>
          </cell>
        </row>
      </sheetData>
      <sheetData sheetId="11898">
        <row r="4">
          <cell r="I4">
            <v>0</v>
          </cell>
        </row>
      </sheetData>
      <sheetData sheetId="11899">
        <row r="4">
          <cell r="I4">
            <v>0</v>
          </cell>
        </row>
      </sheetData>
      <sheetData sheetId="11900">
        <row r="4">
          <cell r="I4">
            <v>0</v>
          </cell>
        </row>
      </sheetData>
      <sheetData sheetId="11901">
        <row r="4">
          <cell r="I4">
            <v>0</v>
          </cell>
        </row>
      </sheetData>
      <sheetData sheetId="11902">
        <row r="4">
          <cell r="I4">
            <v>0</v>
          </cell>
        </row>
      </sheetData>
      <sheetData sheetId="11903">
        <row r="4">
          <cell r="I4">
            <v>0</v>
          </cell>
        </row>
      </sheetData>
      <sheetData sheetId="11904">
        <row r="4">
          <cell r="I4">
            <v>0</v>
          </cell>
        </row>
      </sheetData>
      <sheetData sheetId="11905">
        <row r="4">
          <cell r="I4">
            <v>0</v>
          </cell>
        </row>
      </sheetData>
      <sheetData sheetId="11906">
        <row r="4">
          <cell r="I4">
            <v>0</v>
          </cell>
        </row>
      </sheetData>
      <sheetData sheetId="11907">
        <row r="4">
          <cell r="I4">
            <v>0</v>
          </cell>
        </row>
      </sheetData>
      <sheetData sheetId="11908">
        <row r="4">
          <cell r="I4">
            <v>0</v>
          </cell>
        </row>
      </sheetData>
      <sheetData sheetId="11909">
        <row r="4">
          <cell r="I4">
            <v>0</v>
          </cell>
        </row>
      </sheetData>
      <sheetData sheetId="11910">
        <row r="4">
          <cell r="I4">
            <v>0</v>
          </cell>
        </row>
      </sheetData>
      <sheetData sheetId="11911">
        <row r="4">
          <cell r="I4">
            <v>0</v>
          </cell>
        </row>
      </sheetData>
      <sheetData sheetId="11912">
        <row r="4">
          <cell r="I4">
            <v>0</v>
          </cell>
        </row>
      </sheetData>
      <sheetData sheetId="11913">
        <row r="4">
          <cell r="I4">
            <v>0</v>
          </cell>
        </row>
      </sheetData>
      <sheetData sheetId="11914">
        <row r="4">
          <cell r="I4">
            <v>0</v>
          </cell>
        </row>
      </sheetData>
      <sheetData sheetId="11915">
        <row r="4">
          <cell r="I4">
            <v>0</v>
          </cell>
        </row>
      </sheetData>
      <sheetData sheetId="11916">
        <row r="4">
          <cell r="I4">
            <v>0</v>
          </cell>
        </row>
      </sheetData>
      <sheetData sheetId="11917">
        <row r="4">
          <cell r="I4">
            <v>0</v>
          </cell>
        </row>
      </sheetData>
      <sheetData sheetId="11918">
        <row r="4">
          <cell r="I4">
            <v>0</v>
          </cell>
        </row>
      </sheetData>
      <sheetData sheetId="11919">
        <row r="4">
          <cell r="I4">
            <v>0</v>
          </cell>
        </row>
      </sheetData>
      <sheetData sheetId="11920">
        <row r="4">
          <cell r="I4">
            <v>0</v>
          </cell>
        </row>
      </sheetData>
      <sheetData sheetId="11921">
        <row r="4">
          <cell r="I4">
            <v>0</v>
          </cell>
        </row>
      </sheetData>
      <sheetData sheetId="11922">
        <row r="4">
          <cell r="I4">
            <v>0</v>
          </cell>
        </row>
      </sheetData>
      <sheetData sheetId="11923">
        <row r="4">
          <cell r="I4">
            <v>0</v>
          </cell>
        </row>
      </sheetData>
      <sheetData sheetId="11924">
        <row r="4">
          <cell r="I4">
            <v>0</v>
          </cell>
        </row>
      </sheetData>
      <sheetData sheetId="11925">
        <row r="4">
          <cell r="I4">
            <v>0</v>
          </cell>
        </row>
      </sheetData>
      <sheetData sheetId="11926">
        <row r="4">
          <cell r="I4">
            <v>0</v>
          </cell>
        </row>
      </sheetData>
      <sheetData sheetId="11927">
        <row r="4">
          <cell r="I4">
            <v>0</v>
          </cell>
        </row>
      </sheetData>
      <sheetData sheetId="11928">
        <row r="4">
          <cell r="I4">
            <v>0</v>
          </cell>
        </row>
      </sheetData>
      <sheetData sheetId="11929">
        <row r="4">
          <cell r="I4">
            <v>0</v>
          </cell>
        </row>
      </sheetData>
      <sheetData sheetId="11930">
        <row r="4">
          <cell r="I4">
            <v>0</v>
          </cell>
        </row>
      </sheetData>
      <sheetData sheetId="11931">
        <row r="4">
          <cell r="I4">
            <v>0</v>
          </cell>
        </row>
      </sheetData>
      <sheetData sheetId="11932">
        <row r="4">
          <cell r="I4">
            <v>0</v>
          </cell>
        </row>
      </sheetData>
      <sheetData sheetId="11933">
        <row r="4">
          <cell r="I4">
            <v>0</v>
          </cell>
        </row>
      </sheetData>
      <sheetData sheetId="11934">
        <row r="4">
          <cell r="I4">
            <v>0</v>
          </cell>
        </row>
      </sheetData>
      <sheetData sheetId="11935">
        <row r="4">
          <cell r="I4">
            <v>0</v>
          </cell>
        </row>
      </sheetData>
      <sheetData sheetId="11936">
        <row r="4">
          <cell r="I4">
            <v>0</v>
          </cell>
        </row>
      </sheetData>
      <sheetData sheetId="11937">
        <row r="4">
          <cell r="I4">
            <v>0</v>
          </cell>
        </row>
      </sheetData>
      <sheetData sheetId="11938">
        <row r="4">
          <cell r="I4">
            <v>0</v>
          </cell>
        </row>
      </sheetData>
      <sheetData sheetId="11939">
        <row r="4">
          <cell r="I4">
            <v>0</v>
          </cell>
        </row>
      </sheetData>
      <sheetData sheetId="11940">
        <row r="4">
          <cell r="I4">
            <v>0</v>
          </cell>
        </row>
      </sheetData>
      <sheetData sheetId="11941">
        <row r="4">
          <cell r="I4">
            <v>0</v>
          </cell>
        </row>
      </sheetData>
      <sheetData sheetId="11942">
        <row r="4">
          <cell r="I4">
            <v>0</v>
          </cell>
        </row>
      </sheetData>
      <sheetData sheetId="11943">
        <row r="4">
          <cell r="I4">
            <v>0</v>
          </cell>
        </row>
      </sheetData>
      <sheetData sheetId="11944">
        <row r="4">
          <cell r="I4">
            <v>0</v>
          </cell>
        </row>
      </sheetData>
      <sheetData sheetId="11945">
        <row r="4">
          <cell r="I4">
            <v>0</v>
          </cell>
        </row>
      </sheetData>
      <sheetData sheetId="11946">
        <row r="4">
          <cell r="I4">
            <v>0</v>
          </cell>
        </row>
      </sheetData>
      <sheetData sheetId="11947">
        <row r="4">
          <cell r="I4">
            <v>0</v>
          </cell>
        </row>
      </sheetData>
      <sheetData sheetId="11948">
        <row r="4">
          <cell r="I4">
            <v>0</v>
          </cell>
        </row>
      </sheetData>
      <sheetData sheetId="11949">
        <row r="4">
          <cell r="I4">
            <v>0</v>
          </cell>
        </row>
      </sheetData>
      <sheetData sheetId="11950">
        <row r="4">
          <cell r="I4">
            <v>0</v>
          </cell>
        </row>
      </sheetData>
      <sheetData sheetId="11951">
        <row r="4">
          <cell r="I4">
            <v>0</v>
          </cell>
        </row>
      </sheetData>
      <sheetData sheetId="11952">
        <row r="4">
          <cell r="I4">
            <v>0</v>
          </cell>
        </row>
      </sheetData>
      <sheetData sheetId="11953">
        <row r="4">
          <cell r="I4">
            <v>0</v>
          </cell>
        </row>
      </sheetData>
      <sheetData sheetId="11954">
        <row r="4">
          <cell r="I4">
            <v>0</v>
          </cell>
        </row>
      </sheetData>
      <sheetData sheetId="11955">
        <row r="4">
          <cell r="I4">
            <v>0</v>
          </cell>
        </row>
      </sheetData>
      <sheetData sheetId="11956">
        <row r="4">
          <cell r="I4">
            <v>0</v>
          </cell>
        </row>
      </sheetData>
      <sheetData sheetId="11957">
        <row r="4">
          <cell r="I4">
            <v>0</v>
          </cell>
        </row>
      </sheetData>
      <sheetData sheetId="11958">
        <row r="4">
          <cell r="I4">
            <v>0</v>
          </cell>
        </row>
      </sheetData>
      <sheetData sheetId="11959">
        <row r="4">
          <cell r="I4">
            <v>0</v>
          </cell>
        </row>
      </sheetData>
      <sheetData sheetId="11960">
        <row r="4">
          <cell r="I4">
            <v>0</v>
          </cell>
        </row>
      </sheetData>
      <sheetData sheetId="11961">
        <row r="4">
          <cell r="I4">
            <v>0</v>
          </cell>
        </row>
      </sheetData>
      <sheetData sheetId="11962">
        <row r="4">
          <cell r="I4">
            <v>0</v>
          </cell>
        </row>
      </sheetData>
      <sheetData sheetId="11963">
        <row r="4">
          <cell r="I4">
            <v>0</v>
          </cell>
        </row>
      </sheetData>
      <sheetData sheetId="11964">
        <row r="4">
          <cell r="I4">
            <v>0</v>
          </cell>
        </row>
      </sheetData>
      <sheetData sheetId="11965">
        <row r="4">
          <cell r="I4">
            <v>0</v>
          </cell>
        </row>
      </sheetData>
      <sheetData sheetId="11966">
        <row r="4">
          <cell r="I4">
            <v>0</v>
          </cell>
        </row>
      </sheetData>
      <sheetData sheetId="11967">
        <row r="4">
          <cell r="I4">
            <v>0</v>
          </cell>
        </row>
      </sheetData>
      <sheetData sheetId="11968">
        <row r="4">
          <cell r="I4">
            <v>0</v>
          </cell>
        </row>
      </sheetData>
      <sheetData sheetId="11969">
        <row r="4">
          <cell r="I4">
            <v>0</v>
          </cell>
        </row>
      </sheetData>
      <sheetData sheetId="11970">
        <row r="4">
          <cell r="I4">
            <v>0</v>
          </cell>
        </row>
      </sheetData>
      <sheetData sheetId="11971">
        <row r="4">
          <cell r="I4">
            <v>0</v>
          </cell>
        </row>
      </sheetData>
      <sheetData sheetId="11972">
        <row r="4">
          <cell r="I4">
            <v>0</v>
          </cell>
        </row>
      </sheetData>
      <sheetData sheetId="11973">
        <row r="4">
          <cell r="I4">
            <v>0</v>
          </cell>
        </row>
      </sheetData>
      <sheetData sheetId="11974">
        <row r="4">
          <cell r="I4">
            <v>0</v>
          </cell>
        </row>
      </sheetData>
      <sheetData sheetId="11975">
        <row r="4">
          <cell r="I4">
            <v>0</v>
          </cell>
        </row>
      </sheetData>
      <sheetData sheetId="11976">
        <row r="4">
          <cell r="I4">
            <v>0</v>
          </cell>
        </row>
      </sheetData>
      <sheetData sheetId="11977">
        <row r="4">
          <cell r="I4">
            <v>0</v>
          </cell>
        </row>
      </sheetData>
      <sheetData sheetId="11978">
        <row r="4">
          <cell r="I4">
            <v>0</v>
          </cell>
        </row>
      </sheetData>
      <sheetData sheetId="11979">
        <row r="4">
          <cell r="I4">
            <v>0</v>
          </cell>
        </row>
      </sheetData>
      <sheetData sheetId="11980">
        <row r="4">
          <cell r="I4">
            <v>0</v>
          </cell>
        </row>
      </sheetData>
      <sheetData sheetId="11981">
        <row r="4">
          <cell r="I4">
            <v>0</v>
          </cell>
        </row>
      </sheetData>
      <sheetData sheetId="11982">
        <row r="4">
          <cell r="I4">
            <v>0</v>
          </cell>
        </row>
      </sheetData>
      <sheetData sheetId="11983">
        <row r="4">
          <cell r="I4">
            <v>0</v>
          </cell>
        </row>
      </sheetData>
      <sheetData sheetId="11984">
        <row r="4">
          <cell r="I4">
            <v>0</v>
          </cell>
        </row>
      </sheetData>
      <sheetData sheetId="11985">
        <row r="4">
          <cell r="I4">
            <v>0</v>
          </cell>
        </row>
      </sheetData>
      <sheetData sheetId="11986">
        <row r="4">
          <cell r="I4">
            <v>0</v>
          </cell>
        </row>
      </sheetData>
      <sheetData sheetId="11987">
        <row r="4">
          <cell r="I4">
            <v>0</v>
          </cell>
        </row>
      </sheetData>
      <sheetData sheetId="11988">
        <row r="4">
          <cell r="I4">
            <v>0</v>
          </cell>
        </row>
      </sheetData>
      <sheetData sheetId="11989">
        <row r="4">
          <cell r="I4">
            <v>0</v>
          </cell>
        </row>
      </sheetData>
      <sheetData sheetId="11990">
        <row r="4">
          <cell r="I4">
            <v>0</v>
          </cell>
        </row>
      </sheetData>
      <sheetData sheetId="11991">
        <row r="4">
          <cell r="I4">
            <v>0</v>
          </cell>
        </row>
      </sheetData>
      <sheetData sheetId="11992">
        <row r="4">
          <cell r="I4">
            <v>0</v>
          </cell>
        </row>
      </sheetData>
      <sheetData sheetId="11993">
        <row r="4">
          <cell r="I4">
            <v>0</v>
          </cell>
        </row>
      </sheetData>
      <sheetData sheetId="11994">
        <row r="4">
          <cell r="I4">
            <v>0</v>
          </cell>
        </row>
      </sheetData>
      <sheetData sheetId="11995">
        <row r="4">
          <cell r="I4">
            <v>0</v>
          </cell>
        </row>
      </sheetData>
      <sheetData sheetId="11996">
        <row r="4">
          <cell r="I4">
            <v>0</v>
          </cell>
        </row>
      </sheetData>
      <sheetData sheetId="11997">
        <row r="4">
          <cell r="I4">
            <v>0</v>
          </cell>
        </row>
      </sheetData>
      <sheetData sheetId="11998">
        <row r="4">
          <cell r="I4">
            <v>0</v>
          </cell>
        </row>
      </sheetData>
      <sheetData sheetId="11999">
        <row r="4">
          <cell r="I4">
            <v>0</v>
          </cell>
        </row>
      </sheetData>
      <sheetData sheetId="12000">
        <row r="4">
          <cell r="I4">
            <v>0</v>
          </cell>
        </row>
      </sheetData>
      <sheetData sheetId="12001">
        <row r="4">
          <cell r="I4">
            <v>0</v>
          </cell>
        </row>
      </sheetData>
      <sheetData sheetId="12002">
        <row r="4">
          <cell r="I4">
            <v>0</v>
          </cell>
        </row>
      </sheetData>
      <sheetData sheetId="12003">
        <row r="4">
          <cell r="I4">
            <v>0</v>
          </cell>
        </row>
      </sheetData>
      <sheetData sheetId="12004">
        <row r="4">
          <cell r="I4">
            <v>0</v>
          </cell>
        </row>
      </sheetData>
      <sheetData sheetId="12005">
        <row r="4">
          <cell r="I4">
            <v>0</v>
          </cell>
        </row>
      </sheetData>
      <sheetData sheetId="12006">
        <row r="4">
          <cell r="I4">
            <v>0</v>
          </cell>
        </row>
      </sheetData>
      <sheetData sheetId="12007">
        <row r="4">
          <cell r="I4">
            <v>0</v>
          </cell>
        </row>
      </sheetData>
      <sheetData sheetId="12008">
        <row r="4">
          <cell r="I4">
            <v>0</v>
          </cell>
        </row>
      </sheetData>
      <sheetData sheetId="12009">
        <row r="4">
          <cell r="I4">
            <v>0</v>
          </cell>
        </row>
      </sheetData>
      <sheetData sheetId="12010">
        <row r="4">
          <cell r="I4">
            <v>0</v>
          </cell>
        </row>
      </sheetData>
      <sheetData sheetId="12011">
        <row r="4">
          <cell r="I4">
            <v>0</v>
          </cell>
        </row>
      </sheetData>
      <sheetData sheetId="12012">
        <row r="4">
          <cell r="I4">
            <v>0</v>
          </cell>
        </row>
      </sheetData>
      <sheetData sheetId="12013">
        <row r="4">
          <cell r="I4">
            <v>0</v>
          </cell>
        </row>
      </sheetData>
      <sheetData sheetId="12014">
        <row r="4">
          <cell r="I4">
            <v>0</v>
          </cell>
        </row>
      </sheetData>
      <sheetData sheetId="12015">
        <row r="4">
          <cell r="I4">
            <v>0</v>
          </cell>
        </row>
      </sheetData>
      <sheetData sheetId="12016">
        <row r="4">
          <cell r="I4">
            <v>0</v>
          </cell>
        </row>
      </sheetData>
      <sheetData sheetId="12017">
        <row r="4">
          <cell r="I4">
            <v>0</v>
          </cell>
        </row>
      </sheetData>
      <sheetData sheetId="12018">
        <row r="4">
          <cell r="I4">
            <v>0</v>
          </cell>
        </row>
      </sheetData>
      <sheetData sheetId="12019">
        <row r="4">
          <cell r="I4">
            <v>0</v>
          </cell>
        </row>
      </sheetData>
      <sheetData sheetId="12020">
        <row r="4">
          <cell r="I4">
            <v>0</v>
          </cell>
        </row>
      </sheetData>
      <sheetData sheetId="12021">
        <row r="4">
          <cell r="I4">
            <v>0</v>
          </cell>
        </row>
      </sheetData>
      <sheetData sheetId="12022">
        <row r="4">
          <cell r="I4">
            <v>0</v>
          </cell>
        </row>
      </sheetData>
      <sheetData sheetId="12023">
        <row r="4">
          <cell r="I4">
            <v>0</v>
          </cell>
        </row>
      </sheetData>
      <sheetData sheetId="12024">
        <row r="4">
          <cell r="I4">
            <v>0</v>
          </cell>
        </row>
      </sheetData>
      <sheetData sheetId="12025">
        <row r="4">
          <cell r="I4">
            <v>0</v>
          </cell>
        </row>
      </sheetData>
      <sheetData sheetId="12026">
        <row r="4">
          <cell r="I4">
            <v>0</v>
          </cell>
        </row>
      </sheetData>
      <sheetData sheetId="12027">
        <row r="4">
          <cell r="I4">
            <v>0</v>
          </cell>
        </row>
      </sheetData>
      <sheetData sheetId="12028">
        <row r="4">
          <cell r="I4">
            <v>0</v>
          </cell>
        </row>
      </sheetData>
      <sheetData sheetId="12029">
        <row r="4">
          <cell r="I4">
            <v>0</v>
          </cell>
        </row>
      </sheetData>
      <sheetData sheetId="12030">
        <row r="4">
          <cell r="I4">
            <v>0</v>
          </cell>
        </row>
      </sheetData>
      <sheetData sheetId="12031">
        <row r="4">
          <cell r="I4">
            <v>0</v>
          </cell>
        </row>
      </sheetData>
      <sheetData sheetId="12032">
        <row r="4">
          <cell r="I4">
            <v>0</v>
          </cell>
        </row>
      </sheetData>
      <sheetData sheetId="12033">
        <row r="4">
          <cell r="I4">
            <v>0</v>
          </cell>
        </row>
      </sheetData>
      <sheetData sheetId="12034">
        <row r="4">
          <cell r="I4">
            <v>0</v>
          </cell>
        </row>
      </sheetData>
      <sheetData sheetId="12035">
        <row r="4">
          <cell r="I4">
            <v>0</v>
          </cell>
        </row>
      </sheetData>
      <sheetData sheetId="12036">
        <row r="4">
          <cell r="I4">
            <v>0</v>
          </cell>
        </row>
      </sheetData>
      <sheetData sheetId="12037">
        <row r="4">
          <cell r="I4">
            <v>0</v>
          </cell>
        </row>
      </sheetData>
      <sheetData sheetId="12038">
        <row r="4">
          <cell r="I4">
            <v>0</v>
          </cell>
        </row>
      </sheetData>
      <sheetData sheetId="12039">
        <row r="4">
          <cell r="I4">
            <v>0</v>
          </cell>
        </row>
      </sheetData>
      <sheetData sheetId="12040">
        <row r="4">
          <cell r="I4">
            <v>0</v>
          </cell>
        </row>
      </sheetData>
      <sheetData sheetId="12041">
        <row r="4">
          <cell r="I4">
            <v>0</v>
          </cell>
        </row>
      </sheetData>
      <sheetData sheetId="12042">
        <row r="4">
          <cell r="I4">
            <v>0</v>
          </cell>
        </row>
      </sheetData>
      <sheetData sheetId="12043">
        <row r="4">
          <cell r="I4">
            <v>0</v>
          </cell>
        </row>
      </sheetData>
      <sheetData sheetId="12044">
        <row r="4">
          <cell r="I4">
            <v>0</v>
          </cell>
        </row>
      </sheetData>
      <sheetData sheetId="12045">
        <row r="4">
          <cell r="I4">
            <v>0</v>
          </cell>
        </row>
      </sheetData>
      <sheetData sheetId="12046">
        <row r="4">
          <cell r="I4">
            <v>0</v>
          </cell>
        </row>
      </sheetData>
      <sheetData sheetId="12047">
        <row r="4">
          <cell r="I4">
            <v>0</v>
          </cell>
        </row>
      </sheetData>
      <sheetData sheetId="12048">
        <row r="4">
          <cell r="I4">
            <v>0</v>
          </cell>
        </row>
      </sheetData>
      <sheetData sheetId="12049">
        <row r="4">
          <cell r="I4">
            <v>0</v>
          </cell>
        </row>
      </sheetData>
      <sheetData sheetId="12050">
        <row r="4">
          <cell r="I4">
            <v>0</v>
          </cell>
        </row>
      </sheetData>
      <sheetData sheetId="12051">
        <row r="4">
          <cell r="I4">
            <v>0</v>
          </cell>
        </row>
      </sheetData>
      <sheetData sheetId="12052">
        <row r="4">
          <cell r="I4">
            <v>0</v>
          </cell>
        </row>
      </sheetData>
      <sheetData sheetId="12053">
        <row r="4">
          <cell r="I4">
            <v>0</v>
          </cell>
        </row>
      </sheetData>
      <sheetData sheetId="12054">
        <row r="4">
          <cell r="I4">
            <v>0</v>
          </cell>
        </row>
      </sheetData>
      <sheetData sheetId="12055">
        <row r="4">
          <cell r="I4">
            <v>0</v>
          </cell>
        </row>
      </sheetData>
      <sheetData sheetId="12056">
        <row r="4">
          <cell r="I4">
            <v>0</v>
          </cell>
        </row>
      </sheetData>
      <sheetData sheetId="12057">
        <row r="4">
          <cell r="I4">
            <v>0</v>
          </cell>
        </row>
      </sheetData>
      <sheetData sheetId="12058">
        <row r="4">
          <cell r="I4">
            <v>0</v>
          </cell>
        </row>
      </sheetData>
      <sheetData sheetId="12059">
        <row r="4">
          <cell r="I4">
            <v>0</v>
          </cell>
        </row>
      </sheetData>
      <sheetData sheetId="12060">
        <row r="4">
          <cell r="I4">
            <v>0</v>
          </cell>
        </row>
      </sheetData>
      <sheetData sheetId="12061">
        <row r="4">
          <cell r="I4">
            <v>0</v>
          </cell>
        </row>
      </sheetData>
      <sheetData sheetId="12062">
        <row r="4">
          <cell r="I4">
            <v>0</v>
          </cell>
        </row>
      </sheetData>
      <sheetData sheetId="12063">
        <row r="4">
          <cell r="I4">
            <v>0</v>
          </cell>
        </row>
      </sheetData>
      <sheetData sheetId="12064">
        <row r="4">
          <cell r="I4">
            <v>0</v>
          </cell>
        </row>
      </sheetData>
      <sheetData sheetId="12065">
        <row r="4">
          <cell r="I4">
            <v>0</v>
          </cell>
        </row>
      </sheetData>
      <sheetData sheetId="12066">
        <row r="4">
          <cell r="I4">
            <v>0</v>
          </cell>
        </row>
      </sheetData>
      <sheetData sheetId="12067">
        <row r="4">
          <cell r="I4">
            <v>0</v>
          </cell>
        </row>
      </sheetData>
      <sheetData sheetId="12068">
        <row r="4">
          <cell r="I4">
            <v>0</v>
          </cell>
        </row>
      </sheetData>
      <sheetData sheetId="12069">
        <row r="4">
          <cell r="I4">
            <v>0</v>
          </cell>
        </row>
      </sheetData>
      <sheetData sheetId="12070">
        <row r="4">
          <cell r="I4">
            <v>0</v>
          </cell>
        </row>
      </sheetData>
      <sheetData sheetId="12071">
        <row r="4">
          <cell r="I4">
            <v>0</v>
          </cell>
        </row>
      </sheetData>
      <sheetData sheetId="12072">
        <row r="4">
          <cell r="I4">
            <v>0</v>
          </cell>
        </row>
      </sheetData>
      <sheetData sheetId="12073">
        <row r="4">
          <cell r="I4">
            <v>0</v>
          </cell>
        </row>
      </sheetData>
      <sheetData sheetId="12074">
        <row r="4">
          <cell r="I4">
            <v>0</v>
          </cell>
        </row>
      </sheetData>
      <sheetData sheetId="12075">
        <row r="4">
          <cell r="I4">
            <v>0</v>
          </cell>
        </row>
      </sheetData>
      <sheetData sheetId="12076">
        <row r="4">
          <cell r="I4">
            <v>0</v>
          </cell>
        </row>
      </sheetData>
      <sheetData sheetId="12077">
        <row r="4">
          <cell r="I4">
            <v>0</v>
          </cell>
        </row>
      </sheetData>
      <sheetData sheetId="12078">
        <row r="4">
          <cell r="I4">
            <v>0</v>
          </cell>
        </row>
      </sheetData>
      <sheetData sheetId="12079">
        <row r="4">
          <cell r="I4">
            <v>0</v>
          </cell>
        </row>
      </sheetData>
      <sheetData sheetId="12080">
        <row r="4">
          <cell r="I4">
            <v>0</v>
          </cell>
        </row>
      </sheetData>
      <sheetData sheetId="12081">
        <row r="4">
          <cell r="I4">
            <v>0</v>
          </cell>
        </row>
      </sheetData>
      <sheetData sheetId="12082">
        <row r="4">
          <cell r="I4">
            <v>0</v>
          </cell>
        </row>
      </sheetData>
      <sheetData sheetId="12083">
        <row r="4">
          <cell r="I4">
            <v>0</v>
          </cell>
        </row>
      </sheetData>
      <sheetData sheetId="12084">
        <row r="4">
          <cell r="I4">
            <v>0</v>
          </cell>
        </row>
      </sheetData>
      <sheetData sheetId="12085">
        <row r="4">
          <cell r="I4">
            <v>0</v>
          </cell>
        </row>
      </sheetData>
      <sheetData sheetId="12086">
        <row r="4">
          <cell r="I4">
            <v>0</v>
          </cell>
        </row>
      </sheetData>
      <sheetData sheetId="12087">
        <row r="4">
          <cell r="I4">
            <v>0</v>
          </cell>
        </row>
      </sheetData>
      <sheetData sheetId="12088">
        <row r="4">
          <cell r="I4">
            <v>0</v>
          </cell>
        </row>
      </sheetData>
      <sheetData sheetId="12089">
        <row r="4">
          <cell r="I4">
            <v>0</v>
          </cell>
        </row>
      </sheetData>
      <sheetData sheetId="12090">
        <row r="4">
          <cell r="I4">
            <v>0</v>
          </cell>
        </row>
      </sheetData>
      <sheetData sheetId="12091">
        <row r="4">
          <cell r="I4">
            <v>0</v>
          </cell>
        </row>
      </sheetData>
      <sheetData sheetId="12092">
        <row r="4">
          <cell r="I4">
            <v>0</v>
          </cell>
        </row>
      </sheetData>
      <sheetData sheetId="12093">
        <row r="4">
          <cell r="I4">
            <v>0</v>
          </cell>
        </row>
      </sheetData>
      <sheetData sheetId="12094">
        <row r="4">
          <cell r="I4">
            <v>0</v>
          </cell>
        </row>
      </sheetData>
      <sheetData sheetId="12095">
        <row r="4">
          <cell r="I4">
            <v>0</v>
          </cell>
        </row>
      </sheetData>
      <sheetData sheetId="12096">
        <row r="4">
          <cell r="I4">
            <v>0</v>
          </cell>
        </row>
      </sheetData>
      <sheetData sheetId="12097">
        <row r="4">
          <cell r="I4">
            <v>0</v>
          </cell>
        </row>
      </sheetData>
      <sheetData sheetId="12098">
        <row r="4">
          <cell r="I4">
            <v>0</v>
          </cell>
        </row>
      </sheetData>
      <sheetData sheetId="12099">
        <row r="4">
          <cell r="I4">
            <v>0</v>
          </cell>
        </row>
      </sheetData>
      <sheetData sheetId="12100">
        <row r="4">
          <cell r="I4">
            <v>0</v>
          </cell>
        </row>
      </sheetData>
      <sheetData sheetId="12101">
        <row r="4">
          <cell r="I4">
            <v>0</v>
          </cell>
        </row>
      </sheetData>
      <sheetData sheetId="12102">
        <row r="4">
          <cell r="I4">
            <v>0</v>
          </cell>
        </row>
      </sheetData>
      <sheetData sheetId="12103">
        <row r="4">
          <cell r="I4">
            <v>0</v>
          </cell>
        </row>
      </sheetData>
      <sheetData sheetId="12104">
        <row r="4">
          <cell r="I4">
            <v>0</v>
          </cell>
        </row>
      </sheetData>
      <sheetData sheetId="12105">
        <row r="4">
          <cell r="I4">
            <v>0</v>
          </cell>
        </row>
      </sheetData>
      <sheetData sheetId="12106">
        <row r="4">
          <cell r="I4">
            <v>0</v>
          </cell>
        </row>
      </sheetData>
      <sheetData sheetId="12107">
        <row r="4">
          <cell r="I4">
            <v>0</v>
          </cell>
        </row>
      </sheetData>
      <sheetData sheetId="12108">
        <row r="4">
          <cell r="I4">
            <v>0</v>
          </cell>
        </row>
      </sheetData>
      <sheetData sheetId="12109">
        <row r="4">
          <cell r="I4">
            <v>0</v>
          </cell>
        </row>
      </sheetData>
      <sheetData sheetId="12110">
        <row r="4">
          <cell r="I4">
            <v>0</v>
          </cell>
        </row>
      </sheetData>
      <sheetData sheetId="12111">
        <row r="4">
          <cell r="I4">
            <v>0</v>
          </cell>
        </row>
      </sheetData>
      <sheetData sheetId="12112">
        <row r="4">
          <cell r="I4">
            <v>0</v>
          </cell>
        </row>
      </sheetData>
      <sheetData sheetId="12113">
        <row r="4">
          <cell r="I4">
            <v>0</v>
          </cell>
        </row>
      </sheetData>
      <sheetData sheetId="12114">
        <row r="4">
          <cell r="I4">
            <v>0</v>
          </cell>
        </row>
      </sheetData>
      <sheetData sheetId="12115">
        <row r="4">
          <cell r="I4">
            <v>0</v>
          </cell>
        </row>
      </sheetData>
      <sheetData sheetId="12116">
        <row r="4">
          <cell r="I4">
            <v>0</v>
          </cell>
        </row>
      </sheetData>
      <sheetData sheetId="12117">
        <row r="4">
          <cell r="I4">
            <v>0</v>
          </cell>
        </row>
      </sheetData>
      <sheetData sheetId="12118">
        <row r="4">
          <cell r="I4">
            <v>0</v>
          </cell>
        </row>
      </sheetData>
      <sheetData sheetId="12119">
        <row r="4">
          <cell r="I4">
            <v>0</v>
          </cell>
        </row>
      </sheetData>
      <sheetData sheetId="12120">
        <row r="4">
          <cell r="I4">
            <v>0</v>
          </cell>
        </row>
      </sheetData>
      <sheetData sheetId="12121">
        <row r="4">
          <cell r="I4">
            <v>0</v>
          </cell>
        </row>
      </sheetData>
      <sheetData sheetId="12122">
        <row r="4">
          <cell r="I4">
            <v>0</v>
          </cell>
        </row>
      </sheetData>
      <sheetData sheetId="12123">
        <row r="4">
          <cell r="I4">
            <v>0</v>
          </cell>
        </row>
      </sheetData>
      <sheetData sheetId="12124">
        <row r="4">
          <cell r="I4">
            <v>0</v>
          </cell>
        </row>
      </sheetData>
      <sheetData sheetId="12125">
        <row r="4">
          <cell r="I4">
            <v>0</v>
          </cell>
        </row>
      </sheetData>
      <sheetData sheetId="12126">
        <row r="4">
          <cell r="I4">
            <v>0</v>
          </cell>
        </row>
      </sheetData>
      <sheetData sheetId="12127">
        <row r="4">
          <cell r="I4">
            <v>0</v>
          </cell>
        </row>
      </sheetData>
      <sheetData sheetId="12128">
        <row r="4">
          <cell r="I4">
            <v>0</v>
          </cell>
        </row>
      </sheetData>
      <sheetData sheetId="12129">
        <row r="4">
          <cell r="I4">
            <v>0</v>
          </cell>
        </row>
      </sheetData>
      <sheetData sheetId="12130">
        <row r="4">
          <cell r="I4">
            <v>0</v>
          </cell>
        </row>
      </sheetData>
      <sheetData sheetId="12131">
        <row r="4">
          <cell r="I4">
            <v>0</v>
          </cell>
        </row>
      </sheetData>
      <sheetData sheetId="12132">
        <row r="4">
          <cell r="I4">
            <v>0</v>
          </cell>
        </row>
      </sheetData>
      <sheetData sheetId="12133">
        <row r="4">
          <cell r="I4">
            <v>0</v>
          </cell>
        </row>
      </sheetData>
      <sheetData sheetId="12134">
        <row r="4">
          <cell r="I4">
            <v>0</v>
          </cell>
        </row>
      </sheetData>
      <sheetData sheetId="12135">
        <row r="4">
          <cell r="I4">
            <v>0</v>
          </cell>
        </row>
      </sheetData>
      <sheetData sheetId="12136">
        <row r="4">
          <cell r="I4">
            <v>0</v>
          </cell>
        </row>
      </sheetData>
      <sheetData sheetId="12137">
        <row r="4">
          <cell r="I4">
            <v>0</v>
          </cell>
        </row>
      </sheetData>
      <sheetData sheetId="12138">
        <row r="4">
          <cell r="I4">
            <v>0</v>
          </cell>
        </row>
      </sheetData>
      <sheetData sheetId="12139">
        <row r="4">
          <cell r="I4">
            <v>0</v>
          </cell>
        </row>
      </sheetData>
      <sheetData sheetId="12140">
        <row r="4">
          <cell r="I4">
            <v>0</v>
          </cell>
        </row>
      </sheetData>
      <sheetData sheetId="12141">
        <row r="4">
          <cell r="I4">
            <v>0</v>
          </cell>
        </row>
      </sheetData>
      <sheetData sheetId="12142">
        <row r="4">
          <cell r="I4">
            <v>0</v>
          </cell>
        </row>
      </sheetData>
      <sheetData sheetId="12143">
        <row r="4">
          <cell r="I4">
            <v>0</v>
          </cell>
        </row>
      </sheetData>
      <sheetData sheetId="12144">
        <row r="4">
          <cell r="I4">
            <v>0</v>
          </cell>
        </row>
      </sheetData>
      <sheetData sheetId="12145">
        <row r="4">
          <cell r="I4">
            <v>0</v>
          </cell>
        </row>
      </sheetData>
      <sheetData sheetId="12146">
        <row r="4">
          <cell r="I4">
            <v>0</v>
          </cell>
        </row>
      </sheetData>
      <sheetData sheetId="12147">
        <row r="4">
          <cell r="I4">
            <v>0</v>
          </cell>
        </row>
      </sheetData>
      <sheetData sheetId="12148">
        <row r="4">
          <cell r="I4">
            <v>0</v>
          </cell>
        </row>
      </sheetData>
      <sheetData sheetId="12149">
        <row r="4">
          <cell r="I4">
            <v>0</v>
          </cell>
        </row>
      </sheetData>
      <sheetData sheetId="12150">
        <row r="4">
          <cell r="I4">
            <v>0</v>
          </cell>
        </row>
      </sheetData>
      <sheetData sheetId="12151">
        <row r="4">
          <cell r="I4">
            <v>0</v>
          </cell>
        </row>
      </sheetData>
      <sheetData sheetId="12152">
        <row r="4">
          <cell r="I4">
            <v>0</v>
          </cell>
        </row>
      </sheetData>
      <sheetData sheetId="12153">
        <row r="4">
          <cell r="I4">
            <v>0</v>
          </cell>
        </row>
      </sheetData>
      <sheetData sheetId="12154">
        <row r="4">
          <cell r="I4">
            <v>0</v>
          </cell>
        </row>
      </sheetData>
      <sheetData sheetId="12155">
        <row r="4">
          <cell r="I4">
            <v>0</v>
          </cell>
        </row>
      </sheetData>
      <sheetData sheetId="12156">
        <row r="4">
          <cell r="I4">
            <v>0</v>
          </cell>
        </row>
      </sheetData>
      <sheetData sheetId="12157">
        <row r="4">
          <cell r="I4">
            <v>0</v>
          </cell>
        </row>
      </sheetData>
      <sheetData sheetId="12158">
        <row r="4">
          <cell r="I4">
            <v>0</v>
          </cell>
        </row>
      </sheetData>
      <sheetData sheetId="12159">
        <row r="4">
          <cell r="I4">
            <v>0</v>
          </cell>
        </row>
      </sheetData>
      <sheetData sheetId="12160">
        <row r="4">
          <cell r="I4">
            <v>0</v>
          </cell>
        </row>
      </sheetData>
      <sheetData sheetId="12161">
        <row r="4">
          <cell r="I4">
            <v>0</v>
          </cell>
        </row>
      </sheetData>
      <sheetData sheetId="12162">
        <row r="4">
          <cell r="I4">
            <v>0</v>
          </cell>
        </row>
      </sheetData>
      <sheetData sheetId="12163">
        <row r="4">
          <cell r="I4">
            <v>0</v>
          </cell>
        </row>
      </sheetData>
      <sheetData sheetId="12164">
        <row r="4">
          <cell r="I4">
            <v>0</v>
          </cell>
        </row>
      </sheetData>
      <sheetData sheetId="12165">
        <row r="4">
          <cell r="I4">
            <v>0</v>
          </cell>
        </row>
      </sheetData>
      <sheetData sheetId="12166">
        <row r="4">
          <cell r="I4">
            <v>0</v>
          </cell>
        </row>
      </sheetData>
      <sheetData sheetId="12167">
        <row r="4">
          <cell r="I4">
            <v>0</v>
          </cell>
        </row>
      </sheetData>
      <sheetData sheetId="12168">
        <row r="4">
          <cell r="I4">
            <v>0</v>
          </cell>
        </row>
      </sheetData>
      <sheetData sheetId="12169">
        <row r="4">
          <cell r="I4">
            <v>0</v>
          </cell>
        </row>
      </sheetData>
      <sheetData sheetId="12170">
        <row r="4">
          <cell r="I4">
            <v>0</v>
          </cell>
        </row>
      </sheetData>
      <sheetData sheetId="12171">
        <row r="4">
          <cell r="I4">
            <v>0</v>
          </cell>
        </row>
      </sheetData>
      <sheetData sheetId="12172">
        <row r="4">
          <cell r="I4">
            <v>0</v>
          </cell>
        </row>
      </sheetData>
      <sheetData sheetId="12173">
        <row r="4">
          <cell r="I4">
            <v>0</v>
          </cell>
        </row>
      </sheetData>
      <sheetData sheetId="12174">
        <row r="4">
          <cell r="I4">
            <v>0</v>
          </cell>
        </row>
      </sheetData>
      <sheetData sheetId="12175">
        <row r="4">
          <cell r="I4">
            <v>0</v>
          </cell>
        </row>
      </sheetData>
      <sheetData sheetId="12176">
        <row r="4">
          <cell r="I4">
            <v>0</v>
          </cell>
        </row>
      </sheetData>
      <sheetData sheetId="12177">
        <row r="4">
          <cell r="I4">
            <v>0</v>
          </cell>
        </row>
      </sheetData>
      <sheetData sheetId="12178">
        <row r="4">
          <cell r="I4">
            <v>0</v>
          </cell>
        </row>
      </sheetData>
      <sheetData sheetId="12179">
        <row r="4">
          <cell r="I4">
            <v>0</v>
          </cell>
        </row>
      </sheetData>
      <sheetData sheetId="12180">
        <row r="4">
          <cell r="I4">
            <v>0</v>
          </cell>
        </row>
      </sheetData>
      <sheetData sheetId="12181">
        <row r="4">
          <cell r="I4">
            <v>0</v>
          </cell>
        </row>
      </sheetData>
      <sheetData sheetId="12182">
        <row r="4">
          <cell r="I4">
            <v>0</v>
          </cell>
        </row>
      </sheetData>
      <sheetData sheetId="12183">
        <row r="4">
          <cell r="I4">
            <v>0</v>
          </cell>
        </row>
      </sheetData>
      <sheetData sheetId="12184">
        <row r="4">
          <cell r="I4">
            <v>0</v>
          </cell>
        </row>
      </sheetData>
      <sheetData sheetId="12185">
        <row r="4">
          <cell r="I4">
            <v>0</v>
          </cell>
        </row>
      </sheetData>
      <sheetData sheetId="12186">
        <row r="4">
          <cell r="I4">
            <v>0</v>
          </cell>
        </row>
      </sheetData>
      <sheetData sheetId="12187">
        <row r="4">
          <cell r="I4">
            <v>0</v>
          </cell>
        </row>
      </sheetData>
      <sheetData sheetId="12188">
        <row r="4">
          <cell r="I4">
            <v>0</v>
          </cell>
        </row>
      </sheetData>
      <sheetData sheetId="12189">
        <row r="4">
          <cell r="I4">
            <v>0</v>
          </cell>
        </row>
      </sheetData>
      <sheetData sheetId="12190">
        <row r="4">
          <cell r="I4">
            <v>0</v>
          </cell>
        </row>
      </sheetData>
      <sheetData sheetId="12191">
        <row r="4">
          <cell r="I4">
            <v>0</v>
          </cell>
        </row>
      </sheetData>
      <sheetData sheetId="12192">
        <row r="4">
          <cell r="I4">
            <v>0</v>
          </cell>
        </row>
      </sheetData>
      <sheetData sheetId="12193">
        <row r="4">
          <cell r="I4">
            <v>0</v>
          </cell>
        </row>
      </sheetData>
      <sheetData sheetId="12194">
        <row r="4">
          <cell r="I4">
            <v>0</v>
          </cell>
        </row>
      </sheetData>
      <sheetData sheetId="12195">
        <row r="4">
          <cell r="I4">
            <v>0</v>
          </cell>
        </row>
      </sheetData>
      <sheetData sheetId="12196">
        <row r="4">
          <cell r="I4">
            <v>0</v>
          </cell>
        </row>
      </sheetData>
      <sheetData sheetId="12197">
        <row r="4">
          <cell r="I4">
            <v>0</v>
          </cell>
        </row>
      </sheetData>
      <sheetData sheetId="12198">
        <row r="4">
          <cell r="I4">
            <v>0</v>
          </cell>
        </row>
      </sheetData>
      <sheetData sheetId="12199">
        <row r="4">
          <cell r="I4">
            <v>0</v>
          </cell>
        </row>
      </sheetData>
      <sheetData sheetId="12200">
        <row r="4">
          <cell r="I4">
            <v>0</v>
          </cell>
        </row>
      </sheetData>
      <sheetData sheetId="12201">
        <row r="4">
          <cell r="I4">
            <v>0</v>
          </cell>
        </row>
      </sheetData>
      <sheetData sheetId="12202">
        <row r="4">
          <cell r="I4">
            <v>0</v>
          </cell>
        </row>
      </sheetData>
      <sheetData sheetId="12203">
        <row r="4">
          <cell r="I4">
            <v>0</v>
          </cell>
        </row>
      </sheetData>
      <sheetData sheetId="12204">
        <row r="4">
          <cell r="I4">
            <v>0</v>
          </cell>
        </row>
      </sheetData>
      <sheetData sheetId="12205">
        <row r="4">
          <cell r="I4">
            <v>0</v>
          </cell>
        </row>
      </sheetData>
      <sheetData sheetId="12206">
        <row r="4">
          <cell r="I4">
            <v>0</v>
          </cell>
        </row>
      </sheetData>
      <sheetData sheetId="12207">
        <row r="4">
          <cell r="I4">
            <v>0</v>
          </cell>
        </row>
      </sheetData>
      <sheetData sheetId="12208">
        <row r="4">
          <cell r="I4">
            <v>0</v>
          </cell>
        </row>
      </sheetData>
      <sheetData sheetId="12209">
        <row r="4">
          <cell r="I4">
            <v>0</v>
          </cell>
        </row>
      </sheetData>
      <sheetData sheetId="12210">
        <row r="4">
          <cell r="I4">
            <v>0</v>
          </cell>
        </row>
      </sheetData>
      <sheetData sheetId="12211">
        <row r="4">
          <cell r="I4">
            <v>0</v>
          </cell>
        </row>
      </sheetData>
      <sheetData sheetId="12212">
        <row r="4">
          <cell r="I4">
            <v>0</v>
          </cell>
        </row>
      </sheetData>
      <sheetData sheetId="12213">
        <row r="4">
          <cell r="I4">
            <v>0</v>
          </cell>
        </row>
      </sheetData>
      <sheetData sheetId="12214">
        <row r="4">
          <cell r="I4">
            <v>0</v>
          </cell>
        </row>
      </sheetData>
      <sheetData sheetId="12215">
        <row r="4">
          <cell r="I4">
            <v>0</v>
          </cell>
        </row>
      </sheetData>
      <sheetData sheetId="12216">
        <row r="4">
          <cell r="I4">
            <v>0</v>
          </cell>
        </row>
      </sheetData>
      <sheetData sheetId="12217">
        <row r="4">
          <cell r="I4">
            <v>0</v>
          </cell>
        </row>
      </sheetData>
      <sheetData sheetId="12218">
        <row r="4">
          <cell r="I4">
            <v>0</v>
          </cell>
        </row>
      </sheetData>
      <sheetData sheetId="12219">
        <row r="4">
          <cell r="I4">
            <v>0</v>
          </cell>
        </row>
      </sheetData>
      <sheetData sheetId="12220">
        <row r="4">
          <cell r="I4">
            <v>0</v>
          </cell>
        </row>
      </sheetData>
      <sheetData sheetId="12221">
        <row r="4">
          <cell r="I4">
            <v>0</v>
          </cell>
        </row>
      </sheetData>
      <sheetData sheetId="12222">
        <row r="4">
          <cell r="I4">
            <v>0</v>
          </cell>
        </row>
      </sheetData>
      <sheetData sheetId="12223">
        <row r="4">
          <cell r="I4">
            <v>0</v>
          </cell>
        </row>
      </sheetData>
      <sheetData sheetId="12224">
        <row r="4">
          <cell r="I4">
            <v>0</v>
          </cell>
        </row>
      </sheetData>
      <sheetData sheetId="12225">
        <row r="4">
          <cell r="I4">
            <v>0</v>
          </cell>
        </row>
      </sheetData>
      <sheetData sheetId="12226">
        <row r="4">
          <cell r="I4">
            <v>0</v>
          </cell>
        </row>
      </sheetData>
      <sheetData sheetId="12227">
        <row r="4">
          <cell r="I4">
            <v>0</v>
          </cell>
        </row>
      </sheetData>
      <sheetData sheetId="12228">
        <row r="4">
          <cell r="I4">
            <v>0</v>
          </cell>
        </row>
      </sheetData>
      <sheetData sheetId="12229">
        <row r="4">
          <cell r="I4">
            <v>0</v>
          </cell>
        </row>
      </sheetData>
      <sheetData sheetId="12230">
        <row r="4">
          <cell r="I4">
            <v>0</v>
          </cell>
        </row>
      </sheetData>
      <sheetData sheetId="12231">
        <row r="4">
          <cell r="I4">
            <v>0</v>
          </cell>
        </row>
      </sheetData>
      <sheetData sheetId="12232">
        <row r="4">
          <cell r="I4">
            <v>0</v>
          </cell>
        </row>
      </sheetData>
      <sheetData sheetId="12233">
        <row r="4">
          <cell r="I4">
            <v>0</v>
          </cell>
        </row>
      </sheetData>
      <sheetData sheetId="12234">
        <row r="4">
          <cell r="I4">
            <v>0</v>
          </cell>
        </row>
      </sheetData>
      <sheetData sheetId="12235">
        <row r="4">
          <cell r="I4">
            <v>0</v>
          </cell>
        </row>
      </sheetData>
      <sheetData sheetId="12236">
        <row r="4">
          <cell r="I4">
            <v>0</v>
          </cell>
        </row>
      </sheetData>
      <sheetData sheetId="12237">
        <row r="4">
          <cell r="I4">
            <v>0</v>
          </cell>
        </row>
      </sheetData>
      <sheetData sheetId="12238">
        <row r="4">
          <cell r="I4">
            <v>0</v>
          </cell>
        </row>
      </sheetData>
      <sheetData sheetId="12239">
        <row r="4">
          <cell r="I4">
            <v>0</v>
          </cell>
        </row>
      </sheetData>
      <sheetData sheetId="12240">
        <row r="4">
          <cell r="I4">
            <v>0</v>
          </cell>
        </row>
      </sheetData>
      <sheetData sheetId="12241">
        <row r="4">
          <cell r="I4">
            <v>0</v>
          </cell>
        </row>
      </sheetData>
      <sheetData sheetId="12242">
        <row r="4">
          <cell r="I4">
            <v>0</v>
          </cell>
        </row>
      </sheetData>
      <sheetData sheetId="12243">
        <row r="4">
          <cell r="I4">
            <v>0</v>
          </cell>
        </row>
      </sheetData>
      <sheetData sheetId="12244">
        <row r="4">
          <cell r="I4">
            <v>0</v>
          </cell>
        </row>
      </sheetData>
      <sheetData sheetId="12245">
        <row r="4">
          <cell r="I4">
            <v>0</v>
          </cell>
        </row>
      </sheetData>
      <sheetData sheetId="12246">
        <row r="4">
          <cell r="I4">
            <v>0</v>
          </cell>
        </row>
      </sheetData>
      <sheetData sheetId="12247">
        <row r="4">
          <cell r="I4">
            <v>0</v>
          </cell>
        </row>
      </sheetData>
      <sheetData sheetId="12248">
        <row r="4">
          <cell r="I4">
            <v>0</v>
          </cell>
        </row>
      </sheetData>
      <sheetData sheetId="12249">
        <row r="4">
          <cell r="I4">
            <v>0</v>
          </cell>
        </row>
      </sheetData>
      <sheetData sheetId="12250">
        <row r="4">
          <cell r="I4">
            <v>0</v>
          </cell>
        </row>
      </sheetData>
      <sheetData sheetId="12251">
        <row r="4">
          <cell r="I4">
            <v>0</v>
          </cell>
        </row>
      </sheetData>
      <sheetData sheetId="12252">
        <row r="4">
          <cell r="I4">
            <v>0</v>
          </cell>
        </row>
      </sheetData>
      <sheetData sheetId="12253">
        <row r="4">
          <cell r="I4">
            <v>0</v>
          </cell>
        </row>
      </sheetData>
      <sheetData sheetId="12254">
        <row r="4">
          <cell r="I4">
            <v>0</v>
          </cell>
        </row>
      </sheetData>
      <sheetData sheetId="12255">
        <row r="4">
          <cell r="I4">
            <v>0</v>
          </cell>
        </row>
      </sheetData>
      <sheetData sheetId="12256">
        <row r="4">
          <cell r="I4">
            <v>0</v>
          </cell>
        </row>
      </sheetData>
      <sheetData sheetId="12257">
        <row r="4">
          <cell r="I4">
            <v>0</v>
          </cell>
        </row>
      </sheetData>
      <sheetData sheetId="12258">
        <row r="4">
          <cell r="I4">
            <v>0</v>
          </cell>
        </row>
      </sheetData>
      <sheetData sheetId="12259">
        <row r="4">
          <cell r="I4">
            <v>0</v>
          </cell>
        </row>
      </sheetData>
      <sheetData sheetId="12260">
        <row r="4">
          <cell r="I4">
            <v>0</v>
          </cell>
        </row>
      </sheetData>
      <sheetData sheetId="12261">
        <row r="4">
          <cell r="I4">
            <v>0</v>
          </cell>
        </row>
      </sheetData>
      <sheetData sheetId="12262">
        <row r="4">
          <cell r="I4">
            <v>0</v>
          </cell>
        </row>
      </sheetData>
      <sheetData sheetId="12263">
        <row r="4">
          <cell r="I4">
            <v>0</v>
          </cell>
        </row>
      </sheetData>
      <sheetData sheetId="12264">
        <row r="4">
          <cell r="I4">
            <v>0</v>
          </cell>
        </row>
      </sheetData>
      <sheetData sheetId="12265">
        <row r="4">
          <cell r="I4">
            <v>0</v>
          </cell>
        </row>
      </sheetData>
      <sheetData sheetId="12266">
        <row r="4">
          <cell r="I4">
            <v>0</v>
          </cell>
        </row>
      </sheetData>
      <sheetData sheetId="12267">
        <row r="4">
          <cell r="I4">
            <v>0</v>
          </cell>
        </row>
      </sheetData>
      <sheetData sheetId="12268">
        <row r="4">
          <cell r="I4">
            <v>0</v>
          </cell>
        </row>
      </sheetData>
      <sheetData sheetId="12269">
        <row r="4">
          <cell r="I4">
            <v>0</v>
          </cell>
        </row>
      </sheetData>
      <sheetData sheetId="12270">
        <row r="4">
          <cell r="I4">
            <v>0</v>
          </cell>
        </row>
      </sheetData>
      <sheetData sheetId="12271">
        <row r="4">
          <cell r="I4">
            <v>0</v>
          </cell>
        </row>
      </sheetData>
      <sheetData sheetId="12272">
        <row r="4">
          <cell r="I4">
            <v>0</v>
          </cell>
        </row>
      </sheetData>
      <sheetData sheetId="12273">
        <row r="4">
          <cell r="I4">
            <v>0</v>
          </cell>
        </row>
      </sheetData>
      <sheetData sheetId="12274">
        <row r="4">
          <cell r="I4">
            <v>0</v>
          </cell>
        </row>
      </sheetData>
      <sheetData sheetId="12275">
        <row r="4">
          <cell r="I4">
            <v>0</v>
          </cell>
        </row>
      </sheetData>
      <sheetData sheetId="12276">
        <row r="4">
          <cell r="I4">
            <v>0</v>
          </cell>
        </row>
      </sheetData>
      <sheetData sheetId="12277">
        <row r="4">
          <cell r="I4">
            <v>0</v>
          </cell>
        </row>
      </sheetData>
      <sheetData sheetId="12278">
        <row r="4">
          <cell r="I4">
            <v>0</v>
          </cell>
        </row>
      </sheetData>
      <sheetData sheetId="12279">
        <row r="4">
          <cell r="I4">
            <v>0</v>
          </cell>
        </row>
      </sheetData>
      <sheetData sheetId="12280">
        <row r="4">
          <cell r="I4">
            <v>0</v>
          </cell>
        </row>
      </sheetData>
      <sheetData sheetId="12281">
        <row r="4">
          <cell r="I4">
            <v>0</v>
          </cell>
        </row>
      </sheetData>
      <sheetData sheetId="12282">
        <row r="4">
          <cell r="I4">
            <v>0</v>
          </cell>
        </row>
      </sheetData>
      <sheetData sheetId="12283">
        <row r="4">
          <cell r="I4">
            <v>0</v>
          </cell>
        </row>
      </sheetData>
      <sheetData sheetId="12284">
        <row r="4">
          <cell r="I4">
            <v>0</v>
          </cell>
        </row>
      </sheetData>
      <sheetData sheetId="12285">
        <row r="4">
          <cell r="I4">
            <v>0</v>
          </cell>
        </row>
      </sheetData>
      <sheetData sheetId="12286">
        <row r="4">
          <cell r="I4">
            <v>0</v>
          </cell>
        </row>
      </sheetData>
      <sheetData sheetId="12287">
        <row r="4">
          <cell r="I4">
            <v>0</v>
          </cell>
        </row>
      </sheetData>
      <sheetData sheetId="12288">
        <row r="4">
          <cell r="I4">
            <v>0</v>
          </cell>
        </row>
      </sheetData>
      <sheetData sheetId="12289">
        <row r="4">
          <cell r="I4">
            <v>0</v>
          </cell>
        </row>
      </sheetData>
      <sheetData sheetId="12290">
        <row r="4">
          <cell r="I4">
            <v>0</v>
          </cell>
        </row>
      </sheetData>
      <sheetData sheetId="12291">
        <row r="4">
          <cell r="I4">
            <v>0</v>
          </cell>
        </row>
      </sheetData>
      <sheetData sheetId="12292">
        <row r="4">
          <cell r="I4">
            <v>0</v>
          </cell>
        </row>
      </sheetData>
      <sheetData sheetId="12293">
        <row r="4">
          <cell r="I4">
            <v>0</v>
          </cell>
        </row>
      </sheetData>
      <sheetData sheetId="12294">
        <row r="4">
          <cell r="I4">
            <v>0</v>
          </cell>
        </row>
      </sheetData>
      <sheetData sheetId="12295">
        <row r="4">
          <cell r="I4">
            <v>0</v>
          </cell>
        </row>
      </sheetData>
      <sheetData sheetId="12296">
        <row r="4">
          <cell r="I4">
            <v>0</v>
          </cell>
        </row>
      </sheetData>
      <sheetData sheetId="12297">
        <row r="4">
          <cell r="I4">
            <v>0</v>
          </cell>
        </row>
      </sheetData>
      <sheetData sheetId="12298">
        <row r="4">
          <cell r="I4">
            <v>0</v>
          </cell>
        </row>
      </sheetData>
      <sheetData sheetId="12299">
        <row r="4">
          <cell r="I4">
            <v>0</v>
          </cell>
        </row>
      </sheetData>
      <sheetData sheetId="12300">
        <row r="4">
          <cell r="I4">
            <v>0</v>
          </cell>
        </row>
      </sheetData>
      <sheetData sheetId="12301">
        <row r="4">
          <cell r="I4">
            <v>0</v>
          </cell>
        </row>
      </sheetData>
      <sheetData sheetId="12302">
        <row r="4">
          <cell r="I4">
            <v>0</v>
          </cell>
        </row>
      </sheetData>
      <sheetData sheetId="12303">
        <row r="4">
          <cell r="I4">
            <v>0</v>
          </cell>
        </row>
      </sheetData>
      <sheetData sheetId="12304">
        <row r="4">
          <cell r="I4">
            <v>0</v>
          </cell>
        </row>
      </sheetData>
      <sheetData sheetId="12305">
        <row r="4">
          <cell r="I4">
            <v>0</v>
          </cell>
        </row>
      </sheetData>
      <sheetData sheetId="12306">
        <row r="4">
          <cell r="I4">
            <v>0</v>
          </cell>
        </row>
      </sheetData>
      <sheetData sheetId="12307">
        <row r="4">
          <cell r="I4">
            <v>0</v>
          </cell>
        </row>
      </sheetData>
      <sheetData sheetId="12308">
        <row r="4">
          <cell r="I4">
            <v>0</v>
          </cell>
        </row>
      </sheetData>
      <sheetData sheetId="12309">
        <row r="4">
          <cell r="I4">
            <v>0</v>
          </cell>
        </row>
      </sheetData>
      <sheetData sheetId="12310">
        <row r="4">
          <cell r="I4">
            <v>0</v>
          </cell>
        </row>
      </sheetData>
      <sheetData sheetId="12311">
        <row r="4">
          <cell r="I4">
            <v>0</v>
          </cell>
        </row>
      </sheetData>
      <sheetData sheetId="12312">
        <row r="4">
          <cell r="I4">
            <v>0</v>
          </cell>
        </row>
      </sheetData>
      <sheetData sheetId="12313">
        <row r="4">
          <cell r="I4">
            <v>0</v>
          </cell>
        </row>
      </sheetData>
      <sheetData sheetId="12314">
        <row r="4">
          <cell r="I4">
            <v>0</v>
          </cell>
        </row>
      </sheetData>
      <sheetData sheetId="12315">
        <row r="4">
          <cell r="I4">
            <v>0</v>
          </cell>
        </row>
      </sheetData>
      <sheetData sheetId="12316">
        <row r="4">
          <cell r="I4">
            <v>0</v>
          </cell>
        </row>
      </sheetData>
      <sheetData sheetId="12317">
        <row r="4">
          <cell r="I4">
            <v>0</v>
          </cell>
        </row>
      </sheetData>
      <sheetData sheetId="12318" refreshError="1"/>
      <sheetData sheetId="12319" refreshError="1"/>
      <sheetData sheetId="12320">
        <row r="4">
          <cell r="I4">
            <v>0</v>
          </cell>
        </row>
      </sheetData>
      <sheetData sheetId="12321">
        <row r="4">
          <cell r="I4">
            <v>0</v>
          </cell>
        </row>
      </sheetData>
      <sheetData sheetId="12322">
        <row r="4">
          <cell r="I4">
            <v>0</v>
          </cell>
        </row>
      </sheetData>
      <sheetData sheetId="12323">
        <row r="4">
          <cell r="I4">
            <v>0</v>
          </cell>
        </row>
      </sheetData>
      <sheetData sheetId="12324">
        <row r="4">
          <cell r="I4">
            <v>0</v>
          </cell>
        </row>
      </sheetData>
      <sheetData sheetId="12325">
        <row r="4">
          <cell r="I4">
            <v>0</v>
          </cell>
        </row>
      </sheetData>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ow r="4">
          <cell r="I4">
            <v>0</v>
          </cell>
        </row>
      </sheetData>
      <sheetData sheetId="12358" refreshError="1"/>
      <sheetData sheetId="12359" refreshError="1"/>
      <sheetData sheetId="12360">
        <row r="4">
          <cell r="I4">
            <v>0</v>
          </cell>
        </row>
      </sheetData>
      <sheetData sheetId="12361">
        <row r="4">
          <cell r="I4">
            <v>0</v>
          </cell>
        </row>
      </sheetData>
      <sheetData sheetId="12362"/>
      <sheetData sheetId="12363">
        <row r="4">
          <cell r="I4">
            <v>0</v>
          </cell>
        </row>
      </sheetData>
      <sheetData sheetId="12364">
        <row r="4">
          <cell r="I4">
            <v>0</v>
          </cell>
        </row>
      </sheetData>
      <sheetData sheetId="12365">
        <row r="4">
          <cell r="I4">
            <v>0</v>
          </cell>
        </row>
      </sheetData>
      <sheetData sheetId="12366">
        <row r="4">
          <cell r="I4">
            <v>0</v>
          </cell>
        </row>
      </sheetData>
      <sheetData sheetId="12367">
        <row r="4">
          <cell r="I4">
            <v>0</v>
          </cell>
        </row>
      </sheetData>
      <sheetData sheetId="12368">
        <row r="4">
          <cell r="I4">
            <v>0</v>
          </cell>
        </row>
      </sheetData>
      <sheetData sheetId="12369">
        <row r="4">
          <cell r="I4">
            <v>0</v>
          </cell>
        </row>
      </sheetData>
      <sheetData sheetId="12370">
        <row r="4">
          <cell r="I4">
            <v>0</v>
          </cell>
        </row>
      </sheetData>
      <sheetData sheetId="12371">
        <row r="4">
          <cell r="I4">
            <v>0</v>
          </cell>
        </row>
      </sheetData>
      <sheetData sheetId="12372">
        <row r="4">
          <cell r="I4">
            <v>0</v>
          </cell>
        </row>
      </sheetData>
      <sheetData sheetId="12373">
        <row r="4">
          <cell r="I4">
            <v>0</v>
          </cell>
        </row>
      </sheetData>
      <sheetData sheetId="12374">
        <row r="4">
          <cell r="I4">
            <v>0</v>
          </cell>
        </row>
      </sheetData>
      <sheetData sheetId="12375">
        <row r="4">
          <cell r="I4">
            <v>0</v>
          </cell>
        </row>
      </sheetData>
      <sheetData sheetId="12376">
        <row r="4">
          <cell r="I4">
            <v>0</v>
          </cell>
        </row>
      </sheetData>
      <sheetData sheetId="12377">
        <row r="4">
          <cell r="I4">
            <v>0</v>
          </cell>
        </row>
      </sheetData>
      <sheetData sheetId="12378">
        <row r="4">
          <cell r="I4">
            <v>0</v>
          </cell>
        </row>
      </sheetData>
      <sheetData sheetId="12379">
        <row r="4">
          <cell r="I4">
            <v>0</v>
          </cell>
        </row>
      </sheetData>
      <sheetData sheetId="12380">
        <row r="4">
          <cell r="I4">
            <v>0</v>
          </cell>
        </row>
      </sheetData>
      <sheetData sheetId="12381">
        <row r="4">
          <cell r="I4">
            <v>0</v>
          </cell>
        </row>
      </sheetData>
      <sheetData sheetId="12382">
        <row r="4">
          <cell r="I4">
            <v>0</v>
          </cell>
        </row>
      </sheetData>
      <sheetData sheetId="12383">
        <row r="4">
          <cell r="I4">
            <v>0</v>
          </cell>
        </row>
      </sheetData>
      <sheetData sheetId="12384">
        <row r="4">
          <cell r="I4">
            <v>0</v>
          </cell>
        </row>
      </sheetData>
      <sheetData sheetId="12385">
        <row r="4">
          <cell r="I4">
            <v>0</v>
          </cell>
        </row>
      </sheetData>
      <sheetData sheetId="12386">
        <row r="4">
          <cell r="I4">
            <v>0</v>
          </cell>
        </row>
      </sheetData>
      <sheetData sheetId="12387">
        <row r="4">
          <cell r="I4">
            <v>0</v>
          </cell>
        </row>
      </sheetData>
      <sheetData sheetId="12388">
        <row r="4">
          <cell r="I4">
            <v>0</v>
          </cell>
        </row>
      </sheetData>
      <sheetData sheetId="12389">
        <row r="4">
          <cell r="I4">
            <v>0</v>
          </cell>
        </row>
      </sheetData>
      <sheetData sheetId="12390">
        <row r="4">
          <cell r="I4">
            <v>0</v>
          </cell>
        </row>
      </sheetData>
      <sheetData sheetId="12391">
        <row r="4">
          <cell r="I4">
            <v>0</v>
          </cell>
        </row>
      </sheetData>
      <sheetData sheetId="12392">
        <row r="4">
          <cell r="I4">
            <v>0</v>
          </cell>
        </row>
      </sheetData>
      <sheetData sheetId="12393">
        <row r="4">
          <cell r="I4">
            <v>0</v>
          </cell>
        </row>
      </sheetData>
      <sheetData sheetId="12394">
        <row r="4">
          <cell r="I4">
            <v>0</v>
          </cell>
        </row>
      </sheetData>
      <sheetData sheetId="12395">
        <row r="4">
          <cell r="I4">
            <v>0</v>
          </cell>
        </row>
      </sheetData>
      <sheetData sheetId="12396">
        <row r="4">
          <cell r="I4">
            <v>0</v>
          </cell>
        </row>
      </sheetData>
      <sheetData sheetId="12397">
        <row r="4">
          <cell r="I4">
            <v>0</v>
          </cell>
        </row>
      </sheetData>
      <sheetData sheetId="12398">
        <row r="4">
          <cell r="I4">
            <v>0</v>
          </cell>
        </row>
      </sheetData>
      <sheetData sheetId="12399">
        <row r="4">
          <cell r="I4">
            <v>0</v>
          </cell>
        </row>
      </sheetData>
      <sheetData sheetId="12400">
        <row r="4">
          <cell r="I4">
            <v>0</v>
          </cell>
        </row>
      </sheetData>
      <sheetData sheetId="12401">
        <row r="4">
          <cell r="I4">
            <v>0</v>
          </cell>
        </row>
      </sheetData>
      <sheetData sheetId="12402">
        <row r="4">
          <cell r="I4">
            <v>0</v>
          </cell>
        </row>
      </sheetData>
      <sheetData sheetId="12403">
        <row r="4">
          <cell r="I4">
            <v>0</v>
          </cell>
        </row>
      </sheetData>
      <sheetData sheetId="12404">
        <row r="4">
          <cell r="I4">
            <v>0</v>
          </cell>
        </row>
      </sheetData>
      <sheetData sheetId="12405">
        <row r="4">
          <cell r="I4">
            <v>0</v>
          </cell>
        </row>
      </sheetData>
      <sheetData sheetId="12406">
        <row r="4">
          <cell r="I4">
            <v>0</v>
          </cell>
        </row>
      </sheetData>
      <sheetData sheetId="12407">
        <row r="4">
          <cell r="I4">
            <v>0</v>
          </cell>
        </row>
      </sheetData>
      <sheetData sheetId="12408">
        <row r="4">
          <cell r="I4">
            <v>0</v>
          </cell>
        </row>
      </sheetData>
      <sheetData sheetId="12409" refreshError="1"/>
      <sheetData sheetId="12410" refreshError="1"/>
      <sheetData sheetId="12411" refreshError="1"/>
      <sheetData sheetId="12412" refreshError="1"/>
      <sheetData sheetId="12413" refreshError="1"/>
      <sheetData sheetId="12414">
        <row r="4">
          <cell r="I4">
            <v>0</v>
          </cell>
        </row>
      </sheetData>
      <sheetData sheetId="12415"/>
      <sheetData sheetId="12416"/>
      <sheetData sheetId="12417">
        <row r="4">
          <cell r="I4">
            <v>0</v>
          </cell>
        </row>
      </sheetData>
      <sheetData sheetId="12418">
        <row r="4">
          <cell r="I4">
            <v>0</v>
          </cell>
        </row>
      </sheetData>
      <sheetData sheetId="12419">
        <row r="4">
          <cell r="I4">
            <v>0</v>
          </cell>
        </row>
      </sheetData>
      <sheetData sheetId="12420"/>
      <sheetData sheetId="12421">
        <row r="4">
          <cell r="I4">
            <v>0</v>
          </cell>
        </row>
      </sheetData>
      <sheetData sheetId="12422"/>
      <sheetData sheetId="12423"/>
      <sheetData sheetId="12424">
        <row r="4">
          <cell r="I4">
            <v>0</v>
          </cell>
        </row>
      </sheetData>
      <sheetData sheetId="12425">
        <row r="4">
          <cell r="I4">
            <v>0</v>
          </cell>
        </row>
      </sheetData>
      <sheetData sheetId="12426">
        <row r="4">
          <cell r="I4">
            <v>0</v>
          </cell>
        </row>
      </sheetData>
      <sheetData sheetId="12427"/>
      <sheetData sheetId="12428">
        <row r="4">
          <cell r="I4">
            <v>0</v>
          </cell>
        </row>
      </sheetData>
      <sheetData sheetId="12429" refreshError="1"/>
      <sheetData sheetId="12430">
        <row r="4">
          <cell r="I4">
            <v>0</v>
          </cell>
        </row>
      </sheetData>
      <sheetData sheetId="12431">
        <row r="4">
          <cell r="I4">
            <v>0</v>
          </cell>
        </row>
      </sheetData>
      <sheetData sheetId="12432">
        <row r="4">
          <cell r="I4">
            <v>0</v>
          </cell>
        </row>
      </sheetData>
      <sheetData sheetId="12433">
        <row r="4">
          <cell r="I4">
            <v>0</v>
          </cell>
        </row>
      </sheetData>
      <sheetData sheetId="12434">
        <row r="4">
          <cell r="I4">
            <v>0</v>
          </cell>
        </row>
      </sheetData>
      <sheetData sheetId="12435">
        <row r="4">
          <cell r="I4">
            <v>0</v>
          </cell>
        </row>
      </sheetData>
      <sheetData sheetId="12436">
        <row r="4">
          <cell r="I4">
            <v>0</v>
          </cell>
        </row>
      </sheetData>
      <sheetData sheetId="12437" refreshError="1"/>
      <sheetData sheetId="12438">
        <row r="4">
          <cell r="I4">
            <v>0</v>
          </cell>
        </row>
      </sheetData>
      <sheetData sheetId="12439">
        <row r="4">
          <cell r="I4">
            <v>0</v>
          </cell>
        </row>
      </sheetData>
      <sheetData sheetId="12440">
        <row r="4">
          <cell r="I4">
            <v>0</v>
          </cell>
        </row>
      </sheetData>
      <sheetData sheetId="12441">
        <row r="4">
          <cell r="I4">
            <v>0</v>
          </cell>
        </row>
      </sheetData>
      <sheetData sheetId="12442">
        <row r="4">
          <cell r="I4">
            <v>0</v>
          </cell>
        </row>
      </sheetData>
      <sheetData sheetId="12443">
        <row r="4">
          <cell r="I4">
            <v>0</v>
          </cell>
        </row>
      </sheetData>
      <sheetData sheetId="12444">
        <row r="4">
          <cell r="I4">
            <v>0</v>
          </cell>
        </row>
      </sheetData>
      <sheetData sheetId="12445">
        <row r="4">
          <cell r="I4">
            <v>0</v>
          </cell>
        </row>
      </sheetData>
      <sheetData sheetId="12446">
        <row r="4">
          <cell r="I4">
            <v>0</v>
          </cell>
        </row>
      </sheetData>
      <sheetData sheetId="12447">
        <row r="4">
          <cell r="I4">
            <v>0</v>
          </cell>
        </row>
      </sheetData>
      <sheetData sheetId="12448">
        <row r="4">
          <cell r="I4">
            <v>0</v>
          </cell>
        </row>
      </sheetData>
      <sheetData sheetId="12449">
        <row r="4">
          <cell r="I4">
            <v>0</v>
          </cell>
        </row>
      </sheetData>
      <sheetData sheetId="12450">
        <row r="4">
          <cell r="I4">
            <v>0</v>
          </cell>
        </row>
      </sheetData>
      <sheetData sheetId="12451">
        <row r="4">
          <cell r="I4">
            <v>0</v>
          </cell>
        </row>
      </sheetData>
      <sheetData sheetId="12452">
        <row r="4">
          <cell r="I4">
            <v>0</v>
          </cell>
        </row>
      </sheetData>
      <sheetData sheetId="12453"/>
      <sheetData sheetId="12454" refreshError="1"/>
      <sheetData sheetId="12455">
        <row r="4">
          <cell r="I4">
            <v>0</v>
          </cell>
        </row>
      </sheetData>
      <sheetData sheetId="12456"/>
      <sheetData sheetId="12457" refreshError="1"/>
      <sheetData sheetId="12458"/>
      <sheetData sheetId="12459" refreshError="1"/>
      <sheetData sheetId="12460"/>
      <sheetData sheetId="12461">
        <row r="4">
          <cell r="I4">
            <v>0</v>
          </cell>
        </row>
      </sheetData>
      <sheetData sheetId="12462" refreshError="1"/>
      <sheetData sheetId="12463" refreshError="1"/>
      <sheetData sheetId="12464" refreshError="1"/>
      <sheetData sheetId="12465" refreshError="1"/>
      <sheetData sheetId="12466"/>
      <sheetData sheetId="12467"/>
      <sheetData sheetId="12468" refreshError="1"/>
      <sheetData sheetId="12469"/>
      <sheetData sheetId="12470">
        <row r="4">
          <cell r="I4">
            <v>0</v>
          </cell>
        </row>
      </sheetData>
      <sheetData sheetId="12471">
        <row r="4">
          <cell r="I4">
            <v>0</v>
          </cell>
        </row>
      </sheetData>
      <sheetData sheetId="12472">
        <row r="4">
          <cell r="I4">
            <v>0</v>
          </cell>
        </row>
      </sheetData>
      <sheetData sheetId="12473">
        <row r="4">
          <cell r="I4">
            <v>0</v>
          </cell>
        </row>
      </sheetData>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sheetData sheetId="12484"/>
      <sheetData sheetId="12485"/>
      <sheetData sheetId="12486" refreshError="1"/>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refreshError="1"/>
      <sheetData sheetId="12506" refreshError="1"/>
      <sheetData sheetId="12507"/>
      <sheetData sheetId="12508"/>
      <sheetData sheetId="12509" refreshError="1"/>
      <sheetData sheetId="12510" refreshError="1"/>
      <sheetData sheetId="12511">
        <row r="4">
          <cell r="I4">
            <v>0</v>
          </cell>
        </row>
      </sheetData>
      <sheetData sheetId="12512" refreshError="1"/>
      <sheetData sheetId="12513" refreshError="1"/>
      <sheetData sheetId="12514" refreshError="1"/>
      <sheetData sheetId="12515">
        <row r="4">
          <cell r="I4">
            <v>0</v>
          </cell>
        </row>
      </sheetData>
      <sheetData sheetId="12516" refreshError="1"/>
      <sheetData sheetId="12517" refreshError="1"/>
      <sheetData sheetId="12518">
        <row r="4">
          <cell r="I4">
            <v>0</v>
          </cell>
        </row>
      </sheetData>
      <sheetData sheetId="12519">
        <row r="4">
          <cell r="I4">
            <v>0</v>
          </cell>
        </row>
      </sheetData>
      <sheetData sheetId="12520">
        <row r="4">
          <cell r="I4">
            <v>0</v>
          </cell>
        </row>
      </sheetData>
      <sheetData sheetId="12521">
        <row r="4">
          <cell r="I4">
            <v>0</v>
          </cell>
        </row>
      </sheetData>
      <sheetData sheetId="12522">
        <row r="4">
          <cell r="I4">
            <v>0</v>
          </cell>
        </row>
      </sheetData>
      <sheetData sheetId="12523">
        <row r="4">
          <cell r="I4">
            <v>0</v>
          </cell>
        </row>
      </sheetData>
      <sheetData sheetId="12524">
        <row r="4">
          <cell r="I4">
            <v>0</v>
          </cell>
        </row>
      </sheetData>
      <sheetData sheetId="12525">
        <row r="4">
          <cell r="I4">
            <v>0</v>
          </cell>
        </row>
      </sheetData>
      <sheetData sheetId="12526"/>
      <sheetData sheetId="12527"/>
      <sheetData sheetId="12528">
        <row r="4">
          <cell r="I4">
            <v>0</v>
          </cell>
        </row>
      </sheetData>
      <sheetData sheetId="12529">
        <row r="4">
          <cell r="I4">
            <v>0</v>
          </cell>
        </row>
      </sheetData>
      <sheetData sheetId="12530">
        <row r="4">
          <cell r="I4">
            <v>0</v>
          </cell>
        </row>
      </sheetData>
      <sheetData sheetId="12531">
        <row r="4">
          <cell r="I4">
            <v>0</v>
          </cell>
        </row>
      </sheetData>
      <sheetData sheetId="12532">
        <row r="4">
          <cell r="I4">
            <v>0</v>
          </cell>
        </row>
      </sheetData>
      <sheetData sheetId="12533">
        <row r="4">
          <cell r="I4">
            <v>0</v>
          </cell>
        </row>
      </sheetData>
      <sheetData sheetId="12534"/>
      <sheetData sheetId="12535"/>
      <sheetData sheetId="12536">
        <row r="4">
          <cell r="I4">
            <v>0</v>
          </cell>
        </row>
      </sheetData>
      <sheetData sheetId="12537">
        <row r="4">
          <cell r="I4">
            <v>0</v>
          </cell>
        </row>
      </sheetData>
      <sheetData sheetId="12538">
        <row r="4">
          <cell r="I4">
            <v>0</v>
          </cell>
        </row>
      </sheetData>
      <sheetData sheetId="12539">
        <row r="4">
          <cell r="I4">
            <v>0</v>
          </cell>
        </row>
      </sheetData>
      <sheetData sheetId="12540">
        <row r="4">
          <cell r="I4">
            <v>0</v>
          </cell>
        </row>
      </sheetData>
      <sheetData sheetId="12541">
        <row r="4">
          <cell r="I4">
            <v>0</v>
          </cell>
        </row>
      </sheetData>
      <sheetData sheetId="12542">
        <row r="4">
          <cell r="I4">
            <v>0</v>
          </cell>
        </row>
      </sheetData>
      <sheetData sheetId="12543">
        <row r="4">
          <cell r="I4">
            <v>0</v>
          </cell>
        </row>
      </sheetData>
      <sheetData sheetId="12544">
        <row r="4">
          <cell r="I4">
            <v>0</v>
          </cell>
        </row>
      </sheetData>
      <sheetData sheetId="12545"/>
      <sheetData sheetId="12546"/>
      <sheetData sheetId="12547"/>
      <sheetData sheetId="12548"/>
      <sheetData sheetId="12549"/>
      <sheetData sheetId="12550">
        <row r="4">
          <cell r="I4">
            <v>0</v>
          </cell>
        </row>
      </sheetData>
      <sheetData sheetId="12551">
        <row r="4">
          <cell r="I4">
            <v>0</v>
          </cell>
        </row>
      </sheetData>
      <sheetData sheetId="12552">
        <row r="4">
          <cell r="I4">
            <v>0</v>
          </cell>
        </row>
      </sheetData>
      <sheetData sheetId="12553">
        <row r="4">
          <cell r="I4">
            <v>0</v>
          </cell>
        </row>
      </sheetData>
      <sheetData sheetId="12554">
        <row r="4">
          <cell r="I4">
            <v>0</v>
          </cell>
        </row>
      </sheetData>
      <sheetData sheetId="12555">
        <row r="4">
          <cell r="I4">
            <v>0</v>
          </cell>
        </row>
      </sheetData>
      <sheetData sheetId="12556">
        <row r="4">
          <cell r="I4">
            <v>0</v>
          </cell>
        </row>
      </sheetData>
      <sheetData sheetId="12557">
        <row r="4">
          <cell r="I4">
            <v>0</v>
          </cell>
        </row>
      </sheetData>
      <sheetData sheetId="12558">
        <row r="4">
          <cell r="I4">
            <v>0</v>
          </cell>
        </row>
      </sheetData>
      <sheetData sheetId="12559">
        <row r="4">
          <cell r="I4">
            <v>0</v>
          </cell>
        </row>
      </sheetData>
      <sheetData sheetId="12560">
        <row r="4">
          <cell r="I4">
            <v>0</v>
          </cell>
        </row>
      </sheetData>
      <sheetData sheetId="12561">
        <row r="4">
          <cell r="I4">
            <v>0</v>
          </cell>
        </row>
      </sheetData>
      <sheetData sheetId="12562">
        <row r="4">
          <cell r="I4">
            <v>0</v>
          </cell>
        </row>
      </sheetData>
      <sheetData sheetId="12563">
        <row r="4">
          <cell r="I4">
            <v>0</v>
          </cell>
        </row>
      </sheetData>
      <sheetData sheetId="12564">
        <row r="4">
          <cell r="I4">
            <v>0</v>
          </cell>
        </row>
      </sheetData>
      <sheetData sheetId="12565">
        <row r="4">
          <cell r="I4">
            <v>0</v>
          </cell>
        </row>
      </sheetData>
      <sheetData sheetId="12566">
        <row r="4">
          <cell r="I4">
            <v>0</v>
          </cell>
        </row>
      </sheetData>
      <sheetData sheetId="12567">
        <row r="4">
          <cell r="I4">
            <v>0</v>
          </cell>
        </row>
      </sheetData>
      <sheetData sheetId="12568">
        <row r="4">
          <cell r="I4">
            <v>0</v>
          </cell>
        </row>
      </sheetData>
      <sheetData sheetId="12569"/>
      <sheetData sheetId="12570"/>
      <sheetData sheetId="12571">
        <row r="4">
          <cell r="I4">
            <v>0</v>
          </cell>
        </row>
      </sheetData>
      <sheetData sheetId="12572">
        <row r="4">
          <cell r="I4">
            <v>0</v>
          </cell>
        </row>
      </sheetData>
      <sheetData sheetId="12573">
        <row r="4">
          <cell r="I4">
            <v>0</v>
          </cell>
        </row>
      </sheetData>
      <sheetData sheetId="12574">
        <row r="4">
          <cell r="I4">
            <v>0</v>
          </cell>
        </row>
      </sheetData>
      <sheetData sheetId="12575">
        <row r="4">
          <cell r="I4">
            <v>0</v>
          </cell>
        </row>
      </sheetData>
      <sheetData sheetId="12576">
        <row r="4">
          <cell r="I4">
            <v>0</v>
          </cell>
        </row>
      </sheetData>
      <sheetData sheetId="12577">
        <row r="4">
          <cell r="I4">
            <v>0</v>
          </cell>
        </row>
      </sheetData>
      <sheetData sheetId="12578">
        <row r="4">
          <cell r="I4">
            <v>0</v>
          </cell>
        </row>
      </sheetData>
      <sheetData sheetId="12579">
        <row r="4">
          <cell r="I4">
            <v>0</v>
          </cell>
        </row>
      </sheetData>
      <sheetData sheetId="12580">
        <row r="4">
          <cell r="I4">
            <v>0</v>
          </cell>
        </row>
      </sheetData>
      <sheetData sheetId="12581">
        <row r="4">
          <cell r="I4">
            <v>0</v>
          </cell>
        </row>
      </sheetData>
      <sheetData sheetId="12582">
        <row r="4">
          <cell r="I4">
            <v>0</v>
          </cell>
        </row>
      </sheetData>
      <sheetData sheetId="12583">
        <row r="4">
          <cell r="I4">
            <v>0</v>
          </cell>
        </row>
      </sheetData>
      <sheetData sheetId="12584">
        <row r="4">
          <cell r="I4">
            <v>0</v>
          </cell>
        </row>
      </sheetData>
      <sheetData sheetId="12585">
        <row r="4">
          <cell r="I4">
            <v>0</v>
          </cell>
        </row>
      </sheetData>
      <sheetData sheetId="12586">
        <row r="4">
          <cell r="I4">
            <v>0</v>
          </cell>
        </row>
      </sheetData>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row r="4">
          <cell r="I4">
            <v>0</v>
          </cell>
        </row>
      </sheetData>
      <sheetData sheetId="12608">
        <row r="4">
          <cell r="I4">
            <v>0</v>
          </cell>
        </row>
      </sheetData>
      <sheetData sheetId="12609">
        <row r="4">
          <cell r="I4">
            <v>0</v>
          </cell>
        </row>
      </sheetData>
      <sheetData sheetId="12610">
        <row r="4">
          <cell r="I4">
            <v>0</v>
          </cell>
        </row>
      </sheetData>
      <sheetData sheetId="12611">
        <row r="4">
          <cell r="I4">
            <v>0</v>
          </cell>
        </row>
      </sheetData>
      <sheetData sheetId="12612"/>
      <sheetData sheetId="12613" refreshError="1"/>
      <sheetData sheetId="12614"/>
      <sheetData sheetId="12615"/>
      <sheetData sheetId="12616"/>
      <sheetData sheetId="12617"/>
      <sheetData sheetId="12618" refreshError="1"/>
      <sheetData sheetId="12619" refreshError="1"/>
      <sheetData sheetId="12620" refreshError="1"/>
      <sheetData sheetId="12621" refreshError="1"/>
      <sheetData sheetId="12622" refreshError="1"/>
      <sheetData sheetId="12623" refreshError="1"/>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row r="4">
          <cell r="I4">
            <v>0</v>
          </cell>
        </row>
      </sheetData>
      <sheetData sheetId="12645"/>
      <sheetData sheetId="12646"/>
      <sheetData sheetId="12647"/>
      <sheetData sheetId="12648"/>
      <sheetData sheetId="12649"/>
      <sheetData sheetId="12650">
        <row r="4">
          <cell r="I4">
            <v>0</v>
          </cell>
        </row>
      </sheetData>
      <sheetData sheetId="12651">
        <row r="4">
          <cell r="I4">
            <v>0</v>
          </cell>
        </row>
      </sheetData>
      <sheetData sheetId="12652">
        <row r="4">
          <cell r="I4">
            <v>0</v>
          </cell>
        </row>
      </sheetData>
      <sheetData sheetId="12653">
        <row r="4">
          <cell r="I4">
            <v>0</v>
          </cell>
        </row>
      </sheetData>
      <sheetData sheetId="12654">
        <row r="4">
          <cell r="I4">
            <v>0</v>
          </cell>
        </row>
      </sheetData>
      <sheetData sheetId="12655">
        <row r="4">
          <cell r="I4">
            <v>0</v>
          </cell>
        </row>
      </sheetData>
      <sheetData sheetId="12656">
        <row r="4">
          <cell r="I4">
            <v>0</v>
          </cell>
        </row>
      </sheetData>
      <sheetData sheetId="12657">
        <row r="4">
          <cell r="I4">
            <v>0</v>
          </cell>
        </row>
      </sheetData>
      <sheetData sheetId="12658">
        <row r="4">
          <cell r="I4">
            <v>0</v>
          </cell>
        </row>
      </sheetData>
      <sheetData sheetId="12659">
        <row r="4">
          <cell r="I4">
            <v>0</v>
          </cell>
        </row>
      </sheetData>
      <sheetData sheetId="12660">
        <row r="4">
          <cell r="I4">
            <v>0</v>
          </cell>
        </row>
      </sheetData>
      <sheetData sheetId="12661">
        <row r="4">
          <cell r="I4">
            <v>0</v>
          </cell>
        </row>
      </sheetData>
      <sheetData sheetId="12662" refreshError="1"/>
      <sheetData sheetId="12663" refreshError="1"/>
      <sheetData sheetId="12664" refreshError="1"/>
      <sheetData sheetId="12665" refreshError="1"/>
      <sheetData sheetId="12666" refreshError="1"/>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row r="4">
          <cell r="I4">
            <v>0</v>
          </cell>
        </row>
      </sheetData>
      <sheetData sheetId="12681">
        <row r="4">
          <cell r="I4">
            <v>0</v>
          </cell>
        </row>
      </sheetData>
      <sheetData sheetId="12682" refreshError="1"/>
      <sheetData sheetId="12683" refreshError="1"/>
      <sheetData sheetId="12684" refreshError="1"/>
      <sheetData sheetId="12685"/>
      <sheetData sheetId="12686"/>
      <sheetData sheetId="12687"/>
      <sheetData sheetId="12688"/>
      <sheetData sheetId="12689"/>
      <sheetData sheetId="12690" refreshError="1"/>
      <sheetData sheetId="12691" refreshError="1"/>
      <sheetData sheetId="12692" refreshError="1"/>
      <sheetData sheetId="12693">
        <row r="4">
          <cell r="I4">
            <v>0</v>
          </cell>
        </row>
      </sheetData>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sheetData sheetId="12709"/>
      <sheetData sheetId="12710"/>
      <sheetData sheetId="12711"/>
      <sheetData sheetId="12712"/>
      <sheetData sheetId="12713"/>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sheetData sheetId="12732"/>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sheetData sheetId="12761"/>
      <sheetData sheetId="12762"/>
      <sheetData sheetId="12763" refreshError="1"/>
      <sheetData sheetId="12764" refreshError="1"/>
      <sheetData sheetId="12765"/>
      <sheetData sheetId="12766"/>
      <sheetData sheetId="12767"/>
      <sheetData sheetId="12768"/>
      <sheetData sheetId="12769"/>
      <sheetData sheetId="12770"/>
      <sheetData sheetId="12771"/>
      <sheetData sheetId="12772">
        <row r="4">
          <cell r="I4">
            <v>0</v>
          </cell>
        </row>
      </sheetData>
      <sheetData sheetId="12773"/>
      <sheetData sheetId="12774"/>
      <sheetData sheetId="12775"/>
      <sheetData sheetId="12776">
        <row r="4">
          <cell r="I4">
            <v>0</v>
          </cell>
        </row>
      </sheetData>
      <sheetData sheetId="12777">
        <row r="4">
          <cell r="I4">
            <v>0</v>
          </cell>
        </row>
      </sheetData>
      <sheetData sheetId="12778">
        <row r="4">
          <cell r="I4">
            <v>0</v>
          </cell>
        </row>
      </sheetData>
      <sheetData sheetId="12779"/>
      <sheetData sheetId="12780" refreshError="1"/>
      <sheetData sheetId="12781" refreshError="1"/>
      <sheetData sheetId="12782"/>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sheetData sheetId="12796"/>
      <sheetData sheetId="12797"/>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sheetData sheetId="12808" refreshError="1"/>
      <sheetData sheetId="12809" refreshError="1"/>
      <sheetData sheetId="12810" refreshError="1"/>
      <sheetData sheetId="12811" refreshError="1"/>
      <sheetData sheetId="12812" refreshError="1"/>
      <sheetData sheetId="12813" refreshError="1"/>
      <sheetData sheetId="12814"/>
      <sheetData sheetId="12815"/>
      <sheetData sheetId="12816"/>
      <sheetData sheetId="12817"/>
      <sheetData sheetId="12818"/>
      <sheetData sheetId="12819"/>
      <sheetData sheetId="12820"/>
      <sheetData sheetId="12821"/>
      <sheetData sheetId="12822"/>
      <sheetData sheetId="12823" refreshError="1"/>
      <sheetData sheetId="12824"/>
      <sheetData sheetId="12825"/>
      <sheetData sheetId="12826"/>
      <sheetData sheetId="12827"/>
      <sheetData sheetId="12828" refreshError="1"/>
      <sheetData sheetId="12829" refreshError="1"/>
      <sheetData sheetId="12830"/>
      <sheetData sheetId="12831">
        <row r="4">
          <cell r="I4">
            <v>0</v>
          </cell>
        </row>
      </sheetData>
      <sheetData sheetId="12832">
        <row r="4">
          <cell r="I4">
            <v>0</v>
          </cell>
        </row>
      </sheetData>
      <sheetData sheetId="12833">
        <row r="4">
          <cell r="I4">
            <v>0</v>
          </cell>
        </row>
      </sheetData>
      <sheetData sheetId="12834">
        <row r="4">
          <cell r="I4">
            <v>0</v>
          </cell>
        </row>
      </sheetData>
      <sheetData sheetId="12835">
        <row r="4">
          <cell r="I4">
            <v>0</v>
          </cell>
        </row>
      </sheetData>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sheetData sheetId="12888" refreshError="1"/>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refreshError="1"/>
      <sheetData sheetId="12926"/>
      <sheetData sheetId="12927"/>
      <sheetData sheetId="12928"/>
      <sheetData sheetId="12929" refreshError="1"/>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sheetData sheetId="12953"/>
      <sheetData sheetId="12954"/>
      <sheetData sheetId="12955">
        <row r="4">
          <cell r="I4">
            <v>0</v>
          </cell>
        </row>
      </sheetData>
      <sheetData sheetId="12956"/>
      <sheetData sheetId="12957"/>
      <sheetData sheetId="12958">
        <row r="4">
          <cell r="I4">
            <v>0</v>
          </cell>
        </row>
      </sheetData>
      <sheetData sheetId="12959">
        <row r="4">
          <cell r="I4">
            <v>0</v>
          </cell>
        </row>
      </sheetData>
      <sheetData sheetId="12960">
        <row r="4">
          <cell r="I4">
            <v>0</v>
          </cell>
        </row>
      </sheetData>
      <sheetData sheetId="12961">
        <row r="4">
          <cell r="I4">
            <v>0</v>
          </cell>
        </row>
      </sheetData>
      <sheetData sheetId="12962">
        <row r="4">
          <cell r="I4">
            <v>0</v>
          </cell>
        </row>
      </sheetData>
      <sheetData sheetId="12963">
        <row r="4">
          <cell r="I4">
            <v>0</v>
          </cell>
        </row>
      </sheetData>
      <sheetData sheetId="12964">
        <row r="4">
          <cell r="I4">
            <v>0</v>
          </cell>
        </row>
      </sheetData>
      <sheetData sheetId="12965">
        <row r="4">
          <cell r="I4">
            <v>0</v>
          </cell>
        </row>
      </sheetData>
      <sheetData sheetId="12966">
        <row r="4">
          <cell r="I4">
            <v>0</v>
          </cell>
        </row>
      </sheetData>
      <sheetData sheetId="12967"/>
      <sheetData sheetId="12968"/>
      <sheetData sheetId="12969"/>
      <sheetData sheetId="12970"/>
      <sheetData sheetId="12971"/>
      <sheetData sheetId="12972"/>
      <sheetData sheetId="12973"/>
      <sheetData sheetId="12974"/>
      <sheetData sheetId="12975"/>
      <sheetData sheetId="12976"/>
      <sheetData sheetId="12977">
        <row r="4">
          <cell r="I4">
            <v>0</v>
          </cell>
        </row>
      </sheetData>
      <sheetData sheetId="12978">
        <row r="4">
          <cell r="I4">
            <v>0</v>
          </cell>
        </row>
      </sheetData>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sheetData sheetId="13040" refreshError="1"/>
      <sheetData sheetId="13041" refreshError="1"/>
      <sheetData sheetId="13042" refreshError="1"/>
      <sheetData sheetId="13043" refreshError="1"/>
      <sheetData sheetId="13044" refreshError="1"/>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ow r="4">
          <cell r="I4">
            <v>0</v>
          </cell>
        </row>
      </sheetData>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ow r="4">
          <cell r="I4">
            <v>0</v>
          </cell>
        </row>
      </sheetData>
      <sheetData sheetId="13945"/>
      <sheetData sheetId="13946"/>
      <sheetData sheetId="13947"/>
      <sheetData sheetId="13948" refreshError="1"/>
      <sheetData sheetId="13949" refreshError="1"/>
      <sheetData sheetId="13950" refreshError="1"/>
      <sheetData sheetId="13951"/>
      <sheetData sheetId="13952"/>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sheetData sheetId="13971" refreshError="1"/>
      <sheetData sheetId="13972"/>
      <sheetData sheetId="13973" refreshError="1"/>
      <sheetData sheetId="13974" refreshError="1"/>
      <sheetData sheetId="13975"/>
      <sheetData sheetId="13976"/>
      <sheetData sheetId="13977"/>
      <sheetData sheetId="13978"/>
      <sheetData sheetId="13979" refreshError="1"/>
      <sheetData sheetId="13980"/>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ow r="4">
          <cell r="I4">
            <v>0</v>
          </cell>
        </row>
      </sheetData>
      <sheetData sheetId="14027">
        <row r="4">
          <cell r="I4">
            <v>0</v>
          </cell>
        </row>
      </sheetData>
      <sheetData sheetId="14028">
        <row r="4">
          <cell r="I4">
            <v>0</v>
          </cell>
        </row>
      </sheetData>
      <sheetData sheetId="14029">
        <row r="4">
          <cell r="I4">
            <v>0</v>
          </cell>
        </row>
      </sheetData>
      <sheetData sheetId="14030">
        <row r="4">
          <cell r="I4">
            <v>0</v>
          </cell>
        </row>
      </sheetData>
      <sheetData sheetId="14031">
        <row r="4">
          <cell r="I4">
            <v>0</v>
          </cell>
        </row>
      </sheetData>
      <sheetData sheetId="14032">
        <row r="4">
          <cell r="I4">
            <v>0</v>
          </cell>
        </row>
      </sheetData>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refreshError="1"/>
      <sheetData sheetId="14050" refreshError="1"/>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refreshError="1"/>
      <sheetData sheetId="14067" refreshError="1"/>
      <sheetData sheetId="14068"/>
      <sheetData sheetId="14069"/>
      <sheetData sheetId="14070"/>
      <sheetData sheetId="14071"/>
      <sheetData sheetId="14072"/>
      <sheetData sheetId="14073"/>
      <sheetData sheetId="14074"/>
      <sheetData sheetId="14075"/>
      <sheetData sheetId="14076"/>
      <sheetData sheetId="14077"/>
      <sheetData sheetId="14078"/>
      <sheetData sheetId="14079" refreshError="1"/>
      <sheetData sheetId="14080" refreshError="1"/>
      <sheetData sheetId="14081" refreshError="1"/>
      <sheetData sheetId="14082"/>
      <sheetData sheetId="14083"/>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refreshError="1"/>
      <sheetData sheetId="14110">
        <row r="4">
          <cell r="I4">
            <v>0</v>
          </cell>
        </row>
      </sheetData>
      <sheetData sheetId="14111">
        <row r="4">
          <cell r="I4">
            <v>0</v>
          </cell>
        </row>
      </sheetData>
      <sheetData sheetId="14112">
        <row r="4">
          <cell r="I4">
            <v>0</v>
          </cell>
        </row>
      </sheetData>
      <sheetData sheetId="14113">
        <row r="4">
          <cell r="I4">
            <v>0</v>
          </cell>
        </row>
      </sheetData>
      <sheetData sheetId="14114">
        <row r="4">
          <cell r="I4">
            <v>0</v>
          </cell>
        </row>
      </sheetData>
      <sheetData sheetId="14115">
        <row r="4">
          <cell r="I4">
            <v>0</v>
          </cell>
        </row>
      </sheetData>
      <sheetData sheetId="14116">
        <row r="4">
          <cell r="I4">
            <v>0</v>
          </cell>
        </row>
      </sheetData>
      <sheetData sheetId="14117">
        <row r="4">
          <cell r="I4">
            <v>0</v>
          </cell>
        </row>
      </sheetData>
      <sheetData sheetId="14118">
        <row r="4">
          <cell r="I4">
            <v>0</v>
          </cell>
        </row>
      </sheetData>
      <sheetData sheetId="14119">
        <row r="4">
          <cell r="I4">
            <v>0</v>
          </cell>
        </row>
      </sheetData>
      <sheetData sheetId="14120">
        <row r="4">
          <cell r="I4">
            <v>0</v>
          </cell>
        </row>
      </sheetData>
      <sheetData sheetId="14121">
        <row r="4">
          <cell r="I4">
            <v>0</v>
          </cell>
        </row>
      </sheetData>
      <sheetData sheetId="14122">
        <row r="4">
          <cell r="I4">
            <v>0</v>
          </cell>
        </row>
      </sheetData>
      <sheetData sheetId="14123">
        <row r="4">
          <cell r="I4">
            <v>0</v>
          </cell>
        </row>
      </sheetData>
      <sheetData sheetId="14124">
        <row r="4">
          <cell r="I4">
            <v>0</v>
          </cell>
        </row>
      </sheetData>
      <sheetData sheetId="14125">
        <row r="4">
          <cell r="I4">
            <v>0</v>
          </cell>
        </row>
      </sheetData>
      <sheetData sheetId="14126">
        <row r="4">
          <cell r="I4">
            <v>0</v>
          </cell>
        </row>
      </sheetData>
      <sheetData sheetId="14127">
        <row r="4">
          <cell r="I4">
            <v>0</v>
          </cell>
        </row>
      </sheetData>
      <sheetData sheetId="14128">
        <row r="4">
          <cell r="I4">
            <v>0</v>
          </cell>
        </row>
      </sheetData>
      <sheetData sheetId="14129">
        <row r="4">
          <cell r="I4">
            <v>0</v>
          </cell>
        </row>
      </sheetData>
      <sheetData sheetId="14130"/>
      <sheetData sheetId="14131"/>
      <sheetData sheetId="14132"/>
      <sheetData sheetId="14133" refreshError="1"/>
      <sheetData sheetId="14134" refreshError="1"/>
      <sheetData sheetId="14135" refreshError="1"/>
      <sheetData sheetId="14136" refreshError="1"/>
      <sheetData sheetId="14137" refreshError="1"/>
      <sheetData sheetId="14138"/>
      <sheetData sheetId="14139"/>
      <sheetData sheetId="14140"/>
      <sheetData sheetId="14141"/>
      <sheetData sheetId="14142" refreshError="1"/>
      <sheetData sheetId="14143" refreshError="1"/>
      <sheetData sheetId="14144" refreshError="1"/>
      <sheetData sheetId="14145"/>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sheetData sheetId="14479"/>
      <sheetData sheetId="14480"/>
      <sheetData sheetId="14481"/>
      <sheetData sheetId="14482"/>
      <sheetData sheetId="14483"/>
      <sheetData sheetId="14484"/>
      <sheetData sheetId="14485"/>
      <sheetData sheetId="14486"/>
      <sheetData sheetId="14487"/>
      <sheetData sheetId="14488"/>
      <sheetData sheetId="14489">
        <row r="4">
          <cell r="I4">
            <v>0</v>
          </cell>
        </row>
      </sheetData>
      <sheetData sheetId="14490"/>
      <sheetData sheetId="14491"/>
      <sheetData sheetId="14492"/>
      <sheetData sheetId="14493">
        <row r="4">
          <cell r="I4">
            <v>0</v>
          </cell>
        </row>
      </sheetData>
      <sheetData sheetId="14494">
        <row r="4">
          <cell r="I4">
            <v>0</v>
          </cell>
        </row>
      </sheetData>
      <sheetData sheetId="14495">
        <row r="4">
          <cell r="I4">
            <v>0</v>
          </cell>
        </row>
      </sheetData>
      <sheetData sheetId="14496">
        <row r="4">
          <cell r="I4">
            <v>0</v>
          </cell>
        </row>
      </sheetData>
      <sheetData sheetId="14497">
        <row r="4">
          <cell r="I4">
            <v>0</v>
          </cell>
        </row>
      </sheetData>
      <sheetData sheetId="14498">
        <row r="4">
          <cell r="I4">
            <v>0</v>
          </cell>
        </row>
      </sheetData>
      <sheetData sheetId="14499">
        <row r="4">
          <cell r="I4">
            <v>0</v>
          </cell>
        </row>
      </sheetData>
      <sheetData sheetId="14500">
        <row r="4">
          <cell r="I4">
            <v>0</v>
          </cell>
        </row>
      </sheetData>
      <sheetData sheetId="14501">
        <row r="4">
          <cell r="I4">
            <v>0</v>
          </cell>
        </row>
      </sheetData>
      <sheetData sheetId="14502"/>
      <sheetData sheetId="14503">
        <row r="4">
          <cell r="I4">
            <v>0</v>
          </cell>
        </row>
      </sheetData>
      <sheetData sheetId="14504"/>
      <sheetData sheetId="14505"/>
      <sheetData sheetId="14506"/>
      <sheetData sheetId="14507"/>
      <sheetData sheetId="14508"/>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sheetData sheetId="14525"/>
      <sheetData sheetId="14526"/>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sheetData sheetId="14556"/>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sheetData sheetId="14610"/>
      <sheetData sheetId="14611"/>
      <sheetData sheetId="14612"/>
      <sheetData sheetId="14613"/>
      <sheetData sheetId="14614" refreshError="1"/>
      <sheetData sheetId="14615" refreshError="1"/>
      <sheetData sheetId="14616" refreshError="1"/>
      <sheetData sheetId="14617"/>
      <sheetData sheetId="14618"/>
      <sheetData sheetId="14619"/>
      <sheetData sheetId="14620"/>
      <sheetData sheetId="14621"/>
      <sheetData sheetId="14622"/>
      <sheetData sheetId="14623"/>
      <sheetData sheetId="14624"/>
      <sheetData sheetId="14625"/>
      <sheetData sheetId="14626"/>
      <sheetData sheetId="14627"/>
      <sheetData sheetId="14628" refreshError="1"/>
      <sheetData sheetId="14629" refreshError="1"/>
      <sheetData sheetId="14630" refreshError="1"/>
      <sheetData sheetId="14631"/>
      <sheetData sheetId="14632"/>
      <sheetData sheetId="14633"/>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sheetData sheetId="14665"/>
      <sheetData sheetId="14666" refreshError="1"/>
      <sheetData sheetId="14667">
        <row r="4">
          <cell r="I4">
            <v>0</v>
          </cell>
        </row>
      </sheetData>
      <sheetData sheetId="14668" refreshError="1"/>
      <sheetData sheetId="14669"/>
      <sheetData sheetId="14670"/>
      <sheetData sheetId="14671"/>
      <sheetData sheetId="14672"/>
      <sheetData sheetId="14673" refreshError="1"/>
      <sheetData sheetId="14674"/>
      <sheetData sheetId="14675" refreshError="1"/>
      <sheetData sheetId="14676" refreshError="1"/>
      <sheetData sheetId="14677" refreshError="1"/>
      <sheetData sheetId="14678" refreshError="1"/>
      <sheetData sheetId="14679"/>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sheetData sheetId="14693"/>
      <sheetData sheetId="14694"/>
      <sheetData sheetId="14695"/>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sheetData sheetId="14787">
        <row r="4">
          <cell r="I4">
            <v>0</v>
          </cell>
        </row>
      </sheetData>
      <sheetData sheetId="14788"/>
      <sheetData sheetId="14789"/>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sheetData sheetId="14806"/>
      <sheetData sheetId="14807"/>
      <sheetData sheetId="14808"/>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sheetData sheetId="14835" refreshError="1"/>
      <sheetData sheetId="14836" refreshError="1"/>
      <sheetData sheetId="14837" refreshError="1"/>
      <sheetData sheetId="14838" refreshError="1"/>
      <sheetData sheetId="14839"/>
      <sheetData sheetId="14840"/>
      <sheetData sheetId="14841"/>
      <sheetData sheetId="14842">
        <row r="4">
          <cell r="I4">
            <v>0</v>
          </cell>
        </row>
      </sheetData>
      <sheetData sheetId="14843" refreshError="1"/>
      <sheetData sheetId="14844" refreshError="1"/>
      <sheetData sheetId="14845" refreshError="1"/>
      <sheetData sheetId="14846" refreshError="1"/>
      <sheetData sheetId="14847" refreshError="1"/>
      <sheetData sheetId="14848" refreshError="1"/>
      <sheetData sheetId="14849"/>
      <sheetData sheetId="14850"/>
      <sheetData sheetId="14851">
        <row r="4">
          <cell r="I4">
            <v>0</v>
          </cell>
        </row>
      </sheetData>
      <sheetData sheetId="14852">
        <row r="4">
          <cell r="I4">
            <v>0</v>
          </cell>
        </row>
      </sheetData>
      <sheetData sheetId="14853" refreshError="1"/>
      <sheetData sheetId="14854">
        <row r="4">
          <cell r="I4">
            <v>0</v>
          </cell>
        </row>
      </sheetData>
      <sheetData sheetId="14855">
        <row r="4">
          <cell r="I4">
            <v>0</v>
          </cell>
        </row>
      </sheetData>
      <sheetData sheetId="14856" refreshError="1"/>
      <sheetData sheetId="14857" refreshError="1"/>
      <sheetData sheetId="14858" refreshError="1"/>
      <sheetData sheetId="14859" refreshError="1"/>
      <sheetData sheetId="14860">
        <row r="4">
          <cell r="I4">
            <v>0</v>
          </cell>
        </row>
      </sheetData>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ow r="4">
          <cell r="I4">
            <v>0</v>
          </cell>
        </row>
      </sheetData>
      <sheetData sheetId="14875">
        <row r="4">
          <cell r="I4">
            <v>0</v>
          </cell>
        </row>
      </sheetData>
      <sheetData sheetId="14876">
        <row r="4">
          <cell r="I4">
            <v>0</v>
          </cell>
        </row>
      </sheetData>
      <sheetData sheetId="14877">
        <row r="4">
          <cell r="I4">
            <v>0</v>
          </cell>
        </row>
      </sheetData>
      <sheetData sheetId="14878" refreshError="1"/>
      <sheetData sheetId="14879">
        <row r="4">
          <cell r="I4">
            <v>0</v>
          </cell>
        </row>
      </sheetData>
      <sheetData sheetId="14880">
        <row r="4">
          <cell r="I4">
            <v>0</v>
          </cell>
        </row>
      </sheetData>
      <sheetData sheetId="14881" refreshError="1"/>
      <sheetData sheetId="14882">
        <row r="4">
          <cell r="I4">
            <v>0</v>
          </cell>
        </row>
      </sheetData>
      <sheetData sheetId="14883">
        <row r="4">
          <cell r="I4">
            <v>0</v>
          </cell>
        </row>
      </sheetData>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sheetData sheetId="14892"/>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sheetData sheetId="14903"/>
      <sheetData sheetId="14904"/>
      <sheetData sheetId="14905"/>
      <sheetData sheetId="14906"/>
      <sheetData sheetId="1490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d02"/>
      <sheetName val="HDS"/>
      <sheetName val="#REF"/>
      <sheetName val="index"/>
      <sheetName val="Switchboard"/>
      <sheetName val="CAB.XLS"/>
      <sheetName val="SCADO"/>
      <sheetName val="Sheet1"/>
      <sheetName val="Sheet2"/>
      <sheetName val="Sheet3"/>
      <sheetName val="MCC's"/>
      <sheetName val="Unit List"/>
      <sheetName val="Cable Type"/>
      <sheetName val="cnsinf"/>
      <sheetName val="MCC-21-1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2"/>
      <sheetName val="bal6"/>
      <sheetName val="bal11"/>
      <sheetName val="bal12"/>
      <sheetName val="ID"/>
      <sheetName val="check"/>
      <sheetName val="DESIGN"/>
      <sheetName val="WINDOW"/>
      <sheetName val="wileas"/>
      <sheetName val="suleas"/>
      <sheetName val="bal1"/>
      <sheetName val="Sheet1"/>
      <sheetName val="bal5"/>
      <sheetName val="L"/>
      <sheetName val="SV"/>
      <sheetName val="VUOTO"/>
      <sheetName val="SILICATE"/>
      <sheetName val="反応速度式検討"/>
      <sheetName val="BBSS(B-70）"/>
      <sheetName val="10241PIP1ON-SITE"/>
      <sheetName val="10241EQLIST"/>
      <sheetName val="FAB별"/>
      <sheetName val="PARAMETRES"/>
      <sheetName val="Project Metrics"/>
      <sheetName val="Overall"/>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HIEVED-REPORT"/>
      <sheetName val="PROCPLAN-TOTAL"/>
      <sheetName val="Delivery Follow  Up Plan"/>
      <sheetName val="Critical Item List"/>
      <sheetName val="Resp "/>
      <sheetName val="Delivery_Follow__Up_Plan"/>
      <sheetName val="Critical_Item_List"/>
      <sheetName val="Resp_"/>
      <sheetName val="Delivery_Follow__Up_Plan1"/>
      <sheetName val="Critical_Item_List1"/>
      <sheetName val="Resp_1"/>
      <sheetName val="OF-PD38 Summary"/>
      <sheetName val="Diffuser"/>
      <sheetName val="BEU btm nozz @ tsht"/>
      <sheetName val="Backup"/>
      <sheetName val="FIRE"/>
      <sheetName val="Summary"/>
      <sheetName val="401_1"/>
      <sheetName val="401_2"/>
      <sheetName val="401_3"/>
      <sheetName val="401_4"/>
      <sheetName val="401_5"/>
      <sheetName val="401_7"/>
      <sheetName val="Cover Sheet"/>
      <sheetName val="Notes"/>
      <sheetName val="Page 1 of 5"/>
      <sheetName val="BQMPALOC"/>
      <sheetName val="ProSteam Config"/>
      <sheetName val="Quantity"/>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P. 2"/>
      <sheetName val="P. 3"/>
      <sheetName val="P. 4"/>
      <sheetName val="P. 5"/>
      <sheetName val="P. 6"/>
      <sheetName val="P. 7"/>
      <sheetName val="P. 8"/>
      <sheetName val="P. 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A4"/>
      <sheetName val="bal11"/>
      <sheetName val="bal12"/>
      <sheetName val="bal6"/>
      <sheetName val="SV"/>
      <sheetName val="contactor"/>
      <sheetName val="Pipe Calc"/>
      <sheetName val="B-1100C触媒量"/>
      <sheetName va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V"/>
      <sheetName val="2.0-A4"/>
      <sheetName val="bal11"/>
      <sheetName val="bal12"/>
      <sheetName val="bal6"/>
      <sheetName val="PLANT"/>
      <sheetName val="INSTRUMENT"/>
      <sheetName val="SpecITEM"/>
      <sheetName val="LINE_Sc"/>
      <sheetName val="MOTOR"/>
      <sheetName val="SILICATE"/>
      <sheetName val="Equipment List"/>
      <sheetName val="OPE_MAN"/>
      <sheetName val="04暖通"/>
      <sheetName val="反応速度式検討"/>
      <sheetName val="COA Sumry - Std Imp"/>
      <sheetName val="COA Sumry by Area"/>
      <sheetName val="COA Sumry by RG"/>
      <sheetName val="Contr TDC - Std Imp"/>
      <sheetName val="Item Sumry - Std Imp"/>
      <sheetName val="List - Equipment"/>
      <sheetName val="Proj TIC - Std Imp"/>
      <sheetName val="Project Metrics"/>
      <sheetName val="TDC COA Grp Sumry"/>
      <sheetName val="TDC COA Sumry"/>
      <sheetName val="TDC Item Dets"/>
      <sheetName val="TDC Item Dets-IPM-Full"/>
      <sheetName val="TDC Item Sumry"/>
      <sheetName val="TDC Key Qty Sumry"/>
      <sheetName val="Unit Costs - Std Imp"/>
      <sheetName val="Unit MH - Std Imp"/>
      <sheetName val="List - Components"/>
      <sheetName val="TDC Item Dets-Full"/>
      <sheetName val="COA Sumry by Contr"/>
      <sheetName val="B-1100C触媒量"/>
      <sheetName val="UOP"/>
      <sheetName val="Unit"/>
      <sheetName val="Project, Costs Sum"/>
      <sheetName val="401_1"/>
      <sheetName val="401_2"/>
      <sheetName val="401_3"/>
      <sheetName val="401_4"/>
      <sheetName val="401_5"/>
      <sheetName val="401_7"/>
      <sheetName val="Cover Sheet"/>
      <sheetName val="Notes"/>
      <sheetName val="na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A4-COVER"/>
      <sheetName val="COVER"/>
      <sheetName val="Fluid List"/>
      <sheetName val="Unit"/>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lyleaf"/>
      <sheetName val="A4-COVER"/>
      <sheetName val="Vessels"/>
      <sheetName val="Rotating"/>
      <sheetName val="Other"/>
      <sheetName val="Parameters"/>
      <sheetName val="Notice"/>
      <sheetName val="Excel procedure"/>
      <sheetName val="Attached fi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se II"/>
      <sheetName val="standard list"/>
      <sheetName val="phase I"/>
      <sheetName val="loaddata"/>
      <sheetName val="cable"/>
      <sheetName val="contactor"/>
      <sheetName val="lightning"/>
      <sheetName val="equipmentlist"/>
      <sheetName val="cableselection"/>
      <sheetName val="DOCLIST"/>
      <sheetName val="OD"/>
      <sheetName val="sheet1"/>
      <sheetName val="Sheet2"/>
      <sheetName val="Sheet3"/>
      <sheetName val="PLANT"/>
      <sheetName val="INSTRUMENT"/>
      <sheetName val="SpecITEM"/>
      <sheetName val="LINE_Sc"/>
      <sheetName val="MOTOR"/>
      <sheetName val="Harding+SATS-07"/>
      <sheetName val="ERDP7AV3"/>
      <sheetName val="ELEC"/>
      <sheetName val="G.1R-Shou COP Gf"/>
      <sheetName val="AD ST"/>
      <sheetName val="MH Compensate-Nov"/>
      <sheetName val="CTRs (HOURS) "/>
      <sheetName val="NOTES"/>
      <sheetName val="MH(on site)"/>
      <sheetName val="#REF!"/>
      <sheetName val="计算稿"/>
      <sheetName val="SPEC SHEET"/>
      <sheetName val="明细表 "/>
      <sheetName val="C5-201-CB-Concrete"/>
      <sheetName val="C5-201-TB-Concrete"/>
      <sheetName val="C5-271-TB-IW"/>
      <sheetName val="C5-212-CB-EW"/>
      <sheetName val="C5-224-CB-Roof"/>
      <sheetName val="C5-231-CB-Earthing"/>
      <sheetName val="C5-271-CB-IW"/>
      <sheetName val="C5-281-CB-FF "/>
      <sheetName val="C5-282-CB-IWF"/>
      <sheetName val="C5-283-CB-CF"/>
      <sheetName val="C5-CB Provisional"/>
      <sheetName val="C5-212-TB-EW"/>
      <sheetName val="C5-213-TB-Steel"/>
      <sheetName val="C5-224-TB-Roof"/>
      <sheetName val="C5-231-TB-Earthing"/>
      <sheetName val="C5-281-TB-FF"/>
      <sheetName val="C5-282-TB-IWF"/>
      <sheetName val="C5-283-TB-CF"/>
      <sheetName val="C5-coordinate"/>
      <sheetName val="C5-TB-Option"/>
      <sheetName val="C5 Provisional"/>
      <sheetName val="C5-200-Prelims"/>
      <sheetName val="C5-200-HSE"/>
      <sheetName val="RFP012"/>
      <sheetName val="多媒体查询"/>
      <sheetName val="中心机房"/>
      <sheetName val="会议"/>
      <sheetName val="公共广播"/>
      <sheetName val="停车场"/>
      <sheetName val="PDS"/>
      <sheetName val="移动通信"/>
      <sheetName val="BA"/>
      <sheetName val="物业"/>
      <sheetName val="防雷接地"/>
      <sheetName val="Open"/>
      <sheetName val="Labor Rates"/>
      <sheetName val="loaddt2"/>
      <sheetName val="Summary"/>
      <sheetName val="Summary "/>
      <sheetName val="Process Piping"/>
      <sheetName val="C11-2(103)-Prelims"/>
      <sheetName val="140TT447"/>
      <sheetName val="3"/>
      <sheetName val="Lagerhalle"/>
      <sheetName val="加压气化606ab工艺综合单价分析表"/>
      <sheetName val="lookups"/>
      <sheetName val="RFP002"/>
      <sheetName val="工业炉"/>
      <sheetName val="04暖通"/>
      <sheetName val="resu"/>
      <sheetName val="SPEC"/>
      <sheetName val="Area"/>
      <sheetName val="373A"/>
      <sheetName val="703r"/>
      <sheetName val="702r"/>
      <sheetName val="Dropdown LISTs"/>
      <sheetName val="Estimate Details"/>
      <sheetName val="April"/>
      <sheetName val="CFS3"/>
      <sheetName val="合成単価作成表-BLDG"/>
      <sheetName val="10 barg Steam_Cond"/>
      <sheetName val="mesc"/>
      <sheetName val="Pricing"/>
      <sheetName val="code"/>
      <sheetName val="GPP"/>
      <sheetName val="Rate"/>
      <sheetName val="P1260Projected.5700 Detail"/>
      <sheetName val="P852.5000 Detail"/>
      <sheetName val="P854.5000 Detail"/>
      <sheetName val="P856.5000 Detail"/>
      <sheetName val="P858.5000 Detail"/>
      <sheetName val="P860Baseline.5000 Detail"/>
      <sheetName val="Macro1"/>
      <sheetName val="401_1"/>
      <sheetName val="401_2"/>
      <sheetName val="401_3"/>
      <sheetName val="401_4"/>
      <sheetName val="401_5"/>
      <sheetName val="401_7"/>
      <sheetName val="Cover Sheet"/>
      <sheetName val="utility"/>
      <sheetName val="Register"/>
      <sheetName val="Pull-Down Menus"/>
      <sheetName val="PB for Mapping"/>
      <sheetName val="Project Data Page"/>
      <sheetName val="基本设置"/>
      <sheetName val="PVC"/>
      <sheetName val="XLPE"/>
      <sheetName val="Fee Rate Summary"/>
      <sheetName val="LINE LIST"/>
      <sheetName val="LEGEND"/>
      <sheetName val="Piping ClASS"/>
      <sheetName val="Details"/>
      <sheetName val="Overall"/>
      <sheetName val="110TE001"/>
      <sheetName val="Sum"/>
      <sheetName val="A"/>
      <sheetName val="MhrCost Data"/>
      <sheetName val="Insulation"/>
      <sheetName val="Piping&amp;Valve Code"/>
      <sheetName val="Painting"/>
      <sheetName val="Process Equipment"/>
      <sheetName val="CIV-DWG-ADA"/>
      <sheetName val="CIV-DOC-ADA"/>
      <sheetName val="Factor"/>
      <sheetName val="Cover"/>
      <sheetName val="SPE-FJB-001"/>
      <sheetName val="SPE-FJB-101"/>
      <sheetName val="SPE-FJB-102"/>
      <sheetName val="SPE-FJB-201"/>
      <sheetName val="SPE-FJB-202"/>
      <sheetName val="SPE-FJB-203"/>
      <sheetName val="SPE-FJB-301"/>
      <sheetName val="SPE-FJB-302"/>
      <sheetName val="SPE-FJB-401"/>
      <sheetName val="SPE-FJB-402"/>
      <sheetName val="MCJB"/>
      <sheetName val="GDS"/>
      <sheetName val="无接线箱"/>
      <sheetName val="RFP003B-Piping"/>
      <sheetName val="B-1100C触媒量"/>
      <sheetName val="電気設備表"/>
      <sheetName val="計算本体2"/>
      <sheetName val="Connections"/>
      <sheetName val="DWTables"/>
      <sheetName val="海盐加工装置"/>
      <sheetName val="内外控制表"/>
      <sheetName val="300 Instrumentation "/>
      <sheetName val="材料"/>
      <sheetName val="安装指标库"/>
      <sheetName val="表三甲"/>
      <sheetName val="万元指标1"/>
      <sheetName val="Units"/>
      <sheetName val="Input"/>
      <sheetName val="Data Storage"/>
      <sheetName val="Project Data"/>
      <sheetName val="Electr"/>
      <sheetName val="Services"/>
      <sheetName val="Instrum"/>
      <sheetName val="Training"/>
      <sheetName val="TankMetallic"/>
      <sheetName val="CAL."/>
      <sheetName val="CPS"/>
      <sheetName val="XLR_NoRangeSheet"/>
      <sheetName val="Contingency"/>
      <sheetName val="Cash Flow Data"/>
      <sheetName val="plOMBA"/>
      <sheetName val="plProject Info"/>
      <sheetName val="Spec-Face"/>
      <sheetName val="TDS_1"/>
      <sheetName val="2"/>
      <sheetName val="4"/>
      <sheetName val="Quotation"/>
      <sheetName val="Spec."/>
      <sheetName val="Final Price"/>
      <sheetName val="Deviation"/>
      <sheetName val="Data"/>
      <sheetName val="SP"/>
      <sheetName val="eqplist"/>
      <sheetName val="ΔVp &amp; Ω"/>
      <sheetName val="변수"/>
      <sheetName val="Mech"/>
      <sheetName val="Page 1"/>
      <sheetName val="Database"/>
      <sheetName val="Calc"/>
      <sheetName val="CmpName"/>
      <sheetName val="Template"/>
      <sheetName val="Functions"/>
      <sheetName val="Main"/>
      <sheetName val="Camey"/>
      <sheetName val="Safety Stock"/>
      <sheetName val="Insulation Code"/>
      <sheetName val="Pipe Class"/>
      <sheetName val="Painting Code"/>
      <sheetName val="Routing"/>
      <sheetName val="Special Item MTO"/>
      <sheetName val="评价基础数据表一"/>
      <sheetName val="固定资产投资估算计算表"/>
      <sheetName val="投资计划与资金筹措表"/>
      <sheetName val="Sammary"/>
      <sheetName val="取费表"/>
      <sheetName val="武汉丁二烯静止设备"/>
      <sheetName val="价差测算"/>
      <sheetName val="参数表"/>
      <sheetName val="Concrete Properties"/>
      <sheetName val="PV.00001"/>
      <sheetName val="蒸汽安全阀计算模板"/>
      <sheetName val="Page 3"/>
      <sheetName val="Page 2"/>
      <sheetName val="Page 4"/>
      <sheetName val="Page 5"/>
      <sheetName val="Page 7"/>
      <sheetName val="Page 8"/>
      <sheetName val="Page 9"/>
      <sheetName val="Page 10"/>
      <sheetName val="Page 11"/>
      <sheetName val="Page 6"/>
      <sheetName val="Design - Agitators"/>
      <sheetName val="Design - All Equip"/>
      <sheetName val="Design - Exchangers"/>
      <sheetName val="Design - Pumps"/>
      <sheetName val="Design - Towers"/>
      <sheetName val="Design - Vacuum"/>
      <sheetName val="Design - Vessels"/>
      <sheetName val="List - Motors"/>
      <sheetName val="Equip COA Sumry"/>
      <sheetName val="Equip COA Grp Sumry"/>
      <sheetName val="AG Pipe Qty Analysis"/>
      <sheetName val="Pipe Line List"/>
      <sheetName val="Pipe COA Sumry"/>
      <sheetName val="Pipe Item Dets"/>
      <sheetName val="Pipe Item Sumry"/>
      <sheetName val="Civil COA Sumry"/>
      <sheetName val="Civil Item Dets"/>
      <sheetName val="Civil Item Sumry"/>
      <sheetName val="Steel COA Sumry"/>
      <sheetName val="Steel COA Grp Sumry"/>
      <sheetName val="Steel Item Dets"/>
      <sheetName val="Steel Item Sumry"/>
      <sheetName val="Inst COA Sumry"/>
      <sheetName val="Inst Item Dets"/>
      <sheetName val="Inst Item Sumry"/>
      <sheetName val="Elec COA Sumry"/>
      <sheetName val="Elec Item Dets"/>
      <sheetName val="Elec Item Sumry"/>
      <sheetName val="Insul COA Sumry"/>
      <sheetName val="Insul Item Dets"/>
      <sheetName val="Insul Item Sumry"/>
      <sheetName val="Paint COA Sumry"/>
      <sheetName val="Paint Item Dets"/>
      <sheetName val="Paint Item Sumry"/>
      <sheetName val="总概"/>
      <sheetName val="综合运费"/>
      <sheetName val="初始化表格"/>
      <sheetName val="基础表格"/>
      <sheetName val="UOP"/>
      <sheetName val="공사비SUM"/>
      <sheetName val="공문"/>
      <sheetName val="Elect (3)"/>
      <sheetName val="CODE2"/>
      <sheetName val="生产成本和费用表"/>
      <sheetName val="资产负债表"/>
      <sheetName val="矿区使用费费率表"/>
      <sheetName val="固定资产投资估算表"/>
      <sheetName val="销售收入与销售税金及附加计算表"/>
      <sheetName val="SaveData"/>
      <sheetName val="损益表"/>
      <sheetName val="财务现金流量表(全部投资)"/>
      <sheetName val="财务现金流量表(自有资金)"/>
      <sheetName val="CAPEX"/>
      <sheetName val="Option Summary"/>
      <sheetName val="Summary_by_Unit"/>
      <sheetName val="Equipment Cost Split"/>
      <sheetName val="Summary  WPC_OLD"/>
      <sheetName val="Process"/>
      <sheetName val="线槽价格计算表"/>
      <sheetName val="#REF"/>
      <sheetName val="Base"/>
      <sheetName val="价目表"/>
      <sheetName val="07 LSC only"/>
      <sheetName val="07 PBS Only"/>
      <sheetName val="土建"/>
      <sheetName val="List - Components"/>
      <sheetName val="List - Equipment"/>
      <sheetName val="Definition"/>
      <sheetName val="SORTABLE ESTIMATE"/>
      <sheetName val="piping"/>
      <sheetName val="Datasheet"/>
      <sheetName val="投资汇总"/>
      <sheetName val="投资"/>
      <sheetName val="综合概算"/>
      <sheetName val="Master_Setup"/>
      <sheetName val="P. 2"/>
      <sheetName val="P. 3"/>
      <sheetName val="간접비내역-1"/>
      <sheetName val="CALCULATION"/>
      <sheetName val="sketch"/>
      <sheetName val="Pre-EPC CDI Manhour"/>
      <sheetName val="EPCM Manhour Estimate"/>
      <sheetName val="Total Sum"/>
      <sheetName val="phase_II"/>
      <sheetName val="standard_list"/>
      <sheetName val="phase_I"/>
      <sheetName val="G_1R-Shou_COP_Gf"/>
      <sheetName val="AD_ST"/>
      <sheetName val="MH_Compensate-Nov"/>
      <sheetName val="CTRs_(HOURS)_"/>
      <sheetName val="SPEC_SHEET"/>
      <sheetName val="明细表_"/>
      <sheetName val="C5-281-CB-FF_"/>
      <sheetName val="C5-CB_Provisional"/>
      <sheetName val="C5_Provisional"/>
      <sheetName val="MH(on_site)"/>
      <sheetName val="Labor_Rates"/>
      <sheetName val="Summary_"/>
      <sheetName val="Process_Piping"/>
      <sheetName val="Estimate_Details"/>
      <sheetName val="10_barg_Steam_Cond"/>
      <sheetName val="P1260Projected_5700_Detail"/>
      <sheetName val="P852_5000_Detail"/>
      <sheetName val="P854_5000_Detail"/>
      <sheetName val="P856_5000_Detail"/>
      <sheetName val="P858_5000_Detail"/>
      <sheetName val="P860Baseline_5000_Detail"/>
      <sheetName val="Cover_Sheet"/>
      <sheetName val="Pull-Down_Menus"/>
      <sheetName val="Piping_ClASS"/>
      <sheetName val="PB_for_Mapping"/>
      <sheetName val="Project_Data_Page"/>
      <sheetName val="LINE_LIST"/>
      <sheetName val="Fee_Rate_Summary"/>
      <sheetName val="2层"/>
      <sheetName val="墙板"/>
      <sheetName val="S-03"/>
      <sheetName val="B-03"/>
      <sheetName val="Control Summary"/>
      <sheetName val="土建取费"/>
      <sheetName val="中石化安装"/>
      <sheetName val="总—标示"/>
      <sheetName val="报价单"/>
      <sheetName val="标示-次标示"/>
      <sheetName val="Change Order Details"/>
      <sheetName val="SOPMA DD"/>
      <sheetName val="镀锌构件"/>
      <sheetName val="50 Piping_ Content Strut."/>
      <sheetName val="2.0-A4"/>
      <sheetName val="Installation "/>
      <sheetName val="Fabrication"/>
      <sheetName val="Project Management Organisation"/>
      <sheetName val="for PPT"/>
      <sheetName val="steam jet ejector spec sheet"/>
      <sheetName val="Emp_Data"/>
      <sheetName val="Int Eng"/>
      <sheetName val="WBS"/>
      <sheetName val="name"/>
      <sheetName val="反応速度式検討"/>
      <sheetName val="Anlage 2"/>
      <sheetName val="_REF"/>
      <sheetName val="갑지"/>
      <sheetName val="Rate Analysis"/>
      <sheetName val="BP"/>
      <sheetName val="Combo"/>
      <sheetName val="BOQ FORM FOR INQUIRY"/>
      <sheetName val="FORM OF PROPOSAL RFP-003"/>
      <sheetName val="뜃맟뭁돽띿맟?-BLDG"/>
      <sheetName val="合成??作成表-BLDG"/>
      <sheetName val="??-BLDG"/>
      <sheetName val="?-BLDG"/>
      <sheetName val="????·???·-BLDGL-03E.X"/>
      <sheetName val="‡¬’P‰¿ì¬E-BLDG"/>
      <sheetName val="¬P¿ì¬E-BLDG"/>
      <sheetName val="崌惉扨壙嶌惉?-BLDG"/>
      <sheetName val="合成単価作成・-BLDG"/>
      <sheetName val="???????-BLDG"/>
      <sheetName val="‡¬’P‰¿ì¬?-BLDG"/>
      <sheetName val="Proposal Schedule"/>
      <sheetName val="‡¬’P‰¿ì_x0010_¬?-BLDG"/>
      <sheetName val="뜃맟뭁돽띿맟__BLDG"/>
      <sheetName val="合成単価作成表_BLDG"/>
      <sheetName val="노임단가"/>
      <sheetName val="Administrative Prices"/>
      <sheetName val="뜃맟뭁돽띿맟_-BLDG"/>
      <sheetName val="合成__作成表-BLDG"/>
      <sheetName val="__-BLDG"/>
      <sheetName val="_-BLDG"/>
      <sheetName val="____·___·-BLDGL-03E.X"/>
      <sheetName val="崌惉扨壙嶌惉_-BLDG"/>
      <sheetName val="‡¬’P‰¿ì¬_-BLDG"/>
      <sheetName val="_______-BLDG"/>
      <sheetName val="‡¬’P‰¿ì_x0010_¬_-BLDG"/>
      <sheetName val="기계내역서"/>
      <sheetName val="POWER"/>
      <sheetName val="________BLDG"/>
      <sheetName val="목포전화국"/>
      <sheetName val="손익차총괄2"/>
      <sheetName val="단가조사"/>
      <sheetName val="DA0463BQ"/>
      <sheetName val="PI"/>
      <sheetName val="견적대비표"/>
      <sheetName val="상반기손익차2총괄"/>
      <sheetName val="D-623D"/>
      <sheetName val="‡¬’@‰¿ì¬?-BLDG"/>
      <sheetName val="?-BLDG"/>
      <sheetName val="合成単価作成表_BLD_x0007_"/>
      <sheetName val="PIPE"/>
      <sheetName val="FLANGE"/>
      <sheetName val="VALVE"/>
      <sheetName val="기기리스트"/>
      <sheetName val="‡¬’@‰¿ì¬_-BLDG"/>
      <sheetName val="_-BLDG"/>
      <sheetName val="손익차9월2"/>
      <sheetName val="주요물량"/>
      <sheetName val="SILICATE"/>
      <sheetName val="BM DATA SHEET"/>
      <sheetName val="‡¬’P‰¿ì_x005f_x0010_¬?-BLDG"/>
      <sheetName val="‡¬’P‰¿ì_x005f_x0010_¬_-BLDG"/>
      <sheetName val="预算"/>
      <sheetName val="‡¬’P‰¿ì_x005f_x005f_x005f_x0010_¬?-BLDG"/>
      <sheetName val="‡¬’P‰¿ì_x005f_x005f_x005f_x0010_¬_-BLDG"/>
      <sheetName val="2.1 受電設備棟"/>
      <sheetName val="2.2 受・防火水槽"/>
      <sheetName val="2.3 排水処理設備棟"/>
      <sheetName val="2.4 倉庫棟"/>
      <sheetName val="2.5 守衛棟"/>
      <sheetName val="合成単価作成表_BLD_x005f_x0007_"/>
      <sheetName val="도급양식"/>
      <sheetName val="현금"/>
      <sheetName val="CalCu"/>
      <sheetName val="당초"/>
      <sheetName val="다이꾸"/>
      <sheetName val="WORK-VOL"/>
      <sheetName val="WIND"/>
      <sheetName val="CAT_5"/>
      <sheetName val="M-EQPT-Z"/>
      <sheetName val="inter"/>
      <sheetName val="‡¬’P‰¿ì_x005f_x005f_x005f_x005f_x005f_x005f_x0"/>
      <sheetName val="合成単価作成表_BLD_x005f_x005f_x005f_x0007_"/>
      <sheetName val="Breakdown"/>
      <sheetName val="V-101 &amp; V201"/>
      <sheetName val="SPT vs PHI"/>
      <sheetName val="ITB COST"/>
      <sheetName val="SCHE"/>
      <sheetName val="1련박스"/>
      <sheetName val="Cable Ladder Detail"/>
      <sheetName val="坪合体９９（２）より"/>
      <sheetName val="배관내역서"/>
      <sheetName val="CB"/>
      <sheetName val="대우기성"/>
      <sheetName val="C1"/>
      <sheetName val="BLR-S"/>
      <sheetName val="계측 내역서"/>
      <sheetName val="N賃率-職"/>
      <sheetName val="NM2"/>
      <sheetName val="NW1"/>
      <sheetName val="NW2"/>
      <sheetName val="PW3"/>
      <sheetName val="PW4"/>
      <sheetName val="SC1"/>
      <sheetName val="DNW"/>
      <sheetName val="N+"/>
      <sheetName val="NE"/>
      <sheetName val="P+"/>
      <sheetName val="PE"/>
      <sheetName val="PM"/>
      <sheetName val="TR"/>
      <sheetName val="member design"/>
      <sheetName val="design criteria"/>
      <sheetName val="working load at the btm ft."/>
      <sheetName val="plan&amp;section of foundation"/>
      <sheetName val="soil bearing check"/>
      <sheetName val="예산서"/>
      <sheetName val="MIJIBI"/>
      <sheetName val="예가표"/>
      <sheetName val="RPP 12 SEPT"/>
      <sheetName val="공통(20-91)"/>
      <sheetName val="LinerWt"/>
      <sheetName val="Chart"/>
      <sheetName val="명세서"/>
      <sheetName val="전기공사"/>
      <sheetName val="준공조서갑지"/>
      <sheetName val="배명(단가)"/>
      <sheetName val="프랜트면허"/>
      <sheetName val="토목주소"/>
      <sheetName val="BOQ_FORM_FOR_INQUIRY"/>
      <sheetName val="FORM_OF_PROPOSAL_RFP-003"/>
      <sheetName val="____·___·-BLDGL-03E_X"/>
      <sheetName val="Proposal_Schedule"/>
      <sheetName val="‡¬’P‰¿ì¬_-BLDG"/>
      <sheetName val="Administrative_Prices"/>
      <sheetName val="合成単価作成表_BLD"/>
      <sheetName val="06C7450-S300X"/>
      <sheetName val="Vessel Size"/>
      <sheetName val="NIML"/>
      <sheetName val="INST"/>
      <sheetName val="RFP003"/>
      <sheetName val="崌惉扨壙嶌惉昞-BLDG"/>
      <sheetName val="__扨壙嶌_昞-BLDG"/>
      <sheetName val="__滿氎浉_-BLDG"/>
      <sheetName val="Estimate Summary"/>
      <sheetName val="KLHT"/>
      <sheetName val="산근"/>
      <sheetName val="12호기내역서(건축분)"/>
      <sheetName val="Q&amp;pl-V"/>
      <sheetName val="合成単価作成表_BLD_x005f_x005f_x005f_x005f_x005f_x005f_x"/>
      <sheetName val="Controls"/>
      <sheetName val="RawMatCost"/>
      <sheetName val="??????__BLDG"/>
      <sheetName val="????·???·-BLDGL-03E_X"/>
      <sheetName val="‡¬’P‰¿ì¬?-BLDG"/>
      <sheetName val="??扨壙嶌?昞-BLDG"/>
      <sheetName val="??滿氎浉?-BLDG"/>
      <sheetName val="eq_data"/>
      <sheetName val="DATE"/>
      <sheetName val="BOQ_FORM_FOR_INQUIRY1"/>
      <sheetName val="FORM_OF_PROPOSAL_RFP-0031"/>
      <sheetName val="????·???·-BLDGL-03E_X1"/>
      <sheetName val="Proposal_Schedule1"/>
      <sheetName val="Administrative_Prices1"/>
      <sheetName val="入力"/>
      <sheetName val="cable_data"/>
      <sheetName val="3core_6_6kv"/>
      <sheetName val="4core_400V"/>
      <sheetName val="NEWCA"/>
      <sheetName val="Overall_Load_List"/>
      <sheetName val="General_Data"/>
      <sheetName val="Eng_Hrs (HO)"/>
      <sheetName val="外形"/>
      <sheetName val="屋内"/>
      <sheetName val="屋外"/>
      <sheetName val="costing_CV"/>
      <sheetName val="HX"/>
      <sheetName val="설계내"/>
      <sheetName val="배관품셈총괄표"/>
      <sheetName val="현장지지물물량"/>
      <sheetName val="????�???�-BLDGL-03E.X"/>
      <sheetName val="�����P�������E-BLDG"/>
      <sheetName val="‡¬’P‰¿ì_x005f_x005f_x005f_x005f_x0"/>
      <sheetName val="合成単価作成表_BLD_x005f_x005f_x005f_x005f_x"/>
      <sheetName val="PROG"/>
      <sheetName val="一発シート"/>
      <sheetName val="Estimate"/>
      <sheetName val="系数516"/>
      <sheetName val="XL4Poppy"/>
      <sheetName val="적용환율"/>
      <sheetName val="KP1590_E"/>
      <sheetName val="Sum Price"/>
      <sheetName val="Coding"/>
      <sheetName val="給排水"/>
      <sheetName val="電氣"/>
      <sheetName val="外気負荷"/>
      <sheetName val="6,000"/>
      <sheetName val="____·___·-BLDGL-03E_X1"/>
      <sheetName val="____�___�-BLDGL-03E.X"/>
      <sheetName val="PUMP"/>
      <sheetName val="Take-Off"/>
      <sheetName val="EQUIPMENT -2"/>
      <sheetName val="BAND(200)"/>
      <sheetName val="OUTER AREA(겹침없음)"/>
      <sheetName val="90EL JACKET"/>
      <sheetName val="JACKET(50,50)"/>
      <sheetName val="내역서"/>
      <sheetName val="EL 표면적"/>
      <sheetName val="M3산출"/>
      <sheetName val="Coste PBreakdown"/>
      <sheetName val="TR NIVEL2 Total"/>
      <sheetName val="Precios"/>
      <sheetName val="‡¬’P‰¿ì_x005f_x005f_x0"/>
      <sheetName val="合成単価作成表_BLD_x005f_x005f_x"/>
      <sheetName val="약품설비"/>
      <sheetName val="BM"/>
      <sheetName val="jobhist"/>
      <sheetName val="A (2)"/>
      <sheetName val="9912SOLID생"/>
      <sheetName val="4-3 보온 기본물량집계"/>
      <sheetName val="신표지1"/>
      <sheetName val="Sheet6"/>
      <sheetName val="Y-WORK"/>
      <sheetName val="TYPE-A"/>
      <sheetName val="총괄표"/>
      <sheetName val="INSTR"/>
      <sheetName val="일위대가"/>
      <sheetName val="CAL1"/>
      <sheetName val="ENE-CAL"/>
      <sheetName val="매립"/>
      <sheetName val="ITEM"/>
      <sheetName val="ﾄﾞﾊﾞｲFUEL GAS追見"/>
      <sheetName val="품셈"/>
      <sheetName val="Resource summary"/>
      <sheetName val="건축"/>
      <sheetName val="뜃맟뭁돽띿맟_뱟j"/>
      <sheetName val="경비"/>
      <sheetName val="fin stmt"/>
      <sheetName val="2002Shipment"/>
      <sheetName val="단면가정"/>
      <sheetName val="ﾏﾃﾊﾝ土佐30MW実行予算"/>
      <sheetName val="定数"/>
      <sheetName val="TTL"/>
      <sheetName val="갑지1"/>
      <sheetName val="금액내역서"/>
      <sheetName val="‡¬’P‰¿ì_x0"/>
      <sheetName val="合成単価作成表_BLD_x"/>
      <sheetName val="COVERSHEET PAGE"/>
      <sheetName val="CIVIL"/>
      <sheetName val="BOQ_FORM_FOR_INQUIRY2"/>
      <sheetName val="FORM_OF_PROPOSAL_RFP-0032"/>
      <sheetName val="????·???·-BLDGL-03E_X2"/>
      <sheetName val="Proposal_Schedule2"/>
      <sheetName val="Administrative_Prices2"/>
      <sheetName val="Cable_Ladder_Detail"/>
      <sheetName val="BM_DATA_SHEET"/>
      <sheetName val="V-101_&amp;_V201"/>
      <sheetName val="RPP_12_SEPT"/>
      <sheetName val="Vessel_Size"/>
      <sheetName val="EQUIPMENT_-2"/>
      <sheetName val="계측_내역서"/>
      <sheetName val="member_design"/>
      <sheetName val="design_criteria"/>
      <sheetName val="working_load_at_the_btm_ft_"/>
      <sheetName val="plan&amp;section_of_foundation"/>
      <sheetName val="soil_bearing_check"/>
      <sheetName val="SPT_vs_PHI"/>
      <sheetName val="ITB_COST"/>
      <sheetName val="2_1_受電設備棟"/>
      <sheetName val="2_2_受・防火水槽"/>
      <sheetName val="2_3_排水処理設備棟"/>
      <sheetName val="2_4_倉庫棟"/>
      <sheetName val="2_5_守衛棟"/>
      <sheetName val="Estimate_Summary"/>
      <sheetName val="OUTER_AREA(겹침없음)"/>
      <sheetName val="90EL_JACKET"/>
      <sheetName val="EL_표면적"/>
      <sheetName val="Coste_PBreakdown"/>
      <sheetName val="TR_NIVEL2_Total"/>
      <sheetName val="Air Cooler-E"/>
      <sheetName val="가공비"/>
      <sheetName val="???????_BLDG"/>
      <sheetName val="ICINDEKILER"/>
      <sheetName val="Manhors &amp; Productivity"/>
      <sheetName val="Site Est"/>
      <sheetName val="Site Staff"/>
      <sheetName val="Fittings"/>
      <sheetName val="steel data sheet"/>
      <sheetName val="04 - Civil"/>
      <sheetName val="INCOTERMS"/>
      <sheetName val="내역(한신APT)"/>
      <sheetName val="Eng_Hrs_(HO)"/>
      <sheetName val="????�???�-BLDGL-03E_X"/>
      <sheetName val="daily (12)"/>
      <sheetName val="S Curve"/>
      <sheetName val="‡¬’@‰¿ì¬痰͞_x001b_"/>
      <sheetName val=""/>
      <sheetName val="rain1"/>
      <sheetName val="304-06"/>
      <sheetName val="____�___�-BLDGL-03E_X"/>
      <sheetName val="Schedule"/>
      <sheetName val="CBE"/>
      <sheetName val="ERECT"/>
      <sheetName val="SA-WBS-Approved"/>
      <sheetName val="SAP"/>
      <sheetName val="Analisa Harsat dasar"/>
      <sheetName val="harga "/>
      <sheetName val="RINCIAN"/>
      <sheetName val="DM"/>
      <sheetName val="PipeData"/>
      <sheetName val="Piping Insulation"/>
      <sheetName val="‡¬’@‰¿ì¬痰͞_x005f_x001b__x005f_x0000_娾,"/>
      <sheetName val="‡¬’@‰¿ì¬痰͞_x005f_x001b_"/>
      <sheetName val="‡¬’@‰¿ì¬痰͞_x005f_x005f_x005f_x001b__x00"/>
      <sheetName val="‡¬’@‰¿ì¬痰͞_x005f_x005f_x005f_x001b_"/>
      <sheetName val="beton"/>
      <sheetName val="GT_Mobi Plan-Direct Labor"/>
      <sheetName val="BD COST"/>
      <sheetName val="BQ"/>
      <sheetName val="단가(자재)"/>
      <sheetName val="단가(노임)"/>
      <sheetName val="기초목록"/>
      <sheetName val="GI-LIST"/>
      <sheetName val="을지"/>
      <sheetName val="연돌일위집계"/>
      <sheetName val="LOADDAT"/>
      <sheetName val="‡¬’@‰¿ì¬痰͞_x005f_x001b__x00"/>
      <sheetName val="‡¬’@‰¿ì¬痰͞_x005f_x005f_x005f_x005f_x005"/>
      <sheetName val="L4-RC_BLDG"/>
      <sheetName val="‡¬’@‰¿ì¬痰͞_x005f_x005f_x005"/>
      <sheetName val="sch"/>
      <sheetName val="Total"/>
      <sheetName val="川崎HRSG"/>
      <sheetName val="HARGA SATUAN"/>
      <sheetName val="GROUNDING 산출근거"/>
      <sheetName val="cable-data"/>
      <sheetName val="データ入力"/>
      <sheetName val="高調波計算"/>
      <sheetName val="本文"/>
      <sheetName val="MP-Basic"/>
      <sheetName val="Summary Volume"/>
      <sheetName val="Manpower Sch."/>
      <sheetName val=" 공사비예산서"/>
      <sheetName val="계측"/>
      <sheetName val="차액보증"/>
      <sheetName val="ELECTRIC"/>
      <sheetName val="건축내역"/>
      <sheetName val="____·___·-BLDGL-03E_X2"/>
      <sheetName val="뜃맟뭁돽띿맟_뱟j_x005f_x0000_耀"/>
      <sheetName val="風管工程"/>
      <sheetName val="금융비용"/>
      <sheetName val="뜃맟뭁돽띿맟_뱟j_x005f_x005f_x005f_x0000_耀"/>
      <sheetName val="ùêà÷??íÂà÷øú-BLDG"/>
      <sheetName val="¬P¿ì¬?-BLDG"/>
      <sheetName val="?¢Ô?¡þ¡¯P¢¶¢¯?i?¡þ?-BLDG"/>
      <sheetName val="?¢Ô?¡þ¡¯P¢¶¢¯?i?¡þ?E-BLDG"/>
      <sheetName val="???ÎÅ???-BLDG"/>
      <sheetName val="ùêà÷??íÂà÷?-BLDG"/>
      <sheetName val="?¢Ô?¡þ¡¯P¢¶¢¯?i_x0010_¡þ?-BLDG"/>
      <sheetName val="할증 "/>
      <sheetName val="SOL TEMP DOWN"/>
      <sheetName val="SM1-09"/>
      <sheetName val="SM2-09"/>
      <sheetName val="BD-09"/>
      <sheetName val="MT-09"/>
      <sheetName val="emto1"/>
      <sheetName val="Project budget format"/>
      <sheetName val="JUNE-14"/>
      <sheetName val="회사99"/>
      <sheetName val="식재인부"/>
      <sheetName val="1.설계조건"/>
      <sheetName val="SG"/>
      <sheetName val="h-013211-2"/>
      <sheetName val="97 사업추정(WEKI)"/>
      <sheetName val="음료실행"/>
      <sheetName val="CTEMCOST"/>
      <sheetName val="HVAC"/>
      <sheetName val="찍기"/>
      <sheetName val="경상비"/>
      <sheetName val="은행"/>
      <sheetName val="AIR SHOWER(3인용)"/>
      <sheetName val="1ST"/>
      <sheetName val="용포(소화)"/>
      <sheetName val="daily_(12)"/>
      <sheetName val="S_Curve"/>
      <sheetName val="Schedule &amp; S-Curve"/>
      <sheetName val="daily_(12)1"/>
      <sheetName val="S_Curve1"/>
      <sheetName val="Schedule_&amp;_S-Curve"/>
      <sheetName val="Drop List"/>
      <sheetName val="daily_(12)2"/>
      <sheetName val="S_Curve2"/>
      <sheetName val="Schedule_&amp;_S-Curve1"/>
      <sheetName val="RPP_12_SEPT1"/>
      <sheetName val="Drop_List"/>
      <sheetName val="01"/>
      <sheetName val="BOQ_FORM_FOR_INQUIRY3"/>
      <sheetName val="FORM_OF_PROPOSAL_RFP-0033"/>
      <sheetName val="????·???·-BLDGL-03E_X3"/>
      <sheetName val="Proposal_Schedule3"/>
      <sheetName val="Administrative_Prices3"/>
      <sheetName val="____·___·-BLDGL-03E_X3"/>
      <sheetName val="BOQ_FORM_FOR_INQUIRY5"/>
      <sheetName val="FORM_OF_PROPOSAL_RFP-0035"/>
      <sheetName val="????·???·-BLDGL-03E_X5"/>
      <sheetName val="Proposal_Schedule5"/>
      <sheetName val="Administrative_Prices5"/>
      <sheetName val="____·___·-BLDGL-03E_X5"/>
      <sheetName val="BOQ_FORM_FOR_INQUIRY4"/>
      <sheetName val="FORM_OF_PROPOSAL_RFP-0034"/>
      <sheetName val="????·???·-BLDGL-03E_X4"/>
      <sheetName val="Proposal_Schedule4"/>
      <sheetName val="Administrative_Prices4"/>
      <sheetName val="____·___·-BLDGL-03E_X4"/>
      <sheetName val="BOQ_FORM_FOR_INQUIRY6"/>
      <sheetName val="FORM_OF_PROPOSAL_RFP-0036"/>
      <sheetName val="????·???·-BLDGL-03E_X6"/>
      <sheetName val="Proposal_Schedule6"/>
      <sheetName val="Administrative_Prices6"/>
      <sheetName val="____·___·-BLDGL-03E_X6"/>
      <sheetName val="BOQ_FORM_FOR_INQUIRY10"/>
      <sheetName val="FORM_OF_PROPOSAL_RFP-00310"/>
      <sheetName val="????·???·-BLDGL-03E_X10"/>
      <sheetName val="Proposal_Schedule10"/>
      <sheetName val="Administrative_Prices10"/>
      <sheetName val="____·___·-BLDGL-03E_X10"/>
      <sheetName val="BOQ_FORM_FOR_INQUIRY7"/>
      <sheetName val="FORM_OF_PROPOSAL_RFP-0037"/>
      <sheetName val="????·???·-BLDGL-03E_X7"/>
      <sheetName val="Proposal_Schedule7"/>
      <sheetName val="Administrative_Prices7"/>
      <sheetName val="____·___·-BLDGL-03E_X7"/>
      <sheetName val="BOQ_FORM_FOR_INQUIRY8"/>
      <sheetName val="FORM_OF_PROPOSAL_RFP-0038"/>
      <sheetName val="????·???·-BLDGL-03E_X8"/>
      <sheetName val="Proposal_Schedule8"/>
      <sheetName val="Administrative_Prices8"/>
      <sheetName val="____·___·-BLDGL-03E_X8"/>
      <sheetName val="BOQ_FORM_FOR_INQUIRY9"/>
      <sheetName val="FORM_OF_PROPOSAL_RFP-0039"/>
      <sheetName val="????·???·-BLDGL-03E_X9"/>
      <sheetName val="Proposal_Schedule9"/>
      <sheetName val="Administrative_Prices9"/>
      <sheetName val="____·___·-BLDGL-03E_X9"/>
      <sheetName val="sheet"/>
      <sheetName val="粉刷"/>
      <sheetName val="裝修"/>
      <sheetName val="設備分析"/>
      <sheetName val="詳細表"/>
      <sheetName val="JHR-month"/>
      <sheetName val="BS"/>
      <sheetName val="fac_to FPC 12-17"/>
      <sheetName val="選單"/>
      <sheetName val="M 11"/>
      <sheetName val="POWER ASSUMPTIONS"/>
      <sheetName val="発注"/>
      <sheetName val="SUMMARY BQ"/>
      <sheetName val="Vessel_Size1"/>
      <sheetName val="BM_DATA_SHEET1"/>
      <sheetName val="V-101_&amp;_V2011"/>
      <sheetName val="Eng_Hrs_(HO)1"/>
      <sheetName val="Cable_Ladder_Detail1"/>
      <sheetName val="SPT_vs_PHI1"/>
      <sheetName val="Sum_Price"/>
      <sheetName val="ITB_COST1"/>
      <sheetName val="2_1_受電設備棟1"/>
      <sheetName val="2_2_受・防火水槽1"/>
      <sheetName val="2_3_排水処理設備棟1"/>
      <sheetName val="2_4_倉庫棟1"/>
      <sheetName val="2_5_守衛棟1"/>
      <sheetName val="계측_내역서1"/>
      <sheetName val="member_design1"/>
      <sheetName val="design_criteria1"/>
      <sheetName val="working_load_at_the_btm_ft_1"/>
      <sheetName val="plan&amp;section_of_foundation1"/>
      <sheetName val="soil_bearing_check1"/>
      <sheetName val="Estimate_Summary1"/>
      <sheetName val="????�???�-BLDGL-03E_X1"/>
      <sheetName val="fac_to_FPC_12-17"/>
      <sheetName val="ﾄﾞﾊﾞｲFUEL_GAS追見"/>
      <sheetName val="‡¬’@‰¿ì¬痰͞娾,"/>
      <sheetName val="‡¬’@‰¿ì¬痰͞"/>
      <sheetName val="fin_stmt"/>
      <sheetName val="4-3_보온_기본물량집계"/>
      <sheetName val="A_(2)"/>
      <sheetName val="POWER_ASSUMPTIONS"/>
      <sheetName val="auxiliary sheet"/>
      <sheetName val="Tongke"/>
      <sheetName val="bldg list"/>
      <sheetName val="Grouping List"/>
      <sheetName val="Valve Cl"/>
      <sheetName val="CODE-STR"/>
      <sheetName val="Tables"/>
      <sheetName val="FLUID_INFO"/>
      <sheetName val="NCCALC11"/>
      <sheetName val="단가비교"/>
      <sheetName val="시가지우회도로공내역서"/>
      <sheetName val="실행내역"/>
      <sheetName val="highlight"/>
      <sheetName val="ld-sd-dt"/>
      <sheetName val="ld-sd"/>
      <sheetName val="Type_Unit"/>
      <sheetName val="AG-ISBL"/>
      <sheetName val="Process_Piping1"/>
      <sheetName val="EQUIPMENT_-21"/>
      <sheetName val="Manhors_&amp;_Productivity"/>
      <sheetName val="Site_Est"/>
      <sheetName val="Site_Staff"/>
      <sheetName val="OUTER_AREA(겹침없음)1"/>
      <sheetName val="90EL_JACKET1"/>
      <sheetName val="EL_표면적1"/>
      <sheetName val="Coste_PBreakdown1"/>
      <sheetName val="TR_NIVEL2_Total1"/>
      <sheetName val="Air_Cooler-E"/>
      <sheetName val="steel_data_sheet"/>
      <sheetName val="GTDDDDDD"/>
      <sheetName val="datos"/>
      <sheetName val="Abbreviation"/>
      <sheetName val="ùêà÷__íÂà÷øú-BLDG"/>
      <sheetName val="¬P¿ì¬_-BLDG"/>
      <sheetName val="_¢Ô_¡þ¡¯P¢¶¢¯_i_¡þ_-BLDG"/>
      <sheetName val="_¢Ô_¡þ¡¯P¢¶¢¯_i_¡þ_E-BLDG"/>
      <sheetName val="___ÎÅ___-BLDG"/>
      <sheetName val="ùêà÷__íÂà÷_-BLDG"/>
      <sheetName val="_¢Ô_¡þ¡¯P¢¶¢¯_i_x0010_¡þ_-BLDG"/>
      <sheetName val="____�___�-BLDGL-03E_X1"/>
      <sheetName val="ﾄﾞﾊﾞｲFUEL_GAS追見1"/>
      <sheetName val="Sum_Price1"/>
      <sheetName val="AD_ST1"/>
      <sheetName val="4-3_보온_기본물량집계1"/>
      <sheetName val="A_(2)1"/>
      <sheetName val="_¢Ô_¡þ¡¯P¢¶¢¯_i_x005f_x0010_¡þ_-BLDG"/>
      <sheetName val="?¢Ô?¡þ¡¯P¢¶¢¯?i_x005f_x0010_¡þ?-BLDG"/>
      <sheetName val="Bond &amp; Stamp"/>
      <sheetName val="95삼성급(본사)"/>
      <sheetName val="전차선로 물량표"/>
      <sheetName val="H-PILE 박기"/>
      <sheetName val="배관-내역서(주제어)"/>
      <sheetName val="배관-품셈총괄표"/>
      <sheetName val="_공사비예산서"/>
      <sheetName val="I一般比"/>
      <sheetName val="토공정보"/>
      <sheetName val="EXPAN-1"/>
      <sheetName val="견적총괄표"/>
      <sheetName val="NERACA T"/>
      <sheetName val="CRA-Detail"/>
      <sheetName val="PROGRES "/>
      <sheetName val="COS_REP.XLS"/>
      <sheetName val="뜃맟뭁돽띿맟_뱟j耀"/>
      <sheetName val="‡¬’@‰¿ì¬痰͞_x001b_娾,"/>
      <sheetName val="Do not Delete"/>
      <sheetName val="Plan Progress"/>
      <sheetName val="전기"/>
      <sheetName val="‡¬’@‰¿ì¬痰͞_x001b_?娾,"/>
      <sheetName val="Overall MTO - 20191001 (old)"/>
      <sheetName val="MTO for BMBQ"/>
      <sheetName val="PCWBS Map"/>
      <sheetName val="Paint&amp;Ins"/>
      <sheetName val="reff"/>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MLCL"/>
      <sheetName val="DB-Weight"/>
      <sheetName val="DB-EQL"/>
      <sheetName val="DB-BOLT SIZE"/>
      <sheetName val="REQ LIST"/>
      <sheetName val="DESC NEW PMC"/>
      <sheetName val="MTO_2020.03.03"/>
      <sheetName val="BM_PIVOT"/>
      <sheetName val="BQ_2020.03.03"/>
      <sheetName val="BQ_2020.03.12 edit"/>
      <sheetName val="BQ_2020.03.12 (2)"/>
      <sheetName val="Hyperlink"/>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 Equip't Fuel Consumpt"/>
      <sheetName val="Unit"/>
      <sheetName val="Table-3"/>
      <sheetName val=" Equip't Mob Plan"/>
      <sheetName val="FAB별"/>
      <sheetName val="LISTS"/>
      <sheetName val="Peak Craft (old)"/>
      <sheetName val="BTH-TMDT"/>
      <sheetName val="tj定额"/>
      <sheetName val="BAG-2"/>
      <sheetName val="Sat. Pek."/>
      <sheetName val="INSTALLATION"/>
      <sheetName val="Minggu ke-37"/>
      <sheetName val="기자재집계"/>
      <sheetName val="날개벽(좌,우=60도-4개)"/>
      <sheetName val="合成??作成表_BLDG"/>
      <sheetName val="내역"/>
      <sheetName val="±â±â¸®½ºÆ®"/>
      <sheetName val="明細"/>
      <sheetName val="事務所"/>
      <sheetName val="‡¬’@‰¿ì¬痰͞_x001b__x00"/>
      <sheetName val="‡¬’@‰¿ì¬痰͞_x005"/>
      <sheetName val="Mech CIF"/>
      <sheetName val="04_-_Civil"/>
      <sheetName val="HARGA_SATUAN"/>
      <sheetName val="GROUNDING_산출근거"/>
      <sheetName val="?¢Ô?¡þ¡¯P¢¶¢¯?i¡þ?-BLDG"/>
      <sheetName val="할증_"/>
      <sheetName val="SOL_TEMP_DOWN"/>
      <sheetName val="Status &amp; Target Detail"/>
      <sheetName val="INDEX"/>
      <sheetName val="RFP003C"/>
      <sheetName val="RFP003D"/>
      <sheetName val="RFP003E"/>
      <sheetName val="RFP003 BRK-DWN"/>
      <sheetName val="RFP003G"/>
      <sheetName val="RFP003E BRK-DWN"/>
      <sheetName val="RFP003A "/>
      <sheetName val="RFP004"/>
      <sheetName val="RFP004E"/>
      <sheetName val="RFP005"/>
      <sheetName val="RFP006"/>
      <sheetName val="RFP007"/>
      <sheetName val="RFP008"/>
      <sheetName val="RFP009"/>
      <sheetName val="RFP010"/>
      <sheetName val="RFP011"/>
      <sheetName val="RFP11(1)"/>
      <sheetName val="RFP11(2)"/>
      <sheetName val="RFP11(3)"/>
      <sheetName val="RFP013"/>
      <sheetName val="RFP014"/>
      <sheetName val="RFP015"/>
      <sheetName val="INDEX (Tdk wajib di Isi HO)"/>
      <sheetName val="Analisa_Harsat_dasar"/>
      <sheetName val="harga_"/>
      <sheetName val="Piping_Insulation"/>
      <sheetName val="GT_Mobi_Plan-Direct_Labor"/>
      <sheetName val="BD_COST"/>
      <sheetName val="CPA33-34"/>
      <sheetName val="ac_data"/>
      <sheetName val="PDA2"/>
      <sheetName val="bp bill"/>
      <sheetName val="Master Table"/>
      <sheetName val="1. Master Table"/>
      <sheetName val="Project Information"/>
      <sheetName val="Subcontractor Information"/>
      <sheetName val="Work Location Information"/>
      <sheetName val="Area Code Information"/>
      <sheetName val="System List Information"/>
      <sheetName val="Subsystem List Information"/>
      <sheetName val="FORM"/>
      <sheetName val="リスト"/>
      <sheetName val="チューブ仕様"/>
      <sheetName val="약품공급2"/>
      <sheetName val="Qty take-off IFCplans "/>
      <sheetName val="RTO5BASEref001"/>
      <sheetName val="PIPE-HOT"/>
      <sheetName val="Setup"/>
      <sheetName val="Toolbox"/>
      <sheetName val="____-BLDG"/>
      <sheetName val="_??_-BLDG"/>
      <sheetName val="SW-TEO"/>
      <sheetName val="Subs"/>
      <sheetName val="P. 5"/>
      <sheetName val="P. 6"/>
      <sheetName val="1"/>
      <sheetName val="MOHKG"/>
      <sheetName val="Financ. Overview"/>
      <sheetName val="eqpmad2"/>
      <sheetName val="Project Details"/>
      <sheetName val="표지 "/>
      <sheetName val="Tabelle1"/>
      <sheetName val="내역서갑지"/>
      <sheetName val="2008年试用版"/>
      <sheetName val="报表目录"/>
      <sheetName val="Data Sheet"/>
      <sheetName val="General"/>
      <sheetName val="材料表"/>
      <sheetName val="contract"/>
      <sheetName val="图纸目录"/>
      <sheetName val="單價表STD"/>
      <sheetName val="우수관집계 "/>
      <sheetName val="관경별집계"/>
      <sheetName val="A-COW"/>
      <sheetName val="汇总"/>
      <sheetName val="P1012001"/>
      <sheetName val="行政区划"/>
      <sheetName val="事业发展"/>
      <sheetName val="Code Set"/>
      <sheetName val="Modified Store"/>
      <sheetName val="MATERIAL TRACKING LOG"/>
      <sheetName val="L"/>
      <sheetName val="Jabin"/>
      <sheetName val="成本分析（新）"/>
      <sheetName val="配液系统报价清单 "/>
      <sheetName val="Header Data"/>
      <sheetName val="Datas"/>
      <sheetName val="GEREPORT"/>
      <sheetName val="‡¬’@‰¿ì¬痰͞_x001b__娾,"/>
      <sheetName val="合成__作成表_BLDG"/>
      <sheetName val="_¢Ô_¡þ¡¯P¢¶¢¯_i¡þ_-BLDG"/>
      <sheetName val="Cover Pg"/>
    </sheetNames>
    <sheetDataSet>
      <sheetData sheetId="0" refreshError="1"/>
      <sheetData sheetId="1" refreshError="1"/>
      <sheetData sheetId="2" refreshError="1"/>
      <sheetData sheetId="3" refreshError="1"/>
      <sheetData sheetId="4" refreshError="1"/>
      <sheetData sheetId="5" refreshError="1">
        <row r="5">
          <cell r="A5">
            <v>0.25</v>
          </cell>
          <cell r="B5">
            <v>0.82</v>
          </cell>
          <cell r="C5">
            <v>0.74</v>
          </cell>
          <cell r="D5">
            <v>0.7</v>
          </cell>
          <cell r="E5">
            <v>0.73</v>
          </cell>
          <cell r="F5" t="str">
            <v>3TF40-22</v>
          </cell>
          <cell r="G5">
            <v>10</v>
          </cell>
          <cell r="H5" t="str">
            <v>3UA50 40-1E</v>
          </cell>
          <cell r="I5" t="str">
            <v>2.5-4</v>
          </cell>
          <cell r="J5" t="str">
            <v>3VU1340-NJ00</v>
          </cell>
        </row>
        <row r="6">
          <cell r="A6">
            <v>0.37</v>
          </cell>
          <cell r="B6">
            <v>0.82</v>
          </cell>
          <cell r="C6">
            <v>0.76</v>
          </cell>
          <cell r="D6">
            <v>0.67</v>
          </cell>
          <cell r="E6">
            <v>0.68</v>
          </cell>
          <cell r="F6" t="str">
            <v>3TF40-22</v>
          </cell>
          <cell r="G6">
            <v>10</v>
          </cell>
          <cell r="H6" t="str">
            <v>3UA50 40-1E</v>
          </cell>
          <cell r="I6" t="str">
            <v>2.5-4</v>
          </cell>
          <cell r="J6" t="str">
            <v>3VU1340-NJ00</v>
          </cell>
        </row>
        <row r="7">
          <cell r="A7">
            <v>0.55000000000000004</v>
          </cell>
          <cell r="B7">
            <v>0.83</v>
          </cell>
          <cell r="C7">
            <v>0.77</v>
          </cell>
          <cell r="D7">
            <v>0.7</v>
          </cell>
          <cell r="E7">
            <v>0.73</v>
          </cell>
          <cell r="F7" t="str">
            <v>3TF40-22</v>
          </cell>
          <cell r="G7">
            <v>10</v>
          </cell>
          <cell r="H7" t="str">
            <v>3UA50 40-1E</v>
          </cell>
          <cell r="I7" t="str">
            <v>2.5-4</v>
          </cell>
          <cell r="J7" t="str">
            <v>3VU1340-NJ00</v>
          </cell>
        </row>
        <row r="8">
          <cell r="A8">
            <v>0.75</v>
          </cell>
          <cell r="B8">
            <v>0.86</v>
          </cell>
          <cell r="C8">
            <v>0.77</v>
          </cell>
          <cell r="D8">
            <v>0.75600000000000001</v>
          </cell>
          <cell r="E8">
            <v>0.75</v>
          </cell>
          <cell r="F8" t="str">
            <v>3TF40-22</v>
          </cell>
          <cell r="G8">
            <v>10</v>
          </cell>
          <cell r="H8" t="str">
            <v>3UA50 40-1E</v>
          </cell>
          <cell r="I8" t="str">
            <v>2.5-4</v>
          </cell>
          <cell r="J8" t="str">
            <v>3VU1340-NJ00</v>
          </cell>
        </row>
        <row r="9">
          <cell r="A9">
            <v>1.1000000000000001</v>
          </cell>
          <cell r="B9">
            <v>0.86</v>
          </cell>
          <cell r="C9">
            <v>0.81</v>
          </cell>
          <cell r="D9">
            <v>0.76600000000000001</v>
          </cell>
          <cell r="E9">
            <v>0.77</v>
          </cell>
          <cell r="F9" t="str">
            <v>3TF40-22</v>
          </cell>
          <cell r="G9">
            <v>16</v>
          </cell>
          <cell r="H9" t="str">
            <v>3UA50 40-1E</v>
          </cell>
          <cell r="I9" t="str">
            <v>2.5-4</v>
          </cell>
          <cell r="J9" t="str">
            <v>3VU1340-NJ00</v>
          </cell>
        </row>
        <row r="10">
          <cell r="A10">
            <v>1.5</v>
          </cell>
          <cell r="B10">
            <v>0.87</v>
          </cell>
          <cell r="C10">
            <v>0.82</v>
          </cell>
          <cell r="D10">
            <v>0.78500000000000003</v>
          </cell>
          <cell r="E10">
            <v>0.78</v>
          </cell>
          <cell r="F10" t="str">
            <v>3TF40-22</v>
          </cell>
          <cell r="G10">
            <v>16</v>
          </cell>
          <cell r="H10" t="str">
            <v>3UA50 40-1F</v>
          </cell>
          <cell r="I10" t="str">
            <v>3.2-5</v>
          </cell>
          <cell r="J10" t="str">
            <v>3VU1340-NK00</v>
          </cell>
        </row>
        <row r="11">
          <cell r="A11">
            <v>2.2000000000000002</v>
          </cell>
          <cell r="B11">
            <v>0.87</v>
          </cell>
          <cell r="C11">
            <v>0.82</v>
          </cell>
          <cell r="D11">
            <v>0.83</v>
          </cell>
          <cell r="E11">
            <v>0.81</v>
          </cell>
          <cell r="F11" t="str">
            <v>3TF40-22</v>
          </cell>
          <cell r="G11">
            <v>16</v>
          </cell>
          <cell r="H11" t="str">
            <v>3UA50 40-1G</v>
          </cell>
          <cell r="I11" t="str">
            <v>4-6.3</v>
          </cell>
          <cell r="J11" t="str">
            <v>3VU1340-NK00</v>
          </cell>
        </row>
        <row r="12">
          <cell r="A12">
            <v>3</v>
          </cell>
          <cell r="B12">
            <v>0.87</v>
          </cell>
          <cell r="C12">
            <v>0.82</v>
          </cell>
          <cell r="D12">
            <v>0.85</v>
          </cell>
          <cell r="E12">
            <v>0.82499999999999996</v>
          </cell>
          <cell r="F12" t="str">
            <v>3TF40-22</v>
          </cell>
          <cell r="G12">
            <v>20</v>
          </cell>
          <cell r="H12" t="str">
            <v>3UA50 40-1H</v>
          </cell>
          <cell r="I12" t="str">
            <v>5-8</v>
          </cell>
          <cell r="J12" t="str">
            <v>3VU1340-NK00</v>
          </cell>
        </row>
        <row r="13">
          <cell r="A13">
            <v>3.7</v>
          </cell>
          <cell r="B13">
            <v>0.88</v>
          </cell>
          <cell r="C13">
            <v>0.82</v>
          </cell>
          <cell r="D13">
            <v>0.85199999999999998</v>
          </cell>
          <cell r="E13">
            <v>0.83799999999999997</v>
          </cell>
          <cell r="F13" t="str">
            <v>3TF40-22</v>
          </cell>
          <cell r="G13">
            <v>20</v>
          </cell>
          <cell r="H13" t="str">
            <v>3UA50 40-1J</v>
          </cell>
          <cell r="I13" t="str">
            <v>6.3-10</v>
          </cell>
          <cell r="J13" t="str">
            <v>3VU1340-ML00</v>
          </cell>
        </row>
        <row r="14">
          <cell r="A14">
            <v>4</v>
          </cell>
          <cell r="B14">
            <v>0.88</v>
          </cell>
          <cell r="C14">
            <v>0.84</v>
          </cell>
          <cell r="D14">
            <v>0.85499999999999998</v>
          </cell>
          <cell r="E14">
            <v>0.85</v>
          </cell>
          <cell r="F14" t="str">
            <v>3TF40-22</v>
          </cell>
          <cell r="G14">
            <v>20</v>
          </cell>
          <cell r="H14" t="str">
            <v>3UA50 40-1J</v>
          </cell>
          <cell r="I14" t="str">
            <v>6.3-10</v>
          </cell>
          <cell r="J14" t="str">
            <v>3VU1340-ML00</v>
          </cell>
        </row>
        <row r="15">
          <cell r="A15">
            <v>5</v>
          </cell>
          <cell r="B15">
            <v>0.88</v>
          </cell>
          <cell r="C15">
            <v>0.84</v>
          </cell>
          <cell r="D15">
            <v>0.85499999999999998</v>
          </cell>
          <cell r="E15">
            <v>0.85</v>
          </cell>
          <cell r="F15" t="str">
            <v>3TF41-22</v>
          </cell>
          <cell r="G15">
            <v>32</v>
          </cell>
          <cell r="H15" t="str">
            <v>3UA50 40-1K</v>
          </cell>
          <cell r="I15" t="str">
            <v>8-12.5</v>
          </cell>
          <cell r="J15" t="str">
            <v>3VU1340-NL00</v>
          </cell>
        </row>
        <row r="16">
          <cell r="A16">
            <v>5.5</v>
          </cell>
          <cell r="B16">
            <v>0.88</v>
          </cell>
          <cell r="C16">
            <v>0.84</v>
          </cell>
          <cell r="D16">
            <v>0.87</v>
          </cell>
          <cell r="E16">
            <v>0.87</v>
          </cell>
          <cell r="F16" t="str">
            <v>3TF41-22</v>
          </cell>
          <cell r="G16">
            <v>32</v>
          </cell>
          <cell r="H16" t="str">
            <v>3UA52 40-2B</v>
          </cell>
          <cell r="I16" t="str">
            <v>12.5-20</v>
          </cell>
          <cell r="J16" t="str">
            <v>3VU1340-MN00</v>
          </cell>
        </row>
        <row r="17">
          <cell r="A17">
            <v>6.6</v>
          </cell>
          <cell r="B17">
            <v>0.88</v>
          </cell>
          <cell r="C17">
            <v>0.84</v>
          </cell>
          <cell r="D17">
            <v>0.87</v>
          </cell>
          <cell r="E17">
            <v>0.87</v>
          </cell>
          <cell r="F17" t="str">
            <v>3TF42-22</v>
          </cell>
          <cell r="G17">
            <v>40</v>
          </cell>
          <cell r="H17" t="str">
            <v>3UA52 40-2B</v>
          </cell>
          <cell r="I17" t="str">
            <v>12.5-20</v>
          </cell>
          <cell r="J17" t="str">
            <v>3VU1340-MN00</v>
          </cell>
        </row>
        <row r="18">
          <cell r="A18">
            <v>7.5</v>
          </cell>
          <cell r="B18">
            <v>0.89</v>
          </cell>
          <cell r="C18">
            <v>0.84</v>
          </cell>
          <cell r="D18">
            <v>0.88</v>
          </cell>
          <cell r="E18">
            <v>0.88200000000000001</v>
          </cell>
          <cell r="F18" t="str">
            <v>3TF42-22</v>
          </cell>
          <cell r="G18">
            <v>40</v>
          </cell>
          <cell r="H18" t="str">
            <v>3UA52 40-2B</v>
          </cell>
          <cell r="I18" t="str">
            <v>12.5-20</v>
          </cell>
          <cell r="J18" t="str">
            <v>3VU1340-MN00</v>
          </cell>
        </row>
        <row r="19">
          <cell r="A19">
            <v>7.7</v>
          </cell>
          <cell r="B19">
            <v>0.89</v>
          </cell>
          <cell r="C19">
            <v>0.84</v>
          </cell>
          <cell r="D19">
            <v>0.88</v>
          </cell>
          <cell r="E19">
            <v>0.88200000000000001</v>
          </cell>
          <cell r="F19" t="str">
            <v>3TF43-22</v>
          </cell>
          <cell r="G19">
            <v>40</v>
          </cell>
          <cell r="H19" t="str">
            <v>3UA52 40-2B</v>
          </cell>
          <cell r="I19" t="str">
            <v>12.5-20</v>
          </cell>
          <cell r="J19" t="str">
            <v>3VU1340-MN00</v>
          </cell>
        </row>
        <row r="20">
          <cell r="A20">
            <v>11</v>
          </cell>
          <cell r="B20">
            <v>0.89</v>
          </cell>
          <cell r="C20">
            <v>0.85</v>
          </cell>
          <cell r="D20">
            <v>0.89</v>
          </cell>
          <cell r="E20">
            <v>0.89500000000000002</v>
          </cell>
          <cell r="F20" t="str">
            <v>3TF43-22</v>
          </cell>
          <cell r="G20">
            <v>50</v>
          </cell>
          <cell r="H20" t="str">
            <v>3UA52 40-2C</v>
          </cell>
          <cell r="I20" t="str">
            <v>16-25</v>
          </cell>
          <cell r="J20" t="str">
            <v>3VU1640-MN00</v>
          </cell>
        </row>
        <row r="21">
          <cell r="A21">
            <v>15</v>
          </cell>
          <cell r="B21">
            <v>0.89</v>
          </cell>
          <cell r="C21">
            <v>0.85</v>
          </cell>
          <cell r="D21">
            <v>0.89400000000000002</v>
          </cell>
          <cell r="E21">
            <v>0.9</v>
          </cell>
          <cell r="F21" t="str">
            <v>3TF44-22</v>
          </cell>
          <cell r="G21">
            <v>63</v>
          </cell>
          <cell r="H21" t="str">
            <v>3UA55 40-2Q</v>
          </cell>
          <cell r="I21" t="str">
            <v>25-36</v>
          </cell>
          <cell r="J21" t="str">
            <v>3VU1640-MQ00</v>
          </cell>
        </row>
        <row r="22">
          <cell r="A22">
            <v>18.5</v>
          </cell>
          <cell r="B22">
            <v>0.89</v>
          </cell>
          <cell r="C22">
            <v>0.85</v>
          </cell>
          <cell r="D22">
            <v>0.90500000000000003</v>
          </cell>
          <cell r="E22">
            <v>0.90700000000000003</v>
          </cell>
          <cell r="F22" t="str">
            <v>3TF45-22</v>
          </cell>
          <cell r="G22">
            <v>80</v>
          </cell>
          <cell r="H22" t="str">
            <v>3UA55 40-2R</v>
          </cell>
          <cell r="I22" t="str">
            <v>32-40</v>
          </cell>
          <cell r="J22" t="str">
            <v>3VU1640-MQ00</v>
          </cell>
        </row>
        <row r="23">
          <cell r="A23">
            <v>22</v>
          </cell>
          <cell r="B23">
            <v>0.89</v>
          </cell>
          <cell r="C23">
            <v>0.86</v>
          </cell>
          <cell r="D23">
            <v>0.91300000000000003</v>
          </cell>
          <cell r="E23">
            <v>0.91300000000000003</v>
          </cell>
          <cell r="F23" t="str">
            <v>3TF46-22</v>
          </cell>
          <cell r="G23">
            <v>80</v>
          </cell>
          <cell r="H23" t="str">
            <v>3UA58 40-2T</v>
          </cell>
          <cell r="I23" t="str">
            <v>40-57</v>
          </cell>
          <cell r="J23" t="str">
            <v>3VF1431-1DK11</v>
          </cell>
        </row>
        <row r="24">
          <cell r="A24">
            <v>24</v>
          </cell>
          <cell r="B24">
            <v>0.89</v>
          </cell>
          <cell r="C24">
            <v>0.86</v>
          </cell>
          <cell r="D24">
            <v>0.91300000000000003</v>
          </cell>
          <cell r="E24">
            <v>0.91300000000000003</v>
          </cell>
          <cell r="F24" t="str">
            <v>3TF47-22</v>
          </cell>
          <cell r="G24">
            <v>100</v>
          </cell>
          <cell r="H24" t="str">
            <v>3UA58 40-2T</v>
          </cell>
          <cell r="I24" t="str">
            <v>40-57</v>
          </cell>
          <cell r="J24" t="str">
            <v>3VF1431-1DK11</v>
          </cell>
        </row>
        <row r="25">
          <cell r="A25">
            <v>27</v>
          </cell>
          <cell r="B25">
            <v>0.89</v>
          </cell>
          <cell r="C25">
            <v>0.86</v>
          </cell>
          <cell r="D25">
            <v>0.91300000000000003</v>
          </cell>
          <cell r="E25">
            <v>0.91300000000000003</v>
          </cell>
          <cell r="F25" t="str">
            <v>3TF47-22</v>
          </cell>
          <cell r="G25">
            <v>100</v>
          </cell>
          <cell r="H25" t="str">
            <v>3UA58 40-2P</v>
          </cell>
          <cell r="I25" t="str">
            <v>50-63</v>
          </cell>
          <cell r="J25" t="str">
            <v>3VF1431-1DK11</v>
          </cell>
        </row>
        <row r="26">
          <cell r="A26">
            <v>30</v>
          </cell>
          <cell r="B26">
            <v>0.89</v>
          </cell>
          <cell r="C26">
            <v>0.86</v>
          </cell>
          <cell r="D26">
            <v>0.92500000000000004</v>
          </cell>
          <cell r="E26">
            <v>0.92</v>
          </cell>
          <cell r="F26" t="str">
            <v>3TF47-22</v>
          </cell>
          <cell r="G26">
            <v>125</v>
          </cell>
          <cell r="H26" t="str">
            <v>3UA58 40-2P</v>
          </cell>
          <cell r="I26" t="str">
            <v>50-63</v>
          </cell>
          <cell r="J26" t="str">
            <v>3VF1431-1DK11</v>
          </cell>
        </row>
        <row r="27">
          <cell r="A27">
            <v>37</v>
          </cell>
          <cell r="B27">
            <v>0.89</v>
          </cell>
          <cell r="C27">
            <v>0.86</v>
          </cell>
          <cell r="D27">
            <v>0.93300000000000005</v>
          </cell>
          <cell r="E27">
            <v>0.93</v>
          </cell>
          <cell r="F27" t="str">
            <v>3TF48-22</v>
          </cell>
          <cell r="G27">
            <v>125</v>
          </cell>
          <cell r="H27" t="str">
            <v>3UA58 40-2U</v>
          </cell>
          <cell r="I27" t="str">
            <v>63-80</v>
          </cell>
        </row>
        <row r="28">
          <cell r="A28">
            <v>45</v>
          </cell>
          <cell r="B28">
            <v>0.9</v>
          </cell>
          <cell r="C28">
            <v>0.86</v>
          </cell>
          <cell r="D28">
            <v>0.93400000000000005</v>
          </cell>
          <cell r="E28">
            <v>0.93500000000000005</v>
          </cell>
          <cell r="F28" t="str">
            <v>3TF49-22</v>
          </cell>
          <cell r="G28">
            <v>160</v>
          </cell>
          <cell r="H28" t="str">
            <v>3UA60 40-2W</v>
          </cell>
          <cell r="I28" t="str">
            <v>63-90</v>
          </cell>
        </row>
        <row r="29">
          <cell r="A29">
            <v>55</v>
          </cell>
          <cell r="B29">
            <v>0.9</v>
          </cell>
          <cell r="C29">
            <v>0.86</v>
          </cell>
          <cell r="D29">
            <v>0.93799999999999994</v>
          </cell>
          <cell r="E29">
            <v>0.93899999999999995</v>
          </cell>
          <cell r="F29" t="str">
            <v>3TF50-22</v>
          </cell>
          <cell r="G29">
            <v>200</v>
          </cell>
          <cell r="H29" t="str">
            <v>3UA60 40-2X</v>
          </cell>
          <cell r="I29" t="str">
            <v>80-110</v>
          </cell>
        </row>
        <row r="30">
          <cell r="A30">
            <v>60</v>
          </cell>
          <cell r="B30">
            <v>0.9</v>
          </cell>
          <cell r="C30">
            <v>0.86</v>
          </cell>
          <cell r="D30">
            <v>0.93799999999999994</v>
          </cell>
          <cell r="E30">
            <v>0.93899999999999995</v>
          </cell>
          <cell r="F30" t="str">
            <v>3TF51-22</v>
          </cell>
          <cell r="G30">
            <v>200</v>
          </cell>
          <cell r="H30" t="str">
            <v>3UA61 40-3H</v>
          </cell>
          <cell r="I30" t="str">
            <v>90-120</v>
          </cell>
        </row>
        <row r="31">
          <cell r="A31">
            <v>75</v>
          </cell>
          <cell r="B31">
            <v>0.9</v>
          </cell>
          <cell r="C31">
            <v>0.86</v>
          </cell>
          <cell r="D31">
            <v>0.94299999999999995</v>
          </cell>
          <cell r="E31">
            <v>0.94299999999999995</v>
          </cell>
          <cell r="F31" t="str">
            <v>3TF51-22</v>
          </cell>
          <cell r="G31">
            <v>250</v>
          </cell>
          <cell r="H31" t="str">
            <v>3UA61 40-3K</v>
          </cell>
          <cell r="I31" t="str">
            <v>120-150</v>
          </cell>
        </row>
        <row r="32">
          <cell r="A32">
            <v>90</v>
          </cell>
          <cell r="B32">
            <v>0.91</v>
          </cell>
          <cell r="C32">
            <v>0.86</v>
          </cell>
          <cell r="D32">
            <v>0.94499999999999995</v>
          </cell>
          <cell r="E32">
            <v>0.94699999999999995</v>
          </cell>
          <cell r="F32" t="str">
            <v>3TF52-22</v>
          </cell>
          <cell r="G32">
            <v>315</v>
          </cell>
          <cell r="H32" t="str">
            <v>3UA62 40-3M</v>
          </cell>
          <cell r="I32" t="str">
            <v>150-180</v>
          </cell>
        </row>
        <row r="33">
          <cell r="A33">
            <v>110</v>
          </cell>
          <cell r="B33">
            <v>0.91</v>
          </cell>
          <cell r="C33">
            <v>0.86</v>
          </cell>
          <cell r="D33">
            <v>0.94499999999999995</v>
          </cell>
          <cell r="E33">
            <v>0.95199999999999996</v>
          </cell>
          <cell r="F33" t="str">
            <v>3TF53-22</v>
          </cell>
          <cell r="G33">
            <v>315</v>
          </cell>
          <cell r="H33" t="str">
            <v>3UA66 40-3C</v>
          </cell>
          <cell r="I33" t="str">
            <v>160-250</v>
          </cell>
        </row>
        <row r="34">
          <cell r="A34">
            <v>132</v>
          </cell>
          <cell r="B34">
            <v>0.91</v>
          </cell>
          <cell r="C34">
            <v>0.86</v>
          </cell>
          <cell r="D34">
            <v>0.95</v>
          </cell>
          <cell r="E34">
            <v>0.95499999999999996</v>
          </cell>
          <cell r="F34" t="str">
            <v>3TF54-22</v>
          </cell>
          <cell r="G34">
            <v>355</v>
          </cell>
          <cell r="H34" t="str">
            <v>3UA66 40-3D</v>
          </cell>
          <cell r="I34" t="str">
            <v>200-320</v>
          </cell>
        </row>
        <row r="35">
          <cell r="A35">
            <v>160</v>
          </cell>
          <cell r="B35">
            <v>0.91</v>
          </cell>
          <cell r="C35">
            <v>0.86</v>
          </cell>
          <cell r="D35">
            <v>0.95299999999999996</v>
          </cell>
          <cell r="E35">
            <v>0.95699999999999996</v>
          </cell>
          <cell r="F35" t="str">
            <v>3TF55-22</v>
          </cell>
          <cell r="G35">
            <v>355</v>
          </cell>
          <cell r="H35" t="str">
            <v>3UA66 40-3E</v>
          </cell>
          <cell r="I35" t="str">
            <v>250-400</v>
          </cell>
        </row>
        <row r="36">
          <cell r="A36">
            <v>185</v>
          </cell>
          <cell r="B36">
            <v>0.91</v>
          </cell>
          <cell r="C36">
            <v>0.87</v>
          </cell>
          <cell r="D36">
            <v>0.95499999999999996</v>
          </cell>
          <cell r="E36">
            <v>0.95799999999999996</v>
          </cell>
          <cell r="F36" t="str">
            <v>3TF56-22</v>
          </cell>
          <cell r="G36">
            <v>400</v>
          </cell>
          <cell r="H36" t="str">
            <v>3UA66 40-3E</v>
          </cell>
          <cell r="I36" t="str">
            <v>250-400</v>
          </cell>
        </row>
        <row r="37">
          <cell r="A37">
            <v>200</v>
          </cell>
          <cell r="B37">
            <v>0.92</v>
          </cell>
          <cell r="C37">
            <v>0.87</v>
          </cell>
          <cell r="D37">
            <v>0.95799999999999996</v>
          </cell>
          <cell r="E37">
            <v>0.95899999999999996</v>
          </cell>
          <cell r="F37" t="str">
            <v>3TF56-22</v>
          </cell>
          <cell r="G37">
            <v>400</v>
          </cell>
          <cell r="H37" t="str">
            <v>3UA66 40-3E</v>
          </cell>
          <cell r="I37" t="str">
            <v>250-400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sheetData sheetId="760" refreshError="1"/>
      <sheetData sheetId="761" refreshError="1"/>
      <sheetData sheetId="762"/>
      <sheetData sheetId="763"/>
      <sheetData sheetId="764"/>
      <sheetData sheetId="765"/>
      <sheetData sheetId="766"/>
      <sheetData sheetId="767" refreshError="1"/>
      <sheetData sheetId="768" refreshError="1"/>
      <sheetData sheetId="769" refreshError="1"/>
      <sheetData sheetId="770" refreshError="1"/>
      <sheetData sheetId="771" refreshError="1"/>
      <sheetData sheetId="772"/>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sheetData sheetId="812"/>
      <sheetData sheetId="813"/>
      <sheetData sheetId="814"/>
      <sheetData sheetId="815"/>
      <sheetData sheetId="816"/>
      <sheetData sheetId="817"/>
      <sheetData sheetId="818" refreshError="1"/>
      <sheetData sheetId="819" refreshError="1"/>
      <sheetData sheetId="820" refreshError="1"/>
      <sheetData sheetId="821" refreshError="1"/>
      <sheetData sheetId="822" refreshError="1"/>
      <sheetData sheetId="823"/>
      <sheetData sheetId="824"/>
      <sheetData sheetId="825"/>
      <sheetData sheetId="826" refreshError="1"/>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refreshError="1"/>
      <sheetData sheetId="844"/>
      <sheetData sheetId="845"/>
      <sheetData sheetId="846"/>
      <sheetData sheetId="847"/>
      <sheetData sheetId="848" refreshError="1"/>
      <sheetData sheetId="849"/>
      <sheetData sheetId="850"/>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sheetData sheetId="870"/>
      <sheetData sheetId="871" refreshError="1"/>
      <sheetData sheetId="872" refreshError="1"/>
      <sheetData sheetId="873" refreshError="1"/>
      <sheetData sheetId="874"/>
      <sheetData sheetId="875"/>
      <sheetData sheetId="876"/>
      <sheetData sheetId="877"/>
      <sheetData sheetId="878"/>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sheetData sheetId="1018"/>
      <sheetData sheetId="1019"/>
      <sheetData sheetId="1020"/>
      <sheetData sheetId="1021"/>
      <sheetData sheetId="1022" refreshError="1"/>
      <sheetData sheetId="1023" refreshError="1"/>
      <sheetData sheetId="1024" refreshError="1"/>
      <sheetData sheetId="1025" refreshError="1"/>
      <sheetData sheetId="1026" refreshError="1"/>
      <sheetData sheetId="1027" refreshError="1"/>
      <sheetData sheetId="1028"/>
      <sheetData sheetId="1029"/>
      <sheetData sheetId="1030"/>
      <sheetData sheetId="1031"/>
      <sheetData sheetId="1032"/>
      <sheetData sheetId="1033"/>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sheetData sheetId="108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e Récept"/>
      <sheetName val="Liste Moteur"/>
      <sheetName val="Table"/>
    </sheetNames>
    <sheetDataSet>
      <sheetData sheetId="0" refreshError="1"/>
      <sheetData sheetId="1" refreshError="1"/>
      <sheetData sheetId="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sheetName val="Data Leo"/>
      <sheetName val="Annual running hours"/>
      <sheetName val="data OAU ashp"/>
      <sheetName val="OAU Qilin"/>
      <sheetName val="Data"/>
      <sheetName val="Mass balance"/>
      <sheetName val="Mass balance (no formula)"/>
      <sheetName val="Solvent_calculations"/>
      <sheetName val="Water balance"/>
      <sheetName val="Water balance (2)"/>
      <sheetName val="Properties"/>
      <sheetName val="Graphe Tv"/>
      <sheetName val="Data (leo 40 k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DO_HIDDEN"/>
      <sheetName val="VALVE LIST.xdo"/>
    </sheetNames>
    <sheetDataSet>
      <sheetData sheetId="0"/>
      <sheetData sheetId="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ntity"/>
      <sheetName val="PS"/>
      <sheetName val="C"/>
      <sheetName val="D"/>
      <sheetName val="G"/>
      <sheetName val="I"/>
      <sheetName val="J"/>
      <sheetName val="IJ"/>
      <sheetName val="LP"/>
      <sheetName val="P"/>
      <sheetName val="L"/>
      <sheetName val="LS"/>
      <sheetName val="LT"/>
      <sheetName val="LE"/>
      <sheetName val="N"/>
      <sheetName val="FM"/>
      <sheetName val="SF"/>
      <sheetName val="SP"/>
      <sheetName val="DW"/>
      <sheetName val="UG "/>
      <sheetName val="Synop"/>
      <sheetName val="Basis"/>
      <sheetName val="合成単価作成表-BLDG"/>
      <sheetName val="Sheet9"/>
      <sheetName val="BQMPALOC"/>
      <sheetName val="jobhist"/>
      <sheetName val="2.2 STAFF Scedule"/>
      <sheetName val=" Sum"/>
      <sheetName val="share"/>
      <sheetName val=""/>
      <sheetName val="DWG"/>
      <sheetName val="PRO"/>
      <sheetName val="수입"/>
      <sheetName val="97 사업추정(WEKI)"/>
      <sheetName val="97"/>
      <sheetName val="ANX3A11"/>
      <sheetName val="MyLists"/>
      <sheetName val="Manpower Construction"/>
      <sheetName val="summary RE &amp; CF"/>
      <sheetName val="MANP"/>
      <sheetName val="31 July 2005"/>
      <sheetName val="HSE "/>
      <sheetName val="Malaysia incl. RET"/>
      <sheetName val="Sheet1"/>
      <sheetName val="#REF"/>
      <sheetName val="Validation"/>
      <sheetName val="INSTR-A Main Work"/>
      <sheetName val="EE-SAP"/>
      <sheetName val="p.mgmt"/>
      <sheetName val="A"/>
      <sheetName val="info"/>
      <sheetName val="산근"/>
      <sheetName val="Billing amount "/>
      <sheetName val="MP-AGPip-Dir"/>
      <sheetName val="RHI GROUP"/>
      <sheetName val="RHI Konzern"/>
      <sheetName val="cov RHI GROUP"/>
      <sheetName val="PTE-Company"/>
      <sheetName val="Equipment List"/>
      <sheetName val="CAT_5"/>
      <sheetName val="pipeline-1"/>
      <sheetName val="Main"/>
      <sheetName val="TP"/>
      <sheetName val="COVER"/>
      <sheetName val="Reco"/>
      <sheetName val="bolts"/>
      <sheetName val="주관사업"/>
      <sheetName val="M_EQPT_Z"/>
      <sheetName val="NDOCBT"/>
      <sheetName val="SAP"/>
      <sheetName val="ACTLY"/>
      <sheetName val="Global"/>
      <sheetName val="summary"/>
      <sheetName val="Billing and Status Register"/>
      <sheetName val="UG_"/>
      <sheetName val="summary_RE_&amp;_CF"/>
      <sheetName val="_Sum"/>
      <sheetName val="2_2_STAFF_Scedule"/>
      <sheetName val="31_July_2005"/>
      <sheetName val="HSE_"/>
      <sheetName val="Malaysia_incl__RET"/>
      <sheetName val="INSTR-A_Main_Work"/>
      <sheetName val="p_mgmt"/>
      <sheetName val="Billing_amount_"/>
      <sheetName val="RHI_GROUP"/>
      <sheetName val="RHI_Konzern"/>
      <sheetName val="cov_RHI_GROUP"/>
      <sheetName val="Equipment_List"/>
      <sheetName val="GTC TECHNIP PS 1700.00"/>
      <sheetName val="손익차총괄2"/>
      <sheetName val="Orders &amp; Annexures"/>
      <sheetName val="UG_1"/>
      <sheetName val="summary_RE_&amp;_CF1"/>
      <sheetName val="_Sum1"/>
      <sheetName val="2_2_STAFF_Scedule1"/>
      <sheetName val="31_July_20051"/>
      <sheetName val="HSE_1"/>
      <sheetName val="Malaysia_incl__RET1"/>
      <sheetName val="INSTR-A_Main_Work1"/>
      <sheetName val="p_mgmt1"/>
      <sheetName val="Billing_amount_1"/>
      <sheetName val="RHI_GROUP1"/>
      <sheetName val="RHI_Konzern1"/>
      <sheetName val="cov_RHI_GROUP1"/>
      <sheetName val="Equipment_List1"/>
      <sheetName val="Billing_and_Status_Register"/>
      <sheetName val="GTC_TECHNIP_PS_1700_00"/>
      <sheetName val="장비"/>
      <sheetName val="노무"/>
      <sheetName val="자재"/>
      <sheetName val="산근1"/>
      <sheetName val="UG_2"/>
      <sheetName val="_Sum2"/>
      <sheetName val="summary_RE_&amp;_CF2"/>
      <sheetName val="2_2_STAFF_Scedule2"/>
      <sheetName val="31_July_20052"/>
      <sheetName val="HSE_2"/>
      <sheetName val="Malaysia_incl__RET2"/>
      <sheetName val="INSTR-A_Main_Work2"/>
      <sheetName val="p_mgmt2"/>
      <sheetName val="Billing_amount_2"/>
      <sheetName val="RHI_GROUP2"/>
      <sheetName val="RHI_Konzern2"/>
      <sheetName val="cov_RHI_GROUP2"/>
      <sheetName val="Equipment_List2"/>
      <sheetName val="Billing_and_Status_Register1"/>
      <sheetName val="GTC_TECHNIP_PS_1700_001"/>
      <sheetName val="Orders_&amp;_Annexures"/>
      <sheetName val="Link Table"/>
      <sheetName val="Weight factors"/>
      <sheetName val="SALA-002"/>
      <sheetName val="Eng."/>
      <sheetName val="6PILE  (돌출)"/>
      <sheetName val="Utility and Fire flange"/>
      <sheetName val="inter"/>
      <sheetName val="Utility_and_Fire_flange"/>
      <sheetName val="Utility_and_Fire_flange1"/>
      <sheetName val="Peak Craft (old)"/>
      <sheetName val="Thixus"/>
      <sheetName val="W1"/>
      <sheetName val="S6"/>
      <sheetName val="PL"/>
      <sheetName val="W"/>
      <sheetName val="Depl"/>
      <sheetName val="1) COMMON FACILITIES"/>
      <sheetName val="INSULATION R1"/>
      <sheetName val="UG_3"/>
      <sheetName val="2_2_STAFF_Scedule3"/>
      <sheetName val="_Sum3"/>
      <sheetName val="97_사업추정(WEKI)"/>
      <sheetName val="Manpower_Construction"/>
      <sheetName val="summary_RE_&amp;_CF3"/>
      <sheetName val="31_July_20053"/>
      <sheetName val="HSE_3"/>
      <sheetName val="Malaysia_incl__RET3"/>
      <sheetName val="INSTR-A_Main_Work3"/>
      <sheetName val="p_mgmt3"/>
      <sheetName val="Billing_amount_3"/>
      <sheetName val="RHI_GROUP3"/>
      <sheetName val="RHI_Konzern3"/>
      <sheetName val="cov_RHI_GROUP3"/>
      <sheetName val="Equipment_List3"/>
      <sheetName val="Billing_and_Status_Register2"/>
      <sheetName val="GTC_TECHNIP_PS_1700_002"/>
      <sheetName val="Orders_&amp;_Annexures1"/>
      <sheetName val="Link_Table"/>
      <sheetName val="Weight_factors"/>
      <sheetName val="Eng_"/>
      <sheetName val="6PILE__(돌출)"/>
      <sheetName val="Utility_and_Fire_flange2"/>
      <sheetName val="Peak_Craft_(old)"/>
      <sheetName val="UG_4"/>
      <sheetName val="2_2_STAFF_Scedule4"/>
      <sheetName val="_Sum4"/>
      <sheetName val="97_사업추정(WEKI)1"/>
      <sheetName val="Manpower_Construction1"/>
      <sheetName val="summary_RE_&amp;_CF4"/>
      <sheetName val="31_July_20054"/>
      <sheetName val="HSE_4"/>
      <sheetName val="Malaysia_incl__RET4"/>
      <sheetName val="INSTR-A_Main_Work4"/>
      <sheetName val="p_mgmt4"/>
      <sheetName val="Billing_amount_4"/>
      <sheetName val="RHI_GROUP4"/>
      <sheetName val="RHI_Konzern4"/>
      <sheetName val="cov_RHI_GROUP4"/>
      <sheetName val="Equipment_List4"/>
      <sheetName val="Billing_and_Status_Register3"/>
      <sheetName val="GTC_TECHNIP_PS_1700_003"/>
      <sheetName val="Orders_&amp;_Annexures2"/>
      <sheetName val="Link_Table1"/>
      <sheetName val="Weight_factors1"/>
      <sheetName val="Eng_1"/>
      <sheetName val="6PILE__(돌출)1"/>
      <sheetName val="Utility_and_Fire_flange3"/>
      <sheetName val="Peak_Craft_(old)1"/>
      <sheetName val="Benchmark"/>
      <sheetName val="Consumables"/>
      <sheetName val="33628-Rev. A"/>
      <sheetName val="inst index"/>
      <sheetName val="Jornales"/>
      <sheetName val="1)_COMMON_FACILITIES"/>
      <sheetName val="INSULATION_R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sheetData sheetId="20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sheetName val="VUOTO"/>
      <sheetName val="2.0-A4"/>
      <sheetName val="SV"/>
      <sheetName val="contactor"/>
      <sheetName val="L"/>
      <sheetName val="RFP007"/>
      <sheetName val="SILIC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
      <sheetName val="Page 2 of 7"/>
      <sheetName val="Page 3 of 7"/>
      <sheetName val="Page 4 of 7"/>
      <sheetName val="Page 5 of 7"/>
      <sheetName val="Page 6 of 7"/>
      <sheetName val="Page 7 of 7"/>
      <sheetName val="Module2"/>
      <sheetName val="Module1"/>
      <sheetName val="Chains"/>
      <sheetName val="Drop Down List"/>
      <sheetName val="DropDownList YP"/>
      <sheetName val="Front_sheet"/>
      <sheetName val="Page_2_of_7"/>
      <sheetName val="Page_3_of_7"/>
      <sheetName val="Page_4_of_7"/>
      <sheetName val="Page_5_of_7"/>
      <sheetName val="Page_6_of_7"/>
      <sheetName val="Page_7_of_7"/>
      <sheetName val="Front_sheet1"/>
      <sheetName val="Page_2_of_71"/>
      <sheetName val="Page_3_of_71"/>
      <sheetName val="Page_4_of_71"/>
      <sheetName val="Page_5_of_71"/>
      <sheetName val="Page_6_of_71"/>
      <sheetName val="Page_7_of_71"/>
      <sheetName val="IS Calculation"/>
      <sheetName val="Sheet1"/>
      <sheetName val="Motor"/>
      <sheetName val="Drop down"/>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Steam Config"/>
      <sheetName val="ProSteam Calculation"/>
      <sheetName val="Cover sheet(H)"/>
      <sheetName val="#REF"/>
    </sheetNames>
    <sheetDataSet>
      <sheetData sheetId="0">
        <row r="8">
          <cell r="A8" t="str">
            <v>LM,{1E11F70A-1312-4D22-96F0-2270D9E87CE6},1</v>
          </cell>
        </row>
      </sheetData>
      <sheetData sheetId="1" refreshError="1"/>
      <sheetData sheetId="2" refreshError="1"/>
      <sheetData sheetId="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Cover sheet"/>
      <sheetName val="Quantity"/>
      <sheetName val="Aboveground Erect_"/>
      <sheetName val="AG Pipe Erect - Frac &amp; Common"/>
      <sheetName val="#REF"/>
      <sheetName val="PROCESS"/>
      <sheetName val="BQ List"/>
      <sheetName val="PipWT"/>
      <sheetName val="ITEM"/>
      <sheetName val="Sheet1"/>
      <sheetName val="CALCULATION"/>
      <sheetName val="Proposal"/>
      <sheetName val="노임"/>
      <sheetName val="Total"/>
      <sheetName val="WIND"/>
      <sheetName val="PROP"/>
      <sheetName val="터널조도"/>
      <sheetName val="IN"/>
      <sheetName val="sch(data)"/>
      <sheetName val="DATA LISTS"/>
      <sheetName val="MEXICO-C"/>
      <sheetName val="MOTOR"/>
      <sheetName val="FAB별"/>
      <sheetName val="연돌일위집계"/>
      <sheetName val="정부노임단가"/>
      <sheetName val="TIE-IN"/>
      <sheetName val="Sheet5"/>
      <sheetName val="BSD (2)"/>
      <sheetName val="금액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201 RevB Design"/>
      <sheetName val="Scénario surpression"/>
      <sheetName val="hydrogénateurs (MJ)"/>
      <sheetName val="OLDHydrogénateur"/>
      <sheetName val="Hydrogénateur modifié (Qilin)"/>
      <sheetName val="Filtration Primaire (Qilin)"/>
      <sheetName val="Filtration Secondaire"/>
      <sheetName val="Coalesceur ST  S1260"/>
      <sheetName val="Colonne Alumine"/>
      <sheetName val="Filtration S1413"/>
      <sheetName val="Filtration H2O2 S1240"/>
      <sheetName val="Coalesceur H2O2 S1245"/>
      <sheetName val="Implantation R1210"/>
      <sheetName val="Implantation R1210 revue"/>
      <sheetName val="Colonne D1220"/>
      <sheetName val="Section Charbon 1_2"/>
      <sheetName val="Section Charbon 2_2"/>
      <sheetName val="R503"/>
      <sheetName val="R250-R502  tanks"/>
      <sheetName val="Old Section Charbon"/>
      <sheetName val="OLD Compresseur C113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
      <sheetName val="Calculation"/>
      <sheetName val="Pipe Dia"/>
      <sheetName val="Pipe Calc"/>
      <sheetName val="RFP002"/>
      <sheetName val="R56600 (1)"/>
      <sheetName val="合成単価作成表-BLDG"/>
      <sheetName val="IO Types"/>
      <sheetName val="Line Siz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XLS"/>
      <sheetName val="Emp. No. (2)"/>
    </sheetNames>
    <sheetDataSet>
      <sheetData sheetId="0" refreshError="1"/>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산근"/>
      <sheetName val="[TEPC 2197-SC002-EXB-Mech-BOQ-r"/>
      <sheetName val="Saisie"/>
      <sheetName val="SYSTEM 945 Air&amp;Nitrogen"/>
      <sheetName val="TTL"/>
      <sheetName val=""/>
      <sheetName val="TEPC 2197-SC002-EXB-Mech-BOQ-re"/>
      <sheetName val="Cover_page"/>
      <sheetName val="M_11"/>
      <sheetName val="M_21A"/>
      <sheetName val="M_21B"/>
      <sheetName val="M_31A"/>
      <sheetName val="M_31B"/>
      <sheetName val="M_32A"/>
      <sheetName val="M_32B"/>
      <sheetName val="M_41A"/>
      <sheetName val="M_41B"/>
      <sheetName val="M_42A"/>
      <sheetName val="M_42B"/>
      <sheetName val="M_51"/>
      <sheetName val="M_52"/>
      <sheetName val="SYSTEM_945_Air&amp;Nitrogen"/>
      <sheetName val="Cover_page1"/>
      <sheetName val="M_111"/>
      <sheetName val="M_21A1"/>
      <sheetName val="M_21B1"/>
      <sheetName val="M_31A1"/>
      <sheetName val="M_31B1"/>
      <sheetName val="M_32A1"/>
      <sheetName val="M_32B1"/>
      <sheetName val="M_41A1"/>
      <sheetName val="M_41B1"/>
      <sheetName val="M_42A1"/>
      <sheetName val="M_42B1"/>
      <sheetName val="M_511"/>
      <sheetName val="M_521"/>
      <sheetName val="SYSTEM_945_Air&amp;Nitroge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1"/>
      <sheetName val="Schematic"/>
      <sheetName val="Revised l551aeds New Logo"/>
      <sheetName val="BILAL2"/>
      <sheetName val="Pipe ID"/>
      <sheetName val="Alternator"/>
      <sheetName val="Page_1"/>
      <sheetName val="Electrical Load List"/>
      <sheetName val="IA drier Page 1"/>
      <sheetName val="C-3204"/>
      <sheetName val="MECH1"/>
      <sheetName val="Air Cooler kPa"/>
      <sheetName val="PipeSizes"/>
      <sheetName val="2STG"/>
      <sheetName val="DP"/>
      <sheetName val="DB_Gear"/>
      <sheetName val="DB_Master"/>
      <sheetName val="Fluids"/>
      <sheetName val="S0"/>
      <sheetName val="TWO PASS"/>
      <sheetName val="THREE PASS"/>
      <sheetName val="DEF"/>
      <sheetName val="Summary (rev0)"/>
      <sheetName val="Settings"/>
      <sheetName val="HMB 75 MMSCFD"/>
      <sheetName val="Calca"/>
      <sheetName val="Units"/>
      <sheetName val="Sheet2"/>
      <sheetName val="51-PSV8008L"/>
      <sheetName val="GEN"/>
      <sheetName val="Coupling"/>
      <sheetName val="Sheet1"/>
      <sheetName val="Rekap A"/>
      <sheetName val="UnitTable"/>
      <sheetName val="Data"/>
      <sheetName val="Revisions"/>
      <sheetName val="REF.ONLY"/>
      <sheetName val="Step"/>
      <sheetName val="date"/>
      <sheetName val="Form-3.3"/>
      <sheetName val="BOQ"/>
      <sheetName val="Rekap"/>
      <sheetName val="Data Cable"/>
      <sheetName val="CS_SS892"/>
      <sheetName val="CS_SS191"/>
      <sheetName val="CS_SS192"/>
      <sheetName val="CS_SS961"/>
      <sheetName val="CS_SS391"/>
      <sheetName val="CS_SS791"/>
      <sheetName val="CS_SS491"/>
      <sheetName val="CS_SS492"/>
      <sheetName val="MVCable"/>
      <sheetName val="COCable"/>
      <sheetName val="RXDATA"/>
      <sheetName val=" ratings"/>
      <sheetName val="PConsCS"/>
      <sheetName val="dia-in"/>
      <sheetName val="Break_down"/>
      <sheetName val="Equipment"/>
      <sheetName val="eq_data"/>
      <sheetName val="HVAC"/>
      <sheetName val="BM DATA SHEET"/>
      <sheetName val="summary"/>
      <sheetName val="Breakdown"/>
      <sheetName val="Page_11"/>
      <sheetName val="process data (2)"/>
      <sheetName val="Summary of BQ Material"/>
      <sheetName val="Satuan Dasar"/>
      <sheetName val="Calc"/>
      <sheetName val="Tank2"/>
      <sheetName val="Conn. Lib"/>
      <sheetName val="AOP Summary-2"/>
      <sheetName val="List Doc"/>
      <sheetName val="Material"/>
      <sheetName val="Works"/>
      <sheetName val="Services"/>
      <sheetName val="A(Rev.3)"/>
      <sheetName val="Template"/>
      <sheetName val="oil syst data shts"/>
      <sheetName val="Superstruc"/>
      <sheetName val="Price Summary (2)"/>
      <sheetName val="#REF"/>
      <sheetName val="HYDROTEST DIAGRAM"/>
      <sheetName val="WIP"/>
      <sheetName val="Spread"/>
      <sheetName val="PDMS DATA"/>
      <sheetName val="Scan Code Standards"/>
      <sheetName val="Page_12"/>
      <sheetName val="STRUKTUR"/>
      <sheetName val="VLL BAFF SDLL"/>
      <sheetName val="Pages 1-5"/>
      <sheetName val="CMP_A2series_Gland"/>
      <sheetName val="Kukdong_Cable_data"/>
      <sheetName val="L"/>
      <sheetName val="Assmpns"/>
      <sheetName val="Dist_analys"/>
      <sheetName val="subkon"/>
      <sheetName val="SELL-SUMM-COST"/>
      <sheetName val="XDO_HIDDEN"/>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SBL Power Balance"/>
      <sheetName val="Revision"/>
      <sheetName val="Motor list"/>
      <sheetName val="Setup"/>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VUOTO"/>
      <sheetName val="2.0-A4"/>
      <sheetName val="AD ST"/>
      <sheetName val="合成単価作成表-BLDG"/>
      <sheetName val="SILICATE"/>
      <sheetName val="Total Sum"/>
      <sheetName val="Lists"/>
      <sheetName val="APC UPS"/>
      <sheetName val="Phone System Planning"/>
      <sheetName val="nam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Page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왕갑지"/>
      <sheetName val="갑지"/>
      <sheetName val="내역서"/>
      <sheetName val="산근"/>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M 11"/>
      <sheetName val="Factor"/>
      <sheetName val="공문"/>
      <sheetName val="合成単価作成表-BLDG"/>
      <sheetName val="jobhist"/>
      <sheetName val="HVAC"/>
      <sheetName val="#2CDU실행"/>
      <sheetName val="w't table"/>
      <sheetName val="토목(대안)"/>
      <sheetName val="할증 "/>
      <sheetName val="#REF"/>
      <sheetName val="12CGOU"/>
      <sheetName val="뜃맟뭁돽띿맟?-BLDG"/>
      <sheetName val="단가집"/>
      <sheetName val=" Sum"/>
      <sheetName val="h-013211-2"/>
      <sheetName val="해평견적"/>
      <sheetName val="Main"/>
      <sheetName val="공정계획(내부계획25%,내부w.f)"/>
      <sheetName val="기계내역서"/>
      <sheetName val="BATCH"/>
      <sheetName val="단가"/>
      <sheetName val="99노임기준"/>
      <sheetName val="일위대가"/>
      <sheetName val="제잡비"/>
      <sheetName val="공내역서"/>
      <sheetName val="식재"/>
      <sheetName val="시설물"/>
      <sheetName val="식재출력용"/>
      <sheetName val="유지관리"/>
      <sheetName val="단가조사"/>
      <sheetName val="계수시트"/>
      <sheetName val="원가계산서"/>
      <sheetName val="대림경상68억"/>
      <sheetName val="시설물일위"/>
      <sheetName val="수목데이타"/>
      <sheetName val="가설공사"/>
      <sheetName val="단가결정"/>
      <sheetName val="내역아"/>
      <sheetName val="울타리"/>
      <sheetName val="Piping(Methanol)"/>
      <sheetName val="HO ENG MH CAL"/>
      <sheetName val="Gia vat tu"/>
      <sheetName val="환율표"/>
      <sheetName val="Sheet1"/>
      <sheetName val="수지표"/>
      <sheetName val="셀명"/>
      <sheetName val="PipWT"/>
      <sheetName val="inter"/>
      <sheetName val="PIPE"/>
      <sheetName val="FLANGE"/>
      <sheetName val="VALVE"/>
      <sheetName val="cal"/>
      <sheetName val="2-1. 경관조명 내역총괄표"/>
      <sheetName val="CAT_5"/>
      <sheetName val="Piping Design Data"/>
      <sheetName val="뜃맟뭁돽띿맟_-BLDG"/>
      <sheetName val="원가계산"/>
      <sheetName val="재료비"/>
      <sheetName val="Price Summary Sheet (Final BQ)"/>
      <sheetName val="EQT-ESTN"/>
      <sheetName val="Currencies"/>
      <sheetName val="Chi tiet"/>
      <sheetName val="PDS U-1400"/>
      <sheetName val="PROGRESS"/>
      <sheetName val="일위대가표"/>
      <sheetName val="장비종합부표"/>
      <sheetName val="집계표_식재"/>
      <sheetName val="부표"/>
      <sheetName val="경비"/>
      <sheetName val="AREA"/>
      <sheetName val="D"/>
      <sheetName val="Summary"/>
      <sheetName val="관련부서"/>
      <sheetName val="Report"/>
      <sheetName val="추가예산"/>
      <sheetName val="갑지(추정)"/>
      <sheetName val="공통(20-91)"/>
      <sheetName val="DATE"/>
      <sheetName val="Spec1"/>
      <sheetName val="견적기준"/>
      <sheetName val="노임이"/>
      <sheetName val="공사_산출"/>
      <sheetName val="산출내역"/>
      <sheetName val="준공조서갑지"/>
      <sheetName val="PSV2701F"/>
      <sheetName val="costing_CV"/>
      <sheetName val="Chiet tinh dz35"/>
      <sheetName val="Chiet tinh dz22"/>
      <sheetName val="CT Thang Mo"/>
      <sheetName val="CT  PL"/>
      <sheetName val="MTP"/>
      <sheetName val="MTP1"/>
      <sheetName val="8"/>
      <sheetName val="10"/>
      <sheetName val="12"/>
      <sheetName val="9"/>
      <sheetName val="11"/>
      <sheetName val="2"/>
      <sheetName val="AA"/>
      <sheetName val="도급"/>
      <sheetName val="도면자료제출일정"/>
      <sheetName val="MB(LAB_No.2)"/>
      <sheetName val="개산공사비"/>
      <sheetName val="AILC004"/>
      <sheetName val="설계"/>
      <sheetName val="PBS"/>
      <sheetName val="편성절차"/>
      <sheetName val="SUBCON"/>
      <sheetName val="cement"/>
      <sheetName val="TOT-SUM"/>
      <sheetName val="예총"/>
      <sheetName val="UNIT PRICES"/>
      <sheetName val="주관사업"/>
      <sheetName val="견적대비표"/>
      <sheetName val="cable-data"/>
      <sheetName val="기자재집계"/>
      <sheetName val="토공개요"/>
      <sheetName val="Pile"/>
      <sheetName val="SS2"/>
      <sheetName val="TRANSFER"/>
      <sheetName val="실행내역"/>
      <sheetName val="name"/>
      <sheetName val="BQMPALOC"/>
      <sheetName val="설계명세서"/>
      <sheetName val="품셈표"/>
      <sheetName val="設計条件"/>
      <sheetName val="Precall-new"/>
      <sheetName val="BASE DE PERSONAL"/>
      <sheetName val="Facturación A"/>
      <sheetName val="TABLAS"/>
      <sheetName val="RES"/>
      <sheetName val="SILICATE"/>
      <sheetName val="Civil"/>
      <sheetName val="DB@Acess"/>
      <sheetName val="INDIRECTS"/>
      <sheetName val="DELIVERIES"/>
      <sheetName val="참고자료"/>
      <sheetName val="見積条件入力画面"/>
      <sheetName val="性能取り纏め"/>
      <sheetName val="일위대가목차"/>
      <sheetName val="노임단가"/>
      <sheetName val="전기"/>
      <sheetName val="CODE"/>
      <sheetName val="TIE-INS"/>
      <sheetName val="A01"/>
      <sheetName val="A11"/>
      <sheetName val="A16"/>
      <sheetName val="A02"/>
      <sheetName val="A03"/>
      <sheetName val="A04"/>
      <sheetName val="A05"/>
      <sheetName val="A06"/>
      <sheetName val="A07"/>
      <sheetName val="A08a"/>
      <sheetName val="A08b"/>
      <sheetName val="CE-ORG"/>
      <sheetName val="Variations"/>
      <sheetName val="laroux"/>
      <sheetName val="단중표-ST"/>
      <sheetName val="Segment"/>
      <sheetName val="실행내역서 "/>
      <sheetName val="Q5434 EQ LIST"/>
      <sheetName val="Pump"/>
      <sheetName val="MEPS Structural Steel Index 비교"/>
      <sheetName val="MEPS CS Index 비교"/>
      <sheetName val="집계표(OPTION)"/>
      <sheetName val="M"/>
      <sheetName val="98수지배부(수정)"/>
      <sheetName val="총괄표"/>
      <sheetName val="실행철강하도"/>
      <sheetName val="잡비계산"/>
      <sheetName val="AU"/>
      <sheetName val="wp DESCRIPTION"/>
      <sheetName val="Civil Boq"/>
      <sheetName val="Total"/>
      <sheetName val="대창(함평)"/>
      <sheetName val="대창(장성)"/>
      <sheetName val="경비집계"/>
      <sheetName val="ESTI."/>
      <sheetName val="DI-ESTI"/>
      <sheetName val="96.12"/>
      <sheetName val="영업소실적"/>
      <sheetName val="3514-HV-0201"/>
      <sheetName val="PROJECT"/>
      <sheetName val="eq_data"/>
      <sheetName val="COA-17"/>
      <sheetName val="C-18"/>
      <sheetName val="9-1차이내역"/>
      <sheetName val="Questions to Vendor"/>
      <sheetName val="??-BLDG"/>
      <sheetName val="KP1590_E"/>
      <sheetName val="BOX 설계"/>
      <sheetName val="1.설계조건"/>
      <sheetName val="member design"/>
      <sheetName val="design criteria"/>
      <sheetName val="working load at the btm ft."/>
      <sheetName val="plan&amp;section of foundation"/>
      <sheetName val="soil bearing check"/>
      <sheetName val="SKETCH"/>
      <sheetName val="CAL."/>
      <sheetName val="MEXICO-C"/>
      <sheetName val="15100"/>
      <sheetName val="CONSTANTES"/>
      <sheetName val="Weights"/>
      <sheetName val="당진1,2호기전선관설치및접지4차공사내역서-을지"/>
      <sheetName val="BM"/>
      <sheetName val="costing_Misc"/>
      <sheetName val="Data"/>
      <sheetName val="Utility and Fire flange"/>
      <sheetName val="Quantity"/>
      <sheetName val="__-BLDG"/>
      <sheetName val="hGH정제"/>
      <sheetName val="거래처계좌"/>
      <sheetName val="Process Piping"/>
      <sheetName val="공사비 내역 (가)"/>
      <sheetName val="2002년12월"/>
      <sheetName val="대비표"/>
      <sheetName val="POWER"/>
      <sheetName val="설명서 "/>
      <sheetName val="토목"/>
      <sheetName val="P2-Project Data"/>
      <sheetName val="C3"/>
      <sheetName val="마감집계(창고)"/>
      <sheetName val="도장면적"/>
      <sheetName val="마감산근(창고)"/>
      <sheetName val="자재단가조사표-수목"/>
      <sheetName val="건축명"/>
      <sheetName val="기계명"/>
      <sheetName val="전기명"/>
      <sheetName val="토목명"/>
      <sheetName val="수주추정"/>
      <sheetName val="차액보증"/>
      <sheetName val="H_param"/>
      <sheetName val="명세서"/>
      <sheetName val="상반기손익차2총괄"/>
      <sheetName val="Project Details"/>
      <sheetName val="steel data sheet"/>
      <sheetName val="CTEMCOST"/>
      <sheetName val="2. Project Orgarnization(Site)"/>
      <sheetName val="X17-TOTAL"/>
      <sheetName val="견"/>
      <sheetName val="FAB별"/>
      <sheetName val="XLR_NoRangeSheet"/>
      <sheetName val="자금운영"/>
      <sheetName val="골조시행"/>
      <sheetName val="부서코드표"/>
      <sheetName val="각계정원장"/>
      <sheetName val="간접비차이_PJT"/>
      <sheetName val="자바라1"/>
      <sheetName val="1100-1200-1300-1910-2140-LEV 2"/>
      <sheetName val="Det_IH"/>
      <sheetName val="w't_table"/>
      <sheetName val="할증_"/>
      <sheetName val="_REF"/>
      <sheetName val="Fax"/>
      <sheetName val="자재코드"/>
      <sheetName val="Table"/>
      <sheetName val="기초입력"/>
      <sheetName val="비주거용"/>
      <sheetName val="TENDER PROG."/>
      <sheetName val="Katsayılar"/>
      <sheetName val="COST-TZ"/>
      <sheetName val="출금실적"/>
      <sheetName val="Summary Sheets"/>
      <sheetName val="Macro"/>
      <sheetName val="Taux"/>
      <sheetName val="PI"/>
      <sheetName val="지수"/>
      <sheetName val="INVOICE_CERT EIV'S"/>
      <sheetName val="wp_DESCRIPTION"/>
      <sheetName val="INVOICE_CERT_EIV'S"/>
      <sheetName val="_Sum"/>
      <sheetName val="공정계획(내부계획25%,내부w_f)"/>
      <sheetName val="HO_ENG_MH_CAL"/>
      <sheetName val="Gia_vat_tu"/>
      <sheetName val="2-1__경관조명_내역총괄표"/>
      <sheetName val="Piping_Design_Data"/>
      <sheetName val="Price_Summary_Sheet_(Final_BQ)"/>
      <sheetName val="Chi_tiet"/>
      <sheetName val="PDS_U-1400"/>
      <sheetName val="MB(LAB_No_2)"/>
      <sheetName val="Chiet_tinh_dz35"/>
      <sheetName val="Chiet_tinh_dz22"/>
      <sheetName val="CT_Thang_Mo"/>
      <sheetName val="CT__PL"/>
      <sheetName val="UNIT_PRICES"/>
      <sheetName val="BASE_DE_PERSONAL"/>
      <sheetName val="Facturación_A"/>
      <sheetName val="Utility_and_Fire_flange"/>
      <sheetName val="실행내역서_"/>
      <sheetName val="Q5434_EQ_LIST"/>
      <sheetName val="MEPS_Structural_Steel_Index_비교"/>
      <sheetName val="MEPS_CS_Index_비교"/>
      <sheetName val="Civil_Boq"/>
      <sheetName val="ESTI_"/>
      <sheetName val="96_12"/>
      <sheetName val="Questions_to_Vendor"/>
      <sheetName val="BOX_설계"/>
      <sheetName val="1_설계조건"/>
      <sheetName val="member_design"/>
      <sheetName val="design_criteria"/>
      <sheetName val="working_load_at_the_btm_ft_"/>
      <sheetName val="plan&amp;section_of_foundation"/>
      <sheetName val="soil_bearing_check"/>
      <sheetName val="CAL_"/>
      <sheetName val="NIML"/>
      <sheetName val="BGT-00F2907"/>
      <sheetName val="COLUMN"/>
      <sheetName val="DRUM"/>
      <sheetName val="요약배부"/>
      <sheetName val="Final(1)summary"/>
      <sheetName val="Status"/>
      <sheetName val="공사비_내역_(가)"/>
      <sheetName val="5.) Time Delays"/>
      <sheetName val="데이타"/>
      <sheetName val="식재인부"/>
      <sheetName val="입력"/>
      <sheetName val="구조물철거타공정이월"/>
      <sheetName val="Testing"/>
      <sheetName val="기기리스트"/>
      <sheetName val="정부노임단가"/>
      <sheetName val="상계견적"/>
      <sheetName val="M-EQPT-Z"/>
      <sheetName val="공사개요"/>
      <sheetName val="기준"/>
      <sheetName val="pvc vent"/>
      <sheetName val="cover"/>
      <sheetName val="INGENIERÍA"/>
      <sheetName val="당초"/>
      <sheetName val="변경"/>
      <sheetName val="집계표"/>
      <sheetName val="CB"/>
      <sheetName val="cvr"/>
      <sheetName val="sum"/>
      <sheetName val="indirect"/>
      <sheetName val="bm (2)"/>
      <sheetName val="Instrument"/>
      <sheetName val="Junction Box"/>
      <sheetName val="JB_Final checked"/>
      <sheetName val="Equipment"/>
      <sheetName val="F&amp;G System"/>
      <sheetName val="F&amp;G System (Detail)"/>
      <sheetName val="MOTOR"/>
      <sheetName val="동결보온"/>
      <sheetName val="BID"/>
      <sheetName val="금액내역서"/>
      <sheetName val=" 배관자재비-SKEC구매분"/>
      <sheetName val="제경비"/>
      <sheetName val="abc"/>
      <sheetName val="108"/>
      <sheetName val="JCS"/>
      <sheetName val="Working"/>
      <sheetName val="Manpower"/>
      <sheetName val="Datas"/>
      <sheetName val="Int. Pr.-Shell"/>
      <sheetName val="Ext. Pr.-Shell"/>
      <sheetName val="Int. Pr.-D'End"/>
      <sheetName val="Ext. Pr.-D'End"/>
      <sheetName val="Reinforcement Pad"/>
      <sheetName val="Nozzles"/>
      <sheetName val="Painting"/>
      <sheetName val="수입"/>
      <sheetName val="TTL"/>
      <sheetName val="품셈"/>
      <sheetName val="Onerous Terms"/>
      <sheetName val="fitting"/>
      <sheetName val="Erection"/>
      <sheetName val="Proposal"/>
      <sheetName val="WORK-VOL"/>
      <sheetName val="FAB_I"/>
      <sheetName val="적용환율"/>
      <sheetName val="조도계산서 (도서)"/>
      <sheetName val="도급양식"/>
      <sheetName val="입찰안"/>
      <sheetName val="직원동원SCH"/>
      <sheetName val="D-3109"/>
      <sheetName val="기성내역"/>
      <sheetName val="현장지지물물량"/>
      <sheetName val="General Data"/>
      <sheetName val="COST SUMMARY"/>
      <sheetName val="PIPING"/>
      <sheetName val="bm_(2)"/>
      <sheetName val="Junction_Box"/>
      <sheetName val="JB_Final_checked"/>
      <sheetName val="F&amp;G_System"/>
      <sheetName val="F&amp;G_System_(Detail)"/>
      <sheetName val="_배관자재비-SKEC구매분"/>
      <sheetName val="extensions lookup"/>
      <sheetName val="3. Piping"/>
      <sheetName val="EQUIP"/>
      <sheetName val="작성방법"/>
      <sheetName val="자격 땡겨오기"/>
      <sheetName val="연돌일위집계"/>
      <sheetName val="ITEM"/>
      <sheetName val="영업2"/>
      <sheetName val="4300 UTILITY BLDG (2)"/>
      <sheetName val="공정율 기초 Data"/>
      <sheetName val="가격분석@1100(990104)"/>
      <sheetName val="Escalation"/>
      <sheetName val="Rate Analysis"/>
      <sheetName val="wall"/>
      <sheetName val="결재판(삭제하지말아주세요)"/>
      <sheetName val="광통신 견적내역서1"/>
      <sheetName val="WIP"/>
      <sheetName val="PipeLines"/>
      <sheetName val="환율"/>
      <sheetName val="6.현장조직도"/>
      <sheetName val="ANALYSER"/>
      <sheetName val="base"/>
      <sheetName val="산출근거#2-3"/>
      <sheetName val="BEND LOSS"/>
      <sheetName val="공사비 내역 _가_"/>
      <sheetName val="A-12"/>
      <sheetName val="MAN-Sch"/>
      <sheetName val="RING WALL"/>
      <sheetName val="Process_Piping"/>
      <sheetName val="A1 Thru A11- LUMP SUM CONSTR"/>
      <sheetName val="Dike(H=0.9m)"/>
      <sheetName val="PIPING_total"/>
      <sheetName val="static.cal"/>
      <sheetName val="가도공"/>
      <sheetName val="TO_COST_PPS_METRIC"/>
      <sheetName val="NAMES"/>
      <sheetName val="RFP009"/>
      <sheetName val="CASE A1 CPP"/>
      <sheetName val="Sheet1 (2)"/>
      <sheetName val="근거 및 가정"/>
      <sheetName val="Database"/>
      <sheetName val="NEWDRAW"/>
      <sheetName val="수목단가"/>
      <sheetName val="시설수량표"/>
      <sheetName val="식재수량표"/>
      <sheetName val="일위목록"/>
      <sheetName val="자재단가"/>
      <sheetName val="조명시설"/>
      <sheetName val="실행(ALT1)"/>
      <sheetName val="0110이후"/>
      <sheetName val="보수0831"/>
      <sheetName val="건축"/>
      <sheetName val="PROJECT DATA"/>
      <sheetName val="7-2"/>
      <sheetName val="BP"/>
      <sheetName val="INSTR"/>
      <sheetName val="찍기"/>
      <sheetName val="CoverShawIntl"/>
      <sheetName val="VS배관내역서"/>
      <sheetName val="철거산출근거"/>
      <sheetName val="w't_table1"/>
      <sheetName val="할증_1"/>
      <sheetName val="_Sum1"/>
      <sheetName val="공정계획(내부계획25%,내부w_f)1"/>
      <sheetName val="HO_ENG_MH_CAL1"/>
      <sheetName val="Gia_vat_tu1"/>
      <sheetName val="Piping_Design_Data1"/>
      <sheetName val="2-1__경관조명_내역총괄표1"/>
      <sheetName val="BASE_DE_PERSONAL1"/>
      <sheetName val="Facturación_A1"/>
      <sheetName val="Price_Summary_Sheet_(Final_BQ)1"/>
      <sheetName val="Chi_tiet1"/>
      <sheetName val="PDS_U-14001"/>
      <sheetName val="Chiet_tinh_dz351"/>
      <sheetName val="Chiet_tinh_dz221"/>
      <sheetName val="CT_Thang_Mo1"/>
      <sheetName val="CT__PL1"/>
      <sheetName val="MB(LAB_No_2)1"/>
      <sheetName val="UNIT_PRICES1"/>
      <sheetName val="Q5434_EQ_LIST1"/>
      <sheetName val="공사비_내역_(가)1"/>
      <sheetName val="MEPS_Structural_Steel_Index_비교1"/>
      <sheetName val="MEPS_CS_Index_비교1"/>
      <sheetName val="wp_DESCRIPTION1"/>
      <sheetName val="Civil_Boq1"/>
      <sheetName val="실행내역서_1"/>
      <sheetName val="Process_Piping1"/>
      <sheetName val="BOX_설계1"/>
      <sheetName val="1_설계조건1"/>
      <sheetName val="member_design1"/>
      <sheetName val="design_criteria1"/>
      <sheetName val="working_load_at_the_btm_ft_1"/>
      <sheetName val="plan&amp;section_of_foundation1"/>
      <sheetName val="soil_bearing_check1"/>
      <sheetName val="CAL_1"/>
      <sheetName val="Project_Details"/>
      <sheetName val="steel_data_sheet"/>
      <sheetName val="ESTI_1"/>
      <sheetName val="96_121"/>
      <sheetName val="설명서_"/>
      <sheetName val="5_)_Time_Delays"/>
      <sheetName val="1100-1200-1300-1910-2140-LEV_2"/>
      <sheetName val="P2-Project_Data"/>
      <sheetName val="2__Project_Orgarnization(Site)"/>
      <sheetName val="TENDER_PROG_"/>
      <sheetName val="Summary_Sheets"/>
      <sheetName val="INVOICE_CERT_EIV'S1"/>
      <sheetName val="공사비_내역__가_"/>
      <sheetName val="6_현장조직도"/>
      <sheetName val="w't_table2"/>
      <sheetName val="할증_2"/>
      <sheetName val="_Sum2"/>
      <sheetName val="공정계획(내부계획25%,내부w_f)2"/>
      <sheetName val="HO_ENG_MH_CAL2"/>
      <sheetName val="Gia_vat_tu2"/>
      <sheetName val="Piping_Design_Data2"/>
      <sheetName val="2-1__경관조명_내역총괄표2"/>
      <sheetName val="BASE_DE_PERSONAL2"/>
      <sheetName val="Facturación_A2"/>
      <sheetName val="Price_Summary_Sheet_(Final_BQ)2"/>
      <sheetName val="Chi_tiet2"/>
      <sheetName val="PDS_U-14002"/>
      <sheetName val="Chiet_tinh_dz352"/>
      <sheetName val="Chiet_tinh_dz222"/>
      <sheetName val="CT_Thang_Mo2"/>
      <sheetName val="CT__PL2"/>
      <sheetName val="MB(LAB_No_2)2"/>
      <sheetName val="UNIT_PRICES2"/>
      <sheetName val="Q5434_EQ_LIST2"/>
      <sheetName val="공사비_내역_(가)2"/>
      <sheetName val="MEPS_Structural_Steel_Index_비교2"/>
      <sheetName val="MEPS_CS_Index_비교2"/>
      <sheetName val="wp_DESCRIPTION2"/>
      <sheetName val="Civil_Boq2"/>
      <sheetName val="실행내역서_2"/>
      <sheetName val="Process_Piping2"/>
      <sheetName val="BOX_설계2"/>
      <sheetName val="1_설계조건2"/>
      <sheetName val="member_design2"/>
      <sheetName val="design_criteria2"/>
      <sheetName val="working_load_at_the_btm_ft_2"/>
      <sheetName val="plan&amp;section_of_foundation2"/>
      <sheetName val="soil_bearing_check2"/>
      <sheetName val="CAL_2"/>
      <sheetName val="Project_Details1"/>
      <sheetName val="steel_data_sheet1"/>
      <sheetName val="ESTI_2"/>
      <sheetName val="96_122"/>
      <sheetName val="Questions_to_Vendor1"/>
      <sheetName val="설명서_1"/>
      <sheetName val="5_)_Time_Delays1"/>
      <sheetName val="1100-1200-1300-1910-2140-LEV_21"/>
      <sheetName val="P2-Project_Data1"/>
      <sheetName val="Utility_and_Fire_flange1"/>
      <sheetName val="2__Project_Orgarnization(Site)1"/>
      <sheetName val="TENDER_PROG_1"/>
      <sheetName val="Summary_Sheets1"/>
      <sheetName val="INVOICE_CERT_EIV'S2"/>
      <sheetName val="공사비_내역__가_1"/>
      <sheetName val="6_현장조직도1"/>
      <sheetName val="ANALYSIS"/>
      <sheetName val="vlookup - do not print"/>
      <sheetName val="KP_List"/>
      <sheetName val="pvc_vent"/>
      <sheetName val="RING_WALL"/>
      <sheetName val="bm_(2)1"/>
      <sheetName val="Junction_Box1"/>
      <sheetName val="JB_Final_checked1"/>
      <sheetName val="F&amp;G_System1"/>
      <sheetName val="F&amp;G_System_(Detail)1"/>
      <sheetName val="_배관자재비-SKEC구매분1"/>
      <sheetName val="Int__Pr_-Shell"/>
      <sheetName val="Ext__Pr_-Shell"/>
      <sheetName val="Int__Pr_-D'End"/>
      <sheetName val="Ext__Pr_-D'End"/>
      <sheetName val="Reinforcement_Pad"/>
      <sheetName val="Onerous_Terms"/>
      <sheetName val="조도계산서_(도서)"/>
      <sheetName val="General_Data"/>
      <sheetName val="COST_SUMMARY"/>
      <sheetName val="extensions_lookup"/>
      <sheetName val="3__Piping"/>
      <sheetName val="자격_땡겨오기"/>
      <sheetName val="4300_UTILITY_BLDG_(2)"/>
      <sheetName val="공정율_기초_Data"/>
      <sheetName val="Rate_Analysis"/>
      <sheetName val="광통신_견적내역서1"/>
      <sheetName val="BEND_LOSS"/>
      <sheetName val="A1_Thru_A11-_LUMP_SUM_CONSTR"/>
      <sheetName val="EQUIPMENT ERECTION BREAKDOWN"/>
      <sheetName val="Dike(H=0_9m)"/>
      <sheetName val="static_cal"/>
      <sheetName val="w't_table3"/>
      <sheetName val="할증_3"/>
      <sheetName val="_Sum3"/>
      <sheetName val="공정계획(내부계획25%,내부w_f)3"/>
      <sheetName val="HO_ENG_MH_CAL3"/>
      <sheetName val="Gia_vat_tu3"/>
      <sheetName val="Piping_Design_Data3"/>
      <sheetName val="2-1__경관조명_내역총괄표3"/>
      <sheetName val="BASE_DE_PERSONAL3"/>
      <sheetName val="Facturación_A3"/>
      <sheetName val="Price_Summary_Sheet_(Final_BQ)3"/>
      <sheetName val="Chi_tiet3"/>
      <sheetName val="PDS_U-14003"/>
      <sheetName val="Chiet_tinh_dz353"/>
      <sheetName val="Chiet_tinh_dz223"/>
      <sheetName val="CT_Thang_Mo3"/>
      <sheetName val="CT__PL3"/>
      <sheetName val="MB(LAB_No_2)3"/>
      <sheetName val="UNIT_PRICES3"/>
      <sheetName val="Q5434_EQ_LIST3"/>
      <sheetName val="공사비_내역_(가)3"/>
      <sheetName val="MEPS_Structural_Steel_Index_비교3"/>
      <sheetName val="MEPS_CS_Index_비교3"/>
      <sheetName val="wp_DESCRIPTION3"/>
      <sheetName val="Civil_Boq3"/>
      <sheetName val="실행내역서_3"/>
      <sheetName val="Process_Piping3"/>
      <sheetName val="BOX_설계3"/>
      <sheetName val="1_설계조건3"/>
      <sheetName val="member_design3"/>
      <sheetName val="design_criteria3"/>
      <sheetName val="working_load_at_the_btm_ft_3"/>
      <sheetName val="plan&amp;section_of_foundation3"/>
      <sheetName val="soil_bearing_check3"/>
      <sheetName val="CAL_3"/>
      <sheetName val="Project_Details2"/>
      <sheetName val="steel_data_sheet2"/>
      <sheetName val="ESTI_3"/>
      <sheetName val="96_123"/>
      <sheetName val="Questions_to_Vendor2"/>
      <sheetName val="설명서_2"/>
      <sheetName val="5_)_Time_Delays2"/>
      <sheetName val="1100-1200-1300-1910-2140-LEV_22"/>
      <sheetName val="P2-Project_Data2"/>
      <sheetName val="Utility_and_Fire_flange2"/>
      <sheetName val="2__Project_Orgarnization(Site)2"/>
      <sheetName val="TENDER_PROG_2"/>
      <sheetName val="Summary_Sheets2"/>
      <sheetName val="INVOICE_CERT_EIV'S3"/>
      <sheetName val="공사비_내역__가_2"/>
      <sheetName val="6_현장조직도2"/>
      <sheetName val="w't_table4"/>
      <sheetName val="할증_4"/>
      <sheetName val="_Sum4"/>
      <sheetName val="공정계획(내부계획25%,내부w_f)4"/>
      <sheetName val="HO_ENG_MH_CAL4"/>
      <sheetName val="Gia_vat_tu4"/>
      <sheetName val="Piping_Design_Data4"/>
      <sheetName val="2-1__경관조명_내역총괄표4"/>
      <sheetName val="BASE_DE_PERSONAL4"/>
      <sheetName val="Facturación_A4"/>
      <sheetName val="Price_Summary_Sheet_(Final_BQ)4"/>
      <sheetName val="Chi_tiet4"/>
      <sheetName val="PDS_U-14004"/>
      <sheetName val="Chiet_tinh_dz354"/>
      <sheetName val="Chiet_tinh_dz224"/>
      <sheetName val="CT_Thang_Mo4"/>
      <sheetName val="CT__PL4"/>
      <sheetName val="MB(LAB_No_2)4"/>
      <sheetName val="UNIT_PRICES4"/>
      <sheetName val="Q5434_EQ_LIST4"/>
      <sheetName val="공사비_내역_(가)4"/>
      <sheetName val="MEPS_Structural_Steel_Index_비교4"/>
      <sheetName val="MEPS_CS_Index_비교4"/>
      <sheetName val="wp_DESCRIPTION4"/>
      <sheetName val="Civil_Boq4"/>
      <sheetName val="실행내역서_4"/>
      <sheetName val="Process_Piping4"/>
      <sheetName val="BOX_설계4"/>
      <sheetName val="1_설계조건4"/>
      <sheetName val="member_design4"/>
      <sheetName val="design_criteria4"/>
      <sheetName val="working_load_at_the_btm_ft_4"/>
      <sheetName val="plan&amp;section_of_foundation4"/>
      <sheetName val="soil_bearing_check4"/>
      <sheetName val="CAL_4"/>
      <sheetName val="Project_Details3"/>
      <sheetName val="steel_data_sheet3"/>
      <sheetName val="ESTI_4"/>
      <sheetName val="96_124"/>
      <sheetName val="Questions_to_Vendor3"/>
      <sheetName val="설명서_3"/>
      <sheetName val="5_)_Time_Delays3"/>
      <sheetName val="1100-1200-1300-1910-2140-LEV_23"/>
      <sheetName val="P2-Project_Data3"/>
      <sheetName val="Utility_and_Fire_flange3"/>
      <sheetName val="2__Project_Orgarnization(Site)3"/>
      <sheetName val="TENDER_PROG_3"/>
      <sheetName val="Summary_Sheets3"/>
      <sheetName val="INVOICE_CERT_EIV'S4"/>
      <sheetName val="공사비_내역__가_3"/>
      <sheetName val="6_현장조직도3"/>
      <sheetName val="w't_table5"/>
      <sheetName val="할증_5"/>
      <sheetName val="_Sum5"/>
      <sheetName val="공정계획(내부계획25%,내부w_f)5"/>
      <sheetName val="HO_ENG_MH_CAL5"/>
      <sheetName val="Gia_vat_tu5"/>
      <sheetName val="Piping_Design_Data5"/>
      <sheetName val="2-1__경관조명_내역총괄표5"/>
      <sheetName val="BASE_DE_PERSONAL5"/>
      <sheetName val="Facturación_A5"/>
      <sheetName val="Price_Summary_Sheet_(Final_BQ)5"/>
      <sheetName val="Chi_tiet5"/>
      <sheetName val="PDS_U-14005"/>
      <sheetName val="Chiet_tinh_dz355"/>
      <sheetName val="Chiet_tinh_dz225"/>
      <sheetName val="CT_Thang_Mo5"/>
      <sheetName val="CT__PL5"/>
      <sheetName val="MB(LAB_No_2)5"/>
      <sheetName val="UNIT_PRICES5"/>
      <sheetName val="Q5434_EQ_LIST5"/>
      <sheetName val="공사비_내역_(가)5"/>
      <sheetName val="MEPS_Structural_Steel_Index_비교5"/>
      <sheetName val="MEPS_CS_Index_비교5"/>
      <sheetName val="wp_DESCRIPTION5"/>
      <sheetName val="Civil_Boq5"/>
      <sheetName val="실행내역서_5"/>
      <sheetName val="Process_Piping5"/>
      <sheetName val="BOX_설계5"/>
      <sheetName val="1_설계조건5"/>
      <sheetName val="member_design5"/>
      <sheetName val="design_criteria5"/>
      <sheetName val="working_load_at_the_btm_ft_5"/>
      <sheetName val="plan&amp;section_of_foundation5"/>
      <sheetName val="soil_bearing_check5"/>
      <sheetName val="CAL_5"/>
      <sheetName val="Project_Details4"/>
      <sheetName val="steel_data_sheet4"/>
      <sheetName val="ESTI_5"/>
      <sheetName val="96_125"/>
      <sheetName val="Questions_to_Vendor4"/>
      <sheetName val="설명서_4"/>
      <sheetName val="5_)_Time_Delays4"/>
      <sheetName val="1100-1200-1300-1910-2140-LEV_24"/>
      <sheetName val="P2-Project_Data4"/>
      <sheetName val="Utility_and_Fire_flange4"/>
      <sheetName val="2__Project_Orgarnization(Site)4"/>
      <sheetName val="TENDER_PROG_4"/>
      <sheetName val="Summary_Sheets4"/>
      <sheetName val="INVOICE_CERT_EIV'S5"/>
      <sheetName val="공사비_내역__가_4"/>
      <sheetName val="6_현장조직도4"/>
      <sheetName val="2000.11월설계내역"/>
      <sheetName val="manhour"/>
      <sheetName val="A.1.1.2 &amp; 3 Yard Fac &amp; Supp TS"/>
      <sheetName val="A(Rev.3)"/>
      <sheetName val="UnitList"/>
      <sheetName val="Macro1"/>
      <sheetName val="Aweer"/>
      <sheetName val="C-850R0.XLS"/>
      <sheetName val="Pittsburge"/>
      <sheetName val="activity"/>
      <sheetName val="1.cs sl(150)"/>
      <sheetName val="steam table"/>
      <sheetName val="GEN PROG"/>
      <sheetName val="TOTAL MHRS"/>
      <sheetName val="대치판정"/>
      <sheetName val="CC16-내역서"/>
      <sheetName val="معد .ث"/>
      <sheetName val="D-623D"/>
      <sheetName val="ASCEandUBC"/>
      <sheetName val="1단계"/>
      <sheetName val="을"/>
      <sheetName val="계약자료"/>
      <sheetName val="Panel제작명세서"/>
      <sheetName val="CA1"/>
      <sheetName val="Contents"/>
      <sheetName val="SYS_DB"/>
      <sheetName val="건축내역"/>
      <sheetName val="소화실적"/>
      <sheetName val="D-3503"/>
      <sheetName val="Eq. Mobilization"/>
      <sheetName val="PROCURE"/>
      <sheetName val="BoQ"/>
      <sheetName val="DESIGN"/>
      <sheetName val="도"/>
      <sheetName val="Graph (LGEN)"/>
      <sheetName val="out_prog"/>
      <sheetName val="선적schedule (2)"/>
      <sheetName val="INDEX"/>
      <sheetName val="Food court "/>
      <sheetName val="부재력정리"/>
      <sheetName val="WIND"/>
      <sheetName val="Rates"/>
      <sheetName val="WITHOUT C&amp;I PROFIT (3)"/>
      <sheetName val="EIs Progress"/>
      <sheetName val="RFP003B"/>
      <sheetName val="안전장치"/>
      <sheetName val="LS - Rev.0"/>
      <sheetName val="HP-Steamdrum"/>
      <sheetName val="대공종"/>
      <sheetName val="MP Plan &amp; Costs"/>
      <sheetName val="Finansal tamamlanma Eğrisi"/>
      <sheetName val="공사내역"/>
      <sheetName val="차수"/>
      <sheetName val="118.세금과공과"/>
      <sheetName val="고정자산원본"/>
      <sheetName val="뒤차축소"/>
      <sheetName val="PropSum"/>
      <sheetName val="Sur Site"/>
      <sheetName val="Malaysia incl. RET"/>
      <sheetName val="손익차9월2"/>
      <sheetName val="REDUCER"/>
      <sheetName val="WE'T"/>
      <sheetName val="95월별매출"/>
      <sheetName val="A131neu ,CSB (S CSB=400)"/>
      <sheetName val="est"/>
      <sheetName val="S1BOQ"/>
      <sheetName val="FORM7"/>
      <sheetName val="Labour"/>
      <sheetName val="Material"/>
      <sheetName val=" CC26R Tender Stag BoQ"/>
      <sheetName val="Labor Plan"/>
      <sheetName val="Admin"/>
      <sheetName val="EXPAN-1"/>
      <sheetName val="회전율"/>
      <sheetName val="Data Summary"/>
      <sheetName val="DB_ET200(R. A)"/>
      <sheetName val="표지"/>
      <sheetName val="P-Ph3-F-002"/>
      <sheetName val="AC"/>
      <sheetName val="CASE_A1_CPP"/>
      <sheetName val="Sheet1_(2)"/>
      <sheetName val="근거_및_가정"/>
      <sheetName val="PROJECT_DATA"/>
      <sheetName val="Setup"/>
      <sheetName val="Home Office"/>
      <sheetName val="C"/>
      <sheetName val="세금자료"/>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INS-Piping"/>
      <sheetName val="INS-Equipment"/>
      <sheetName val="ELECTRICITY"/>
      <sheetName val="INSTRUMENTATION"/>
      <sheetName val="공사비_NDE"/>
      <sheetName val="결재갑지"/>
      <sheetName val="설계기준"/>
      <sheetName val="내역1"/>
      <sheetName val="간지"/>
      <sheetName val="송전재료비"/>
      <sheetName val="단면가정"/>
      <sheetName val="LEGEND"/>
      <sheetName val="CPS"/>
      <sheetName val="PRO_A"/>
      <sheetName val="DWG"/>
      <sheetName val="ELEC_MCI"/>
      <sheetName val="INST_MCI"/>
      <sheetName val="MECH_MCI"/>
      <sheetName val="PRO"/>
      <sheetName val="D 5243-ARAMCO"/>
      <sheetName val="D-4801 OXY"/>
      <sheetName val="除灰系统表二"/>
      <sheetName val="Fin_Sched"/>
      <sheetName val="Slab_Levels"/>
      <sheetName val="Opening_Sched"/>
      <sheetName val="ESPES"/>
      <sheetName val="부대공사"/>
      <sheetName val="내역"/>
      <sheetName val="Acc Stock-INSUL"/>
      <sheetName val="4.L4-세부내역(QAR)"/>
      <sheetName val="%232CDU실행.xls"/>
      <sheetName val="BASIS"/>
      <sheetName val="Alain-Fuj"/>
      <sheetName val="BQ Working"/>
      <sheetName val="DATOS"/>
      <sheetName val="PRESUPUESTO"/>
      <sheetName val="Total Staff"/>
      <sheetName val="0. SUMMARY"/>
      <sheetName val="1. Engineering"/>
      <sheetName val="2. Check point"/>
      <sheetName val="II Changes 1"/>
      <sheetName val="III Changes 2"/>
      <sheetName val="Qty."/>
      <sheetName val="MP"/>
      <sheetName val="EQP"/>
      <sheetName val="OQC Summary"/>
      <sheetName val="6.Unit Rates"/>
      <sheetName val="Requirement(Work Crew)"/>
      <sheetName val="COST. IND"/>
      <sheetName val="MOI"/>
      <sheetName val="RESUMEN"/>
      <sheetName val="INFORME  "/>
      <sheetName val="TD COSTOS 30-06-19"/>
      <sheetName val="AMARRE"/>
      <sheetName val="Hoja3"/>
      <sheetName val="ADICIONALES"/>
      <sheetName val="SUBC"/>
      <sheetName val="ANALISIS MM"/>
      <sheetName val="EQUIPOS Y TRANSPORTE"/>
      <sheetName val="MAT"/>
      <sheetName val="HTAS"/>
      <sheetName val="MOD"/>
      <sheetName val="RESUMEN C.D."/>
      <sheetName val="EQUIPOS PROPIOS"/>
      <sheetName val="INVENTARIO JUNIO"/>
      <sheetName val="AVANCE ODC Y ORS"/>
      <sheetName val="Hoja8"/>
      <sheetName val="contabilidad 265 28-02-2019 REV"/>
      <sheetName val="CLASIF PROCU"/>
      <sheetName val="INVENTARIO"/>
      <sheetName val="Hoja2"/>
      <sheetName val="ODC - MATERIALES"/>
      <sheetName val="BAC COSTO DIRECTO"/>
      <sheetName val="PROCUR"/>
      <sheetName val="PRESUPUESTO GRAL"/>
      <sheetName val="Material Lookup"/>
      <sheetName val="ASTM Stress Table"/>
      <sheetName val="CATEGORY"/>
      <sheetName val="GM &amp; TA"/>
      <sheetName val="Steel Structure "/>
      <sheetName val="견적서표지0204-2 (2)"/>
      <sheetName val="Piping Spool"/>
      <sheetName val="Cost Definition"/>
      <sheetName val="견적 원가 "/>
      <sheetName val="EQUIPMENT -2"/>
      <sheetName val="간접비내역-1"/>
      <sheetName val="내역서1999.8최종"/>
      <sheetName val="수량산출"/>
      <sheetName val="dongia (2)"/>
      <sheetName val="TH VL, NC, DDHT Thanhphuoc"/>
      <sheetName val="Definition"/>
      <sheetName val="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sheetData sheetId="290" refreshError="1"/>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refreshError="1"/>
      <sheetData sheetId="334" refreshError="1"/>
      <sheetData sheetId="335" refreshError="1"/>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refreshError="1"/>
      <sheetData sheetId="659" refreshError="1"/>
      <sheetData sheetId="660" refreshError="1"/>
      <sheetData sheetId="661" refreshError="1"/>
      <sheetData sheetId="662" refreshError="1"/>
      <sheetData sheetId="663"/>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refreshError="1"/>
      <sheetData sheetId="744"/>
      <sheetData sheetId="745" refreshError="1"/>
      <sheetData sheetId="746" refreshError="1"/>
      <sheetData sheetId="747" refreshError="1"/>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sheetData sheetId="833"/>
      <sheetData sheetId="834"/>
      <sheetData sheetId="835" refreshError="1"/>
      <sheetData sheetId="836" refreshError="1"/>
      <sheetData sheetId="837" refreshError="1"/>
      <sheetData sheetId="838" refreshError="1"/>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SR Overall Cycle"/>
      <sheetName val="Sheet1"/>
      <sheetName val="P6"/>
      <sheetName val="Before Award"/>
      <sheetName val="After Award"/>
      <sheetName val="Thai Holidays"/>
      <sheetName val="China Holidays"/>
    </sheetNames>
    <sheetDataSet>
      <sheetData sheetId="0"/>
      <sheetData sheetId="1"/>
      <sheetData sheetId="2"/>
      <sheetData sheetId="3"/>
      <sheetData sheetId="4"/>
      <sheetData sheetId="5">
        <row r="2">
          <cell r="A2">
            <v>45996</v>
          </cell>
        </row>
        <row r="3">
          <cell r="A3">
            <v>46001</v>
          </cell>
        </row>
        <row r="4">
          <cell r="A4">
            <v>46020</v>
          </cell>
        </row>
        <row r="5">
          <cell r="A5">
            <v>46021</v>
          </cell>
        </row>
        <row r="6">
          <cell r="A6">
            <v>46022</v>
          </cell>
        </row>
        <row r="7">
          <cell r="A7">
            <v>46023</v>
          </cell>
        </row>
        <row r="8">
          <cell r="A8">
            <v>46024</v>
          </cell>
        </row>
        <row r="9">
          <cell r="A9">
            <v>46065</v>
          </cell>
        </row>
        <row r="10">
          <cell r="A10">
            <v>46118</v>
          </cell>
        </row>
        <row r="11">
          <cell r="A11">
            <v>46125</v>
          </cell>
        </row>
        <row r="12">
          <cell r="A12">
            <v>46126</v>
          </cell>
        </row>
        <row r="13">
          <cell r="A13">
            <v>46127</v>
          </cell>
        </row>
        <row r="14">
          <cell r="A14">
            <v>46128</v>
          </cell>
        </row>
        <row r="15">
          <cell r="A15">
            <v>46129</v>
          </cell>
        </row>
        <row r="16">
          <cell r="A16">
            <v>46143</v>
          </cell>
        </row>
        <row r="17">
          <cell r="A17">
            <v>46146</v>
          </cell>
        </row>
        <row r="18">
          <cell r="A18">
            <v>46174</v>
          </cell>
        </row>
        <row r="19">
          <cell r="A19">
            <v>46176</v>
          </cell>
        </row>
        <row r="20">
          <cell r="A20">
            <v>46231</v>
          </cell>
        </row>
        <row r="21">
          <cell r="A21">
            <v>46232</v>
          </cell>
        </row>
        <row r="22">
          <cell r="A22">
            <v>46246</v>
          </cell>
        </row>
        <row r="23">
          <cell r="A23">
            <v>46308</v>
          </cell>
        </row>
        <row r="24">
          <cell r="A24">
            <v>46318</v>
          </cell>
        </row>
        <row r="25">
          <cell r="A25">
            <v>46363</v>
          </cell>
        </row>
        <row r="26">
          <cell r="A26">
            <v>46387</v>
          </cell>
        </row>
        <row r="27">
          <cell r="A27">
            <v>46388</v>
          </cell>
        </row>
        <row r="28">
          <cell r="A28">
            <v>46389</v>
          </cell>
        </row>
        <row r="29">
          <cell r="A29">
            <v>46439</v>
          </cell>
        </row>
        <row r="30">
          <cell r="A30">
            <v>46440</v>
          </cell>
        </row>
        <row r="31">
          <cell r="A31">
            <v>46483</v>
          </cell>
        </row>
        <row r="32">
          <cell r="A32">
            <v>46490</v>
          </cell>
        </row>
        <row r="33">
          <cell r="A33">
            <v>46491</v>
          </cell>
        </row>
        <row r="34">
          <cell r="A34">
            <v>46492</v>
          </cell>
        </row>
        <row r="35">
          <cell r="A35">
            <v>46508</v>
          </cell>
        </row>
        <row r="36">
          <cell r="A36">
            <v>46511</v>
          </cell>
        </row>
        <row r="37">
          <cell r="A37">
            <v>46527</v>
          </cell>
        </row>
        <row r="38">
          <cell r="A38">
            <v>46541</v>
          </cell>
        </row>
        <row r="39">
          <cell r="A39">
            <v>46611</v>
          </cell>
        </row>
        <row r="40">
          <cell r="A40">
            <v>46673</v>
          </cell>
        </row>
        <row r="41">
          <cell r="A41">
            <v>46683</v>
          </cell>
        </row>
        <row r="42">
          <cell r="A42">
            <v>46685</v>
          </cell>
        </row>
        <row r="43">
          <cell r="A43">
            <v>46726</v>
          </cell>
        </row>
        <row r="44">
          <cell r="A44">
            <v>46727</v>
          </cell>
        </row>
        <row r="45">
          <cell r="A45">
            <v>46731</v>
          </cell>
        </row>
        <row r="46">
          <cell r="A46">
            <v>46752</v>
          </cell>
        </row>
        <row r="47">
          <cell r="A47">
            <v>46753</v>
          </cell>
        </row>
        <row r="48">
          <cell r="A48">
            <v>46791</v>
          </cell>
        </row>
        <row r="49">
          <cell r="A49">
            <v>46849</v>
          </cell>
        </row>
        <row r="50">
          <cell r="A50">
            <v>46856</v>
          </cell>
        </row>
        <row r="51">
          <cell r="A51">
            <v>46857</v>
          </cell>
        </row>
        <row r="52">
          <cell r="A52">
            <v>46858</v>
          </cell>
        </row>
        <row r="53">
          <cell r="A53">
            <v>46874</v>
          </cell>
        </row>
        <row r="54">
          <cell r="A54">
            <v>46878</v>
          </cell>
        </row>
        <row r="55">
          <cell r="A55">
            <v>46912</v>
          </cell>
        </row>
        <row r="56">
          <cell r="A56">
            <v>46907</v>
          </cell>
        </row>
        <row r="57">
          <cell r="A57">
            <v>46958</v>
          </cell>
        </row>
        <row r="58">
          <cell r="A58">
            <v>46977</v>
          </cell>
        </row>
        <row r="59">
          <cell r="A59">
            <v>47039</v>
          </cell>
        </row>
        <row r="60">
          <cell r="A60">
            <v>47049</v>
          </cell>
        </row>
        <row r="61">
          <cell r="A61">
            <v>47092</v>
          </cell>
        </row>
        <row r="62">
          <cell r="A62">
            <v>47097</v>
          </cell>
        </row>
        <row r="63">
          <cell r="A63">
            <v>47118</v>
          </cell>
        </row>
      </sheetData>
      <sheetData sheetId="6">
        <row r="2">
          <cell r="A2">
            <v>46023</v>
          </cell>
        </row>
        <row r="3">
          <cell r="A3">
            <v>46024</v>
          </cell>
        </row>
        <row r="4">
          <cell r="A4">
            <v>46025</v>
          </cell>
        </row>
        <row r="5">
          <cell r="A5">
            <v>46068</v>
          </cell>
        </row>
        <row r="6">
          <cell r="A6">
            <v>46069</v>
          </cell>
        </row>
        <row r="7">
          <cell r="A7">
            <v>46070</v>
          </cell>
        </row>
        <row r="8">
          <cell r="A8">
            <v>46071</v>
          </cell>
        </row>
        <row r="9">
          <cell r="A9">
            <v>46072</v>
          </cell>
        </row>
        <row r="10">
          <cell r="A10">
            <v>46073</v>
          </cell>
        </row>
        <row r="11">
          <cell r="A11">
            <v>46074</v>
          </cell>
        </row>
        <row r="12">
          <cell r="A12">
            <v>46116</v>
          </cell>
        </row>
        <row r="13">
          <cell r="A13">
            <v>46117</v>
          </cell>
        </row>
        <row r="14">
          <cell r="A14">
            <v>46118</v>
          </cell>
        </row>
        <row r="15">
          <cell r="A15">
            <v>46143</v>
          </cell>
        </row>
        <row r="16">
          <cell r="A16">
            <v>46144</v>
          </cell>
        </row>
        <row r="17">
          <cell r="A17">
            <v>46145</v>
          </cell>
        </row>
        <row r="18">
          <cell r="A18">
            <v>46192</v>
          </cell>
        </row>
        <row r="19">
          <cell r="A19">
            <v>46193</v>
          </cell>
        </row>
        <row r="20">
          <cell r="A20">
            <v>46194</v>
          </cell>
        </row>
        <row r="21">
          <cell r="A21">
            <v>46290</v>
          </cell>
        </row>
        <row r="22">
          <cell r="A22">
            <v>46296</v>
          </cell>
        </row>
        <row r="23">
          <cell r="A23">
            <v>46297</v>
          </cell>
        </row>
        <row r="24">
          <cell r="A24">
            <v>46298</v>
          </cell>
        </row>
        <row r="25">
          <cell r="A25">
            <v>46299</v>
          </cell>
        </row>
        <row r="26">
          <cell r="A26">
            <v>46300</v>
          </cell>
        </row>
        <row r="27">
          <cell r="A27">
            <v>46301</v>
          </cell>
        </row>
        <row r="28">
          <cell r="A28">
            <v>46302</v>
          </cell>
        </row>
        <row r="29">
          <cell r="A29">
            <v>46388</v>
          </cell>
        </row>
        <row r="30">
          <cell r="A30">
            <v>46389</v>
          </cell>
        </row>
        <row r="31">
          <cell r="A31">
            <v>46390</v>
          </cell>
        </row>
        <row r="32">
          <cell r="A32">
            <v>46424</v>
          </cell>
        </row>
        <row r="33">
          <cell r="A33">
            <v>46425</v>
          </cell>
        </row>
        <row r="34">
          <cell r="A34">
            <v>46426</v>
          </cell>
        </row>
        <row r="35">
          <cell r="A35">
            <v>46427</v>
          </cell>
        </row>
        <row r="36">
          <cell r="A36">
            <v>46428</v>
          </cell>
        </row>
        <row r="37">
          <cell r="A37">
            <v>46429</v>
          </cell>
        </row>
        <row r="38">
          <cell r="A38">
            <v>46430</v>
          </cell>
        </row>
        <row r="39">
          <cell r="A39">
            <v>46480</v>
          </cell>
        </row>
        <row r="40">
          <cell r="A40">
            <v>46481</v>
          </cell>
        </row>
        <row r="41">
          <cell r="A41">
            <v>46482</v>
          </cell>
        </row>
        <row r="42">
          <cell r="A42">
            <v>46508</v>
          </cell>
        </row>
        <row r="43">
          <cell r="A43">
            <v>46509</v>
          </cell>
        </row>
        <row r="44">
          <cell r="A44">
            <v>46510</v>
          </cell>
        </row>
        <row r="45">
          <cell r="A45">
            <v>46549</v>
          </cell>
        </row>
        <row r="46">
          <cell r="A46">
            <v>46550</v>
          </cell>
        </row>
        <row r="47">
          <cell r="A47">
            <v>46551</v>
          </cell>
        </row>
        <row r="48">
          <cell r="A48">
            <v>46552</v>
          </cell>
        </row>
        <row r="49">
          <cell r="A49">
            <v>46645</v>
          </cell>
        </row>
        <row r="50">
          <cell r="A50">
            <v>46661</v>
          </cell>
        </row>
        <row r="51">
          <cell r="A51">
            <v>46662</v>
          </cell>
        </row>
        <row r="52">
          <cell r="A52">
            <v>46663</v>
          </cell>
        </row>
        <row r="53">
          <cell r="A53">
            <v>46664</v>
          </cell>
        </row>
        <row r="54">
          <cell r="A54">
            <v>46665</v>
          </cell>
        </row>
        <row r="55">
          <cell r="A55">
            <v>46666</v>
          </cell>
        </row>
        <row r="56">
          <cell r="A56">
            <v>46667</v>
          </cell>
        </row>
        <row r="57">
          <cell r="A57">
            <v>46753</v>
          </cell>
        </row>
        <row r="58">
          <cell r="A58">
            <v>46754</v>
          </cell>
        </row>
        <row r="59">
          <cell r="A59">
            <v>46755</v>
          </cell>
        </row>
        <row r="60">
          <cell r="A60">
            <v>46777</v>
          </cell>
        </row>
        <row r="61">
          <cell r="A61">
            <v>46778</v>
          </cell>
        </row>
        <row r="62">
          <cell r="A62">
            <v>46779</v>
          </cell>
        </row>
        <row r="63">
          <cell r="A63">
            <v>46780</v>
          </cell>
        </row>
        <row r="64">
          <cell r="A64">
            <v>46781</v>
          </cell>
        </row>
        <row r="65">
          <cell r="A65">
            <v>46782</v>
          </cell>
        </row>
        <row r="66">
          <cell r="A66">
            <v>46783</v>
          </cell>
        </row>
        <row r="67">
          <cell r="A67">
            <v>46847</v>
          </cell>
        </row>
        <row r="68">
          <cell r="A68">
            <v>46848</v>
          </cell>
        </row>
        <row r="69">
          <cell r="A69">
            <v>46849</v>
          </cell>
        </row>
        <row r="70">
          <cell r="A70">
            <v>46874</v>
          </cell>
        </row>
        <row r="71">
          <cell r="A71">
            <v>46875</v>
          </cell>
        </row>
        <row r="72">
          <cell r="A72">
            <v>46876</v>
          </cell>
        </row>
        <row r="73">
          <cell r="A73">
            <v>46904</v>
          </cell>
        </row>
        <row r="74">
          <cell r="A74">
            <v>46905</v>
          </cell>
        </row>
        <row r="75">
          <cell r="A75">
            <v>46906</v>
          </cell>
        </row>
        <row r="76">
          <cell r="A76">
            <v>47027</v>
          </cell>
        </row>
        <row r="77">
          <cell r="A77">
            <v>47028</v>
          </cell>
        </row>
        <row r="78">
          <cell r="A78">
            <v>47029</v>
          </cell>
        </row>
        <row r="79">
          <cell r="A79">
            <v>47030</v>
          </cell>
        </row>
        <row r="80">
          <cell r="A80">
            <v>47031</v>
          </cell>
        </row>
        <row r="81">
          <cell r="A81">
            <v>47032</v>
          </cell>
        </row>
        <row r="82">
          <cell r="A82">
            <v>47033</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vision"/>
      <sheetName val="Milestone"/>
      <sheetName val="Schedule"/>
      <sheetName val="frm P6"/>
    </sheetNames>
    <sheetDataSet>
      <sheetData sheetId="0"/>
      <sheetData sheetId="1"/>
      <sheetData sheetId="2">
        <row r="3">
          <cell r="K3" t="str">
            <v>ERECT</v>
          </cell>
          <cell r="W3" t="str">
            <v>COAT</v>
          </cell>
          <cell r="Z3" t="str">
            <v>ASSY</v>
          </cell>
          <cell r="AF3" t="str">
            <v>FAB/SPL</v>
          </cell>
          <cell r="AL3" t="str">
            <v>CAN</v>
          </cell>
        </row>
        <row r="6">
          <cell r="B6" t="str">
            <v>JKT</v>
          </cell>
          <cell r="C6" t="str">
            <v>S01</v>
          </cell>
          <cell r="D6" t="str">
            <v>JKT-01</v>
          </cell>
          <cell r="F6" t="str">
            <v>01J</v>
          </cell>
        </row>
        <row r="7">
          <cell r="B7" t="str">
            <v>JKT</v>
          </cell>
          <cell r="C7" t="str">
            <v>S02A</v>
          </cell>
          <cell r="D7" t="str">
            <v>JKT-01</v>
          </cell>
          <cell r="F7" t="str">
            <v>01J</v>
          </cell>
        </row>
        <row r="8">
          <cell r="B8" t="str">
            <v>JKT</v>
          </cell>
          <cell r="C8" t="str">
            <v>S04A</v>
          </cell>
          <cell r="D8" t="str">
            <v>JKT-01</v>
          </cell>
          <cell r="F8" t="str">
            <v>01J</v>
          </cell>
        </row>
        <row r="9">
          <cell r="B9" t="str">
            <v>JKT</v>
          </cell>
          <cell r="C9" t="str">
            <v>S04B</v>
          </cell>
          <cell r="D9" t="str">
            <v>JKT-01</v>
          </cell>
          <cell r="F9" t="str">
            <v>01J</v>
          </cell>
        </row>
        <row r="10">
          <cell r="B10" t="str">
            <v>JKT</v>
          </cell>
          <cell r="C10" t="str">
            <v>S04C</v>
          </cell>
          <cell r="D10" t="str">
            <v>JKT-01</v>
          </cell>
          <cell r="F10" t="str">
            <v>01J</v>
          </cell>
        </row>
        <row r="11">
          <cell r="B11" t="str">
            <v>JKT</v>
          </cell>
          <cell r="C11" t="str">
            <v>S05</v>
          </cell>
          <cell r="D11" t="str">
            <v>JKT-01</v>
          </cell>
          <cell r="F11" t="str">
            <v>01J</v>
          </cell>
        </row>
        <row r="12">
          <cell r="B12" t="str">
            <v>JKT</v>
          </cell>
          <cell r="C12" t="str">
            <v>S06A</v>
          </cell>
          <cell r="D12" t="str">
            <v>JKT-01</v>
          </cell>
          <cell r="F12" t="str">
            <v>01J</v>
          </cell>
        </row>
        <row r="13">
          <cell r="B13" t="str">
            <v>JKT</v>
          </cell>
          <cell r="C13" t="str">
            <v>S06B</v>
          </cell>
          <cell r="D13" t="str">
            <v>JKT-01</v>
          </cell>
          <cell r="F13" t="str">
            <v>01J</v>
          </cell>
        </row>
        <row r="14">
          <cell r="B14" t="str">
            <v>JKT</v>
          </cell>
          <cell r="C14" t="str">
            <v>S07</v>
          </cell>
          <cell r="D14" t="str">
            <v>JKT-01</v>
          </cell>
          <cell r="F14" t="str">
            <v>01J</v>
          </cell>
        </row>
        <row r="15">
          <cell r="B15" t="str">
            <v>JKT</v>
          </cell>
          <cell r="C15" t="str">
            <v>S08A</v>
          </cell>
          <cell r="D15" t="str">
            <v>JKT-01</v>
          </cell>
          <cell r="F15" t="str">
            <v>01J</v>
          </cell>
        </row>
        <row r="16">
          <cell r="B16" t="str">
            <v>JKT</v>
          </cell>
          <cell r="C16" t="str">
            <v>S08B</v>
          </cell>
          <cell r="D16" t="str">
            <v>JKT-01</v>
          </cell>
          <cell r="F16" t="str">
            <v>01J</v>
          </cell>
        </row>
        <row r="17">
          <cell r="B17" t="str">
            <v>JKT</v>
          </cell>
          <cell r="C17" t="str">
            <v>S09A</v>
          </cell>
          <cell r="D17" t="str">
            <v>JKT-01</v>
          </cell>
          <cell r="F17" t="str">
            <v>01J</v>
          </cell>
        </row>
        <row r="18">
          <cell r="B18" t="str">
            <v>JKT</v>
          </cell>
          <cell r="C18" t="str">
            <v>S10A</v>
          </cell>
          <cell r="D18" t="str">
            <v>JKT-01</v>
          </cell>
          <cell r="F18" t="str">
            <v>01J</v>
          </cell>
        </row>
        <row r="20">
          <cell r="B20" t="str">
            <v>JKT</v>
          </cell>
          <cell r="C20" t="str">
            <v>S01</v>
          </cell>
          <cell r="D20" t="str">
            <v>JKT-01</v>
          </cell>
          <cell r="F20" t="str">
            <v>02J</v>
          </cell>
        </row>
        <row r="21">
          <cell r="B21" t="str">
            <v>JKT</v>
          </cell>
          <cell r="C21" t="str">
            <v>S02A</v>
          </cell>
          <cell r="D21" t="str">
            <v>JKT-01</v>
          </cell>
          <cell r="F21" t="str">
            <v>02J</v>
          </cell>
        </row>
        <row r="22">
          <cell r="B22" t="str">
            <v>JKT</v>
          </cell>
          <cell r="C22" t="str">
            <v>S04A</v>
          </cell>
          <cell r="D22" t="str">
            <v>JKT-01</v>
          </cell>
          <cell r="F22" t="str">
            <v>02J</v>
          </cell>
        </row>
        <row r="23">
          <cell r="B23" t="str">
            <v>JKT</v>
          </cell>
          <cell r="C23" t="str">
            <v>S04B</v>
          </cell>
          <cell r="D23" t="str">
            <v>JKT-01</v>
          </cell>
          <cell r="F23" t="str">
            <v>02J</v>
          </cell>
        </row>
        <row r="24">
          <cell r="B24" t="str">
            <v>JKT</v>
          </cell>
          <cell r="C24" t="str">
            <v>S04C</v>
          </cell>
          <cell r="D24" t="str">
            <v>JKT-01</v>
          </cell>
          <cell r="F24" t="str">
            <v>02J</v>
          </cell>
        </row>
        <row r="25">
          <cell r="B25" t="str">
            <v>JKT</v>
          </cell>
          <cell r="C25" t="str">
            <v>S05</v>
          </cell>
          <cell r="D25" t="str">
            <v>JKT-01</v>
          </cell>
          <cell r="F25" t="str">
            <v>02J</v>
          </cell>
        </row>
        <row r="26">
          <cell r="B26" t="str">
            <v>JKT</v>
          </cell>
          <cell r="C26" t="str">
            <v>S06A</v>
          </cell>
          <cell r="D26" t="str">
            <v>JKT-01</v>
          </cell>
          <cell r="F26" t="str">
            <v>02J</v>
          </cell>
        </row>
        <row r="27">
          <cell r="B27" t="str">
            <v>JKT</v>
          </cell>
          <cell r="C27" t="str">
            <v>S06B</v>
          </cell>
          <cell r="D27" t="str">
            <v>JKT-01</v>
          </cell>
          <cell r="F27" t="str">
            <v>02J</v>
          </cell>
        </row>
        <row r="28">
          <cell r="B28" t="str">
            <v>JKT</v>
          </cell>
          <cell r="C28" t="str">
            <v>S07</v>
          </cell>
          <cell r="D28" t="str">
            <v>JKT-01</v>
          </cell>
          <cell r="F28" t="str">
            <v>02J</v>
          </cell>
        </row>
        <row r="29">
          <cell r="B29" t="str">
            <v>JKT</v>
          </cell>
          <cell r="C29" t="str">
            <v>S08A</v>
          </cell>
          <cell r="D29" t="str">
            <v>JKT-01</v>
          </cell>
          <cell r="F29" t="str">
            <v>02J</v>
          </cell>
        </row>
        <row r="30">
          <cell r="B30" t="str">
            <v>JKT</v>
          </cell>
          <cell r="C30" t="str">
            <v>S08B</v>
          </cell>
          <cell r="D30" t="str">
            <v>JKT-01</v>
          </cell>
          <cell r="F30" t="str">
            <v>02J</v>
          </cell>
        </row>
        <row r="31">
          <cell r="B31" t="str">
            <v>JKT</v>
          </cell>
          <cell r="C31" t="str">
            <v>S09A</v>
          </cell>
          <cell r="D31" t="str">
            <v>JKT-01</v>
          </cell>
          <cell r="F31" t="str">
            <v>02J</v>
          </cell>
        </row>
        <row r="32">
          <cell r="B32" t="str">
            <v>JKT</v>
          </cell>
          <cell r="C32" t="str">
            <v>S10A</v>
          </cell>
          <cell r="D32" t="str">
            <v>JKT-01</v>
          </cell>
          <cell r="F32" t="str">
            <v>02J</v>
          </cell>
        </row>
        <row r="35">
          <cell r="K35" t="str">
            <v>POSTIN</v>
          </cell>
          <cell r="Z35" t="str">
            <v>PREIN</v>
          </cell>
        </row>
        <row r="38">
          <cell r="B38" t="str">
            <v>JKT</v>
          </cell>
          <cell r="C38" t="str">
            <v>IRS</v>
          </cell>
          <cell r="D38" t="str">
            <v>JKT-02</v>
          </cell>
          <cell r="F38" t="str">
            <v>01J</v>
          </cell>
        </row>
        <row r="39">
          <cell r="B39" t="str">
            <v>JKT</v>
          </cell>
          <cell r="C39" t="str">
            <v>CGD</v>
          </cell>
          <cell r="D39" t="str">
            <v>JKT-02</v>
          </cell>
          <cell r="F39" t="str">
            <v>01J</v>
          </cell>
        </row>
        <row r="40">
          <cell r="B40" t="str">
            <v>JKT</v>
          </cell>
          <cell r="C40" t="str">
            <v>SUPP</v>
          </cell>
          <cell r="D40" t="str">
            <v>JKT-02</v>
          </cell>
          <cell r="F40" t="str">
            <v>01J</v>
          </cell>
        </row>
        <row r="41">
          <cell r="B41" t="str">
            <v>JKT</v>
          </cell>
          <cell r="C41" t="str">
            <v>UPD1</v>
          </cell>
          <cell r="D41" t="str">
            <v>JKT-02</v>
          </cell>
          <cell r="F41" t="str">
            <v>01J</v>
          </cell>
        </row>
        <row r="42">
          <cell r="B42" t="str">
            <v>JKT</v>
          </cell>
          <cell r="C42" t="str">
            <v>S03A</v>
          </cell>
          <cell r="D42" t="str">
            <v>JKT-02</v>
          </cell>
          <cell r="F42" t="str">
            <v>01J</v>
          </cell>
        </row>
        <row r="43">
          <cell r="B43" t="str">
            <v>JKT</v>
          </cell>
          <cell r="C43" t="str">
            <v>STB</v>
          </cell>
          <cell r="D43" t="str">
            <v>JKT-02</v>
          </cell>
          <cell r="F43" t="str">
            <v>01J</v>
          </cell>
        </row>
        <row r="44">
          <cell r="B44" t="str">
            <v>JKT</v>
          </cell>
          <cell r="C44" t="str">
            <v>CLP</v>
          </cell>
          <cell r="D44" t="str">
            <v>JKT-02</v>
          </cell>
          <cell r="F44" t="str">
            <v>01J</v>
          </cell>
        </row>
        <row r="45">
          <cell r="B45" t="str">
            <v>JKT</v>
          </cell>
          <cell r="C45" t="str">
            <v>BOL</v>
          </cell>
          <cell r="D45" t="str">
            <v>JKT-02</v>
          </cell>
          <cell r="F45" t="str">
            <v>01J</v>
          </cell>
        </row>
        <row r="46">
          <cell r="B46" t="str">
            <v>JKT</v>
          </cell>
          <cell r="C46" t="str">
            <v>RISER</v>
          </cell>
          <cell r="D46" t="str">
            <v>JKT-04</v>
          </cell>
          <cell r="F46" t="str">
            <v>01J</v>
          </cell>
        </row>
        <row r="47">
          <cell r="B47" t="str">
            <v>JKT</v>
          </cell>
          <cell r="C47" t="str">
            <v>UPD2</v>
          </cell>
          <cell r="D47" t="str">
            <v>JKT-02</v>
          </cell>
          <cell r="F47" t="str">
            <v>01J</v>
          </cell>
        </row>
        <row r="48">
          <cell r="B48" t="str">
            <v>JKT</v>
          </cell>
          <cell r="C48" t="str">
            <v>CASSION</v>
          </cell>
          <cell r="D48" t="str">
            <v>JKT-02</v>
          </cell>
          <cell r="F48" t="str">
            <v>01J</v>
          </cell>
        </row>
        <row r="49">
          <cell r="B49" t="str">
            <v>JKT</v>
          </cell>
          <cell r="C49" t="str">
            <v>WHL</v>
          </cell>
          <cell r="D49" t="str">
            <v>JKT-02</v>
          </cell>
          <cell r="F49" t="str">
            <v>01J</v>
          </cell>
        </row>
        <row r="50">
          <cell r="B50" t="str">
            <v>JKT</v>
          </cell>
          <cell r="C50" t="str">
            <v>TRP</v>
          </cell>
          <cell r="D50" t="str">
            <v>JKT-02</v>
          </cell>
          <cell r="F50" t="str">
            <v>01J</v>
          </cell>
        </row>
        <row r="51">
          <cell r="B51" t="str">
            <v>JKT</v>
          </cell>
          <cell r="C51" t="str">
            <v>NOD</v>
          </cell>
          <cell r="D51" t="str">
            <v>JKT-02</v>
          </cell>
          <cell r="F51" t="str">
            <v>01J</v>
          </cell>
        </row>
        <row r="52">
          <cell r="B52" t="str">
            <v>JKT</v>
          </cell>
          <cell r="C52" t="str">
            <v>Rest01</v>
          </cell>
          <cell r="D52" t="str">
            <v>JKT-02</v>
          </cell>
          <cell r="F52" t="str">
            <v>01J</v>
          </cell>
        </row>
        <row r="53">
          <cell r="B53" t="str">
            <v>JKT</v>
          </cell>
          <cell r="C53" t="str">
            <v>Rest02</v>
          </cell>
          <cell r="D53" t="str">
            <v>JKT-02</v>
          </cell>
          <cell r="F53" t="str">
            <v>01J</v>
          </cell>
        </row>
        <row r="55">
          <cell r="B55" t="str">
            <v>JKT</v>
          </cell>
          <cell r="C55" t="str">
            <v>IRS</v>
          </cell>
          <cell r="D55" t="str">
            <v>JKT-02</v>
          </cell>
          <cell r="F55" t="str">
            <v>02J</v>
          </cell>
        </row>
        <row r="56">
          <cell r="B56" t="str">
            <v>JKT</v>
          </cell>
          <cell r="C56" t="str">
            <v>CGD</v>
          </cell>
          <cell r="D56" t="str">
            <v>JKT-02</v>
          </cell>
          <cell r="F56" t="str">
            <v>02J</v>
          </cell>
        </row>
        <row r="57">
          <cell r="B57" t="str">
            <v>JKT</v>
          </cell>
          <cell r="C57" t="str">
            <v>SUPP</v>
          </cell>
          <cell r="D57" t="str">
            <v>JKT-02</v>
          </cell>
          <cell r="F57" t="str">
            <v>02J</v>
          </cell>
        </row>
        <row r="58">
          <cell r="B58" t="str">
            <v>JKT</v>
          </cell>
          <cell r="C58" t="str">
            <v>UPD1</v>
          </cell>
          <cell r="D58" t="str">
            <v>JKT-02</v>
          </cell>
          <cell r="F58" t="str">
            <v>02J</v>
          </cell>
        </row>
        <row r="59">
          <cell r="B59" t="str">
            <v>JKT</v>
          </cell>
          <cell r="C59" t="str">
            <v>S03A</v>
          </cell>
          <cell r="D59" t="str">
            <v>JKT-02</v>
          </cell>
          <cell r="F59" t="str">
            <v>02J</v>
          </cell>
        </row>
        <row r="60">
          <cell r="B60" t="str">
            <v>JKT</v>
          </cell>
          <cell r="C60" t="str">
            <v>STB</v>
          </cell>
          <cell r="D60" t="str">
            <v>JKT-02</v>
          </cell>
          <cell r="F60" t="str">
            <v>02J</v>
          </cell>
        </row>
        <row r="61">
          <cell r="B61" t="str">
            <v>JKT</v>
          </cell>
          <cell r="C61" t="str">
            <v>CLP</v>
          </cell>
          <cell r="D61" t="str">
            <v>JKT-02</v>
          </cell>
          <cell r="F61" t="str">
            <v>02J</v>
          </cell>
        </row>
        <row r="62">
          <cell r="B62" t="str">
            <v>JKT</v>
          </cell>
          <cell r="C62" t="str">
            <v>BOL</v>
          </cell>
          <cell r="D62" t="str">
            <v>JKT-02</v>
          </cell>
          <cell r="F62" t="str">
            <v>02J</v>
          </cell>
        </row>
        <row r="63">
          <cell r="B63" t="str">
            <v>JKT</v>
          </cell>
          <cell r="C63" t="str">
            <v>RISER</v>
          </cell>
          <cell r="D63" t="str">
            <v>JKT-04</v>
          </cell>
          <cell r="F63" t="str">
            <v>02J</v>
          </cell>
        </row>
        <row r="64">
          <cell r="B64" t="str">
            <v>JKT</v>
          </cell>
          <cell r="C64" t="str">
            <v>UPD2</v>
          </cell>
          <cell r="D64" t="str">
            <v>JKT-02</v>
          </cell>
          <cell r="F64" t="str">
            <v>02J</v>
          </cell>
        </row>
        <row r="65">
          <cell r="B65" t="str">
            <v>JKT</v>
          </cell>
          <cell r="C65" t="str">
            <v>CASSION</v>
          </cell>
          <cell r="D65" t="str">
            <v>JKT-02</v>
          </cell>
          <cell r="F65" t="str">
            <v>02J</v>
          </cell>
        </row>
        <row r="66">
          <cell r="B66" t="str">
            <v>JKT</v>
          </cell>
          <cell r="C66" t="str">
            <v>WHL</v>
          </cell>
          <cell r="D66" t="str">
            <v>JKT-02</v>
          </cell>
          <cell r="F66" t="str">
            <v>02J</v>
          </cell>
        </row>
        <row r="67">
          <cell r="B67" t="str">
            <v>JKT</v>
          </cell>
          <cell r="C67" t="str">
            <v>TRP</v>
          </cell>
          <cell r="D67" t="str">
            <v>JKT-02</v>
          </cell>
          <cell r="F67" t="str">
            <v>02J</v>
          </cell>
        </row>
        <row r="68">
          <cell r="B68" t="str">
            <v>JKT</v>
          </cell>
          <cell r="C68" t="str">
            <v>Rest01</v>
          </cell>
          <cell r="D68" t="str">
            <v>JKT-02</v>
          </cell>
          <cell r="F68" t="str">
            <v>02J</v>
          </cell>
        </row>
        <row r="69">
          <cell r="B69" t="str">
            <v>JKT</v>
          </cell>
          <cell r="C69" t="str">
            <v>Rest02</v>
          </cell>
          <cell r="D69" t="str">
            <v>JKT-02</v>
          </cell>
          <cell r="F69" t="str">
            <v>02J</v>
          </cell>
        </row>
        <row r="70">
          <cell r="B70" t="str">
            <v>JKT</v>
          </cell>
          <cell r="C70" t="str">
            <v>NOD</v>
          </cell>
          <cell r="D70" t="str">
            <v>JKT-02</v>
          </cell>
          <cell r="F70" t="str">
            <v>02J</v>
          </cell>
        </row>
        <row r="87">
          <cell r="B87" t="str">
            <v>PILE</v>
          </cell>
          <cell r="C87" t="str">
            <v>GEN</v>
          </cell>
          <cell r="D87" t="str">
            <v>PILE-01</v>
          </cell>
          <cell r="E87" t="str">
            <v>CAN</v>
          </cell>
          <cell r="F87" t="str">
            <v>01J</v>
          </cell>
        </row>
        <row r="88">
          <cell r="B88" t="str">
            <v>PILE</v>
          </cell>
          <cell r="C88" t="str">
            <v>GEN</v>
          </cell>
          <cell r="D88" t="str">
            <v>PILE-01</v>
          </cell>
          <cell r="E88" t="str">
            <v>FAB/SPL</v>
          </cell>
          <cell r="F88" t="str">
            <v>01J</v>
          </cell>
        </row>
        <row r="89">
          <cell r="B89" t="str">
            <v>PILE</v>
          </cell>
          <cell r="C89" t="str">
            <v>GEN</v>
          </cell>
          <cell r="D89" t="str">
            <v>PILE-01</v>
          </cell>
          <cell r="E89" t="str">
            <v>COAT</v>
          </cell>
          <cell r="F89" t="str">
            <v>01J</v>
          </cell>
        </row>
        <row r="92">
          <cell r="B92" t="str">
            <v>PILE</v>
          </cell>
          <cell r="C92" t="str">
            <v>GEN</v>
          </cell>
          <cell r="D92" t="str">
            <v>PILE-01</v>
          </cell>
          <cell r="E92" t="str">
            <v>CAN</v>
          </cell>
          <cell r="F92" t="str">
            <v>02J</v>
          </cell>
        </row>
        <row r="93">
          <cell r="B93" t="str">
            <v>PILE</v>
          </cell>
          <cell r="C93" t="str">
            <v>GEN</v>
          </cell>
          <cell r="D93" t="str">
            <v>PILE-01</v>
          </cell>
          <cell r="E93" t="str">
            <v>FAB/SPL</v>
          </cell>
          <cell r="F93" t="str">
            <v>02J</v>
          </cell>
        </row>
        <row r="94">
          <cell r="B94" t="str">
            <v>PILE</v>
          </cell>
          <cell r="C94" t="str">
            <v>GEN</v>
          </cell>
          <cell r="D94" t="str">
            <v>PILE-01</v>
          </cell>
          <cell r="E94" t="str">
            <v>COAT</v>
          </cell>
          <cell r="F94" t="str">
            <v>02J</v>
          </cell>
        </row>
        <row r="98">
          <cell r="K98" t="str">
            <v>ERECT</v>
          </cell>
          <cell r="W98" t="str">
            <v>COAT</v>
          </cell>
          <cell r="Z98" t="str">
            <v>ASSY</v>
          </cell>
          <cell r="AF98" t="str">
            <v>FAB/SPL</v>
          </cell>
        </row>
        <row r="101">
          <cell r="B101" t="str">
            <v>MOD</v>
          </cell>
          <cell r="C101" t="str">
            <v>CLOMN</v>
          </cell>
          <cell r="D101" t="str">
            <v>ST</v>
          </cell>
          <cell r="F101" t="str">
            <v>01T</v>
          </cell>
        </row>
        <row r="102">
          <cell r="B102" t="str">
            <v>MOD</v>
          </cell>
          <cell r="C102" t="str">
            <v>SUM01</v>
          </cell>
          <cell r="D102" t="str">
            <v>ST</v>
          </cell>
          <cell r="F102" t="str">
            <v>01T</v>
          </cell>
        </row>
        <row r="103">
          <cell r="B103" t="str">
            <v>MOD</v>
          </cell>
          <cell r="C103" t="str">
            <v>SUM02</v>
          </cell>
          <cell r="D103" t="str">
            <v>ST</v>
          </cell>
          <cell r="F103" t="str">
            <v>01T</v>
          </cell>
        </row>
        <row r="104">
          <cell r="B104" t="str">
            <v>MOD</v>
          </cell>
          <cell r="C104" t="str">
            <v>LOW01</v>
          </cell>
          <cell r="D104" t="str">
            <v>ST</v>
          </cell>
          <cell r="F104" t="str">
            <v>01T</v>
          </cell>
        </row>
        <row r="105">
          <cell r="B105" t="str">
            <v>MOD</v>
          </cell>
          <cell r="C105" t="str">
            <v>LOW02</v>
          </cell>
          <cell r="D105" t="str">
            <v>ST</v>
          </cell>
          <cell r="F105" t="str">
            <v>01T</v>
          </cell>
        </row>
        <row r="106">
          <cell r="B106" t="str">
            <v>MOD</v>
          </cell>
          <cell r="C106" t="str">
            <v>MEZ01</v>
          </cell>
          <cell r="D106" t="str">
            <v>ST</v>
          </cell>
          <cell r="F106" t="str">
            <v>01T</v>
          </cell>
        </row>
        <row r="107">
          <cell r="B107" t="str">
            <v>MOD</v>
          </cell>
          <cell r="C107" t="str">
            <v>MEZ02</v>
          </cell>
          <cell r="D107" t="str">
            <v>ST</v>
          </cell>
          <cell r="F107" t="str">
            <v>01T</v>
          </cell>
        </row>
        <row r="108">
          <cell r="B108" t="str">
            <v>MOD</v>
          </cell>
          <cell r="C108" t="str">
            <v>UPP01</v>
          </cell>
          <cell r="D108" t="str">
            <v>ST</v>
          </cell>
          <cell r="F108" t="str">
            <v>01T</v>
          </cell>
        </row>
        <row r="109">
          <cell r="B109" t="str">
            <v>MOD</v>
          </cell>
          <cell r="C109" t="str">
            <v>UPP02</v>
          </cell>
          <cell r="D109" t="str">
            <v>ST</v>
          </cell>
          <cell r="F109" t="str">
            <v>01T</v>
          </cell>
        </row>
        <row r="110">
          <cell r="B110" t="str">
            <v>MOD</v>
          </cell>
          <cell r="C110" t="str">
            <v>VentBoom01</v>
          </cell>
          <cell r="D110" t="str">
            <v>ST</v>
          </cell>
          <cell r="F110" t="str">
            <v>01T</v>
          </cell>
        </row>
        <row r="111">
          <cell r="B111" t="str">
            <v>MOD</v>
          </cell>
          <cell r="C111" t="str">
            <v>VentBoom02</v>
          </cell>
          <cell r="D111" t="str">
            <v>ST</v>
          </cell>
          <cell r="F111" t="str">
            <v>01T</v>
          </cell>
        </row>
        <row r="112">
          <cell r="B112" t="str">
            <v>MOD</v>
          </cell>
          <cell r="C112" t="str">
            <v>Grate</v>
          </cell>
          <cell r="D112" t="str">
            <v>ST</v>
          </cell>
          <cell r="F112" t="str">
            <v>01T</v>
          </cell>
        </row>
        <row r="113">
          <cell r="B113" t="str">
            <v>MOD</v>
          </cell>
          <cell r="C113" t="str">
            <v>Handrail</v>
          </cell>
          <cell r="D113" t="str">
            <v>ST</v>
          </cell>
          <cell r="F113" t="str">
            <v>01T</v>
          </cell>
        </row>
        <row r="114">
          <cell r="B114" t="str">
            <v>MOD</v>
          </cell>
          <cell r="C114" t="str">
            <v>Solar</v>
          </cell>
          <cell r="D114" t="str">
            <v>ST</v>
          </cell>
          <cell r="F114" t="str">
            <v>01T</v>
          </cell>
        </row>
        <row r="115">
          <cell r="B115" t="str">
            <v>MOD</v>
          </cell>
          <cell r="C115" t="str">
            <v>HSN</v>
          </cell>
          <cell r="D115" t="str">
            <v>ST</v>
          </cell>
          <cell r="F115" t="str">
            <v>01T</v>
          </cell>
        </row>
        <row r="116">
          <cell r="B116" t="str">
            <v>MOD</v>
          </cell>
          <cell r="C116" t="str">
            <v>PNP</v>
          </cell>
          <cell r="D116" t="str">
            <v>ST</v>
          </cell>
          <cell r="F116" t="str">
            <v>01T</v>
          </cell>
        </row>
        <row r="117">
          <cell r="B117" t="str">
            <v>MOD</v>
          </cell>
          <cell r="C117" t="str">
            <v>SUPP</v>
          </cell>
          <cell r="D117" t="str">
            <v>SA</v>
          </cell>
          <cell r="F117" t="str">
            <v>01T</v>
          </cell>
        </row>
        <row r="119">
          <cell r="B119" t="str">
            <v>MOD</v>
          </cell>
          <cell r="C119" t="str">
            <v>CLOMN</v>
          </cell>
          <cell r="D119" t="str">
            <v>ST</v>
          </cell>
          <cell r="F119" t="str">
            <v>02T</v>
          </cell>
        </row>
        <row r="120">
          <cell r="B120" t="str">
            <v>MOD</v>
          </cell>
          <cell r="C120" t="str">
            <v>SUM01</v>
          </cell>
          <cell r="D120" t="str">
            <v>ST</v>
          </cell>
          <cell r="F120" t="str">
            <v>02T</v>
          </cell>
        </row>
        <row r="121">
          <cell r="B121" t="str">
            <v>MOD</v>
          </cell>
          <cell r="C121" t="str">
            <v>SUM02</v>
          </cell>
          <cell r="D121" t="str">
            <v>ST</v>
          </cell>
          <cell r="F121" t="str">
            <v>02T</v>
          </cell>
        </row>
        <row r="122">
          <cell r="B122" t="str">
            <v>MOD</v>
          </cell>
          <cell r="C122" t="str">
            <v>LOW01</v>
          </cell>
          <cell r="D122" t="str">
            <v>ST</v>
          </cell>
          <cell r="F122" t="str">
            <v>02T</v>
          </cell>
        </row>
        <row r="123">
          <cell r="B123" t="str">
            <v>MOD</v>
          </cell>
          <cell r="C123" t="str">
            <v>LOW02</v>
          </cell>
          <cell r="D123" t="str">
            <v>ST</v>
          </cell>
          <cell r="F123" t="str">
            <v>02T</v>
          </cell>
        </row>
        <row r="124">
          <cell r="B124" t="str">
            <v>MOD</v>
          </cell>
          <cell r="C124" t="str">
            <v>MEZ01</v>
          </cell>
          <cell r="D124" t="str">
            <v>ST</v>
          </cell>
          <cell r="F124" t="str">
            <v>02T</v>
          </cell>
        </row>
        <row r="125">
          <cell r="B125" t="str">
            <v>MOD</v>
          </cell>
          <cell r="C125" t="str">
            <v>MEZ02</v>
          </cell>
          <cell r="D125" t="str">
            <v>ST</v>
          </cell>
          <cell r="F125" t="str">
            <v>02T</v>
          </cell>
        </row>
        <row r="126">
          <cell r="B126" t="str">
            <v>MOD</v>
          </cell>
          <cell r="C126" t="str">
            <v>UPP01</v>
          </cell>
          <cell r="D126" t="str">
            <v>ST</v>
          </cell>
          <cell r="F126" t="str">
            <v>02T</v>
          </cell>
        </row>
        <row r="127">
          <cell r="B127" t="str">
            <v>MOD</v>
          </cell>
          <cell r="C127" t="str">
            <v>UPP02</v>
          </cell>
          <cell r="D127" t="str">
            <v>ST</v>
          </cell>
          <cell r="F127" t="str">
            <v>02T</v>
          </cell>
        </row>
        <row r="128">
          <cell r="B128" t="str">
            <v>MOD</v>
          </cell>
          <cell r="C128" t="str">
            <v>VentBoom01</v>
          </cell>
          <cell r="D128" t="str">
            <v>ST</v>
          </cell>
          <cell r="F128" t="str">
            <v>02T</v>
          </cell>
        </row>
        <row r="129">
          <cell r="B129" t="str">
            <v>MOD</v>
          </cell>
          <cell r="C129" t="str">
            <v>VentBoom02</v>
          </cell>
          <cell r="D129" t="str">
            <v>ST</v>
          </cell>
          <cell r="F129" t="str">
            <v>02T</v>
          </cell>
        </row>
        <row r="130">
          <cell r="B130" t="str">
            <v>MOD</v>
          </cell>
          <cell r="C130" t="str">
            <v>Grate</v>
          </cell>
          <cell r="D130" t="str">
            <v>ST</v>
          </cell>
          <cell r="F130" t="str">
            <v>02T</v>
          </cell>
        </row>
        <row r="131">
          <cell r="B131" t="str">
            <v>MOD</v>
          </cell>
          <cell r="C131" t="str">
            <v>Handrail</v>
          </cell>
          <cell r="D131" t="str">
            <v>ST</v>
          </cell>
          <cell r="F131" t="str">
            <v>02T</v>
          </cell>
        </row>
        <row r="132">
          <cell r="B132" t="str">
            <v>MOD</v>
          </cell>
          <cell r="C132" t="str">
            <v>Solar</v>
          </cell>
          <cell r="D132" t="str">
            <v>ST</v>
          </cell>
          <cell r="F132" t="str">
            <v>02T</v>
          </cell>
        </row>
        <row r="133">
          <cell r="B133" t="str">
            <v>MOD</v>
          </cell>
          <cell r="C133" t="str">
            <v>HSN</v>
          </cell>
          <cell r="D133" t="str">
            <v>ST</v>
          </cell>
          <cell r="F133" t="str">
            <v>02T</v>
          </cell>
        </row>
        <row r="134">
          <cell r="B134" t="str">
            <v>MOD</v>
          </cell>
          <cell r="C134" t="str">
            <v>PNP</v>
          </cell>
          <cell r="D134" t="str">
            <v>ST</v>
          </cell>
          <cell r="F134" t="str">
            <v>02T</v>
          </cell>
        </row>
        <row r="135">
          <cell r="B135" t="str">
            <v>MOD</v>
          </cell>
          <cell r="C135" t="str">
            <v>SUPP</v>
          </cell>
          <cell r="D135" t="str">
            <v>SA</v>
          </cell>
          <cell r="F135" t="str">
            <v>02T</v>
          </cell>
        </row>
        <row r="138">
          <cell r="K138" t="str">
            <v>ERECT</v>
          </cell>
          <cell r="W138" t="str">
            <v>COAT</v>
          </cell>
        </row>
        <row r="141">
          <cell r="B141" t="str">
            <v>MOD</v>
          </cell>
          <cell r="C141" t="str">
            <v>SUPP</v>
          </cell>
          <cell r="D141" t="str">
            <v>PI</v>
          </cell>
          <cell r="F141" t="str">
            <v>01T</v>
          </cell>
        </row>
        <row r="142">
          <cell r="B142" t="str">
            <v>MOD</v>
          </cell>
          <cell r="C142" t="str">
            <v>PIPE</v>
          </cell>
          <cell r="D142" t="str">
            <v>PI</v>
          </cell>
          <cell r="F142" t="str">
            <v>01T</v>
          </cell>
        </row>
        <row r="143">
          <cell r="B143" t="str">
            <v>MOD</v>
          </cell>
          <cell r="C143" t="str">
            <v>TEST</v>
          </cell>
          <cell r="D143" t="str">
            <v>PI</v>
          </cell>
          <cell r="F143" t="str">
            <v>01T</v>
          </cell>
        </row>
        <row r="144">
          <cell r="B144" t="str">
            <v>MOD</v>
          </cell>
          <cell r="C144" t="str">
            <v>RISER</v>
          </cell>
          <cell r="D144" t="str">
            <v>PI</v>
          </cell>
          <cell r="F144" t="str">
            <v>01T</v>
          </cell>
        </row>
        <row r="145">
          <cell r="B145" t="str">
            <v>MOD</v>
          </cell>
          <cell r="C145" t="str">
            <v>TEST</v>
          </cell>
          <cell r="D145" t="str">
            <v>PCC</v>
          </cell>
          <cell r="F145" t="str">
            <v>01T</v>
          </cell>
        </row>
        <row r="147">
          <cell r="B147" t="str">
            <v>MOD</v>
          </cell>
          <cell r="C147" t="str">
            <v>SUPP</v>
          </cell>
          <cell r="D147" t="str">
            <v>PI</v>
          </cell>
          <cell r="F147" t="str">
            <v>02T</v>
          </cell>
        </row>
        <row r="148">
          <cell r="B148" t="str">
            <v>MOD</v>
          </cell>
          <cell r="C148" t="str">
            <v>PIPE</v>
          </cell>
          <cell r="D148" t="str">
            <v>PI</v>
          </cell>
          <cell r="F148" t="str">
            <v>02T</v>
          </cell>
        </row>
        <row r="149">
          <cell r="B149" t="str">
            <v>MOD</v>
          </cell>
          <cell r="C149" t="str">
            <v>TEST</v>
          </cell>
          <cell r="D149" t="str">
            <v>PI</v>
          </cell>
          <cell r="F149" t="str">
            <v>02T</v>
          </cell>
        </row>
        <row r="150">
          <cell r="B150" t="str">
            <v>MOD</v>
          </cell>
          <cell r="C150" t="str">
            <v>RISER</v>
          </cell>
          <cell r="D150" t="str">
            <v>PI</v>
          </cell>
          <cell r="F150" t="str">
            <v>02T</v>
          </cell>
        </row>
        <row r="151">
          <cell r="B151" t="str">
            <v>MOD</v>
          </cell>
          <cell r="C151" t="str">
            <v>TEST</v>
          </cell>
          <cell r="D151" t="str">
            <v>PCC</v>
          </cell>
          <cell r="F151" t="str">
            <v>02T</v>
          </cell>
        </row>
        <row r="156">
          <cell r="B156" t="str">
            <v>MOD</v>
          </cell>
          <cell r="C156" t="str">
            <v>V-5001</v>
          </cell>
          <cell r="D156" t="str">
            <v>MA</v>
          </cell>
          <cell r="F156" t="str">
            <v>01T</v>
          </cell>
        </row>
        <row r="157">
          <cell r="B157" t="str">
            <v>MOD</v>
          </cell>
          <cell r="C157" t="str">
            <v>SK-5001</v>
          </cell>
          <cell r="D157" t="str">
            <v>MA</v>
          </cell>
          <cell r="F157" t="str">
            <v>01T</v>
          </cell>
        </row>
        <row r="158">
          <cell r="B158" t="str">
            <v>MOD</v>
          </cell>
          <cell r="C158" t="str">
            <v>V-3001</v>
          </cell>
          <cell r="D158" t="str">
            <v>MA</v>
          </cell>
          <cell r="F158" t="str">
            <v>01T</v>
          </cell>
        </row>
        <row r="159">
          <cell r="B159" t="str">
            <v>MOD</v>
          </cell>
          <cell r="C159" t="str">
            <v>SK9001</v>
          </cell>
          <cell r="D159" t="str">
            <v>MA</v>
          </cell>
          <cell r="F159" t="str">
            <v>01T</v>
          </cell>
        </row>
        <row r="160">
          <cell r="B160" t="str">
            <v>MOD</v>
          </cell>
          <cell r="C160" t="str">
            <v>V-01001</v>
          </cell>
          <cell r="D160" t="str">
            <v>MA</v>
          </cell>
          <cell r="F160" t="str">
            <v>01T</v>
          </cell>
        </row>
        <row r="161">
          <cell r="B161" t="str">
            <v>MOD</v>
          </cell>
          <cell r="C161" t="str">
            <v>SK7001</v>
          </cell>
          <cell r="D161" t="str">
            <v>MA</v>
          </cell>
          <cell r="F161" t="str">
            <v>01T</v>
          </cell>
        </row>
        <row r="162">
          <cell r="B162" t="str">
            <v>MOD</v>
          </cell>
          <cell r="C162" t="str">
            <v>T7001</v>
          </cell>
          <cell r="D162" t="str">
            <v>MA</v>
          </cell>
          <cell r="F162" t="str">
            <v>01T</v>
          </cell>
        </row>
        <row r="163">
          <cell r="B163" t="str">
            <v>MOD</v>
          </cell>
          <cell r="C163" t="str">
            <v>T-9001</v>
          </cell>
          <cell r="D163" t="str">
            <v>MA</v>
          </cell>
          <cell r="F163" t="str">
            <v>01T</v>
          </cell>
        </row>
        <row r="164">
          <cell r="B164" t="str">
            <v>MOD</v>
          </cell>
          <cell r="C164" t="str">
            <v>T7003</v>
          </cell>
          <cell r="D164" t="str">
            <v>MA</v>
          </cell>
          <cell r="F164" t="str">
            <v>01T</v>
          </cell>
        </row>
        <row r="165">
          <cell r="B165" t="str">
            <v>MOD</v>
          </cell>
          <cell r="C165" t="str">
            <v>PL2001</v>
          </cell>
          <cell r="D165" t="str">
            <v>MA</v>
          </cell>
          <cell r="F165" t="str">
            <v>01T</v>
          </cell>
        </row>
        <row r="166">
          <cell r="B166" t="str">
            <v>MOD</v>
          </cell>
          <cell r="C166" t="str">
            <v>07x/9x</v>
          </cell>
          <cell r="D166" t="str">
            <v>MA</v>
          </cell>
          <cell r="F166" t="str">
            <v>01T</v>
          </cell>
        </row>
        <row r="167">
          <cell r="B167" t="str">
            <v>MOD</v>
          </cell>
          <cell r="C167" t="str">
            <v>CR7001</v>
          </cell>
          <cell r="D167" t="str">
            <v>MA</v>
          </cell>
          <cell r="F167" t="str">
            <v>01T</v>
          </cell>
        </row>
        <row r="170">
          <cell r="B170" t="str">
            <v>MOD</v>
          </cell>
          <cell r="C170" t="str">
            <v>V-5001</v>
          </cell>
          <cell r="D170" t="str">
            <v>MA</v>
          </cell>
          <cell r="F170" t="str">
            <v>02T</v>
          </cell>
        </row>
        <row r="171">
          <cell r="B171" t="str">
            <v>MOD</v>
          </cell>
          <cell r="C171" t="str">
            <v>SK-5001</v>
          </cell>
          <cell r="D171" t="str">
            <v>MA</v>
          </cell>
          <cell r="F171" t="str">
            <v>02T</v>
          </cell>
        </row>
        <row r="172">
          <cell r="B172" t="str">
            <v>MOD</v>
          </cell>
          <cell r="C172" t="str">
            <v>V-01001</v>
          </cell>
          <cell r="D172" t="str">
            <v>MA</v>
          </cell>
          <cell r="F172" t="str">
            <v>02T</v>
          </cell>
        </row>
        <row r="173">
          <cell r="B173" t="str">
            <v>MOD</v>
          </cell>
          <cell r="C173" t="str">
            <v>V-3001</v>
          </cell>
          <cell r="D173" t="str">
            <v>MA</v>
          </cell>
          <cell r="F173" t="str">
            <v>02T</v>
          </cell>
        </row>
        <row r="174">
          <cell r="B174" t="str">
            <v>MOD</v>
          </cell>
          <cell r="C174" t="str">
            <v>V-10002</v>
          </cell>
          <cell r="D174" t="str">
            <v>MA</v>
          </cell>
          <cell r="F174" t="str">
            <v>02T</v>
          </cell>
        </row>
        <row r="175">
          <cell r="B175" t="str">
            <v>MOD</v>
          </cell>
          <cell r="C175" t="str">
            <v>V-10001</v>
          </cell>
          <cell r="D175" t="str">
            <v>MA</v>
          </cell>
          <cell r="F175" t="str">
            <v>02T</v>
          </cell>
        </row>
        <row r="176">
          <cell r="B176" t="str">
            <v>MOD</v>
          </cell>
          <cell r="C176" t="str">
            <v>SK9001</v>
          </cell>
          <cell r="D176" t="str">
            <v>MA</v>
          </cell>
          <cell r="F176" t="str">
            <v>02T</v>
          </cell>
        </row>
        <row r="177">
          <cell r="B177" t="str">
            <v>MOD</v>
          </cell>
          <cell r="C177" t="str">
            <v>V-11003</v>
          </cell>
          <cell r="D177" t="str">
            <v>MA</v>
          </cell>
          <cell r="F177" t="str">
            <v>02T</v>
          </cell>
        </row>
        <row r="178">
          <cell r="B178" t="str">
            <v>MOD</v>
          </cell>
          <cell r="C178" t="str">
            <v>SK11001</v>
          </cell>
          <cell r="D178" t="str">
            <v>MA</v>
          </cell>
          <cell r="F178" t="str">
            <v>02T</v>
          </cell>
        </row>
        <row r="179">
          <cell r="B179" t="str">
            <v>MOD</v>
          </cell>
          <cell r="C179" t="str">
            <v>PR2002</v>
          </cell>
          <cell r="D179" t="str">
            <v>MA</v>
          </cell>
          <cell r="F179" t="str">
            <v>02T</v>
          </cell>
        </row>
        <row r="180">
          <cell r="B180" t="str">
            <v>MOD</v>
          </cell>
          <cell r="C180" t="str">
            <v>SK7001</v>
          </cell>
          <cell r="D180" t="str">
            <v>MA</v>
          </cell>
          <cell r="F180" t="str">
            <v>02T</v>
          </cell>
        </row>
        <row r="181">
          <cell r="B181" t="str">
            <v>MOD</v>
          </cell>
          <cell r="C181" t="str">
            <v>PL2001</v>
          </cell>
          <cell r="D181" t="str">
            <v>MA</v>
          </cell>
          <cell r="F181" t="str">
            <v>02T</v>
          </cell>
        </row>
        <row r="182">
          <cell r="B182" t="str">
            <v>MOD</v>
          </cell>
          <cell r="C182" t="str">
            <v>T7001</v>
          </cell>
          <cell r="D182" t="str">
            <v>MA</v>
          </cell>
          <cell r="F182" t="str">
            <v>02T</v>
          </cell>
        </row>
        <row r="183">
          <cell r="B183" t="str">
            <v>MOD</v>
          </cell>
          <cell r="C183" t="str">
            <v>T-9001</v>
          </cell>
          <cell r="D183" t="str">
            <v>MA</v>
          </cell>
          <cell r="F183" t="str">
            <v>02T</v>
          </cell>
        </row>
        <row r="184">
          <cell r="B184" t="str">
            <v>MOD</v>
          </cell>
          <cell r="C184" t="str">
            <v>T7003</v>
          </cell>
          <cell r="D184" t="str">
            <v>MA</v>
          </cell>
          <cell r="F184" t="str">
            <v>02T</v>
          </cell>
        </row>
        <row r="185">
          <cell r="B185" t="str">
            <v>MOD</v>
          </cell>
          <cell r="C185" t="str">
            <v>T-9003</v>
          </cell>
          <cell r="D185" t="str">
            <v>MA</v>
          </cell>
          <cell r="F185" t="str">
            <v>02T</v>
          </cell>
        </row>
        <row r="186">
          <cell r="B186" t="str">
            <v>MOD</v>
          </cell>
          <cell r="C186" t="str">
            <v>07x/9x</v>
          </cell>
          <cell r="D186" t="str">
            <v>MA</v>
          </cell>
          <cell r="F186" t="str">
            <v>02T</v>
          </cell>
        </row>
        <row r="187">
          <cell r="B187" t="str">
            <v>MOD</v>
          </cell>
          <cell r="C187" t="str">
            <v>CR7001</v>
          </cell>
          <cell r="D187" t="str">
            <v>MA</v>
          </cell>
          <cell r="F187" t="str">
            <v>02T</v>
          </cell>
        </row>
        <row r="191">
          <cell r="K191" t="str">
            <v>ERECT</v>
          </cell>
        </row>
        <row r="194">
          <cell r="B194" t="str">
            <v>MOD</v>
          </cell>
          <cell r="C194" t="str">
            <v>SUPP</v>
          </cell>
          <cell r="D194" t="str">
            <v>EL</v>
          </cell>
          <cell r="F194" t="str">
            <v>01T</v>
          </cell>
        </row>
        <row r="195">
          <cell r="B195" t="str">
            <v>MOD</v>
          </cell>
          <cell r="C195" t="str">
            <v>TRARY</v>
          </cell>
          <cell r="D195" t="str">
            <v>EL</v>
          </cell>
          <cell r="F195" t="str">
            <v>01T</v>
          </cell>
        </row>
        <row r="196">
          <cell r="B196" t="str">
            <v>MOD</v>
          </cell>
          <cell r="C196" t="str">
            <v>CABLE</v>
          </cell>
          <cell r="D196" t="str">
            <v>EL</v>
          </cell>
          <cell r="F196" t="str">
            <v>01T</v>
          </cell>
        </row>
        <row r="197">
          <cell r="B197" t="str">
            <v>MOD</v>
          </cell>
          <cell r="C197" t="str">
            <v>GLAND</v>
          </cell>
          <cell r="D197" t="str">
            <v>EL</v>
          </cell>
          <cell r="F197" t="str">
            <v>01T</v>
          </cell>
        </row>
        <row r="198">
          <cell r="B198" t="str">
            <v>MOD</v>
          </cell>
          <cell r="C198" t="str">
            <v>TERM</v>
          </cell>
          <cell r="D198" t="str">
            <v>EL</v>
          </cell>
          <cell r="F198" t="str">
            <v>01T</v>
          </cell>
        </row>
        <row r="199">
          <cell r="B199" t="str">
            <v>MOD</v>
          </cell>
          <cell r="C199" t="str">
            <v>EQUIP</v>
          </cell>
          <cell r="D199" t="str">
            <v>EL</v>
          </cell>
          <cell r="F199" t="str">
            <v>01T</v>
          </cell>
        </row>
        <row r="200">
          <cell r="B200" t="str">
            <v>MOD</v>
          </cell>
          <cell r="C200" t="str">
            <v>EIRoom</v>
          </cell>
          <cell r="D200" t="str">
            <v>EL</v>
          </cell>
          <cell r="F200" t="str">
            <v>01T</v>
          </cell>
        </row>
        <row r="201">
          <cell r="B201" t="str">
            <v>MOD</v>
          </cell>
          <cell r="C201" t="str">
            <v>LIGHT</v>
          </cell>
          <cell r="D201" t="str">
            <v>EL</v>
          </cell>
          <cell r="F201" t="str">
            <v>01T</v>
          </cell>
        </row>
        <row r="202">
          <cell r="B202" t="str">
            <v>MOD</v>
          </cell>
          <cell r="C202" t="str">
            <v>Solar</v>
          </cell>
          <cell r="D202" t="str">
            <v>EL</v>
          </cell>
          <cell r="F202" t="str">
            <v>01T</v>
          </cell>
        </row>
        <row r="204">
          <cell r="B204" t="str">
            <v>MOD</v>
          </cell>
          <cell r="C204" t="str">
            <v>SUPP</v>
          </cell>
          <cell r="D204" t="str">
            <v>EL</v>
          </cell>
          <cell r="F204" t="str">
            <v>02T</v>
          </cell>
        </row>
        <row r="205">
          <cell r="B205" t="str">
            <v>MOD</v>
          </cell>
          <cell r="C205" t="str">
            <v>TRARY</v>
          </cell>
          <cell r="D205" t="str">
            <v>EL</v>
          </cell>
          <cell r="F205" t="str">
            <v>02T</v>
          </cell>
        </row>
        <row r="206">
          <cell r="B206" t="str">
            <v>MOD</v>
          </cell>
          <cell r="C206" t="str">
            <v>CABLE</v>
          </cell>
          <cell r="D206" t="str">
            <v>EL</v>
          </cell>
          <cell r="F206" t="str">
            <v>02T</v>
          </cell>
        </row>
        <row r="207">
          <cell r="B207" t="str">
            <v>MOD</v>
          </cell>
          <cell r="C207" t="str">
            <v>GLAND</v>
          </cell>
          <cell r="D207" t="str">
            <v>EL</v>
          </cell>
          <cell r="F207" t="str">
            <v>02T</v>
          </cell>
        </row>
        <row r="208">
          <cell r="B208" t="str">
            <v>MOD</v>
          </cell>
          <cell r="C208" t="str">
            <v>TERM</v>
          </cell>
          <cell r="D208" t="str">
            <v>EL</v>
          </cell>
          <cell r="F208" t="str">
            <v>02T</v>
          </cell>
        </row>
        <row r="209">
          <cell r="B209" t="str">
            <v>MOD</v>
          </cell>
          <cell r="C209" t="str">
            <v>EQUIP</v>
          </cell>
          <cell r="D209" t="str">
            <v>EL</v>
          </cell>
          <cell r="F209" t="str">
            <v>02T</v>
          </cell>
        </row>
        <row r="210">
          <cell r="B210" t="str">
            <v>MOD</v>
          </cell>
          <cell r="C210" t="str">
            <v>EIRoom</v>
          </cell>
          <cell r="D210" t="str">
            <v>EL</v>
          </cell>
          <cell r="F210" t="str">
            <v>02T</v>
          </cell>
        </row>
        <row r="211">
          <cell r="B211" t="str">
            <v>MOD</v>
          </cell>
          <cell r="C211" t="str">
            <v>LIGHT</v>
          </cell>
          <cell r="D211" t="str">
            <v>EL</v>
          </cell>
          <cell r="F211" t="str">
            <v>02T</v>
          </cell>
        </row>
        <row r="212">
          <cell r="B212" t="str">
            <v>MOD</v>
          </cell>
          <cell r="C212" t="str">
            <v>Solar</v>
          </cell>
          <cell r="D212" t="str">
            <v>EL</v>
          </cell>
          <cell r="F212" t="str">
            <v>02T</v>
          </cell>
        </row>
        <row r="215">
          <cell r="K215" t="str">
            <v>ERECT</v>
          </cell>
        </row>
        <row r="218">
          <cell r="B218" t="str">
            <v>MOD</v>
          </cell>
          <cell r="C218" t="str">
            <v>SUPP</v>
          </cell>
          <cell r="D218" t="str">
            <v>IN</v>
          </cell>
          <cell r="F218" t="str">
            <v>01T</v>
          </cell>
        </row>
        <row r="219">
          <cell r="B219" t="str">
            <v>MOD</v>
          </cell>
          <cell r="C219" t="str">
            <v>TRARY</v>
          </cell>
          <cell r="D219" t="str">
            <v>IN</v>
          </cell>
          <cell r="F219" t="str">
            <v>01T</v>
          </cell>
        </row>
        <row r="220">
          <cell r="B220" t="str">
            <v>MOD</v>
          </cell>
          <cell r="C220" t="str">
            <v>CABLE</v>
          </cell>
          <cell r="D220" t="str">
            <v>IN</v>
          </cell>
          <cell r="F220" t="str">
            <v>01T</v>
          </cell>
        </row>
        <row r="221">
          <cell r="B221" t="str">
            <v>MOD</v>
          </cell>
          <cell r="C221" t="str">
            <v>GLAND</v>
          </cell>
          <cell r="D221" t="str">
            <v>IN</v>
          </cell>
          <cell r="F221" t="str">
            <v>01T</v>
          </cell>
        </row>
        <row r="222">
          <cell r="B222" t="str">
            <v>MOD</v>
          </cell>
          <cell r="C222" t="str">
            <v>TERM</v>
          </cell>
          <cell r="D222" t="str">
            <v>IN</v>
          </cell>
          <cell r="F222" t="str">
            <v>01T</v>
          </cell>
        </row>
        <row r="223">
          <cell r="B223" t="str">
            <v>MOD</v>
          </cell>
          <cell r="C223" t="str">
            <v>TUBE</v>
          </cell>
          <cell r="D223" t="str">
            <v>IN</v>
          </cell>
          <cell r="F223" t="str">
            <v>01T</v>
          </cell>
        </row>
        <row r="224">
          <cell r="B224" t="str">
            <v>MOD</v>
          </cell>
          <cell r="C224" t="str">
            <v>PANEL</v>
          </cell>
          <cell r="D224" t="str">
            <v>IN</v>
          </cell>
          <cell r="F224" t="str">
            <v>01T</v>
          </cell>
        </row>
        <row r="225">
          <cell r="B225" t="str">
            <v>MOD</v>
          </cell>
          <cell r="C225" t="str">
            <v>CALIB</v>
          </cell>
          <cell r="D225" t="str">
            <v>IN</v>
          </cell>
          <cell r="F225" t="str">
            <v>01T</v>
          </cell>
        </row>
        <row r="226">
          <cell r="B226" t="str">
            <v>MOD</v>
          </cell>
          <cell r="C226" t="str">
            <v>EQUIP</v>
          </cell>
          <cell r="D226" t="str">
            <v>IN</v>
          </cell>
          <cell r="F226" t="str">
            <v>01T</v>
          </cell>
        </row>
        <row r="228">
          <cell r="B228" t="str">
            <v>MOD</v>
          </cell>
          <cell r="C228" t="str">
            <v>SUPP</v>
          </cell>
          <cell r="D228" t="str">
            <v>IN</v>
          </cell>
          <cell r="F228" t="str">
            <v>02T</v>
          </cell>
        </row>
        <row r="229">
          <cell r="B229" t="str">
            <v>MOD</v>
          </cell>
          <cell r="C229" t="str">
            <v>TRARY</v>
          </cell>
          <cell r="D229" t="str">
            <v>IN</v>
          </cell>
          <cell r="F229" t="str">
            <v>02T</v>
          </cell>
        </row>
        <row r="230">
          <cell r="B230" t="str">
            <v>MOD</v>
          </cell>
          <cell r="C230" t="str">
            <v>CABLE</v>
          </cell>
          <cell r="D230" t="str">
            <v>IN</v>
          </cell>
          <cell r="F230" t="str">
            <v>02T</v>
          </cell>
        </row>
        <row r="231">
          <cell r="B231" t="str">
            <v>MOD</v>
          </cell>
          <cell r="C231" t="str">
            <v>GLAND</v>
          </cell>
          <cell r="D231" t="str">
            <v>IN</v>
          </cell>
          <cell r="F231" t="str">
            <v>02T</v>
          </cell>
        </row>
        <row r="232">
          <cell r="B232" t="str">
            <v>MOD</v>
          </cell>
          <cell r="C232" t="str">
            <v>TERM</v>
          </cell>
          <cell r="D232" t="str">
            <v>IN</v>
          </cell>
          <cell r="F232" t="str">
            <v>02T</v>
          </cell>
        </row>
        <row r="233">
          <cell r="B233" t="str">
            <v>MOD</v>
          </cell>
          <cell r="C233" t="str">
            <v>TUBE</v>
          </cell>
          <cell r="D233" t="str">
            <v>IN</v>
          </cell>
          <cell r="F233" t="str">
            <v>02T</v>
          </cell>
        </row>
        <row r="234">
          <cell r="B234" t="str">
            <v>MOD</v>
          </cell>
          <cell r="C234" t="str">
            <v>CALIB</v>
          </cell>
          <cell r="D234" t="str">
            <v>IN</v>
          </cell>
          <cell r="F234" t="str">
            <v>02T</v>
          </cell>
        </row>
        <row r="235">
          <cell r="B235" t="str">
            <v>MOD</v>
          </cell>
          <cell r="C235" t="str">
            <v>PANEL</v>
          </cell>
          <cell r="D235" t="str">
            <v>IN</v>
          </cell>
          <cell r="F235" t="str">
            <v>02T</v>
          </cell>
        </row>
        <row r="236">
          <cell r="B236" t="str">
            <v>MOD</v>
          </cell>
          <cell r="C236" t="str">
            <v>EQUIP</v>
          </cell>
          <cell r="D236" t="str">
            <v>IN</v>
          </cell>
          <cell r="F236" t="str">
            <v>02T</v>
          </cell>
        </row>
        <row r="241">
          <cell r="B241" t="str">
            <v>MOD</v>
          </cell>
          <cell r="C241" t="str">
            <v>SUPP</v>
          </cell>
          <cell r="D241" t="str">
            <v>TELE</v>
          </cell>
          <cell r="F241" t="str">
            <v>01T</v>
          </cell>
        </row>
        <row r="242">
          <cell r="B242" t="str">
            <v>MOD</v>
          </cell>
          <cell r="C242" t="str">
            <v>TRARY</v>
          </cell>
          <cell r="D242" t="str">
            <v>TELE</v>
          </cell>
          <cell r="F242" t="str">
            <v>01T</v>
          </cell>
        </row>
        <row r="243">
          <cell r="B243" t="str">
            <v>MOD</v>
          </cell>
          <cell r="C243" t="str">
            <v>CABLE</v>
          </cell>
          <cell r="D243" t="str">
            <v>TELE</v>
          </cell>
          <cell r="F243" t="str">
            <v>01T</v>
          </cell>
        </row>
        <row r="244">
          <cell r="B244" t="str">
            <v>MOD</v>
          </cell>
          <cell r="C244" t="str">
            <v>GLAND</v>
          </cell>
          <cell r="D244" t="str">
            <v>TELE</v>
          </cell>
          <cell r="F244" t="str">
            <v>01T</v>
          </cell>
        </row>
        <row r="245">
          <cell r="B245" t="str">
            <v>MOD</v>
          </cell>
          <cell r="C245" t="str">
            <v>TERM</v>
          </cell>
          <cell r="D245" t="str">
            <v>TELE</v>
          </cell>
          <cell r="F245" t="str">
            <v>01T</v>
          </cell>
        </row>
        <row r="246">
          <cell r="B246" t="str">
            <v>MOD</v>
          </cell>
          <cell r="C246" t="str">
            <v>EQUIP</v>
          </cell>
          <cell r="D246" t="str">
            <v>TELE</v>
          </cell>
          <cell r="F246" t="str">
            <v>01T</v>
          </cell>
        </row>
        <row r="248">
          <cell r="B248" t="str">
            <v>MOD</v>
          </cell>
          <cell r="C248" t="str">
            <v>SUPP</v>
          </cell>
          <cell r="D248" t="str">
            <v>TELE</v>
          </cell>
          <cell r="F248" t="str">
            <v>02T</v>
          </cell>
        </row>
        <row r="249">
          <cell r="B249" t="str">
            <v>MOD</v>
          </cell>
          <cell r="C249" t="str">
            <v>TRARY</v>
          </cell>
          <cell r="D249" t="str">
            <v>TELE</v>
          </cell>
          <cell r="F249" t="str">
            <v>02T</v>
          </cell>
        </row>
        <row r="250">
          <cell r="B250" t="str">
            <v>MOD</v>
          </cell>
          <cell r="C250" t="str">
            <v>CABLE</v>
          </cell>
          <cell r="D250" t="str">
            <v>TELE</v>
          </cell>
          <cell r="F250" t="str">
            <v>02T</v>
          </cell>
        </row>
        <row r="251">
          <cell r="B251" t="str">
            <v>MOD</v>
          </cell>
          <cell r="C251" t="str">
            <v>GLAND</v>
          </cell>
          <cell r="D251" t="str">
            <v>TELE</v>
          </cell>
          <cell r="F251" t="str">
            <v>02T</v>
          </cell>
        </row>
        <row r="252">
          <cell r="B252" t="str">
            <v>MOD</v>
          </cell>
          <cell r="C252" t="str">
            <v>TERM</v>
          </cell>
          <cell r="D252" t="str">
            <v>TELE</v>
          </cell>
          <cell r="F252" t="str">
            <v>02T</v>
          </cell>
        </row>
        <row r="253">
          <cell r="B253" t="str">
            <v>MOD</v>
          </cell>
          <cell r="C253" t="str">
            <v>EQUIP</v>
          </cell>
          <cell r="D253" t="str">
            <v>TELE</v>
          </cell>
          <cell r="F253" t="str">
            <v>02T</v>
          </cell>
        </row>
        <row r="256">
          <cell r="K256" t="str">
            <v>PCOMM</v>
          </cell>
        </row>
        <row r="259">
          <cell r="B259" t="str">
            <v>MOD</v>
          </cell>
          <cell r="C259" t="str">
            <v>TEST02</v>
          </cell>
          <cell r="D259" t="str">
            <v>PCC</v>
          </cell>
          <cell r="F259" t="str">
            <v>01T</v>
          </cell>
        </row>
        <row r="260">
          <cell r="B260" t="str">
            <v>MOD</v>
          </cell>
          <cell r="C260" t="str">
            <v>PUNCH</v>
          </cell>
          <cell r="D260" t="str">
            <v>PCC</v>
          </cell>
          <cell r="F260" t="str">
            <v>01T</v>
          </cell>
        </row>
        <row r="263">
          <cell r="B263" t="str">
            <v>MOD</v>
          </cell>
          <cell r="C263" t="str">
            <v>TEST02</v>
          </cell>
          <cell r="D263" t="str">
            <v>PCC</v>
          </cell>
          <cell r="F263" t="str">
            <v>02T</v>
          </cell>
        </row>
        <row r="264">
          <cell r="B264" t="str">
            <v>MOD</v>
          </cell>
          <cell r="C264" t="str">
            <v>PUNCH</v>
          </cell>
          <cell r="D264" t="str">
            <v>PCC</v>
          </cell>
          <cell r="F264" t="str">
            <v>02T</v>
          </cell>
        </row>
      </sheetData>
      <sheetData sheetId="3">
        <row r="1">
          <cell r="D1" t="str">
            <v>ZJT-UNIT</v>
          </cell>
          <cell r="E1" t="str">
            <v>ZJT-WF</v>
          </cell>
          <cell r="F1" t="str">
            <v>ZJT-WPA</v>
          </cell>
          <cell r="G1" t="str">
            <v>ZJT-WPB</v>
          </cell>
          <cell r="H1" t="str">
            <v>Module</v>
          </cell>
          <cell r="J1" t="str">
            <v>Start</v>
          </cell>
          <cell r="K1" t="str">
            <v>Finish</v>
          </cell>
        </row>
        <row r="2">
          <cell r="J2" t="str">
            <v>01-Feb-26 A</v>
          </cell>
          <cell r="K2">
            <v>46745</v>
          </cell>
        </row>
        <row r="3">
          <cell r="J3" t="str">
            <v>01-Feb-26 A</v>
          </cell>
          <cell r="K3">
            <v>46745</v>
          </cell>
        </row>
        <row r="4">
          <cell r="J4" t="str">
            <v>01-Feb-26 A</v>
          </cell>
          <cell r="K4">
            <v>46142</v>
          </cell>
        </row>
        <row r="5">
          <cell r="J5" t="str">
            <v>01-Feb-26 A</v>
          </cell>
        </row>
        <row r="6">
          <cell r="J6" t="str">
            <v>02-Feb-26 A</v>
          </cell>
          <cell r="K6">
            <v>46104</v>
          </cell>
        </row>
        <row r="7">
          <cell r="J7" t="str">
            <v>04-Feb-26 A</v>
          </cell>
        </row>
        <row r="8">
          <cell r="J8">
            <v>46085</v>
          </cell>
        </row>
        <row r="9">
          <cell r="K9">
            <v>46142</v>
          </cell>
        </row>
        <row r="10">
          <cell r="J10">
            <v>46085</v>
          </cell>
          <cell r="K10">
            <v>46644</v>
          </cell>
        </row>
        <row r="11">
          <cell r="K11">
            <v>46085</v>
          </cell>
        </row>
        <row r="12">
          <cell r="K12">
            <v>46590</v>
          </cell>
        </row>
        <row r="13">
          <cell r="K13">
            <v>46612</v>
          </cell>
        </row>
        <row r="14">
          <cell r="K14">
            <v>46627</v>
          </cell>
        </row>
        <row r="15">
          <cell r="K15">
            <v>46627</v>
          </cell>
        </row>
        <row r="16">
          <cell r="K16">
            <v>46644</v>
          </cell>
        </row>
        <row r="17">
          <cell r="J17">
            <v>46254</v>
          </cell>
          <cell r="K17">
            <v>46727</v>
          </cell>
        </row>
        <row r="18">
          <cell r="K18">
            <v>46254</v>
          </cell>
        </row>
        <row r="19">
          <cell r="J19">
            <v>46274</v>
          </cell>
        </row>
        <row r="20">
          <cell r="J20">
            <v>46293</v>
          </cell>
        </row>
        <row r="21">
          <cell r="K21">
            <v>46513</v>
          </cell>
        </row>
        <row r="22">
          <cell r="K22">
            <v>46534</v>
          </cell>
        </row>
        <row r="23">
          <cell r="J23">
            <v>46536</v>
          </cell>
        </row>
        <row r="24">
          <cell r="K24">
            <v>46540</v>
          </cell>
        </row>
        <row r="25">
          <cell r="J25">
            <v>46566</v>
          </cell>
        </row>
        <row r="26">
          <cell r="K26">
            <v>46685</v>
          </cell>
        </row>
        <row r="27">
          <cell r="K27">
            <v>46727</v>
          </cell>
        </row>
        <row r="28">
          <cell r="J28">
            <v>46185</v>
          </cell>
          <cell r="K28">
            <v>46745</v>
          </cell>
        </row>
        <row r="29">
          <cell r="K29">
            <v>46185</v>
          </cell>
        </row>
        <row r="31">
          <cell r="K31">
            <v>46253</v>
          </cell>
        </row>
        <row r="32">
          <cell r="K32">
            <v>46540</v>
          </cell>
        </row>
        <row r="33">
          <cell r="K33">
            <v>46612</v>
          </cell>
        </row>
        <row r="34">
          <cell r="K34">
            <v>46640</v>
          </cell>
        </row>
        <row r="35">
          <cell r="K35">
            <v>46644</v>
          </cell>
        </row>
        <row r="36">
          <cell r="K36">
            <v>46745</v>
          </cell>
        </row>
        <row r="37">
          <cell r="J37">
            <v>46085</v>
          </cell>
          <cell r="K37">
            <v>46415</v>
          </cell>
        </row>
        <row r="38">
          <cell r="J38">
            <v>46085</v>
          </cell>
        </row>
        <row r="39">
          <cell r="K39" t="str">
            <v>29-Apr-26*</v>
          </cell>
        </row>
        <row r="40">
          <cell r="J40">
            <v>46155</v>
          </cell>
          <cell r="K40">
            <v>46156</v>
          </cell>
        </row>
        <row r="41">
          <cell r="K41">
            <v>46168</v>
          </cell>
        </row>
        <row r="42">
          <cell r="J42">
            <v>46169</v>
          </cell>
          <cell r="K42">
            <v>46170</v>
          </cell>
        </row>
        <row r="43">
          <cell r="K43">
            <v>46177</v>
          </cell>
        </row>
        <row r="44">
          <cell r="J44">
            <v>46181</v>
          </cell>
          <cell r="K44">
            <v>46185</v>
          </cell>
        </row>
        <row r="45">
          <cell r="J45">
            <v>46196</v>
          </cell>
          <cell r="K45">
            <v>46198</v>
          </cell>
        </row>
        <row r="46">
          <cell r="J46">
            <v>46258</v>
          </cell>
          <cell r="K46">
            <v>46262</v>
          </cell>
        </row>
        <row r="47">
          <cell r="J47">
            <v>46323</v>
          </cell>
          <cell r="K47">
            <v>46324</v>
          </cell>
        </row>
        <row r="48">
          <cell r="K48">
            <v>46405</v>
          </cell>
        </row>
        <row r="49">
          <cell r="K49">
            <v>46416</v>
          </cell>
        </row>
        <row r="50">
          <cell r="J50">
            <v>46244</v>
          </cell>
          <cell r="K50">
            <v>46543</v>
          </cell>
        </row>
        <row r="51">
          <cell r="K51">
            <v>46244</v>
          </cell>
        </row>
        <row r="52">
          <cell r="K52">
            <v>46254</v>
          </cell>
        </row>
        <row r="53">
          <cell r="K53">
            <v>46540</v>
          </cell>
        </row>
        <row r="54">
          <cell r="K54">
            <v>46543</v>
          </cell>
        </row>
        <row r="55">
          <cell r="J55">
            <v>46406</v>
          </cell>
          <cell r="K55">
            <v>46420</v>
          </cell>
        </row>
        <row r="56">
          <cell r="J56">
            <v>46408</v>
          </cell>
        </row>
        <row r="57">
          <cell r="J57">
            <v>46438</v>
          </cell>
        </row>
        <row r="58">
          <cell r="J58">
            <v>46114</v>
          </cell>
          <cell r="K58">
            <v>46522</v>
          </cell>
        </row>
        <row r="59">
          <cell r="K59">
            <v>46114</v>
          </cell>
        </row>
        <row r="60">
          <cell r="K60">
            <v>46295</v>
          </cell>
        </row>
        <row r="61">
          <cell r="K61">
            <v>46387</v>
          </cell>
        </row>
        <row r="62">
          <cell r="K62" t="str">
            <v>29-Jan-27*</v>
          </cell>
        </row>
        <row r="63">
          <cell r="K63">
            <v>46522</v>
          </cell>
        </row>
        <row r="64">
          <cell r="J64" t="str">
            <v>01-Feb-26 A</v>
          </cell>
          <cell r="K64">
            <v>46699</v>
          </cell>
        </row>
        <row r="65">
          <cell r="J65" t="str">
            <v>01-Feb-26 A</v>
          </cell>
          <cell r="K65">
            <v>46657</v>
          </cell>
        </row>
        <row r="66">
          <cell r="J66" t="str">
            <v>01-Feb-26 A</v>
          </cell>
          <cell r="K66">
            <v>46657</v>
          </cell>
        </row>
        <row r="67">
          <cell r="J67" t="str">
            <v>01-Feb-26 A</v>
          </cell>
          <cell r="K67">
            <v>46657</v>
          </cell>
        </row>
        <row r="68">
          <cell r="J68" t="str">
            <v>02-Feb-26 A</v>
          </cell>
          <cell r="K68">
            <v>46142</v>
          </cell>
        </row>
        <row r="69">
          <cell r="J69" t="str">
            <v>02-Feb-26 A</v>
          </cell>
          <cell r="K69" t="str">
            <v>14-Feb-26 A</v>
          </cell>
        </row>
        <row r="70">
          <cell r="J70" t="str">
            <v>02-Feb-26 A</v>
          </cell>
          <cell r="K70" t="str">
            <v>14-Feb-26 A</v>
          </cell>
        </row>
        <row r="71">
          <cell r="J71" t="str">
            <v>02-Feb-26 A</v>
          </cell>
          <cell r="K71">
            <v>46097</v>
          </cell>
        </row>
        <row r="72">
          <cell r="J72" t="str">
            <v>02-Feb-26 A</v>
          </cell>
          <cell r="K72">
            <v>46104</v>
          </cell>
        </row>
        <row r="73">
          <cell r="J73" t="str">
            <v>02-Feb-26 A</v>
          </cell>
          <cell r="K73">
            <v>46128</v>
          </cell>
        </row>
        <row r="74">
          <cell r="J74" t="str">
            <v>02-Feb-26 A</v>
          </cell>
          <cell r="K74">
            <v>46092</v>
          </cell>
        </row>
        <row r="75">
          <cell r="J75" t="str">
            <v>02-Feb-26 A</v>
          </cell>
          <cell r="K75">
            <v>46101</v>
          </cell>
        </row>
        <row r="76">
          <cell r="J76" t="str">
            <v>02-Feb-26 A</v>
          </cell>
          <cell r="K76">
            <v>46104</v>
          </cell>
        </row>
        <row r="77">
          <cell r="J77" t="str">
            <v>02-Feb-26 A</v>
          </cell>
          <cell r="K77">
            <v>46100</v>
          </cell>
        </row>
        <row r="78">
          <cell r="J78" t="str">
            <v>02-Feb-26 A</v>
          </cell>
          <cell r="K78">
            <v>46100</v>
          </cell>
        </row>
        <row r="79">
          <cell r="J79" t="str">
            <v>02-Feb-26 A</v>
          </cell>
          <cell r="K79">
            <v>46114</v>
          </cell>
        </row>
        <row r="80">
          <cell r="J80" t="str">
            <v>02-Feb-26 A</v>
          </cell>
          <cell r="K80">
            <v>46142</v>
          </cell>
        </row>
        <row r="81">
          <cell r="J81" t="str">
            <v>04-Feb-26 A</v>
          </cell>
          <cell r="K81">
            <v>46657</v>
          </cell>
        </row>
        <row r="82">
          <cell r="J82" t="str">
            <v>04-Feb-26 A</v>
          </cell>
          <cell r="K82">
            <v>46657</v>
          </cell>
        </row>
        <row r="83">
          <cell r="J83">
            <v>46161</v>
          </cell>
          <cell r="K83">
            <v>46657</v>
          </cell>
        </row>
        <row r="84">
          <cell r="J84">
            <v>46161</v>
          </cell>
          <cell r="K84">
            <v>46245</v>
          </cell>
        </row>
        <row r="85">
          <cell r="J85">
            <v>46274</v>
          </cell>
          <cell r="K85">
            <v>46657</v>
          </cell>
        </row>
        <row r="86">
          <cell r="J86">
            <v>46172</v>
          </cell>
          <cell r="K86">
            <v>46685</v>
          </cell>
        </row>
        <row r="87">
          <cell r="J87">
            <v>46172</v>
          </cell>
          <cell r="K87">
            <v>46626</v>
          </cell>
        </row>
        <row r="88">
          <cell r="J88">
            <v>46172</v>
          </cell>
          <cell r="K88">
            <v>46626</v>
          </cell>
        </row>
        <row r="89">
          <cell r="J89">
            <v>46203</v>
          </cell>
          <cell r="K89">
            <v>46562</v>
          </cell>
        </row>
        <row r="90">
          <cell r="J90">
            <v>46274</v>
          </cell>
          <cell r="K90">
            <v>46685</v>
          </cell>
        </row>
        <row r="91">
          <cell r="J91">
            <v>46274</v>
          </cell>
          <cell r="K91">
            <v>46685</v>
          </cell>
        </row>
        <row r="92">
          <cell r="J92">
            <v>46085</v>
          </cell>
          <cell r="K92">
            <v>46644</v>
          </cell>
        </row>
        <row r="93">
          <cell r="J93">
            <v>46085</v>
          </cell>
          <cell r="K93">
            <v>46644</v>
          </cell>
        </row>
        <row r="94">
          <cell r="J94">
            <v>46566</v>
          </cell>
          <cell r="K94">
            <v>46699</v>
          </cell>
        </row>
        <row r="95">
          <cell r="J95">
            <v>46566</v>
          </cell>
          <cell r="K95">
            <v>46699</v>
          </cell>
        </row>
        <row r="96">
          <cell r="J96">
            <v>46085</v>
          </cell>
          <cell r="K96">
            <v>46394</v>
          </cell>
        </row>
        <row r="97">
          <cell r="J97">
            <v>46085</v>
          </cell>
          <cell r="K97">
            <v>46392</v>
          </cell>
        </row>
        <row r="98">
          <cell r="J98">
            <v>46129</v>
          </cell>
          <cell r="K98">
            <v>46367</v>
          </cell>
        </row>
        <row r="99">
          <cell r="J99">
            <v>46129</v>
          </cell>
          <cell r="K99">
            <v>46153</v>
          </cell>
        </row>
        <row r="100">
          <cell r="J100">
            <v>46155</v>
          </cell>
          <cell r="K100">
            <v>46167</v>
          </cell>
        </row>
        <row r="101">
          <cell r="J101">
            <v>46157</v>
          </cell>
          <cell r="K101">
            <v>46167</v>
          </cell>
        </row>
        <row r="102">
          <cell r="J102">
            <v>46162</v>
          </cell>
          <cell r="K102">
            <v>46192</v>
          </cell>
        </row>
        <row r="103">
          <cell r="J103">
            <v>46175</v>
          </cell>
          <cell r="K103">
            <v>46234</v>
          </cell>
        </row>
        <row r="104">
          <cell r="J104">
            <v>46244</v>
          </cell>
          <cell r="K104">
            <v>46251</v>
          </cell>
        </row>
        <row r="105">
          <cell r="J105">
            <v>46247</v>
          </cell>
          <cell r="K105">
            <v>46253</v>
          </cell>
        </row>
        <row r="106">
          <cell r="J106">
            <v>46258</v>
          </cell>
          <cell r="K106">
            <v>46269</v>
          </cell>
        </row>
        <row r="107">
          <cell r="J107">
            <v>46265</v>
          </cell>
          <cell r="K107">
            <v>46276</v>
          </cell>
        </row>
        <row r="108">
          <cell r="J108">
            <v>46273</v>
          </cell>
          <cell r="K108">
            <v>46293</v>
          </cell>
        </row>
        <row r="109">
          <cell r="J109">
            <v>46274</v>
          </cell>
          <cell r="K109">
            <v>46288</v>
          </cell>
        </row>
        <row r="110">
          <cell r="J110">
            <v>46279</v>
          </cell>
          <cell r="K110">
            <v>46283</v>
          </cell>
        </row>
        <row r="111">
          <cell r="J111">
            <v>46293</v>
          </cell>
          <cell r="K111">
            <v>46297</v>
          </cell>
        </row>
        <row r="112">
          <cell r="J112">
            <v>46309</v>
          </cell>
          <cell r="K112">
            <v>46323</v>
          </cell>
        </row>
        <row r="113">
          <cell r="J113">
            <v>46325</v>
          </cell>
          <cell r="K113">
            <v>46338</v>
          </cell>
        </row>
        <row r="114">
          <cell r="J114">
            <v>46338</v>
          </cell>
          <cell r="K114">
            <v>46351</v>
          </cell>
        </row>
        <row r="115">
          <cell r="J115">
            <v>46353</v>
          </cell>
          <cell r="K115">
            <v>46359</v>
          </cell>
        </row>
        <row r="116">
          <cell r="J116">
            <v>46113</v>
          </cell>
          <cell r="K116">
            <v>46328</v>
          </cell>
        </row>
        <row r="117">
          <cell r="J117">
            <v>46106</v>
          </cell>
          <cell r="K117">
            <v>46132</v>
          </cell>
        </row>
        <row r="118">
          <cell r="J118">
            <v>46113</v>
          </cell>
          <cell r="K118">
            <v>46139</v>
          </cell>
        </row>
        <row r="119">
          <cell r="J119">
            <v>46113</v>
          </cell>
          <cell r="K119">
            <v>46139</v>
          </cell>
        </row>
        <row r="120">
          <cell r="J120">
            <v>46113</v>
          </cell>
          <cell r="K120">
            <v>46139</v>
          </cell>
        </row>
        <row r="121">
          <cell r="J121">
            <v>46113</v>
          </cell>
          <cell r="K121">
            <v>46132</v>
          </cell>
        </row>
        <row r="122">
          <cell r="J122">
            <v>46113</v>
          </cell>
          <cell r="K122">
            <v>46132</v>
          </cell>
        </row>
        <row r="123">
          <cell r="J123">
            <v>46113</v>
          </cell>
          <cell r="K123">
            <v>46141</v>
          </cell>
        </row>
        <row r="124">
          <cell r="J124">
            <v>46113</v>
          </cell>
          <cell r="K124">
            <v>46141</v>
          </cell>
        </row>
        <row r="125">
          <cell r="J125">
            <v>46140</v>
          </cell>
          <cell r="K125">
            <v>46168</v>
          </cell>
        </row>
        <row r="126">
          <cell r="J126">
            <v>46140</v>
          </cell>
          <cell r="K126">
            <v>46185</v>
          </cell>
        </row>
        <row r="127">
          <cell r="J127">
            <v>46147</v>
          </cell>
          <cell r="K127">
            <v>46157</v>
          </cell>
        </row>
        <row r="128">
          <cell r="J128">
            <v>46147</v>
          </cell>
          <cell r="K128">
            <v>46157</v>
          </cell>
        </row>
        <row r="129">
          <cell r="J129">
            <v>46156</v>
          </cell>
          <cell r="K129">
            <v>46171</v>
          </cell>
        </row>
        <row r="130">
          <cell r="J130">
            <v>46156</v>
          </cell>
          <cell r="K130">
            <v>46177</v>
          </cell>
        </row>
        <row r="131">
          <cell r="J131">
            <v>46157</v>
          </cell>
          <cell r="K131">
            <v>46185</v>
          </cell>
        </row>
        <row r="132">
          <cell r="J132">
            <v>46175</v>
          </cell>
          <cell r="K132">
            <v>46205</v>
          </cell>
        </row>
        <row r="133">
          <cell r="J133">
            <v>46175</v>
          </cell>
          <cell r="K133">
            <v>46205</v>
          </cell>
        </row>
        <row r="134">
          <cell r="J134" t="str">
            <v>02-Jun-26*</v>
          </cell>
          <cell r="K134">
            <v>46185</v>
          </cell>
        </row>
        <row r="135">
          <cell r="J135">
            <v>46188</v>
          </cell>
          <cell r="K135">
            <v>46192</v>
          </cell>
        </row>
        <row r="136">
          <cell r="J136">
            <v>46188</v>
          </cell>
          <cell r="K136">
            <v>46202</v>
          </cell>
        </row>
        <row r="137">
          <cell r="J137">
            <v>46199</v>
          </cell>
          <cell r="K137">
            <v>46205</v>
          </cell>
        </row>
        <row r="138">
          <cell r="J138">
            <v>46209</v>
          </cell>
          <cell r="K138">
            <v>46227</v>
          </cell>
        </row>
        <row r="139">
          <cell r="J139">
            <v>46209</v>
          </cell>
          <cell r="K139">
            <v>46220</v>
          </cell>
        </row>
        <row r="140">
          <cell r="J140">
            <v>46209</v>
          </cell>
          <cell r="K140">
            <v>46220</v>
          </cell>
        </row>
        <row r="141">
          <cell r="J141">
            <v>46218</v>
          </cell>
          <cell r="K141">
            <v>46262</v>
          </cell>
        </row>
        <row r="142">
          <cell r="J142">
            <v>46223</v>
          </cell>
          <cell r="K142">
            <v>46227</v>
          </cell>
        </row>
        <row r="143">
          <cell r="J143">
            <v>46226</v>
          </cell>
          <cell r="K143">
            <v>46234</v>
          </cell>
        </row>
        <row r="144">
          <cell r="J144">
            <v>46226</v>
          </cell>
          <cell r="K144">
            <v>46241</v>
          </cell>
        </row>
        <row r="145">
          <cell r="J145">
            <v>46233</v>
          </cell>
          <cell r="K145" t="str">
            <v>30-Jul-26*</v>
          </cell>
        </row>
        <row r="146">
          <cell r="J146">
            <v>46233</v>
          </cell>
          <cell r="K146">
            <v>46241</v>
          </cell>
        </row>
        <row r="147">
          <cell r="J147">
            <v>46233</v>
          </cell>
          <cell r="K147">
            <v>46247</v>
          </cell>
        </row>
        <row r="148">
          <cell r="J148">
            <v>46237</v>
          </cell>
          <cell r="K148">
            <v>46241</v>
          </cell>
        </row>
        <row r="149">
          <cell r="J149">
            <v>46241</v>
          </cell>
          <cell r="K149">
            <v>46255</v>
          </cell>
        </row>
        <row r="150">
          <cell r="J150">
            <v>46258</v>
          </cell>
          <cell r="K150">
            <v>46262</v>
          </cell>
        </row>
        <row r="151">
          <cell r="J151">
            <v>46258</v>
          </cell>
          <cell r="K151">
            <v>46276</v>
          </cell>
        </row>
        <row r="152">
          <cell r="J152">
            <v>46258</v>
          </cell>
          <cell r="K152">
            <v>46269</v>
          </cell>
        </row>
        <row r="153">
          <cell r="J153">
            <v>46272</v>
          </cell>
          <cell r="K153">
            <v>46276</v>
          </cell>
        </row>
        <row r="154">
          <cell r="J154">
            <v>46272</v>
          </cell>
          <cell r="K154">
            <v>46283</v>
          </cell>
        </row>
        <row r="155">
          <cell r="J155">
            <v>46279</v>
          </cell>
          <cell r="K155">
            <v>46290</v>
          </cell>
        </row>
        <row r="156">
          <cell r="J156">
            <v>46282</v>
          </cell>
          <cell r="K156">
            <v>46295</v>
          </cell>
        </row>
        <row r="157">
          <cell r="J157">
            <v>46286</v>
          </cell>
          <cell r="K157">
            <v>46314</v>
          </cell>
        </row>
        <row r="158">
          <cell r="J158">
            <v>46293</v>
          </cell>
          <cell r="K158">
            <v>46297</v>
          </cell>
        </row>
        <row r="159">
          <cell r="J159">
            <v>46293</v>
          </cell>
          <cell r="K159">
            <v>46304</v>
          </cell>
        </row>
        <row r="160">
          <cell r="J160">
            <v>46142</v>
          </cell>
          <cell r="K160">
            <v>46281</v>
          </cell>
        </row>
        <row r="161">
          <cell r="J161">
            <v>46140</v>
          </cell>
          <cell r="K161">
            <v>46185</v>
          </cell>
        </row>
        <row r="162">
          <cell r="J162">
            <v>46140</v>
          </cell>
          <cell r="K162">
            <v>46171</v>
          </cell>
        </row>
        <row r="163">
          <cell r="J163">
            <v>46140</v>
          </cell>
          <cell r="K163">
            <v>46185</v>
          </cell>
        </row>
        <row r="164">
          <cell r="J164">
            <v>46140</v>
          </cell>
          <cell r="K164">
            <v>46185</v>
          </cell>
        </row>
        <row r="165">
          <cell r="J165">
            <v>46140</v>
          </cell>
          <cell r="K165">
            <v>46192</v>
          </cell>
        </row>
        <row r="166">
          <cell r="J166">
            <v>46140</v>
          </cell>
          <cell r="K166">
            <v>46177</v>
          </cell>
        </row>
        <row r="167">
          <cell r="J167">
            <v>46140</v>
          </cell>
          <cell r="K167">
            <v>46177</v>
          </cell>
        </row>
        <row r="168">
          <cell r="J168">
            <v>46140</v>
          </cell>
          <cell r="K168">
            <v>46171</v>
          </cell>
        </row>
        <row r="169">
          <cell r="J169">
            <v>46140</v>
          </cell>
          <cell r="K169">
            <v>46177</v>
          </cell>
        </row>
        <row r="170">
          <cell r="J170">
            <v>46140</v>
          </cell>
          <cell r="K170">
            <v>46150</v>
          </cell>
        </row>
        <row r="171">
          <cell r="J171">
            <v>46140</v>
          </cell>
          <cell r="K171">
            <v>46171</v>
          </cell>
        </row>
        <row r="172">
          <cell r="J172">
            <v>46140</v>
          </cell>
          <cell r="K172">
            <v>46192</v>
          </cell>
        </row>
        <row r="173">
          <cell r="J173">
            <v>46140</v>
          </cell>
          <cell r="K173">
            <v>46192</v>
          </cell>
        </row>
        <row r="174">
          <cell r="J174">
            <v>46140</v>
          </cell>
          <cell r="K174">
            <v>46206</v>
          </cell>
        </row>
        <row r="175">
          <cell r="J175">
            <v>46199</v>
          </cell>
          <cell r="K175">
            <v>46212</v>
          </cell>
        </row>
        <row r="176">
          <cell r="J176">
            <v>46202</v>
          </cell>
          <cell r="K176">
            <v>46213</v>
          </cell>
        </row>
        <row r="177">
          <cell r="J177">
            <v>46216</v>
          </cell>
          <cell r="K177">
            <v>46227</v>
          </cell>
        </row>
        <row r="178">
          <cell r="J178">
            <v>46216</v>
          </cell>
          <cell r="K178">
            <v>46227</v>
          </cell>
        </row>
        <row r="179">
          <cell r="J179">
            <v>46219</v>
          </cell>
          <cell r="K179">
            <v>46241</v>
          </cell>
        </row>
        <row r="180">
          <cell r="J180">
            <v>46219</v>
          </cell>
          <cell r="K180">
            <v>46234</v>
          </cell>
        </row>
        <row r="181">
          <cell r="J181">
            <v>46219</v>
          </cell>
          <cell r="K181">
            <v>46234</v>
          </cell>
        </row>
        <row r="182">
          <cell r="J182">
            <v>46226</v>
          </cell>
          <cell r="K182">
            <v>46241</v>
          </cell>
        </row>
        <row r="183">
          <cell r="J183">
            <v>46234</v>
          </cell>
          <cell r="K183">
            <v>46248</v>
          </cell>
        </row>
        <row r="184">
          <cell r="J184">
            <v>46241</v>
          </cell>
          <cell r="K184">
            <v>46255</v>
          </cell>
        </row>
        <row r="185">
          <cell r="J185">
            <v>46241</v>
          </cell>
          <cell r="K185">
            <v>46255</v>
          </cell>
        </row>
        <row r="186">
          <cell r="J186">
            <v>46241</v>
          </cell>
          <cell r="K186">
            <v>46262</v>
          </cell>
        </row>
        <row r="187">
          <cell r="J187">
            <v>46265</v>
          </cell>
          <cell r="K187">
            <v>46276</v>
          </cell>
        </row>
        <row r="188">
          <cell r="J188">
            <v>46265</v>
          </cell>
          <cell r="K188">
            <v>46276</v>
          </cell>
        </row>
        <row r="189">
          <cell r="J189">
            <v>46091</v>
          </cell>
          <cell r="K189">
            <v>46269</v>
          </cell>
        </row>
        <row r="190">
          <cell r="J190">
            <v>46091</v>
          </cell>
          <cell r="K190">
            <v>46133</v>
          </cell>
        </row>
        <row r="191">
          <cell r="J191">
            <v>46091</v>
          </cell>
          <cell r="K191">
            <v>46136</v>
          </cell>
        </row>
        <row r="192">
          <cell r="J192">
            <v>46091</v>
          </cell>
          <cell r="K192">
            <v>46136</v>
          </cell>
        </row>
        <row r="193">
          <cell r="J193">
            <v>46091</v>
          </cell>
          <cell r="K193">
            <v>46147</v>
          </cell>
        </row>
        <row r="194">
          <cell r="J194">
            <v>46091</v>
          </cell>
          <cell r="K194">
            <v>46142</v>
          </cell>
        </row>
        <row r="195">
          <cell r="J195">
            <v>46097</v>
          </cell>
          <cell r="K195">
            <v>46122</v>
          </cell>
        </row>
        <row r="196">
          <cell r="J196">
            <v>46106</v>
          </cell>
          <cell r="K196">
            <v>46139</v>
          </cell>
        </row>
        <row r="197">
          <cell r="J197">
            <v>46113</v>
          </cell>
          <cell r="K197">
            <v>46148</v>
          </cell>
        </row>
        <row r="198">
          <cell r="J198">
            <v>46113</v>
          </cell>
          <cell r="K198">
            <v>46149</v>
          </cell>
        </row>
        <row r="199">
          <cell r="J199">
            <v>46141</v>
          </cell>
          <cell r="K199">
            <v>46156</v>
          </cell>
        </row>
        <row r="200">
          <cell r="J200">
            <v>46142</v>
          </cell>
          <cell r="K200">
            <v>46163</v>
          </cell>
        </row>
        <row r="201">
          <cell r="J201">
            <v>46149</v>
          </cell>
          <cell r="K201">
            <v>46161</v>
          </cell>
        </row>
        <row r="202">
          <cell r="J202">
            <v>46149</v>
          </cell>
          <cell r="K202">
            <v>46167</v>
          </cell>
        </row>
        <row r="203">
          <cell r="J203">
            <v>46153</v>
          </cell>
          <cell r="K203">
            <v>46167</v>
          </cell>
        </row>
        <row r="204">
          <cell r="J204">
            <v>46154</v>
          </cell>
          <cell r="K204">
            <v>46163</v>
          </cell>
        </row>
        <row r="205">
          <cell r="J205">
            <v>46160</v>
          </cell>
          <cell r="K205">
            <v>46175</v>
          </cell>
        </row>
        <row r="206">
          <cell r="J206">
            <v>46162</v>
          </cell>
          <cell r="K206">
            <v>46175</v>
          </cell>
        </row>
        <row r="207">
          <cell r="J207">
            <v>46162</v>
          </cell>
          <cell r="K207">
            <v>46168</v>
          </cell>
        </row>
        <row r="208">
          <cell r="J208">
            <v>46163</v>
          </cell>
          <cell r="K208">
            <v>46175</v>
          </cell>
        </row>
        <row r="209">
          <cell r="J209">
            <v>46164</v>
          </cell>
          <cell r="K209">
            <v>46178</v>
          </cell>
        </row>
        <row r="210">
          <cell r="J210">
            <v>46167</v>
          </cell>
          <cell r="K210">
            <v>46177</v>
          </cell>
        </row>
        <row r="211">
          <cell r="J211">
            <v>46185</v>
          </cell>
          <cell r="K211">
            <v>46191</v>
          </cell>
        </row>
        <row r="212">
          <cell r="J212">
            <v>46185</v>
          </cell>
          <cell r="K212">
            <v>46196</v>
          </cell>
        </row>
        <row r="213">
          <cell r="J213">
            <v>46223</v>
          </cell>
          <cell r="K213">
            <v>46238</v>
          </cell>
        </row>
        <row r="214">
          <cell r="J214">
            <v>46097</v>
          </cell>
          <cell r="K214">
            <v>46240</v>
          </cell>
        </row>
        <row r="215">
          <cell r="J215">
            <v>46097</v>
          </cell>
          <cell r="K215">
            <v>46122</v>
          </cell>
        </row>
        <row r="216">
          <cell r="J216">
            <v>46112</v>
          </cell>
          <cell r="K216">
            <v>46147</v>
          </cell>
        </row>
        <row r="217">
          <cell r="J217">
            <v>46122</v>
          </cell>
          <cell r="K217">
            <v>46150</v>
          </cell>
        </row>
        <row r="218">
          <cell r="J218">
            <v>46128</v>
          </cell>
          <cell r="K218">
            <v>46156</v>
          </cell>
        </row>
        <row r="219">
          <cell r="J219">
            <v>46136</v>
          </cell>
          <cell r="K219">
            <v>46157</v>
          </cell>
        </row>
        <row r="220">
          <cell r="J220">
            <v>46136</v>
          </cell>
          <cell r="K220">
            <v>46157</v>
          </cell>
        </row>
        <row r="221">
          <cell r="J221">
            <v>46136</v>
          </cell>
          <cell r="K221">
            <v>46157</v>
          </cell>
        </row>
        <row r="222">
          <cell r="J222">
            <v>46140</v>
          </cell>
          <cell r="K222">
            <v>46150</v>
          </cell>
        </row>
        <row r="223">
          <cell r="J223">
            <v>46140</v>
          </cell>
          <cell r="K223">
            <v>46153</v>
          </cell>
        </row>
        <row r="224">
          <cell r="J224">
            <v>46147</v>
          </cell>
          <cell r="K224">
            <v>46155</v>
          </cell>
        </row>
        <row r="225">
          <cell r="J225">
            <v>46147</v>
          </cell>
          <cell r="K225">
            <v>46167</v>
          </cell>
        </row>
        <row r="226">
          <cell r="J226">
            <v>46160</v>
          </cell>
          <cell r="K226">
            <v>46169</v>
          </cell>
        </row>
        <row r="227">
          <cell r="J227">
            <v>46163</v>
          </cell>
          <cell r="K227">
            <v>46178</v>
          </cell>
        </row>
        <row r="228">
          <cell r="J228">
            <v>46167</v>
          </cell>
          <cell r="K228">
            <v>46184</v>
          </cell>
        </row>
        <row r="229">
          <cell r="J229">
            <v>46167</v>
          </cell>
          <cell r="K229">
            <v>46178</v>
          </cell>
        </row>
        <row r="230">
          <cell r="J230">
            <v>46171</v>
          </cell>
          <cell r="K230">
            <v>46184</v>
          </cell>
        </row>
        <row r="231">
          <cell r="J231">
            <v>46175</v>
          </cell>
          <cell r="K231">
            <v>46213</v>
          </cell>
        </row>
        <row r="232">
          <cell r="J232">
            <v>46175</v>
          </cell>
          <cell r="K232">
            <v>46184</v>
          </cell>
        </row>
        <row r="233">
          <cell r="J233">
            <v>46184</v>
          </cell>
          <cell r="K233">
            <v>46191</v>
          </cell>
        </row>
        <row r="234">
          <cell r="J234">
            <v>46184</v>
          </cell>
          <cell r="K234">
            <v>46191</v>
          </cell>
        </row>
        <row r="235">
          <cell r="J235">
            <v>46185</v>
          </cell>
          <cell r="K235">
            <v>46196</v>
          </cell>
        </row>
        <row r="236">
          <cell r="J236">
            <v>46188</v>
          </cell>
          <cell r="K236">
            <v>46196</v>
          </cell>
        </row>
        <row r="237">
          <cell r="J237">
            <v>46199</v>
          </cell>
          <cell r="K237">
            <v>46206</v>
          </cell>
        </row>
        <row r="238">
          <cell r="J238">
            <v>46199</v>
          </cell>
          <cell r="K238">
            <v>46210</v>
          </cell>
        </row>
        <row r="239">
          <cell r="J239">
            <v>46205</v>
          </cell>
          <cell r="K239">
            <v>46211</v>
          </cell>
        </row>
        <row r="240">
          <cell r="J240">
            <v>46206</v>
          </cell>
          <cell r="K240">
            <v>46212</v>
          </cell>
        </row>
        <row r="241">
          <cell r="J241">
            <v>46206</v>
          </cell>
          <cell r="K241">
            <v>46212</v>
          </cell>
        </row>
        <row r="242">
          <cell r="J242">
            <v>46218</v>
          </cell>
          <cell r="K242">
            <v>46224</v>
          </cell>
        </row>
        <row r="243">
          <cell r="J243">
            <v>46219</v>
          </cell>
          <cell r="K243">
            <v>46225</v>
          </cell>
        </row>
        <row r="244">
          <cell r="J244">
            <v>46219</v>
          </cell>
          <cell r="K244">
            <v>46225</v>
          </cell>
        </row>
        <row r="245">
          <cell r="J245">
            <v>46230</v>
          </cell>
          <cell r="K245">
            <v>46238</v>
          </cell>
        </row>
        <row r="246">
          <cell r="J246">
            <v>46230</v>
          </cell>
          <cell r="K246">
            <v>46238</v>
          </cell>
        </row>
        <row r="247">
          <cell r="J247">
            <v>46245</v>
          </cell>
          <cell r="K247">
            <v>46252</v>
          </cell>
        </row>
        <row r="248">
          <cell r="J248">
            <v>46115</v>
          </cell>
          <cell r="K248">
            <v>46269</v>
          </cell>
        </row>
        <row r="249">
          <cell r="J249">
            <v>46115</v>
          </cell>
          <cell r="K249">
            <v>46122</v>
          </cell>
        </row>
        <row r="250">
          <cell r="J250">
            <v>46136</v>
          </cell>
          <cell r="K250">
            <v>46157</v>
          </cell>
        </row>
        <row r="251">
          <cell r="J251">
            <v>46139</v>
          </cell>
          <cell r="K251">
            <v>46157</v>
          </cell>
        </row>
        <row r="252">
          <cell r="J252">
            <v>46140</v>
          </cell>
          <cell r="K252">
            <v>46157</v>
          </cell>
        </row>
        <row r="253">
          <cell r="J253">
            <v>46140</v>
          </cell>
          <cell r="K253">
            <v>46157</v>
          </cell>
        </row>
        <row r="254">
          <cell r="J254">
            <v>46153</v>
          </cell>
          <cell r="K254">
            <v>46163</v>
          </cell>
        </row>
        <row r="255">
          <cell r="J255">
            <v>46157</v>
          </cell>
          <cell r="K255">
            <v>46167</v>
          </cell>
        </row>
        <row r="256">
          <cell r="J256">
            <v>46162</v>
          </cell>
          <cell r="K256">
            <v>46170</v>
          </cell>
        </row>
        <row r="257">
          <cell r="J257">
            <v>46164</v>
          </cell>
          <cell r="K257">
            <v>46170</v>
          </cell>
        </row>
        <row r="258">
          <cell r="J258">
            <v>46175</v>
          </cell>
          <cell r="K258">
            <v>46182</v>
          </cell>
        </row>
        <row r="259">
          <cell r="J259">
            <v>46188</v>
          </cell>
          <cell r="K259">
            <v>46191</v>
          </cell>
        </row>
        <row r="260">
          <cell r="J260">
            <v>46188</v>
          </cell>
          <cell r="K260">
            <v>46197</v>
          </cell>
        </row>
        <row r="261">
          <cell r="J261">
            <v>46220</v>
          </cell>
          <cell r="K261">
            <v>46226</v>
          </cell>
        </row>
        <row r="262">
          <cell r="J262">
            <v>46230</v>
          </cell>
          <cell r="K262">
            <v>46238</v>
          </cell>
        </row>
        <row r="263">
          <cell r="J263">
            <v>46230</v>
          </cell>
          <cell r="K263">
            <v>46238</v>
          </cell>
        </row>
        <row r="264">
          <cell r="J264">
            <v>46241</v>
          </cell>
          <cell r="K264">
            <v>46248</v>
          </cell>
        </row>
        <row r="265">
          <cell r="J265">
            <v>46245</v>
          </cell>
          <cell r="K265">
            <v>46252</v>
          </cell>
        </row>
        <row r="266">
          <cell r="J266">
            <v>46268</v>
          </cell>
          <cell r="K266">
            <v>46274</v>
          </cell>
        </row>
        <row r="267">
          <cell r="J267">
            <v>46157</v>
          </cell>
          <cell r="K267">
            <v>46266</v>
          </cell>
        </row>
        <row r="268">
          <cell r="J268">
            <v>46160</v>
          </cell>
          <cell r="K268">
            <v>46183</v>
          </cell>
        </row>
        <row r="269">
          <cell r="J269">
            <v>46184</v>
          </cell>
          <cell r="K269">
            <v>46211</v>
          </cell>
        </row>
        <row r="270">
          <cell r="J270">
            <v>46184</v>
          </cell>
          <cell r="K270">
            <v>46225</v>
          </cell>
        </row>
        <row r="271">
          <cell r="J271">
            <v>46184</v>
          </cell>
          <cell r="K271">
            <v>46204</v>
          </cell>
        </row>
        <row r="272">
          <cell r="J272">
            <v>46188</v>
          </cell>
          <cell r="K272">
            <v>46212</v>
          </cell>
        </row>
        <row r="273">
          <cell r="J273">
            <v>46188</v>
          </cell>
          <cell r="K273">
            <v>46212</v>
          </cell>
        </row>
        <row r="274">
          <cell r="J274">
            <v>46192</v>
          </cell>
          <cell r="K274">
            <v>46198</v>
          </cell>
        </row>
        <row r="275">
          <cell r="J275">
            <v>46196</v>
          </cell>
          <cell r="K275">
            <v>46238</v>
          </cell>
        </row>
        <row r="276">
          <cell r="J276">
            <v>46205</v>
          </cell>
          <cell r="K276">
            <v>46224</v>
          </cell>
        </row>
        <row r="277">
          <cell r="J277">
            <v>46219</v>
          </cell>
          <cell r="K277">
            <v>46225</v>
          </cell>
        </row>
        <row r="278">
          <cell r="J278">
            <v>46226</v>
          </cell>
          <cell r="K278">
            <v>46234</v>
          </cell>
        </row>
        <row r="279">
          <cell r="J279">
            <v>46227</v>
          </cell>
          <cell r="K279">
            <v>46237</v>
          </cell>
        </row>
        <row r="280">
          <cell r="J280">
            <v>46227</v>
          </cell>
          <cell r="K280">
            <v>46237</v>
          </cell>
        </row>
        <row r="281">
          <cell r="J281">
            <v>46233</v>
          </cell>
          <cell r="K281">
            <v>46252</v>
          </cell>
        </row>
        <row r="282">
          <cell r="J282">
            <v>46240</v>
          </cell>
          <cell r="K282">
            <v>46247</v>
          </cell>
        </row>
        <row r="283">
          <cell r="J283">
            <v>46244</v>
          </cell>
          <cell r="K283">
            <v>46251</v>
          </cell>
        </row>
        <row r="284">
          <cell r="J284">
            <v>46254</v>
          </cell>
          <cell r="K284">
            <v>46260</v>
          </cell>
        </row>
        <row r="285">
          <cell r="J285">
            <v>46260</v>
          </cell>
          <cell r="K285">
            <v>46266</v>
          </cell>
        </row>
        <row r="286">
          <cell r="J286">
            <v>46128</v>
          </cell>
          <cell r="K286">
            <v>46384</v>
          </cell>
        </row>
        <row r="287">
          <cell r="J287">
            <v>46121</v>
          </cell>
          <cell r="K287">
            <v>46154</v>
          </cell>
        </row>
        <row r="288">
          <cell r="J288">
            <v>46121</v>
          </cell>
          <cell r="K288">
            <v>46150</v>
          </cell>
        </row>
        <row r="289">
          <cell r="J289">
            <v>46121</v>
          </cell>
          <cell r="K289">
            <v>46150</v>
          </cell>
        </row>
        <row r="290">
          <cell r="J290">
            <v>46121</v>
          </cell>
          <cell r="K290">
            <v>46150</v>
          </cell>
        </row>
        <row r="291">
          <cell r="J291">
            <v>46133</v>
          </cell>
          <cell r="K291">
            <v>46167</v>
          </cell>
        </row>
        <row r="292">
          <cell r="J292">
            <v>46140</v>
          </cell>
          <cell r="K292">
            <v>46171</v>
          </cell>
        </row>
        <row r="293">
          <cell r="J293">
            <v>46147</v>
          </cell>
          <cell r="K293">
            <v>46171</v>
          </cell>
        </row>
        <row r="294">
          <cell r="J294">
            <v>46149</v>
          </cell>
          <cell r="K294">
            <v>46171</v>
          </cell>
        </row>
        <row r="295">
          <cell r="J295">
            <v>46149</v>
          </cell>
          <cell r="K295">
            <v>46167</v>
          </cell>
        </row>
        <row r="296">
          <cell r="J296">
            <v>46155</v>
          </cell>
          <cell r="K296">
            <v>46245</v>
          </cell>
        </row>
        <row r="297">
          <cell r="J297">
            <v>46155</v>
          </cell>
          <cell r="K297">
            <v>46163</v>
          </cell>
        </row>
        <row r="298">
          <cell r="J298">
            <v>46161</v>
          </cell>
          <cell r="K298">
            <v>46171</v>
          </cell>
        </row>
        <row r="299">
          <cell r="J299">
            <v>46163</v>
          </cell>
          <cell r="K299">
            <v>46192</v>
          </cell>
        </row>
        <row r="300">
          <cell r="J300">
            <v>46163</v>
          </cell>
          <cell r="K300">
            <v>46192</v>
          </cell>
        </row>
        <row r="301">
          <cell r="J301">
            <v>46188</v>
          </cell>
          <cell r="K301">
            <v>46206</v>
          </cell>
        </row>
        <row r="302">
          <cell r="J302">
            <v>46195</v>
          </cell>
          <cell r="K302">
            <v>46213</v>
          </cell>
        </row>
        <row r="303">
          <cell r="J303">
            <v>46195</v>
          </cell>
          <cell r="K303">
            <v>46213</v>
          </cell>
        </row>
        <row r="304">
          <cell r="J304">
            <v>46195</v>
          </cell>
          <cell r="K304">
            <v>46213</v>
          </cell>
        </row>
        <row r="305">
          <cell r="J305">
            <v>46196</v>
          </cell>
          <cell r="K305">
            <v>46223</v>
          </cell>
        </row>
        <row r="306">
          <cell r="J306">
            <v>46209</v>
          </cell>
          <cell r="K306">
            <v>46213</v>
          </cell>
        </row>
        <row r="307">
          <cell r="J307">
            <v>46209</v>
          </cell>
          <cell r="K307">
            <v>46213</v>
          </cell>
        </row>
        <row r="308">
          <cell r="J308">
            <v>46209</v>
          </cell>
          <cell r="K308">
            <v>46213</v>
          </cell>
        </row>
        <row r="309">
          <cell r="J309">
            <v>46209</v>
          </cell>
          <cell r="K309">
            <v>46220</v>
          </cell>
        </row>
        <row r="310">
          <cell r="J310">
            <v>46209</v>
          </cell>
          <cell r="K310">
            <v>46220</v>
          </cell>
        </row>
        <row r="311">
          <cell r="J311">
            <v>46223</v>
          </cell>
          <cell r="K311">
            <v>46227</v>
          </cell>
        </row>
        <row r="312">
          <cell r="J312">
            <v>46226</v>
          </cell>
          <cell r="K312">
            <v>46241</v>
          </cell>
        </row>
        <row r="313">
          <cell r="J313">
            <v>46239</v>
          </cell>
          <cell r="K313">
            <v>46253</v>
          </cell>
        </row>
        <row r="314">
          <cell r="J314">
            <v>46239</v>
          </cell>
          <cell r="K314">
            <v>46253</v>
          </cell>
        </row>
        <row r="315">
          <cell r="J315">
            <v>46247</v>
          </cell>
          <cell r="K315">
            <v>46253</v>
          </cell>
        </row>
        <row r="316">
          <cell r="J316">
            <v>46247</v>
          </cell>
          <cell r="K316">
            <v>46253</v>
          </cell>
        </row>
        <row r="317">
          <cell r="J317">
            <v>46247</v>
          </cell>
          <cell r="K317">
            <v>46310</v>
          </cell>
        </row>
        <row r="318">
          <cell r="J318">
            <v>46251</v>
          </cell>
          <cell r="K318">
            <v>46262</v>
          </cell>
        </row>
        <row r="319">
          <cell r="J319">
            <v>46258</v>
          </cell>
          <cell r="K319">
            <v>46283</v>
          </cell>
        </row>
        <row r="320">
          <cell r="J320">
            <v>46258</v>
          </cell>
          <cell r="K320">
            <v>46283</v>
          </cell>
        </row>
        <row r="321">
          <cell r="J321">
            <v>46258</v>
          </cell>
          <cell r="K321">
            <v>46283</v>
          </cell>
        </row>
        <row r="322">
          <cell r="J322">
            <v>46258</v>
          </cell>
          <cell r="K322">
            <v>46283</v>
          </cell>
        </row>
        <row r="323">
          <cell r="J323">
            <v>46258</v>
          </cell>
          <cell r="K323">
            <v>46283</v>
          </cell>
        </row>
        <row r="324">
          <cell r="J324">
            <v>46258</v>
          </cell>
          <cell r="K324">
            <v>46283</v>
          </cell>
        </row>
        <row r="325">
          <cell r="J325">
            <v>46261</v>
          </cell>
          <cell r="K325">
            <v>46274</v>
          </cell>
        </row>
        <row r="326">
          <cell r="J326">
            <v>46261</v>
          </cell>
          <cell r="K326">
            <v>46274</v>
          </cell>
        </row>
        <row r="327">
          <cell r="J327">
            <v>46261</v>
          </cell>
          <cell r="K327">
            <v>46274</v>
          </cell>
        </row>
        <row r="328">
          <cell r="J328">
            <v>46265</v>
          </cell>
          <cell r="K328">
            <v>46283</v>
          </cell>
        </row>
        <row r="329">
          <cell r="J329">
            <v>46272</v>
          </cell>
          <cell r="K329">
            <v>46297</v>
          </cell>
        </row>
        <row r="330">
          <cell r="J330">
            <v>46282</v>
          </cell>
          <cell r="K330">
            <v>46295</v>
          </cell>
        </row>
        <row r="331">
          <cell r="J331">
            <v>46286</v>
          </cell>
          <cell r="K331">
            <v>46297</v>
          </cell>
        </row>
        <row r="332">
          <cell r="J332">
            <v>46286</v>
          </cell>
          <cell r="K332">
            <v>46297</v>
          </cell>
        </row>
        <row r="333">
          <cell r="J333">
            <v>46296</v>
          </cell>
          <cell r="K333">
            <v>46310</v>
          </cell>
        </row>
        <row r="334">
          <cell r="J334">
            <v>46325</v>
          </cell>
          <cell r="K334">
            <v>46342</v>
          </cell>
        </row>
        <row r="335">
          <cell r="J335">
            <v>46325</v>
          </cell>
          <cell r="K335">
            <v>46345</v>
          </cell>
        </row>
        <row r="336">
          <cell r="J336">
            <v>46325</v>
          </cell>
          <cell r="K336">
            <v>46338</v>
          </cell>
        </row>
        <row r="337">
          <cell r="J337">
            <v>46328</v>
          </cell>
          <cell r="K337">
            <v>46346</v>
          </cell>
        </row>
        <row r="338">
          <cell r="J338">
            <v>46328</v>
          </cell>
          <cell r="K338">
            <v>46346</v>
          </cell>
        </row>
        <row r="339">
          <cell r="J339">
            <v>46328</v>
          </cell>
          <cell r="K339">
            <v>46346</v>
          </cell>
        </row>
        <row r="340">
          <cell r="J340">
            <v>46328</v>
          </cell>
          <cell r="K340">
            <v>46346</v>
          </cell>
        </row>
        <row r="341">
          <cell r="J341">
            <v>46328</v>
          </cell>
          <cell r="K341">
            <v>46346</v>
          </cell>
        </row>
        <row r="342">
          <cell r="J342">
            <v>46332</v>
          </cell>
          <cell r="K342">
            <v>46345</v>
          </cell>
        </row>
        <row r="343">
          <cell r="J343">
            <v>46339</v>
          </cell>
          <cell r="K343">
            <v>46352</v>
          </cell>
        </row>
        <row r="344">
          <cell r="J344">
            <v>46339</v>
          </cell>
          <cell r="K344">
            <v>46352</v>
          </cell>
        </row>
        <row r="345">
          <cell r="J345">
            <v>46339</v>
          </cell>
          <cell r="K345">
            <v>46352</v>
          </cell>
        </row>
        <row r="346">
          <cell r="J346">
            <v>46339</v>
          </cell>
          <cell r="K346">
            <v>46352</v>
          </cell>
        </row>
        <row r="347">
          <cell r="J347">
            <v>46346</v>
          </cell>
          <cell r="K347">
            <v>46352</v>
          </cell>
        </row>
        <row r="348">
          <cell r="J348">
            <v>46360</v>
          </cell>
          <cell r="K348">
            <v>46374</v>
          </cell>
        </row>
        <row r="349">
          <cell r="J349">
            <v>46148</v>
          </cell>
          <cell r="K349">
            <v>46244</v>
          </cell>
        </row>
        <row r="350">
          <cell r="J350">
            <v>46142</v>
          </cell>
          <cell r="K350">
            <v>46161</v>
          </cell>
        </row>
        <row r="351">
          <cell r="J351">
            <v>46148</v>
          </cell>
          <cell r="K351">
            <v>46168</v>
          </cell>
        </row>
        <row r="352">
          <cell r="J352">
            <v>46154</v>
          </cell>
          <cell r="K352">
            <v>46181</v>
          </cell>
        </row>
        <row r="353">
          <cell r="J353">
            <v>46185</v>
          </cell>
          <cell r="K353">
            <v>46212</v>
          </cell>
        </row>
        <row r="354">
          <cell r="J354">
            <v>46188</v>
          </cell>
          <cell r="K354">
            <v>46202</v>
          </cell>
        </row>
        <row r="355">
          <cell r="J355">
            <v>46196</v>
          </cell>
          <cell r="K355">
            <v>46212</v>
          </cell>
        </row>
        <row r="356">
          <cell r="J356">
            <v>46219</v>
          </cell>
          <cell r="K356">
            <v>46225</v>
          </cell>
        </row>
        <row r="357">
          <cell r="J357">
            <v>46230</v>
          </cell>
          <cell r="K357">
            <v>46238</v>
          </cell>
        </row>
        <row r="358">
          <cell r="J358">
            <v>46248</v>
          </cell>
          <cell r="K358">
            <v>46254</v>
          </cell>
        </row>
        <row r="359">
          <cell r="J359">
            <v>46148</v>
          </cell>
          <cell r="K359">
            <v>46272</v>
          </cell>
        </row>
        <row r="360">
          <cell r="J360">
            <v>46141</v>
          </cell>
          <cell r="K360">
            <v>46167</v>
          </cell>
        </row>
        <row r="361">
          <cell r="J361">
            <v>46141</v>
          </cell>
          <cell r="K361">
            <v>46167</v>
          </cell>
        </row>
        <row r="362">
          <cell r="J362">
            <v>46141</v>
          </cell>
          <cell r="K362">
            <v>46167</v>
          </cell>
        </row>
        <row r="363">
          <cell r="J363">
            <v>46141</v>
          </cell>
          <cell r="K363">
            <v>46167</v>
          </cell>
        </row>
        <row r="364">
          <cell r="J364">
            <v>46141</v>
          </cell>
          <cell r="K364">
            <v>46167</v>
          </cell>
        </row>
        <row r="365">
          <cell r="J365">
            <v>46141</v>
          </cell>
          <cell r="K365">
            <v>46167</v>
          </cell>
        </row>
        <row r="366">
          <cell r="J366">
            <v>46141</v>
          </cell>
          <cell r="K366">
            <v>46167</v>
          </cell>
        </row>
        <row r="367">
          <cell r="J367">
            <v>46142</v>
          </cell>
          <cell r="K367">
            <v>46163</v>
          </cell>
        </row>
        <row r="368">
          <cell r="J368">
            <v>46147</v>
          </cell>
          <cell r="K368">
            <v>46169</v>
          </cell>
        </row>
        <row r="369">
          <cell r="J369">
            <v>46147</v>
          </cell>
          <cell r="K369">
            <v>46169</v>
          </cell>
        </row>
        <row r="370">
          <cell r="J370">
            <v>46147</v>
          </cell>
          <cell r="K370">
            <v>46169</v>
          </cell>
        </row>
        <row r="371">
          <cell r="J371">
            <v>46147</v>
          </cell>
          <cell r="K371">
            <v>46169</v>
          </cell>
        </row>
        <row r="372">
          <cell r="J372">
            <v>46147</v>
          </cell>
          <cell r="K372">
            <v>46169</v>
          </cell>
        </row>
        <row r="373">
          <cell r="J373">
            <v>46147</v>
          </cell>
          <cell r="K373">
            <v>46169</v>
          </cell>
        </row>
        <row r="374">
          <cell r="J374">
            <v>46147</v>
          </cell>
          <cell r="K374">
            <v>46169</v>
          </cell>
        </row>
        <row r="375">
          <cell r="J375">
            <v>46147</v>
          </cell>
          <cell r="K375">
            <v>46169</v>
          </cell>
        </row>
        <row r="376">
          <cell r="J376">
            <v>46203</v>
          </cell>
          <cell r="K376">
            <v>46223</v>
          </cell>
        </row>
        <row r="377">
          <cell r="J377">
            <v>46203</v>
          </cell>
          <cell r="K377">
            <v>46223</v>
          </cell>
        </row>
        <row r="378">
          <cell r="J378">
            <v>46203</v>
          </cell>
          <cell r="K378">
            <v>46223</v>
          </cell>
        </row>
        <row r="379">
          <cell r="J379">
            <v>46203</v>
          </cell>
          <cell r="K379">
            <v>46223</v>
          </cell>
        </row>
        <row r="380">
          <cell r="J380">
            <v>46234</v>
          </cell>
          <cell r="K380">
            <v>46240</v>
          </cell>
        </row>
        <row r="381">
          <cell r="J381">
            <v>46238</v>
          </cell>
          <cell r="K381">
            <v>46244</v>
          </cell>
        </row>
        <row r="382">
          <cell r="J382">
            <v>46238</v>
          </cell>
          <cell r="K382">
            <v>46244</v>
          </cell>
        </row>
        <row r="383">
          <cell r="J383">
            <v>46245</v>
          </cell>
          <cell r="K383">
            <v>46252</v>
          </cell>
        </row>
        <row r="384">
          <cell r="J384">
            <v>46245</v>
          </cell>
          <cell r="K384">
            <v>46252</v>
          </cell>
        </row>
        <row r="385">
          <cell r="J385">
            <v>46245</v>
          </cell>
          <cell r="K385">
            <v>46252</v>
          </cell>
        </row>
        <row r="386">
          <cell r="J386">
            <v>46245</v>
          </cell>
          <cell r="K386">
            <v>46252</v>
          </cell>
        </row>
        <row r="387">
          <cell r="J387">
            <v>46245</v>
          </cell>
          <cell r="K387">
            <v>46252</v>
          </cell>
        </row>
        <row r="388">
          <cell r="J388">
            <v>46259</v>
          </cell>
          <cell r="K388">
            <v>46265</v>
          </cell>
        </row>
        <row r="389">
          <cell r="J389">
            <v>46259</v>
          </cell>
          <cell r="K389">
            <v>46265</v>
          </cell>
        </row>
        <row r="390">
          <cell r="J390">
            <v>46259</v>
          </cell>
          <cell r="K390">
            <v>46265</v>
          </cell>
        </row>
        <row r="391">
          <cell r="J391">
            <v>46259</v>
          </cell>
          <cell r="K391">
            <v>46265</v>
          </cell>
        </row>
        <row r="392">
          <cell r="J392">
            <v>46272</v>
          </cell>
          <cell r="K392">
            <v>46276</v>
          </cell>
        </row>
        <row r="393">
          <cell r="J393">
            <v>46272</v>
          </cell>
          <cell r="K393">
            <v>46276</v>
          </cell>
        </row>
        <row r="394">
          <cell r="J394">
            <v>46272</v>
          </cell>
          <cell r="K394">
            <v>46276</v>
          </cell>
        </row>
        <row r="395">
          <cell r="J395">
            <v>46272</v>
          </cell>
          <cell r="K395">
            <v>46276</v>
          </cell>
        </row>
        <row r="396">
          <cell r="J396">
            <v>46272</v>
          </cell>
          <cell r="K396">
            <v>46276</v>
          </cell>
        </row>
        <row r="397">
          <cell r="J397">
            <v>46272</v>
          </cell>
          <cell r="K397">
            <v>46276</v>
          </cell>
        </row>
        <row r="398">
          <cell r="J398">
            <v>46272</v>
          </cell>
          <cell r="K398">
            <v>46276</v>
          </cell>
        </row>
        <row r="399">
          <cell r="J399">
            <v>46279</v>
          </cell>
          <cell r="K399">
            <v>46283</v>
          </cell>
        </row>
        <row r="400">
          <cell r="J400">
            <v>46190</v>
          </cell>
          <cell r="K400">
            <v>46269</v>
          </cell>
        </row>
        <row r="401">
          <cell r="J401">
            <v>46190</v>
          </cell>
          <cell r="K401">
            <v>46216</v>
          </cell>
        </row>
        <row r="402">
          <cell r="J402">
            <v>46198</v>
          </cell>
          <cell r="K402">
            <v>46218</v>
          </cell>
        </row>
        <row r="403">
          <cell r="J403">
            <v>46198</v>
          </cell>
          <cell r="K403">
            <v>46218</v>
          </cell>
        </row>
        <row r="404">
          <cell r="J404">
            <v>46198</v>
          </cell>
          <cell r="K404">
            <v>46225</v>
          </cell>
        </row>
        <row r="405">
          <cell r="J405">
            <v>46198</v>
          </cell>
          <cell r="K405">
            <v>46225</v>
          </cell>
        </row>
        <row r="406">
          <cell r="J406">
            <v>46198</v>
          </cell>
          <cell r="K406">
            <v>46225</v>
          </cell>
        </row>
        <row r="407">
          <cell r="J407">
            <v>46198</v>
          </cell>
          <cell r="K407">
            <v>46225</v>
          </cell>
        </row>
        <row r="408">
          <cell r="J408">
            <v>46198</v>
          </cell>
          <cell r="K408">
            <v>46225</v>
          </cell>
        </row>
        <row r="409">
          <cell r="J409">
            <v>46227</v>
          </cell>
          <cell r="K409">
            <v>46254</v>
          </cell>
        </row>
        <row r="410">
          <cell r="J410">
            <v>46227</v>
          </cell>
          <cell r="K410">
            <v>46254</v>
          </cell>
        </row>
        <row r="411">
          <cell r="J411">
            <v>46227</v>
          </cell>
          <cell r="K411">
            <v>46254</v>
          </cell>
        </row>
        <row r="412">
          <cell r="J412">
            <v>46227</v>
          </cell>
          <cell r="K412">
            <v>46254</v>
          </cell>
        </row>
        <row r="413">
          <cell r="J413">
            <v>46227</v>
          </cell>
          <cell r="K413">
            <v>46254</v>
          </cell>
        </row>
        <row r="414">
          <cell r="J414">
            <v>46227</v>
          </cell>
          <cell r="K414">
            <v>46254</v>
          </cell>
        </row>
        <row r="415">
          <cell r="J415">
            <v>46227</v>
          </cell>
          <cell r="K415">
            <v>46254</v>
          </cell>
        </row>
        <row r="416">
          <cell r="J416">
            <v>46233</v>
          </cell>
          <cell r="K416">
            <v>46239</v>
          </cell>
        </row>
        <row r="417">
          <cell r="J417">
            <v>46234</v>
          </cell>
          <cell r="K417">
            <v>46244</v>
          </cell>
        </row>
        <row r="418">
          <cell r="J418">
            <v>46234</v>
          </cell>
          <cell r="K418">
            <v>46244</v>
          </cell>
        </row>
        <row r="419">
          <cell r="J419">
            <v>46234</v>
          </cell>
          <cell r="K419">
            <v>46244</v>
          </cell>
        </row>
        <row r="420">
          <cell r="J420">
            <v>46234</v>
          </cell>
          <cell r="K420">
            <v>46261</v>
          </cell>
        </row>
        <row r="421">
          <cell r="J421">
            <v>46237</v>
          </cell>
          <cell r="K421">
            <v>46241</v>
          </cell>
        </row>
        <row r="422">
          <cell r="J422">
            <v>46237</v>
          </cell>
          <cell r="K422">
            <v>46241</v>
          </cell>
        </row>
        <row r="423">
          <cell r="J423">
            <v>46238</v>
          </cell>
          <cell r="K423">
            <v>46244</v>
          </cell>
        </row>
        <row r="424">
          <cell r="J424">
            <v>46244</v>
          </cell>
          <cell r="K424">
            <v>46251</v>
          </cell>
        </row>
        <row r="425">
          <cell r="J425">
            <v>46244</v>
          </cell>
          <cell r="K425">
            <v>46251</v>
          </cell>
        </row>
        <row r="426">
          <cell r="J426">
            <v>46244</v>
          </cell>
          <cell r="K426">
            <v>46251</v>
          </cell>
        </row>
        <row r="427">
          <cell r="J427">
            <v>46244</v>
          </cell>
          <cell r="K427">
            <v>46251</v>
          </cell>
        </row>
        <row r="428">
          <cell r="J428">
            <v>46244</v>
          </cell>
          <cell r="K428">
            <v>46251</v>
          </cell>
        </row>
        <row r="429">
          <cell r="J429">
            <v>46260</v>
          </cell>
          <cell r="K429">
            <v>46262</v>
          </cell>
        </row>
        <row r="430">
          <cell r="J430">
            <v>46260</v>
          </cell>
          <cell r="K430">
            <v>46262</v>
          </cell>
        </row>
        <row r="431">
          <cell r="J431">
            <v>46260</v>
          </cell>
          <cell r="K431">
            <v>46262</v>
          </cell>
        </row>
        <row r="432">
          <cell r="J432">
            <v>46260</v>
          </cell>
          <cell r="K432">
            <v>46262</v>
          </cell>
        </row>
        <row r="433">
          <cell r="J433">
            <v>46269</v>
          </cell>
          <cell r="K433">
            <v>46275</v>
          </cell>
        </row>
        <row r="434">
          <cell r="J434">
            <v>46269</v>
          </cell>
          <cell r="K434">
            <v>46275</v>
          </cell>
        </row>
        <row r="435">
          <cell r="J435">
            <v>46269</v>
          </cell>
          <cell r="K435">
            <v>46275</v>
          </cell>
        </row>
        <row r="436">
          <cell r="J436">
            <v>46269</v>
          </cell>
          <cell r="K436">
            <v>46275</v>
          </cell>
        </row>
        <row r="437">
          <cell r="J437">
            <v>46269</v>
          </cell>
          <cell r="K437">
            <v>46275</v>
          </cell>
        </row>
        <row r="438">
          <cell r="J438">
            <v>46269</v>
          </cell>
          <cell r="K438">
            <v>46275</v>
          </cell>
        </row>
        <row r="439">
          <cell r="J439">
            <v>46269</v>
          </cell>
          <cell r="K439">
            <v>46275</v>
          </cell>
        </row>
        <row r="440">
          <cell r="J440">
            <v>46276</v>
          </cell>
          <cell r="K440">
            <v>46282</v>
          </cell>
        </row>
        <row r="441">
          <cell r="J441">
            <v>46085</v>
          </cell>
          <cell r="K441">
            <v>46370</v>
          </cell>
        </row>
        <row r="442">
          <cell r="J442">
            <v>46085</v>
          </cell>
          <cell r="K442">
            <v>46150</v>
          </cell>
        </row>
        <row r="443">
          <cell r="J443">
            <v>46085</v>
          </cell>
          <cell r="K443">
            <v>46139</v>
          </cell>
        </row>
        <row r="444">
          <cell r="J444">
            <v>46085</v>
          </cell>
          <cell r="K444">
            <v>46139</v>
          </cell>
        </row>
        <row r="445">
          <cell r="J445">
            <v>46085</v>
          </cell>
          <cell r="K445">
            <v>46139</v>
          </cell>
        </row>
        <row r="446">
          <cell r="J446">
            <v>46085</v>
          </cell>
          <cell r="K446">
            <v>46139</v>
          </cell>
        </row>
        <row r="447">
          <cell r="J447">
            <v>46085</v>
          </cell>
          <cell r="K447">
            <v>46139</v>
          </cell>
        </row>
        <row r="448">
          <cell r="J448">
            <v>46085</v>
          </cell>
          <cell r="K448">
            <v>46139</v>
          </cell>
        </row>
        <row r="449">
          <cell r="J449">
            <v>46085</v>
          </cell>
          <cell r="K449">
            <v>46139</v>
          </cell>
        </row>
        <row r="450">
          <cell r="J450">
            <v>46085</v>
          </cell>
          <cell r="K450">
            <v>46120</v>
          </cell>
        </row>
        <row r="451">
          <cell r="J451">
            <v>46085</v>
          </cell>
          <cell r="K451">
            <v>46141</v>
          </cell>
        </row>
        <row r="452">
          <cell r="J452">
            <v>46085</v>
          </cell>
          <cell r="K452">
            <v>46139</v>
          </cell>
        </row>
        <row r="453">
          <cell r="J453">
            <v>46114</v>
          </cell>
          <cell r="K453">
            <v>46157</v>
          </cell>
        </row>
        <row r="454">
          <cell r="J454">
            <v>46114</v>
          </cell>
          <cell r="K454">
            <v>46157</v>
          </cell>
        </row>
        <row r="455">
          <cell r="J455">
            <v>46114</v>
          </cell>
          <cell r="K455">
            <v>46157</v>
          </cell>
        </row>
        <row r="456">
          <cell r="J456">
            <v>46114</v>
          </cell>
          <cell r="K456">
            <v>46157</v>
          </cell>
        </row>
        <row r="457">
          <cell r="J457">
            <v>46114</v>
          </cell>
          <cell r="K457">
            <v>46157</v>
          </cell>
        </row>
        <row r="458">
          <cell r="J458">
            <v>46114</v>
          </cell>
          <cell r="K458">
            <v>46157</v>
          </cell>
        </row>
        <row r="459">
          <cell r="J459">
            <v>46114</v>
          </cell>
          <cell r="K459">
            <v>46157</v>
          </cell>
        </row>
        <row r="460">
          <cell r="J460">
            <v>46114</v>
          </cell>
          <cell r="K460">
            <v>46157</v>
          </cell>
        </row>
        <row r="461">
          <cell r="J461">
            <v>46114</v>
          </cell>
          <cell r="K461">
            <v>46157</v>
          </cell>
        </row>
        <row r="462">
          <cell r="J462">
            <v>46141</v>
          </cell>
          <cell r="K462">
            <v>46162</v>
          </cell>
        </row>
        <row r="463">
          <cell r="J463">
            <v>46141</v>
          </cell>
          <cell r="K463">
            <v>46162</v>
          </cell>
        </row>
        <row r="464">
          <cell r="J464">
            <v>46141</v>
          </cell>
          <cell r="K464">
            <v>46162</v>
          </cell>
        </row>
        <row r="465">
          <cell r="J465">
            <v>46141</v>
          </cell>
          <cell r="K465">
            <v>46162</v>
          </cell>
        </row>
        <row r="466">
          <cell r="J466">
            <v>46141</v>
          </cell>
          <cell r="K466">
            <v>46162</v>
          </cell>
        </row>
        <row r="467">
          <cell r="J467">
            <v>46141</v>
          </cell>
          <cell r="K467">
            <v>46171</v>
          </cell>
        </row>
        <row r="468">
          <cell r="J468">
            <v>46141</v>
          </cell>
          <cell r="K468">
            <v>46171</v>
          </cell>
        </row>
        <row r="469">
          <cell r="J469">
            <v>46141</v>
          </cell>
          <cell r="K469">
            <v>46171</v>
          </cell>
        </row>
        <row r="470">
          <cell r="J470">
            <v>46141</v>
          </cell>
          <cell r="K470">
            <v>46171</v>
          </cell>
        </row>
        <row r="471">
          <cell r="J471">
            <v>46141</v>
          </cell>
          <cell r="K471">
            <v>46171</v>
          </cell>
        </row>
        <row r="472">
          <cell r="J472">
            <v>46141</v>
          </cell>
          <cell r="K472">
            <v>46171</v>
          </cell>
        </row>
        <row r="473">
          <cell r="J473">
            <v>46141</v>
          </cell>
          <cell r="K473">
            <v>46171</v>
          </cell>
        </row>
        <row r="474">
          <cell r="J474">
            <v>46141</v>
          </cell>
          <cell r="K474">
            <v>46162</v>
          </cell>
        </row>
        <row r="475">
          <cell r="J475">
            <v>46153</v>
          </cell>
          <cell r="K475">
            <v>46167</v>
          </cell>
        </row>
        <row r="476">
          <cell r="J476">
            <v>46153</v>
          </cell>
          <cell r="K476">
            <v>46167</v>
          </cell>
        </row>
        <row r="477">
          <cell r="J477">
            <v>46153</v>
          </cell>
          <cell r="K477">
            <v>46167</v>
          </cell>
        </row>
        <row r="478">
          <cell r="J478">
            <v>46153</v>
          </cell>
          <cell r="K478">
            <v>46167</v>
          </cell>
        </row>
        <row r="479">
          <cell r="J479">
            <v>46153</v>
          </cell>
          <cell r="K479">
            <v>46167</v>
          </cell>
        </row>
        <row r="480">
          <cell r="J480">
            <v>46153</v>
          </cell>
          <cell r="K480">
            <v>46170</v>
          </cell>
        </row>
        <row r="481">
          <cell r="J481">
            <v>46153</v>
          </cell>
          <cell r="K481">
            <v>46170</v>
          </cell>
        </row>
        <row r="482">
          <cell r="J482">
            <v>46154</v>
          </cell>
          <cell r="K482">
            <v>46168</v>
          </cell>
        </row>
        <row r="483">
          <cell r="J483">
            <v>46155</v>
          </cell>
          <cell r="K483">
            <v>46213</v>
          </cell>
        </row>
        <row r="484">
          <cell r="J484">
            <v>46156</v>
          </cell>
          <cell r="K484">
            <v>46167</v>
          </cell>
        </row>
        <row r="485">
          <cell r="J485">
            <v>46160</v>
          </cell>
          <cell r="K485">
            <v>46171</v>
          </cell>
        </row>
        <row r="486">
          <cell r="J486">
            <v>46160</v>
          </cell>
          <cell r="K486">
            <v>46171</v>
          </cell>
        </row>
        <row r="487">
          <cell r="J487">
            <v>46160</v>
          </cell>
          <cell r="K487">
            <v>46171</v>
          </cell>
        </row>
        <row r="488">
          <cell r="J488">
            <v>46160</v>
          </cell>
          <cell r="K488">
            <v>46171</v>
          </cell>
        </row>
        <row r="489">
          <cell r="J489">
            <v>46160</v>
          </cell>
          <cell r="K489">
            <v>46171</v>
          </cell>
        </row>
        <row r="490">
          <cell r="J490">
            <v>46160</v>
          </cell>
          <cell r="K490">
            <v>46171</v>
          </cell>
        </row>
        <row r="491">
          <cell r="J491">
            <v>46162</v>
          </cell>
          <cell r="K491">
            <v>46213</v>
          </cell>
        </row>
        <row r="492">
          <cell r="J492">
            <v>46162</v>
          </cell>
          <cell r="K492">
            <v>46168</v>
          </cell>
        </row>
        <row r="493">
          <cell r="J493">
            <v>46167</v>
          </cell>
          <cell r="K493">
            <v>46171</v>
          </cell>
        </row>
        <row r="494">
          <cell r="J494">
            <v>46168</v>
          </cell>
          <cell r="K494">
            <v>46213</v>
          </cell>
        </row>
        <row r="495">
          <cell r="J495">
            <v>46168</v>
          </cell>
          <cell r="K495">
            <v>46213</v>
          </cell>
        </row>
        <row r="496">
          <cell r="J496">
            <v>46168</v>
          </cell>
          <cell r="K496">
            <v>46213</v>
          </cell>
        </row>
        <row r="497">
          <cell r="J497">
            <v>46168</v>
          </cell>
          <cell r="K497">
            <v>46213</v>
          </cell>
        </row>
        <row r="498">
          <cell r="J498">
            <v>46168</v>
          </cell>
          <cell r="K498">
            <v>46213</v>
          </cell>
        </row>
        <row r="499">
          <cell r="J499">
            <v>46168</v>
          </cell>
          <cell r="K499">
            <v>46213</v>
          </cell>
        </row>
        <row r="500">
          <cell r="J500">
            <v>46170</v>
          </cell>
          <cell r="K500">
            <v>46188</v>
          </cell>
        </row>
        <row r="501">
          <cell r="J501">
            <v>46170</v>
          </cell>
          <cell r="K501">
            <v>46181</v>
          </cell>
        </row>
        <row r="502">
          <cell r="J502">
            <v>46170</v>
          </cell>
          <cell r="K502">
            <v>46192</v>
          </cell>
        </row>
        <row r="503">
          <cell r="J503">
            <v>46170</v>
          </cell>
          <cell r="K503">
            <v>46192</v>
          </cell>
        </row>
        <row r="504">
          <cell r="J504">
            <v>46170</v>
          </cell>
          <cell r="K504">
            <v>46245</v>
          </cell>
        </row>
        <row r="505">
          <cell r="J505">
            <v>46171</v>
          </cell>
          <cell r="K505">
            <v>46213</v>
          </cell>
        </row>
        <row r="506">
          <cell r="J506">
            <v>46171</v>
          </cell>
          <cell r="K506">
            <v>46213</v>
          </cell>
        </row>
        <row r="507">
          <cell r="J507">
            <v>46171</v>
          </cell>
          <cell r="K507">
            <v>46213</v>
          </cell>
        </row>
        <row r="508">
          <cell r="J508">
            <v>46175</v>
          </cell>
          <cell r="K508">
            <v>46188</v>
          </cell>
        </row>
        <row r="509">
          <cell r="J509">
            <v>46175</v>
          </cell>
          <cell r="K509">
            <v>46185</v>
          </cell>
        </row>
        <row r="510">
          <cell r="J510">
            <v>46175</v>
          </cell>
          <cell r="K510">
            <v>46183</v>
          </cell>
        </row>
        <row r="511">
          <cell r="J511">
            <v>46175</v>
          </cell>
          <cell r="K511">
            <v>46185</v>
          </cell>
        </row>
        <row r="512">
          <cell r="J512">
            <v>46175</v>
          </cell>
          <cell r="K512">
            <v>46184</v>
          </cell>
        </row>
        <row r="513">
          <cell r="J513">
            <v>46175</v>
          </cell>
          <cell r="K513">
            <v>46185</v>
          </cell>
        </row>
        <row r="514">
          <cell r="J514">
            <v>46177</v>
          </cell>
          <cell r="K514">
            <v>46206</v>
          </cell>
        </row>
        <row r="515">
          <cell r="J515">
            <v>46177</v>
          </cell>
          <cell r="K515">
            <v>46206</v>
          </cell>
        </row>
        <row r="516">
          <cell r="J516">
            <v>46177</v>
          </cell>
          <cell r="K516">
            <v>46206</v>
          </cell>
        </row>
        <row r="517">
          <cell r="J517">
            <v>46177</v>
          </cell>
          <cell r="K517">
            <v>46206</v>
          </cell>
        </row>
        <row r="518">
          <cell r="J518">
            <v>46177</v>
          </cell>
          <cell r="K518">
            <v>46206</v>
          </cell>
        </row>
        <row r="519">
          <cell r="J519">
            <v>46177</v>
          </cell>
          <cell r="K519">
            <v>46206</v>
          </cell>
        </row>
        <row r="520">
          <cell r="J520">
            <v>46177</v>
          </cell>
          <cell r="K520">
            <v>46206</v>
          </cell>
        </row>
        <row r="521">
          <cell r="J521">
            <v>46177</v>
          </cell>
          <cell r="K521">
            <v>46199</v>
          </cell>
        </row>
        <row r="522">
          <cell r="J522">
            <v>46177</v>
          </cell>
          <cell r="K522">
            <v>46206</v>
          </cell>
        </row>
        <row r="523">
          <cell r="J523">
            <v>46178</v>
          </cell>
          <cell r="K523">
            <v>46212</v>
          </cell>
        </row>
        <row r="524">
          <cell r="J524">
            <v>46178</v>
          </cell>
          <cell r="K524">
            <v>46212</v>
          </cell>
        </row>
        <row r="525">
          <cell r="J525">
            <v>46178</v>
          </cell>
          <cell r="K525">
            <v>46212</v>
          </cell>
        </row>
        <row r="526">
          <cell r="J526">
            <v>46178</v>
          </cell>
          <cell r="K526">
            <v>46212</v>
          </cell>
        </row>
        <row r="527">
          <cell r="J527">
            <v>46178</v>
          </cell>
          <cell r="K527">
            <v>46212</v>
          </cell>
        </row>
        <row r="528">
          <cell r="J528">
            <v>46178</v>
          </cell>
          <cell r="K528">
            <v>46192</v>
          </cell>
        </row>
        <row r="529">
          <cell r="J529">
            <v>46181</v>
          </cell>
          <cell r="K529">
            <v>46192</v>
          </cell>
        </row>
        <row r="530">
          <cell r="J530">
            <v>46181</v>
          </cell>
          <cell r="K530">
            <v>46192</v>
          </cell>
        </row>
        <row r="531">
          <cell r="J531">
            <v>46181</v>
          </cell>
          <cell r="K531">
            <v>46192</v>
          </cell>
        </row>
        <row r="532">
          <cell r="J532">
            <v>46181</v>
          </cell>
          <cell r="K532">
            <v>46192</v>
          </cell>
        </row>
        <row r="533">
          <cell r="J533">
            <v>46181</v>
          </cell>
          <cell r="K533">
            <v>46192</v>
          </cell>
        </row>
        <row r="534">
          <cell r="J534">
            <v>46181</v>
          </cell>
          <cell r="K534">
            <v>46192</v>
          </cell>
        </row>
        <row r="535">
          <cell r="J535">
            <v>46181</v>
          </cell>
          <cell r="K535">
            <v>46192</v>
          </cell>
        </row>
        <row r="536">
          <cell r="J536">
            <v>46181</v>
          </cell>
          <cell r="K536">
            <v>46213</v>
          </cell>
        </row>
        <row r="537">
          <cell r="J537">
            <v>46188</v>
          </cell>
          <cell r="K537">
            <v>46192</v>
          </cell>
        </row>
        <row r="538">
          <cell r="J538">
            <v>46188</v>
          </cell>
          <cell r="K538">
            <v>46192</v>
          </cell>
        </row>
        <row r="539">
          <cell r="J539">
            <v>46188</v>
          </cell>
          <cell r="K539">
            <v>46192</v>
          </cell>
        </row>
        <row r="540">
          <cell r="J540">
            <v>46188</v>
          </cell>
          <cell r="K540">
            <v>46192</v>
          </cell>
        </row>
        <row r="541">
          <cell r="J541">
            <v>46188</v>
          </cell>
          <cell r="K541">
            <v>46192</v>
          </cell>
        </row>
        <row r="542">
          <cell r="J542">
            <v>46192</v>
          </cell>
          <cell r="K542">
            <v>46226</v>
          </cell>
        </row>
        <row r="543">
          <cell r="J543">
            <v>46192</v>
          </cell>
          <cell r="K543">
            <v>46226</v>
          </cell>
        </row>
        <row r="544">
          <cell r="J544">
            <v>46192</v>
          </cell>
          <cell r="K544">
            <v>46226</v>
          </cell>
        </row>
        <row r="545">
          <cell r="J545">
            <v>46192</v>
          </cell>
          <cell r="K545">
            <v>46226</v>
          </cell>
        </row>
        <row r="546">
          <cell r="J546">
            <v>46192</v>
          </cell>
          <cell r="K546">
            <v>46226</v>
          </cell>
        </row>
        <row r="547">
          <cell r="J547">
            <v>46192</v>
          </cell>
          <cell r="K547">
            <v>46226</v>
          </cell>
        </row>
        <row r="548">
          <cell r="J548">
            <v>46192</v>
          </cell>
          <cell r="K548">
            <v>46226</v>
          </cell>
        </row>
        <row r="549">
          <cell r="J549">
            <v>46192</v>
          </cell>
          <cell r="K549">
            <v>46226</v>
          </cell>
        </row>
        <row r="550">
          <cell r="J550">
            <v>46198</v>
          </cell>
          <cell r="K550">
            <v>46234</v>
          </cell>
        </row>
        <row r="551">
          <cell r="J551">
            <v>46199</v>
          </cell>
          <cell r="K551">
            <v>46220</v>
          </cell>
        </row>
        <row r="552">
          <cell r="J552">
            <v>46199</v>
          </cell>
          <cell r="K552">
            <v>46220</v>
          </cell>
        </row>
        <row r="553">
          <cell r="J553">
            <v>46199</v>
          </cell>
          <cell r="K553">
            <v>46220</v>
          </cell>
        </row>
        <row r="554">
          <cell r="J554">
            <v>46199</v>
          </cell>
          <cell r="K554">
            <v>46220</v>
          </cell>
        </row>
        <row r="555">
          <cell r="J555">
            <v>46199</v>
          </cell>
          <cell r="K555">
            <v>46237</v>
          </cell>
        </row>
        <row r="556">
          <cell r="J556">
            <v>46199</v>
          </cell>
          <cell r="K556">
            <v>46220</v>
          </cell>
        </row>
        <row r="557">
          <cell r="J557">
            <v>46209</v>
          </cell>
          <cell r="K557">
            <v>46234</v>
          </cell>
        </row>
        <row r="558">
          <cell r="J558">
            <v>46209</v>
          </cell>
          <cell r="K558">
            <v>46234</v>
          </cell>
        </row>
        <row r="559">
          <cell r="J559">
            <v>46209</v>
          </cell>
          <cell r="K559">
            <v>46234</v>
          </cell>
        </row>
        <row r="560">
          <cell r="J560">
            <v>46209</v>
          </cell>
          <cell r="K560">
            <v>46234</v>
          </cell>
        </row>
        <row r="561">
          <cell r="J561">
            <v>46209</v>
          </cell>
          <cell r="K561">
            <v>46234</v>
          </cell>
        </row>
        <row r="562">
          <cell r="J562">
            <v>46209</v>
          </cell>
          <cell r="K562">
            <v>46234</v>
          </cell>
        </row>
        <row r="563">
          <cell r="J563">
            <v>46209</v>
          </cell>
          <cell r="K563">
            <v>46234</v>
          </cell>
        </row>
        <row r="564">
          <cell r="J564">
            <v>46209</v>
          </cell>
          <cell r="K564">
            <v>46245</v>
          </cell>
        </row>
        <row r="565">
          <cell r="J565">
            <v>46209</v>
          </cell>
          <cell r="K565">
            <v>46245</v>
          </cell>
        </row>
        <row r="566">
          <cell r="J566">
            <v>46209</v>
          </cell>
          <cell r="K566">
            <v>46245</v>
          </cell>
        </row>
        <row r="567">
          <cell r="J567">
            <v>46209</v>
          </cell>
          <cell r="K567">
            <v>46245</v>
          </cell>
        </row>
        <row r="568">
          <cell r="J568">
            <v>46209</v>
          </cell>
          <cell r="K568">
            <v>46245</v>
          </cell>
        </row>
        <row r="569">
          <cell r="J569">
            <v>46209</v>
          </cell>
          <cell r="K569">
            <v>46245</v>
          </cell>
        </row>
        <row r="570">
          <cell r="J570">
            <v>46210</v>
          </cell>
          <cell r="K570">
            <v>46247</v>
          </cell>
        </row>
        <row r="571">
          <cell r="J571">
            <v>46223</v>
          </cell>
          <cell r="K571">
            <v>46245</v>
          </cell>
        </row>
        <row r="572">
          <cell r="J572">
            <v>46223</v>
          </cell>
          <cell r="K572">
            <v>46245</v>
          </cell>
        </row>
        <row r="573">
          <cell r="J573">
            <v>46223</v>
          </cell>
          <cell r="K573">
            <v>46245</v>
          </cell>
        </row>
        <row r="574">
          <cell r="J574">
            <v>46227</v>
          </cell>
          <cell r="K574">
            <v>46252</v>
          </cell>
        </row>
        <row r="575">
          <cell r="J575">
            <v>46227</v>
          </cell>
          <cell r="K575">
            <v>46252</v>
          </cell>
        </row>
        <row r="576">
          <cell r="J576">
            <v>46227</v>
          </cell>
          <cell r="K576">
            <v>46252</v>
          </cell>
        </row>
        <row r="577">
          <cell r="J577">
            <v>46227</v>
          </cell>
          <cell r="K577">
            <v>46252</v>
          </cell>
        </row>
        <row r="578">
          <cell r="J578">
            <v>46227</v>
          </cell>
          <cell r="K578">
            <v>46252</v>
          </cell>
        </row>
        <row r="579">
          <cell r="J579">
            <v>46227</v>
          </cell>
          <cell r="K579">
            <v>46252</v>
          </cell>
        </row>
        <row r="580">
          <cell r="J580">
            <v>46230</v>
          </cell>
          <cell r="K580">
            <v>46253</v>
          </cell>
        </row>
        <row r="581">
          <cell r="J581">
            <v>46230</v>
          </cell>
          <cell r="K581">
            <v>46253</v>
          </cell>
        </row>
        <row r="582">
          <cell r="J582">
            <v>46230</v>
          </cell>
          <cell r="K582">
            <v>46253</v>
          </cell>
        </row>
        <row r="583">
          <cell r="J583">
            <v>46230</v>
          </cell>
          <cell r="K583">
            <v>46253</v>
          </cell>
        </row>
        <row r="584">
          <cell r="J584">
            <v>46230</v>
          </cell>
          <cell r="K584">
            <v>46253</v>
          </cell>
        </row>
        <row r="585">
          <cell r="J585">
            <v>46230</v>
          </cell>
          <cell r="K585">
            <v>46253</v>
          </cell>
        </row>
        <row r="586">
          <cell r="J586">
            <v>46230</v>
          </cell>
          <cell r="K586">
            <v>46253</v>
          </cell>
        </row>
        <row r="587">
          <cell r="J587">
            <v>46230</v>
          </cell>
          <cell r="K587">
            <v>46253</v>
          </cell>
        </row>
        <row r="588">
          <cell r="J588">
            <v>46230</v>
          </cell>
          <cell r="K588">
            <v>46253</v>
          </cell>
        </row>
        <row r="589">
          <cell r="J589">
            <v>46230</v>
          </cell>
          <cell r="K589">
            <v>46253</v>
          </cell>
        </row>
        <row r="590">
          <cell r="J590">
            <v>46230</v>
          </cell>
          <cell r="K590">
            <v>46253</v>
          </cell>
        </row>
        <row r="591">
          <cell r="J591">
            <v>46230</v>
          </cell>
          <cell r="K591">
            <v>46245</v>
          </cell>
        </row>
        <row r="592">
          <cell r="J592">
            <v>46233</v>
          </cell>
          <cell r="K592">
            <v>46247</v>
          </cell>
        </row>
        <row r="593">
          <cell r="J593">
            <v>46238</v>
          </cell>
          <cell r="K593">
            <v>46259</v>
          </cell>
        </row>
        <row r="594">
          <cell r="J594">
            <v>46239</v>
          </cell>
          <cell r="K594">
            <v>46245</v>
          </cell>
        </row>
        <row r="595">
          <cell r="J595">
            <v>46241</v>
          </cell>
          <cell r="K595">
            <v>46248</v>
          </cell>
        </row>
        <row r="596">
          <cell r="J596">
            <v>46245</v>
          </cell>
          <cell r="K596">
            <v>46266</v>
          </cell>
        </row>
        <row r="597">
          <cell r="J597">
            <v>46245</v>
          </cell>
          <cell r="K597">
            <v>46266</v>
          </cell>
        </row>
        <row r="598">
          <cell r="J598">
            <v>46245</v>
          </cell>
          <cell r="K598">
            <v>46266</v>
          </cell>
        </row>
        <row r="599">
          <cell r="J599">
            <v>46245</v>
          </cell>
          <cell r="K599">
            <v>46266</v>
          </cell>
        </row>
        <row r="600">
          <cell r="J600">
            <v>46245</v>
          </cell>
          <cell r="K600">
            <v>46266</v>
          </cell>
        </row>
        <row r="601">
          <cell r="J601">
            <v>46245</v>
          </cell>
          <cell r="K601">
            <v>46266</v>
          </cell>
        </row>
        <row r="602">
          <cell r="J602">
            <v>46245</v>
          </cell>
          <cell r="K602">
            <v>46266</v>
          </cell>
        </row>
        <row r="603">
          <cell r="J603">
            <v>46245</v>
          </cell>
          <cell r="K603">
            <v>46266</v>
          </cell>
        </row>
        <row r="604">
          <cell r="J604">
            <v>46252</v>
          </cell>
          <cell r="K604">
            <v>46272</v>
          </cell>
        </row>
        <row r="605">
          <cell r="J605">
            <v>46253</v>
          </cell>
          <cell r="K605">
            <v>46273</v>
          </cell>
        </row>
        <row r="606">
          <cell r="J606">
            <v>46253</v>
          </cell>
          <cell r="K606">
            <v>46273</v>
          </cell>
        </row>
        <row r="607">
          <cell r="J607">
            <v>46253</v>
          </cell>
          <cell r="K607">
            <v>46273</v>
          </cell>
        </row>
        <row r="608">
          <cell r="J608">
            <v>46260</v>
          </cell>
          <cell r="K608">
            <v>46280</v>
          </cell>
        </row>
        <row r="609">
          <cell r="J609">
            <v>46261</v>
          </cell>
          <cell r="K609">
            <v>46281</v>
          </cell>
        </row>
        <row r="610">
          <cell r="J610">
            <v>46261</v>
          </cell>
          <cell r="K610">
            <v>46281</v>
          </cell>
        </row>
        <row r="611">
          <cell r="J611">
            <v>46261</v>
          </cell>
          <cell r="K611">
            <v>46281</v>
          </cell>
        </row>
        <row r="612">
          <cell r="J612">
            <v>46261</v>
          </cell>
          <cell r="K612">
            <v>46281</v>
          </cell>
        </row>
        <row r="613">
          <cell r="J613">
            <v>46261</v>
          </cell>
          <cell r="K613">
            <v>46281</v>
          </cell>
        </row>
        <row r="614">
          <cell r="J614">
            <v>46261</v>
          </cell>
          <cell r="K614">
            <v>46281</v>
          </cell>
        </row>
        <row r="615">
          <cell r="J615">
            <v>46261</v>
          </cell>
          <cell r="K615">
            <v>46281</v>
          </cell>
        </row>
        <row r="616">
          <cell r="J616">
            <v>46261</v>
          </cell>
          <cell r="K616">
            <v>46281</v>
          </cell>
        </row>
        <row r="617">
          <cell r="J617">
            <v>46261</v>
          </cell>
          <cell r="K617">
            <v>46281</v>
          </cell>
        </row>
        <row r="618">
          <cell r="J618">
            <v>46261</v>
          </cell>
          <cell r="K618">
            <v>46281</v>
          </cell>
        </row>
        <row r="619">
          <cell r="J619">
            <v>46261</v>
          </cell>
          <cell r="K619">
            <v>46281</v>
          </cell>
        </row>
        <row r="620">
          <cell r="J620">
            <v>46262</v>
          </cell>
          <cell r="K620">
            <v>46275</v>
          </cell>
        </row>
        <row r="621">
          <cell r="J621">
            <v>46262</v>
          </cell>
          <cell r="K621">
            <v>46282</v>
          </cell>
        </row>
        <row r="622">
          <cell r="J622">
            <v>46265</v>
          </cell>
          <cell r="K622">
            <v>46269</v>
          </cell>
        </row>
        <row r="623">
          <cell r="J623">
            <v>46267</v>
          </cell>
          <cell r="K623">
            <v>46287</v>
          </cell>
        </row>
        <row r="624">
          <cell r="J624">
            <v>46267</v>
          </cell>
          <cell r="K624">
            <v>46287</v>
          </cell>
        </row>
        <row r="625">
          <cell r="J625">
            <v>46267</v>
          </cell>
          <cell r="K625">
            <v>46287</v>
          </cell>
        </row>
        <row r="626">
          <cell r="J626">
            <v>46267</v>
          </cell>
          <cell r="K626">
            <v>46287</v>
          </cell>
        </row>
        <row r="627">
          <cell r="J627">
            <v>46267</v>
          </cell>
          <cell r="K627">
            <v>46287</v>
          </cell>
        </row>
        <row r="628">
          <cell r="J628">
            <v>46267</v>
          </cell>
          <cell r="K628">
            <v>46287</v>
          </cell>
        </row>
        <row r="629">
          <cell r="J629">
            <v>46267</v>
          </cell>
          <cell r="K629">
            <v>46287</v>
          </cell>
        </row>
        <row r="630">
          <cell r="J630">
            <v>46267</v>
          </cell>
          <cell r="K630">
            <v>46287</v>
          </cell>
        </row>
        <row r="631">
          <cell r="J631">
            <v>46274</v>
          </cell>
          <cell r="K631">
            <v>46294</v>
          </cell>
        </row>
        <row r="632">
          <cell r="J632">
            <v>46274</v>
          </cell>
          <cell r="K632">
            <v>46294</v>
          </cell>
        </row>
        <row r="633">
          <cell r="J633">
            <v>46274</v>
          </cell>
          <cell r="K633">
            <v>46287</v>
          </cell>
        </row>
        <row r="634">
          <cell r="J634">
            <v>46281</v>
          </cell>
          <cell r="K634">
            <v>46301</v>
          </cell>
        </row>
        <row r="635">
          <cell r="J635">
            <v>46281</v>
          </cell>
          <cell r="K635">
            <v>46301</v>
          </cell>
        </row>
        <row r="636">
          <cell r="J636">
            <v>46281</v>
          </cell>
          <cell r="K636">
            <v>46301</v>
          </cell>
        </row>
        <row r="637">
          <cell r="J637">
            <v>46281</v>
          </cell>
          <cell r="K637">
            <v>46301</v>
          </cell>
        </row>
        <row r="638">
          <cell r="J638">
            <v>46281</v>
          </cell>
          <cell r="K638">
            <v>46301</v>
          </cell>
        </row>
        <row r="639">
          <cell r="J639">
            <v>46281</v>
          </cell>
          <cell r="K639">
            <v>46301</v>
          </cell>
        </row>
        <row r="640">
          <cell r="J640">
            <v>46281</v>
          </cell>
          <cell r="K640">
            <v>46301</v>
          </cell>
        </row>
        <row r="641">
          <cell r="J641">
            <v>46281</v>
          </cell>
          <cell r="K641">
            <v>46301</v>
          </cell>
        </row>
        <row r="642">
          <cell r="J642">
            <v>46287</v>
          </cell>
          <cell r="K642">
            <v>46307</v>
          </cell>
        </row>
        <row r="643">
          <cell r="J643">
            <v>46288</v>
          </cell>
          <cell r="K643">
            <v>46309</v>
          </cell>
        </row>
        <row r="644">
          <cell r="J644">
            <v>46288</v>
          </cell>
          <cell r="K644">
            <v>46309</v>
          </cell>
        </row>
        <row r="645">
          <cell r="J645">
            <v>46288</v>
          </cell>
          <cell r="K645">
            <v>46309</v>
          </cell>
        </row>
        <row r="646">
          <cell r="J646">
            <v>46290</v>
          </cell>
          <cell r="K646">
            <v>46296</v>
          </cell>
        </row>
        <row r="647">
          <cell r="J647">
            <v>46296</v>
          </cell>
          <cell r="K647">
            <v>46317</v>
          </cell>
        </row>
        <row r="648">
          <cell r="J648">
            <v>46296</v>
          </cell>
          <cell r="K648">
            <v>46317</v>
          </cell>
        </row>
        <row r="649">
          <cell r="J649">
            <v>46296</v>
          </cell>
          <cell r="K649">
            <v>46317</v>
          </cell>
        </row>
        <row r="650">
          <cell r="J650">
            <v>46296</v>
          </cell>
          <cell r="K650">
            <v>46317</v>
          </cell>
        </row>
        <row r="651">
          <cell r="J651">
            <v>46296</v>
          </cell>
          <cell r="K651">
            <v>46317</v>
          </cell>
        </row>
        <row r="652">
          <cell r="J652">
            <v>46296</v>
          </cell>
          <cell r="K652">
            <v>46317</v>
          </cell>
        </row>
        <row r="653">
          <cell r="J653">
            <v>46296</v>
          </cell>
          <cell r="K653">
            <v>46317</v>
          </cell>
        </row>
        <row r="654">
          <cell r="J654">
            <v>46296</v>
          </cell>
          <cell r="K654">
            <v>46317</v>
          </cell>
        </row>
        <row r="655">
          <cell r="J655">
            <v>46297</v>
          </cell>
          <cell r="K655">
            <v>46321</v>
          </cell>
        </row>
        <row r="656">
          <cell r="J656">
            <v>46302</v>
          </cell>
          <cell r="K656">
            <v>46309</v>
          </cell>
        </row>
        <row r="657">
          <cell r="J657">
            <v>46325</v>
          </cell>
          <cell r="K657">
            <v>46331</v>
          </cell>
        </row>
        <row r="658">
          <cell r="J658">
            <v>46156</v>
          </cell>
          <cell r="K658">
            <v>46288</v>
          </cell>
        </row>
        <row r="659">
          <cell r="J659">
            <v>46156</v>
          </cell>
          <cell r="K659">
            <v>46162</v>
          </cell>
        </row>
        <row r="660">
          <cell r="J660">
            <v>46178</v>
          </cell>
          <cell r="K660">
            <v>46184</v>
          </cell>
        </row>
        <row r="661">
          <cell r="J661">
            <v>46185</v>
          </cell>
          <cell r="K661">
            <v>46191</v>
          </cell>
        </row>
        <row r="662">
          <cell r="J662">
            <v>46185</v>
          </cell>
          <cell r="K662">
            <v>46191</v>
          </cell>
        </row>
        <row r="663">
          <cell r="J663">
            <v>46185</v>
          </cell>
          <cell r="K663">
            <v>46191</v>
          </cell>
        </row>
        <row r="664">
          <cell r="J664">
            <v>46192</v>
          </cell>
          <cell r="K664">
            <v>46198</v>
          </cell>
        </row>
        <row r="665">
          <cell r="J665">
            <v>46192</v>
          </cell>
          <cell r="K665">
            <v>46198</v>
          </cell>
        </row>
        <row r="666">
          <cell r="J666">
            <v>46192</v>
          </cell>
          <cell r="K666">
            <v>46198</v>
          </cell>
        </row>
        <row r="667">
          <cell r="J667">
            <v>46195</v>
          </cell>
          <cell r="K667">
            <v>46199</v>
          </cell>
        </row>
        <row r="668">
          <cell r="J668">
            <v>46195</v>
          </cell>
          <cell r="K668">
            <v>46199</v>
          </cell>
        </row>
        <row r="669">
          <cell r="J669">
            <v>46199</v>
          </cell>
          <cell r="K669">
            <v>46205</v>
          </cell>
        </row>
        <row r="670">
          <cell r="J670">
            <v>46202</v>
          </cell>
          <cell r="K670">
            <v>46206</v>
          </cell>
        </row>
        <row r="671">
          <cell r="J671">
            <v>46254</v>
          </cell>
          <cell r="K671">
            <v>46260</v>
          </cell>
        </row>
        <row r="672">
          <cell r="J672">
            <v>46275</v>
          </cell>
          <cell r="K672">
            <v>46281</v>
          </cell>
        </row>
        <row r="673">
          <cell r="J673">
            <v>46282</v>
          </cell>
          <cell r="K673">
            <v>46288</v>
          </cell>
        </row>
        <row r="674">
          <cell r="J674">
            <v>46177</v>
          </cell>
          <cell r="K674">
            <v>46322</v>
          </cell>
        </row>
        <row r="675">
          <cell r="J675">
            <v>46177</v>
          </cell>
          <cell r="K675">
            <v>46178</v>
          </cell>
        </row>
        <row r="676">
          <cell r="J676">
            <v>46202</v>
          </cell>
          <cell r="K676">
            <v>46202</v>
          </cell>
        </row>
        <row r="677">
          <cell r="J677">
            <v>46203</v>
          </cell>
          <cell r="K677">
            <v>46204</v>
          </cell>
        </row>
        <row r="678">
          <cell r="J678">
            <v>46203</v>
          </cell>
          <cell r="K678">
            <v>46204</v>
          </cell>
        </row>
        <row r="679">
          <cell r="J679">
            <v>46219</v>
          </cell>
          <cell r="K679">
            <v>46223</v>
          </cell>
        </row>
        <row r="680">
          <cell r="J680">
            <v>46219</v>
          </cell>
          <cell r="K680">
            <v>46223</v>
          </cell>
        </row>
        <row r="681">
          <cell r="J681">
            <v>46220</v>
          </cell>
          <cell r="K681">
            <v>46223</v>
          </cell>
        </row>
        <row r="682">
          <cell r="J682">
            <v>46220</v>
          </cell>
          <cell r="K682">
            <v>46223</v>
          </cell>
        </row>
        <row r="683">
          <cell r="J683">
            <v>46223</v>
          </cell>
          <cell r="K683">
            <v>46223</v>
          </cell>
        </row>
        <row r="684">
          <cell r="J684">
            <v>46224</v>
          </cell>
          <cell r="K684">
            <v>46224</v>
          </cell>
        </row>
        <row r="685">
          <cell r="J685">
            <v>46227</v>
          </cell>
          <cell r="K685">
            <v>46230</v>
          </cell>
        </row>
        <row r="686">
          <cell r="J686">
            <v>46230</v>
          </cell>
          <cell r="K686">
            <v>46230</v>
          </cell>
        </row>
        <row r="687">
          <cell r="J687">
            <v>46280</v>
          </cell>
          <cell r="K687">
            <v>46288</v>
          </cell>
        </row>
        <row r="688">
          <cell r="J688">
            <v>46310</v>
          </cell>
          <cell r="K688">
            <v>46316</v>
          </cell>
        </row>
        <row r="689">
          <cell r="J689">
            <v>46321</v>
          </cell>
          <cell r="K689">
            <v>46322</v>
          </cell>
        </row>
        <row r="690">
          <cell r="J690">
            <v>46112</v>
          </cell>
          <cell r="K690">
            <v>46330</v>
          </cell>
        </row>
        <row r="691">
          <cell r="K691">
            <v>46112</v>
          </cell>
        </row>
        <row r="692">
          <cell r="J692">
            <v>46113</v>
          </cell>
          <cell r="K692">
            <v>46148</v>
          </cell>
        </row>
        <row r="693">
          <cell r="J693">
            <v>46128</v>
          </cell>
          <cell r="K693">
            <v>46150</v>
          </cell>
        </row>
        <row r="694">
          <cell r="J694">
            <v>46128</v>
          </cell>
          <cell r="K694">
            <v>46163</v>
          </cell>
        </row>
        <row r="695">
          <cell r="J695">
            <v>46132</v>
          </cell>
          <cell r="K695">
            <v>46139</v>
          </cell>
        </row>
        <row r="696">
          <cell r="J696">
            <v>46132</v>
          </cell>
          <cell r="K696">
            <v>46139</v>
          </cell>
        </row>
        <row r="697">
          <cell r="J697">
            <v>46132</v>
          </cell>
          <cell r="K697">
            <v>46139</v>
          </cell>
        </row>
        <row r="698">
          <cell r="J698">
            <v>46132</v>
          </cell>
          <cell r="K698">
            <v>46157</v>
          </cell>
        </row>
        <row r="699">
          <cell r="J699">
            <v>46148</v>
          </cell>
          <cell r="K699">
            <v>46192</v>
          </cell>
        </row>
        <row r="700">
          <cell r="J700">
            <v>46148</v>
          </cell>
          <cell r="K700">
            <v>46184</v>
          </cell>
        </row>
        <row r="701">
          <cell r="J701">
            <v>46149</v>
          </cell>
          <cell r="K701">
            <v>46234</v>
          </cell>
        </row>
        <row r="702">
          <cell r="J702">
            <v>46154</v>
          </cell>
          <cell r="K702">
            <v>46181</v>
          </cell>
        </row>
        <row r="703">
          <cell r="J703">
            <v>46155</v>
          </cell>
          <cell r="K703">
            <v>46206</v>
          </cell>
        </row>
        <row r="704">
          <cell r="J704">
            <v>46160</v>
          </cell>
          <cell r="K704">
            <v>46170</v>
          </cell>
        </row>
        <row r="705">
          <cell r="J705">
            <v>46160</v>
          </cell>
          <cell r="K705">
            <v>46170</v>
          </cell>
        </row>
        <row r="706">
          <cell r="J706">
            <v>46160</v>
          </cell>
          <cell r="K706">
            <v>46170</v>
          </cell>
        </row>
        <row r="707">
          <cell r="J707">
            <v>46160</v>
          </cell>
          <cell r="K707">
            <v>46170</v>
          </cell>
        </row>
        <row r="708">
          <cell r="J708">
            <v>46160</v>
          </cell>
          <cell r="K708">
            <v>46170</v>
          </cell>
        </row>
        <row r="709">
          <cell r="J709">
            <v>46168</v>
          </cell>
          <cell r="K709">
            <v>46199</v>
          </cell>
        </row>
        <row r="710">
          <cell r="J710">
            <v>46181</v>
          </cell>
          <cell r="K710">
            <v>46206</v>
          </cell>
        </row>
        <row r="711">
          <cell r="J711">
            <v>46185</v>
          </cell>
          <cell r="K711">
            <v>46191</v>
          </cell>
        </row>
        <row r="712">
          <cell r="J712">
            <v>46185</v>
          </cell>
          <cell r="K712">
            <v>46191</v>
          </cell>
        </row>
        <row r="713">
          <cell r="J713">
            <v>46185</v>
          </cell>
          <cell r="K713">
            <v>46199</v>
          </cell>
        </row>
        <row r="714">
          <cell r="J714">
            <v>46185</v>
          </cell>
          <cell r="K714">
            <v>46199</v>
          </cell>
        </row>
        <row r="715">
          <cell r="J715">
            <v>46185</v>
          </cell>
          <cell r="K715">
            <v>46199</v>
          </cell>
        </row>
        <row r="716">
          <cell r="J716">
            <v>46189</v>
          </cell>
          <cell r="K716">
            <v>46217</v>
          </cell>
        </row>
        <row r="717">
          <cell r="J717">
            <v>46197</v>
          </cell>
          <cell r="K717">
            <v>46227</v>
          </cell>
        </row>
        <row r="718">
          <cell r="J718">
            <v>46199</v>
          </cell>
          <cell r="K718">
            <v>46212</v>
          </cell>
        </row>
        <row r="719">
          <cell r="J719">
            <v>46202</v>
          </cell>
          <cell r="K719">
            <v>46209</v>
          </cell>
        </row>
        <row r="720">
          <cell r="J720">
            <v>46205</v>
          </cell>
          <cell r="K720">
            <v>46225</v>
          </cell>
        </row>
        <row r="721">
          <cell r="J721">
            <v>46206</v>
          </cell>
          <cell r="K721">
            <v>46212</v>
          </cell>
        </row>
        <row r="722">
          <cell r="J722">
            <v>46209</v>
          </cell>
          <cell r="K722">
            <v>46213</v>
          </cell>
        </row>
        <row r="723">
          <cell r="J723">
            <v>46209</v>
          </cell>
          <cell r="K723">
            <v>46213</v>
          </cell>
        </row>
        <row r="724">
          <cell r="J724">
            <v>46213</v>
          </cell>
          <cell r="K724">
            <v>46219</v>
          </cell>
        </row>
        <row r="725">
          <cell r="J725">
            <v>46213</v>
          </cell>
          <cell r="K725">
            <v>46219</v>
          </cell>
        </row>
        <row r="726">
          <cell r="J726">
            <v>46216</v>
          </cell>
          <cell r="K726">
            <v>46227</v>
          </cell>
        </row>
        <row r="727">
          <cell r="J727">
            <v>46216</v>
          </cell>
          <cell r="K727">
            <v>46220</v>
          </cell>
        </row>
        <row r="728">
          <cell r="J728">
            <v>46218</v>
          </cell>
          <cell r="K728">
            <v>46245</v>
          </cell>
        </row>
        <row r="729">
          <cell r="J729">
            <v>46220</v>
          </cell>
          <cell r="K729">
            <v>46238</v>
          </cell>
        </row>
        <row r="730">
          <cell r="J730">
            <v>46223</v>
          </cell>
          <cell r="K730">
            <v>46240</v>
          </cell>
        </row>
        <row r="731">
          <cell r="J731">
            <v>46223</v>
          </cell>
          <cell r="K731">
            <v>46248</v>
          </cell>
        </row>
        <row r="732">
          <cell r="J732">
            <v>46224</v>
          </cell>
          <cell r="K732">
            <v>46230</v>
          </cell>
        </row>
        <row r="733">
          <cell r="J733">
            <v>46225</v>
          </cell>
          <cell r="K733">
            <v>46240</v>
          </cell>
        </row>
        <row r="734">
          <cell r="J734">
            <v>46225</v>
          </cell>
          <cell r="K734">
            <v>46240</v>
          </cell>
        </row>
        <row r="735">
          <cell r="J735">
            <v>46226</v>
          </cell>
          <cell r="K735">
            <v>46234</v>
          </cell>
        </row>
        <row r="736">
          <cell r="J736">
            <v>46226</v>
          </cell>
          <cell r="K736">
            <v>46252</v>
          </cell>
        </row>
        <row r="737">
          <cell r="J737">
            <v>46226</v>
          </cell>
          <cell r="K737">
            <v>46245</v>
          </cell>
        </row>
        <row r="738">
          <cell r="J738">
            <v>46226</v>
          </cell>
          <cell r="K738">
            <v>46234</v>
          </cell>
        </row>
        <row r="739">
          <cell r="J739">
            <v>46227</v>
          </cell>
          <cell r="K739">
            <v>46254</v>
          </cell>
        </row>
        <row r="740">
          <cell r="J740">
            <v>46227</v>
          </cell>
          <cell r="K740">
            <v>46237</v>
          </cell>
        </row>
        <row r="741">
          <cell r="J741">
            <v>46227</v>
          </cell>
          <cell r="K741">
            <v>46237</v>
          </cell>
        </row>
        <row r="742">
          <cell r="J742">
            <v>46227</v>
          </cell>
          <cell r="K742">
            <v>46237</v>
          </cell>
        </row>
        <row r="743">
          <cell r="J743">
            <v>46230</v>
          </cell>
          <cell r="K743">
            <v>46238</v>
          </cell>
        </row>
        <row r="744">
          <cell r="J744">
            <v>46230</v>
          </cell>
          <cell r="K744">
            <v>46238</v>
          </cell>
        </row>
        <row r="745">
          <cell r="J745">
            <v>46230</v>
          </cell>
          <cell r="K745">
            <v>46245</v>
          </cell>
        </row>
        <row r="746">
          <cell r="J746">
            <v>46230</v>
          </cell>
          <cell r="K746">
            <v>46248</v>
          </cell>
        </row>
        <row r="747">
          <cell r="J747">
            <v>46233</v>
          </cell>
          <cell r="K747">
            <v>46251</v>
          </cell>
        </row>
        <row r="748">
          <cell r="J748">
            <v>46233</v>
          </cell>
          <cell r="K748">
            <v>46251</v>
          </cell>
        </row>
        <row r="749">
          <cell r="J749">
            <v>46234</v>
          </cell>
          <cell r="K749">
            <v>46248</v>
          </cell>
        </row>
        <row r="750">
          <cell r="J750">
            <v>46238</v>
          </cell>
          <cell r="K750">
            <v>46265</v>
          </cell>
        </row>
        <row r="751">
          <cell r="J751">
            <v>46238</v>
          </cell>
          <cell r="K751">
            <v>46254</v>
          </cell>
        </row>
        <row r="752">
          <cell r="J752">
            <v>46238</v>
          </cell>
          <cell r="K752">
            <v>46254</v>
          </cell>
        </row>
        <row r="753">
          <cell r="J753">
            <v>46239</v>
          </cell>
          <cell r="K753">
            <v>46245</v>
          </cell>
        </row>
        <row r="754">
          <cell r="J754">
            <v>46241</v>
          </cell>
          <cell r="K754">
            <v>46255</v>
          </cell>
        </row>
        <row r="755">
          <cell r="J755">
            <v>46241</v>
          </cell>
          <cell r="K755">
            <v>46255</v>
          </cell>
        </row>
        <row r="756">
          <cell r="J756">
            <v>46244</v>
          </cell>
          <cell r="K756">
            <v>46258</v>
          </cell>
        </row>
        <row r="757">
          <cell r="J757">
            <v>46244</v>
          </cell>
          <cell r="K757">
            <v>46255</v>
          </cell>
        </row>
        <row r="758">
          <cell r="J758">
            <v>46247</v>
          </cell>
          <cell r="K758">
            <v>46253</v>
          </cell>
        </row>
        <row r="759">
          <cell r="J759">
            <v>46252</v>
          </cell>
          <cell r="K759">
            <v>46258</v>
          </cell>
        </row>
        <row r="760">
          <cell r="J760">
            <v>46252</v>
          </cell>
          <cell r="K760">
            <v>46258</v>
          </cell>
        </row>
        <row r="761">
          <cell r="J761">
            <v>46252</v>
          </cell>
          <cell r="K761">
            <v>46258</v>
          </cell>
        </row>
        <row r="762">
          <cell r="J762">
            <v>46253</v>
          </cell>
          <cell r="K762">
            <v>46259</v>
          </cell>
        </row>
        <row r="763">
          <cell r="J763">
            <v>46253</v>
          </cell>
          <cell r="K763">
            <v>46266</v>
          </cell>
        </row>
        <row r="764">
          <cell r="J764">
            <v>46254</v>
          </cell>
          <cell r="K764">
            <v>46267</v>
          </cell>
        </row>
        <row r="765">
          <cell r="J765">
            <v>46254</v>
          </cell>
          <cell r="K765">
            <v>46260</v>
          </cell>
        </row>
        <row r="766">
          <cell r="J766">
            <v>46258</v>
          </cell>
          <cell r="K766">
            <v>46269</v>
          </cell>
        </row>
        <row r="767">
          <cell r="J767">
            <v>46258</v>
          </cell>
          <cell r="K767">
            <v>46269</v>
          </cell>
        </row>
        <row r="768">
          <cell r="J768">
            <v>46258</v>
          </cell>
          <cell r="K768">
            <v>46269</v>
          </cell>
        </row>
        <row r="769">
          <cell r="J769">
            <v>46258</v>
          </cell>
          <cell r="K769">
            <v>46276</v>
          </cell>
        </row>
        <row r="770">
          <cell r="J770">
            <v>46259</v>
          </cell>
          <cell r="K770">
            <v>46272</v>
          </cell>
        </row>
        <row r="771">
          <cell r="J771">
            <v>46259</v>
          </cell>
          <cell r="K771">
            <v>46272</v>
          </cell>
        </row>
        <row r="772">
          <cell r="J772">
            <v>46261</v>
          </cell>
          <cell r="K772">
            <v>46267</v>
          </cell>
        </row>
        <row r="773">
          <cell r="J773">
            <v>46261</v>
          </cell>
          <cell r="K773">
            <v>46274</v>
          </cell>
        </row>
        <row r="774">
          <cell r="J774">
            <v>46261</v>
          </cell>
          <cell r="K774">
            <v>46274</v>
          </cell>
        </row>
        <row r="775">
          <cell r="J775">
            <v>46261</v>
          </cell>
          <cell r="K775">
            <v>46294</v>
          </cell>
        </row>
        <row r="776">
          <cell r="J776">
            <v>46265</v>
          </cell>
          <cell r="K776">
            <v>46276</v>
          </cell>
        </row>
        <row r="777">
          <cell r="J777">
            <v>46265</v>
          </cell>
          <cell r="K777">
            <v>46276</v>
          </cell>
        </row>
        <row r="778">
          <cell r="J778">
            <v>46265</v>
          </cell>
          <cell r="K778">
            <v>46276</v>
          </cell>
        </row>
        <row r="779">
          <cell r="J779">
            <v>46266</v>
          </cell>
          <cell r="K779">
            <v>46279</v>
          </cell>
        </row>
        <row r="780">
          <cell r="J780">
            <v>46266</v>
          </cell>
          <cell r="K780">
            <v>46279</v>
          </cell>
        </row>
        <row r="781">
          <cell r="J781">
            <v>46267</v>
          </cell>
          <cell r="K781">
            <v>46280</v>
          </cell>
        </row>
        <row r="782">
          <cell r="J782">
            <v>46268</v>
          </cell>
          <cell r="K782">
            <v>46281</v>
          </cell>
        </row>
        <row r="783">
          <cell r="J783">
            <v>46269</v>
          </cell>
          <cell r="K783">
            <v>46282</v>
          </cell>
        </row>
        <row r="784">
          <cell r="J784">
            <v>46269</v>
          </cell>
          <cell r="K784">
            <v>46282</v>
          </cell>
        </row>
        <row r="785">
          <cell r="J785">
            <v>46269</v>
          </cell>
          <cell r="K785">
            <v>46282</v>
          </cell>
        </row>
        <row r="786">
          <cell r="J786">
            <v>46272</v>
          </cell>
          <cell r="K786">
            <v>46276</v>
          </cell>
        </row>
        <row r="787">
          <cell r="J787">
            <v>46273</v>
          </cell>
          <cell r="K787">
            <v>46286</v>
          </cell>
        </row>
        <row r="788">
          <cell r="J788">
            <v>46273</v>
          </cell>
          <cell r="K788">
            <v>46279</v>
          </cell>
        </row>
        <row r="789">
          <cell r="J789">
            <v>46273</v>
          </cell>
          <cell r="K789">
            <v>46283</v>
          </cell>
        </row>
        <row r="790">
          <cell r="J790">
            <v>46274</v>
          </cell>
          <cell r="K790">
            <v>46287</v>
          </cell>
        </row>
        <row r="791">
          <cell r="J791">
            <v>46275</v>
          </cell>
          <cell r="K791">
            <v>46288</v>
          </cell>
        </row>
        <row r="792">
          <cell r="J792">
            <v>46280</v>
          </cell>
          <cell r="K792">
            <v>46286</v>
          </cell>
        </row>
        <row r="793">
          <cell r="J793">
            <v>46281</v>
          </cell>
          <cell r="K793">
            <v>46287</v>
          </cell>
        </row>
        <row r="794">
          <cell r="J794">
            <v>46281</v>
          </cell>
          <cell r="K794">
            <v>46287</v>
          </cell>
        </row>
        <row r="795">
          <cell r="J795">
            <v>46282</v>
          </cell>
          <cell r="K795">
            <v>46295</v>
          </cell>
        </row>
        <row r="796">
          <cell r="J796">
            <v>46282</v>
          </cell>
          <cell r="K796">
            <v>46288</v>
          </cell>
        </row>
        <row r="797">
          <cell r="J797">
            <v>46286</v>
          </cell>
          <cell r="K797">
            <v>46297</v>
          </cell>
        </row>
        <row r="798">
          <cell r="J798">
            <v>46287</v>
          </cell>
          <cell r="K798">
            <v>46300</v>
          </cell>
        </row>
        <row r="799">
          <cell r="J799">
            <v>46287</v>
          </cell>
          <cell r="K799">
            <v>46300</v>
          </cell>
        </row>
        <row r="800">
          <cell r="J800">
            <v>46289</v>
          </cell>
          <cell r="K800">
            <v>46295</v>
          </cell>
        </row>
        <row r="801">
          <cell r="J801">
            <v>46289</v>
          </cell>
          <cell r="K801">
            <v>46302</v>
          </cell>
        </row>
        <row r="802">
          <cell r="J802">
            <v>46293</v>
          </cell>
          <cell r="K802">
            <v>46304</v>
          </cell>
        </row>
        <row r="803">
          <cell r="J803">
            <v>46293</v>
          </cell>
          <cell r="K803">
            <v>46297</v>
          </cell>
        </row>
        <row r="804">
          <cell r="J804">
            <v>46293</v>
          </cell>
          <cell r="K804">
            <v>46304</v>
          </cell>
        </row>
        <row r="805">
          <cell r="J805">
            <v>46293</v>
          </cell>
          <cell r="K805">
            <v>46304</v>
          </cell>
        </row>
        <row r="806">
          <cell r="J806">
            <v>46294</v>
          </cell>
          <cell r="K806">
            <v>46307</v>
          </cell>
        </row>
        <row r="807">
          <cell r="J807">
            <v>46294</v>
          </cell>
          <cell r="K807">
            <v>46307</v>
          </cell>
        </row>
        <row r="808">
          <cell r="J808">
            <v>46295</v>
          </cell>
          <cell r="K808">
            <v>46309</v>
          </cell>
        </row>
        <row r="809">
          <cell r="J809">
            <v>46296</v>
          </cell>
          <cell r="K809">
            <v>46302</v>
          </cell>
        </row>
        <row r="810">
          <cell r="J810">
            <v>46297</v>
          </cell>
          <cell r="K810">
            <v>46311</v>
          </cell>
        </row>
        <row r="811">
          <cell r="J811">
            <v>46297</v>
          </cell>
          <cell r="K811">
            <v>46311</v>
          </cell>
        </row>
        <row r="812">
          <cell r="J812">
            <v>46297</v>
          </cell>
          <cell r="K812">
            <v>46311</v>
          </cell>
        </row>
        <row r="813">
          <cell r="J813">
            <v>46301</v>
          </cell>
          <cell r="K813">
            <v>46307</v>
          </cell>
        </row>
        <row r="814">
          <cell r="J814">
            <v>46302</v>
          </cell>
          <cell r="K814">
            <v>46309</v>
          </cell>
        </row>
        <row r="815">
          <cell r="J815">
            <v>46302</v>
          </cell>
          <cell r="K815">
            <v>46309</v>
          </cell>
        </row>
        <row r="816">
          <cell r="J816">
            <v>46303</v>
          </cell>
          <cell r="K816">
            <v>46317</v>
          </cell>
        </row>
        <row r="817">
          <cell r="J817">
            <v>46303</v>
          </cell>
          <cell r="K817">
            <v>46317</v>
          </cell>
        </row>
        <row r="818">
          <cell r="J818">
            <v>46310</v>
          </cell>
          <cell r="K818">
            <v>46316</v>
          </cell>
        </row>
        <row r="819">
          <cell r="J819">
            <v>46323</v>
          </cell>
          <cell r="K819">
            <v>46336</v>
          </cell>
        </row>
        <row r="820">
          <cell r="J820">
            <v>46325</v>
          </cell>
          <cell r="K820">
            <v>46331</v>
          </cell>
        </row>
        <row r="821">
          <cell r="J821">
            <v>46128</v>
          </cell>
          <cell r="K821">
            <v>46281</v>
          </cell>
        </row>
        <row r="822">
          <cell r="J822">
            <v>46128</v>
          </cell>
          <cell r="K822">
            <v>46170</v>
          </cell>
        </row>
        <row r="823">
          <cell r="J823">
            <v>46148</v>
          </cell>
          <cell r="K823">
            <v>46181</v>
          </cell>
        </row>
        <row r="824">
          <cell r="J824">
            <v>46148</v>
          </cell>
          <cell r="K824">
            <v>46181</v>
          </cell>
        </row>
        <row r="825">
          <cell r="J825">
            <v>46148</v>
          </cell>
          <cell r="K825">
            <v>46181</v>
          </cell>
        </row>
        <row r="826">
          <cell r="J826">
            <v>46148</v>
          </cell>
          <cell r="K826">
            <v>46181</v>
          </cell>
        </row>
        <row r="827">
          <cell r="J827">
            <v>46185</v>
          </cell>
          <cell r="K827">
            <v>46211</v>
          </cell>
        </row>
        <row r="828">
          <cell r="J828">
            <v>46185</v>
          </cell>
          <cell r="K828">
            <v>46211</v>
          </cell>
        </row>
        <row r="829">
          <cell r="J829">
            <v>46189</v>
          </cell>
          <cell r="K829">
            <v>46213</v>
          </cell>
        </row>
        <row r="830">
          <cell r="J830">
            <v>46195</v>
          </cell>
          <cell r="K830">
            <v>46206</v>
          </cell>
        </row>
        <row r="831">
          <cell r="J831">
            <v>46195</v>
          </cell>
          <cell r="K831">
            <v>46206</v>
          </cell>
        </row>
        <row r="832">
          <cell r="J832">
            <v>46195</v>
          </cell>
          <cell r="K832">
            <v>46206</v>
          </cell>
        </row>
        <row r="833">
          <cell r="J833">
            <v>46195</v>
          </cell>
          <cell r="K833">
            <v>46206</v>
          </cell>
        </row>
        <row r="834">
          <cell r="J834">
            <v>46209</v>
          </cell>
          <cell r="K834">
            <v>46227</v>
          </cell>
        </row>
        <row r="835">
          <cell r="J835">
            <v>46209</v>
          </cell>
          <cell r="K835">
            <v>46227</v>
          </cell>
        </row>
        <row r="836">
          <cell r="J836">
            <v>46209</v>
          </cell>
          <cell r="K836">
            <v>46227</v>
          </cell>
        </row>
        <row r="837">
          <cell r="J837">
            <v>46209</v>
          </cell>
          <cell r="K837">
            <v>46227</v>
          </cell>
        </row>
        <row r="838">
          <cell r="J838">
            <v>46209</v>
          </cell>
          <cell r="K838">
            <v>46227</v>
          </cell>
        </row>
        <row r="839">
          <cell r="J839">
            <v>46209</v>
          </cell>
          <cell r="K839">
            <v>46227</v>
          </cell>
        </row>
        <row r="840">
          <cell r="J840">
            <v>46223</v>
          </cell>
          <cell r="K840">
            <v>46238</v>
          </cell>
        </row>
        <row r="841">
          <cell r="J841">
            <v>46223</v>
          </cell>
          <cell r="K841">
            <v>46238</v>
          </cell>
        </row>
        <row r="842">
          <cell r="J842">
            <v>46223</v>
          </cell>
          <cell r="K842">
            <v>46238</v>
          </cell>
        </row>
        <row r="843">
          <cell r="J843">
            <v>46223</v>
          </cell>
          <cell r="K843">
            <v>46238</v>
          </cell>
        </row>
        <row r="844">
          <cell r="J844">
            <v>46227</v>
          </cell>
          <cell r="K844">
            <v>46244</v>
          </cell>
        </row>
        <row r="845">
          <cell r="J845">
            <v>46227</v>
          </cell>
          <cell r="K845">
            <v>46244</v>
          </cell>
        </row>
        <row r="846">
          <cell r="J846">
            <v>46230</v>
          </cell>
          <cell r="K846">
            <v>46241</v>
          </cell>
        </row>
        <row r="847">
          <cell r="J847">
            <v>46244</v>
          </cell>
          <cell r="K847">
            <v>46251</v>
          </cell>
        </row>
        <row r="848">
          <cell r="J848">
            <v>46244</v>
          </cell>
          <cell r="K848">
            <v>46251</v>
          </cell>
        </row>
        <row r="849">
          <cell r="J849">
            <v>46244</v>
          </cell>
          <cell r="K849">
            <v>46251</v>
          </cell>
        </row>
        <row r="850">
          <cell r="J850">
            <v>46244</v>
          </cell>
          <cell r="K850">
            <v>46251</v>
          </cell>
        </row>
        <row r="851">
          <cell r="J851">
            <v>46244</v>
          </cell>
          <cell r="K851">
            <v>46251</v>
          </cell>
        </row>
        <row r="852">
          <cell r="J852">
            <v>46244</v>
          </cell>
          <cell r="K852">
            <v>46251</v>
          </cell>
        </row>
        <row r="853">
          <cell r="J853">
            <v>46260</v>
          </cell>
          <cell r="K853">
            <v>46272</v>
          </cell>
        </row>
        <row r="854">
          <cell r="J854">
            <v>46260</v>
          </cell>
          <cell r="K854">
            <v>46272</v>
          </cell>
        </row>
        <row r="855">
          <cell r="J855">
            <v>46274</v>
          </cell>
          <cell r="K855">
            <v>46280</v>
          </cell>
        </row>
        <row r="856">
          <cell r="J856">
            <v>46274</v>
          </cell>
          <cell r="K856">
            <v>46280</v>
          </cell>
        </row>
        <row r="857">
          <cell r="J857">
            <v>46274</v>
          </cell>
          <cell r="K857">
            <v>46280</v>
          </cell>
        </row>
        <row r="858">
          <cell r="J858">
            <v>46274</v>
          </cell>
          <cell r="K858">
            <v>46280</v>
          </cell>
        </row>
        <row r="859">
          <cell r="J859">
            <v>46274</v>
          </cell>
          <cell r="K859">
            <v>46280</v>
          </cell>
        </row>
        <row r="860">
          <cell r="J860">
            <v>46274</v>
          </cell>
          <cell r="K860">
            <v>46280</v>
          </cell>
        </row>
        <row r="861">
          <cell r="J861">
            <v>46181</v>
          </cell>
          <cell r="K861">
            <v>46260</v>
          </cell>
        </row>
        <row r="862">
          <cell r="J862">
            <v>46178</v>
          </cell>
          <cell r="K862">
            <v>46206</v>
          </cell>
        </row>
        <row r="863">
          <cell r="J863">
            <v>46227</v>
          </cell>
          <cell r="K863">
            <v>46237</v>
          </cell>
        </row>
        <row r="864">
          <cell r="J864">
            <v>46253</v>
          </cell>
          <cell r="K864">
            <v>46259</v>
          </cell>
        </row>
        <row r="865">
          <cell r="J865">
            <v>46181</v>
          </cell>
          <cell r="K865">
            <v>46254</v>
          </cell>
        </row>
        <row r="866">
          <cell r="J866">
            <v>46199</v>
          </cell>
          <cell r="K866">
            <v>46212</v>
          </cell>
        </row>
        <row r="867">
          <cell r="J867">
            <v>46203</v>
          </cell>
          <cell r="K867">
            <v>46216</v>
          </cell>
        </row>
        <row r="868">
          <cell r="J868">
            <v>46203</v>
          </cell>
          <cell r="K868">
            <v>46216</v>
          </cell>
        </row>
        <row r="869">
          <cell r="J869">
            <v>46203</v>
          </cell>
          <cell r="K869">
            <v>46216</v>
          </cell>
        </row>
        <row r="870">
          <cell r="J870">
            <v>46261</v>
          </cell>
          <cell r="K870">
            <v>46267</v>
          </cell>
        </row>
        <row r="871">
          <cell r="J871">
            <v>46261</v>
          </cell>
          <cell r="K871">
            <v>46267</v>
          </cell>
        </row>
        <row r="872">
          <cell r="J872">
            <v>46261</v>
          </cell>
          <cell r="K872">
            <v>46267</v>
          </cell>
        </row>
        <row r="873">
          <cell r="J873">
            <v>46261</v>
          </cell>
          <cell r="K873">
            <v>46267</v>
          </cell>
        </row>
        <row r="874">
          <cell r="J874">
            <v>46216</v>
          </cell>
          <cell r="K874">
            <v>46253</v>
          </cell>
        </row>
        <row r="875">
          <cell r="J875">
            <v>46238</v>
          </cell>
          <cell r="K875">
            <v>46247</v>
          </cell>
        </row>
        <row r="876">
          <cell r="J876">
            <v>46238</v>
          </cell>
          <cell r="K876">
            <v>46247</v>
          </cell>
        </row>
        <row r="877">
          <cell r="J877">
            <v>46238</v>
          </cell>
          <cell r="K877">
            <v>46247</v>
          </cell>
        </row>
        <row r="878">
          <cell r="J878">
            <v>46238</v>
          </cell>
          <cell r="K878">
            <v>46247</v>
          </cell>
        </row>
        <row r="879">
          <cell r="J879">
            <v>46262</v>
          </cell>
          <cell r="K879">
            <v>46266</v>
          </cell>
        </row>
        <row r="880">
          <cell r="J880">
            <v>46262</v>
          </cell>
          <cell r="K880">
            <v>46266</v>
          </cell>
        </row>
        <row r="881">
          <cell r="J881">
            <v>46262</v>
          </cell>
          <cell r="K881">
            <v>46266</v>
          </cell>
        </row>
        <row r="882">
          <cell r="J882">
            <v>46262</v>
          </cell>
          <cell r="K882">
            <v>46266</v>
          </cell>
        </row>
        <row r="883">
          <cell r="J883">
            <v>46112</v>
          </cell>
          <cell r="K883">
            <v>46322</v>
          </cell>
        </row>
        <row r="884">
          <cell r="J884">
            <v>46112</v>
          </cell>
          <cell r="K884">
            <v>46139</v>
          </cell>
        </row>
        <row r="885">
          <cell r="J885">
            <v>46112</v>
          </cell>
          <cell r="K885">
            <v>46147</v>
          </cell>
        </row>
        <row r="886">
          <cell r="J886">
            <v>46112</v>
          </cell>
          <cell r="K886">
            <v>46139</v>
          </cell>
        </row>
        <row r="887">
          <cell r="J887">
            <v>46112</v>
          </cell>
          <cell r="K887">
            <v>46142</v>
          </cell>
        </row>
        <row r="888">
          <cell r="J888">
            <v>46112</v>
          </cell>
          <cell r="K888">
            <v>46142</v>
          </cell>
        </row>
        <row r="889">
          <cell r="J889">
            <v>46112</v>
          </cell>
          <cell r="K889">
            <v>46142</v>
          </cell>
        </row>
        <row r="890">
          <cell r="J890">
            <v>46113</v>
          </cell>
          <cell r="K890">
            <v>46147</v>
          </cell>
        </row>
        <row r="891">
          <cell r="J891">
            <v>46113</v>
          </cell>
          <cell r="K891">
            <v>46149</v>
          </cell>
        </row>
        <row r="892">
          <cell r="J892">
            <v>46113</v>
          </cell>
          <cell r="K892">
            <v>46139</v>
          </cell>
        </row>
        <row r="893">
          <cell r="J893">
            <v>46113</v>
          </cell>
          <cell r="K893">
            <v>46139</v>
          </cell>
        </row>
        <row r="894">
          <cell r="J894">
            <v>46113</v>
          </cell>
          <cell r="K894">
            <v>46149</v>
          </cell>
        </row>
        <row r="895">
          <cell r="J895">
            <v>46113</v>
          </cell>
          <cell r="K895">
            <v>46150</v>
          </cell>
        </row>
        <row r="896">
          <cell r="J896">
            <v>46113</v>
          </cell>
          <cell r="K896">
            <v>46149</v>
          </cell>
        </row>
        <row r="897">
          <cell r="J897">
            <v>46120</v>
          </cell>
          <cell r="K897">
            <v>46147</v>
          </cell>
        </row>
        <row r="898">
          <cell r="J898">
            <v>46120</v>
          </cell>
          <cell r="K898">
            <v>46147</v>
          </cell>
        </row>
        <row r="899">
          <cell r="J899">
            <v>46132</v>
          </cell>
          <cell r="K899">
            <v>46153</v>
          </cell>
        </row>
        <row r="900">
          <cell r="J900">
            <v>46132</v>
          </cell>
          <cell r="K900">
            <v>46153</v>
          </cell>
        </row>
        <row r="901">
          <cell r="J901">
            <v>46132</v>
          </cell>
          <cell r="K901">
            <v>46153</v>
          </cell>
        </row>
        <row r="902">
          <cell r="J902">
            <v>46132</v>
          </cell>
          <cell r="K902">
            <v>46153</v>
          </cell>
        </row>
        <row r="903">
          <cell r="J903">
            <v>46132</v>
          </cell>
          <cell r="K903">
            <v>46153</v>
          </cell>
        </row>
        <row r="904">
          <cell r="J904">
            <v>46139</v>
          </cell>
          <cell r="K904">
            <v>46167</v>
          </cell>
        </row>
        <row r="905">
          <cell r="J905">
            <v>46139</v>
          </cell>
          <cell r="K905">
            <v>46167</v>
          </cell>
        </row>
        <row r="906">
          <cell r="J906">
            <v>46139</v>
          </cell>
          <cell r="K906">
            <v>46167</v>
          </cell>
        </row>
        <row r="907">
          <cell r="J907">
            <v>46149</v>
          </cell>
          <cell r="K907">
            <v>46181</v>
          </cell>
        </row>
        <row r="908">
          <cell r="J908">
            <v>46155</v>
          </cell>
          <cell r="K908">
            <v>46178</v>
          </cell>
        </row>
        <row r="909">
          <cell r="J909">
            <v>46156</v>
          </cell>
          <cell r="K909">
            <v>46168</v>
          </cell>
        </row>
        <row r="910">
          <cell r="J910">
            <v>46160</v>
          </cell>
          <cell r="K910">
            <v>46169</v>
          </cell>
        </row>
        <row r="911">
          <cell r="J911">
            <v>46160</v>
          </cell>
          <cell r="K911">
            <v>46184</v>
          </cell>
        </row>
        <row r="912">
          <cell r="J912">
            <v>46162</v>
          </cell>
          <cell r="K912">
            <v>46167</v>
          </cell>
        </row>
        <row r="913">
          <cell r="J913">
            <v>46162</v>
          </cell>
          <cell r="K913">
            <v>46188</v>
          </cell>
        </row>
        <row r="914">
          <cell r="J914">
            <v>46162</v>
          </cell>
          <cell r="K914">
            <v>46188</v>
          </cell>
        </row>
        <row r="915">
          <cell r="J915">
            <v>46162</v>
          </cell>
          <cell r="K915">
            <v>46188</v>
          </cell>
        </row>
        <row r="916">
          <cell r="J916">
            <v>46162</v>
          </cell>
          <cell r="K916">
            <v>46188</v>
          </cell>
        </row>
        <row r="917">
          <cell r="J917">
            <v>46163</v>
          </cell>
          <cell r="K917">
            <v>46184</v>
          </cell>
        </row>
        <row r="918">
          <cell r="J918">
            <v>46163</v>
          </cell>
          <cell r="K918">
            <v>46185</v>
          </cell>
        </row>
        <row r="919">
          <cell r="J919">
            <v>46163</v>
          </cell>
          <cell r="K919">
            <v>46188</v>
          </cell>
        </row>
        <row r="920">
          <cell r="J920">
            <v>46163</v>
          </cell>
          <cell r="K920">
            <v>46168</v>
          </cell>
        </row>
        <row r="921">
          <cell r="J921">
            <v>46163</v>
          </cell>
          <cell r="K921">
            <v>46183</v>
          </cell>
        </row>
        <row r="922">
          <cell r="J922">
            <v>46163</v>
          </cell>
          <cell r="K922">
            <v>46190</v>
          </cell>
        </row>
        <row r="923">
          <cell r="J923">
            <v>46163</v>
          </cell>
          <cell r="K923">
            <v>46183</v>
          </cell>
        </row>
        <row r="924">
          <cell r="J924">
            <v>46164</v>
          </cell>
          <cell r="K924">
            <v>46184</v>
          </cell>
        </row>
        <row r="925">
          <cell r="J925">
            <v>46167</v>
          </cell>
          <cell r="K925">
            <v>46192</v>
          </cell>
        </row>
        <row r="926">
          <cell r="J926">
            <v>46171</v>
          </cell>
          <cell r="K926">
            <v>46185</v>
          </cell>
        </row>
        <row r="927">
          <cell r="J927">
            <v>46175</v>
          </cell>
          <cell r="K927">
            <v>46184</v>
          </cell>
        </row>
        <row r="928">
          <cell r="J928">
            <v>46175</v>
          </cell>
          <cell r="K928">
            <v>46185</v>
          </cell>
        </row>
        <row r="929">
          <cell r="J929">
            <v>46175</v>
          </cell>
          <cell r="K929">
            <v>46185</v>
          </cell>
        </row>
        <row r="930">
          <cell r="J930">
            <v>46175</v>
          </cell>
          <cell r="K930">
            <v>46185</v>
          </cell>
        </row>
        <row r="931">
          <cell r="J931">
            <v>46175</v>
          </cell>
          <cell r="K931">
            <v>46185</v>
          </cell>
        </row>
        <row r="932">
          <cell r="J932">
            <v>46175</v>
          </cell>
          <cell r="K932">
            <v>46185</v>
          </cell>
        </row>
        <row r="933">
          <cell r="J933">
            <v>46181</v>
          </cell>
          <cell r="K933">
            <v>46202</v>
          </cell>
        </row>
        <row r="934">
          <cell r="J934">
            <v>46181</v>
          </cell>
          <cell r="K934">
            <v>46202</v>
          </cell>
        </row>
        <row r="935">
          <cell r="J935">
            <v>46185</v>
          </cell>
          <cell r="K935">
            <v>46190</v>
          </cell>
        </row>
        <row r="936">
          <cell r="J936">
            <v>46185</v>
          </cell>
          <cell r="K936">
            <v>46206</v>
          </cell>
        </row>
        <row r="937">
          <cell r="J937">
            <v>46185</v>
          </cell>
          <cell r="K937">
            <v>46206</v>
          </cell>
        </row>
        <row r="938">
          <cell r="J938">
            <v>46185</v>
          </cell>
          <cell r="K938">
            <v>46206</v>
          </cell>
        </row>
        <row r="939">
          <cell r="J939">
            <v>46188</v>
          </cell>
          <cell r="K939">
            <v>46206</v>
          </cell>
        </row>
        <row r="940">
          <cell r="J940">
            <v>46188</v>
          </cell>
          <cell r="K940">
            <v>46206</v>
          </cell>
        </row>
        <row r="941">
          <cell r="J941">
            <v>46188</v>
          </cell>
          <cell r="K941">
            <v>46206</v>
          </cell>
        </row>
        <row r="942">
          <cell r="J942">
            <v>46188</v>
          </cell>
          <cell r="K942">
            <v>46206</v>
          </cell>
        </row>
        <row r="943">
          <cell r="J943">
            <v>46188</v>
          </cell>
          <cell r="K943">
            <v>46206</v>
          </cell>
        </row>
        <row r="944">
          <cell r="J944">
            <v>46188</v>
          </cell>
          <cell r="K944">
            <v>46206</v>
          </cell>
        </row>
        <row r="945">
          <cell r="J945">
            <v>46188</v>
          </cell>
          <cell r="K945">
            <v>46206</v>
          </cell>
        </row>
        <row r="946">
          <cell r="J946">
            <v>46188</v>
          </cell>
          <cell r="K946">
            <v>46206</v>
          </cell>
        </row>
        <row r="947">
          <cell r="J947">
            <v>46188</v>
          </cell>
          <cell r="K947">
            <v>46206</v>
          </cell>
        </row>
        <row r="948">
          <cell r="J948">
            <v>46188</v>
          </cell>
          <cell r="K948">
            <v>46206</v>
          </cell>
        </row>
        <row r="949">
          <cell r="J949">
            <v>46199</v>
          </cell>
          <cell r="K949">
            <v>46227</v>
          </cell>
        </row>
        <row r="950">
          <cell r="J950">
            <v>46202</v>
          </cell>
          <cell r="K950">
            <v>46213</v>
          </cell>
        </row>
        <row r="951">
          <cell r="J951">
            <v>46209</v>
          </cell>
          <cell r="K951">
            <v>46227</v>
          </cell>
        </row>
        <row r="952">
          <cell r="J952">
            <v>46209</v>
          </cell>
          <cell r="K952">
            <v>46220</v>
          </cell>
        </row>
        <row r="953">
          <cell r="J953">
            <v>46209</v>
          </cell>
          <cell r="K953">
            <v>46220</v>
          </cell>
        </row>
        <row r="954">
          <cell r="J954">
            <v>46209</v>
          </cell>
          <cell r="K954">
            <v>46220</v>
          </cell>
        </row>
        <row r="955">
          <cell r="J955">
            <v>46209</v>
          </cell>
          <cell r="K955">
            <v>46227</v>
          </cell>
        </row>
        <row r="956">
          <cell r="J956">
            <v>46212</v>
          </cell>
          <cell r="K956">
            <v>46234</v>
          </cell>
        </row>
        <row r="957">
          <cell r="J957">
            <v>46212</v>
          </cell>
          <cell r="K957">
            <v>46234</v>
          </cell>
        </row>
        <row r="958">
          <cell r="J958">
            <v>46212</v>
          </cell>
          <cell r="K958">
            <v>46234</v>
          </cell>
        </row>
        <row r="959">
          <cell r="J959">
            <v>46213</v>
          </cell>
          <cell r="K959">
            <v>46219</v>
          </cell>
        </row>
        <row r="960">
          <cell r="J960">
            <v>46213</v>
          </cell>
          <cell r="K960">
            <v>46219</v>
          </cell>
        </row>
        <row r="961">
          <cell r="J961">
            <v>46216</v>
          </cell>
          <cell r="K961">
            <v>46227</v>
          </cell>
        </row>
        <row r="962">
          <cell r="J962">
            <v>46216</v>
          </cell>
          <cell r="K962">
            <v>46227</v>
          </cell>
        </row>
        <row r="963">
          <cell r="J963">
            <v>46223</v>
          </cell>
          <cell r="K963">
            <v>46238</v>
          </cell>
        </row>
        <row r="964">
          <cell r="J964">
            <v>46223</v>
          </cell>
          <cell r="K964">
            <v>46238</v>
          </cell>
        </row>
        <row r="965">
          <cell r="J965">
            <v>46223</v>
          </cell>
          <cell r="K965">
            <v>46238</v>
          </cell>
        </row>
        <row r="966">
          <cell r="J966">
            <v>46223</v>
          </cell>
          <cell r="K966">
            <v>46238</v>
          </cell>
        </row>
        <row r="967">
          <cell r="J967">
            <v>46223</v>
          </cell>
          <cell r="K967">
            <v>46238</v>
          </cell>
        </row>
        <row r="968">
          <cell r="J968">
            <v>46223</v>
          </cell>
          <cell r="K968">
            <v>46238</v>
          </cell>
        </row>
        <row r="969">
          <cell r="J969">
            <v>46223</v>
          </cell>
          <cell r="K969">
            <v>46238</v>
          </cell>
        </row>
        <row r="970">
          <cell r="J970">
            <v>46223</v>
          </cell>
          <cell r="K970">
            <v>46238</v>
          </cell>
        </row>
        <row r="971">
          <cell r="J971">
            <v>46223</v>
          </cell>
          <cell r="K971">
            <v>46238</v>
          </cell>
        </row>
        <row r="972">
          <cell r="J972">
            <v>46223</v>
          </cell>
          <cell r="K972">
            <v>46238</v>
          </cell>
        </row>
        <row r="973">
          <cell r="J973">
            <v>46230</v>
          </cell>
          <cell r="K973">
            <v>46238</v>
          </cell>
        </row>
        <row r="974">
          <cell r="J974">
            <v>46230</v>
          </cell>
          <cell r="K974">
            <v>46245</v>
          </cell>
        </row>
        <row r="975">
          <cell r="J975">
            <v>46239</v>
          </cell>
          <cell r="K975">
            <v>46253</v>
          </cell>
        </row>
        <row r="976">
          <cell r="J976">
            <v>46239</v>
          </cell>
          <cell r="K976">
            <v>46253</v>
          </cell>
        </row>
        <row r="977">
          <cell r="J977">
            <v>46239</v>
          </cell>
          <cell r="K977">
            <v>46253</v>
          </cell>
        </row>
        <row r="978">
          <cell r="J978">
            <v>46240</v>
          </cell>
          <cell r="K978">
            <v>46261</v>
          </cell>
        </row>
        <row r="979">
          <cell r="J979">
            <v>46247</v>
          </cell>
          <cell r="K979">
            <v>46253</v>
          </cell>
        </row>
        <row r="980">
          <cell r="J980">
            <v>46254</v>
          </cell>
          <cell r="K980">
            <v>46260</v>
          </cell>
        </row>
        <row r="981">
          <cell r="J981">
            <v>46254</v>
          </cell>
          <cell r="K981">
            <v>46260</v>
          </cell>
        </row>
        <row r="982">
          <cell r="J982">
            <v>46254</v>
          </cell>
          <cell r="K982">
            <v>46267</v>
          </cell>
        </row>
        <row r="983">
          <cell r="J983">
            <v>46254</v>
          </cell>
          <cell r="K983">
            <v>46267</v>
          </cell>
        </row>
        <row r="984">
          <cell r="J984">
            <v>46254</v>
          </cell>
          <cell r="K984">
            <v>46267</v>
          </cell>
        </row>
        <row r="985">
          <cell r="J985">
            <v>46254</v>
          </cell>
          <cell r="K985">
            <v>46267</v>
          </cell>
        </row>
        <row r="986">
          <cell r="J986">
            <v>46254</v>
          </cell>
          <cell r="K986">
            <v>46267</v>
          </cell>
        </row>
        <row r="987">
          <cell r="J987">
            <v>46254</v>
          </cell>
          <cell r="K987">
            <v>46267</v>
          </cell>
        </row>
        <row r="988">
          <cell r="J988">
            <v>46255</v>
          </cell>
          <cell r="K988">
            <v>46268</v>
          </cell>
        </row>
        <row r="989">
          <cell r="J989">
            <v>46261</v>
          </cell>
          <cell r="K989">
            <v>46267</v>
          </cell>
        </row>
        <row r="990">
          <cell r="J990">
            <v>46261</v>
          </cell>
          <cell r="K990">
            <v>46274</v>
          </cell>
        </row>
        <row r="991">
          <cell r="J991">
            <v>46275</v>
          </cell>
          <cell r="K991">
            <v>46288</v>
          </cell>
        </row>
        <row r="992">
          <cell r="J992">
            <v>46275</v>
          </cell>
          <cell r="K992">
            <v>46288</v>
          </cell>
        </row>
        <row r="993">
          <cell r="J993">
            <v>46275</v>
          </cell>
          <cell r="K993">
            <v>46288</v>
          </cell>
        </row>
        <row r="994">
          <cell r="J994">
            <v>46276</v>
          </cell>
          <cell r="K994">
            <v>46289</v>
          </cell>
        </row>
        <row r="995">
          <cell r="J995">
            <v>46280</v>
          </cell>
          <cell r="K995">
            <v>46293</v>
          </cell>
        </row>
        <row r="996">
          <cell r="J996">
            <v>46280</v>
          </cell>
          <cell r="K996">
            <v>46293</v>
          </cell>
        </row>
        <row r="997">
          <cell r="J997">
            <v>46280</v>
          </cell>
          <cell r="K997">
            <v>46293</v>
          </cell>
        </row>
        <row r="998">
          <cell r="J998">
            <v>46289</v>
          </cell>
          <cell r="K998">
            <v>46302</v>
          </cell>
        </row>
        <row r="999">
          <cell r="J999">
            <v>46304</v>
          </cell>
          <cell r="K999">
            <v>46321</v>
          </cell>
        </row>
        <row r="1000">
          <cell r="J1000">
            <v>46311</v>
          </cell>
          <cell r="K1000">
            <v>46325</v>
          </cell>
        </row>
        <row r="1001">
          <cell r="J1001">
            <v>46112</v>
          </cell>
          <cell r="K1001">
            <v>46295</v>
          </cell>
        </row>
        <row r="1002">
          <cell r="J1002">
            <v>46112</v>
          </cell>
          <cell r="K1002">
            <v>46139</v>
          </cell>
        </row>
        <row r="1003">
          <cell r="J1003">
            <v>46112</v>
          </cell>
          <cell r="K1003">
            <v>46139</v>
          </cell>
        </row>
        <row r="1004">
          <cell r="J1004">
            <v>46120</v>
          </cell>
          <cell r="K1004">
            <v>46139</v>
          </cell>
        </row>
        <row r="1005">
          <cell r="J1005">
            <v>46121</v>
          </cell>
          <cell r="K1005">
            <v>46150</v>
          </cell>
        </row>
        <row r="1006">
          <cell r="J1006">
            <v>46160</v>
          </cell>
          <cell r="K1006">
            <v>46170</v>
          </cell>
        </row>
        <row r="1007">
          <cell r="J1007">
            <v>46160</v>
          </cell>
          <cell r="K1007">
            <v>46171</v>
          </cell>
        </row>
        <row r="1008">
          <cell r="J1008">
            <v>46160</v>
          </cell>
          <cell r="K1008">
            <v>46170</v>
          </cell>
        </row>
        <row r="1009">
          <cell r="J1009">
            <v>46167</v>
          </cell>
          <cell r="K1009">
            <v>46178</v>
          </cell>
        </row>
        <row r="1010">
          <cell r="J1010">
            <v>46195</v>
          </cell>
          <cell r="K1010">
            <v>46199</v>
          </cell>
        </row>
        <row r="1011">
          <cell r="J1011">
            <v>46195</v>
          </cell>
          <cell r="K1011">
            <v>46199</v>
          </cell>
        </row>
        <row r="1012">
          <cell r="J1012">
            <v>46195</v>
          </cell>
          <cell r="K1012">
            <v>46199</v>
          </cell>
        </row>
        <row r="1013">
          <cell r="J1013">
            <v>46199</v>
          </cell>
          <cell r="K1013">
            <v>46219</v>
          </cell>
        </row>
        <row r="1014">
          <cell r="J1014">
            <v>46199</v>
          </cell>
          <cell r="K1014">
            <v>46219</v>
          </cell>
        </row>
        <row r="1015">
          <cell r="J1015">
            <v>46212</v>
          </cell>
          <cell r="K1015">
            <v>46218</v>
          </cell>
        </row>
        <row r="1016">
          <cell r="J1016">
            <v>46238</v>
          </cell>
          <cell r="K1016">
            <v>46244</v>
          </cell>
        </row>
        <row r="1017">
          <cell r="J1017">
            <v>46247</v>
          </cell>
          <cell r="K1017">
            <v>46267</v>
          </cell>
        </row>
        <row r="1018">
          <cell r="J1018">
            <v>46262</v>
          </cell>
          <cell r="K1018">
            <v>46268</v>
          </cell>
        </row>
        <row r="1019">
          <cell r="J1019">
            <v>46296</v>
          </cell>
          <cell r="K1019">
            <v>46302</v>
          </cell>
        </row>
        <row r="1020">
          <cell r="J1020">
            <v>46296</v>
          </cell>
          <cell r="K1020">
            <v>46302</v>
          </cell>
        </row>
        <row r="1021">
          <cell r="J1021">
            <v>46113</v>
          </cell>
          <cell r="K1021">
            <v>46316</v>
          </cell>
        </row>
        <row r="1022">
          <cell r="J1022">
            <v>46112</v>
          </cell>
          <cell r="K1022">
            <v>46139</v>
          </cell>
        </row>
        <row r="1023">
          <cell r="J1023">
            <v>46112</v>
          </cell>
          <cell r="K1023">
            <v>46139</v>
          </cell>
        </row>
        <row r="1024">
          <cell r="J1024">
            <v>46120</v>
          </cell>
          <cell r="K1024">
            <v>46139</v>
          </cell>
        </row>
        <row r="1025">
          <cell r="J1025">
            <v>46121</v>
          </cell>
          <cell r="K1025">
            <v>46150</v>
          </cell>
        </row>
        <row r="1026">
          <cell r="J1026">
            <v>46217</v>
          </cell>
          <cell r="K1026">
            <v>46223</v>
          </cell>
        </row>
        <row r="1027">
          <cell r="J1027">
            <v>46217</v>
          </cell>
          <cell r="K1027">
            <v>46223</v>
          </cell>
        </row>
        <row r="1028">
          <cell r="J1028">
            <v>46217</v>
          </cell>
          <cell r="K1028">
            <v>46223</v>
          </cell>
        </row>
        <row r="1029">
          <cell r="J1029">
            <v>46220</v>
          </cell>
          <cell r="K1029">
            <v>46237</v>
          </cell>
        </row>
        <row r="1030">
          <cell r="J1030">
            <v>46238</v>
          </cell>
          <cell r="K1030">
            <v>46244</v>
          </cell>
        </row>
        <row r="1031">
          <cell r="J1031">
            <v>46258</v>
          </cell>
          <cell r="K1031">
            <v>46269</v>
          </cell>
        </row>
        <row r="1032">
          <cell r="J1032">
            <v>46258</v>
          </cell>
          <cell r="K1032">
            <v>46269</v>
          </cell>
        </row>
        <row r="1033">
          <cell r="J1033">
            <v>46283</v>
          </cell>
          <cell r="K1033">
            <v>46289</v>
          </cell>
        </row>
        <row r="1034">
          <cell r="J1034">
            <v>46322</v>
          </cell>
          <cell r="K1034">
            <v>46328</v>
          </cell>
        </row>
        <row r="1035">
          <cell r="J1035">
            <v>46322</v>
          </cell>
          <cell r="K1035">
            <v>46328</v>
          </cell>
        </row>
        <row r="1036">
          <cell r="J1036">
            <v>46167</v>
          </cell>
          <cell r="K1036">
            <v>46316</v>
          </cell>
        </row>
        <row r="1037">
          <cell r="J1037">
            <v>46167</v>
          </cell>
          <cell r="K1037">
            <v>46199</v>
          </cell>
        </row>
        <row r="1038">
          <cell r="J1038">
            <v>46167</v>
          </cell>
          <cell r="K1038">
            <v>46199</v>
          </cell>
        </row>
        <row r="1039">
          <cell r="J1039">
            <v>46167</v>
          </cell>
          <cell r="K1039">
            <v>46199</v>
          </cell>
        </row>
        <row r="1040">
          <cell r="J1040">
            <v>46175</v>
          </cell>
          <cell r="K1040">
            <v>46218</v>
          </cell>
        </row>
        <row r="1041">
          <cell r="J1041">
            <v>46216</v>
          </cell>
          <cell r="K1041">
            <v>46220</v>
          </cell>
        </row>
        <row r="1042">
          <cell r="J1042">
            <v>46216</v>
          </cell>
          <cell r="K1042">
            <v>46220</v>
          </cell>
        </row>
        <row r="1043">
          <cell r="J1043">
            <v>46216</v>
          </cell>
          <cell r="K1043">
            <v>46220</v>
          </cell>
        </row>
        <row r="1044">
          <cell r="J1044">
            <v>46237</v>
          </cell>
          <cell r="K1044">
            <v>46241</v>
          </cell>
        </row>
        <row r="1045">
          <cell r="J1045">
            <v>46260</v>
          </cell>
          <cell r="K1045">
            <v>46268</v>
          </cell>
        </row>
        <row r="1046">
          <cell r="J1046">
            <v>46283</v>
          </cell>
          <cell r="K1046">
            <v>46289</v>
          </cell>
        </row>
        <row r="1047">
          <cell r="J1047">
            <v>46294</v>
          </cell>
          <cell r="K1047">
            <v>46302</v>
          </cell>
        </row>
        <row r="1048">
          <cell r="J1048">
            <v>46294</v>
          </cell>
          <cell r="K1048">
            <v>46302</v>
          </cell>
        </row>
        <row r="1049">
          <cell r="J1049">
            <v>46321</v>
          </cell>
          <cell r="K1049">
            <v>46325</v>
          </cell>
        </row>
        <row r="1050">
          <cell r="J1050">
            <v>46321</v>
          </cell>
          <cell r="K1050">
            <v>46325</v>
          </cell>
        </row>
        <row r="1051">
          <cell r="J1051">
            <v>46091</v>
          </cell>
          <cell r="K1051">
            <v>46392</v>
          </cell>
        </row>
        <row r="1052">
          <cell r="J1052">
            <v>46085</v>
          </cell>
          <cell r="K1052">
            <v>46104</v>
          </cell>
        </row>
        <row r="1053">
          <cell r="J1053">
            <v>46086</v>
          </cell>
          <cell r="K1053">
            <v>46106</v>
          </cell>
        </row>
        <row r="1054">
          <cell r="J1054">
            <v>46086</v>
          </cell>
          <cell r="K1054">
            <v>46106</v>
          </cell>
        </row>
        <row r="1055">
          <cell r="J1055">
            <v>46091</v>
          </cell>
          <cell r="K1055">
            <v>46107</v>
          </cell>
        </row>
        <row r="1056">
          <cell r="J1056">
            <v>46091</v>
          </cell>
          <cell r="K1056">
            <v>46108</v>
          </cell>
        </row>
        <row r="1057">
          <cell r="J1057">
            <v>46091</v>
          </cell>
          <cell r="K1057">
            <v>46106</v>
          </cell>
        </row>
        <row r="1058">
          <cell r="J1058">
            <v>46091</v>
          </cell>
          <cell r="K1058">
            <v>46106</v>
          </cell>
        </row>
        <row r="1059">
          <cell r="J1059">
            <v>46092</v>
          </cell>
          <cell r="K1059">
            <v>46108</v>
          </cell>
        </row>
        <row r="1060">
          <cell r="J1060">
            <v>46092</v>
          </cell>
          <cell r="K1060">
            <v>46108</v>
          </cell>
        </row>
        <row r="1061">
          <cell r="J1061">
            <v>46092</v>
          </cell>
          <cell r="K1061">
            <v>46108</v>
          </cell>
        </row>
        <row r="1062">
          <cell r="J1062">
            <v>46097</v>
          </cell>
          <cell r="K1062">
            <v>46139</v>
          </cell>
        </row>
        <row r="1063">
          <cell r="J1063">
            <v>46097</v>
          </cell>
          <cell r="K1063">
            <v>46139</v>
          </cell>
        </row>
        <row r="1064">
          <cell r="J1064">
            <v>46098</v>
          </cell>
          <cell r="K1064">
            <v>46139</v>
          </cell>
        </row>
        <row r="1065">
          <cell r="J1065">
            <v>46098</v>
          </cell>
          <cell r="K1065">
            <v>46139</v>
          </cell>
        </row>
        <row r="1066">
          <cell r="J1066">
            <v>46104</v>
          </cell>
          <cell r="K1066">
            <v>46139</v>
          </cell>
        </row>
        <row r="1067">
          <cell r="J1067">
            <v>46104</v>
          </cell>
          <cell r="K1067">
            <v>46139</v>
          </cell>
        </row>
        <row r="1068">
          <cell r="J1068">
            <v>46120</v>
          </cell>
          <cell r="K1068">
            <v>46142</v>
          </cell>
        </row>
        <row r="1069">
          <cell r="J1069">
            <v>46122</v>
          </cell>
          <cell r="K1069">
            <v>46150</v>
          </cell>
        </row>
        <row r="1070">
          <cell r="J1070">
            <v>46122</v>
          </cell>
          <cell r="K1070">
            <v>46149</v>
          </cell>
        </row>
        <row r="1071">
          <cell r="J1071">
            <v>46128</v>
          </cell>
          <cell r="K1071">
            <v>46149</v>
          </cell>
        </row>
        <row r="1072">
          <cell r="J1072">
            <v>46128</v>
          </cell>
          <cell r="K1072">
            <v>46147</v>
          </cell>
        </row>
        <row r="1073">
          <cell r="J1073">
            <v>46129</v>
          </cell>
          <cell r="K1073">
            <v>46150</v>
          </cell>
        </row>
        <row r="1074">
          <cell r="J1074">
            <v>46129</v>
          </cell>
          <cell r="K1074">
            <v>46148</v>
          </cell>
        </row>
        <row r="1075">
          <cell r="J1075">
            <v>46129</v>
          </cell>
          <cell r="K1075">
            <v>46140</v>
          </cell>
        </row>
        <row r="1076">
          <cell r="J1076">
            <v>46129</v>
          </cell>
          <cell r="K1076">
            <v>46140</v>
          </cell>
        </row>
        <row r="1077">
          <cell r="J1077">
            <v>46129</v>
          </cell>
          <cell r="K1077">
            <v>46150</v>
          </cell>
        </row>
        <row r="1078">
          <cell r="J1078">
            <v>46140</v>
          </cell>
          <cell r="K1078">
            <v>46167</v>
          </cell>
        </row>
        <row r="1079">
          <cell r="J1079">
            <v>46140</v>
          </cell>
          <cell r="K1079">
            <v>46167</v>
          </cell>
        </row>
        <row r="1080">
          <cell r="J1080">
            <v>46153</v>
          </cell>
          <cell r="K1080">
            <v>46163</v>
          </cell>
        </row>
        <row r="1081">
          <cell r="J1081">
            <v>46155</v>
          </cell>
          <cell r="K1081">
            <v>46171</v>
          </cell>
        </row>
        <row r="1082">
          <cell r="J1082">
            <v>46155</v>
          </cell>
          <cell r="K1082">
            <v>46177</v>
          </cell>
        </row>
        <row r="1083">
          <cell r="J1083">
            <v>46155</v>
          </cell>
          <cell r="K1083">
            <v>46171</v>
          </cell>
        </row>
        <row r="1084">
          <cell r="J1084">
            <v>46155</v>
          </cell>
          <cell r="K1084">
            <v>46178</v>
          </cell>
        </row>
        <row r="1085">
          <cell r="J1085">
            <v>46155</v>
          </cell>
          <cell r="K1085">
            <v>46178</v>
          </cell>
        </row>
        <row r="1086">
          <cell r="J1086">
            <v>46156</v>
          </cell>
          <cell r="K1086">
            <v>46161</v>
          </cell>
        </row>
        <row r="1087">
          <cell r="J1087">
            <v>46156</v>
          </cell>
          <cell r="K1087">
            <v>46171</v>
          </cell>
        </row>
        <row r="1088">
          <cell r="J1088">
            <v>46163</v>
          </cell>
          <cell r="K1088">
            <v>46182</v>
          </cell>
        </row>
        <row r="1089">
          <cell r="J1089">
            <v>46163</v>
          </cell>
          <cell r="K1089">
            <v>46185</v>
          </cell>
        </row>
        <row r="1090">
          <cell r="J1090">
            <v>46163</v>
          </cell>
          <cell r="K1090">
            <v>46185</v>
          </cell>
        </row>
        <row r="1091">
          <cell r="J1091">
            <v>46163</v>
          </cell>
          <cell r="K1091">
            <v>46188</v>
          </cell>
        </row>
        <row r="1092">
          <cell r="J1092">
            <v>46181</v>
          </cell>
          <cell r="K1092">
            <v>46196</v>
          </cell>
        </row>
        <row r="1093">
          <cell r="J1093">
            <v>46185</v>
          </cell>
          <cell r="K1093">
            <v>46191</v>
          </cell>
        </row>
        <row r="1094">
          <cell r="J1094">
            <v>46185</v>
          </cell>
          <cell r="K1094">
            <v>46191</v>
          </cell>
        </row>
        <row r="1095">
          <cell r="J1095">
            <v>46188</v>
          </cell>
          <cell r="K1095">
            <v>46206</v>
          </cell>
        </row>
        <row r="1096">
          <cell r="J1096">
            <v>46188</v>
          </cell>
          <cell r="K1096">
            <v>46206</v>
          </cell>
        </row>
        <row r="1097">
          <cell r="J1097">
            <v>46188</v>
          </cell>
          <cell r="K1097">
            <v>46206</v>
          </cell>
        </row>
        <row r="1098">
          <cell r="J1098">
            <v>46188</v>
          </cell>
          <cell r="K1098">
            <v>46198</v>
          </cell>
        </row>
        <row r="1099">
          <cell r="J1099">
            <v>46196</v>
          </cell>
          <cell r="K1099">
            <v>46206</v>
          </cell>
        </row>
        <row r="1100">
          <cell r="J1100">
            <v>46199</v>
          </cell>
          <cell r="K1100">
            <v>46212</v>
          </cell>
        </row>
        <row r="1101">
          <cell r="J1101">
            <v>46202</v>
          </cell>
          <cell r="K1101">
            <v>46213</v>
          </cell>
        </row>
        <row r="1102">
          <cell r="J1102">
            <v>46202</v>
          </cell>
          <cell r="K1102">
            <v>46213</v>
          </cell>
        </row>
        <row r="1103">
          <cell r="J1103">
            <v>46203</v>
          </cell>
          <cell r="K1103">
            <v>46223</v>
          </cell>
        </row>
        <row r="1104">
          <cell r="J1104">
            <v>46209</v>
          </cell>
          <cell r="K1104">
            <v>46227</v>
          </cell>
        </row>
        <row r="1105">
          <cell r="J1105">
            <v>46209</v>
          </cell>
          <cell r="K1105">
            <v>46245</v>
          </cell>
        </row>
        <row r="1106">
          <cell r="J1106">
            <v>46209</v>
          </cell>
          <cell r="K1106">
            <v>46227</v>
          </cell>
        </row>
        <row r="1107">
          <cell r="J1107">
            <v>46209</v>
          </cell>
          <cell r="K1107">
            <v>46227</v>
          </cell>
        </row>
        <row r="1108">
          <cell r="J1108">
            <v>46216</v>
          </cell>
          <cell r="K1108">
            <v>46227</v>
          </cell>
        </row>
        <row r="1109">
          <cell r="J1109">
            <v>46223</v>
          </cell>
          <cell r="K1109">
            <v>46238</v>
          </cell>
        </row>
        <row r="1110">
          <cell r="J1110">
            <v>46223</v>
          </cell>
          <cell r="K1110">
            <v>46238</v>
          </cell>
        </row>
        <row r="1111">
          <cell r="J1111">
            <v>46223</v>
          </cell>
          <cell r="K1111">
            <v>46238</v>
          </cell>
        </row>
        <row r="1112">
          <cell r="J1112">
            <v>46223</v>
          </cell>
          <cell r="K1112">
            <v>46238</v>
          </cell>
        </row>
        <row r="1113">
          <cell r="J1113">
            <v>46225</v>
          </cell>
          <cell r="K1113">
            <v>46240</v>
          </cell>
        </row>
        <row r="1114">
          <cell r="J1114">
            <v>46225</v>
          </cell>
          <cell r="K1114">
            <v>46240</v>
          </cell>
        </row>
        <row r="1115">
          <cell r="J1115">
            <v>46227</v>
          </cell>
          <cell r="K1115">
            <v>46237</v>
          </cell>
        </row>
        <row r="1116">
          <cell r="J1116">
            <v>46227</v>
          </cell>
          <cell r="K1116">
            <v>46266</v>
          </cell>
        </row>
        <row r="1117">
          <cell r="J1117">
            <v>46230</v>
          </cell>
          <cell r="K1117">
            <v>46253</v>
          </cell>
        </row>
        <row r="1118">
          <cell r="J1118">
            <v>46238</v>
          </cell>
          <cell r="K1118">
            <v>46259</v>
          </cell>
        </row>
        <row r="1119">
          <cell r="J1119">
            <v>46239</v>
          </cell>
          <cell r="K1119">
            <v>46245</v>
          </cell>
        </row>
        <row r="1120">
          <cell r="J1120">
            <v>46239</v>
          </cell>
          <cell r="K1120">
            <v>46245</v>
          </cell>
        </row>
        <row r="1121">
          <cell r="J1121">
            <v>46247</v>
          </cell>
          <cell r="K1121">
            <v>46253</v>
          </cell>
        </row>
        <row r="1122">
          <cell r="J1122">
            <v>46254</v>
          </cell>
          <cell r="K1122">
            <v>46274</v>
          </cell>
        </row>
        <row r="1123">
          <cell r="J1123">
            <v>46254</v>
          </cell>
          <cell r="K1123">
            <v>46260</v>
          </cell>
        </row>
        <row r="1124">
          <cell r="J1124">
            <v>46265</v>
          </cell>
          <cell r="K1124">
            <v>46276</v>
          </cell>
        </row>
        <row r="1125">
          <cell r="J1125">
            <v>46275</v>
          </cell>
          <cell r="K1125">
            <v>46295</v>
          </cell>
        </row>
        <row r="1126">
          <cell r="J1126">
            <v>46279</v>
          </cell>
          <cell r="K1126">
            <v>46290</v>
          </cell>
        </row>
        <row r="1127">
          <cell r="J1127">
            <v>46279</v>
          </cell>
          <cell r="K1127">
            <v>46290</v>
          </cell>
        </row>
        <row r="1128">
          <cell r="J1128">
            <v>46279</v>
          </cell>
          <cell r="K1128">
            <v>46290</v>
          </cell>
        </row>
        <row r="1129">
          <cell r="J1129">
            <v>46286</v>
          </cell>
          <cell r="K1129">
            <v>46314</v>
          </cell>
        </row>
        <row r="1130">
          <cell r="J1130">
            <v>46287</v>
          </cell>
          <cell r="K1130">
            <v>46300</v>
          </cell>
        </row>
        <row r="1131">
          <cell r="J1131">
            <v>46289</v>
          </cell>
          <cell r="K1131">
            <v>46302</v>
          </cell>
        </row>
        <row r="1132">
          <cell r="J1132">
            <v>46293</v>
          </cell>
          <cell r="K1132">
            <v>46304</v>
          </cell>
        </row>
        <row r="1133">
          <cell r="J1133">
            <v>46293</v>
          </cell>
          <cell r="K1133">
            <v>46304</v>
          </cell>
        </row>
        <row r="1134">
          <cell r="J1134">
            <v>46296</v>
          </cell>
          <cell r="K1134">
            <v>46325</v>
          </cell>
        </row>
        <row r="1135">
          <cell r="J1135">
            <v>46301</v>
          </cell>
          <cell r="K1135">
            <v>46323</v>
          </cell>
        </row>
        <row r="1136">
          <cell r="J1136">
            <v>46307</v>
          </cell>
          <cell r="K1136">
            <v>46322</v>
          </cell>
        </row>
        <row r="1137">
          <cell r="J1137">
            <v>46316</v>
          </cell>
          <cell r="K1137">
            <v>46332</v>
          </cell>
        </row>
        <row r="1138">
          <cell r="J1138">
            <v>46323</v>
          </cell>
          <cell r="K1138">
            <v>46336</v>
          </cell>
        </row>
        <row r="1139">
          <cell r="J1139">
            <v>46325</v>
          </cell>
          <cell r="K1139">
            <v>46331</v>
          </cell>
        </row>
        <row r="1140">
          <cell r="J1140">
            <v>46330</v>
          </cell>
          <cell r="K1140">
            <v>46350</v>
          </cell>
        </row>
        <row r="1141">
          <cell r="J1141">
            <v>46330</v>
          </cell>
          <cell r="K1141">
            <v>46350</v>
          </cell>
        </row>
        <row r="1142">
          <cell r="J1142">
            <v>46332</v>
          </cell>
          <cell r="K1142">
            <v>46338</v>
          </cell>
        </row>
        <row r="1143">
          <cell r="J1143">
            <v>46332</v>
          </cell>
          <cell r="K1143">
            <v>46338</v>
          </cell>
        </row>
        <row r="1144">
          <cell r="J1144">
            <v>46332</v>
          </cell>
          <cell r="K1144">
            <v>46338</v>
          </cell>
        </row>
        <row r="1145">
          <cell r="J1145">
            <v>46337</v>
          </cell>
          <cell r="K1145">
            <v>46350</v>
          </cell>
        </row>
        <row r="1146">
          <cell r="J1146">
            <v>46338</v>
          </cell>
          <cell r="K1146">
            <v>46351</v>
          </cell>
        </row>
        <row r="1147">
          <cell r="J1147">
            <v>46339</v>
          </cell>
          <cell r="K1147">
            <v>46345</v>
          </cell>
        </row>
        <row r="1148">
          <cell r="J1148">
            <v>46339</v>
          </cell>
          <cell r="K1148">
            <v>46345</v>
          </cell>
        </row>
        <row r="1149">
          <cell r="J1149">
            <v>46346</v>
          </cell>
          <cell r="K1149">
            <v>46352</v>
          </cell>
        </row>
        <row r="1150">
          <cell r="J1150">
            <v>46349</v>
          </cell>
          <cell r="K1150">
            <v>46353</v>
          </cell>
        </row>
        <row r="1151">
          <cell r="J1151">
            <v>46353</v>
          </cell>
          <cell r="K1151">
            <v>46359</v>
          </cell>
        </row>
        <row r="1152">
          <cell r="J1152">
            <v>46366</v>
          </cell>
          <cell r="K1152">
            <v>46372</v>
          </cell>
        </row>
        <row r="1153">
          <cell r="J1153">
            <v>46366</v>
          </cell>
          <cell r="K1153">
            <v>46372</v>
          </cell>
        </row>
        <row r="1154">
          <cell r="J1154">
            <v>46366</v>
          </cell>
          <cell r="K1154">
            <v>46379</v>
          </cell>
        </row>
        <row r="1155">
          <cell r="J1155">
            <v>46391</v>
          </cell>
          <cell r="K1155">
            <v>46395</v>
          </cell>
        </row>
        <row r="1156">
          <cell r="J1156">
            <v>46113</v>
          </cell>
          <cell r="K1156">
            <v>46302</v>
          </cell>
        </row>
        <row r="1157">
          <cell r="J1157">
            <v>46112</v>
          </cell>
          <cell r="K1157">
            <v>46140</v>
          </cell>
        </row>
        <row r="1158">
          <cell r="J1158">
            <v>46135</v>
          </cell>
          <cell r="K1158">
            <v>46157</v>
          </cell>
        </row>
        <row r="1159">
          <cell r="J1159">
            <v>46139</v>
          </cell>
          <cell r="K1159">
            <v>46167</v>
          </cell>
        </row>
        <row r="1160">
          <cell r="J1160">
            <v>46140</v>
          </cell>
          <cell r="K1160">
            <v>46169</v>
          </cell>
        </row>
        <row r="1161">
          <cell r="J1161">
            <v>46147</v>
          </cell>
          <cell r="K1161">
            <v>46157</v>
          </cell>
        </row>
        <row r="1162">
          <cell r="J1162">
            <v>46147</v>
          </cell>
          <cell r="K1162">
            <v>46157</v>
          </cell>
        </row>
        <row r="1163">
          <cell r="J1163">
            <v>46147</v>
          </cell>
          <cell r="K1163">
            <v>46177</v>
          </cell>
        </row>
        <row r="1164">
          <cell r="J1164">
            <v>46162</v>
          </cell>
          <cell r="K1164">
            <v>46184</v>
          </cell>
        </row>
        <row r="1165">
          <cell r="J1165">
            <v>46163</v>
          </cell>
          <cell r="K1165">
            <v>46190</v>
          </cell>
        </row>
        <row r="1166">
          <cell r="J1166">
            <v>46175</v>
          </cell>
          <cell r="K1166">
            <v>46198</v>
          </cell>
        </row>
        <row r="1167">
          <cell r="J1167">
            <v>46178</v>
          </cell>
          <cell r="K1167">
            <v>46197</v>
          </cell>
        </row>
        <row r="1168">
          <cell r="J1168">
            <v>46178</v>
          </cell>
          <cell r="K1168">
            <v>46197</v>
          </cell>
        </row>
        <row r="1169">
          <cell r="J1169">
            <v>46178</v>
          </cell>
          <cell r="K1169">
            <v>46202</v>
          </cell>
        </row>
        <row r="1170">
          <cell r="J1170">
            <v>46184</v>
          </cell>
          <cell r="K1170">
            <v>46209</v>
          </cell>
        </row>
        <row r="1171">
          <cell r="J1171">
            <v>46184</v>
          </cell>
          <cell r="K1171">
            <v>46206</v>
          </cell>
        </row>
        <row r="1172">
          <cell r="J1172">
            <v>46184</v>
          </cell>
          <cell r="K1172">
            <v>46204</v>
          </cell>
        </row>
        <row r="1173">
          <cell r="J1173">
            <v>46185</v>
          </cell>
          <cell r="K1173">
            <v>46196</v>
          </cell>
        </row>
        <row r="1174">
          <cell r="J1174">
            <v>46185</v>
          </cell>
          <cell r="K1174">
            <v>46192</v>
          </cell>
        </row>
        <row r="1175">
          <cell r="J1175">
            <v>46192</v>
          </cell>
          <cell r="K1175">
            <v>46209</v>
          </cell>
        </row>
        <row r="1176">
          <cell r="J1176">
            <v>46199</v>
          </cell>
          <cell r="K1176">
            <v>46211</v>
          </cell>
        </row>
        <row r="1177">
          <cell r="J1177">
            <v>46203</v>
          </cell>
          <cell r="K1177">
            <v>46223</v>
          </cell>
        </row>
        <row r="1178">
          <cell r="J1178">
            <v>46203</v>
          </cell>
          <cell r="K1178">
            <v>46223</v>
          </cell>
        </row>
        <row r="1179">
          <cell r="J1179">
            <v>46203</v>
          </cell>
          <cell r="K1179">
            <v>46223</v>
          </cell>
        </row>
        <row r="1180">
          <cell r="J1180">
            <v>46203</v>
          </cell>
          <cell r="K1180">
            <v>46223</v>
          </cell>
        </row>
        <row r="1181">
          <cell r="J1181">
            <v>46203</v>
          </cell>
          <cell r="K1181">
            <v>46223</v>
          </cell>
        </row>
        <row r="1182">
          <cell r="J1182">
            <v>46209</v>
          </cell>
          <cell r="K1182">
            <v>46213</v>
          </cell>
        </row>
        <row r="1183">
          <cell r="J1183">
            <v>46209</v>
          </cell>
          <cell r="K1183">
            <v>46227</v>
          </cell>
        </row>
        <row r="1184">
          <cell r="J1184">
            <v>46213</v>
          </cell>
          <cell r="K1184">
            <v>46219</v>
          </cell>
        </row>
        <row r="1185">
          <cell r="J1185">
            <v>46213</v>
          </cell>
          <cell r="K1185">
            <v>46219</v>
          </cell>
        </row>
        <row r="1186">
          <cell r="J1186">
            <v>46213</v>
          </cell>
          <cell r="K1186">
            <v>46237</v>
          </cell>
        </row>
        <row r="1187">
          <cell r="J1187">
            <v>46213</v>
          </cell>
          <cell r="K1187">
            <v>46237</v>
          </cell>
        </row>
        <row r="1188">
          <cell r="J1188">
            <v>46213</v>
          </cell>
          <cell r="K1188">
            <v>46237</v>
          </cell>
        </row>
        <row r="1189">
          <cell r="J1189">
            <v>46213</v>
          </cell>
          <cell r="K1189">
            <v>46237</v>
          </cell>
        </row>
        <row r="1190">
          <cell r="J1190">
            <v>46217</v>
          </cell>
          <cell r="K1190">
            <v>46223</v>
          </cell>
        </row>
        <row r="1191">
          <cell r="J1191">
            <v>46218</v>
          </cell>
          <cell r="K1191">
            <v>46224</v>
          </cell>
        </row>
        <row r="1192">
          <cell r="J1192">
            <v>46219</v>
          </cell>
          <cell r="K1192">
            <v>46225</v>
          </cell>
        </row>
        <row r="1193">
          <cell r="J1193">
            <v>46223</v>
          </cell>
          <cell r="K1193">
            <v>46227</v>
          </cell>
        </row>
        <row r="1194">
          <cell r="J1194">
            <v>46230</v>
          </cell>
          <cell r="K1194">
            <v>46238</v>
          </cell>
        </row>
        <row r="1195">
          <cell r="J1195">
            <v>46233</v>
          </cell>
          <cell r="K1195">
            <v>46239</v>
          </cell>
        </row>
        <row r="1196">
          <cell r="J1196">
            <v>46237</v>
          </cell>
          <cell r="K1196">
            <v>46241</v>
          </cell>
        </row>
        <row r="1197">
          <cell r="J1197">
            <v>46253</v>
          </cell>
          <cell r="K1197">
            <v>46266</v>
          </cell>
        </row>
        <row r="1198">
          <cell r="J1198">
            <v>46253</v>
          </cell>
          <cell r="K1198">
            <v>46259</v>
          </cell>
        </row>
        <row r="1199">
          <cell r="J1199">
            <v>46253</v>
          </cell>
          <cell r="K1199">
            <v>46259</v>
          </cell>
        </row>
        <row r="1200">
          <cell r="J1200">
            <v>46253</v>
          </cell>
          <cell r="K1200">
            <v>46259</v>
          </cell>
        </row>
        <row r="1201">
          <cell r="J1201">
            <v>46272</v>
          </cell>
          <cell r="K1201">
            <v>46276</v>
          </cell>
        </row>
        <row r="1202">
          <cell r="J1202">
            <v>46272</v>
          </cell>
          <cell r="K1202">
            <v>46276</v>
          </cell>
        </row>
        <row r="1203">
          <cell r="J1203">
            <v>46272</v>
          </cell>
          <cell r="K1203">
            <v>46276</v>
          </cell>
        </row>
        <row r="1204">
          <cell r="J1204">
            <v>46272</v>
          </cell>
          <cell r="K1204">
            <v>46276</v>
          </cell>
        </row>
        <row r="1205">
          <cell r="J1205">
            <v>46281</v>
          </cell>
          <cell r="K1205">
            <v>46287</v>
          </cell>
        </row>
        <row r="1206">
          <cell r="J1206">
            <v>46281</v>
          </cell>
          <cell r="K1206">
            <v>46287</v>
          </cell>
        </row>
        <row r="1207">
          <cell r="J1207">
            <v>46281</v>
          </cell>
          <cell r="K1207">
            <v>46287</v>
          </cell>
        </row>
        <row r="1208">
          <cell r="J1208">
            <v>46281</v>
          </cell>
          <cell r="K1208">
            <v>46287</v>
          </cell>
        </row>
        <row r="1209">
          <cell r="J1209">
            <v>46281</v>
          </cell>
          <cell r="K1209">
            <v>46287</v>
          </cell>
        </row>
        <row r="1210">
          <cell r="J1210">
            <v>46283</v>
          </cell>
          <cell r="K1210">
            <v>46289</v>
          </cell>
        </row>
        <row r="1211">
          <cell r="J1211">
            <v>46283</v>
          </cell>
          <cell r="K1211">
            <v>46289</v>
          </cell>
        </row>
        <row r="1212">
          <cell r="J1212">
            <v>46283</v>
          </cell>
          <cell r="K1212">
            <v>46289</v>
          </cell>
        </row>
        <row r="1213">
          <cell r="J1213">
            <v>46283</v>
          </cell>
          <cell r="K1213">
            <v>46289</v>
          </cell>
        </row>
        <row r="1214">
          <cell r="J1214">
            <v>46287</v>
          </cell>
          <cell r="K1214">
            <v>46293</v>
          </cell>
        </row>
        <row r="1215">
          <cell r="J1215">
            <v>46134</v>
          </cell>
          <cell r="K1215">
            <v>46351</v>
          </cell>
        </row>
        <row r="1216">
          <cell r="J1216">
            <v>46120</v>
          </cell>
          <cell r="K1216">
            <v>46139</v>
          </cell>
        </row>
        <row r="1217">
          <cell r="J1217">
            <v>46148</v>
          </cell>
          <cell r="K1217">
            <v>46167</v>
          </cell>
        </row>
        <row r="1218">
          <cell r="J1218">
            <v>46148</v>
          </cell>
          <cell r="K1218">
            <v>46167</v>
          </cell>
        </row>
        <row r="1219">
          <cell r="J1219">
            <v>46149</v>
          </cell>
          <cell r="K1219">
            <v>46169</v>
          </cell>
        </row>
        <row r="1220">
          <cell r="J1220">
            <v>46153</v>
          </cell>
          <cell r="K1220">
            <v>46167</v>
          </cell>
        </row>
        <row r="1221">
          <cell r="J1221">
            <v>46153</v>
          </cell>
          <cell r="K1221">
            <v>46167</v>
          </cell>
        </row>
        <row r="1222">
          <cell r="J1222">
            <v>46153</v>
          </cell>
          <cell r="K1222">
            <v>46167</v>
          </cell>
        </row>
        <row r="1223">
          <cell r="J1223">
            <v>46163</v>
          </cell>
          <cell r="K1223">
            <v>46177</v>
          </cell>
        </row>
        <row r="1224">
          <cell r="J1224">
            <v>46170</v>
          </cell>
          <cell r="K1224">
            <v>46189</v>
          </cell>
        </row>
        <row r="1225">
          <cell r="J1225">
            <v>46188</v>
          </cell>
          <cell r="K1225">
            <v>46198</v>
          </cell>
        </row>
        <row r="1226">
          <cell r="J1226">
            <v>46188</v>
          </cell>
          <cell r="K1226">
            <v>46197</v>
          </cell>
        </row>
        <row r="1227">
          <cell r="J1227">
            <v>46188</v>
          </cell>
          <cell r="K1227">
            <v>46206</v>
          </cell>
        </row>
        <row r="1228">
          <cell r="J1228">
            <v>46205</v>
          </cell>
          <cell r="K1228">
            <v>46218</v>
          </cell>
        </row>
        <row r="1229">
          <cell r="J1229">
            <v>46217</v>
          </cell>
          <cell r="K1229">
            <v>46223</v>
          </cell>
        </row>
        <row r="1230">
          <cell r="J1230">
            <v>46224</v>
          </cell>
          <cell r="K1230">
            <v>46239</v>
          </cell>
        </row>
        <row r="1231">
          <cell r="J1231">
            <v>46224</v>
          </cell>
          <cell r="K1231">
            <v>46239</v>
          </cell>
        </row>
        <row r="1232">
          <cell r="J1232">
            <v>46224</v>
          </cell>
          <cell r="K1232">
            <v>46239</v>
          </cell>
        </row>
        <row r="1233">
          <cell r="J1233">
            <v>46224</v>
          </cell>
          <cell r="K1233">
            <v>46239</v>
          </cell>
        </row>
        <row r="1234">
          <cell r="J1234">
            <v>46224</v>
          </cell>
          <cell r="K1234">
            <v>46239</v>
          </cell>
        </row>
        <row r="1235">
          <cell r="J1235">
            <v>46227</v>
          </cell>
          <cell r="K1235">
            <v>46244</v>
          </cell>
        </row>
        <row r="1236">
          <cell r="J1236">
            <v>46227</v>
          </cell>
          <cell r="K1236">
            <v>46244</v>
          </cell>
        </row>
        <row r="1237">
          <cell r="J1237">
            <v>46227</v>
          </cell>
          <cell r="K1237">
            <v>46244</v>
          </cell>
        </row>
        <row r="1238">
          <cell r="J1238">
            <v>46227</v>
          </cell>
          <cell r="K1238">
            <v>46244</v>
          </cell>
        </row>
        <row r="1239">
          <cell r="J1239">
            <v>46230</v>
          </cell>
          <cell r="K1239">
            <v>46245</v>
          </cell>
        </row>
        <row r="1240">
          <cell r="J1240">
            <v>46237</v>
          </cell>
          <cell r="K1240">
            <v>46241</v>
          </cell>
        </row>
        <row r="1241">
          <cell r="J1241">
            <v>46241</v>
          </cell>
          <cell r="K1241">
            <v>46248</v>
          </cell>
        </row>
        <row r="1242">
          <cell r="J1242">
            <v>46241</v>
          </cell>
          <cell r="K1242">
            <v>46255</v>
          </cell>
        </row>
        <row r="1243">
          <cell r="J1243">
            <v>46245</v>
          </cell>
          <cell r="K1243">
            <v>46252</v>
          </cell>
        </row>
        <row r="1244">
          <cell r="J1244">
            <v>46245</v>
          </cell>
          <cell r="K1244">
            <v>46252</v>
          </cell>
        </row>
        <row r="1245">
          <cell r="J1245">
            <v>46245</v>
          </cell>
          <cell r="K1245">
            <v>46252</v>
          </cell>
        </row>
        <row r="1246">
          <cell r="J1246">
            <v>46258</v>
          </cell>
          <cell r="K1246">
            <v>46262</v>
          </cell>
        </row>
        <row r="1247">
          <cell r="J1247">
            <v>46265</v>
          </cell>
          <cell r="K1247">
            <v>46269</v>
          </cell>
        </row>
        <row r="1248">
          <cell r="J1248">
            <v>46282</v>
          </cell>
          <cell r="K1248">
            <v>46288</v>
          </cell>
        </row>
        <row r="1249">
          <cell r="J1249">
            <v>46282</v>
          </cell>
          <cell r="K1249">
            <v>46295</v>
          </cell>
        </row>
        <row r="1250">
          <cell r="J1250">
            <v>46294</v>
          </cell>
          <cell r="K1250">
            <v>46300</v>
          </cell>
        </row>
        <row r="1251">
          <cell r="J1251">
            <v>46294</v>
          </cell>
          <cell r="K1251">
            <v>46300</v>
          </cell>
        </row>
        <row r="1252">
          <cell r="J1252">
            <v>46294</v>
          </cell>
          <cell r="K1252">
            <v>46300</v>
          </cell>
        </row>
        <row r="1253">
          <cell r="J1253">
            <v>46294</v>
          </cell>
          <cell r="K1253">
            <v>46300</v>
          </cell>
        </row>
        <row r="1254">
          <cell r="J1254">
            <v>46303</v>
          </cell>
          <cell r="K1254">
            <v>46310</v>
          </cell>
        </row>
        <row r="1255">
          <cell r="J1255">
            <v>46303</v>
          </cell>
          <cell r="K1255">
            <v>46310</v>
          </cell>
        </row>
        <row r="1256">
          <cell r="J1256">
            <v>46303</v>
          </cell>
          <cell r="K1256">
            <v>46310</v>
          </cell>
        </row>
        <row r="1257">
          <cell r="J1257">
            <v>46303</v>
          </cell>
          <cell r="K1257">
            <v>46310</v>
          </cell>
        </row>
        <row r="1258">
          <cell r="J1258">
            <v>46303</v>
          </cell>
          <cell r="K1258">
            <v>46310</v>
          </cell>
        </row>
        <row r="1259">
          <cell r="J1259">
            <v>46303</v>
          </cell>
          <cell r="K1259">
            <v>46310</v>
          </cell>
        </row>
        <row r="1260">
          <cell r="J1260">
            <v>46307</v>
          </cell>
          <cell r="K1260">
            <v>46314</v>
          </cell>
        </row>
        <row r="1261">
          <cell r="J1261">
            <v>46307</v>
          </cell>
          <cell r="K1261">
            <v>46314</v>
          </cell>
        </row>
        <row r="1262">
          <cell r="J1262">
            <v>46307</v>
          </cell>
          <cell r="K1262">
            <v>46314</v>
          </cell>
        </row>
        <row r="1263">
          <cell r="J1263">
            <v>46307</v>
          </cell>
          <cell r="K1263">
            <v>46314</v>
          </cell>
        </row>
        <row r="1264">
          <cell r="J1264">
            <v>46310</v>
          </cell>
          <cell r="K1264">
            <v>46316</v>
          </cell>
        </row>
        <row r="1265">
          <cell r="J1265">
            <v>46345</v>
          </cell>
          <cell r="K1265">
            <v>46351</v>
          </cell>
        </row>
        <row r="1266">
          <cell r="J1266">
            <v>46167</v>
          </cell>
          <cell r="K1266">
            <v>46335</v>
          </cell>
        </row>
        <row r="1267">
          <cell r="J1267">
            <v>46163</v>
          </cell>
          <cell r="K1267">
            <v>46199</v>
          </cell>
        </row>
        <row r="1268">
          <cell r="J1268">
            <v>46188</v>
          </cell>
          <cell r="K1268">
            <v>46247</v>
          </cell>
        </row>
        <row r="1269">
          <cell r="J1269">
            <v>46189</v>
          </cell>
          <cell r="K1269">
            <v>46225</v>
          </cell>
        </row>
        <row r="1270">
          <cell r="J1270">
            <v>46189</v>
          </cell>
          <cell r="K1270">
            <v>46224</v>
          </cell>
        </row>
        <row r="1271">
          <cell r="J1271">
            <v>46191</v>
          </cell>
          <cell r="K1271">
            <v>46239</v>
          </cell>
        </row>
        <row r="1272">
          <cell r="J1272">
            <v>46192</v>
          </cell>
          <cell r="K1272">
            <v>46225</v>
          </cell>
        </row>
        <row r="1273">
          <cell r="J1273">
            <v>46192</v>
          </cell>
          <cell r="K1273">
            <v>46225</v>
          </cell>
        </row>
        <row r="1274">
          <cell r="J1274">
            <v>46196</v>
          </cell>
          <cell r="K1274">
            <v>46223</v>
          </cell>
        </row>
        <row r="1275">
          <cell r="J1275">
            <v>46202</v>
          </cell>
          <cell r="K1275">
            <v>46266</v>
          </cell>
        </row>
        <row r="1276">
          <cell r="J1276">
            <v>46216</v>
          </cell>
          <cell r="K1276">
            <v>46220</v>
          </cell>
        </row>
        <row r="1277">
          <cell r="J1277">
            <v>46234</v>
          </cell>
          <cell r="K1277">
            <v>46240</v>
          </cell>
        </row>
        <row r="1278">
          <cell r="J1278">
            <v>46240</v>
          </cell>
          <cell r="K1278">
            <v>46247</v>
          </cell>
        </row>
        <row r="1279">
          <cell r="J1279">
            <v>46244</v>
          </cell>
          <cell r="K1279">
            <v>46251</v>
          </cell>
        </row>
        <row r="1280">
          <cell r="J1280">
            <v>46244</v>
          </cell>
          <cell r="K1280">
            <v>46251</v>
          </cell>
        </row>
        <row r="1281">
          <cell r="J1281">
            <v>46244</v>
          </cell>
          <cell r="K1281">
            <v>46251</v>
          </cell>
        </row>
        <row r="1282">
          <cell r="J1282">
            <v>46252</v>
          </cell>
          <cell r="K1282">
            <v>46276</v>
          </cell>
        </row>
        <row r="1283">
          <cell r="J1283">
            <v>46255</v>
          </cell>
          <cell r="K1283">
            <v>46261</v>
          </cell>
        </row>
        <row r="1284">
          <cell r="J1284">
            <v>46260</v>
          </cell>
          <cell r="K1284">
            <v>46276</v>
          </cell>
        </row>
        <row r="1285">
          <cell r="J1285">
            <v>46260</v>
          </cell>
          <cell r="K1285">
            <v>46276</v>
          </cell>
        </row>
        <row r="1286">
          <cell r="J1286">
            <v>46260</v>
          </cell>
          <cell r="K1286">
            <v>46276</v>
          </cell>
        </row>
        <row r="1287">
          <cell r="J1287">
            <v>46262</v>
          </cell>
          <cell r="K1287">
            <v>46268</v>
          </cell>
        </row>
        <row r="1288">
          <cell r="J1288">
            <v>46269</v>
          </cell>
          <cell r="K1288">
            <v>46287</v>
          </cell>
        </row>
        <row r="1289">
          <cell r="J1289">
            <v>46269</v>
          </cell>
          <cell r="K1289">
            <v>46287</v>
          </cell>
        </row>
        <row r="1290">
          <cell r="J1290">
            <v>46269</v>
          </cell>
          <cell r="K1290">
            <v>46287</v>
          </cell>
        </row>
        <row r="1291">
          <cell r="J1291">
            <v>46269</v>
          </cell>
          <cell r="K1291">
            <v>46287</v>
          </cell>
        </row>
        <row r="1292">
          <cell r="J1292">
            <v>46269</v>
          </cell>
          <cell r="K1292">
            <v>46287</v>
          </cell>
        </row>
        <row r="1293">
          <cell r="J1293">
            <v>46275</v>
          </cell>
          <cell r="K1293">
            <v>46289</v>
          </cell>
        </row>
        <row r="1294">
          <cell r="J1294">
            <v>46275</v>
          </cell>
          <cell r="K1294">
            <v>46289</v>
          </cell>
        </row>
        <row r="1295">
          <cell r="J1295">
            <v>46275</v>
          </cell>
          <cell r="K1295">
            <v>46289</v>
          </cell>
        </row>
        <row r="1296">
          <cell r="J1296">
            <v>46275</v>
          </cell>
          <cell r="K1296">
            <v>46289</v>
          </cell>
        </row>
        <row r="1297">
          <cell r="J1297">
            <v>46276</v>
          </cell>
          <cell r="K1297">
            <v>46293</v>
          </cell>
        </row>
        <row r="1298">
          <cell r="J1298">
            <v>46276</v>
          </cell>
          <cell r="K1298">
            <v>46287</v>
          </cell>
        </row>
        <row r="1299">
          <cell r="J1299">
            <v>46281</v>
          </cell>
          <cell r="K1299">
            <v>46287</v>
          </cell>
        </row>
        <row r="1300">
          <cell r="J1300">
            <v>46293</v>
          </cell>
          <cell r="K1300">
            <v>46297</v>
          </cell>
        </row>
        <row r="1301">
          <cell r="J1301">
            <v>46293</v>
          </cell>
          <cell r="K1301">
            <v>46297</v>
          </cell>
        </row>
        <row r="1302">
          <cell r="J1302">
            <v>46293</v>
          </cell>
          <cell r="K1302">
            <v>46297</v>
          </cell>
        </row>
        <row r="1303">
          <cell r="J1303">
            <v>46293</v>
          </cell>
          <cell r="K1303">
            <v>46297</v>
          </cell>
        </row>
        <row r="1304">
          <cell r="J1304">
            <v>46302</v>
          </cell>
          <cell r="K1304">
            <v>46309</v>
          </cell>
        </row>
        <row r="1305">
          <cell r="J1305">
            <v>46302</v>
          </cell>
          <cell r="K1305">
            <v>46309</v>
          </cell>
        </row>
        <row r="1306">
          <cell r="J1306">
            <v>46302</v>
          </cell>
          <cell r="K1306">
            <v>46309</v>
          </cell>
        </row>
        <row r="1307">
          <cell r="J1307">
            <v>46302</v>
          </cell>
          <cell r="K1307">
            <v>46309</v>
          </cell>
        </row>
        <row r="1308">
          <cell r="J1308">
            <v>46302</v>
          </cell>
          <cell r="K1308">
            <v>46309</v>
          </cell>
        </row>
        <row r="1309">
          <cell r="J1309">
            <v>46302</v>
          </cell>
          <cell r="K1309">
            <v>46309</v>
          </cell>
        </row>
        <row r="1310">
          <cell r="J1310">
            <v>46304</v>
          </cell>
          <cell r="K1310">
            <v>46311</v>
          </cell>
        </row>
        <row r="1311">
          <cell r="J1311">
            <v>46304</v>
          </cell>
          <cell r="K1311">
            <v>46311</v>
          </cell>
        </row>
        <row r="1312">
          <cell r="J1312">
            <v>46304</v>
          </cell>
          <cell r="K1312">
            <v>46311</v>
          </cell>
        </row>
        <row r="1313">
          <cell r="J1313">
            <v>46304</v>
          </cell>
          <cell r="K1313">
            <v>46311</v>
          </cell>
        </row>
        <row r="1314">
          <cell r="J1314">
            <v>46309</v>
          </cell>
          <cell r="K1314">
            <v>46315</v>
          </cell>
        </row>
        <row r="1315">
          <cell r="J1315">
            <v>46317</v>
          </cell>
          <cell r="K1315">
            <v>46329</v>
          </cell>
        </row>
        <row r="1316">
          <cell r="J1316">
            <v>46344</v>
          </cell>
          <cell r="K1316">
            <v>46350</v>
          </cell>
        </row>
        <row r="1317">
          <cell r="J1317">
            <v>46106</v>
          </cell>
          <cell r="K1317">
            <v>46370</v>
          </cell>
        </row>
        <row r="1318">
          <cell r="J1318">
            <v>46106</v>
          </cell>
          <cell r="K1318">
            <v>46139</v>
          </cell>
        </row>
        <row r="1319">
          <cell r="J1319">
            <v>46106</v>
          </cell>
          <cell r="K1319">
            <v>46147</v>
          </cell>
        </row>
        <row r="1320">
          <cell r="J1320">
            <v>46121</v>
          </cell>
          <cell r="K1320">
            <v>46147</v>
          </cell>
        </row>
        <row r="1321">
          <cell r="J1321">
            <v>46121</v>
          </cell>
          <cell r="K1321">
            <v>46147</v>
          </cell>
        </row>
        <row r="1322">
          <cell r="J1322">
            <v>46148</v>
          </cell>
          <cell r="K1322">
            <v>46195</v>
          </cell>
        </row>
        <row r="1323">
          <cell r="J1323">
            <v>46148</v>
          </cell>
          <cell r="K1323">
            <v>46188</v>
          </cell>
        </row>
        <row r="1324">
          <cell r="J1324">
            <v>46155</v>
          </cell>
          <cell r="K1324">
            <v>46157</v>
          </cell>
        </row>
        <row r="1325">
          <cell r="J1325">
            <v>46162</v>
          </cell>
          <cell r="K1325">
            <v>46195</v>
          </cell>
        </row>
        <row r="1326">
          <cell r="J1326">
            <v>46162</v>
          </cell>
          <cell r="K1326">
            <v>46195</v>
          </cell>
        </row>
        <row r="1327">
          <cell r="J1327">
            <v>46163</v>
          </cell>
          <cell r="K1327">
            <v>46167</v>
          </cell>
        </row>
        <row r="1328">
          <cell r="J1328">
            <v>46163</v>
          </cell>
          <cell r="K1328">
            <v>46167</v>
          </cell>
        </row>
        <row r="1329">
          <cell r="J1329">
            <v>46163</v>
          </cell>
          <cell r="K1329">
            <v>46169</v>
          </cell>
        </row>
        <row r="1330">
          <cell r="J1330">
            <v>46185</v>
          </cell>
          <cell r="K1330">
            <v>46189</v>
          </cell>
        </row>
        <row r="1331">
          <cell r="J1331">
            <v>46185</v>
          </cell>
          <cell r="K1331">
            <v>46189</v>
          </cell>
        </row>
        <row r="1332">
          <cell r="J1332">
            <v>46192</v>
          </cell>
          <cell r="K1332">
            <v>46212</v>
          </cell>
        </row>
        <row r="1333">
          <cell r="J1333">
            <v>46192</v>
          </cell>
          <cell r="K1333">
            <v>46212</v>
          </cell>
        </row>
        <row r="1334">
          <cell r="J1334">
            <v>46192</v>
          </cell>
          <cell r="K1334">
            <v>46199</v>
          </cell>
        </row>
        <row r="1335">
          <cell r="J1335">
            <v>46192</v>
          </cell>
          <cell r="K1335">
            <v>46212</v>
          </cell>
        </row>
        <row r="1336">
          <cell r="J1336">
            <v>46199</v>
          </cell>
          <cell r="K1336">
            <v>46219</v>
          </cell>
        </row>
        <row r="1337">
          <cell r="J1337">
            <v>46199</v>
          </cell>
          <cell r="K1337">
            <v>46219</v>
          </cell>
        </row>
        <row r="1338">
          <cell r="J1338">
            <v>46210</v>
          </cell>
          <cell r="K1338">
            <v>46223</v>
          </cell>
        </row>
        <row r="1339">
          <cell r="J1339">
            <v>46210</v>
          </cell>
          <cell r="K1339">
            <v>46223</v>
          </cell>
        </row>
        <row r="1340">
          <cell r="J1340">
            <v>46210</v>
          </cell>
          <cell r="K1340">
            <v>46223</v>
          </cell>
        </row>
        <row r="1341">
          <cell r="J1341">
            <v>46210</v>
          </cell>
          <cell r="K1341">
            <v>46223</v>
          </cell>
        </row>
        <row r="1342">
          <cell r="J1342">
            <v>46213</v>
          </cell>
          <cell r="K1342">
            <v>46237</v>
          </cell>
        </row>
        <row r="1343">
          <cell r="J1343">
            <v>46220</v>
          </cell>
          <cell r="K1343">
            <v>46253</v>
          </cell>
        </row>
        <row r="1344">
          <cell r="J1344">
            <v>46220</v>
          </cell>
          <cell r="K1344">
            <v>46244</v>
          </cell>
        </row>
        <row r="1345">
          <cell r="J1345">
            <v>46227</v>
          </cell>
          <cell r="K1345">
            <v>46244</v>
          </cell>
        </row>
        <row r="1346">
          <cell r="J1346">
            <v>46227</v>
          </cell>
          <cell r="K1346">
            <v>46244</v>
          </cell>
        </row>
        <row r="1347">
          <cell r="J1347">
            <v>46227</v>
          </cell>
          <cell r="K1347">
            <v>46244</v>
          </cell>
        </row>
        <row r="1348">
          <cell r="J1348">
            <v>46227</v>
          </cell>
          <cell r="K1348">
            <v>46244</v>
          </cell>
        </row>
        <row r="1349">
          <cell r="J1349">
            <v>46238</v>
          </cell>
          <cell r="K1349">
            <v>46259</v>
          </cell>
        </row>
        <row r="1350">
          <cell r="J1350">
            <v>46238</v>
          </cell>
          <cell r="K1350">
            <v>46259</v>
          </cell>
        </row>
        <row r="1351">
          <cell r="J1351">
            <v>46240</v>
          </cell>
          <cell r="K1351">
            <v>46247</v>
          </cell>
        </row>
        <row r="1352">
          <cell r="J1352">
            <v>46240</v>
          </cell>
          <cell r="K1352">
            <v>46247</v>
          </cell>
        </row>
        <row r="1353">
          <cell r="J1353">
            <v>46240</v>
          </cell>
          <cell r="K1353">
            <v>46247</v>
          </cell>
        </row>
        <row r="1354">
          <cell r="J1354">
            <v>46240</v>
          </cell>
          <cell r="K1354">
            <v>46247</v>
          </cell>
        </row>
        <row r="1355">
          <cell r="J1355">
            <v>46245</v>
          </cell>
          <cell r="K1355">
            <v>46259</v>
          </cell>
        </row>
        <row r="1356">
          <cell r="J1356">
            <v>46253</v>
          </cell>
          <cell r="K1356">
            <v>46266</v>
          </cell>
        </row>
        <row r="1357">
          <cell r="J1357">
            <v>46253</v>
          </cell>
          <cell r="K1357">
            <v>46273</v>
          </cell>
        </row>
        <row r="1358">
          <cell r="J1358">
            <v>46253</v>
          </cell>
          <cell r="K1358">
            <v>46273</v>
          </cell>
        </row>
        <row r="1359">
          <cell r="J1359">
            <v>46254</v>
          </cell>
          <cell r="K1359">
            <v>46274</v>
          </cell>
        </row>
        <row r="1360">
          <cell r="J1360">
            <v>46260</v>
          </cell>
          <cell r="K1360">
            <v>46273</v>
          </cell>
        </row>
        <row r="1361">
          <cell r="J1361">
            <v>46260</v>
          </cell>
          <cell r="K1361">
            <v>46273</v>
          </cell>
        </row>
        <row r="1362">
          <cell r="J1362">
            <v>46260</v>
          </cell>
          <cell r="K1362">
            <v>46266</v>
          </cell>
        </row>
        <row r="1363">
          <cell r="J1363">
            <v>46260</v>
          </cell>
          <cell r="K1363">
            <v>46273</v>
          </cell>
        </row>
        <row r="1364">
          <cell r="J1364">
            <v>46260</v>
          </cell>
          <cell r="K1364">
            <v>46273</v>
          </cell>
        </row>
        <row r="1365">
          <cell r="J1365">
            <v>46260</v>
          </cell>
          <cell r="K1365">
            <v>46273</v>
          </cell>
        </row>
        <row r="1366">
          <cell r="J1366">
            <v>46268</v>
          </cell>
          <cell r="K1366">
            <v>46288</v>
          </cell>
        </row>
        <row r="1367">
          <cell r="J1367">
            <v>46274</v>
          </cell>
          <cell r="K1367">
            <v>46287</v>
          </cell>
        </row>
        <row r="1368">
          <cell r="J1368">
            <v>46274</v>
          </cell>
          <cell r="K1368">
            <v>46287</v>
          </cell>
        </row>
        <row r="1369">
          <cell r="J1369">
            <v>46275</v>
          </cell>
          <cell r="K1369">
            <v>46295</v>
          </cell>
        </row>
        <row r="1370">
          <cell r="J1370">
            <v>46275</v>
          </cell>
          <cell r="K1370">
            <v>46295</v>
          </cell>
        </row>
        <row r="1371">
          <cell r="J1371">
            <v>46281</v>
          </cell>
          <cell r="K1371">
            <v>46294</v>
          </cell>
        </row>
        <row r="1372">
          <cell r="J1372">
            <v>46288</v>
          </cell>
          <cell r="K1372">
            <v>46301</v>
          </cell>
        </row>
        <row r="1373">
          <cell r="J1373">
            <v>46288</v>
          </cell>
          <cell r="K1373">
            <v>46301</v>
          </cell>
        </row>
        <row r="1374">
          <cell r="J1374">
            <v>46288</v>
          </cell>
          <cell r="K1374">
            <v>46301</v>
          </cell>
        </row>
        <row r="1375">
          <cell r="J1375">
            <v>46288</v>
          </cell>
          <cell r="K1375">
            <v>46301</v>
          </cell>
        </row>
        <row r="1376">
          <cell r="J1376">
            <v>46288</v>
          </cell>
          <cell r="K1376">
            <v>46301</v>
          </cell>
        </row>
        <row r="1377">
          <cell r="J1377">
            <v>46289</v>
          </cell>
          <cell r="K1377">
            <v>46295</v>
          </cell>
        </row>
        <row r="1378">
          <cell r="J1378">
            <v>46302</v>
          </cell>
          <cell r="K1378">
            <v>46316</v>
          </cell>
        </row>
        <row r="1379">
          <cell r="J1379">
            <v>46303</v>
          </cell>
          <cell r="K1379">
            <v>46325</v>
          </cell>
        </row>
        <row r="1380">
          <cell r="J1380">
            <v>46317</v>
          </cell>
          <cell r="K1380">
            <v>46331</v>
          </cell>
        </row>
        <row r="1381">
          <cell r="J1381">
            <v>46317</v>
          </cell>
          <cell r="K1381">
            <v>46331</v>
          </cell>
        </row>
        <row r="1382">
          <cell r="J1382">
            <v>46317</v>
          </cell>
          <cell r="K1382">
            <v>46331</v>
          </cell>
        </row>
        <row r="1383">
          <cell r="J1383">
            <v>46321</v>
          </cell>
          <cell r="K1383">
            <v>46332</v>
          </cell>
        </row>
        <row r="1384">
          <cell r="J1384">
            <v>46321</v>
          </cell>
          <cell r="K1384">
            <v>46332</v>
          </cell>
        </row>
        <row r="1385">
          <cell r="J1385">
            <v>46321</v>
          </cell>
          <cell r="K1385">
            <v>46332</v>
          </cell>
        </row>
        <row r="1386">
          <cell r="J1386">
            <v>46147</v>
          </cell>
          <cell r="K1386">
            <v>46268</v>
          </cell>
        </row>
        <row r="1387">
          <cell r="J1387">
            <v>46148</v>
          </cell>
          <cell r="K1387">
            <v>46167</v>
          </cell>
        </row>
        <row r="1388">
          <cell r="J1388">
            <v>46148</v>
          </cell>
          <cell r="K1388">
            <v>46156</v>
          </cell>
        </row>
        <row r="1389">
          <cell r="J1389">
            <v>46148</v>
          </cell>
          <cell r="K1389">
            <v>46156</v>
          </cell>
        </row>
        <row r="1390">
          <cell r="J1390">
            <v>46148</v>
          </cell>
          <cell r="K1390">
            <v>46156</v>
          </cell>
        </row>
        <row r="1391">
          <cell r="J1391">
            <v>46148</v>
          </cell>
          <cell r="K1391">
            <v>46156</v>
          </cell>
        </row>
        <row r="1392">
          <cell r="J1392">
            <v>46148</v>
          </cell>
          <cell r="K1392">
            <v>46157</v>
          </cell>
        </row>
        <row r="1393">
          <cell r="J1393">
            <v>46148</v>
          </cell>
          <cell r="K1393">
            <v>46157</v>
          </cell>
        </row>
        <row r="1394">
          <cell r="J1394">
            <v>46175</v>
          </cell>
          <cell r="K1394">
            <v>46177</v>
          </cell>
        </row>
        <row r="1395">
          <cell r="J1395">
            <v>46175</v>
          </cell>
          <cell r="K1395">
            <v>46178</v>
          </cell>
        </row>
        <row r="1396">
          <cell r="J1396">
            <v>46175</v>
          </cell>
          <cell r="K1396">
            <v>46178</v>
          </cell>
        </row>
        <row r="1397">
          <cell r="J1397">
            <v>46181</v>
          </cell>
          <cell r="K1397">
            <v>46188</v>
          </cell>
        </row>
        <row r="1398">
          <cell r="J1398">
            <v>46183</v>
          </cell>
          <cell r="K1398">
            <v>46188</v>
          </cell>
        </row>
        <row r="1399">
          <cell r="J1399">
            <v>46184</v>
          </cell>
          <cell r="K1399">
            <v>46188</v>
          </cell>
        </row>
        <row r="1400">
          <cell r="J1400">
            <v>46195</v>
          </cell>
          <cell r="K1400">
            <v>46199</v>
          </cell>
        </row>
        <row r="1401">
          <cell r="J1401">
            <v>46195</v>
          </cell>
          <cell r="K1401">
            <v>46199</v>
          </cell>
        </row>
        <row r="1402">
          <cell r="J1402">
            <v>46196</v>
          </cell>
          <cell r="K1402">
            <v>46209</v>
          </cell>
        </row>
        <row r="1403">
          <cell r="J1403">
            <v>46202</v>
          </cell>
          <cell r="K1403">
            <v>46206</v>
          </cell>
        </row>
        <row r="1404">
          <cell r="J1404">
            <v>46202</v>
          </cell>
          <cell r="K1404">
            <v>46206</v>
          </cell>
        </row>
        <row r="1405">
          <cell r="J1405">
            <v>46203</v>
          </cell>
          <cell r="K1405">
            <v>46209</v>
          </cell>
        </row>
        <row r="1406">
          <cell r="J1406">
            <v>46224</v>
          </cell>
          <cell r="K1406">
            <v>46230</v>
          </cell>
        </row>
        <row r="1407">
          <cell r="J1407">
            <v>46233</v>
          </cell>
          <cell r="K1407">
            <v>46247</v>
          </cell>
        </row>
        <row r="1408">
          <cell r="J1408">
            <v>46160</v>
          </cell>
          <cell r="K1408">
            <v>46260</v>
          </cell>
        </row>
        <row r="1409">
          <cell r="J1409">
            <v>46155</v>
          </cell>
          <cell r="K1409">
            <v>46171</v>
          </cell>
        </row>
        <row r="1410">
          <cell r="J1410">
            <v>46155</v>
          </cell>
          <cell r="K1410">
            <v>46171</v>
          </cell>
        </row>
        <row r="1411">
          <cell r="J1411">
            <v>46167</v>
          </cell>
          <cell r="K1411">
            <v>46171</v>
          </cell>
        </row>
        <row r="1412">
          <cell r="J1412">
            <v>46188</v>
          </cell>
          <cell r="K1412">
            <v>46190</v>
          </cell>
        </row>
        <row r="1413">
          <cell r="J1413">
            <v>46188</v>
          </cell>
          <cell r="K1413">
            <v>46190</v>
          </cell>
        </row>
        <row r="1414">
          <cell r="J1414">
            <v>46266</v>
          </cell>
          <cell r="K1414">
            <v>46272</v>
          </cell>
        </row>
        <row r="1415">
          <cell r="J1415">
            <v>46190</v>
          </cell>
          <cell r="K1415">
            <v>46259</v>
          </cell>
        </row>
        <row r="1416">
          <cell r="J1416">
            <v>46224</v>
          </cell>
          <cell r="K1416">
            <v>46248</v>
          </cell>
        </row>
        <row r="1417">
          <cell r="J1417">
            <v>46224</v>
          </cell>
          <cell r="K1417">
            <v>46248</v>
          </cell>
        </row>
        <row r="1418">
          <cell r="J1418">
            <v>46265</v>
          </cell>
          <cell r="K1418">
            <v>46269</v>
          </cell>
        </row>
        <row r="1419">
          <cell r="J1419">
            <v>46265</v>
          </cell>
          <cell r="K1419">
            <v>46269</v>
          </cell>
        </row>
        <row r="1420">
          <cell r="J1420">
            <v>46304</v>
          </cell>
          <cell r="K1420">
            <v>46315</v>
          </cell>
        </row>
        <row r="1421">
          <cell r="J1421">
            <v>46331</v>
          </cell>
          <cell r="K1421">
            <v>46337</v>
          </cell>
        </row>
        <row r="1422">
          <cell r="J1422">
            <v>46085</v>
          </cell>
          <cell r="K1422">
            <v>46290</v>
          </cell>
        </row>
        <row r="1423">
          <cell r="J1423">
            <v>46085</v>
          </cell>
          <cell r="K1423">
            <v>46150</v>
          </cell>
        </row>
        <row r="1424">
          <cell r="J1424">
            <v>46113</v>
          </cell>
          <cell r="K1424">
            <v>46150</v>
          </cell>
        </row>
        <row r="1425">
          <cell r="J1425">
            <v>46113</v>
          </cell>
          <cell r="K1425">
            <v>46153</v>
          </cell>
        </row>
        <row r="1426">
          <cell r="J1426">
            <v>46113</v>
          </cell>
          <cell r="K1426">
            <v>46150</v>
          </cell>
        </row>
        <row r="1427">
          <cell r="J1427">
            <v>46140</v>
          </cell>
          <cell r="K1427">
            <v>46170</v>
          </cell>
        </row>
        <row r="1428">
          <cell r="J1428">
            <v>46156</v>
          </cell>
          <cell r="K1428">
            <v>46181</v>
          </cell>
        </row>
        <row r="1429">
          <cell r="J1429">
            <v>46156</v>
          </cell>
          <cell r="K1429">
            <v>46182</v>
          </cell>
        </row>
        <row r="1430">
          <cell r="J1430">
            <v>46156</v>
          </cell>
          <cell r="K1430">
            <v>46182</v>
          </cell>
        </row>
        <row r="1431">
          <cell r="J1431">
            <v>46157</v>
          </cell>
          <cell r="K1431">
            <v>46177</v>
          </cell>
        </row>
        <row r="1432">
          <cell r="J1432">
            <v>46157</v>
          </cell>
          <cell r="K1432">
            <v>46182</v>
          </cell>
        </row>
        <row r="1433">
          <cell r="J1433">
            <v>46163</v>
          </cell>
          <cell r="K1433">
            <v>46209</v>
          </cell>
        </row>
        <row r="1434">
          <cell r="J1434">
            <v>46164</v>
          </cell>
          <cell r="K1434">
            <v>46185</v>
          </cell>
        </row>
        <row r="1435">
          <cell r="J1435">
            <v>46168</v>
          </cell>
          <cell r="K1435">
            <v>46183</v>
          </cell>
        </row>
        <row r="1436">
          <cell r="J1436">
            <v>46168</v>
          </cell>
          <cell r="K1436">
            <v>46183</v>
          </cell>
        </row>
        <row r="1437">
          <cell r="J1437">
            <v>46168</v>
          </cell>
          <cell r="K1437">
            <v>46188</v>
          </cell>
        </row>
        <row r="1438">
          <cell r="J1438">
            <v>46175</v>
          </cell>
          <cell r="K1438">
            <v>46184</v>
          </cell>
        </row>
        <row r="1439">
          <cell r="J1439">
            <v>46181</v>
          </cell>
          <cell r="K1439">
            <v>46199</v>
          </cell>
        </row>
        <row r="1440">
          <cell r="J1440">
            <v>46181</v>
          </cell>
          <cell r="K1440">
            <v>46202</v>
          </cell>
        </row>
        <row r="1441">
          <cell r="J1441">
            <v>46199</v>
          </cell>
          <cell r="K1441">
            <v>46212</v>
          </cell>
        </row>
        <row r="1442">
          <cell r="J1442">
            <v>46212</v>
          </cell>
          <cell r="K1442">
            <v>46234</v>
          </cell>
        </row>
        <row r="1443">
          <cell r="J1443">
            <v>46212</v>
          </cell>
          <cell r="K1443">
            <v>46234</v>
          </cell>
        </row>
        <row r="1444">
          <cell r="J1444">
            <v>46212</v>
          </cell>
          <cell r="K1444">
            <v>46234</v>
          </cell>
        </row>
        <row r="1445">
          <cell r="J1445">
            <v>46216</v>
          </cell>
          <cell r="K1445">
            <v>46227</v>
          </cell>
        </row>
        <row r="1446">
          <cell r="J1446">
            <v>46216</v>
          </cell>
          <cell r="K1446">
            <v>46227</v>
          </cell>
        </row>
        <row r="1447">
          <cell r="J1447">
            <v>46217</v>
          </cell>
          <cell r="K1447">
            <v>46230</v>
          </cell>
        </row>
        <row r="1448">
          <cell r="J1448">
            <v>46224</v>
          </cell>
          <cell r="K1448">
            <v>46239</v>
          </cell>
        </row>
        <row r="1449">
          <cell r="J1449">
            <v>46227</v>
          </cell>
          <cell r="K1449">
            <v>46237</v>
          </cell>
        </row>
        <row r="1450">
          <cell r="J1450">
            <v>46230</v>
          </cell>
          <cell r="K1450">
            <v>46245</v>
          </cell>
        </row>
        <row r="1451">
          <cell r="J1451">
            <v>46230</v>
          </cell>
          <cell r="K1451">
            <v>46245</v>
          </cell>
        </row>
        <row r="1452">
          <cell r="J1452">
            <v>46247</v>
          </cell>
          <cell r="K1452">
            <v>46260</v>
          </cell>
        </row>
        <row r="1453">
          <cell r="J1453">
            <v>46275</v>
          </cell>
          <cell r="K1453">
            <v>46288</v>
          </cell>
        </row>
        <row r="1454">
          <cell r="J1454">
            <v>46275</v>
          </cell>
          <cell r="K1454">
            <v>46288</v>
          </cell>
        </row>
        <row r="1455">
          <cell r="J1455">
            <v>46275</v>
          </cell>
          <cell r="K1455">
            <v>46288</v>
          </cell>
        </row>
        <row r="1456">
          <cell r="J1456">
            <v>46275</v>
          </cell>
          <cell r="K1456">
            <v>46288</v>
          </cell>
        </row>
        <row r="1457">
          <cell r="J1457">
            <v>46275</v>
          </cell>
          <cell r="K1457">
            <v>46288</v>
          </cell>
        </row>
        <row r="1458">
          <cell r="J1458">
            <v>46275</v>
          </cell>
          <cell r="K1458">
            <v>46288</v>
          </cell>
        </row>
        <row r="1459">
          <cell r="J1459">
            <v>46289</v>
          </cell>
          <cell r="K1459">
            <v>46302</v>
          </cell>
        </row>
        <row r="1460">
          <cell r="J1460">
            <v>46190</v>
          </cell>
          <cell r="K1460">
            <v>46233</v>
          </cell>
        </row>
        <row r="1461">
          <cell r="J1461">
            <v>46199</v>
          </cell>
          <cell r="K1461">
            <v>46212</v>
          </cell>
        </row>
        <row r="1462">
          <cell r="J1462">
            <v>46199</v>
          </cell>
          <cell r="K1462">
            <v>46212</v>
          </cell>
        </row>
        <row r="1463">
          <cell r="J1463">
            <v>46199</v>
          </cell>
          <cell r="K1463">
            <v>46212</v>
          </cell>
        </row>
        <row r="1464">
          <cell r="J1464">
            <v>46253</v>
          </cell>
          <cell r="K1464">
            <v>46266</v>
          </cell>
        </row>
        <row r="1465">
          <cell r="J1465">
            <v>46253</v>
          </cell>
          <cell r="K1465">
            <v>46266</v>
          </cell>
        </row>
        <row r="1466">
          <cell r="J1466">
            <v>46253</v>
          </cell>
          <cell r="K1466">
            <v>46266</v>
          </cell>
        </row>
        <row r="1467">
          <cell r="J1467">
            <v>46223</v>
          </cell>
          <cell r="K1467">
            <v>46280</v>
          </cell>
        </row>
        <row r="1468">
          <cell r="J1468">
            <v>46205</v>
          </cell>
          <cell r="K1468">
            <v>46218</v>
          </cell>
        </row>
        <row r="1469">
          <cell r="J1469">
            <v>46205</v>
          </cell>
          <cell r="K1469">
            <v>46218</v>
          </cell>
        </row>
        <row r="1470">
          <cell r="J1470">
            <v>46205</v>
          </cell>
          <cell r="K1470">
            <v>46218</v>
          </cell>
        </row>
        <row r="1471">
          <cell r="J1471">
            <v>46282</v>
          </cell>
          <cell r="K1471">
            <v>46288</v>
          </cell>
        </row>
        <row r="1472">
          <cell r="J1472">
            <v>46282</v>
          </cell>
          <cell r="K1472">
            <v>46288</v>
          </cell>
        </row>
        <row r="1473">
          <cell r="J1473">
            <v>46282</v>
          </cell>
          <cell r="K1473">
            <v>46288</v>
          </cell>
        </row>
        <row r="1474">
          <cell r="J1474">
            <v>46258</v>
          </cell>
          <cell r="K1474">
            <v>46280</v>
          </cell>
        </row>
        <row r="1475">
          <cell r="J1475">
            <v>46258</v>
          </cell>
          <cell r="K1475">
            <v>46266</v>
          </cell>
        </row>
        <row r="1476">
          <cell r="J1476">
            <v>46258</v>
          </cell>
          <cell r="K1476">
            <v>46266</v>
          </cell>
        </row>
        <row r="1477">
          <cell r="J1477">
            <v>46258</v>
          </cell>
          <cell r="K1477">
            <v>46266</v>
          </cell>
        </row>
        <row r="1478">
          <cell r="J1478">
            <v>46281</v>
          </cell>
          <cell r="K1478">
            <v>46287</v>
          </cell>
        </row>
        <row r="1479">
          <cell r="J1479">
            <v>46281</v>
          </cell>
          <cell r="K1479">
            <v>46287</v>
          </cell>
        </row>
        <row r="1480">
          <cell r="J1480">
            <v>46281</v>
          </cell>
          <cell r="K1480">
            <v>46287</v>
          </cell>
        </row>
        <row r="1481">
          <cell r="J1481">
            <v>46112</v>
          </cell>
          <cell r="K1481">
            <v>46356</v>
          </cell>
        </row>
        <row r="1482">
          <cell r="J1482">
            <v>46112</v>
          </cell>
          <cell r="K1482">
            <v>46157</v>
          </cell>
        </row>
        <row r="1483">
          <cell r="J1483">
            <v>46132</v>
          </cell>
          <cell r="K1483">
            <v>46156</v>
          </cell>
        </row>
        <row r="1484">
          <cell r="J1484">
            <v>46140</v>
          </cell>
          <cell r="K1484">
            <v>46178</v>
          </cell>
        </row>
        <row r="1485">
          <cell r="J1485">
            <v>46140</v>
          </cell>
          <cell r="K1485">
            <v>46178</v>
          </cell>
        </row>
        <row r="1486">
          <cell r="J1486">
            <v>46140</v>
          </cell>
          <cell r="K1486">
            <v>46192</v>
          </cell>
        </row>
        <row r="1487">
          <cell r="J1487">
            <v>46142</v>
          </cell>
          <cell r="K1487">
            <v>46175</v>
          </cell>
        </row>
        <row r="1488">
          <cell r="J1488">
            <v>46154</v>
          </cell>
          <cell r="K1488">
            <v>46230</v>
          </cell>
        </row>
        <row r="1489">
          <cell r="J1489">
            <v>46160</v>
          </cell>
          <cell r="K1489">
            <v>46185</v>
          </cell>
        </row>
        <row r="1490">
          <cell r="J1490">
            <v>46161</v>
          </cell>
          <cell r="K1490">
            <v>46218</v>
          </cell>
        </row>
        <row r="1491">
          <cell r="J1491">
            <v>46164</v>
          </cell>
          <cell r="K1491">
            <v>46182</v>
          </cell>
        </row>
        <row r="1492">
          <cell r="J1492">
            <v>46167</v>
          </cell>
          <cell r="K1492">
            <v>46175</v>
          </cell>
        </row>
        <row r="1493">
          <cell r="J1493">
            <v>46177</v>
          </cell>
          <cell r="K1493">
            <v>46218</v>
          </cell>
        </row>
        <row r="1494">
          <cell r="J1494">
            <v>46185</v>
          </cell>
          <cell r="K1494">
            <v>46199</v>
          </cell>
        </row>
        <row r="1495">
          <cell r="J1495">
            <v>46188</v>
          </cell>
          <cell r="K1495">
            <v>46206</v>
          </cell>
        </row>
        <row r="1496">
          <cell r="J1496">
            <v>46192</v>
          </cell>
          <cell r="K1496">
            <v>46206</v>
          </cell>
        </row>
        <row r="1497">
          <cell r="J1497">
            <v>46196</v>
          </cell>
          <cell r="K1497">
            <v>46220</v>
          </cell>
        </row>
        <row r="1498">
          <cell r="J1498">
            <v>46198</v>
          </cell>
          <cell r="K1498">
            <v>46218</v>
          </cell>
        </row>
        <row r="1499">
          <cell r="J1499">
            <v>46199</v>
          </cell>
          <cell r="K1499">
            <v>46213</v>
          </cell>
        </row>
        <row r="1500">
          <cell r="J1500">
            <v>46199</v>
          </cell>
          <cell r="K1500">
            <v>46212</v>
          </cell>
        </row>
        <row r="1501">
          <cell r="J1501">
            <v>46202</v>
          </cell>
          <cell r="K1501">
            <v>46227</v>
          </cell>
        </row>
        <row r="1502">
          <cell r="J1502">
            <v>46204</v>
          </cell>
          <cell r="K1502">
            <v>46210</v>
          </cell>
        </row>
        <row r="1503">
          <cell r="J1503">
            <v>46205</v>
          </cell>
          <cell r="K1503">
            <v>46265</v>
          </cell>
        </row>
        <row r="1504">
          <cell r="J1504">
            <v>46213</v>
          </cell>
          <cell r="K1504">
            <v>46252</v>
          </cell>
        </row>
        <row r="1505">
          <cell r="J1505">
            <v>46216</v>
          </cell>
          <cell r="K1505">
            <v>46220</v>
          </cell>
        </row>
        <row r="1506">
          <cell r="J1506">
            <v>46223</v>
          </cell>
          <cell r="K1506">
            <v>46238</v>
          </cell>
        </row>
        <row r="1507">
          <cell r="J1507">
            <v>46225</v>
          </cell>
          <cell r="K1507">
            <v>46272</v>
          </cell>
        </row>
        <row r="1508">
          <cell r="J1508">
            <v>46225</v>
          </cell>
          <cell r="K1508">
            <v>46272</v>
          </cell>
        </row>
        <row r="1509">
          <cell r="J1509">
            <v>46227</v>
          </cell>
          <cell r="K1509">
            <v>46244</v>
          </cell>
        </row>
        <row r="1510">
          <cell r="J1510">
            <v>46237</v>
          </cell>
          <cell r="K1510">
            <v>46241</v>
          </cell>
        </row>
        <row r="1511">
          <cell r="J1511">
            <v>46237</v>
          </cell>
          <cell r="K1511">
            <v>46241</v>
          </cell>
        </row>
        <row r="1512">
          <cell r="J1512">
            <v>46237</v>
          </cell>
          <cell r="K1512">
            <v>46251</v>
          </cell>
        </row>
        <row r="1513">
          <cell r="J1513">
            <v>46237</v>
          </cell>
          <cell r="K1513">
            <v>46251</v>
          </cell>
        </row>
        <row r="1514">
          <cell r="J1514">
            <v>46237</v>
          </cell>
          <cell r="K1514">
            <v>46251</v>
          </cell>
        </row>
        <row r="1515">
          <cell r="J1515">
            <v>46239</v>
          </cell>
          <cell r="K1515">
            <v>46245</v>
          </cell>
        </row>
        <row r="1516">
          <cell r="J1516">
            <v>46245</v>
          </cell>
          <cell r="K1516">
            <v>46252</v>
          </cell>
        </row>
        <row r="1517">
          <cell r="J1517">
            <v>46248</v>
          </cell>
          <cell r="K1517">
            <v>46261</v>
          </cell>
        </row>
        <row r="1518">
          <cell r="J1518">
            <v>46255</v>
          </cell>
          <cell r="K1518">
            <v>46268</v>
          </cell>
        </row>
        <row r="1519">
          <cell r="J1519">
            <v>46265</v>
          </cell>
          <cell r="K1519">
            <v>46269</v>
          </cell>
        </row>
        <row r="1520">
          <cell r="J1520">
            <v>46266</v>
          </cell>
          <cell r="K1520">
            <v>46279</v>
          </cell>
        </row>
        <row r="1521">
          <cell r="J1521">
            <v>46267</v>
          </cell>
          <cell r="K1521">
            <v>46273</v>
          </cell>
        </row>
        <row r="1522">
          <cell r="J1522">
            <v>46269</v>
          </cell>
          <cell r="K1522">
            <v>46282</v>
          </cell>
        </row>
        <row r="1523">
          <cell r="J1523">
            <v>46275</v>
          </cell>
          <cell r="K1523">
            <v>46288</v>
          </cell>
        </row>
        <row r="1524">
          <cell r="J1524">
            <v>46276</v>
          </cell>
          <cell r="K1524">
            <v>46289</v>
          </cell>
        </row>
        <row r="1525">
          <cell r="J1525">
            <v>46280</v>
          </cell>
          <cell r="K1525">
            <v>46293</v>
          </cell>
        </row>
        <row r="1526">
          <cell r="J1526">
            <v>46283</v>
          </cell>
          <cell r="K1526">
            <v>46296</v>
          </cell>
        </row>
        <row r="1527">
          <cell r="J1527">
            <v>46287</v>
          </cell>
          <cell r="K1527">
            <v>46300</v>
          </cell>
        </row>
        <row r="1528">
          <cell r="J1528">
            <v>46287</v>
          </cell>
          <cell r="K1528">
            <v>46300</v>
          </cell>
        </row>
        <row r="1529">
          <cell r="J1529">
            <v>46288</v>
          </cell>
          <cell r="K1529">
            <v>46294</v>
          </cell>
        </row>
        <row r="1530">
          <cell r="J1530">
            <v>46295</v>
          </cell>
          <cell r="K1530">
            <v>46301</v>
          </cell>
        </row>
        <row r="1531">
          <cell r="J1531">
            <v>46297</v>
          </cell>
          <cell r="K1531">
            <v>46303</v>
          </cell>
        </row>
        <row r="1532">
          <cell r="J1532">
            <v>46297</v>
          </cell>
          <cell r="K1532">
            <v>46311</v>
          </cell>
        </row>
        <row r="1533">
          <cell r="J1533">
            <v>46309</v>
          </cell>
          <cell r="K1533">
            <v>46323</v>
          </cell>
        </row>
        <row r="1534">
          <cell r="J1534">
            <v>46311</v>
          </cell>
          <cell r="K1534">
            <v>46356</v>
          </cell>
        </row>
        <row r="1535">
          <cell r="J1535">
            <v>46316</v>
          </cell>
          <cell r="K1535">
            <v>46330</v>
          </cell>
        </row>
        <row r="1536">
          <cell r="J1536">
            <v>46316</v>
          </cell>
          <cell r="K1536">
            <v>46330</v>
          </cell>
        </row>
        <row r="1537">
          <cell r="J1537">
            <v>46322</v>
          </cell>
          <cell r="K1537">
            <v>46325</v>
          </cell>
        </row>
        <row r="1538">
          <cell r="J1538">
            <v>46372</v>
          </cell>
          <cell r="K1538">
            <v>46386</v>
          </cell>
        </row>
        <row r="1539">
          <cell r="J1539">
            <v>46085</v>
          </cell>
          <cell r="K1539">
            <v>46394</v>
          </cell>
        </row>
        <row r="1540">
          <cell r="J1540">
            <v>46129</v>
          </cell>
          <cell r="K1540">
            <v>46367</v>
          </cell>
        </row>
        <row r="1541">
          <cell r="J1541">
            <v>46129</v>
          </cell>
          <cell r="K1541">
            <v>46153</v>
          </cell>
        </row>
        <row r="1542">
          <cell r="J1542">
            <v>46155</v>
          </cell>
          <cell r="K1542">
            <v>46167</v>
          </cell>
        </row>
        <row r="1543">
          <cell r="J1543">
            <v>46157</v>
          </cell>
          <cell r="K1543">
            <v>46167</v>
          </cell>
        </row>
        <row r="1544">
          <cell r="J1544">
            <v>46162</v>
          </cell>
          <cell r="K1544">
            <v>46192</v>
          </cell>
        </row>
        <row r="1545">
          <cell r="J1545">
            <v>46175</v>
          </cell>
          <cell r="K1545">
            <v>46234</v>
          </cell>
        </row>
        <row r="1546">
          <cell r="J1546">
            <v>46244</v>
          </cell>
          <cell r="K1546">
            <v>46251</v>
          </cell>
        </row>
        <row r="1547">
          <cell r="J1547">
            <v>46247</v>
          </cell>
          <cell r="K1547">
            <v>46253</v>
          </cell>
        </row>
        <row r="1548">
          <cell r="J1548">
            <v>46258</v>
          </cell>
          <cell r="K1548">
            <v>46269</v>
          </cell>
        </row>
        <row r="1549">
          <cell r="J1549">
            <v>46265</v>
          </cell>
          <cell r="K1549">
            <v>46276</v>
          </cell>
        </row>
        <row r="1550">
          <cell r="J1550">
            <v>46273</v>
          </cell>
          <cell r="K1550">
            <v>46293</v>
          </cell>
        </row>
        <row r="1551">
          <cell r="J1551">
            <v>46274</v>
          </cell>
          <cell r="K1551">
            <v>46288</v>
          </cell>
        </row>
        <row r="1552">
          <cell r="J1552">
            <v>46279</v>
          </cell>
          <cell r="K1552">
            <v>46283</v>
          </cell>
        </row>
        <row r="1553">
          <cell r="J1553">
            <v>46293</v>
          </cell>
          <cell r="K1553">
            <v>46297</v>
          </cell>
        </row>
        <row r="1554">
          <cell r="J1554">
            <v>46309</v>
          </cell>
          <cell r="K1554">
            <v>46323</v>
          </cell>
        </row>
        <row r="1555">
          <cell r="J1555">
            <v>46325</v>
          </cell>
          <cell r="K1555">
            <v>46338</v>
          </cell>
        </row>
        <row r="1556">
          <cell r="J1556">
            <v>46338</v>
          </cell>
          <cell r="K1556">
            <v>46351</v>
          </cell>
        </row>
        <row r="1557">
          <cell r="J1557">
            <v>46353</v>
          </cell>
          <cell r="K1557">
            <v>46359</v>
          </cell>
        </row>
        <row r="1558">
          <cell r="J1558">
            <v>46113</v>
          </cell>
          <cell r="K1558">
            <v>46267</v>
          </cell>
        </row>
        <row r="1559">
          <cell r="J1559">
            <v>46113</v>
          </cell>
          <cell r="K1559">
            <v>46132</v>
          </cell>
        </row>
        <row r="1560">
          <cell r="J1560">
            <v>46113</v>
          </cell>
          <cell r="K1560">
            <v>46132</v>
          </cell>
        </row>
        <row r="1561">
          <cell r="J1561">
            <v>46113</v>
          </cell>
          <cell r="K1561">
            <v>46141</v>
          </cell>
        </row>
        <row r="1562">
          <cell r="J1562">
            <v>46113</v>
          </cell>
          <cell r="K1562">
            <v>46132</v>
          </cell>
        </row>
        <row r="1563">
          <cell r="J1563">
            <v>46113</v>
          </cell>
          <cell r="K1563">
            <v>46139</v>
          </cell>
        </row>
        <row r="1564">
          <cell r="J1564">
            <v>46113</v>
          </cell>
          <cell r="K1564">
            <v>46141</v>
          </cell>
        </row>
        <row r="1565">
          <cell r="J1565">
            <v>46113</v>
          </cell>
          <cell r="K1565">
            <v>46139</v>
          </cell>
        </row>
        <row r="1566">
          <cell r="J1566">
            <v>46113</v>
          </cell>
          <cell r="K1566">
            <v>46139</v>
          </cell>
        </row>
        <row r="1567">
          <cell r="J1567">
            <v>46140</v>
          </cell>
          <cell r="K1567">
            <v>46168</v>
          </cell>
        </row>
        <row r="1568">
          <cell r="J1568">
            <v>46140</v>
          </cell>
          <cell r="K1568">
            <v>46185</v>
          </cell>
        </row>
        <row r="1569">
          <cell r="J1569">
            <v>46147</v>
          </cell>
          <cell r="K1569">
            <v>46157</v>
          </cell>
        </row>
        <row r="1570">
          <cell r="J1570">
            <v>46147</v>
          </cell>
          <cell r="K1570">
            <v>46157</v>
          </cell>
        </row>
        <row r="1571">
          <cell r="J1571">
            <v>46156</v>
          </cell>
          <cell r="K1571">
            <v>46177</v>
          </cell>
        </row>
        <row r="1572">
          <cell r="J1572">
            <v>46156</v>
          </cell>
          <cell r="K1572">
            <v>46171</v>
          </cell>
        </row>
        <row r="1573">
          <cell r="J1573">
            <v>46157</v>
          </cell>
          <cell r="K1573">
            <v>46185</v>
          </cell>
        </row>
        <row r="1574">
          <cell r="J1574">
            <v>46175</v>
          </cell>
          <cell r="K1574">
            <v>46213</v>
          </cell>
        </row>
        <row r="1575">
          <cell r="J1575">
            <v>46175</v>
          </cell>
          <cell r="K1575">
            <v>46205</v>
          </cell>
        </row>
        <row r="1576">
          <cell r="J1576">
            <v>46175</v>
          </cell>
          <cell r="K1576">
            <v>46185</v>
          </cell>
        </row>
        <row r="1577">
          <cell r="J1577">
            <v>46188</v>
          </cell>
          <cell r="K1577">
            <v>46192</v>
          </cell>
        </row>
        <row r="1578">
          <cell r="J1578">
            <v>46188</v>
          </cell>
          <cell r="K1578">
            <v>46202</v>
          </cell>
        </row>
        <row r="1579">
          <cell r="J1579">
            <v>46199</v>
          </cell>
          <cell r="K1579">
            <v>46205</v>
          </cell>
        </row>
        <row r="1580">
          <cell r="J1580">
            <v>46209</v>
          </cell>
          <cell r="K1580">
            <v>46227</v>
          </cell>
        </row>
        <row r="1581">
          <cell r="J1581">
            <v>46211</v>
          </cell>
          <cell r="K1581">
            <v>46220</v>
          </cell>
        </row>
        <row r="1582">
          <cell r="J1582">
            <v>46211</v>
          </cell>
          <cell r="K1582">
            <v>46220</v>
          </cell>
        </row>
        <row r="1583">
          <cell r="J1583">
            <v>46218</v>
          </cell>
          <cell r="K1583">
            <v>46262</v>
          </cell>
        </row>
        <row r="1584">
          <cell r="J1584">
            <v>46223</v>
          </cell>
          <cell r="K1584">
            <v>46227</v>
          </cell>
        </row>
        <row r="1585">
          <cell r="J1585">
            <v>46226</v>
          </cell>
          <cell r="K1585">
            <v>46234</v>
          </cell>
        </row>
        <row r="1586">
          <cell r="J1586">
            <v>46226</v>
          </cell>
          <cell r="K1586">
            <v>46241</v>
          </cell>
        </row>
        <row r="1587">
          <cell r="J1587">
            <v>46233</v>
          </cell>
          <cell r="K1587">
            <v>46241</v>
          </cell>
        </row>
        <row r="1588">
          <cell r="J1588">
            <v>46233</v>
          </cell>
          <cell r="K1588">
            <v>46241</v>
          </cell>
        </row>
        <row r="1589">
          <cell r="J1589">
            <v>46233</v>
          </cell>
          <cell r="K1589">
            <v>46247</v>
          </cell>
        </row>
        <row r="1590">
          <cell r="J1590">
            <v>46237</v>
          </cell>
          <cell r="K1590">
            <v>46241</v>
          </cell>
        </row>
        <row r="1591">
          <cell r="J1591">
            <v>46241</v>
          </cell>
          <cell r="K1591">
            <v>46255</v>
          </cell>
        </row>
        <row r="1592">
          <cell r="J1592">
            <v>46258</v>
          </cell>
          <cell r="K1592">
            <v>46262</v>
          </cell>
        </row>
        <row r="1593">
          <cell r="J1593">
            <v>46258</v>
          </cell>
          <cell r="K1593">
            <v>46276</v>
          </cell>
        </row>
        <row r="1594">
          <cell r="J1594">
            <v>46258</v>
          </cell>
          <cell r="K1594">
            <v>46269</v>
          </cell>
        </row>
        <row r="1595">
          <cell r="J1595">
            <v>46272</v>
          </cell>
          <cell r="K1595">
            <v>46276</v>
          </cell>
        </row>
        <row r="1596">
          <cell r="J1596">
            <v>46272</v>
          </cell>
          <cell r="K1596">
            <v>46283</v>
          </cell>
        </row>
        <row r="1597">
          <cell r="J1597">
            <v>46279</v>
          </cell>
          <cell r="K1597">
            <v>46290</v>
          </cell>
        </row>
        <row r="1598">
          <cell r="J1598">
            <v>46282</v>
          </cell>
          <cell r="K1598">
            <v>46295</v>
          </cell>
        </row>
        <row r="1599">
          <cell r="J1599">
            <v>46286</v>
          </cell>
          <cell r="K1599">
            <v>46314</v>
          </cell>
        </row>
        <row r="1600">
          <cell r="J1600">
            <v>46293</v>
          </cell>
          <cell r="K1600">
            <v>46297</v>
          </cell>
        </row>
        <row r="1601">
          <cell r="J1601">
            <v>46293</v>
          </cell>
          <cell r="K1601">
            <v>46304</v>
          </cell>
        </row>
        <row r="1602">
          <cell r="J1602">
            <v>46142</v>
          </cell>
          <cell r="K1602">
            <v>46267</v>
          </cell>
        </row>
        <row r="1603">
          <cell r="J1603">
            <v>46140</v>
          </cell>
          <cell r="K1603">
            <v>46171</v>
          </cell>
        </row>
        <row r="1604">
          <cell r="J1604">
            <v>46140</v>
          </cell>
          <cell r="K1604">
            <v>46171</v>
          </cell>
        </row>
        <row r="1605">
          <cell r="J1605">
            <v>46140</v>
          </cell>
          <cell r="K1605">
            <v>46177</v>
          </cell>
        </row>
        <row r="1606">
          <cell r="J1606">
            <v>46140</v>
          </cell>
          <cell r="K1606">
            <v>46177</v>
          </cell>
        </row>
        <row r="1607">
          <cell r="J1607">
            <v>46140</v>
          </cell>
          <cell r="K1607">
            <v>46177</v>
          </cell>
        </row>
        <row r="1608">
          <cell r="J1608">
            <v>46140</v>
          </cell>
          <cell r="K1608">
            <v>46177</v>
          </cell>
        </row>
        <row r="1609">
          <cell r="J1609">
            <v>46140</v>
          </cell>
          <cell r="K1609">
            <v>46177</v>
          </cell>
        </row>
        <row r="1610">
          <cell r="J1610">
            <v>46140</v>
          </cell>
          <cell r="K1610">
            <v>46185</v>
          </cell>
        </row>
        <row r="1611">
          <cell r="J1611">
            <v>46140</v>
          </cell>
          <cell r="K1611">
            <v>46185</v>
          </cell>
        </row>
        <row r="1612">
          <cell r="J1612">
            <v>46140</v>
          </cell>
          <cell r="K1612">
            <v>46185</v>
          </cell>
        </row>
        <row r="1613">
          <cell r="J1613">
            <v>46140</v>
          </cell>
          <cell r="K1613">
            <v>46188</v>
          </cell>
        </row>
        <row r="1614">
          <cell r="J1614">
            <v>46140</v>
          </cell>
          <cell r="K1614">
            <v>46177</v>
          </cell>
        </row>
        <row r="1615">
          <cell r="J1615">
            <v>46140</v>
          </cell>
          <cell r="K1615">
            <v>46177</v>
          </cell>
        </row>
        <row r="1616">
          <cell r="J1616">
            <v>46140</v>
          </cell>
          <cell r="K1616">
            <v>46171</v>
          </cell>
        </row>
        <row r="1617">
          <cell r="J1617">
            <v>46140</v>
          </cell>
          <cell r="K1617">
            <v>46177</v>
          </cell>
        </row>
        <row r="1618">
          <cell r="J1618">
            <v>46140</v>
          </cell>
          <cell r="K1618">
            <v>46150</v>
          </cell>
        </row>
        <row r="1619">
          <cell r="J1619">
            <v>46140</v>
          </cell>
          <cell r="K1619">
            <v>46171</v>
          </cell>
        </row>
        <row r="1620">
          <cell r="J1620">
            <v>46140</v>
          </cell>
          <cell r="K1620">
            <v>46192</v>
          </cell>
        </row>
        <row r="1621">
          <cell r="J1621">
            <v>46140</v>
          </cell>
          <cell r="K1621">
            <v>46192</v>
          </cell>
        </row>
        <row r="1622">
          <cell r="J1622">
            <v>46140</v>
          </cell>
          <cell r="K1622">
            <v>46206</v>
          </cell>
        </row>
        <row r="1623">
          <cell r="J1623">
            <v>46140</v>
          </cell>
          <cell r="K1623">
            <v>46171</v>
          </cell>
        </row>
        <row r="1624">
          <cell r="J1624">
            <v>46199</v>
          </cell>
          <cell r="K1624">
            <v>46212</v>
          </cell>
        </row>
        <row r="1625">
          <cell r="J1625">
            <v>46202</v>
          </cell>
          <cell r="K1625">
            <v>46213</v>
          </cell>
        </row>
        <row r="1626">
          <cell r="J1626">
            <v>46216</v>
          </cell>
          <cell r="K1626">
            <v>46227</v>
          </cell>
        </row>
        <row r="1627">
          <cell r="J1627">
            <v>46216</v>
          </cell>
          <cell r="K1627">
            <v>46227</v>
          </cell>
        </row>
        <row r="1628">
          <cell r="J1628">
            <v>46216</v>
          </cell>
          <cell r="K1628">
            <v>46227</v>
          </cell>
        </row>
        <row r="1629">
          <cell r="J1629">
            <v>46219</v>
          </cell>
          <cell r="K1629">
            <v>46241</v>
          </cell>
        </row>
        <row r="1630">
          <cell r="J1630">
            <v>46219</v>
          </cell>
          <cell r="K1630">
            <v>46234</v>
          </cell>
        </row>
        <row r="1631">
          <cell r="J1631">
            <v>46219</v>
          </cell>
          <cell r="K1631">
            <v>46234</v>
          </cell>
        </row>
        <row r="1632">
          <cell r="J1632">
            <v>46226</v>
          </cell>
          <cell r="K1632">
            <v>46241</v>
          </cell>
        </row>
        <row r="1633">
          <cell r="J1633">
            <v>46226</v>
          </cell>
          <cell r="K1633">
            <v>46241</v>
          </cell>
        </row>
        <row r="1634">
          <cell r="J1634">
            <v>46226</v>
          </cell>
          <cell r="K1634">
            <v>46241</v>
          </cell>
        </row>
        <row r="1635">
          <cell r="J1635">
            <v>46234</v>
          </cell>
          <cell r="K1635">
            <v>46248</v>
          </cell>
        </row>
        <row r="1636">
          <cell r="J1636">
            <v>46234</v>
          </cell>
          <cell r="K1636">
            <v>46248</v>
          </cell>
        </row>
        <row r="1637">
          <cell r="J1637">
            <v>46240</v>
          </cell>
          <cell r="K1637">
            <v>46254</v>
          </cell>
        </row>
        <row r="1638">
          <cell r="J1638">
            <v>46240</v>
          </cell>
          <cell r="K1638">
            <v>46254</v>
          </cell>
        </row>
        <row r="1639">
          <cell r="J1639">
            <v>46241</v>
          </cell>
          <cell r="K1639">
            <v>46255</v>
          </cell>
        </row>
        <row r="1640">
          <cell r="J1640">
            <v>46241</v>
          </cell>
          <cell r="K1640">
            <v>46255</v>
          </cell>
        </row>
        <row r="1641">
          <cell r="J1641">
            <v>46241</v>
          </cell>
          <cell r="K1641">
            <v>46262</v>
          </cell>
        </row>
        <row r="1642">
          <cell r="J1642">
            <v>46255</v>
          </cell>
          <cell r="K1642">
            <v>46268</v>
          </cell>
        </row>
        <row r="1643">
          <cell r="J1643">
            <v>46265</v>
          </cell>
          <cell r="K1643">
            <v>46276</v>
          </cell>
        </row>
        <row r="1644">
          <cell r="J1644">
            <v>46265</v>
          </cell>
          <cell r="K1644">
            <v>46276</v>
          </cell>
        </row>
        <row r="1645">
          <cell r="J1645">
            <v>46091</v>
          </cell>
          <cell r="K1645">
            <v>46274</v>
          </cell>
        </row>
        <row r="1646">
          <cell r="J1646">
            <v>46091</v>
          </cell>
          <cell r="K1646">
            <v>46133</v>
          </cell>
        </row>
        <row r="1647">
          <cell r="J1647">
            <v>46091</v>
          </cell>
          <cell r="K1647">
            <v>46136</v>
          </cell>
        </row>
        <row r="1648">
          <cell r="J1648">
            <v>46091</v>
          </cell>
          <cell r="K1648">
            <v>46136</v>
          </cell>
        </row>
        <row r="1649">
          <cell r="J1649">
            <v>46091</v>
          </cell>
          <cell r="K1649">
            <v>46147</v>
          </cell>
        </row>
        <row r="1650">
          <cell r="J1650">
            <v>46091</v>
          </cell>
          <cell r="K1650">
            <v>46142</v>
          </cell>
        </row>
        <row r="1651">
          <cell r="J1651">
            <v>46097</v>
          </cell>
          <cell r="K1651">
            <v>46133</v>
          </cell>
        </row>
        <row r="1652">
          <cell r="J1652">
            <v>46097</v>
          </cell>
          <cell r="K1652">
            <v>46133</v>
          </cell>
        </row>
        <row r="1653">
          <cell r="J1653">
            <v>46097</v>
          </cell>
          <cell r="K1653">
            <v>46122</v>
          </cell>
        </row>
        <row r="1654">
          <cell r="J1654">
            <v>46106</v>
          </cell>
          <cell r="K1654">
            <v>46139</v>
          </cell>
        </row>
        <row r="1655">
          <cell r="J1655">
            <v>46112</v>
          </cell>
          <cell r="K1655">
            <v>46149</v>
          </cell>
        </row>
        <row r="1656">
          <cell r="J1656">
            <v>46112</v>
          </cell>
          <cell r="K1656">
            <v>46149</v>
          </cell>
        </row>
        <row r="1657">
          <cell r="J1657">
            <v>46113</v>
          </cell>
          <cell r="K1657">
            <v>46148</v>
          </cell>
        </row>
        <row r="1658">
          <cell r="J1658">
            <v>46113</v>
          </cell>
          <cell r="K1658">
            <v>46149</v>
          </cell>
        </row>
        <row r="1659">
          <cell r="J1659">
            <v>46141</v>
          </cell>
          <cell r="K1659">
            <v>46156</v>
          </cell>
        </row>
        <row r="1660">
          <cell r="J1660">
            <v>46142</v>
          </cell>
          <cell r="K1660">
            <v>46163</v>
          </cell>
        </row>
        <row r="1661">
          <cell r="J1661">
            <v>46149</v>
          </cell>
          <cell r="K1661">
            <v>46160</v>
          </cell>
        </row>
        <row r="1662">
          <cell r="J1662">
            <v>46149</v>
          </cell>
          <cell r="K1662">
            <v>46160</v>
          </cell>
        </row>
        <row r="1663">
          <cell r="J1663">
            <v>46149</v>
          </cell>
          <cell r="K1663">
            <v>46161</v>
          </cell>
        </row>
        <row r="1664">
          <cell r="J1664">
            <v>46149</v>
          </cell>
          <cell r="K1664">
            <v>46167</v>
          </cell>
        </row>
        <row r="1665">
          <cell r="J1665">
            <v>46153</v>
          </cell>
          <cell r="K1665">
            <v>46167</v>
          </cell>
        </row>
        <row r="1666">
          <cell r="J1666">
            <v>46154</v>
          </cell>
          <cell r="K1666">
            <v>46163</v>
          </cell>
        </row>
        <row r="1667">
          <cell r="J1667">
            <v>46160</v>
          </cell>
          <cell r="K1667">
            <v>46175</v>
          </cell>
        </row>
        <row r="1668">
          <cell r="J1668">
            <v>46162</v>
          </cell>
          <cell r="K1668">
            <v>46175</v>
          </cell>
        </row>
        <row r="1669">
          <cell r="J1669">
            <v>46162</v>
          </cell>
          <cell r="K1669">
            <v>46168</v>
          </cell>
        </row>
        <row r="1670">
          <cell r="J1670">
            <v>46163</v>
          </cell>
          <cell r="K1670">
            <v>46175</v>
          </cell>
        </row>
        <row r="1671">
          <cell r="J1671">
            <v>46163</v>
          </cell>
          <cell r="K1671">
            <v>46170</v>
          </cell>
        </row>
        <row r="1672">
          <cell r="J1672">
            <v>46163</v>
          </cell>
          <cell r="K1672">
            <v>46178</v>
          </cell>
        </row>
        <row r="1673">
          <cell r="J1673">
            <v>46163</v>
          </cell>
          <cell r="K1673">
            <v>46175</v>
          </cell>
        </row>
        <row r="1674">
          <cell r="J1674">
            <v>46167</v>
          </cell>
          <cell r="K1674">
            <v>46177</v>
          </cell>
        </row>
        <row r="1675">
          <cell r="J1675">
            <v>46185</v>
          </cell>
          <cell r="K1675">
            <v>46191</v>
          </cell>
        </row>
        <row r="1676">
          <cell r="J1676">
            <v>46185</v>
          </cell>
          <cell r="K1676">
            <v>46196</v>
          </cell>
        </row>
        <row r="1677">
          <cell r="J1677">
            <v>46223</v>
          </cell>
          <cell r="K1677">
            <v>46238</v>
          </cell>
        </row>
        <row r="1678">
          <cell r="J1678">
            <v>46097</v>
          </cell>
          <cell r="K1678">
            <v>46274</v>
          </cell>
        </row>
        <row r="1679">
          <cell r="J1679">
            <v>46097</v>
          </cell>
          <cell r="K1679">
            <v>46122</v>
          </cell>
        </row>
        <row r="1680">
          <cell r="J1680">
            <v>46111</v>
          </cell>
          <cell r="K1680">
            <v>46147</v>
          </cell>
        </row>
        <row r="1681">
          <cell r="J1681">
            <v>46112</v>
          </cell>
          <cell r="K1681">
            <v>46147</v>
          </cell>
        </row>
        <row r="1682">
          <cell r="J1682">
            <v>46122</v>
          </cell>
          <cell r="K1682">
            <v>46150</v>
          </cell>
        </row>
        <row r="1683">
          <cell r="J1683">
            <v>46122</v>
          </cell>
          <cell r="K1683">
            <v>46139</v>
          </cell>
        </row>
        <row r="1684">
          <cell r="J1684">
            <v>46122</v>
          </cell>
          <cell r="K1684">
            <v>46135</v>
          </cell>
        </row>
        <row r="1685">
          <cell r="J1685">
            <v>46128</v>
          </cell>
          <cell r="K1685">
            <v>46156</v>
          </cell>
        </row>
        <row r="1686">
          <cell r="J1686">
            <v>46136</v>
          </cell>
          <cell r="K1686">
            <v>46153</v>
          </cell>
        </row>
        <row r="1687">
          <cell r="J1687">
            <v>46136</v>
          </cell>
          <cell r="K1687">
            <v>46157</v>
          </cell>
        </row>
        <row r="1688">
          <cell r="J1688">
            <v>46136</v>
          </cell>
          <cell r="K1688">
            <v>46157</v>
          </cell>
        </row>
        <row r="1689">
          <cell r="J1689">
            <v>46136</v>
          </cell>
          <cell r="K1689">
            <v>46157</v>
          </cell>
        </row>
        <row r="1690">
          <cell r="J1690">
            <v>46139</v>
          </cell>
          <cell r="K1690">
            <v>46150</v>
          </cell>
        </row>
        <row r="1691">
          <cell r="J1691">
            <v>46140</v>
          </cell>
          <cell r="K1691">
            <v>46157</v>
          </cell>
        </row>
        <row r="1692">
          <cell r="J1692">
            <v>46140</v>
          </cell>
          <cell r="K1692">
            <v>46150</v>
          </cell>
        </row>
        <row r="1693">
          <cell r="J1693">
            <v>46140</v>
          </cell>
          <cell r="K1693">
            <v>46153</v>
          </cell>
        </row>
        <row r="1694">
          <cell r="J1694">
            <v>46147</v>
          </cell>
          <cell r="K1694">
            <v>46170</v>
          </cell>
        </row>
        <row r="1695">
          <cell r="J1695">
            <v>46147</v>
          </cell>
          <cell r="K1695">
            <v>46155</v>
          </cell>
        </row>
        <row r="1696">
          <cell r="J1696">
            <v>46147</v>
          </cell>
          <cell r="K1696">
            <v>46167</v>
          </cell>
        </row>
        <row r="1697">
          <cell r="J1697">
            <v>46153</v>
          </cell>
          <cell r="K1697">
            <v>46167</v>
          </cell>
        </row>
        <row r="1698">
          <cell r="J1698">
            <v>46160</v>
          </cell>
          <cell r="K1698">
            <v>46169</v>
          </cell>
        </row>
        <row r="1699">
          <cell r="J1699">
            <v>46163</v>
          </cell>
          <cell r="K1699">
            <v>46182</v>
          </cell>
        </row>
        <row r="1700">
          <cell r="J1700">
            <v>46167</v>
          </cell>
          <cell r="K1700">
            <v>46184</v>
          </cell>
        </row>
        <row r="1701">
          <cell r="J1701">
            <v>46168</v>
          </cell>
          <cell r="K1701">
            <v>46178</v>
          </cell>
        </row>
        <row r="1702">
          <cell r="J1702">
            <v>46171</v>
          </cell>
          <cell r="K1702">
            <v>46183</v>
          </cell>
        </row>
        <row r="1703">
          <cell r="J1703">
            <v>46171</v>
          </cell>
          <cell r="K1703">
            <v>46183</v>
          </cell>
        </row>
        <row r="1704">
          <cell r="J1704">
            <v>46175</v>
          </cell>
          <cell r="K1704">
            <v>46184</v>
          </cell>
        </row>
        <row r="1705">
          <cell r="J1705">
            <v>46175</v>
          </cell>
          <cell r="K1705">
            <v>46184</v>
          </cell>
        </row>
        <row r="1706">
          <cell r="J1706">
            <v>46175</v>
          </cell>
          <cell r="K1706">
            <v>46213</v>
          </cell>
        </row>
        <row r="1707">
          <cell r="J1707">
            <v>46175</v>
          </cell>
          <cell r="K1707">
            <v>46184</v>
          </cell>
        </row>
        <row r="1708">
          <cell r="J1708">
            <v>46184</v>
          </cell>
          <cell r="K1708">
            <v>46191</v>
          </cell>
        </row>
        <row r="1709">
          <cell r="J1709">
            <v>46184</v>
          </cell>
          <cell r="K1709">
            <v>46191</v>
          </cell>
        </row>
        <row r="1710">
          <cell r="J1710">
            <v>46184</v>
          </cell>
          <cell r="K1710">
            <v>46191</v>
          </cell>
        </row>
        <row r="1711">
          <cell r="J1711">
            <v>46184</v>
          </cell>
          <cell r="K1711">
            <v>46191</v>
          </cell>
        </row>
        <row r="1712">
          <cell r="J1712">
            <v>46185</v>
          </cell>
          <cell r="K1712">
            <v>46196</v>
          </cell>
        </row>
        <row r="1713">
          <cell r="J1713">
            <v>46188</v>
          </cell>
          <cell r="K1713">
            <v>46196</v>
          </cell>
        </row>
        <row r="1714">
          <cell r="J1714">
            <v>46188</v>
          </cell>
          <cell r="K1714">
            <v>46191</v>
          </cell>
        </row>
        <row r="1715">
          <cell r="J1715">
            <v>46199</v>
          </cell>
          <cell r="K1715">
            <v>46210</v>
          </cell>
        </row>
        <row r="1716">
          <cell r="J1716">
            <v>46199</v>
          </cell>
          <cell r="K1716">
            <v>46206</v>
          </cell>
        </row>
        <row r="1717">
          <cell r="J1717">
            <v>46205</v>
          </cell>
          <cell r="K1717">
            <v>46211</v>
          </cell>
        </row>
        <row r="1718">
          <cell r="J1718">
            <v>46205</v>
          </cell>
          <cell r="K1718">
            <v>46211</v>
          </cell>
        </row>
        <row r="1719">
          <cell r="J1719">
            <v>46205</v>
          </cell>
          <cell r="K1719">
            <v>46211</v>
          </cell>
        </row>
        <row r="1720">
          <cell r="J1720">
            <v>46206</v>
          </cell>
          <cell r="K1720">
            <v>46212</v>
          </cell>
        </row>
        <row r="1721">
          <cell r="J1721">
            <v>46206</v>
          </cell>
          <cell r="K1721">
            <v>46212</v>
          </cell>
        </row>
        <row r="1722">
          <cell r="J1722">
            <v>46206</v>
          </cell>
          <cell r="K1722">
            <v>46212</v>
          </cell>
        </row>
        <row r="1723">
          <cell r="J1723">
            <v>46209</v>
          </cell>
          <cell r="K1723">
            <v>46213</v>
          </cell>
        </row>
        <row r="1724">
          <cell r="J1724">
            <v>46218</v>
          </cell>
          <cell r="K1724">
            <v>46224</v>
          </cell>
        </row>
        <row r="1725">
          <cell r="J1725">
            <v>46219</v>
          </cell>
          <cell r="K1725">
            <v>46225</v>
          </cell>
        </row>
        <row r="1726">
          <cell r="J1726">
            <v>46219</v>
          </cell>
          <cell r="K1726">
            <v>46225</v>
          </cell>
        </row>
        <row r="1727">
          <cell r="J1727">
            <v>46230</v>
          </cell>
          <cell r="K1727">
            <v>46238</v>
          </cell>
        </row>
        <row r="1728">
          <cell r="J1728">
            <v>46230</v>
          </cell>
          <cell r="K1728">
            <v>46238</v>
          </cell>
        </row>
        <row r="1729">
          <cell r="J1729">
            <v>46245</v>
          </cell>
          <cell r="K1729">
            <v>46252</v>
          </cell>
        </row>
        <row r="1730">
          <cell r="J1730">
            <v>46115</v>
          </cell>
          <cell r="K1730">
            <v>46269</v>
          </cell>
        </row>
        <row r="1731">
          <cell r="J1731">
            <v>46115</v>
          </cell>
          <cell r="K1731">
            <v>46122</v>
          </cell>
        </row>
        <row r="1732">
          <cell r="J1732">
            <v>46122</v>
          </cell>
          <cell r="K1732">
            <v>46135</v>
          </cell>
        </row>
        <row r="1733">
          <cell r="J1733">
            <v>46128</v>
          </cell>
          <cell r="K1733">
            <v>46136</v>
          </cell>
        </row>
        <row r="1734">
          <cell r="J1734">
            <v>46136</v>
          </cell>
          <cell r="K1734">
            <v>46157</v>
          </cell>
        </row>
        <row r="1735">
          <cell r="J1735">
            <v>46136</v>
          </cell>
          <cell r="K1735">
            <v>46153</v>
          </cell>
        </row>
        <row r="1736">
          <cell r="J1736">
            <v>46139</v>
          </cell>
          <cell r="K1736">
            <v>46157</v>
          </cell>
        </row>
        <row r="1737">
          <cell r="J1737">
            <v>46139</v>
          </cell>
          <cell r="K1737">
            <v>46150</v>
          </cell>
        </row>
        <row r="1738">
          <cell r="J1738">
            <v>46140</v>
          </cell>
          <cell r="K1738">
            <v>46157</v>
          </cell>
        </row>
        <row r="1739">
          <cell r="J1739">
            <v>46140</v>
          </cell>
          <cell r="K1739">
            <v>46157</v>
          </cell>
        </row>
        <row r="1740">
          <cell r="J1740">
            <v>46153</v>
          </cell>
          <cell r="K1740">
            <v>46163</v>
          </cell>
        </row>
        <row r="1741">
          <cell r="J1741">
            <v>46157</v>
          </cell>
          <cell r="K1741">
            <v>46167</v>
          </cell>
        </row>
        <row r="1742">
          <cell r="J1742">
            <v>46162</v>
          </cell>
          <cell r="K1742">
            <v>46170</v>
          </cell>
        </row>
        <row r="1743">
          <cell r="J1743">
            <v>46164</v>
          </cell>
          <cell r="K1743">
            <v>46170</v>
          </cell>
        </row>
        <row r="1744">
          <cell r="J1744">
            <v>46175</v>
          </cell>
          <cell r="K1744">
            <v>46182</v>
          </cell>
        </row>
        <row r="1745">
          <cell r="J1745">
            <v>46181</v>
          </cell>
          <cell r="K1745">
            <v>46188</v>
          </cell>
        </row>
        <row r="1746">
          <cell r="J1746">
            <v>46188</v>
          </cell>
          <cell r="K1746">
            <v>46191</v>
          </cell>
        </row>
        <row r="1747">
          <cell r="J1747">
            <v>46188</v>
          </cell>
          <cell r="K1747">
            <v>46197</v>
          </cell>
        </row>
        <row r="1748">
          <cell r="J1748">
            <v>46195</v>
          </cell>
          <cell r="K1748">
            <v>46198</v>
          </cell>
        </row>
        <row r="1749">
          <cell r="J1749">
            <v>46219</v>
          </cell>
          <cell r="K1749">
            <v>46225</v>
          </cell>
        </row>
        <row r="1750">
          <cell r="J1750">
            <v>46220</v>
          </cell>
          <cell r="K1750">
            <v>46226</v>
          </cell>
        </row>
        <row r="1751">
          <cell r="J1751">
            <v>46220</v>
          </cell>
          <cell r="K1751">
            <v>46226</v>
          </cell>
        </row>
        <row r="1752">
          <cell r="J1752">
            <v>46230</v>
          </cell>
          <cell r="K1752">
            <v>46238</v>
          </cell>
        </row>
        <row r="1753">
          <cell r="J1753">
            <v>46230</v>
          </cell>
          <cell r="K1753">
            <v>46238</v>
          </cell>
        </row>
        <row r="1754">
          <cell r="J1754">
            <v>46241</v>
          </cell>
          <cell r="K1754">
            <v>46248</v>
          </cell>
        </row>
        <row r="1755">
          <cell r="J1755">
            <v>46245</v>
          </cell>
          <cell r="K1755">
            <v>46252</v>
          </cell>
        </row>
        <row r="1756">
          <cell r="J1756">
            <v>46268</v>
          </cell>
          <cell r="K1756">
            <v>46274</v>
          </cell>
        </row>
        <row r="1757">
          <cell r="J1757">
            <v>46157</v>
          </cell>
          <cell r="K1757">
            <v>46268</v>
          </cell>
        </row>
        <row r="1758">
          <cell r="J1758">
            <v>46160</v>
          </cell>
          <cell r="K1758">
            <v>46183</v>
          </cell>
        </row>
        <row r="1759">
          <cell r="J1759">
            <v>46168</v>
          </cell>
          <cell r="K1759">
            <v>46197</v>
          </cell>
        </row>
        <row r="1760">
          <cell r="J1760">
            <v>46184</v>
          </cell>
          <cell r="K1760">
            <v>46211</v>
          </cell>
        </row>
        <row r="1761">
          <cell r="J1761">
            <v>46184</v>
          </cell>
          <cell r="K1761">
            <v>46225</v>
          </cell>
        </row>
        <row r="1762">
          <cell r="J1762">
            <v>46184</v>
          </cell>
          <cell r="K1762">
            <v>46204</v>
          </cell>
        </row>
        <row r="1763">
          <cell r="J1763">
            <v>46184</v>
          </cell>
          <cell r="K1763">
            <v>46203</v>
          </cell>
        </row>
        <row r="1764">
          <cell r="J1764">
            <v>46185</v>
          </cell>
          <cell r="K1764">
            <v>46213</v>
          </cell>
        </row>
        <row r="1765">
          <cell r="J1765">
            <v>46188</v>
          </cell>
          <cell r="K1765">
            <v>46212</v>
          </cell>
        </row>
        <row r="1766">
          <cell r="J1766">
            <v>46188</v>
          </cell>
          <cell r="K1766">
            <v>46212</v>
          </cell>
        </row>
        <row r="1767">
          <cell r="J1767">
            <v>46191</v>
          </cell>
          <cell r="K1767">
            <v>46204</v>
          </cell>
        </row>
        <row r="1768">
          <cell r="J1768">
            <v>46192</v>
          </cell>
          <cell r="K1768">
            <v>46198</v>
          </cell>
        </row>
        <row r="1769">
          <cell r="J1769">
            <v>46196</v>
          </cell>
          <cell r="K1769">
            <v>46238</v>
          </cell>
        </row>
        <row r="1770">
          <cell r="J1770">
            <v>46205</v>
          </cell>
          <cell r="K1770">
            <v>46224</v>
          </cell>
        </row>
        <row r="1771">
          <cell r="J1771">
            <v>46212</v>
          </cell>
          <cell r="K1771">
            <v>46218</v>
          </cell>
        </row>
        <row r="1772">
          <cell r="J1772">
            <v>46218</v>
          </cell>
          <cell r="K1772">
            <v>46224</v>
          </cell>
        </row>
        <row r="1773">
          <cell r="J1773">
            <v>46219</v>
          </cell>
          <cell r="K1773">
            <v>46225</v>
          </cell>
        </row>
        <row r="1774">
          <cell r="J1774">
            <v>46219</v>
          </cell>
          <cell r="K1774">
            <v>46225</v>
          </cell>
        </row>
        <row r="1775">
          <cell r="J1775">
            <v>46226</v>
          </cell>
          <cell r="K1775">
            <v>46234</v>
          </cell>
        </row>
        <row r="1776">
          <cell r="J1776">
            <v>46227</v>
          </cell>
          <cell r="K1776">
            <v>46237</v>
          </cell>
        </row>
        <row r="1777">
          <cell r="J1777">
            <v>46227</v>
          </cell>
          <cell r="K1777">
            <v>46237</v>
          </cell>
        </row>
        <row r="1778">
          <cell r="J1778">
            <v>46230</v>
          </cell>
          <cell r="K1778">
            <v>46238</v>
          </cell>
        </row>
        <row r="1779">
          <cell r="J1779">
            <v>46233</v>
          </cell>
          <cell r="K1779">
            <v>46252</v>
          </cell>
        </row>
        <row r="1780">
          <cell r="J1780">
            <v>46240</v>
          </cell>
          <cell r="K1780">
            <v>46247</v>
          </cell>
        </row>
        <row r="1781">
          <cell r="J1781">
            <v>46244</v>
          </cell>
          <cell r="K1781">
            <v>46251</v>
          </cell>
        </row>
        <row r="1782">
          <cell r="J1782">
            <v>46254</v>
          </cell>
          <cell r="K1782">
            <v>46260</v>
          </cell>
        </row>
        <row r="1783">
          <cell r="J1783">
            <v>46267</v>
          </cell>
          <cell r="K1783">
            <v>46273</v>
          </cell>
        </row>
        <row r="1784">
          <cell r="J1784">
            <v>46128</v>
          </cell>
          <cell r="K1784">
            <v>46384</v>
          </cell>
        </row>
        <row r="1785">
          <cell r="J1785">
            <v>46121</v>
          </cell>
          <cell r="K1785">
            <v>46150</v>
          </cell>
        </row>
        <row r="1786">
          <cell r="J1786">
            <v>46121</v>
          </cell>
          <cell r="K1786">
            <v>46150</v>
          </cell>
        </row>
        <row r="1787">
          <cell r="J1787">
            <v>46121</v>
          </cell>
          <cell r="K1787">
            <v>46150</v>
          </cell>
        </row>
        <row r="1788">
          <cell r="J1788">
            <v>46133</v>
          </cell>
          <cell r="K1788">
            <v>46167</v>
          </cell>
        </row>
        <row r="1789">
          <cell r="J1789">
            <v>46140</v>
          </cell>
          <cell r="K1789">
            <v>46171</v>
          </cell>
        </row>
        <row r="1790">
          <cell r="J1790">
            <v>46147</v>
          </cell>
          <cell r="K1790">
            <v>46171</v>
          </cell>
        </row>
        <row r="1791">
          <cell r="J1791">
            <v>46149</v>
          </cell>
          <cell r="K1791">
            <v>46168</v>
          </cell>
        </row>
        <row r="1792">
          <cell r="J1792">
            <v>46149</v>
          </cell>
          <cell r="K1792">
            <v>46171</v>
          </cell>
        </row>
        <row r="1793">
          <cell r="J1793">
            <v>46155</v>
          </cell>
          <cell r="K1793">
            <v>46163</v>
          </cell>
        </row>
        <row r="1794">
          <cell r="J1794">
            <v>46161</v>
          </cell>
          <cell r="K1794">
            <v>46171</v>
          </cell>
        </row>
        <row r="1795">
          <cell r="J1795">
            <v>46163</v>
          </cell>
          <cell r="K1795">
            <v>46192</v>
          </cell>
        </row>
        <row r="1796">
          <cell r="J1796">
            <v>46163</v>
          </cell>
          <cell r="K1796">
            <v>46192</v>
          </cell>
        </row>
        <row r="1797">
          <cell r="J1797">
            <v>46188</v>
          </cell>
          <cell r="K1797">
            <v>46206</v>
          </cell>
        </row>
        <row r="1798">
          <cell r="J1798">
            <v>46195</v>
          </cell>
          <cell r="K1798">
            <v>46213</v>
          </cell>
        </row>
        <row r="1799">
          <cell r="J1799">
            <v>46195</v>
          </cell>
          <cell r="K1799">
            <v>46213</v>
          </cell>
        </row>
        <row r="1800">
          <cell r="J1800">
            <v>46195</v>
          </cell>
          <cell r="K1800">
            <v>46213</v>
          </cell>
        </row>
        <row r="1801">
          <cell r="J1801">
            <v>46196</v>
          </cell>
          <cell r="K1801">
            <v>46223</v>
          </cell>
        </row>
        <row r="1802">
          <cell r="J1802">
            <v>46199</v>
          </cell>
          <cell r="K1802">
            <v>46212</v>
          </cell>
        </row>
        <row r="1803">
          <cell r="J1803">
            <v>46209</v>
          </cell>
          <cell r="K1803">
            <v>46213</v>
          </cell>
        </row>
        <row r="1804">
          <cell r="J1804">
            <v>46209</v>
          </cell>
          <cell r="K1804">
            <v>46213</v>
          </cell>
        </row>
        <row r="1805">
          <cell r="J1805">
            <v>46209</v>
          </cell>
          <cell r="K1805">
            <v>46213</v>
          </cell>
        </row>
        <row r="1806">
          <cell r="J1806">
            <v>46209</v>
          </cell>
          <cell r="K1806">
            <v>46220</v>
          </cell>
        </row>
        <row r="1807">
          <cell r="J1807">
            <v>46209</v>
          </cell>
          <cell r="K1807">
            <v>46220</v>
          </cell>
        </row>
        <row r="1808">
          <cell r="J1808">
            <v>46223</v>
          </cell>
          <cell r="K1808">
            <v>46227</v>
          </cell>
        </row>
        <row r="1809">
          <cell r="J1809">
            <v>46239</v>
          </cell>
          <cell r="K1809">
            <v>46253</v>
          </cell>
        </row>
        <row r="1810">
          <cell r="J1810">
            <v>46239</v>
          </cell>
          <cell r="K1810">
            <v>46253</v>
          </cell>
        </row>
        <row r="1811">
          <cell r="J1811">
            <v>46247</v>
          </cell>
          <cell r="K1811">
            <v>46253</v>
          </cell>
        </row>
        <row r="1812">
          <cell r="J1812">
            <v>46247</v>
          </cell>
          <cell r="K1812">
            <v>46253</v>
          </cell>
        </row>
        <row r="1813">
          <cell r="J1813">
            <v>46251</v>
          </cell>
          <cell r="K1813">
            <v>46262</v>
          </cell>
        </row>
        <row r="1814">
          <cell r="J1814">
            <v>46258</v>
          </cell>
          <cell r="K1814">
            <v>46283</v>
          </cell>
        </row>
        <row r="1815">
          <cell r="J1815">
            <v>46261</v>
          </cell>
          <cell r="K1815">
            <v>46274</v>
          </cell>
        </row>
        <row r="1816">
          <cell r="J1816">
            <v>46261</v>
          </cell>
          <cell r="K1816">
            <v>46274</v>
          </cell>
        </row>
        <row r="1817">
          <cell r="J1817">
            <v>46261</v>
          </cell>
          <cell r="K1817">
            <v>46274</v>
          </cell>
        </row>
        <row r="1818">
          <cell r="J1818">
            <v>46265</v>
          </cell>
          <cell r="K1818">
            <v>46290</v>
          </cell>
        </row>
        <row r="1819">
          <cell r="J1819">
            <v>46265</v>
          </cell>
          <cell r="K1819">
            <v>46290</v>
          </cell>
        </row>
        <row r="1820">
          <cell r="J1820">
            <v>46265</v>
          </cell>
          <cell r="K1820">
            <v>46290</v>
          </cell>
        </row>
        <row r="1821">
          <cell r="J1821">
            <v>46265</v>
          </cell>
          <cell r="K1821">
            <v>46290</v>
          </cell>
        </row>
        <row r="1822">
          <cell r="J1822">
            <v>46265</v>
          </cell>
          <cell r="K1822">
            <v>46290</v>
          </cell>
        </row>
        <row r="1823">
          <cell r="J1823">
            <v>46265</v>
          </cell>
          <cell r="K1823">
            <v>46290</v>
          </cell>
        </row>
        <row r="1824">
          <cell r="J1824">
            <v>46272</v>
          </cell>
          <cell r="K1824">
            <v>46297</v>
          </cell>
        </row>
        <row r="1825">
          <cell r="J1825">
            <v>46282</v>
          </cell>
          <cell r="K1825">
            <v>46295</v>
          </cell>
        </row>
        <row r="1826">
          <cell r="J1826">
            <v>46286</v>
          </cell>
          <cell r="K1826">
            <v>46297</v>
          </cell>
        </row>
        <row r="1827">
          <cell r="J1827">
            <v>46286</v>
          </cell>
          <cell r="K1827">
            <v>46297</v>
          </cell>
        </row>
        <row r="1828">
          <cell r="J1828">
            <v>46296</v>
          </cell>
          <cell r="K1828">
            <v>46310</v>
          </cell>
        </row>
        <row r="1829">
          <cell r="J1829">
            <v>46325</v>
          </cell>
          <cell r="K1829">
            <v>46342</v>
          </cell>
        </row>
        <row r="1830">
          <cell r="J1830">
            <v>46325</v>
          </cell>
          <cell r="K1830">
            <v>46338</v>
          </cell>
        </row>
        <row r="1831">
          <cell r="J1831">
            <v>46325</v>
          </cell>
          <cell r="K1831">
            <v>46345</v>
          </cell>
        </row>
        <row r="1832">
          <cell r="J1832">
            <v>46332</v>
          </cell>
          <cell r="K1832">
            <v>46345</v>
          </cell>
        </row>
        <row r="1833">
          <cell r="J1833">
            <v>46339</v>
          </cell>
          <cell r="K1833">
            <v>46352</v>
          </cell>
        </row>
        <row r="1834">
          <cell r="J1834">
            <v>46339</v>
          </cell>
          <cell r="K1834">
            <v>46352</v>
          </cell>
        </row>
        <row r="1835">
          <cell r="J1835">
            <v>46339</v>
          </cell>
          <cell r="K1835">
            <v>46352</v>
          </cell>
        </row>
        <row r="1836">
          <cell r="J1836">
            <v>46339</v>
          </cell>
          <cell r="K1836">
            <v>46352</v>
          </cell>
        </row>
        <row r="1837">
          <cell r="J1837">
            <v>46342</v>
          </cell>
          <cell r="K1837">
            <v>46353</v>
          </cell>
        </row>
        <row r="1838">
          <cell r="J1838">
            <v>46342</v>
          </cell>
          <cell r="K1838">
            <v>46353</v>
          </cell>
        </row>
        <row r="1839">
          <cell r="J1839">
            <v>46342</v>
          </cell>
          <cell r="K1839">
            <v>46353</v>
          </cell>
        </row>
        <row r="1840">
          <cell r="J1840">
            <v>46342</v>
          </cell>
          <cell r="K1840">
            <v>46353</v>
          </cell>
        </row>
        <row r="1841">
          <cell r="J1841">
            <v>46342</v>
          </cell>
          <cell r="K1841">
            <v>46353</v>
          </cell>
        </row>
        <row r="1842">
          <cell r="J1842">
            <v>46346</v>
          </cell>
          <cell r="K1842">
            <v>46352</v>
          </cell>
        </row>
        <row r="1843">
          <cell r="J1843">
            <v>46360</v>
          </cell>
          <cell r="K1843">
            <v>46374</v>
          </cell>
        </row>
        <row r="1844">
          <cell r="J1844">
            <v>46148</v>
          </cell>
          <cell r="K1844">
            <v>46239</v>
          </cell>
        </row>
        <row r="1845">
          <cell r="J1845">
            <v>46142</v>
          </cell>
          <cell r="K1845">
            <v>46161</v>
          </cell>
        </row>
        <row r="1846">
          <cell r="J1846">
            <v>46148</v>
          </cell>
          <cell r="K1846">
            <v>46167</v>
          </cell>
        </row>
        <row r="1847">
          <cell r="J1847">
            <v>46154</v>
          </cell>
          <cell r="K1847">
            <v>46181</v>
          </cell>
        </row>
        <row r="1848">
          <cell r="J1848">
            <v>46184</v>
          </cell>
          <cell r="K1848">
            <v>46212</v>
          </cell>
        </row>
        <row r="1849">
          <cell r="J1849">
            <v>46188</v>
          </cell>
          <cell r="K1849">
            <v>46202</v>
          </cell>
        </row>
        <row r="1850">
          <cell r="J1850">
            <v>46196</v>
          </cell>
          <cell r="K1850">
            <v>46212</v>
          </cell>
        </row>
        <row r="1851">
          <cell r="J1851">
            <v>46219</v>
          </cell>
          <cell r="K1851">
            <v>46225</v>
          </cell>
        </row>
        <row r="1852">
          <cell r="J1852">
            <v>46230</v>
          </cell>
          <cell r="K1852">
            <v>46238</v>
          </cell>
        </row>
        <row r="1853">
          <cell r="J1853">
            <v>46248</v>
          </cell>
          <cell r="K1853">
            <v>46254</v>
          </cell>
        </row>
        <row r="1854">
          <cell r="J1854">
            <v>46148</v>
          </cell>
          <cell r="K1854">
            <v>46272</v>
          </cell>
        </row>
        <row r="1855">
          <cell r="J1855">
            <v>46141</v>
          </cell>
          <cell r="K1855">
            <v>46167</v>
          </cell>
        </row>
        <row r="1856">
          <cell r="J1856">
            <v>46141</v>
          </cell>
          <cell r="K1856">
            <v>46167</v>
          </cell>
        </row>
        <row r="1857">
          <cell r="J1857">
            <v>46141</v>
          </cell>
          <cell r="K1857">
            <v>46170</v>
          </cell>
        </row>
        <row r="1858">
          <cell r="J1858">
            <v>46141</v>
          </cell>
          <cell r="K1858">
            <v>46170</v>
          </cell>
        </row>
        <row r="1859">
          <cell r="J1859">
            <v>46141</v>
          </cell>
          <cell r="K1859">
            <v>46170</v>
          </cell>
        </row>
        <row r="1860">
          <cell r="J1860">
            <v>46141</v>
          </cell>
          <cell r="K1860">
            <v>46170</v>
          </cell>
        </row>
        <row r="1861">
          <cell r="J1861">
            <v>46141</v>
          </cell>
          <cell r="K1861">
            <v>46167</v>
          </cell>
        </row>
        <row r="1862">
          <cell r="J1862">
            <v>46142</v>
          </cell>
          <cell r="K1862">
            <v>46163</v>
          </cell>
        </row>
        <row r="1863">
          <cell r="J1863">
            <v>46147</v>
          </cell>
          <cell r="K1863">
            <v>46169</v>
          </cell>
        </row>
        <row r="1864">
          <cell r="J1864">
            <v>46147</v>
          </cell>
          <cell r="K1864">
            <v>46169</v>
          </cell>
        </row>
        <row r="1865">
          <cell r="J1865">
            <v>46147</v>
          </cell>
          <cell r="K1865">
            <v>46169</v>
          </cell>
        </row>
        <row r="1866">
          <cell r="J1866">
            <v>46147</v>
          </cell>
          <cell r="K1866">
            <v>46169</v>
          </cell>
        </row>
        <row r="1867">
          <cell r="J1867">
            <v>46147</v>
          </cell>
          <cell r="K1867">
            <v>46169</v>
          </cell>
        </row>
        <row r="1868">
          <cell r="J1868">
            <v>46147</v>
          </cell>
          <cell r="K1868">
            <v>46169</v>
          </cell>
        </row>
        <row r="1869">
          <cell r="J1869">
            <v>46147</v>
          </cell>
          <cell r="K1869">
            <v>46169</v>
          </cell>
        </row>
        <row r="1870">
          <cell r="J1870">
            <v>46147</v>
          </cell>
          <cell r="K1870">
            <v>46169</v>
          </cell>
        </row>
        <row r="1871">
          <cell r="J1871">
            <v>46203</v>
          </cell>
          <cell r="K1871">
            <v>46223</v>
          </cell>
        </row>
        <row r="1872">
          <cell r="J1872">
            <v>46203</v>
          </cell>
          <cell r="K1872">
            <v>46223</v>
          </cell>
        </row>
        <row r="1873">
          <cell r="J1873">
            <v>46203</v>
          </cell>
          <cell r="K1873">
            <v>46223</v>
          </cell>
        </row>
        <row r="1874">
          <cell r="J1874">
            <v>46203</v>
          </cell>
          <cell r="K1874">
            <v>46223</v>
          </cell>
        </row>
        <row r="1875">
          <cell r="J1875">
            <v>46234</v>
          </cell>
          <cell r="K1875">
            <v>46240</v>
          </cell>
        </row>
        <row r="1876">
          <cell r="J1876">
            <v>46238</v>
          </cell>
          <cell r="K1876">
            <v>46244</v>
          </cell>
        </row>
        <row r="1877">
          <cell r="J1877">
            <v>46238</v>
          </cell>
          <cell r="K1877">
            <v>46244</v>
          </cell>
        </row>
        <row r="1878">
          <cell r="J1878">
            <v>46245</v>
          </cell>
          <cell r="K1878">
            <v>46252</v>
          </cell>
        </row>
        <row r="1879">
          <cell r="J1879">
            <v>46245</v>
          </cell>
          <cell r="K1879">
            <v>46252</v>
          </cell>
        </row>
        <row r="1880">
          <cell r="J1880">
            <v>46245</v>
          </cell>
          <cell r="K1880">
            <v>46252</v>
          </cell>
        </row>
        <row r="1881">
          <cell r="J1881">
            <v>46245</v>
          </cell>
          <cell r="K1881">
            <v>46252</v>
          </cell>
        </row>
        <row r="1882">
          <cell r="J1882">
            <v>46245</v>
          </cell>
          <cell r="K1882">
            <v>46252</v>
          </cell>
        </row>
        <row r="1883">
          <cell r="J1883">
            <v>46259</v>
          </cell>
          <cell r="K1883">
            <v>46265</v>
          </cell>
        </row>
        <row r="1884">
          <cell r="J1884">
            <v>46259</v>
          </cell>
          <cell r="K1884">
            <v>46265</v>
          </cell>
        </row>
        <row r="1885">
          <cell r="J1885">
            <v>46259</v>
          </cell>
          <cell r="K1885">
            <v>46265</v>
          </cell>
        </row>
        <row r="1886">
          <cell r="J1886">
            <v>46259</v>
          </cell>
          <cell r="K1886">
            <v>46265</v>
          </cell>
        </row>
        <row r="1887">
          <cell r="J1887">
            <v>46272</v>
          </cell>
          <cell r="K1887">
            <v>46276</v>
          </cell>
        </row>
        <row r="1888">
          <cell r="J1888">
            <v>46272</v>
          </cell>
          <cell r="K1888">
            <v>46276</v>
          </cell>
        </row>
        <row r="1889">
          <cell r="J1889">
            <v>46272</v>
          </cell>
          <cell r="K1889">
            <v>46276</v>
          </cell>
        </row>
        <row r="1890">
          <cell r="J1890">
            <v>46272</v>
          </cell>
          <cell r="K1890">
            <v>46276</v>
          </cell>
        </row>
        <row r="1891">
          <cell r="J1891">
            <v>46272</v>
          </cell>
          <cell r="K1891">
            <v>46276</v>
          </cell>
        </row>
        <row r="1892">
          <cell r="J1892">
            <v>46272</v>
          </cell>
          <cell r="K1892">
            <v>46276</v>
          </cell>
        </row>
        <row r="1893">
          <cell r="J1893">
            <v>46272</v>
          </cell>
          <cell r="K1893">
            <v>46276</v>
          </cell>
        </row>
        <row r="1894">
          <cell r="J1894">
            <v>46279</v>
          </cell>
          <cell r="K1894">
            <v>46283</v>
          </cell>
        </row>
        <row r="1895">
          <cell r="J1895">
            <v>46190</v>
          </cell>
          <cell r="K1895">
            <v>46269</v>
          </cell>
        </row>
        <row r="1896">
          <cell r="J1896">
            <v>46190</v>
          </cell>
          <cell r="K1896">
            <v>46216</v>
          </cell>
        </row>
        <row r="1897">
          <cell r="J1897">
            <v>46198</v>
          </cell>
          <cell r="K1897">
            <v>46218</v>
          </cell>
        </row>
        <row r="1898">
          <cell r="J1898">
            <v>46198</v>
          </cell>
          <cell r="K1898">
            <v>46218</v>
          </cell>
        </row>
        <row r="1899">
          <cell r="J1899">
            <v>46198</v>
          </cell>
          <cell r="K1899">
            <v>46225</v>
          </cell>
        </row>
        <row r="1900">
          <cell r="J1900">
            <v>46198</v>
          </cell>
          <cell r="K1900">
            <v>46225</v>
          </cell>
        </row>
        <row r="1901">
          <cell r="J1901">
            <v>46198</v>
          </cell>
          <cell r="K1901">
            <v>46225</v>
          </cell>
        </row>
        <row r="1902">
          <cell r="J1902">
            <v>46198</v>
          </cell>
          <cell r="K1902">
            <v>46225</v>
          </cell>
        </row>
        <row r="1903">
          <cell r="J1903">
            <v>46198</v>
          </cell>
          <cell r="K1903">
            <v>46225</v>
          </cell>
        </row>
        <row r="1904">
          <cell r="J1904">
            <v>46227</v>
          </cell>
          <cell r="K1904">
            <v>46261</v>
          </cell>
        </row>
        <row r="1905">
          <cell r="J1905">
            <v>46227</v>
          </cell>
          <cell r="K1905">
            <v>46254</v>
          </cell>
        </row>
        <row r="1906">
          <cell r="J1906">
            <v>46227</v>
          </cell>
          <cell r="K1906">
            <v>46254</v>
          </cell>
        </row>
        <row r="1907">
          <cell r="J1907">
            <v>46227</v>
          </cell>
          <cell r="K1907">
            <v>46254</v>
          </cell>
        </row>
        <row r="1908">
          <cell r="J1908">
            <v>46227</v>
          </cell>
          <cell r="K1908">
            <v>46254</v>
          </cell>
        </row>
        <row r="1909">
          <cell r="J1909">
            <v>46227</v>
          </cell>
          <cell r="K1909">
            <v>46254</v>
          </cell>
        </row>
        <row r="1910">
          <cell r="J1910">
            <v>46227</v>
          </cell>
          <cell r="K1910">
            <v>46254</v>
          </cell>
        </row>
        <row r="1911">
          <cell r="J1911">
            <v>46227</v>
          </cell>
          <cell r="K1911">
            <v>46254</v>
          </cell>
        </row>
        <row r="1912">
          <cell r="J1912">
            <v>46233</v>
          </cell>
          <cell r="K1912">
            <v>46239</v>
          </cell>
        </row>
        <row r="1913">
          <cell r="J1913">
            <v>46234</v>
          </cell>
          <cell r="K1913">
            <v>46244</v>
          </cell>
        </row>
        <row r="1914">
          <cell r="J1914">
            <v>46234</v>
          </cell>
          <cell r="K1914">
            <v>46244</v>
          </cell>
        </row>
        <row r="1915">
          <cell r="J1915">
            <v>46234</v>
          </cell>
          <cell r="K1915">
            <v>46244</v>
          </cell>
        </row>
        <row r="1916">
          <cell r="J1916">
            <v>46237</v>
          </cell>
          <cell r="K1916">
            <v>46241</v>
          </cell>
        </row>
        <row r="1917">
          <cell r="J1917">
            <v>46237</v>
          </cell>
          <cell r="K1917">
            <v>46241</v>
          </cell>
        </row>
        <row r="1918">
          <cell r="J1918">
            <v>46238</v>
          </cell>
          <cell r="K1918">
            <v>46244</v>
          </cell>
        </row>
        <row r="1919">
          <cell r="J1919">
            <v>46244</v>
          </cell>
          <cell r="K1919">
            <v>46251</v>
          </cell>
        </row>
        <row r="1920">
          <cell r="J1920">
            <v>46244</v>
          </cell>
          <cell r="K1920">
            <v>46251</v>
          </cell>
        </row>
        <row r="1921">
          <cell r="J1921">
            <v>46244</v>
          </cell>
          <cell r="K1921">
            <v>46251</v>
          </cell>
        </row>
        <row r="1922">
          <cell r="J1922">
            <v>46244</v>
          </cell>
          <cell r="K1922">
            <v>46251</v>
          </cell>
        </row>
        <row r="1923">
          <cell r="J1923">
            <v>46244</v>
          </cell>
          <cell r="K1923">
            <v>46251</v>
          </cell>
        </row>
        <row r="1924">
          <cell r="J1924">
            <v>46260</v>
          </cell>
          <cell r="K1924">
            <v>46262</v>
          </cell>
        </row>
        <row r="1925">
          <cell r="J1925">
            <v>46260</v>
          </cell>
          <cell r="K1925">
            <v>46262</v>
          </cell>
        </row>
        <row r="1926">
          <cell r="J1926">
            <v>46260</v>
          </cell>
          <cell r="K1926">
            <v>46262</v>
          </cell>
        </row>
        <row r="1927">
          <cell r="J1927">
            <v>46260</v>
          </cell>
          <cell r="K1927">
            <v>46262</v>
          </cell>
        </row>
        <row r="1928">
          <cell r="J1928">
            <v>46269</v>
          </cell>
          <cell r="K1928">
            <v>46275</v>
          </cell>
        </row>
        <row r="1929">
          <cell r="J1929">
            <v>46269</v>
          </cell>
          <cell r="K1929">
            <v>46275</v>
          </cell>
        </row>
        <row r="1930">
          <cell r="J1930">
            <v>46269</v>
          </cell>
          <cell r="K1930">
            <v>46275</v>
          </cell>
        </row>
        <row r="1931">
          <cell r="J1931">
            <v>46269</v>
          </cell>
          <cell r="K1931">
            <v>46275</v>
          </cell>
        </row>
        <row r="1932">
          <cell r="J1932">
            <v>46269</v>
          </cell>
          <cell r="K1932">
            <v>46275</v>
          </cell>
        </row>
        <row r="1933">
          <cell r="J1933">
            <v>46269</v>
          </cell>
          <cell r="K1933">
            <v>46275</v>
          </cell>
        </row>
        <row r="1934">
          <cell r="J1934">
            <v>46269</v>
          </cell>
          <cell r="K1934">
            <v>46275</v>
          </cell>
        </row>
        <row r="1935">
          <cell r="J1935">
            <v>46276</v>
          </cell>
          <cell r="K1935">
            <v>46282</v>
          </cell>
        </row>
        <row r="1936">
          <cell r="J1936">
            <v>46085</v>
          </cell>
          <cell r="K1936">
            <v>46370</v>
          </cell>
        </row>
        <row r="1937">
          <cell r="J1937">
            <v>46085</v>
          </cell>
          <cell r="K1937">
            <v>46150</v>
          </cell>
        </row>
        <row r="1938">
          <cell r="J1938">
            <v>46085</v>
          </cell>
          <cell r="K1938">
            <v>46139</v>
          </cell>
        </row>
        <row r="1939">
          <cell r="J1939">
            <v>46085</v>
          </cell>
          <cell r="K1939">
            <v>46139</v>
          </cell>
        </row>
        <row r="1940">
          <cell r="J1940">
            <v>46085</v>
          </cell>
          <cell r="K1940">
            <v>46139</v>
          </cell>
        </row>
        <row r="1941">
          <cell r="J1941">
            <v>46085</v>
          </cell>
          <cell r="K1941">
            <v>46139</v>
          </cell>
        </row>
        <row r="1942">
          <cell r="J1942">
            <v>46085</v>
          </cell>
          <cell r="K1942">
            <v>46139</v>
          </cell>
        </row>
        <row r="1943">
          <cell r="J1943">
            <v>46085</v>
          </cell>
          <cell r="K1943">
            <v>46139</v>
          </cell>
        </row>
        <row r="1944">
          <cell r="J1944">
            <v>46085</v>
          </cell>
          <cell r="K1944">
            <v>46139</v>
          </cell>
        </row>
        <row r="1945">
          <cell r="J1945">
            <v>46085</v>
          </cell>
          <cell r="K1945">
            <v>46120</v>
          </cell>
        </row>
        <row r="1946">
          <cell r="J1946">
            <v>46085</v>
          </cell>
          <cell r="K1946">
            <v>46141</v>
          </cell>
        </row>
        <row r="1947">
          <cell r="J1947">
            <v>46085</v>
          </cell>
          <cell r="K1947">
            <v>46139</v>
          </cell>
        </row>
        <row r="1948">
          <cell r="J1948">
            <v>46114</v>
          </cell>
          <cell r="K1948">
            <v>46157</v>
          </cell>
        </row>
        <row r="1949">
          <cell r="J1949">
            <v>46114</v>
          </cell>
          <cell r="K1949">
            <v>46157</v>
          </cell>
        </row>
        <row r="1950">
          <cell r="J1950">
            <v>46114</v>
          </cell>
          <cell r="K1950">
            <v>46157</v>
          </cell>
        </row>
        <row r="1951">
          <cell r="J1951">
            <v>46114</v>
          </cell>
          <cell r="K1951">
            <v>46157</v>
          </cell>
        </row>
        <row r="1952">
          <cell r="J1952">
            <v>46114</v>
          </cell>
          <cell r="K1952">
            <v>46157</v>
          </cell>
        </row>
        <row r="1953">
          <cell r="J1953">
            <v>46114</v>
          </cell>
          <cell r="K1953">
            <v>46157</v>
          </cell>
        </row>
        <row r="1954">
          <cell r="J1954">
            <v>46114</v>
          </cell>
          <cell r="K1954">
            <v>46157</v>
          </cell>
        </row>
        <row r="1955">
          <cell r="J1955">
            <v>46114</v>
          </cell>
          <cell r="K1955">
            <v>46157</v>
          </cell>
        </row>
        <row r="1956">
          <cell r="J1956">
            <v>46114</v>
          </cell>
          <cell r="K1956">
            <v>46157</v>
          </cell>
        </row>
        <row r="1957">
          <cell r="J1957">
            <v>46141</v>
          </cell>
          <cell r="K1957">
            <v>46163</v>
          </cell>
        </row>
        <row r="1958">
          <cell r="J1958">
            <v>46141</v>
          </cell>
          <cell r="K1958">
            <v>46162</v>
          </cell>
        </row>
        <row r="1959">
          <cell r="J1959">
            <v>46141</v>
          </cell>
          <cell r="K1959">
            <v>46162</v>
          </cell>
        </row>
        <row r="1960">
          <cell r="J1960">
            <v>46141</v>
          </cell>
          <cell r="K1960">
            <v>46163</v>
          </cell>
        </row>
        <row r="1961">
          <cell r="J1961">
            <v>46141</v>
          </cell>
          <cell r="K1961">
            <v>46163</v>
          </cell>
        </row>
        <row r="1962">
          <cell r="J1962">
            <v>46141</v>
          </cell>
          <cell r="K1962">
            <v>46163</v>
          </cell>
        </row>
        <row r="1963">
          <cell r="J1963">
            <v>46141</v>
          </cell>
          <cell r="K1963">
            <v>46171</v>
          </cell>
        </row>
        <row r="1964">
          <cell r="J1964">
            <v>46141</v>
          </cell>
          <cell r="K1964">
            <v>46171</v>
          </cell>
        </row>
        <row r="1965">
          <cell r="J1965">
            <v>46141</v>
          </cell>
          <cell r="K1965">
            <v>46171</v>
          </cell>
        </row>
        <row r="1966">
          <cell r="J1966">
            <v>46141</v>
          </cell>
          <cell r="K1966">
            <v>46171</v>
          </cell>
        </row>
        <row r="1967">
          <cell r="J1967">
            <v>46141</v>
          </cell>
          <cell r="K1967">
            <v>46171</v>
          </cell>
        </row>
        <row r="1968">
          <cell r="J1968">
            <v>46141</v>
          </cell>
          <cell r="K1968">
            <v>46171</v>
          </cell>
        </row>
        <row r="1969">
          <cell r="J1969">
            <v>46141</v>
          </cell>
          <cell r="K1969">
            <v>46171</v>
          </cell>
        </row>
        <row r="1970">
          <cell r="J1970">
            <v>46153</v>
          </cell>
          <cell r="K1970">
            <v>46167</v>
          </cell>
        </row>
        <row r="1971">
          <cell r="J1971">
            <v>46153</v>
          </cell>
          <cell r="K1971">
            <v>46167</v>
          </cell>
        </row>
        <row r="1972">
          <cell r="J1972">
            <v>46153</v>
          </cell>
          <cell r="K1972">
            <v>46167</v>
          </cell>
        </row>
        <row r="1973">
          <cell r="J1973">
            <v>46153</v>
          </cell>
          <cell r="K1973">
            <v>46167</v>
          </cell>
        </row>
        <row r="1974">
          <cell r="J1974">
            <v>46153</v>
          </cell>
          <cell r="K1974">
            <v>46167</v>
          </cell>
        </row>
        <row r="1975">
          <cell r="J1975">
            <v>46153</v>
          </cell>
          <cell r="K1975">
            <v>46170</v>
          </cell>
        </row>
        <row r="1976">
          <cell r="J1976">
            <v>46153</v>
          </cell>
          <cell r="K1976">
            <v>46170</v>
          </cell>
        </row>
        <row r="1977">
          <cell r="J1977">
            <v>46154</v>
          </cell>
          <cell r="K1977">
            <v>46168</v>
          </cell>
        </row>
        <row r="1978">
          <cell r="J1978">
            <v>46155</v>
          </cell>
          <cell r="K1978">
            <v>46213</v>
          </cell>
        </row>
        <row r="1979">
          <cell r="J1979">
            <v>46156</v>
          </cell>
          <cell r="K1979">
            <v>46167</v>
          </cell>
        </row>
        <row r="1980">
          <cell r="J1980">
            <v>46160</v>
          </cell>
          <cell r="K1980">
            <v>46171</v>
          </cell>
        </row>
        <row r="1981">
          <cell r="J1981">
            <v>46160</v>
          </cell>
          <cell r="K1981">
            <v>46171</v>
          </cell>
        </row>
        <row r="1982">
          <cell r="J1982">
            <v>46160</v>
          </cell>
          <cell r="K1982">
            <v>46171</v>
          </cell>
        </row>
        <row r="1983">
          <cell r="J1983">
            <v>46160</v>
          </cell>
          <cell r="K1983">
            <v>46171</v>
          </cell>
        </row>
        <row r="1984">
          <cell r="J1984">
            <v>46160</v>
          </cell>
          <cell r="K1984">
            <v>46171</v>
          </cell>
        </row>
        <row r="1985">
          <cell r="J1985">
            <v>46160</v>
          </cell>
          <cell r="K1985">
            <v>46171</v>
          </cell>
        </row>
        <row r="1986">
          <cell r="J1986">
            <v>46162</v>
          </cell>
          <cell r="K1986">
            <v>46168</v>
          </cell>
        </row>
        <row r="1987">
          <cell r="J1987">
            <v>46163</v>
          </cell>
          <cell r="K1987">
            <v>46213</v>
          </cell>
        </row>
        <row r="1988">
          <cell r="J1988">
            <v>46167</v>
          </cell>
          <cell r="K1988">
            <v>46171</v>
          </cell>
        </row>
        <row r="1989">
          <cell r="J1989">
            <v>46168</v>
          </cell>
          <cell r="K1989">
            <v>46213</v>
          </cell>
        </row>
        <row r="1990">
          <cell r="J1990">
            <v>46168</v>
          </cell>
          <cell r="K1990">
            <v>46213</v>
          </cell>
        </row>
        <row r="1991">
          <cell r="J1991">
            <v>46168</v>
          </cell>
          <cell r="K1991">
            <v>46213</v>
          </cell>
        </row>
        <row r="1992">
          <cell r="J1992">
            <v>46168</v>
          </cell>
          <cell r="K1992">
            <v>46213</v>
          </cell>
        </row>
        <row r="1993">
          <cell r="J1993">
            <v>46168</v>
          </cell>
          <cell r="K1993">
            <v>46213</v>
          </cell>
        </row>
        <row r="1994">
          <cell r="J1994">
            <v>46170</v>
          </cell>
          <cell r="K1994">
            <v>46177</v>
          </cell>
        </row>
        <row r="1995">
          <cell r="J1995">
            <v>46170</v>
          </cell>
          <cell r="K1995">
            <v>46178</v>
          </cell>
        </row>
        <row r="1996">
          <cell r="J1996">
            <v>46170</v>
          </cell>
          <cell r="K1996">
            <v>46184</v>
          </cell>
        </row>
        <row r="1997">
          <cell r="J1997">
            <v>46171</v>
          </cell>
          <cell r="K1997">
            <v>46213</v>
          </cell>
        </row>
        <row r="1998">
          <cell r="J1998">
            <v>46171</v>
          </cell>
          <cell r="K1998">
            <v>46213</v>
          </cell>
        </row>
        <row r="1999">
          <cell r="J1999">
            <v>46171</v>
          </cell>
          <cell r="K1999">
            <v>46213</v>
          </cell>
        </row>
        <row r="2000">
          <cell r="J2000">
            <v>46171</v>
          </cell>
          <cell r="K2000">
            <v>46213</v>
          </cell>
        </row>
        <row r="2001">
          <cell r="J2001">
            <v>46175</v>
          </cell>
          <cell r="K2001">
            <v>46188</v>
          </cell>
        </row>
        <row r="2002">
          <cell r="J2002">
            <v>46175</v>
          </cell>
          <cell r="K2002">
            <v>46185</v>
          </cell>
        </row>
        <row r="2003">
          <cell r="J2003">
            <v>46175</v>
          </cell>
          <cell r="K2003">
            <v>46185</v>
          </cell>
        </row>
        <row r="2004">
          <cell r="J2004">
            <v>46175</v>
          </cell>
          <cell r="K2004">
            <v>46183</v>
          </cell>
        </row>
        <row r="2005">
          <cell r="J2005">
            <v>46175</v>
          </cell>
          <cell r="K2005">
            <v>46185</v>
          </cell>
        </row>
        <row r="2006">
          <cell r="J2006">
            <v>46175</v>
          </cell>
          <cell r="K2006">
            <v>46188</v>
          </cell>
        </row>
        <row r="2007">
          <cell r="J2007">
            <v>46175</v>
          </cell>
          <cell r="K2007">
            <v>46184</v>
          </cell>
        </row>
        <row r="2008">
          <cell r="J2008">
            <v>46177</v>
          </cell>
          <cell r="K2008">
            <v>46206</v>
          </cell>
        </row>
        <row r="2009">
          <cell r="J2009">
            <v>46177</v>
          </cell>
          <cell r="K2009">
            <v>46206</v>
          </cell>
        </row>
        <row r="2010">
          <cell r="J2010">
            <v>46177</v>
          </cell>
          <cell r="K2010">
            <v>46206</v>
          </cell>
        </row>
        <row r="2011">
          <cell r="J2011">
            <v>46177</v>
          </cell>
          <cell r="K2011">
            <v>46206</v>
          </cell>
        </row>
        <row r="2012">
          <cell r="J2012">
            <v>46177</v>
          </cell>
          <cell r="K2012">
            <v>46206</v>
          </cell>
        </row>
        <row r="2013">
          <cell r="J2013">
            <v>46177</v>
          </cell>
          <cell r="K2013">
            <v>46206</v>
          </cell>
        </row>
        <row r="2014">
          <cell r="J2014">
            <v>46177</v>
          </cell>
          <cell r="K2014">
            <v>46206</v>
          </cell>
        </row>
        <row r="2015">
          <cell r="J2015">
            <v>46177</v>
          </cell>
          <cell r="K2015">
            <v>46199</v>
          </cell>
        </row>
        <row r="2016">
          <cell r="J2016">
            <v>46177</v>
          </cell>
          <cell r="K2016">
            <v>46206</v>
          </cell>
        </row>
        <row r="2017">
          <cell r="J2017">
            <v>46178</v>
          </cell>
          <cell r="K2017">
            <v>46212</v>
          </cell>
        </row>
        <row r="2018">
          <cell r="J2018">
            <v>46178</v>
          </cell>
          <cell r="K2018">
            <v>46212</v>
          </cell>
        </row>
        <row r="2019">
          <cell r="J2019">
            <v>46178</v>
          </cell>
          <cell r="K2019">
            <v>46212</v>
          </cell>
        </row>
        <row r="2020">
          <cell r="J2020">
            <v>46178</v>
          </cell>
          <cell r="K2020">
            <v>46212</v>
          </cell>
        </row>
        <row r="2021">
          <cell r="J2021">
            <v>46178</v>
          </cell>
          <cell r="K2021">
            <v>46212</v>
          </cell>
        </row>
        <row r="2022">
          <cell r="J2022">
            <v>46178</v>
          </cell>
          <cell r="K2022">
            <v>46192</v>
          </cell>
        </row>
        <row r="2023">
          <cell r="J2023">
            <v>46181</v>
          </cell>
          <cell r="K2023">
            <v>46213</v>
          </cell>
        </row>
        <row r="2024">
          <cell r="J2024">
            <v>46181</v>
          </cell>
          <cell r="K2024">
            <v>46192</v>
          </cell>
        </row>
        <row r="2025">
          <cell r="J2025">
            <v>46181</v>
          </cell>
          <cell r="K2025">
            <v>46192</v>
          </cell>
        </row>
        <row r="2026">
          <cell r="J2026">
            <v>46181</v>
          </cell>
          <cell r="K2026">
            <v>46192</v>
          </cell>
        </row>
        <row r="2027">
          <cell r="J2027">
            <v>46181</v>
          </cell>
          <cell r="K2027">
            <v>46192</v>
          </cell>
        </row>
        <row r="2028">
          <cell r="J2028">
            <v>46181</v>
          </cell>
          <cell r="K2028">
            <v>46192</v>
          </cell>
        </row>
        <row r="2029">
          <cell r="J2029">
            <v>46181</v>
          </cell>
          <cell r="K2029">
            <v>46192</v>
          </cell>
        </row>
        <row r="2030">
          <cell r="J2030">
            <v>46181</v>
          </cell>
          <cell r="K2030">
            <v>46192</v>
          </cell>
        </row>
        <row r="2031">
          <cell r="J2031">
            <v>46188</v>
          </cell>
          <cell r="K2031">
            <v>46192</v>
          </cell>
        </row>
        <row r="2032">
          <cell r="J2032">
            <v>46188</v>
          </cell>
          <cell r="K2032">
            <v>46192</v>
          </cell>
        </row>
        <row r="2033">
          <cell r="J2033">
            <v>46188</v>
          </cell>
          <cell r="K2033">
            <v>46192</v>
          </cell>
        </row>
        <row r="2034">
          <cell r="J2034">
            <v>46188</v>
          </cell>
          <cell r="K2034">
            <v>46192</v>
          </cell>
        </row>
        <row r="2035">
          <cell r="J2035">
            <v>46188</v>
          </cell>
          <cell r="K2035">
            <v>46192</v>
          </cell>
        </row>
        <row r="2036">
          <cell r="J2036">
            <v>46192</v>
          </cell>
          <cell r="K2036">
            <v>46226</v>
          </cell>
        </row>
        <row r="2037">
          <cell r="J2037">
            <v>46192</v>
          </cell>
          <cell r="K2037">
            <v>46226</v>
          </cell>
        </row>
        <row r="2038">
          <cell r="J2038">
            <v>46192</v>
          </cell>
          <cell r="K2038">
            <v>46226</v>
          </cell>
        </row>
        <row r="2039">
          <cell r="J2039">
            <v>46192</v>
          </cell>
          <cell r="K2039">
            <v>46226</v>
          </cell>
        </row>
        <row r="2040">
          <cell r="J2040">
            <v>46192</v>
          </cell>
          <cell r="K2040">
            <v>46226</v>
          </cell>
        </row>
        <row r="2041">
          <cell r="J2041">
            <v>46192</v>
          </cell>
          <cell r="K2041">
            <v>46226</v>
          </cell>
        </row>
        <row r="2042">
          <cell r="J2042">
            <v>46192</v>
          </cell>
          <cell r="K2042">
            <v>46226</v>
          </cell>
        </row>
        <row r="2043">
          <cell r="J2043">
            <v>46192</v>
          </cell>
          <cell r="K2043">
            <v>46226</v>
          </cell>
        </row>
        <row r="2044">
          <cell r="J2044">
            <v>46198</v>
          </cell>
          <cell r="K2044">
            <v>46234</v>
          </cell>
        </row>
        <row r="2045">
          <cell r="J2045">
            <v>46199</v>
          </cell>
          <cell r="K2045">
            <v>46237</v>
          </cell>
        </row>
        <row r="2046">
          <cell r="J2046">
            <v>46199</v>
          </cell>
          <cell r="K2046">
            <v>46220</v>
          </cell>
        </row>
        <row r="2047">
          <cell r="J2047">
            <v>46199</v>
          </cell>
          <cell r="K2047">
            <v>46220</v>
          </cell>
        </row>
        <row r="2048">
          <cell r="J2048">
            <v>46199</v>
          </cell>
          <cell r="K2048">
            <v>46220</v>
          </cell>
        </row>
        <row r="2049">
          <cell r="J2049">
            <v>46199</v>
          </cell>
          <cell r="K2049">
            <v>46220</v>
          </cell>
        </row>
        <row r="2050">
          <cell r="J2050">
            <v>46199</v>
          </cell>
          <cell r="K2050">
            <v>46220</v>
          </cell>
        </row>
        <row r="2051">
          <cell r="J2051">
            <v>46209</v>
          </cell>
          <cell r="K2051">
            <v>46245</v>
          </cell>
        </row>
        <row r="2052">
          <cell r="J2052">
            <v>46209</v>
          </cell>
          <cell r="K2052">
            <v>46245</v>
          </cell>
        </row>
        <row r="2053">
          <cell r="J2053">
            <v>46209</v>
          </cell>
          <cell r="K2053">
            <v>46245</v>
          </cell>
        </row>
        <row r="2054">
          <cell r="J2054">
            <v>46209</v>
          </cell>
          <cell r="K2054">
            <v>46245</v>
          </cell>
        </row>
        <row r="2055">
          <cell r="J2055">
            <v>46209</v>
          </cell>
          <cell r="K2055">
            <v>46234</v>
          </cell>
        </row>
        <row r="2056">
          <cell r="J2056">
            <v>46209</v>
          </cell>
          <cell r="K2056">
            <v>46234</v>
          </cell>
        </row>
        <row r="2057">
          <cell r="J2057">
            <v>46209</v>
          </cell>
          <cell r="K2057">
            <v>46234</v>
          </cell>
        </row>
        <row r="2058">
          <cell r="J2058">
            <v>46209</v>
          </cell>
          <cell r="K2058">
            <v>46234</v>
          </cell>
        </row>
        <row r="2059">
          <cell r="J2059">
            <v>46209</v>
          </cell>
          <cell r="K2059">
            <v>46234</v>
          </cell>
        </row>
        <row r="2060">
          <cell r="J2060">
            <v>46209</v>
          </cell>
          <cell r="K2060">
            <v>46234</v>
          </cell>
        </row>
        <row r="2061">
          <cell r="J2061">
            <v>46209</v>
          </cell>
          <cell r="K2061">
            <v>46234</v>
          </cell>
        </row>
        <row r="2062">
          <cell r="J2062">
            <v>46209</v>
          </cell>
          <cell r="K2062">
            <v>46245</v>
          </cell>
        </row>
        <row r="2063">
          <cell r="J2063">
            <v>46209</v>
          </cell>
          <cell r="K2063">
            <v>46245</v>
          </cell>
        </row>
        <row r="2064">
          <cell r="J2064">
            <v>46210</v>
          </cell>
          <cell r="K2064">
            <v>46247</v>
          </cell>
        </row>
        <row r="2065">
          <cell r="J2065">
            <v>46223</v>
          </cell>
          <cell r="K2065">
            <v>46245</v>
          </cell>
        </row>
        <row r="2066">
          <cell r="J2066">
            <v>46223</v>
          </cell>
          <cell r="K2066">
            <v>46245</v>
          </cell>
        </row>
        <row r="2067">
          <cell r="J2067">
            <v>46223</v>
          </cell>
          <cell r="K2067">
            <v>46245</v>
          </cell>
        </row>
        <row r="2068">
          <cell r="J2068">
            <v>46227</v>
          </cell>
          <cell r="K2068">
            <v>46252</v>
          </cell>
        </row>
        <row r="2069">
          <cell r="J2069">
            <v>46227</v>
          </cell>
          <cell r="K2069">
            <v>46252</v>
          </cell>
        </row>
        <row r="2070">
          <cell r="J2070">
            <v>46227</v>
          </cell>
          <cell r="K2070">
            <v>46252</v>
          </cell>
        </row>
        <row r="2071">
          <cell r="J2071">
            <v>46227</v>
          </cell>
          <cell r="K2071">
            <v>46252</v>
          </cell>
        </row>
        <row r="2072">
          <cell r="J2072">
            <v>46227</v>
          </cell>
          <cell r="K2072">
            <v>46252</v>
          </cell>
        </row>
        <row r="2073">
          <cell r="J2073">
            <v>46227</v>
          </cell>
          <cell r="K2073">
            <v>46252</v>
          </cell>
        </row>
        <row r="2074">
          <cell r="J2074">
            <v>46230</v>
          </cell>
          <cell r="K2074">
            <v>46245</v>
          </cell>
        </row>
        <row r="2075">
          <cell r="J2075">
            <v>46230</v>
          </cell>
          <cell r="K2075">
            <v>46253</v>
          </cell>
        </row>
        <row r="2076">
          <cell r="J2076">
            <v>46230</v>
          </cell>
          <cell r="K2076">
            <v>46253</v>
          </cell>
        </row>
        <row r="2077">
          <cell r="J2077">
            <v>46230</v>
          </cell>
          <cell r="K2077">
            <v>46253</v>
          </cell>
        </row>
        <row r="2078">
          <cell r="J2078">
            <v>46230</v>
          </cell>
          <cell r="K2078">
            <v>46253</v>
          </cell>
        </row>
        <row r="2079">
          <cell r="J2079">
            <v>46230</v>
          </cell>
          <cell r="K2079">
            <v>46253</v>
          </cell>
        </row>
        <row r="2080">
          <cell r="J2080">
            <v>46230</v>
          </cell>
          <cell r="K2080">
            <v>46253</v>
          </cell>
        </row>
        <row r="2081">
          <cell r="J2081">
            <v>46230</v>
          </cell>
          <cell r="K2081">
            <v>46253</v>
          </cell>
        </row>
        <row r="2082">
          <cell r="J2082">
            <v>46230</v>
          </cell>
          <cell r="K2082">
            <v>46253</v>
          </cell>
        </row>
        <row r="2083">
          <cell r="J2083">
            <v>46230</v>
          </cell>
          <cell r="K2083">
            <v>46253</v>
          </cell>
        </row>
        <row r="2084">
          <cell r="J2084">
            <v>46230</v>
          </cell>
          <cell r="K2084">
            <v>46253</v>
          </cell>
        </row>
        <row r="2085">
          <cell r="J2085">
            <v>46230</v>
          </cell>
          <cell r="K2085">
            <v>46253</v>
          </cell>
        </row>
        <row r="2086">
          <cell r="J2086">
            <v>46233</v>
          </cell>
          <cell r="K2086">
            <v>46247</v>
          </cell>
        </row>
        <row r="2087">
          <cell r="J2087">
            <v>46238</v>
          </cell>
          <cell r="K2087">
            <v>46259</v>
          </cell>
        </row>
        <row r="2088">
          <cell r="J2088">
            <v>46239</v>
          </cell>
          <cell r="K2088">
            <v>46245</v>
          </cell>
        </row>
        <row r="2089">
          <cell r="J2089">
            <v>46241</v>
          </cell>
          <cell r="K2089">
            <v>46248</v>
          </cell>
        </row>
        <row r="2090">
          <cell r="J2090">
            <v>46245</v>
          </cell>
          <cell r="K2090">
            <v>46266</v>
          </cell>
        </row>
        <row r="2091">
          <cell r="J2091">
            <v>46245</v>
          </cell>
          <cell r="K2091">
            <v>46266</v>
          </cell>
        </row>
        <row r="2092">
          <cell r="J2092">
            <v>46245</v>
          </cell>
          <cell r="K2092">
            <v>46266</v>
          </cell>
        </row>
        <row r="2093">
          <cell r="J2093">
            <v>46245</v>
          </cell>
          <cell r="K2093">
            <v>46266</v>
          </cell>
        </row>
        <row r="2094">
          <cell r="J2094">
            <v>46245</v>
          </cell>
          <cell r="K2094">
            <v>46266</v>
          </cell>
        </row>
        <row r="2095">
          <cell r="J2095">
            <v>46245</v>
          </cell>
          <cell r="K2095">
            <v>46266</v>
          </cell>
        </row>
        <row r="2096">
          <cell r="J2096">
            <v>46245</v>
          </cell>
          <cell r="K2096">
            <v>46266</v>
          </cell>
        </row>
        <row r="2097">
          <cell r="J2097">
            <v>46245</v>
          </cell>
          <cell r="K2097">
            <v>46266</v>
          </cell>
        </row>
        <row r="2098">
          <cell r="J2098">
            <v>46252</v>
          </cell>
          <cell r="K2098">
            <v>46272</v>
          </cell>
        </row>
        <row r="2099">
          <cell r="J2099">
            <v>46253</v>
          </cell>
          <cell r="K2099">
            <v>46273</v>
          </cell>
        </row>
        <row r="2100">
          <cell r="J2100">
            <v>46253</v>
          </cell>
          <cell r="K2100">
            <v>46273</v>
          </cell>
        </row>
        <row r="2101">
          <cell r="J2101">
            <v>46253</v>
          </cell>
          <cell r="K2101">
            <v>46273</v>
          </cell>
        </row>
        <row r="2102">
          <cell r="J2102">
            <v>46260</v>
          </cell>
          <cell r="K2102">
            <v>46280</v>
          </cell>
        </row>
        <row r="2103">
          <cell r="J2103">
            <v>46261</v>
          </cell>
          <cell r="K2103">
            <v>46281</v>
          </cell>
        </row>
        <row r="2104">
          <cell r="J2104">
            <v>46261</v>
          </cell>
          <cell r="K2104">
            <v>46281</v>
          </cell>
        </row>
        <row r="2105">
          <cell r="J2105">
            <v>46261</v>
          </cell>
          <cell r="K2105">
            <v>46281</v>
          </cell>
        </row>
        <row r="2106">
          <cell r="J2106">
            <v>46261</v>
          </cell>
          <cell r="K2106">
            <v>46281</v>
          </cell>
        </row>
        <row r="2107">
          <cell r="J2107">
            <v>46261</v>
          </cell>
          <cell r="K2107">
            <v>46281</v>
          </cell>
        </row>
        <row r="2108">
          <cell r="J2108">
            <v>46261</v>
          </cell>
          <cell r="K2108">
            <v>46281</v>
          </cell>
        </row>
        <row r="2109">
          <cell r="J2109">
            <v>46261</v>
          </cell>
          <cell r="K2109">
            <v>46281</v>
          </cell>
        </row>
        <row r="2110">
          <cell r="J2110">
            <v>46261</v>
          </cell>
          <cell r="K2110">
            <v>46281</v>
          </cell>
        </row>
        <row r="2111">
          <cell r="J2111">
            <v>46261</v>
          </cell>
          <cell r="K2111">
            <v>46281</v>
          </cell>
        </row>
        <row r="2112">
          <cell r="J2112">
            <v>46261</v>
          </cell>
          <cell r="K2112">
            <v>46281</v>
          </cell>
        </row>
        <row r="2113">
          <cell r="J2113">
            <v>46262</v>
          </cell>
          <cell r="K2113">
            <v>46282</v>
          </cell>
        </row>
        <row r="2114">
          <cell r="J2114">
            <v>46262</v>
          </cell>
          <cell r="K2114">
            <v>46275</v>
          </cell>
        </row>
        <row r="2115">
          <cell r="J2115">
            <v>46265</v>
          </cell>
          <cell r="K2115">
            <v>46269</v>
          </cell>
        </row>
        <row r="2116">
          <cell r="J2116">
            <v>46267</v>
          </cell>
          <cell r="K2116">
            <v>46287</v>
          </cell>
        </row>
        <row r="2117">
          <cell r="J2117">
            <v>46267</v>
          </cell>
          <cell r="K2117">
            <v>46287</v>
          </cell>
        </row>
        <row r="2118">
          <cell r="J2118">
            <v>46267</v>
          </cell>
          <cell r="K2118">
            <v>46287</v>
          </cell>
        </row>
        <row r="2119">
          <cell r="J2119">
            <v>46267</v>
          </cell>
          <cell r="K2119">
            <v>46287</v>
          </cell>
        </row>
        <row r="2120">
          <cell r="J2120">
            <v>46267</v>
          </cell>
          <cell r="K2120">
            <v>46287</v>
          </cell>
        </row>
        <row r="2121">
          <cell r="J2121">
            <v>46267</v>
          </cell>
          <cell r="K2121">
            <v>46287</v>
          </cell>
        </row>
        <row r="2122">
          <cell r="J2122">
            <v>46267</v>
          </cell>
          <cell r="K2122">
            <v>46287</v>
          </cell>
        </row>
        <row r="2123">
          <cell r="J2123">
            <v>46267</v>
          </cell>
          <cell r="K2123">
            <v>46287</v>
          </cell>
        </row>
        <row r="2124">
          <cell r="J2124">
            <v>46274</v>
          </cell>
          <cell r="K2124">
            <v>46294</v>
          </cell>
        </row>
        <row r="2125">
          <cell r="J2125">
            <v>46274</v>
          </cell>
          <cell r="K2125">
            <v>46294</v>
          </cell>
        </row>
        <row r="2126">
          <cell r="J2126">
            <v>46274</v>
          </cell>
          <cell r="K2126">
            <v>46287</v>
          </cell>
        </row>
        <row r="2127">
          <cell r="J2127">
            <v>46281</v>
          </cell>
          <cell r="K2127">
            <v>46301</v>
          </cell>
        </row>
        <row r="2128">
          <cell r="J2128">
            <v>46281</v>
          </cell>
          <cell r="K2128">
            <v>46301</v>
          </cell>
        </row>
        <row r="2129">
          <cell r="J2129">
            <v>46281</v>
          </cell>
          <cell r="K2129">
            <v>46301</v>
          </cell>
        </row>
        <row r="2130">
          <cell r="J2130">
            <v>46281</v>
          </cell>
          <cell r="K2130">
            <v>46301</v>
          </cell>
        </row>
        <row r="2131">
          <cell r="J2131">
            <v>46281</v>
          </cell>
          <cell r="K2131">
            <v>46301</v>
          </cell>
        </row>
        <row r="2132">
          <cell r="J2132">
            <v>46281</v>
          </cell>
          <cell r="K2132">
            <v>46301</v>
          </cell>
        </row>
        <row r="2133">
          <cell r="J2133">
            <v>46281</v>
          </cell>
          <cell r="K2133">
            <v>46301</v>
          </cell>
        </row>
        <row r="2134">
          <cell r="J2134">
            <v>46281</v>
          </cell>
          <cell r="K2134">
            <v>46301</v>
          </cell>
        </row>
        <row r="2135">
          <cell r="J2135">
            <v>46287</v>
          </cell>
          <cell r="K2135">
            <v>46307</v>
          </cell>
        </row>
        <row r="2136">
          <cell r="J2136">
            <v>46288</v>
          </cell>
          <cell r="K2136">
            <v>46309</v>
          </cell>
        </row>
        <row r="2137">
          <cell r="J2137">
            <v>46288</v>
          </cell>
          <cell r="K2137">
            <v>46309</v>
          </cell>
        </row>
        <row r="2138">
          <cell r="J2138">
            <v>46288</v>
          </cell>
          <cell r="K2138">
            <v>46309</v>
          </cell>
        </row>
        <row r="2139">
          <cell r="J2139">
            <v>46290</v>
          </cell>
          <cell r="K2139">
            <v>46296</v>
          </cell>
        </row>
        <row r="2140">
          <cell r="J2140">
            <v>46296</v>
          </cell>
          <cell r="K2140">
            <v>46317</v>
          </cell>
        </row>
        <row r="2141">
          <cell r="J2141">
            <v>46296</v>
          </cell>
          <cell r="K2141">
            <v>46317</v>
          </cell>
        </row>
        <row r="2142">
          <cell r="J2142">
            <v>46296</v>
          </cell>
          <cell r="K2142">
            <v>46317</v>
          </cell>
        </row>
        <row r="2143">
          <cell r="J2143">
            <v>46296</v>
          </cell>
          <cell r="K2143">
            <v>46317</v>
          </cell>
        </row>
        <row r="2144">
          <cell r="J2144">
            <v>46296</v>
          </cell>
          <cell r="K2144">
            <v>46317</v>
          </cell>
        </row>
        <row r="2145">
          <cell r="J2145">
            <v>46296</v>
          </cell>
          <cell r="K2145">
            <v>46317</v>
          </cell>
        </row>
        <row r="2146">
          <cell r="J2146">
            <v>46296</v>
          </cell>
          <cell r="K2146">
            <v>46317</v>
          </cell>
        </row>
        <row r="2147">
          <cell r="J2147">
            <v>46297</v>
          </cell>
          <cell r="K2147">
            <v>46321</v>
          </cell>
        </row>
        <row r="2148">
          <cell r="J2148">
            <v>46302</v>
          </cell>
          <cell r="K2148">
            <v>46309</v>
          </cell>
        </row>
        <row r="2149">
          <cell r="J2149">
            <v>46325</v>
          </cell>
          <cell r="K2149">
            <v>46331</v>
          </cell>
        </row>
        <row r="2150">
          <cell r="J2150">
            <v>46113</v>
          </cell>
          <cell r="K2150">
            <v>46331</v>
          </cell>
        </row>
        <row r="2151">
          <cell r="J2151">
            <v>46113</v>
          </cell>
          <cell r="K2151">
            <v>46148</v>
          </cell>
        </row>
        <row r="2152">
          <cell r="J2152">
            <v>46128</v>
          </cell>
          <cell r="K2152">
            <v>46150</v>
          </cell>
        </row>
        <row r="2153">
          <cell r="J2153">
            <v>46128</v>
          </cell>
          <cell r="K2153">
            <v>46163</v>
          </cell>
        </row>
        <row r="2154">
          <cell r="J2154">
            <v>46132</v>
          </cell>
          <cell r="K2154">
            <v>46157</v>
          </cell>
        </row>
        <row r="2155">
          <cell r="J2155">
            <v>46132</v>
          </cell>
          <cell r="K2155">
            <v>46139</v>
          </cell>
        </row>
        <row r="2156">
          <cell r="J2156">
            <v>46132</v>
          </cell>
          <cell r="K2156">
            <v>46139</v>
          </cell>
        </row>
        <row r="2157">
          <cell r="J2157">
            <v>46132</v>
          </cell>
          <cell r="K2157">
            <v>46139</v>
          </cell>
        </row>
        <row r="2158">
          <cell r="J2158">
            <v>46148</v>
          </cell>
          <cell r="K2158">
            <v>46184</v>
          </cell>
        </row>
        <row r="2159">
          <cell r="J2159">
            <v>46148</v>
          </cell>
          <cell r="K2159">
            <v>46191</v>
          </cell>
        </row>
        <row r="2160">
          <cell r="J2160">
            <v>46149</v>
          </cell>
          <cell r="K2160">
            <v>46234</v>
          </cell>
        </row>
        <row r="2161">
          <cell r="J2161">
            <v>46154</v>
          </cell>
          <cell r="K2161">
            <v>46181</v>
          </cell>
        </row>
        <row r="2162">
          <cell r="J2162">
            <v>46155</v>
          </cell>
          <cell r="K2162">
            <v>46206</v>
          </cell>
        </row>
        <row r="2163">
          <cell r="J2163">
            <v>46160</v>
          </cell>
          <cell r="K2163">
            <v>46170</v>
          </cell>
        </row>
        <row r="2164">
          <cell r="J2164">
            <v>46160</v>
          </cell>
          <cell r="K2164">
            <v>46170</v>
          </cell>
        </row>
        <row r="2165">
          <cell r="J2165">
            <v>46160</v>
          </cell>
          <cell r="K2165">
            <v>46170</v>
          </cell>
        </row>
        <row r="2166">
          <cell r="J2166">
            <v>46160</v>
          </cell>
          <cell r="K2166">
            <v>46170</v>
          </cell>
        </row>
        <row r="2167">
          <cell r="J2167">
            <v>46160</v>
          </cell>
          <cell r="K2167">
            <v>46170</v>
          </cell>
        </row>
        <row r="2168">
          <cell r="J2168">
            <v>46160</v>
          </cell>
          <cell r="K2168">
            <v>46170</v>
          </cell>
        </row>
        <row r="2169">
          <cell r="J2169">
            <v>46160</v>
          </cell>
          <cell r="K2169">
            <v>46170</v>
          </cell>
        </row>
        <row r="2170">
          <cell r="J2170">
            <v>46168</v>
          </cell>
          <cell r="K2170">
            <v>46199</v>
          </cell>
        </row>
        <row r="2171">
          <cell r="J2171">
            <v>46181</v>
          </cell>
          <cell r="K2171">
            <v>46206</v>
          </cell>
        </row>
        <row r="2172">
          <cell r="J2172">
            <v>46185</v>
          </cell>
          <cell r="K2172">
            <v>46191</v>
          </cell>
        </row>
        <row r="2173">
          <cell r="J2173">
            <v>46185</v>
          </cell>
          <cell r="K2173">
            <v>46191</v>
          </cell>
        </row>
        <row r="2174">
          <cell r="J2174">
            <v>46185</v>
          </cell>
          <cell r="K2174">
            <v>46199</v>
          </cell>
        </row>
        <row r="2175">
          <cell r="J2175">
            <v>46188</v>
          </cell>
          <cell r="K2175">
            <v>46199</v>
          </cell>
        </row>
        <row r="2176">
          <cell r="J2176">
            <v>46188</v>
          </cell>
          <cell r="K2176">
            <v>46199</v>
          </cell>
        </row>
        <row r="2177">
          <cell r="J2177">
            <v>46189</v>
          </cell>
          <cell r="K2177">
            <v>46217</v>
          </cell>
        </row>
        <row r="2178">
          <cell r="J2178">
            <v>46197</v>
          </cell>
          <cell r="K2178">
            <v>46227</v>
          </cell>
        </row>
        <row r="2179">
          <cell r="J2179">
            <v>46199</v>
          </cell>
          <cell r="K2179">
            <v>46212</v>
          </cell>
        </row>
        <row r="2180">
          <cell r="J2180">
            <v>46203</v>
          </cell>
          <cell r="K2180">
            <v>46209</v>
          </cell>
        </row>
        <row r="2181">
          <cell r="J2181">
            <v>46205</v>
          </cell>
          <cell r="K2181">
            <v>46225</v>
          </cell>
        </row>
        <row r="2182">
          <cell r="J2182">
            <v>46206</v>
          </cell>
          <cell r="K2182">
            <v>46212</v>
          </cell>
        </row>
        <row r="2183">
          <cell r="J2183">
            <v>46209</v>
          </cell>
          <cell r="K2183">
            <v>46213</v>
          </cell>
        </row>
        <row r="2184">
          <cell r="J2184">
            <v>46209</v>
          </cell>
          <cell r="K2184">
            <v>46213</v>
          </cell>
        </row>
        <row r="2185">
          <cell r="J2185">
            <v>46213</v>
          </cell>
          <cell r="K2185">
            <v>46219</v>
          </cell>
        </row>
        <row r="2186">
          <cell r="J2186">
            <v>46213</v>
          </cell>
          <cell r="K2186">
            <v>46219</v>
          </cell>
        </row>
        <row r="2187">
          <cell r="J2187">
            <v>46216</v>
          </cell>
          <cell r="K2187">
            <v>46227</v>
          </cell>
        </row>
        <row r="2188">
          <cell r="J2188">
            <v>46216</v>
          </cell>
          <cell r="K2188">
            <v>46220</v>
          </cell>
        </row>
        <row r="2189">
          <cell r="J2189">
            <v>46218</v>
          </cell>
          <cell r="K2189">
            <v>46245</v>
          </cell>
        </row>
        <row r="2190">
          <cell r="J2190">
            <v>46220</v>
          </cell>
          <cell r="K2190">
            <v>46238</v>
          </cell>
        </row>
        <row r="2191">
          <cell r="J2191">
            <v>46223</v>
          </cell>
          <cell r="K2191">
            <v>46240</v>
          </cell>
        </row>
        <row r="2192">
          <cell r="J2192">
            <v>46223</v>
          </cell>
          <cell r="K2192">
            <v>46248</v>
          </cell>
        </row>
        <row r="2193">
          <cell r="J2193">
            <v>46224</v>
          </cell>
          <cell r="K2193">
            <v>46230</v>
          </cell>
        </row>
        <row r="2194">
          <cell r="J2194">
            <v>46225</v>
          </cell>
          <cell r="K2194">
            <v>46240</v>
          </cell>
        </row>
        <row r="2195">
          <cell r="J2195">
            <v>46225</v>
          </cell>
          <cell r="K2195">
            <v>46240</v>
          </cell>
        </row>
        <row r="2196">
          <cell r="J2196">
            <v>46226</v>
          </cell>
          <cell r="K2196">
            <v>46252</v>
          </cell>
        </row>
        <row r="2197">
          <cell r="J2197">
            <v>46226</v>
          </cell>
          <cell r="K2197">
            <v>46245</v>
          </cell>
        </row>
        <row r="2198">
          <cell r="J2198">
            <v>46226</v>
          </cell>
          <cell r="K2198">
            <v>46234</v>
          </cell>
        </row>
        <row r="2199">
          <cell r="J2199">
            <v>46226</v>
          </cell>
          <cell r="K2199">
            <v>46234</v>
          </cell>
        </row>
        <row r="2200">
          <cell r="J2200">
            <v>46226</v>
          </cell>
          <cell r="K2200">
            <v>46245</v>
          </cell>
        </row>
        <row r="2201">
          <cell r="J2201">
            <v>46227</v>
          </cell>
          <cell r="K2201">
            <v>46237</v>
          </cell>
        </row>
        <row r="2202">
          <cell r="J2202">
            <v>46227</v>
          </cell>
          <cell r="K2202">
            <v>46254</v>
          </cell>
        </row>
        <row r="2203">
          <cell r="J2203">
            <v>46227</v>
          </cell>
          <cell r="K2203">
            <v>46237</v>
          </cell>
        </row>
        <row r="2204">
          <cell r="J2204">
            <v>46227</v>
          </cell>
          <cell r="K2204">
            <v>46237</v>
          </cell>
        </row>
        <row r="2205">
          <cell r="J2205">
            <v>46230</v>
          </cell>
          <cell r="K2205">
            <v>46245</v>
          </cell>
        </row>
        <row r="2206">
          <cell r="J2206">
            <v>46230</v>
          </cell>
          <cell r="K2206">
            <v>46238</v>
          </cell>
        </row>
        <row r="2207">
          <cell r="J2207">
            <v>46230</v>
          </cell>
          <cell r="K2207">
            <v>46238</v>
          </cell>
        </row>
        <row r="2208">
          <cell r="J2208">
            <v>46233</v>
          </cell>
          <cell r="K2208">
            <v>46251</v>
          </cell>
        </row>
        <row r="2209">
          <cell r="J2209">
            <v>46233</v>
          </cell>
          <cell r="K2209">
            <v>46248</v>
          </cell>
        </row>
        <row r="2210">
          <cell r="J2210">
            <v>46233</v>
          </cell>
          <cell r="K2210">
            <v>46251</v>
          </cell>
        </row>
        <row r="2211">
          <cell r="J2211">
            <v>46234</v>
          </cell>
          <cell r="K2211">
            <v>46248</v>
          </cell>
        </row>
        <row r="2212">
          <cell r="J2212">
            <v>46238</v>
          </cell>
          <cell r="K2212">
            <v>46265</v>
          </cell>
        </row>
        <row r="2213">
          <cell r="J2213">
            <v>46239</v>
          </cell>
          <cell r="K2213">
            <v>46254</v>
          </cell>
        </row>
        <row r="2214">
          <cell r="J2214">
            <v>46239</v>
          </cell>
          <cell r="K2214">
            <v>46254</v>
          </cell>
        </row>
        <row r="2215">
          <cell r="J2215">
            <v>46239</v>
          </cell>
          <cell r="K2215">
            <v>46245</v>
          </cell>
        </row>
        <row r="2216">
          <cell r="J2216">
            <v>46241</v>
          </cell>
          <cell r="K2216">
            <v>46255</v>
          </cell>
        </row>
        <row r="2217">
          <cell r="J2217">
            <v>46241</v>
          </cell>
          <cell r="K2217">
            <v>46255</v>
          </cell>
        </row>
        <row r="2218">
          <cell r="J2218">
            <v>46244</v>
          </cell>
          <cell r="K2218">
            <v>46258</v>
          </cell>
        </row>
        <row r="2219">
          <cell r="J2219">
            <v>46244</v>
          </cell>
          <cell r="K2219">
            <v>46255</v>
          </cell>
        </row>
        <row r="2220">
          <cell r="J2220">
            <v>46247</v>
          </cell>
          <cell r="K2220">
            <v>46253</v>
          </cell>
        </row>
        <row r="2221">
          <cell r="J2221">
            <v>46247</v>
          </cell>
          <cell r="K2221">
            <v>46260</v>
          </cell>
        </row>
        <row r="2222">
          <cell r="J2222">
            <v>46247</v>
          </cell>
          <cell r="K2222">
            <v>46260</v>
          </cell>
        </row>
        <row r="2223">
          <cell r="J2223">
            <v>46252</v>
          </cell>
          <cell r="K2223">
            <v>46258</v>
          </cell>
        </row>
        <row r="2224">
          <cell r="J2224">
            <v>46252</v>
          </cell>
          <cell r="K2224">
            <v>46258</v>
          </cell>
        </row>
        <row r="2225">
          <cell r="J2225">
            <v>46252</v>
          </cell>
          <cell r="K2225">
            <v>46258</v>
          </cell>
        </row>
        <row r="2226">
          <cell r="J2226">
            <v>46253</v>
          </cell>
          <cell r="K2226">
            <v>46266</v>
          </cell>
        </row>
        <row r="2227">
          <cell r="J2227">
            <v>46253</v>
          </cell>
          <cell r="K2227">
            <v>46259</v>
          </cell>
        </row>
        <row r="2228">
          <cell r="J2228">
            <v>46254</v>
          </cell>
          <cell r="K2228">
            <v>46260</v>
          </cell>
        </row>
        <row r="2229">
          <cell r="J2229">
            <v>46254</v>
          </cell>
          <cell r="K2229">
            <v>46267</v>
          </cell>
        </row>
        <row r="2230">
          <cell r="J2230">
            <v>46258</v>
          </cell>
          <cell r="K2230">
            <v>46269</v>
          </cell>
        </row>
        <row r="2231">
          <cell r="J2231">
            <v>46258</v>
          </cell>
          <cell r="K2231">
            <v>46269</v>
          </cell>
        </row>
        <row r="2232">
          <cell r="J2232">
            <v>46258</v>
          </cell>
          <cell r="K2232">
            <v>46269</v>
          </cell>
        </row>
        <row r="2233">
          <cell r="J2233">
            <v>46258</v>
          </cell>
          <cell r="K2233">
            <v>46276</v>
          </cell>
        </row>
        <row r="2234">
          <cell r="J2234">
            <v>46259</v>
          </cell>
          <cell r="K2234">
            <v>46272</v>
          </cell>
        </row>
        <row r="2235">
          <cell r="J2235">
            <v>46259</v>
          </cell>
          <cell r="K2235">
            <v>46272</v>
          </cell>
        </row>
        <row r="2236">
          <cell r="J2236">
            <v>46261</v>
          </cell>
          <cell r="K2236">
            <v>46267</v>
          </cell>
        </row>
        <row r="2237">
          <cell r="J2237">
            <v>46261</v>
          </cell>
          <cell r="K2237">
            <v>46274</v>
          </cell>
        </row>
        <row r="2238">
          <cell r="J2238">
            <v>46261</v>
          </cell>
          <cell r="K2238">
            <v>46274</v>
          </cell>
        </row>
        <row r="2239">
          <cell r="J2239">
            <v>46261</v>
          </cell>
          <cell r="K2239">
            <v>46294</v>
          </cell>
        </row>
        <row r="2240">
          <cell r="J2240">
            <v>46261</v>
          </cell>
          <cell r="K2240">
            <v>46274</v>
          </cell>
        </row>
        <row r="2241">
          <cell r="J2241">
            <v>46265</v>
          </cell>
          <cell r="K2241">
            <v>46276</v>
          </cell>
        </row>
        <row r="2242">
          <cell r="J2242">
            <v>46265</v>
          </cell>
          <cell r="K2242">
            <v>46276</v>
          </cell>
        </row>
        <row r="2243">
          <cell r="J2243">
            <v>46265</v>
          </cell>
          <cell r="K2243">
            <v>46276</v>
          </cell>
        </row>
        <row r="2244">
          <cell r="J2244">
            <v>46266</v>
          </cell>
          <cell r="K2244">
            <v>46279</v>
          </cell>
        </row>
        <row r="2245">
          <cell r="J2245">
            <v>46266</v>
          </cell>
          <cell r="K2245">
            <v>46279</v>
          </cell>
        </row>
        <row r="2246">
          <cell r="J2246">
            <v>46267</v>
          </cell>
          <cell r="K2246">
            <v>46280</v>
          </cell>
        </row>
        <row r="2247">
          <cell r="J2247">
            <v>46268</v>
          </cell>
          <cell r="K2247">
            <v>46281</v>
          </cell>
        </row>
        <row r="2248">
          <cell r="J2248">
            <v>46269</v>
          </cell>
          <cell r="K2248">
            <v>46282</v>
          </cell>
        </row>
        <row r="2249">
          <cell r="J2249">
            <v>46269</v>
          </cell>
          <cell r="K2249">
            <v>46282</v>
          </cell>
        </row>
        <row r="2250">
          <cell r="J2250">
            <v>46269</v>
          </cell>
          <cell r="K2250">
            <v>46282</v>
          </cell>
        </row>
        <row r="2251">
          <cell r="J2251">
            <v>46272</v>
          </cell>
          <cell r="K2251">
            <v>46276</v>
          </cell>
        </row>
        <row r="2252">
          <cell r="J2252">
            <v>46273</v>
          </cell>
          <cell r="K2252">
            <v>46286</v>
          </cell>
        </row>
        <row r="2253">
          <cell r="J2253">
            <v>46273</v>
          </cell>
          <cell r="K2253">
            <v>46279</v>
          </cell>
        </row>
        <row r="2254">
          <cell r="J2254">
            <v>46273</v>
          </cell>
          <cell r="K2254">
            <v>46283</v>
          </cell>
        </row>
        <row r="2255">
          <cell r="J2255">
            <v>46274</v>
          </cell>
          <cell r="K2255">
            <v>46287</v>
          </cell>
        </row>
        <row r="2256">
          <cell r="J2256">
            <v>46275</v>
          </cell>
          <cell r="K2256">
            <v>46288</v>
          </cell>
        </row>
        <row r="2257">
          <cell r="J2257">
            <v>46275</v>
          </cell>
          <cell r="K2257">
            <v>46288</v>
          </cell>
        </row>
        <row r="2258">
          <cell r="J2258">
            <v>46275</v>
          </cell>
          <cell r="K2258">
            <v>46288</v>
          </cell>
        </row>
        <row r="2259">
          <cell r="J2259">
            <v>46280</v>
          </cell>
          <cell r="K2259">
            <v>46286</v>
          </cell>
        </row>
        <row r="2260">
          <cell r="J2260">
            <v>46281</v>
          </cell>
          <cell r="K2260">
            <v>46287</v>
          </cell>
        </row>
        <row r="2261">
          <cell r="J2261">
            <v>46281</v>
          </cell>
          <cell r="K2261">
            <v>46287</v>
          </cell>
        </row>
        <row r="2262">
          <cell r="J2262">
            <v>46282</v>
          </cell>
          <cell r="K2262">
            <v>46288</v>
          </cell>
        </row>
        <row r="2263">
          <cell r="J2263">
            <v>46282</v>
          </cell>
          <cell r="K2263">
            <v>46295</v>
          </cell>
        </row>
        <row r="2264">
          <cell r="J2264">
            <v>46286</v>
          </cell>
          <cell r="K2264">
            <v>46297</v>
          </cell>
        </row>
        <row r="2265">
          <cell r="J2265">
            <v>46287</v>
          </cell>
          <cell r="K2265">
            <v>46300</v>
          </cell>
        </row>
        <row r="2266">
          <cell r="J2266">
            <v>46287</v>
          </cell>
          <cell r="K2266">
            <v>46300</v>
          </cell>
        </row>
        <row r="2267">
          <cell r="J2267">
            <v>46289</v>
          </cell>
          <cell r="K2267">
            <v>46295</v>
          </cell>
        </row>
        <row r="2268">
          <cell r="J2268">
            <v>46289</v>
          </cell>
          <cell r="K2268">
            <v>46302</v>
          </cell>
        </row>
        <row r="2269">
          <cell r="J2269">
            <v>46289</v>
          </cell>
          <cell r="K2269">
            <v>46302</v>
          </cell>
        </row>
        <row r="2270">
          <cell r="J2270">
            <v>46293</v>
          </cell>
          <cell r="K2270">
            <v>46304</v>
          </cell>
        </row>
        <row r="2271">
          <cell r="J2271">
            <v>46293</v>
          </cell>
          <cell r="K2271">
            <v>46297</v>
          </cell>
        </row>
        <row r="2272">
          <cell r="J2272">
            <v>46293</v>
          </cell>
          <cell r="K2272">
            <v>46304</v>
          </cell>
        </row>
        <row r="2273">
          <cell r="J2273">
            <v>46293</v>
          </cell>
          <cell r="K2273">
            <v>46304</v>
          </cell>
        </row>
        <row r="2274">
          <cell r="J2274">
            <v>46294</v>
          </cell>
          <cell r="K2274">
            <v>46307</v>
          </cell>
        </row>
        <row r="2275">
          <cell r="J2275">
            <v>46294</v>
          </cell>
          <cell r="K2275">
            <v>46307</v>
          </cell>
        </row>
        <row r="2276">
          <cell r="J2276">
            <v>46295</v>
          </cell>
          <cell r="K2276">
            <v>46309</v>
          </cell>
        </row>
        <row r="2277">
          <cell r="J2277">
            <v>46296</v>
          </cell>
          <cell r="K2277">
            <v>46302</v>
          </cell>
        </row>
        <row r="2278">
          <cell r="J2278">
            <v>46297</v>
          </cell>
          <cell r="K2278">
            <v>46311</v>
          </cell>
        </row>
        <row r="2279">
          <cell r="J2279">
            <v>46297</v>
          </cell>
          <cell r="K2279">
            <v>46311</v>
          </cell>
        </row>
        <row r="2280">
          <cell r="J2280">
            <v>46297</v>
          </cell>
          <cell r="K2280">
            <v>46311</v>
          </cell>
        </row>
        <row r="2281">
          <cell r="J2281">
            <v>46301</v>
          </cell>
          <cell r="K2281">
            <v>46307</v>
          </cell>
        </row>
        <row r="2282">
          <cell r="J2282">
            <v>46302</v>
          </cell>
          <cell r="K2282">
            <v>46309</v>
          </cell>
        </row>
        <row r="2283">
          <cell r="J2283">
            <v>46302</v>
          </cell>
          <cell r="K2283">
            <v>46309</v>
          </cell>
        </row>
        <row r="2284">
          <cell r="J2284">
            <v>46303</v>
          </cell>
          <cell r="K2284">
            <v>46317</v>
          </cell>
        </row>
        <row r="2285">
          <cell r="J2285">
            <v>46303</v>
          </cell>
          <cell r="K2285">
            <v>46317</v>
          </cell>
        </row>
        <row r="2286">
          <cell r="J2286">
            <v>46310</v>
          </cell>
          <cell r="K2286">
            <v>46316</v>
          </cell>
        </row>
        <row r="2287">
          <cell r="J2287">
            <v>46323</v>
          </cell>
          <cell r="K2287">
            <v>46336</v>
          </cell>
        </row>
        <row r="2288">
          <cell r="J2288">
            <v>46325</v>
          </cell>
          <cell r="K2288">
            <v>46331</v>
          </cell>
        </row>
        <row r="2289">
          <cell r="J2289">
            <v>46148</v>
          </cell>
          <cell r="K2289">
            <v>46281</v>
          </cell>
        </row>
        <row r="2290">
          <cell r="J2290">
            <v>46148</v>
          </cell>
          <cell r="K2290">
            <v>46170</v>
          </cell>
        </row>
        <row r="2291">
          <cell r="J2291">
            <v>46154</v>
          </cell>
          <cell r="K2291">
            <v>46181</v>
          </cell>
        </row>
        <row r="2292">
          <cell r="J2292">
            <v>46154</v>
          </cell>
          <cell r="K2292">
            <v>46181</v>
          </cell>
        </row>
        <row r="2293">
          <cell r="J2293">
            <v>46154</v>
          </cell>
          <cell r="K2293">
            <v>46181</v>
          </cell>
        </row>
        <row r="2294">
          <cell r="J2294">
            <v>46154</v>
          </cell>
          <cell r="K2294">
            <v>46181</v>
          </cell>
        </row>
        <row r="2295">
          <cell r="J2295">
            <v>46162</v>
          </cell>
          <cell r="K2295">
            <v>46181</v>
          </cell>
        </row>
        <row r="2296">
          <cell r="J2296">
            <v>46162</v>
          </cell>
          <cell r="K2296">
            <v>46181</v>
          </cell>
        </row>
        <row r="2297">
          <cell r="J2297">
            <v>46162</v>
          </cell>
          <cell r="K2297">
            <v>46181</v>
          </cell>
        </row>
        <row r="2298">
          <cell r="J2298">
            <v>46175</v>
          </cell>
          <cell r="K2298">
            <v>46181</v>
          </cell>
        </row>
        <row r="2299">
          <cell r="J2299">
            <v>46175</v>
          </cell>
          <cell r="K2299">
            <v>46181</v>
          </cell>
        </row>
        <row r="2300">
          <cell r="J2300">
            <v>46185</v>
          </cell>
          <cell r="K2300">
            <v>46211</v>
          </cell>
        </row>
        <row r="2301">
          <cell r="J2301">
            <v>46185</v>
          </cell>
          <cell r="K2301">
            <v>46211</v>
          </cell>
        </row>
        <row r="2302">
          <cell r="J2302">
            <v>46185</v>
          </cell>
          <cell r="K2302">
            <v>46211</v>
          </cell>
        </row>
        <row r="2303">
          <cell r="J2303">
            <v>46189</v>
          </cell>
          <cell r="K2303">
            <v>46213</v>
          </cell>
        </row>
        <row r="2304">
          <cell r="J2304">
            <v>46195</v>
          </cell>
          <cell r="K2304">
            <v>46206</v>
          </cell>
        </row>
        <row r="2305">
          <cell r="J2305">
            <v>46195</v>
          </cell>
          <cell r="K2305">
            <v>46206</v>
          </cell>
        </row>
        <row r="2306">
          <cell r="J2306">
            <v>46195</v>
          </cell>
          <cell r="K2306">
            <v>46206</v>
          </cell>
        </row>
        <row r="2307">
          <cell r="J2307">
            <v>46195</v>
          </cell>
          <cell r="K2307">
            <v>46206</v>
          </cell>
        </row>
        <row r="2308">
          <cell r="J2308">
            <v>46195</v>
          </cell>
          <cell r="K2308">
            <v>46206</v>
          </cell>
        </row>
        <row r="2309">
          <cell r="J2309">
            <v>46195</v>
          </cell>
          <cell r="K2309">
            <v>46206</v>
          </cell>
        </row>
        <row r="2310">
          <cell r="J2310">
            <v>46195</v>
          </cell>
          <cell r="K2310">
            <v>46206</v>
          </cell>
        </row>
        <row r="2311">
          <cell r="J2311">
            <v>46209</v>
          </cell>
          <cell r="K2311">
            <v>46227</v>
          </cell>
        </row>
        <row r="2312">
          <cell r="J2312">
            <v>46209</v>
          </cell>
          <cell r="K2312">
            <v>46227</v>
          </cell>
        </row>
        <row r="2313">
          <cell r="J2313">
            <v>46209</v>
          </cell>
          <cell r="K2313">
            <v>46227</v>
          </cell>
        </row>
        <row r="2314">
          <cell r="J2314">
            <v>46209</v>
          </cell>
          <cell r="K2314">
            <v>46227</v>
          </cell>
        </row>
        <row r="2315">
          <cell r="J2315">
            <v>46223</v>
          </cell>
          <cell r="K2315">
            <v>46238</v>
          </cell>
        </row>
        <row r="2316">
          <cell r="J2316">
            <v>46223</v>
          </cell>
          <cell r="K2316">
            <v>46238</v>
          </cell>
        </row>
        <row r="2317">
          <cell r="J2317">
            <v>46223</v>
          </cell>
          <cell r="K2317">
            <v>46238</v>
          </cell>
        </row>
        <row r="2318">
          <cell r="J2318">
            <v>46223</v>
          </cell>
          <cell r="K2318">
            <v>46238</v>
          </cell>
        </row>
        <row r="2319">
          <cell r="J2319">
            <v>46223</v>
          </cell>
          <cell r="K2319">
            <v>46238</v>
          </cell>
        </row>
        <row r="2320">
          <cell r="J2320">
            <v>46223</v>
          </cell>
          <cell r="K2320">
            <v>46238</v>
          </cell>
        </row>
        <row r="2321">
          <cell r="J2321">
            <v>46223</v>
          </cell>
          <cell r="K2321">
            <v>46238</v>
          </cell>
        </row>
        <row r="2322">
          <cell r="J2322">
            <v>46227</v>
          </cell>
          <cell r="K2322">
            <v>46244</v>
          </cell>
        </row>
        <row r="2323">
          <cell r="J2323">
            <v>46227</v>
          </cell>
          <cell r="K2323">
            <v>46244</v>
          </cell>
        </row>
        <row r="2324">
          <cell r="J2324">
            <v>46227</v>
          </cell>
          <cell r="K2324">
            <v>46244</v>
          </cell>
        </row>
        <row r="2325">
          <cell r="J2325">
            <v>46230</v>
          </cell>
          <cell r="K2325">
            <v>46241</v>
          </cell>
        </row>
        <row r="2326">
          <cell r="J2326">
            <v>46244</v>
          </cell>
          <cell r="K2326">
            <v>46251</v>
          </cell>
        </row>
        <row r="2327">
          <cell r="J2327">
            <v>46244</v>
          </cell>
          <cell r="K2327">
            <v>46251</v>
          </cell>
        </row>
        <row r="2328">
          <cell r="J2328">
            <v>46244</v>
          </cell>
          <cell r="K2328">
            <v>46251</v>
          </cell>
        </row>
        <row r="2329">
          <cell r="J2329">
            <v>46244</v>
          </cell>
          <cell r="K2329">
            <v>46251</v>
          </cell>
        </row>
        <row r="2330">
          <cell r="J2330">
            <v>46244</v>
          </cell>
          <cell r="K2330">
            <v>46251</v>
          </cell>
        </row>
        <row r="2331">
          <cell r="J2331">
            <v>46244</v>
          </cell>
          <cell r="K2331">
            <v>46251</v>
          </cell>
        </row>
        <row r="2332">
          <cell r="J2332">
            <v>46260</v>
          </cell>
          <cell r="K2332">
            <v>46272</v>
          </cell>
        </row>
        <row r="2333">
          <cell r="J2333">
            <v>46260</v>
          </cell>
          <cell r="K2333">
            <v>46272</v>
          </cell>
        </row>
        <row r="2334">
          <cell r="J2334">
            <v>46260</v>
          </cell>
          <cell r="K2334">
            <v>46272</v>
          </cell>
        </row>
        <row r="2335">
          <cell r="J2335">
            <v>46274</v>
          </cell>
          <cell r="K2335">
            <v>46280</v>
          </cell>
        </row>
        <row r="2336">
          <cell r="J2336">
            <v>46274</v>
          </cell>
          <cell r="K2336">
            <v>46280</v>
          </cell>
        </row>
        <row r="2337">
          <cell r="J2337">
            <v>46274</v>
          </cell>
          <cell r="K2337">
            <v>46280</v>
          </cell>
        </row>
        <row r="2338">
          <cell r="J2338">
            <v>46274</v>
          </cell>
          <cell r="K2338">
            <v>46280</v>
          </cell>
        </row>
        <row r="2339">
          <cell r="J2339">
            <v>46274</v>
          </cell>
          <cell r="K2339">
            <v>46280</v>
          </cell>
        </row>
        <row r="2340">
          <cell r="J2340">
            <v>46274</v>
          </cell>
          <cell r="K2340">
            <v>46280</v>
          </cell>
        </row>
        <row r="2341">
          <cell r="J2341">
            <v>46181</v>
          </cell>
          <cell r="K2341">
            <v>46260</v>
          </cell>
        </row>
        <row r="2342">
          <cell r="J2342">
            <v>46178</v>
          </cell>
          <cell r="K2342">
            <v>46206</v>
          </cell>
        </row>
        <row r="2343">
          <cell r="J2343">
            <v>46227</v>
          </cell>
          <cell r="K2343">
            <v>46237</v>
          </cell>
        </row>
        <row r="2344">
          <cell r="J2344">
            <v>46253</v>
          </cell>
          <cell r="K2344">
            <v>46259</v>
          </cell>
        </row>
        <row r="2345">
          <cell r="J2345">
            <v>46204</v>
          </cell>
          <cell r="K2345">
            <v>46260</v>
          </cell>
        </row>
        <row r="2346">
          <cell r="J2346">
            <v>46199</v>
          </cell>
          <cell r="K2346">
            <v>46212</v>
          </cell>
        </row>
        <row r="2347">
          <cell r="J2347">
            <v>46203</v>
          </cell>
          <cell r="K2347">
            <v>46216</v>
          </cell>
        </row>
        <row r="2348">
          <cell r="J2348">
            <v>46203</v>
          </cell>
          <cell r="K2348">
            <v>46216</v>
          </cell>
        </row>
        <row r="2349">
          <cell r="J2349">
            <v>46203</v>
          </cell>
          <cell r="K2349">
            <v>46216</v>
          </cell>
        </row>
        <row r="2350">
          <cell r="J2350">
            <v>46261</v>
          </cell>
          <cell r="K2350">
            <v>46267</v>
          </cell>
        </row>
        <row r="2351">
          <cell r="J2351">
            <v>46261</v>
          </cell>
          <cell r="K2351">
            <v>46267</v>
          </cell>
        </row>
        <row r="2352">
          <cell r="J2352">
            <v>46261</v>
          </cell>
          <cell r="K2352">
            <v>46267</v>
          </cell>
        </row>
        <row r="2353">
          <cell r="J2353">
            <v>46261</v>
          </cell>
          <cell r="K2353">
            <v>46267</v>
          </cell>
        </row>
        <row r="2354">
          <cell r="J2354">
            <v>46233</v>
          </cell>
          <cell r="K2354">
            <v>46259</v>
          </cell>
        </row>
        <row r="2355">
          <cell r="J2355">
            <v>46238</v>
          </cell>
          <cell r="K2355">
            <v>46247</v>
          </cell>
        </row>
        <row r="2356">
          <cell r="J2356">
            <v>46238</v>
          </cell>
          <cell r="K2356">
            <v>46247</v>
          </cell>
        </row>
        <row r="2357">
          <cell r="J2357">
            <v>46238</v>
          </cell>
          <cell r="K2357">
            <v>46247</v>
          </cell>
        </row>
        <row r="2358">
          <cell r="J2358">
            <v>46238</v>
          </cell>
          <cell r="K2358">
            <v>46247</v>
          </cell>
        </row>
        <row r="2359">
          <cell r="J2359">
            <v>46262</v>
          </cell>
          <cell r="K2359">
            <v>46266</v>
          </cell>
        </row>
        <row r="2360">
          <cell r="J2360">
            <v>46262</v>
          </cell>
          <cell r="K2360">
            <v>46266</v>
          </cell>
        </row>
        <row r="2361">
          <cell r="J2361">
            <v>46262</v>
          </cell>
          <cell r="K2361">
            <v>46266</v>
          </cell>
        </row>
        <row r="2362">
          <cell r="J2362">
            <v>46262</v>
          </cell>
          <cell r="K2362">
            <v>46266</v>
          </cell>
        </row>
        <row r="2363">
          <cell r="J2363">
            <v>46111</v>
          </cell>
          <cell r="K2363">
            <v>46322</v>
          </cell>
        </row>
        <row r="2364">
          <cell r="J2364">
            <v>46112</v>
          </cell>
          <cell r="K2364">
            <v>46139</v>
          </cell>
        </row>
        <row r="2365">
          <cell r="J2365">
            <v>46112</v>
          </cell>
          <cell r="K2365">
            <v>46147</v>
          </cell>
        </row>
        <row r="2366">
          <cell r="J2366">
            <v>46112</v>
          </cell>
          <cell r="K2366">
            <v>46139</v>
          </cell>
        </row>
        <row r="2367">
          <cell r="J2367">
            <v>46112</v>
          </cell>
          <cell r="K2367">
            <v>46142</v>
          </cell>
        </row>
        <row r="2368">
          <cell r="J2368">
            <v>46112</v>
          </cell>
          <cell r="K2368">
            <v>46142</v>
          </cell>
        </row>
        <row r="2369">
          <cell r="J2369">
            <v>46112</v>
          </cell>
          <cell r="K2369">
            <v>46142</v>
          </cell>
        </row>
        <row r="2370">
          <cell r="J2370">
            <v>46113</v>
          </cell>
          <cell r="K2370">
            <v>46149</v>
          </cell>
        </row>
        <row r="2371">
          <cell r="J2371">
            <v>46113</v>
          </cell>
          <cell r="K2371">
            <v>46139</v>
          </cell>
        </row>
        <row r="2372">
          <cell r="J2372">
            <v>46113</v>
          </cell>
          <cell r="K2372">
            <v>46139</v>
          </cell>
        </row>
        <row r="2373">
          <cell r="J2373">
            <v>46113</v>
          </cell>
          <cell r="K2373">
            <v>46149</v>
          </cell>
        </row>
        <row r="2374">
          <cell r="J2374">
            <v>46120</v>
          </cell>
          <cell r="K2374">
            <v>46147</v>
          </cell>
        </row>
        <row r="2375">
          <cell r="J2375">
            <v>46120</v>
          </cell>
          <cell r="K2375">
            <v>46147</v>
          </cell>
        </row>
        <row r="2376">
          <cell r="J2376">
            <v>46139</v>
          </cell>
          <cell r="K2376">
            <v>46167</v>
          </cell>
        </row>
        <row r="2377">
          <cell r="J2377">
            <v>46139</v>
          </cell>
          <cell r="K2377">
            <v>46167</v>
          </cell>
        </row>
        <row r="2378">
          <cell r="J2378">
            <v>46139</v>
          </cell>
          <cell r="K2378">
            <v>46167</v>
          </cell>
        </row>
        <row r="2379">
          <cell r="J2379">
            <v>46149</v>
          </cell>
          <cell r="K2379">
            <v>46181</v>
          </cell>
        </row>
        <row r="2380">
          <cell r="J2380">
            <v>46155</v>
          </cell>
          <cell r="K2380">
            <v>46178</v>
          </cell>
        </row>
        <row r="2381">
          <cell r="J2381">
            <v>46156</v>
          </cell>
          <cell r="K2381">
            <v>46169</v>
          </cell>
        </row>
        <row r="2382">
          <cell r="J2382">
            <v>46160</v>
          </cell>
          <cell r="K2382">
            <v>46169</v>
          </cell>
        </row>
        <row r="2383">
          <cell r="J2383">
            <v>46160</v>
          </cell>
          <cell r="K2383">
            <v>46184</v>
          </cell>
        </row>
        <row r="2384">
          <cell r="J2384">
            <v>46162</v>
          </cell>
          <cell r="K2384">
            <v>46188</v>
          </cell>
        </row>
        <row r="2385">
          <cell r="J2385">
            <v>46162</v>
          </cell>
          <cell r="K2385">
            <v>46188</v>
          </cell>
        </row>
        <row r="2386">
          <cell r="J2386">
            <v>46162</v>
          </cell>
          <cell r="K2386">
            <v>46188</v>
          </cell>
        </row>
        <row r="2387">
          <cell r="J2387">
            <v>46163</v>
          </cell>
          <cell r="K2387">
            <v>46184</v>
          </cell>
        </row>
        <row r="2388">
          <cell r="J2388">
            <v>46163</v>
          </cell>
          <cell r="K2388">
            <v>46188</v>
          </cell>
        </row>
        <row r="2389">
          <cell r="J2389">
            <v>46163</v>
          </cell>
          <cell r="K2389">
            <v>46185</v>
          </cell>
        </row>
        <row r="2390">
          <cell r="J2390">
            <v>46163</v>
          </cell>
          <cell r="K2390">
            <v>46188</v>
          </cell>
        </row>
        <row r="2391">
          <cell r="J2391">
            <v>46163</v>
          </cell>
          <cell r="K2391">
            <v>46168</v>
          </cell>
        </row>
        <row r="2392">
          <cell r="J2392">
            <v>46163</v>
          </cell>
          <cell r="K2392">
            <v>46183</v>
          </cell>
        </row>
        <row r="2393">
          <cell r="J2393">
            <v>46163</v>
          </cell>
          <cell r="K2393">
            <v>46190</v>
          </cell>
        </row>
        <row r="2394">
          <cell r="J2394">
            <v>46164</v>
          </cell>
          <cell r="K2394">
            <v>46184</v>
          </cell>
        </row>
        <row r="2395">
          <cell r="J2395">
            <v>46167</v>
          </cell>
          <cell r="K2395">
            <v>46183</v>
          </cell>
        </row>
        <row r="2396">
          <cell r="J2396">
            <v>46175</v>
          </cell>
          <cell r="K2396">
            <v>46184</v>
          </cell>
        </row>
        <row r="2397">
          <cell r="J2397">
            <v>46181</v>
          </cell>
          <cell r="K2397">
            <v>46202</v>
          </cell>
        </row>
        <row r="2398">
          <cell r="J2398">
            <v>46185</v>
          </cell>
          <cell r="K2398">
            <v>46206</v>
          </cell>
        </row>
        <row r="2399">
          <cell r="J2399">
            <v>46185</v>
          </cell>
          <cell r="K2399">
            <v>46206</v>
          </cell>
        </row>
        <row r="2400">
          <cell r="J2400">
            <v>46185</v>
          </cell>
          <cell r="K2400">
            <v>46206</v>
          </cell>
        </row>
        <row r="2401">
          <cell r="J2401">
            <v>46188</v>
          </cell>
          <cell r="K2401">
            <v>46206</v>
          </cell>
        </row>
        <row r="2402">
          <cell r="J2402">
            <v>46188</v>
          </cell>
          <cell r="K2402">
            <v>46206</v>
          </cell>
        </row>
        <row r="2403">
          <cell r="J2403">
            <v>46188</v>
          </cell>
          <cell r="K2403">
            <v>46206</v>
          </cell>
        </row>
        <row r="2404">
          <cell r="J2404">
            <v>46188</v>
          </cell>
          <cell r="K2404">
            <v>46206</v>
          </cell>
        </row>
        <row r="2405">
          <cell r="J2405">
            <v>46188</v>
          </cell>
          <cell r="K2405">
            <v>46206</v>
          </cell>
        </row>
        <row r="2406">
          <cell r="J2406">
            <v>46188</v>
          </cell>
          <cell r="K2406">
            <v>46206</v>
          </cell>
        </row>
        <row r="2407">
          <cell r="J2407">
            <v>46188</v>
          </cell>
          <cell r="K2407">
            <v>46206</v>
          </cell>
        </row>
        <row r="2408">
          <cell r="J2408">
            <v>46188</v>
          </cell>
          <cell r="K2408">
            <v>46206</v>
          </cell>
        </row>
        <row r="2409">
          <cell r="J2409">
            <v>46188</v>
          </cell>
          <cell r="K2409">
            <v>46206</v>
          </cell>
        </row>
        <row r="2410">
          <cell r="J2410">
            <v>46188</v>
          </cell>
          <cell r="K2410">
            <v>46206</v>
          </cell>
        </row>
        <row r="2411">
          <cell r="J2411">
            <v>46188</v>
          </cell>
          <cell r="K2411">
            <v>46206</v>
          </cell>
        </row>
        <row r="2412">
          <cell r="J2412">
            <v>46188</v>
          </cell>
          <cell r="K2412">
            <v>46206</v>
          </cell>
        </row>
        <row r="2413">
          <cell r="J2413">
            <v>46188</v>
          </cell>
          <cell r="K2413">
            <v>46206</v>
          </cell>
        </row>
        <row r="2414">
          <cell r="J2414">
            <v>46199</v>
          </cell>
          <cell r="K2414">
            <v>46227</v>
          </cell>
        </row>
        <row r="2415">
          <cell r="J2415">
            <v>46202</v>
          </cell>
          <cell r="K2415">
            <v>46213</v>
          </cell>
        </row>
        <row r="2416">
          <cell r="J2416">
            <v>46209</v>
          </cell>
          <cell r="K2416">
            <v>46227</v>
          </cell>
        </row>
        <row r="2417">
          <cell r="J2417">
            <v>46209</v>
          </cell>
          <cell r="K2417">
            <v>46227</v>
          </cell>
        </row>
        <row r="2418">
          <cell r="J2418">
            <v>46209</v>
          </cell>
          <cell r="K2418">
            <v>46220</v>
          </cell>
        </row>
        <row r="2419">
          <cell r="J2419">
            <v>46209</v>
          </cell>
          <cell r="K2419">
            <v>46220</v>
          </cell>
        </row>
        <row r="2420">
          <cell r="J2420">
            <v>46209</v>
          </cell>
          <cell r="K2420">
            <v>46220</v>
          </cell>
        </row>
        <row r="2421">
          <cell r="J2421">
            <v>46212</v>
          </cell>
          <cell r="K2421">
            <v>46234</v>
          </cell>
        </row>
        <row r="2422">
          <cell r="J2422">
            <v>46212</v>
          </cell>
          <cell r="K2422">
            <v>46234</v>
          </cell>
        </row>
        <row r="2423">
          <cell r="J2423">
            <v>46212</v>
          </cell>
          <cell r="K2423">
            <v>46234</v>
          </cell>
        </row>
        <row r="2424">
          <cell r="J2424">
            <v>46213</v>
          </cell>
          <cell r="K2424">
            <v>46219</v>
          </cell>
        </row>
        <row r="2425">
          <cell r="J2425">
            <v>46213</v>
          </cell>
          <cell r="K2425">
            <v>46219</v>
          </cell>
        </row>
        <row r="2426">
          <cell r="J2426">
            <v>46216</v>
          </cell>
          <cell r="K2426">
            <v>46227</v>
          </cell>
        </row>
        <row r="2427">
          <cell r="J2427">
            <v>46216</v>
          </cell>
          <cell r="K2427">
            <v>46227</v>
          </cell>
        </row>
        <row r="2428">
          <cell r="J2428">
            <v>46223</v>
          </cell>
          <cell r="K2428">
            <v>46238</v>
          </cell>
        </row>
        <row r="2429">
          <cell r="J2429">
            <v>46223</v>
          </cell>
          <cell r="K2429">
            <v>46238</v>
          </cell>
        </row>
        <row r="2430">
          <cell r="J2430">
            <v>46223</v>
          </cell>
          <cell r="K2430">
            <v>46238</v>
          </cell>
        </row>
        <row r="2431">
          <cell r="J2431">
            <v>46223</v>
          </cell>
          <cell r="K2431">
            <v>46238</v>
          </cell>
        </row>
        <row r="2432">
          <cell r="J2432">
            <v>46223</v>
          </cell>
          <cell r="K2432">
            <v>46238</v>
          </cell>
        </row>
        <row r="2433">
          <cell r="J2433">
            <v>46223</v>
          </cell>
          <cell r="K2433">
            <v>46238</v>
          </cell>
        </row>
        <row r="2434">
          <cell r="J2434">
            <v>46223</v>
          </cell>
          <cell r="K2434">
            <v>46238</v>
          </cell>
        </row>
        <row r="2435">
          <cell r="J2435">
            <v>46223</v>
          </cell>
          <cell r="K2435">
            <v>46238</v>
          </cell>
        </row>
        <row r="2436">
          <cell r="J2436">
            <v>46223</v>
          </cell>
          <cell r="K2436">
            <v>46238</v>
          </cell>
        </row>
        <row r="2437">
          <cell r="J2437">
            <v>46223</v>
          </cell>
          <cell r="K2437">
            <v>46238</v>
          </cell>
        </row>
        <row r="2438">
          <cell r="J2438">
            <v>46223</v>
          </cell>
          <cell r="K2438">
            <v>46238</v>
          </cell>
        </row>
        <row r="2439">
          <cell r="J2439">
            <v>46223</v>
          </cell>
          <cell r="K2439">
            <v>46238</v>
          </cell>
        </row>
        <row r="2440">
          <cell r="J2440">
            <v>46223</v>
          </cell>
          <cell r="K2440">
            <v>46238</v>
          </cell>
        </row>
        <row r="2441">
          <cell r="J2441">
            <v>46230</v>
          </cell>
          <cell r="K2441">
            <v>46238</v>
          </cell>
        </row>
        <row r="2442">
          <cell r="J2442">
            <v>46230</v>
          </cell>
          <cell r="K2442">
            <v>46245</v>
          </cell>
        </row>
        <row r="2443">
          <cell r="J2443">
            <v>46239</v>
          </cell>
          <cell r="K2443">
            <v>46253</v>
          </cell>
        </row>
        <row r="2444">
          <cell r="J2444">
            <v>46239</v>
          </cell>
          <cell r="K2444">
            <v>46253</v>
          </cell>
        </row>
        <row r="2445">
          <cell r="J2445">
            <v>46239</v>
          </cell>
          <cell r="K2445">
            <v>46253</v>
          </cell>
        </row>
        <row r="2446">
          <cell r="J2446">
            <v>46240</v>
          </cell>
          <cell r="K2446">
            <v>46261</v>
          </cell>
        </row>
        <row r="2447">
          <cell r="J2447">
            <v>46247</v>
          </cell>
          <cell r="K2447">
            <v>46253</v>
          </cell>
        </row>
        <row r="2448">
          <cell r="J2448">
            <v>46254</v>
          </cell>
          <cell r="K2448">
            <v>46260</v>
          </cell>
        </row>
        <row r="2449">
          <cell r="J2449">
            <v>46254</v>
          </cell>
          <cell r="K2449">
            <v>46260</v>
          </cell>
        </row>
        <row r="2450">
          <cell r="J2450">
            <v>46254</v>
          </cell>
          <cell r="K2450">
            <v>46260</v>
          </cell>
        </row>
        <row r="2451">
          <cell r="J2451">
            <v>46254</v>
          </cell>
          <cell r="K2451">
            <v>46267</v>
          </cell>
        </row>
        <row r="2452">
          <cell r="J2452">
            <v>46254</v>
          </cell>
          <cell r="K2452">
            <v>46267</v>
          </cell>
        </row>
        <row r="2453">
          <cell r="J2453">
            <v>46254</v>
          </cell>
          <cell r="K2453">
            <v>46267</v>
          </cell>
        </row>
        <row r="2454">
          <cell r="J2454">
            <v>46254</v>
          </cell>
          <cell r="K2454">
            <v>46267</v>
          </cell>
        </row>
        <row r="2455">
          <cell r="J2455">
            <v>46254</v>
          </cell>
          <cell r="K2455">
            <v>46267</v>
          </cell>
        </row>
        <row r="2456">
          <cell r="J2456">
            <v>46254</v>
          </cell>
          <cell r="K2456">
            <v>46267</v>
          </cell>
        </row>
        <row r="2457">
          <cell r="J2457">
            <v>46254</v>
          </cell>
          <cell r="K2457">
            <v>46260</v>
          </cell>
        </row>
        <row r="2458">
          <cell r="J2458">
            <v>46255</v>
          </cell>
          <cell r="K2458">
            <v>46268</v>
          </cell>
        </row>
        <row r="2459">
          <cell r="J2459">
            <v>46261</v>
          </cell>
          <cell r="K2459">
            <v>46267</v>
          </cell>
        </row>
        <row r="2460">
          <cell r="J2460">
            <v>46261</v>
          </cell>
          <cell r="K2460">
            <v>46274</v>
          </cell>
        </row>
        <row r="2461">
          <cell r="J2461">
            <v>46275</v>
          </cell>
          <cell r="K2461">
            <v>46288</v>
          </cell>
        </row>
        <row r="2462">
          <cell r="J2462">
            <v>46275</v>
          </cell>
          <cell r="K2462">
            <v>46288</v>
          </cell>
        </row>
        <row r="2463">
          <cell r="J2463">
            <v>46275</v>
          </cell>
          <cell r="K2463">
            <v>46288</v>
          </cell>
        </row>
        <row r="2464">
          <cell r="J2464">
            <v>46276</v>
          </cell>
          <cell r="K2464">
            <v>46289</v>
          </cell>
        </row>
        <row r="2465">
          <cell r="J2465">
            <v>46280</v>
          </cell>
          <cell r="K2465">
            <v>46293</v>
          </cell>
        </row>
        <row r="2466">
          <cell r="J2466">
            <v>46280</v>
          </cell>
          <cell r="K2466">
            <v>46293</v>
          </cell>
        </row>
        <row r="2467">
          <cell r="J2467">
            <v>46280</v>
          </cell>
          <cell r="K2467">
            <v>46293</v>
          </cell>
        </row>
        <row r="2468">
          <cell r="J2468">
            <v>46289</v>
          </cell>
          <cell r="K2468">
            <v>46302</v>
          </cell>
        </row>
        <row r="2469">
          <cell r="J2469">
            <v>46304</v>
          </cell>
          <cell r="K2469">
            <v>46321</v>
          </cell>
        </row>
        <row r="2470">
          <cell r="J2470">
            <v>46311</v>
          </cell>
          <cell r="K2470">
            <v>46325</v>
          </cell>
        </row>
        <row r="2471">
          <cell r="J2471">
            <v>46112</v>
          </cell>
          <cell r="K2471">
            <v>46310</v>
          </cell>
        </row>
        <row r="2472">
          <cell r="J2472">
            <v>46112</v>
          </cell>
          <cell r="K2472">
            <v>46139</v>
          </cell>
        </row>
        <row r="2473">
          <cell r="J2473">
            <v>46112</v>
          </cell>
          <cell r="K2473">
            <v>46139</v>
          </cell>
        </row>
        <row r="2474">
          <cell r="J2474">
            <v>46120</v>
          </cell>
          <cell r="K2474">
            <v>46139</v>
          </cell>
        </row>
        <row r="2475">
          <cell r="J2475">
            <v>46121</v>
          </cell>
          <cell r="K2475">
            <v>46150</v>
          </cell>
        </row>
        <row r="2476">
          <cell r="J2476">
            <v>46160</v>
          </cell>
          <cell r="K2476">
            <v>46170</v>
          </cell>
        </row>
        <row r="2477">
          <cell r="J2477">
            <v>46160</v>
          </cell>
          <cell r="K2477">
            <v>46171</v>
          </cell>
        </row>
        <row r="2478">
          <cell r="J2478">
            <v>46160</v>
          </cell>
          <cell r="K2478">
            <v>46170</v>
          </cell>
        </row>
        <row r="2479">
          <cell r="J2479">
            <v>46167</v>
          </cell>
          <cell r="K2479">
            <v>46178</v>
          </cell>
        </row>
        <row r="2480">
          <cell r="J2480">
            <v>46195</v>
          </cell>
          <cell r="K2480">
            <v>46199</v>
          </cell>
        </row>
        <row r="2481">
          <cell r="J2481">
            <v>46195</v>
          </cell>
          <cell r="K2481">
            <v>46199</v>
          </cell>
        </row>
        <row r="2482">
          <cell r="J2482">
            <v>46195</v>
          </cell>
          <cell r="K2482">
            <v>46199</v>
          </cell>
        </row>
        <row r="2483">
          <cell r="J2483">
            <v>46199</v>
          </cell>
          <cell r="K2483">
            <v>46219</v>
          </cell>
        </row>
        <row r="2484">
          <cell r="J2484">
            <v>46199</v>
          </cell>
          <cell r="K2484">
            <v>46219</v>
          </cell>
        </row>
        <row r="2485">
          <cell r="J2485">
            <v>46212</v>
          </cell>
          <cell r="K2485">
            <v>46218</v>
          </cell>
        </row>
        <row r="2486">
          <cell r="J2486">
            <v>46216</v>
          </cell>
          <cell r="K2486">
            <v>46238</v>
          </cell>
        </row>
        <row r="2487">
          <cell r="J2487">
            <v>46216</v>
          </cell>
          <cell r="K2487">
            <v>46238</v>
          </cell>
        </row>
        <row r="2488">
          <cell r="J2488">
            <v>46216</v>
          </cell>
          <cell r="K2488">
            <v>46238</v>
          </cell>
        </row>
        <row r="2489">
          <cell r="J2489">
            <v>46238</v>
          </cell>
          <cell r="K2489">
            <v>46244</v>
          </cell>
        </row>
        <row r="2490">
          <cell r="J2490">
            <v>46247</v>
          </cell>
          <cell r="K2490">
            <v>46267</v>
          </cell>
        </row>
        <row r="2491">
          <cell r="J2491">
            <v>46254</v>
          </cell>
          <cell r="K2491">
            <v>46267</v>
          </cell>
        </row>
        <row r="2492">
          <cell r="J2492">
            <v>46254</v>
          </cell>
          <cell r="K2492">
            <v>46267</v>
          </cell>
        </row>
        <row r="2493">
          <cell r="J2493">
            <v>46254</v>
          </cell>
          <cell r="K2493">
            <v>46267</v>
          </cell>
        </row>
        <row r="2494">
          <cell r="J2494">
            <v>46262</v>
          </cell>
          <cell r="K2494">
            <v>46268</v>
          </cell>
        </row>
        <row r="2495">
          <cell r="J2495">
            <v>46282</v>
          </cell>
          <cell r="K2495">
            <v>46295</v>
          </cell>
        </row>
        <row r="2496">
          <cell r="J2496">
            <v>46282</v>
          </cell>
          <cell r="K2496">
            <v>46295</v>
          </cell>
        </row>
        <row r="2497">
          <cell r="J2497">
            <v>46282</v>
          </cell>
          <cell r="K2497">
            <v>46295</v>
          </cell>
        </row>
        <row r="2498">
          <cell r="J2498">
            <v>46296</v>
          </cell>
          <cell r="K2498">
            <v>46302</v>
          </cell>
        </row>
        <row r="2499">
          <cell r="J2499">
            <v>46296</v>
          </cell>
          <cell r="K2499">
            <v>46302</v>
          </cell>
        </row>
        <row r="2500">
          <cell r="J2500">
            <v>46111</v>
          </cell>
          <cell r="K2500">
            <v>46322</v>
          </cell>
        </row>
        <row r="2501">
          <cell r="J2501">
            <v>46112</v>
          </cell>
          <cell r="K2501">
            <v>46139</v>
          </cell>
        </row>
        <row r="2502">
          <cell r="J2502">
            <v>46112</v>
          </cell>
          <cell r="K2502">
            <v>46139</v>
          </cell>
        </row>
        <row r="2503">
          <cell r="J2503">
            <v>46120</v>
          </cell>
          <cell r="K2503">
            <v>46139</v>
          </cell>
        </row>
        <row r="2504">
          <cell r="J2504">
            <v>46121</v>
          </cell>
          <cell r="K2504">
            <v>46150</v>
          </cell>
        </row>
        <row r="2505">
          <cell r="J2505">
            <v>46212</v>
          </cell>
          <cell r="K2505">
            <v>46225</v>
          </cell>
        </row>
        <row r="2506">
          <cell r="J2506">
            <v>46217</v>
          </cell>
          <cell r="K2506">
            <v>46223</v>
          </cell>
        </row>
        <row r="2507">
          <cell r="J2507">
            <v>46217</v>
          </cell>
          <cell r="K2507">
            <v>46223</v>
          </cell>
        </row>
        <row r="2508">
          <cell r="J2508">
            <v>46217</v>
          </cell>
          <cell r="K2508">
            <v>46223</v>
          </cell>
        </row>
        <row r="2509">
          <cell r="J2509">
            <v>46220</v>
          </cell>
          <cell r="K2509">
            <v>46237</v>
          </cell>
        </row>
        <row r="2510">
          <cell r="J2510">
            <v>46223</v>
          </cell>
          <cell r="K2510">
            <v>46238</v>
          </cell>
        </row>
        <row r="2511">
          <cell r="J2511">
            <v>46238</v>
          </cell>
          <cell r="K2511">
            <v>46244</v>
          </cell>
        </row>
        <row r="2512">
          <cell r="J2512">
            <v>46258</v>
          </cell>
          <cell r="K2512">
            <v>46269</v>
          </cell>
        </row>
        <row r="2513">
          <cell r="J2513">
            <v>46283</v>
          </cell>
          <cell r="K2513">
            <v>46289</v>
          </cell>
        </row>
        <row r="2514">
          <cell r="J2514">
            <v>46304</v>
          </cell>
          <cell r="K2514">
            <v>46311</v>
          </cell>
        </row>
        <row r="2515">
          <cell r="J2515">
            <v>46322</v>
          </cell>
          <cell r="K2515">
            <v>46328</v>
          </cell>
        </row>
        <row r="2516">
          <cell r="J2516">
            <v>46322</v>
          </cell>
          <cell r="K2516">
            <v>46328</v>
          </cell>
        </row>
        <row r="2517">
          <cell r="J2517">
            <v>46167</v>
          </cell>
          <cell r="K2517">
            <v>46307</v>
          </cell>
        </row>
        <row r="2518">
          <cell r="J2518">
            <v>46167</v>
          </cell>
          <cell r="K2518">
            <v>46199</v>
          </cell>
        </row>
        <row r="2519">
          <cell r="J2519">
            <v>46167</v>
          </cell>
          <cell r="K2519">
            <v>46199</v>
          </cell>
        </row>
        <row r="2520">
          <cell r="J2520">
            <v>46167</v>
          </cell>
          <cell r="K2520">
            <v>46199</v>
          </cell>
        </row>
        <row r="2521">
          <cell r="J2521">
            <v>46175</v>
          </cell>
          <cell r="K2521">
            <v>46218</v>
          </cell>
        </row>
        <row r="2522">
          <cell r="J2522">
            <v>46216</v>
          </cell>
          <cell r="K2522">
            <v>46220</v>
          </cell>
        </row>
        <row r="2523">
          <cell r="J2523">
            <v>46216</v>
          </cell>
          <cell r="K2523">
            <v>46220</v>
          </cell>
        </row>
        <row r="2524">
          <cell r="J2524">
            <v>46216</v>
          </cell>
          <cell r="K2524">
            <v>46220</v>
          </cell>
        </row>
        <row r="2525">
          <cell r="J2525">
            <v>46237</v>
          </cell>
          <cell r="K2525">
            <v>46241</v>
          </cell>
        </row>
        <row r="2526">
          <cell r="J2526">
            <v>46254</v>
          </cell>
          <cell r="K2526">
            <v>46281</v>
          </cell>
        </row>
        <row r="2527">
          <cell r="J2527">
            <v>46260</v>
          </cell>
          <cell r="K2527">
            <v>46268</v>
          </cell>
        </row>
        <row r="2528">
          <cell r="J2528">
            <v>46287</v>
          </cell>
          <cell r="K2528">
            <v>46289</v>
          </cell>
        </row>
        <row r="2529">
          <cell r="J2529">
            <v>46294</v>
          </cell>
          <cell r="K2529">
            <v>46302</v>
          </cell>
        </row>
        <row r="2530">
          <cell r="J2530">
            <v>46294</v>
          </cell>
          <cell r="K2530">
            <v>46302</v>
          </cell>
        </row>
        <row r="2531">
          <cell r="J2531">
            <v>46296</v>
          </cell>
          <cell r="K2531">
            <v>46302</v>
          </cell>
        </row>
        <row r="2532">
          <cell r="J2532">
            <v>46323</v>
          </cell>
          <cell r="K2532">
            <v>46325</v>
          </cell>
        </row>
        <row r="2533">
          <cell r="J2533">
            <v>46323</v>
          </cell>
          <cell r="K2533">
            <v>46325</v>
          </cell>
        </row>
        <row r="2534">
          <cell r="J2534">
            <v>46091</v>
          </cell>
          <cell r="K2534">
            <v>46394</v>
          </cell>
        </row>
        <row r="2535">
          <cell r="J2535">
            <v>46091</v>
          </cell>
          <cell r="K2535">
            <v>46107</v>
          </cell>
        </row>
        <row r="2536">
          <cell r="J2536">
            <v>46097</v>
          </cell>
          <cell r="K2536">
            <v>46139</v>
          </cell>
        </row>
        <row r="2537">
          <cell r="J2537">
            <v>46097</v>
          </cell>
          <cell r="K2537">
            <v>46139</v>
          </cell>
        </row>
        <row r="2538">
          <cell r="J2538">
            <v>46098</v>
          </cell>
          <cell r="K2538">
            <v>46139</v>
          </cell>
        </row>
        <row r="2539">
          <cell r="J2539">
            <v>46098</v>
          </cell>
          <cell r="K2539">
            <v>46139</v>
          </cell>
        </row>
        <row r="2540">
          <cell r="J2540">
            <v>46104</v>
          </cell>
          <cell r="K2540">
            <v>46139</v>
          </cell>
        </row>
        <row r="2541">
          <cell r="J2541">
            <v>46104</v>
          </cell>
          <cell r="K2541">
            <v>46139</v>
          </cell>
        </row>
        <row r="2542">
          <cell r="J2542">
            <v>46120</v>
          </cell>
          <cell r="K2542">
            <v>46142</v>
          </cell>
        </row>
        <row r="2543">
          <cell r="J2543">
            <v>46120</v>
          </cell>
          <cell r="K2543">
            <v>46142</v>
          </cell>
        </row>
        <row r="2544">
          <cell r="J2544">
            <v>46121</v>
          </cell>
          <cell r="K2544">
            <v>46148</v>
          </cell>
        </row>
        <row r="2545">
          <cell r="J2545">
            <v>46121</v>
          </cell>
          <cell r="K2545">
            <v>46148</v>
          </cell>
        </row>
        <row r="2546">
          <cell r="J2546">
            <v>46129</v>
          </cell>
          <cell r="K2546">
            <v>46150</v>
          </cell>
        </row>
        <row r="2547">
          <cell r="J2547">
            <v>46129</v>
          </cell>
          <cell r="K2547">
            <v>46148</v>
          </cell>
        </row>
        <row r="2548">
          <cell r="J2548">
            <v>46129</v>
          </cell>
          <cell r="K2548">
            <v>46148</v>
          </cell>
        </row>
        <row r="2549">
          <cell r="J2549">
            <v>46132</v>
          </cell>
          <cell r="K2549">
            <v>46150</v>
          </cell>
        </row>
        <row r="2550">
          <cell r="J2550">
            <v>46132</v>
          </cell>
          <cell r="K2550">
            <v>46150</v>
          </cell>
        </row>
        <row r="2551">
          <cell r="J2551">
            <v>46132</v>
          </cell>
          <cell r="K2551">
            <v>46150</v>
          </cell>
        </row>
        <row r="2552">
          <cell r="J2552">
            <v>46140</v>
          </cell>
          <cell r="K2552">
            <v>46163</v>
          </cell>
        </row>
        <row r="2553">
          <cell r="J2553">
            <v>46140</v>
          </cell>
          <cell r="K2553">
            <v>46167</v>
          </cell>
        </row>
        <row r="2554">
          <cell r="J2554">
            <v>46153</v>
          </cell>
          <cell r="K2554">
            <v>46163</v>
          </cell>
        </row>
        <row r="2555">
          <cell r="J2555">
            <v>46155</v>
          </cell>
          <cell r="K2555">
            <v>46171</v>
          </cell>
        </row>
        <row r="2556">
          <cell r="J2556">
            <v>46155</v>
          </cell>
          <cell r="K2556">
            <v>46177</v>
          </cell>
        </row>
        <row r="2557">
          <cell r="J2557">
            <v>46155</v>
          </cell>
          <cell r="K2557">
            <v>46171</v>
          </cell>
        </row>
        <row r="2558">
          <cell r="J2558">
            <v>46155</v>
          </cell>
          <cell r="K2558">
            <v>46178</v>
          </cell>
        </row>
        <row r="2559">
          <cell r="J2559">
            <v>46155</v>
          </cell>
          <cell r="K2559">
            <v>46178</v>
          </cell>
        </row>
        <row r="2560">
          <cell r="J2560">
            <v>46156</v>
          </cell>
          <cell r="K2560">
            <v>46161</v>
          </cell>
        </row>
        <row r="2561">
          <cell r="J2561">
            <v>46156</v>
          </cell>
          <cell r="K2561">
            <v>46171</v>
          </cell>
        </row>
        <row r="2562">
          <cell r="J2562">
            <v>46163</v>
          </cell>
          <cell r="K2562">
            <v>46188</v>
          </cell>
        </row>
        <row r="2563">
          <cell r="J2563">
            <v>46163</v>
          </cell>
          <cell r="K2563">
            <v>46185</v>
          </cell>
        </row>
        <row r="2564">
          <cell r="J2564">
            <v>46163</v>
          </cell>
          <cell r="K2564">
            <v>46185</v>
          </cell>
        </row>
        <row r="2565">
          <cell r="J2565">
            <v>46163</v>
          </cell>
          <cell r="K2565">
            <v>46182</v>
          </cell>
        </row>
        <row r="2566">
          <cell r="J2566">
            <v>46163</v>
          </cell>
          <cell r="K2566">
            <v>46188</v>
          </cell>
        </row>
        <row r="2567">
          <cell r="J2567">
            <v>46163</v>
          </cell>
          <cell r="K2567">
            <v>46185</v>
          </cell>
        </row>
        <row r="2568">
          <cell r="J2568">
            <v>46164</v>
          </cell>
          <cell r="K2568">
            <v>46185</v>
          </cell>
        </row>
        <row r="2569">
          <cell r="J2569">
            <v>46164</v>
          </cell>
          <cell r="K2569">
            <v>46183</v>
          </cell>
        </row>
        <row r="2570">
          <cell r="J2570">
            <v>46167</v>
          </cell>
          <cell r="K2570">
            <v>46188</v>
          </cell>
        </row>
        <row r="2571">
          <cell r="J2571">
            <v>46167</v>
          </cell>
          <cell r="K2571">
            <v>46184</v>
          </cell>
        </row>
        <row r="2572">
          <cell r="J2572">
            <v>46167</v>
          </cell>
          <cell r="K2572">
            <v>46178</v>
          </cell>
        </row>
        <row r="2573">
          <cell r="J2573">
            <v>46167</v>
          </cell>
          <cell r="K2573">
            <v>46178</v>
          </cell>
        </row>
        <row r="2574">
          <cell r="J2574">
            <v>46167</v>
          </cell>
          <cell r="K2574">
            <v>46188</v>
          </cell>
        </row>
        <row r="2575">
          <cell r="J2575">
            <v>46181</v>
          </cell>
          <cell r="K2575">
            <v>46198</v>
          </cell>
        </row>
        <row r="2576">
          <cell r="J2576">
            <v>46185</v>
          </cell>
          <cell r="K2576">
            <v>46192</v>
          </cell>
        </row>
        <row r="2577">
          <cell r="J2577">
            <v>46185</v>
          </cell>
          <cell r="K2577">
            <v>46192</v>
          </cell>
        </row>
        <row r="2578">
          <cell r="J2578">
            <v>46188</v>
          </cell>
          <cell r="K2578">
            <v>46206</v>
          </cell>
        </row>
        <row r="2579">
          <cell r="J2579">
            <v>46188</v>
          </cell>
          <cell r="K2579">
            <v>46206</v>
          </cell>
        </row>
        <row r="2580">
          <cell r="J2580">
            <v>46188</v>
          </cell>
          <cell r="K2580">
            <v>46206</v>
          </cell>
        </row>
        <row r="2581">
          <cell r="J2581">
            <v>46188</v>
          </cell>
          <cell r="K2581">
            <v>46198</v>
          </cell>
        </row>
        <row r="2582">
          <cell r="J2582">
            <v>46196</v>
          </cell>
          <cell r="K2582">
            <v>46206</v>
          </cell>
        </row>
        <row r="2583">
          <cell r="J2583">
            <v>46199</v>
          </cell>
          <cell r="K2583">
            <v>46212</v>
          </cell>
        </row>
        <row r="2584">
          <cell r="J2584">
            <v>46202</v>
          </cell>
          <cell r="K2584">
            <v>46213</v>
          </cell>
        </row>
        <row r="2585">
          <cell r="J2585">
            <v>46202</v>
          </cell>
          <cell r="K2585">
            <v>46213</v>
          </cell>
        </row>
        <row r="2586">
          <cell r="J2586">
            <v>46203</v>
          </cell>
          <cell r="K2586">
            <v>46223</v>
          </cell>
        </row>
        <row r="2587">
          <cell r="J2587">
            <v>46209</v>
          </cell>
          <cell r="K2587">
            <v>46245</v>
          </cell>
        </row>
        <row r="2588">
          <cell r="J2588">
            <v>46209</v>
          </cell>
          <cell r="K2588">
            <v>46227</v>
          </cell>
        </row>
        <row r="2589">
          <cell r="J2589">
            <v>46209</v>
          </cell>
          <cell r="K2589">
            <v>46227</v>
          </cell>
        </row>
        <row r="2590">
          <cell r="J2590">
            <v>46209</v>
          </cell>
          <cell r="K2590">
            <v>46227</v>
          </cell>
        </row>
        <row r="2591">
          <cell r="J2591">
            <v>46216</v>
          </cell>
          <cell r="K2591">
            <v>46227</v>
          </cell>
        </row>
        <row r="2592">
          <cell r="J2592">
            <v>46223</v>
          </cell>
          <cell r="K2592">
            <v>46238</v>
          </cell>
        </row>
        <row r="2593">
          <cell r="J2593">
            <v>46223</v>
          </cell>
          <cell r="K2593">
            <v>46238</v>
          </cell>
        </row>
        <row r="2594">
          <cell r="J2594">
            <v>46223</v>
          </cell>
          <cell r="K2594">
            <v>46238</v>
          </cell>
        </row>
        <row r="2595">
          <cell r="J2595">
            <v>46223</v>
          </cell>
          <cell r="K2595">
            <v>46238</v>
          </cell>
        </row>
        <row r="2596">
          <cell r="J2596">
            <v>46225</v>
          </cell>
          <cell r="K2596">
            <v>46240</v>
          </cell>
        </row>
        <row r="2597">
          <cell r="J2597">
            <v>46225</v>
          </cell>
          <cell r="K2597">
            <v>46240</v>
          </cell>
        </row>
        <row r="2598">
          <cell r="J2598">
            <v>46227</v>
          </cell>
          <cell r="K2598">
            <v>46266</v>
          </cell>
        </row>
        <row r="2599">
          <cell r="J2599">
            <v>46227</v>
          </cell>
          <cell r="K2599">
            <v>46237</v>
          </cell>
        </row>
        <row r="2600">
          <cell r="J2600">
            <v>46230</v>
          </cell>
          <cell r="K2600">
            <v>46253</v>
          </cell>
        </row>
        <row r="2601">
          <cell r="J2601">
            <v>46238</v>
          </cell>
          <cell r="K2601">
            <v>46259</v>
          </cell>
        </row>
        <row r="2602">
          <cell r="J2602">
            <v>46239</v>
          </cell>
          <cell r="K2602">
            <v>46245</v>
          </cell>
        </row>
        <row r="2603">
          <cell r="J2603">
            <v>46239</v>
          </cell>
          <cell r="K2603">
            <v>46245</v>
          </cell>
        </row>
        <row r="2604">
          <cell r="J2604">
            <v>46247</v>
          </cell>
          <cell r="K2604">
            <v>46253</v>
          </cell>
        </row>
        <row r="2605">
          <cell r="J2605">
            <v>46254</v>
          </cell>
          <cell r="K2605">
            <v>46274</v>
          </cell>
        </row>
        <row r="2606">
          <cell r="J2606">
            <v>46254</v>
          </cell>
          <cell r="K2606">
            <v>46260</v>
          </cell>
        </row>
        <row r="2607">
          <cell r="J2607">
            <v>46265</v>
          </cell>
          <cell r="K2607">
            <v>46276</v>
          </cell>
        </row>
        <row r="2608">
          <cell r="J2608">
            <v>46272</v>
          </cell>
          <cell r="K2608">
            <v>46290</v>
          </cell>
        </row>
        <row r="2609">
          <cell r="J2609">
            <v>46275</v>
          </cell>
          <cell r="K2609">
            <v>46295</v>
          </cell>
        </row>
        <row r="2610">
          <cell r="J2610">
            <v>46279</v>
          </cell>
          <cell r="K2610">
            <v>46290</v>
          </cell>
        </row>
        <row r="2611">
          <cell r="J2611">
            <v>46279</v>
          </cell>
          <cell r="K2611">
            <v>46290</v>
          </cell>
        </row>
        <row r="2612">
          <cell r="J2612">
            <v>46286</v>
          </cell>
          <cell r="K2612">
            <v>46314</v>
          </cell>
        </row>
        <row r="2613">
          <cell r="J2613">
            <v>46287</v>
          </cell>
          <cell r="K2613">
            <v>46300</v>
          </cell>
        </row>
        <row r="2614">
          <cell r="J2614">
            <v>46289</v>
          </cell>
          <cell r="K2614">
            <v>46302</v>
          </cell>
        </row>
        <row r="2615">
          <cell r="J2615">
            <v>46293</v>
          </cell>
          <cell r="K2615">
            <v>46304</v>
          </cell>
        </row>
        <row r="2616">
          <cell r="J2616">
            <v>46293</v>
          </cell>
          <cell r="K2616">
            <v>46304</v>
          </cell>
        </row>
        <row r="2617">
          <cell r="J2617">
            <v>46296</v>
          </cell>
          <cell r="K2617">
            <v>46325</v>
          </cell>
        </row>
        <row r="2618">
          <cell r="J2618">
            <v>46301</v>
          </cell>
          <cell r="K2618">
            <v>46323</v>
          </cell>
        </row>
        <row r="2619">
          <cell r="J2619">
            <v>46307</v>
          </cell>
          <cell r="K2619">
            <v>46322</v>
          </cell>
        </row>
        <row r="2620">
          <cell r="J2620">
            <v>46316</v>
          </cell>
          <cell r="K2620">
            <v>46331</v>
          </cell>
        </row>
        <row r="2621">
          <cell r="J2621">
            <v>46323</v>
          </cell>
          <cell r="K2621">
            <v>46336</v>
          </cell>
        </row>
        <row r="2622">
          <cell r="J2622">
            <v>46325</v>
          </cell>
          <cell r="K2622">
            <v>46331</v>
          </cell>
        </row>
        <row r="2623">
          <cell r="J2623">
            <v>46330</v>
          </cell>
          <cell r="K2623">
            <v>46350</v>
          </cell>
        </row>
        <row r="2624">
          <cell r="J2624">
            <v>46330</v>
          </cell>
          <cell r="K2624">
            <v>46350</v>
          </cell>
        </row>
        <row r="2625">
          <cell r="J2625">
            <v>46332</v>
          </cell>
          <cell r="K2625">
            <v>46338</v>
          </cell>
        </row>
        <row r="2626">
          <cell r="J2626">
            <v>46332</v>
          </cell>
          <cell r="K2626">
            <v>46338</v>
          </cell>
        </row>
        <row r="2627">
          <cell r="J2627">
            <v>46332</v>
          </cell>
          <cell r="K2627">
            <v>46338</v>
          </cell>
        </row>
        <row r="2628">
          <cell r="J2628">
            <v>46337</v>
          </cell>
          <cell r="K2628">
            <v>46350</v>
          </cell>
        </row>
        <row r="2629">
          <cell r="J2629">
            <v>46338</v>
          </cell>
          <cell r="K2629">
            <v>46351</v>
          </cell>
        </row>
        <row r="2630">
          <cell r="J2630">
            <v>46339</v>
          </cell>
          <cell r="K2630">
            <v>46345</v>
          </cell>
        </row>
        <row r="2631">
          <cell r="J2631">
            <v>46339</v>
          </cell>
          <cell r="K2631">
            <v>46345</v>
          </cell>
        </row>
        <row r="2632">
          <cell r="J2632">
            <v>46342</v>
          </cell>
          <cell r="K2632">
            <v>46353</v>
          </cell>
        </row>
        <row r="2633">
          <cell r="J2633">
            <v>46346</v>
          </cell>
          <cell r="K2633">
            <v>46352</v>
          </cell>
        </row>
        <row r="2634">
          <cell r="J2634">
            <v>46353</v>
          </cell>
          <cell r="K2634">
            <v>46359</v>
          </cell>
        </row>
        <row r="2635">
          <cell r="J2635">
            <v>46366</v>
          </cell>
          <cell r="K2635">
            <v>46372</v>
          </cell>
        </row>
        <row r="2636">
          <cell r="J2636">
            <v>46366</v>
          </cell>
          <cell r="K2636">
            <v>46372</v>
          </cell>
        </row>
        <row r="2637">
          <cell r="J2637">
            <v>46366</v>
          </cell>
          <cell r="K2637">
            <v>46379</v>
          </cell>
        </row>
        <row r="2638">
          <cell r="J2638">
            <v>46391</v>
          </cell>
          <cell r="K2638">
            <v>46395</v>
          </cell>
        </row>
        <row r="2639">
          <cell r="J2639">
            <v>46122</v>
          </cell>
          <cell r="K2639">
            <v>46377</v>
          </cell>
        </row>
        <row r="2640">
          <cell r="J2640">
            <v>46112</v>
          </cell>
          <cell r="K2640">
            <v>46140</v>
          </cell>
        </row>
        <row r="2641">
          <cell r="J2641">
            <v>46135</v>
          </cell>
          <cell r="K2641">
            <v>46157</v>
          </cell>
        </row>
        <row r="2642">
          <cell r="J2642">
            <v>46139</v>
          </cell>
          <cell r="K2642">
            <v>46167</v>
          </cell>
        </row>
        <row r="2643">
          <cell r="J2643">
            <v>46147</v>
          </cell>
          <cell r="K2643">
            <v>46157</v>
          </cell>
        </row>
        <row r="2644">
          <cell r="J2644">
            <v>46147</v>
          </cell>
          <cell r="K2644">
            <v>46157</v>
          </cell>
        </row>
        <row r="2645">
          <cell r="J2645">
            <v>46147</v>
          </cell>
          <cell r="K2645">
            <v>46177</v>
          </cell>
        </row>
        <row r="2646">
          <cell r="J2646">
            <v>46147</v>
          </cell>
          <cell r="K2646">
            <v>46169</v>
          </cell>
        </row>
        <row r="2647">
          <cell r="J2647">
            <v>46162</v>
          </cell>
          <cell r="K2647">
            <v>46184</v>
          </cell>
        </row>
        <row r="2648">
          <cell r="J2648">
            <v>46163</v>
          </cell>
          <cell r="K2648">
            <v>46190</v>
          </cell>
        </row>
        <row r="2649">
          <cell r="J2649">
            <v>46175</v>
          </cell>
          <cell r="K2649">
            <v>46198</v>
          </cell>
        </row>
        <row r="2650">
          <cell r="J2650">
            <v>46178</v>
          </cell>
          <cell r="K2650">
            <v>46197</v>
          </cell>
        </row>
        <row r="2651">
          <cell r="J2651">
            <v>46178</v>
          </cell>
          <cell r="K2651">
            <v>46197</v>
          </cell>
        </row>
        <row r="2652">
          <cell r="J2652">
            <v>46178</v>
          </cell>
          <cell r="K2652">
            <v>46202</v>
          </cell>
        </row>
        <row r="2653">
          <cell r="J2653">
            <v>46178</v>
          </cell>
          <cell r="K2653">
            <v>46206</v>
          </cell>
        </row>
        <row r="2654">
          <cell r="J2654">
            <v>46178</v>
          </cell>
          <cell r="K2654">
            <v>46206</v>
          </cell>
        </row>
        <row r="2655">
          <cell r="J2655">
            <v>46184</v>
          </cell>
          <cell r="K2655">
            <v>46209</v>
          </cell>
        </row>
        <row r="2656">
          <cell r="J2656">
            <v>46184</v>
          </cell>
          <cell r="K2656">
            <v>46206</v>
          </cell>
        </row>
        <row r="2657">
          <cell r="J2657">
            <v>46184</v>
          </cell>
          <cell r="K2657">
            <v>46204</v>
          </cell>
        </row>
        <row r="2658">
          <cell r="J2658">
            <v>46185</v>
          </cell>
          <cell r="K2658">
            <v>46192</v>
          </cell>
        </row>
        <row r="2659">
          <cell r="J2659">
            <v>46185</v>
          </cell>
          <cell r="K2659">
            <v>46196</v>
          </cell>
        </row>
        <row r="2660">
          <cell r="J2660">
            <v>46192</v>
          </cell>
          <cell r="K2660">
            <v>46209</v>
          </cell>
        </row>
        <row r="2661">
          <cell r="J2661">
            <v>46199</v>
          </cell>
          <cell r="K2661">
            <v>46211</v>
          </cell>
        </row>
        <row r="2662">
          <cell r="J2662">
            <v>46203</v>
          </cell>
          <cell r="K2662">
            <v>46223</v>
          </cell>
        </row>
        <row r="2663">
          <cell r="J2663">
            <v>46203</v>
          </cell>
          <cell r="K2663">
            <v>46223</v>
          </cell>
        </row>
        <row r="2664">
          <cell r="J2664">
            <v>46203</v>
          </cell>
          <cell r="K2664">
            <v>46223</v>
          </cell>
        </row>
        <row r="2665">
          <cell r="J2665">
            <v>46203</v>
          </cell>
          <cell r="K2665">
            <v>46223</v>
          </cell>
        </row>
        <row r="2666">
          <cell r="J2666">
            <v>46209</v>
          </cell>
          <cell r="K2666">
            <v>46213</v>
          </cell>
        </row>
        <row r="2667">
          <cell r="J2667">
            <v>46209</v>
          </cell>
          <cell r="K2667">
            <v>46227</v>
          </cell>
        </row>
        <row r="2668">
          <cell r="J2668">
            <v>46213</v>
          </cell>
          <cell r="K2668">
            <v>46219</v>
          </cell>
        </row>
        <row r="2669">
          <cell r="J2669">
            <v>46213</v>
          </cell>
          <cell r="K2669">
            <v>46219</v>
          </cell>
        </row>
        <row r="2670">
          <cell r="J2670">
            <v>46213</v>
          </cell>
          <cell r="K2670">
            <v>46237</v>
          </cell>
        </row>
        <row r="2671">
          <cell r="J2671">
            <v>46213</v>
          </cell>
          <cell r="K2671">
            <v>46237</v>
          </cell>
        </row>
        <row r="2672">
          <cell r="J2672">
            <v>46213</v>
          </cell>
          <cell r="K2672">
            <v>46237</v>
          </cell>
        </row>
        <row r="2673">
          <cell r="J2673">
            <v>46213</v>
          </cell>
          <cell r="K2673">
            <v>46237</v>
          </cell>
        </row>
        <row r="2674">
          <cell r="J2674">
            <v>46217</v>
          </cell>
          <cell r="K2674">
            <v>46223</v>
          </cell>
        </row>
        <row r="2675">
          <cell r="J2675">
            <v>46218</v>
          </cell>
          <cell r="K2675">
            <v>46224</v>
          </cell>
        </row>
        <row r="2676">
          <cell r="J2676">
            <v>46219</v>
          </cell>
          <cell r="K2676">
            <v>46225</v>
          </cell>
        </row>
        <row r="2677">
          <cell r="J2677">
            <v>46223</v>
          </cell>
          <cell r="K2677">
            <v>46227</v>
          </cell>
        </row>
        <row r="2678">
          <cell r="J2678">
            <v>46223</v>
          </cell>
          <cell r="K2678">
            <v>46227</v>
          </cell>
        </row>
        <row r="2679">
          <cell r="J2679">
            <v>46223</v>
          </cell>
          <cell r="K2679">
            <v>46227</v>
          </cell>
        </row>
        <row r="2680">
          <cell r="J2680">
            <v>46230</v>
          </cell>
          <cell r="K2680">
            <v>46238</v>
          </cell>
        </row>
        <row r="2681">
          <cell r="J2681">
            <v>46233</v>
          </cell>
          <cell r="K2681">
            <v>46239</v>
          </cell>
        </row>
        <row r="2682">
          <cell r="J2682">
            <v>46237</v>
          </cell>
          <cell r="K2682">
            <v>46241</v>
          </cell>
        </row>
        <row r="2683">
          <cell r="J2683">
            <v>46253</v>
          </cell>
          <cell r="K2683">
            <v>46259</v>
          </cell>
        </row>
        <row r="2684">
          <cell r="J2684">
            <v>46253</v>
          </cell>
          <cell r="K2684">
            <v>46259</v>
          </cell>
        </row>
        <row r="2685">
          <cell r="J2685">
            <v>46253</v>
          </cell>
          <cell r="K2685">
            <v>46259</v>
          </cell>
        </row>
        <row r="2686">
          <cell r="J2686">
            <v>46253</v>
          </cell>
          <cell r="K2686">
            <v>46266</v>
          </cell>
        </row>
        <row r="2687">
          <cell r="J2687">
            <v>46259</v>
          </cell>
          <cell r="K2687">
            <v>46265</v>
          </cell>
        </row>
        <row r="2688">
          <cell r="J2688">
            <v>46269</v>
          </cell>
          <cell r="K2688">
            <v>46275</v>
          </cell>
        </row>
        <row r="2689">
          <cell r="J2689">
            <v>46272</v>
          </cell>
          <cell r="K2689">
            <v>46276</v>
          </cell>
        </row>
        <row r="2690">
          <cell r="J2690">
            <v>46272</v>
          </cell>
          <cell r="K2690">
            <v>46276</v>
          </cell>
        </row>
        <row r="2691">
          <cell r="J2691">
            <v>46272</v>
          </cell>
          <cell r="K2691">
            <v>46276</v>
          </cell>
        </row>
        <row r="2692">
          <cell r="J2692">
            <v>46272</v>
          </cell>
          <cell r="K2692">
            <v>46276</v>
          </cell>
        </row>
        <row r="2693">
          <cell r="J2693">
            <v>46281</v>
          </cell>
          <cell r="K2693">
            <v>46287</v>
          </cell>
        </row>
        <row r="2694">
          <cell r="J2694">
            <v>46281</v>
          </cell>
          <cell r="K2694">
            <v>46287</v>
          </cell>
        </row>
        <row r="2695">
          <cell r="J2695">
            <v>46281</v>
          </cell>
          <cell r="K2695">
            <v>46287</v>
          </cell>
        </row>
        <row r="2696">
          <cell r="J2696">
            <v>46281</v>
          </cell>
          <cell r="K2696">
            <v>46287</v>
          </cell>
        </row>
        <row r="2697">
          <cell r="J2697">
            <v>46283</v>
          </cell>
          <cell r="K2697">
            <v>46289</v>
          </cell>
        </row>
        <row r="2698">
          <cell r="J2698">
            <v>46283</v>
          </cell>
          <cell r="K2698">
            <v>46289</v>
          </cell>
        </row>
        <row r="2699">
          <cell r="J2699">
            <v>46283</v>
          </cell>
          <cell r="K2699">
            <v>46289</v>
          </cell>
        </row>
        <row r="2700">
          <cell r="J2700">
            <v>46283</v>
          </cell>
          <cell r="K2700">
            <v>46289</v>
          </cell>
        </row>
        <row r="2701">
          <cell r="J2701">
            <v>46287</v>
          </cell>
          <cell r="K2701">
            <v>46293</v>
          </cell>
        </row>
        <row r="2702">
          <cell r="J2702">
            <v>46134</v>
          </cell>
          <cell r="K2702">
            <v>46351</v>
          </cell>
        </row>
        <row r="2703">
          <cell r="J2703">
            <v>46120</v>
          </cell>
          <cell r="K2703">
            <v>46139</v>
          </cell>
        </row>
        <row r="2704">
          <cell r="J2704">
            <v>46148</v>
          </cell>
          <cell r="K2704">
            <v>46167</v>
          </cell>
        </row>
        <row r="2705">
          <cell r="J2705">
            <v>46148</v>
          </cell>
          <cell r="K2705">
            <v>46167</v>
          </cell>
        </row>
        <row r="2706">
          <cell r="J2706">
            <v>46149</v>
          </cell>
          <cell r="K2706">
            <v>46169</v>
          </cell>
        </row>
        <row r="2707">
          <cell r="J2707">
            <v>46153</v>
          </cell>
          <cell r="K2707">
            <v>46167</v>
          </cell>
        </row>
        <row r="2708">
          <cell r="J2708">
            <v>46153</v>
          </cell>
          <cell r="K2708">
            <v>46167</v>
          </cell>
        </row>
        <row r="2709">
          <cell r="J2709">
            <v>46153</v>
          </cell>
          <cell r="K2709">
            <v>46167</v>
          </cell>
        </row>
        <row r="2710">
          <cell r="J2710">
            <v>46163</v>
          </cell>
          <cell r="K2710">
            <v>46177</v>
          </cell>
        </row>
        <row r="2711">
          <cell r="J2711">
            <v>46170</v>
          </cell>
          <cell r="K2711">
            <v>46189</v>
          </cell>
        </row>
        <row r="2712">
          <cell r="J2712">
            <v>46188</v>
          </cell>
          <cell r="K2712">
            <v>46198</v>
          </cell>
        </row>
        <row r="2713">
          <cell r="J2713">
            <v>46188</v>
          </cell>
          <cell r="K2713">
            <v>46197</v>
          </cell>
        </row>
        <row r="2714">
          <cell r="J2714">
            <v>46188</v>
          </cell>
          <cell r="K2714">
            <v>46206</v>
          </cell>
        </row>
        <row r="2715">
          <cell r="J2715">
            <v>46188</v>
          </cell>
          <cell r="K2715">
            <v>46206</v>
          </cell>
        </row>
        <row r="2716">
          <cell r="J2716">
            <v>46188</v>
          </cell>
          <cell r="K2716">
            <v>46206</v>
          </cell>
        </row>
        <row r="2717">
          <cell r="J2717">
            <v>46205</v>
          </cell>
          <cell r="K2717">
            <v>46218</v>
          </cell>
        </row>
        <row r="2718">
          <cell r="J2718">
            <v>46217</v>
          </cell>
          <cell r="K2718">
            <v>46223</v>
          </cell>
        </row>
        <row r="2719">
          <cell r="J2719">
            <v>46224</v>
          </cell>
          <cell r="K2719">
            <v>46239</v>
          </cell>
        </row>
        <row r="2720">
          <cell r="J2720">
            <v>46224</v>
          </cell>
          <cell r="K2720">
            <v>46239</v>
          </cell>
        </row>
        <row r="2721">
          <cell r="J2721">
            <v>46224</v>
          </cell>
          <cell r="K2721">
            <v>46239</v>
          </cell>
        </row>
        <row r="2722">
          <cell r="J2722">
            <v>46224</v>
          </cell>
          <cell r="K2722">
            <v>46239</v>
          </cell>
        </row>
        <row r="2723">
          <cell r="J2723">
            <v>46227</v>
          </cell>
          <cell r="K2723">
            <v>46244</v>
          </cell>
        </row>
        <row r="2724">
          <cell r="J2724">
            <v>46227</v>
          </cell>
          <cell r="K2724">
            <v>46244</v>
          </cell>
        </row>
        <row r="2725">
          <cell r="J2725">
            <v>46227</v>
          </cell>
          <cell r="K2725">
            <v>46244</v>
          </cell>
        </row>
        <row r="2726">
          <cell r="J2726">
            <v>46227</v>
          </cell>
          <cell r="K2726">
            <v>46244</v>
          </cell>
        </row>
        <row r="2727">
          <cell r="J2727">
            <v>46230</v>
          </cell>
          <cell r="K2727">
            <v>46245</v>
          </cell>
        </row>
        <row r="2728">
          <cell r="J2728">
            <v>46237</v>
          </cell>
          <cell r="K2728">
            <v>46241</v>
          </cell>
        </row>
        <row r="2729">
          <cell r="J2729">
            <v>46241</v>
          </cell>
          <cell r="K2729">
            <v>46248</v>
          </cell>
        </row>
        <row r="2730">
          <cell r="J2730">
            <v>46241</v>
          </cell>
          <cell r="K2730">
            <v>46255</v>
          </cell>
        </row>
        <row r="2731">
          <cell r="J2731">
            <v>46245</v>
          </cell>
          <cell r="K2731">
            <v>46252</v>
          </cell>
        </row>
        <row r="2732">
          <cell r="J2732">
            <v>46245</v>
          </cell>
          <cell r="K2732">
            <v>46252</v>
          </cell>
        </row>
        <row r="2733">
          <cell r="J2733">
            <v>46245</v>
          </cell>
          <cell r="K2733">
            <v>46252</v>
          </cell>
        </row>
        <row r="2734">
          <cell r="J2734">
            <v>46258</v>
          </cell>
          <cell r="K2734">
            <v>46262</v>
          </cell>
        </row>
        <row r="2735">
          <cell r="J2735">
            <v>46265</v>
          </cell>
          <cell r="K2735">
            <v>46269</v>
          </cell>
        </row>
        <row r="2736">
          <cell r="J2736">
            <v>46281</v>
          </cell>
          <cell r="K2736">
            <v>46287</v>
          </cell>
        </row>
        <row r="2737">
          <cell r="J2737">
            <v>46282</v>
          </cell>
          <cell r="K2737">
            <v>46288</v>
          </cell>
        </row>
        <row r="2738">
          <cell r="J2738">
            <v>46282</v>
          </cell>
          <cell r="K2738">
            <v>46295</v>
          </cell>
        </row>
        <row r="2739">
          <cell r="J2739">
            <v>46293</v>
          </cell>
          <cell r="K2739">
            <v>46297</v>
          </cell>
        </row>
        <row r="2740">
          <cell r="J2740">
            <v>46294</v>
          </cell>
          <cell r="K2740">
            <v>46300</v>
          </cell>
        </row>
        <row r="2741">
          <cell r="J2741">
            <v>46294</v>
          </cell>
          <cell r="K2741">
            <v>46300</v>
          </cell>
        </row>
        <row r="2742">
          <cell r="J2742">
            <v>46294</v>
          </cell>
          <cell r="K2742">
            <v>46300</v>
          </cell>
        </row>
        <row r="2743">
          <cell r="J2743">
            <v>46294</v>
          </cell>
          <cell r="K2743">
            <v>46300</v>
          </cell>
        </row>
        <row r="2744">
          <cell r="J2744">
            <v>46301</v>
          </cell>
          <cell r="K2744">
            <v>46307</v>
          </cell>
        </row>
        <row r="2745">
          <cell r="J2745">
            <v>46303</v>
          </cell>
          <cell r="K2745">
            <v>46310</v>
          </cell>
        </row>
        <row r="2746">
          <cell r="J2746">
            <v>46303</v>
          </cell>
          <cell r="K2746">
            <v>46310</v>
          </cell>
        </row>
        <row r="2747">
          <cell r="J2747">
            <v>46303</v>
          </cell>
          <cell r="K2747">
            <v>46310</v>
          </cell>
        </row>
        <row r="2748">
          <cell r="J2748">
            <v>46303</v>
          </cell>
          <cell r="K2748">
            <v>46310</v>
          </cell>
        </row>
        <row r="2749">
          <cell r="J2749">
            <v>46307</v>
          </cell>
          <cell r="K2749">
            <v>46314</v>
          </cell>
        </row>
        <row r="2750">
          <cell r="J2750">
            <v>46307</v>
          </cell>
          <cell r="K2750">
            <v>46314</v>
          </cell>
        </row>
        <row r="2751">
          <cell r="J2751">
            <v>46307</v>
          </cell>
          <cell r="K2751">
            <v>46314</v>
          </cell>
        </row>
        <row r="2752">
          <cell r="J2752">
            <v>46307</v>
          </cell>
          <cell r="K2752">
            <v>46314</v>
          </cell>
        </row>
        <row r="2753">
          <cell r="J2753">
            <v>46310</v>
          </cell>
          <cell r="K2753">
            <v>46316</v>
          </cell>
        </row>
        <row r="2754">
          <cell r="J2754">
            <v>46345</v>
          </cell>
          <cell r="K2754">
            <v>46351</v>
          </cell>
        </row>
        <row r="2755">
          <cell r="J2755">
            <v>46167</v>
          </cell>
          <cell r="K2755">
            <v>46335</v>
          </cell>
        </row>
        <row r="2756">
          <cell r="J2756">
            <v>46163</v>
          </cell>
          <cell r="K2756">
            <v>46199</v>
          </cell>
        </row>
        <row r="2757">
          <cell r="J2757">
            <v>46189</v>
          </cell>
          <cell r="K2757">
            <v>46225</v>
          </cell>
        </row>
        <row r="2758">
          <cell r="J2758">
            <v>46189</v>
          </cell>
          <cell r="K2758">
            <v>46224</v>
          </cell>
        </row>
        <row r="2759">
          <cell r="J2759">
            <v>46191</v>
          </cell>
          <cell r="K2759">
            <v>46239</v>
          </cell>
        </row>
        <row r="2760">
          <cell r="J2760">
            <v>46192</v>
          </cell>
          <cell r="K2760">
            <v>46225</v>
          </cell>
        </row>
        <row r="2761">
          <cell r="J2761">
            <v>46192</v>
          </cell>
          <cell r="K2761">
            <v>46225</v>
          </cell>
        </row>
        <row r="2762">
          <cell r="J2762">
            <v>46196</v>
          </cell>
          <cell r="K2762">
            <v>46223</v>
          </cell>
        </row>
        <row r="2763">
          <cell r="J2763">
            <v>46199</v>
          </cell>
          <cell r="K2763">
            <v>46247</v>
          </cell>
        </row>
        <row r="2764">
          <cell r="J2764">
            <v>46216</v>
          </cell>
          <cell r="K2764">
            <v>46220</v>
          </cell>
        </row>
        <row r="2765">
          <cell r="J2765">
            <v>46234</v>
          </cell>
          <cell r="K2765">
            <v>46240</v>
          </cell>
        </row>
        <row r="2766">
          <cell r="J2766">
            <v>46237</v>
          </cell>
          <cell r="K2766">
            <v>46266</v>
          </cell>
        </row>
        <row r="2767">
          <cell r="J2767">
            <v>46240</v>
          </cell>
          <cell r="K2767">
            <v>46247</v>
          </cell>
        </row>
        <row r="2768">
          <cell r="J2768">
            <v>46244</v>
          </cell>
          <cell r="K2768">
            <v>46251</v>
          </cell>
        </row>
        <row r="2769">
          <cell r="J2769">
            <v>46244</v>
          </cell>
          <cell r="K2769">
            <v>46251</v>
          </cell>
        </row>
        <row r="2770">
          <cell r="J2770">
            <v>46244</v>
          </cell>
          <cell r="K2770">
            <v>46251</v>
          </cell>
        </row>
        <row r="2771">
          <cell r="J2771">
            <v>46245</v>
          </cell>
          <cell r="K2771">
            <v>46265</v>
          </cell>
        </row>
        <row r="2772">
          <cell r="J2772">
            <v>46252</v>
          </cell>
          <cell r="K2772">
            <v>46276</v>
          </cell>
        </row>
        <row r="2773">
          <cell r="J2773">
            <v>46252</v>
          </cell>
          <cell r="K2773">
            <v>46275</v>
          </cell>
        </row>
        <row r="2774">
          <cell r="J2774">
            <v>46255</v>
          </cell>
          <cell r="K2774">
            <v>46261</v>
          </cell>
        </row>
        <row r="2775">
          <cell r="J2775">
            <v>46260</v>
          </cell>
          <cell r="K2775">
            <v>46276</v>
          </cell>
        </row>
        <row r="2776">
          <cell r="J2776">
            <v>46260</v>
          </cell>
          <cell r="K2776">
            <v>46276</v>
          </cell>
        </row>
        <row r="2777">
          <cell r="J2777">
            <v>46260</v>
          </cell>
          <cell r="K2777">
            <v>46276</v>
          </cell>
        </row>
        <row r="2778">
          <cell r="J2778">
            <v>46262</v>
          </cell>
          <cell r="K2778">
            <v>46268</v>
          </cell>
        </row>
        <row r="2779">
          <cell r="J2779">
            <v>46269</v>
          </cell>
          <cell r="K2779">
            <v>46287</v>
          </cell>
        </row>
        <row r="2780">
          <cell r="J2780">
            <v>46269</v>
          </cell>
          <cell r="K2780">
            <v>46287</v>
          </cell>
        </row>
        <row r="2781">
          <cell r="J2781">
            <v>46269</v>
          </cell>
          <cell r="K2781">
            <v>46287</v>
          </cell>
        </row>
        <row r="2782">
          <cell r="J2782">
            <v>46269</v>
          </cell>
          <cell r="K2782">
            <v>46287</v>
          </cell>
        </row>
        <row r="2783">
          <cell r="J2783">
            <v>46275</v>
          </cell>
          <cell r="K2783">
            <v>46289</v>
          </cell>
        </row>
        <row r="2784">
          <cell r="J2784">
            <v>46275</v>
          </cell>
          <cell r="K2784">
            <v>46289</v>
          </cell>
        </row>
        <row r="2785">
          <cell r="J2785">
            <v>46275</v>
          </cell>
          <cell r="K2785">
            <v>46289</v>
          </cell>
        </row>
        <row r="2786">
          <cell r="J2786">
            <v>46275</v>
          </cell>
          <cell r="K2786">
            <v>46289</v>
          </cell>
        </row>
        <row r="2787">
          <cell r="J2787">
            <v>46276</v>
          </cell>
          <cell r="K2787">
            <v>46293</v>
          </cell>
        </row>
        <row r="2788">
          <cell r="J2788">
            <v>46276</v>
          </cell>
          <cell r="K2788">
            <v>46287</v>
          </cell>
        </row>
        <row r="2789">
          <cell r="J2789">
            <v>46280</v>
          </cell>
          <cell r="K2789">
            <v>46286</v>
          </cell>
        </row>
        <row r="2790">
          <cell r="J2790">
            <v>46281</v>
          </cell>
          <cell r="K2790">
            <v>46287</v>
          </cell>
        </row>
        <row r="2791">
          <cell r="J2791">
            <v>46290</v>
          </cell>
          <cell r="K2791">
            <v>46296</v>
          </cell>
        </row>
        <row r="2792">
          <cell r="J2792">
            <v>46293</v>
          </cell>
          <cell r="K2792">
            <v>46297</v>
          </cell>
        </row>
        <row r="2793">
          <cell r="J2793">
            <v>46293</v>
          </cell>
          <cell r="K2793">
            <v>46297</v>
          </cell>
        </row>
        <row r="2794">
          <cell r="J2794">
            <v>46293</v>
          </cell>
          <cell r="K2794">
            <v>46297</v>
          </cell>
        </row>
        <row r="2795">
          <cell r="J2795">
            <v>46293</v>
          </cell>
          <cell r="K2795">
            <v>46297</v>
          </cell>
        </row>
        <row r="2796">
          <cell r="J2796">
            <v>46302</v>
          </cell>
          <cell r="K2796">
            <v>46309</v>
          </cell>
        </row>
        <row r="2797">
          <cell r="J2797">
            <v>46302</v>
          </cell>
          <cell r="K2797">
            <v>46309</v>
          </cell>
        </row>
        <row r="2798">
          <cell r="J2798">
            <v>46302</v>
          </cell>
          <cell r="K2798">
            <v>46309</v>
          </cell>
        </row>
        <row r="2799">
          <cell r="J2799">
            <v>46302</v>
          </cell>
          <cell r="K2799">
            <v>46309</v>
          </cell>
        </row>
        <row r="2800">
          <cell r="J2800">
            <v>46302</v>
          </cell>
          <cell r="K2800">
            <v>46304</v>
          </cell>
        </row>
        <row r="2801">
          <cell r="J2801">
            <v>46304</v>
          </cell>
          <cell r="K2801">
            <v>46311</v>
          </cell>
        </row>
        <row r="2802">
          <cell r="J2802">
            <v>46304</v>
          </cell>
          <cell r="K2802">
            <v>46311</v>
          </cell>
        </row>
        <row r="2803">
          <cell r="J2803">
            <v>46304</v>
          </cell>
          <cell r="K2803">
            <v>46311</v>
          </cell>
        </row>
        <row r="2804">
          <cell r="J2804">
            <v>46304</v>
          </cell>
          <cell r="K2804">
            <v>46311</v>
          </cell>
        </row>
        <row r="2805">
          <cell r="J2805">
            <v>46309</v>
          </cell>
          <cell r="K2805">
            <v>46315</v>
          </cell>
        </row>
        <row r="2806">
          <cell r="J2806">
            <v>46317</v>
          </cell>
          <cell r="K2806">
            <v>46329</v>
          </cell>
        </row>
        <row r="2807">
          <cell r="J2807">
            <v>46344</v>
          </cell>
          <cell r="K2807">
            <v>46350</v>
          </cell>
        </row>
        <row r="2808">
          <cell r="J2808">
            <v>46106</v>
          </cell>
          <cell r="K2808">
            <v>46385</v>
          </cell>
        </row>
        <row r="2809">
          <cell r="J2809">
            <v>46106</v>
          </cell>
          <cell r="K2809">
            <v>46139</v>
          </cell>
        </row>
        <row r="2810">
          <cell r="J2810">
            <v>46106</v>
          </cell>
          <cell r="K2810">
            <v>46147</v>
          </cell>
        </row>
        <row r="2811">
          <cell r="J2811">
            <v>46121</v>
          </cell>
          <cell r="K2811">
            <v>46147</v>
          </cell>
        </row>
        <row r="2812">
          <cell r="J2812">
            <v>46121</v>
          </cell>
          <cell r="K2812">
            <v>46147</v>
          </cell>
        </row>
        <row r="2813">
          <cell r="J2813">
            <v>46148</v>
          </cell>
          <cell r="K2813">
            <v>46195</v>
          </cell>
        </row>
        <row r="2814">
          <cell r="J2814">
            <v>46148</v>
          </cell>
          <cell r="K2814">
            <v>46188</v>
          </cell>
        </row>
        <row r="2815">
          <cell r="J2815">
            <v>46155</v>
          </cell>
          <cell r="K2815">
            <v>46157</v>
          </cell>
        </row>
        <row r="2816">
          <cell r="J2816">
            <v>46162</v>
          </cell>
          <cell r="K2816">
            <v>46195</v>
          </cell>
        </row>
        <row r="2817">
          <cell r="J2817">
            <v>46162</v>
          </cell>
          <cell r="K2817">
            <v>46195</v>
          </cell>
        </row>
        <row r="2818">
          <cell r="J2818">
            <v>46163</v>
          </cell>
          <cell r="K2818">
            <v>46167</v>
          </cell>
        </row>
        <row r="2819">
          <cell r="J2819">
            <v>46163</v>
          </cell>
          <cell r="K2819">
            <v>46167</v>
          </cell>
        </row>
        <row r="2820">
          <cell r="J2820">
            <v>46163</v>
          </cell>
          <cell r="K2820">
            <v>46167</v>
          </cell>
        </row>
        <row r="2821">
          <cell r="J2821">
            <v>46185</v>
          </cell>
          <cell r="K2821">
            <v>46189</v>
          </cell>
        </row>
        <row r="2822">
          <cell r="J2822">
            <v>46185</v>
          </cell>
          <cell r="K2822">
            <v>46189</v>
          </cell>
        </row>
        <row r="2823">
          <cell r="J2823">
            <v>46192</v>
          </cell>
          <cell r="K2823">
            <v>46212</v>
          </cell>
        </row>
        <row r="2824">
          <cell r="J2824">
            <v>46192</v>
          </cell>
          <cell r="K2824">
            <v>46212</v>
          </cell>
        </row>
        <row r="2825">
          <cell r="J2825">
            <v>46192</v>
          </cell>
          <cell r="K2825">
            <v>46212</v>
          </cell>
        </row>
        <row r="2826">
          <cell r="J2826">
            <v>46192</v>
          </cell>
          <cell r="K2826">
            <v>46199</v>
          </cell>
        </row>
        <row r="2827">
          <cell r="J2827">
            <v>46199</v>
          </cell>
          <cell r="K2827">
            <v>46219</v>
          </cell>
        </row>
        <row r="2828">
          <cell r="J2828">
            <v>46199</v>
          </cell>
          <cell r="K2828">
            <v>46219</v>
          </cell>
        </row>
        <row r="2829">
          <cell r="J2829">
            <v>46210</v>
          </cell>
          <cell r="K2829">
            <v>46223</v>
          </cell>
        </row>
        <row r="2830">
          <cell r="J2830">
            <v>46210</v>
          </cell>
          <cell r="K2830">
            <v>46223</v>
          </cell>
        </row>
        <row r="2831">
          <cell r="J2831">
            <v>46210</v>
          </cell>
          <cell r="K2831">
            <v>46223</v>
          </cell>
        </row>
        <row r="2832">
          <cell r="J2832">
            <v>46210</v>
          </cell>
          <cell r="K2832">
            <v>46223</v>
          </cell>
        </row>
        <row r="2833">
          <cell r="J2833">
            <v>46213</v>
          </cell>
          <cell r="K2833">
            <v>46237</v>
          </cell>
        </row>
        <row r="2834">
          <cell r="J2834">
            <v>46220</v>
          </cell>
          <cell r="K2834">
            <v>46253</v>
          </cell>
        </row>
        <row r="2835">
          <cell r="J2835">
            <v>46220</v>
          </cell>
          <cell r="K2835">
            <v>46244</v>
          </cell>
        </row>
        <row r="2836">
          <cell r="J2836">
            <v>46227</v>
          </cell>
          <cell r="K2836">
            <v>46244</v>
          </cell>
        </row>
        <row r="2837">
          <cell r="J2837">
            <v>46227</v>
          </cell>
          <cell r="K2837">
            <v>46244</v>
          </cell>
        </row>
        <row r="2838">
          <cell r="J2838">
            <v>46227</v>
          </cell>
          <cell r="K2838">
            <v>46244</v>
          </cell>
        </row>
        <row r="2839">
          <cell r="J2839">
            <v>46227</v>
          </cell>
          <cell r="K2839">
            <v>46244</v>
          </cell>
        </row>
        <row r="2840">
          <cell r="J2840">
            <v>46238</v>
          </cell>
          <cell r="K2840">
            <v>46259</v>
          </cell>
        </row>
        <row r="2841">
          <cell r="J2841">
            <v>46238</v>
          </cell>
          <cell r="K2841">
            <v>46259</v>
          </cell>
        </row>
        <row r="2842">
          <cell r="J2842">
            <v>46240</v>
          </cell>
          <cell r="K2842">
            <v>46247</v>
          </cell>
        </row>
        <row r="2843">
          <cell r="J2843">
            <v>46240</v>
          </cell>
          <cell r="K2843">
            <v>46247</v>
          </cell>
        </row>
        <row r="2844">
          <cell r="J2844">
            <v>46240</v>
          </cell>
          <cell r="K2844">
            <v>46247</v>
          </cell>
        </row>
        <row r="2845">
          <cell r="J2845">
            <v>46240</v>
          </cell>
          <cell r="K2845">
            <v>46247</v>
          </cell>
        </row>
        <row r="2846">
          <cell r="J2846">
            <v>46245</v>
          </cell>
          <cell r="K2846">
            <v>46259</v>
          </cell>
        </row>
        <row r="2847">
          <cell r="J2847">
            <v>46253</v>
          </cell>
          <cell r="K2847">
            <v>46266</v>
          </cell>
        </row>
        <row r="2848">
          <cell r="J2848">
            <v>46253</v>
          </cell>
          <cell r="K2848">
            <v>46273</v>
          </cell>
        </row>
        <row r="2849">
          <cell r="J2849">
            <v>46253</v>
          </cell>
          <cell r="K2849">
            <v>46273</v>
          </cell>
        </row>
        <row r="2850">
          <cell r="J2850">
            <v>46254</v>
          </cell>
          <cell r="K2850">
            <v>46274</v>
          </cell>
        </row>
        <row r="2851">
          <cell r="J2851">
            <v>46260</v>
          </cell>
          <cell r="K2851">
            <v>46273</v>
          </cell>
        </row>
        <row r="2852">
          <cell r="J2852">
            <v>46260</v>
          </cell>
          <cell r="K2852">
            <v>46273</v>
          </cell>
        </row>
        <row r="2853">
          <cell r="J2853">
            <v>46260</v>
          </cell>
          <cell r="K2853">
            <v>46273</v>
          </cell>
        </row>
        <row r="2854">
          <cell r="J2854">
            <v>46260</v>
          </cell>
          <cell r="K2854">
            <v>46273</v>
          </cell>
        </row>
        <row r="2855">
          <cell r="J2855">
            <v>46260</v>
          </cell>
          <cell r="K2855">
            <v>46266</v>
          </cell>
        </row>
        <row r="2856">
          <cell r="J2856">
            <v>46260</v>
          </cell>
          <cell r="K2856">
            <v>46273</v>
          </cell>
        </row>
        <row r="2857">
          <cell r="J2857">
            <v>46268</v>
          </cell>
          <cell r="K2857">
            <v>46288</v>
          </cell>
        </row>
        <row r="2858">
          <cell r="J2858">
            <v>46274</v>
          </cell>
          <cell r="K2858">
            <v>46287</v>
          </cell>
        </row>
        <row r="2859">
          <cell r="J2859">
            <v>46274</v>
          </cell>
          <cell r="K2859">
            <v>46287</v>
          </cell>
        </row>
        <row r="2860">
          <cell r="J2860">
            <v>46275</v>
          </cell>
          <cell r="K2860">
            <v>46295</v>
          </cell>
        </row>
        <row r="2861">
          <cell r="J2861">
            <v>46275</v>
          </cell>
          <cell r="K2861">
            <v>46295</v>
          </cell>
        </row>
        <row r="2862">
          <cell r="J2862">
            <v>46281</v>
          </cell>
          <cell r="K2862">
            <v>46294</v>
          </cell>
        </row>
        <row r="2863">
          <cell r="J2863">
            <v>46288</v>
          </cell>
          <cell r="K2863">
            <v>46301</v>
          </cell>
        </row>
        <row r="2864">
          <cell r="J2864">
            <v>46288</v>
          </cell>
          <cell r="K2864">
            <v>46301</v>
          </cell>
        </row>
        <row r="2865">
          <cell r="J2865">
            <v>46288</v>
          </cell>
          <cell r="K2865">
            <v>46301</v>
          </cell>
        </row>
        <row r="2866">
          <cell r="J2866">
            <v>46288</v>
          </cell>
          <cell r="K2866">
            <v>46301</v>
          </cell>
        </row>
        <row r="2867">
          <cell r="J2867">
            <v>46288</v>
          </cell>
          <cell r="K2867">
            <v>46301</v>
          </cell>
        </row>
        <row r="2868">
          <cell r="J2868">
            <v>46289</v>
          </cell>
          <cell r="K2868">
            <v>46295</v>
          </cell>
        </row>
        <row r="2869">
          <cell r="J2869">
            <v>46302</v>
          </cell>
          <cell r="K2869">
            <v>46316</v>
          </cell>
        </row>
        <row r="2870">
          <cell r="J2870">
            <v>46303</v>
          </cell>
          <cell r="K2870">
            <v>46325</v>
          </cell>
        </row>
        <row r="2871">
          <cell r="J2871">
            <v>46317</v>
          </cell>
          <cell r="K2871">
            <v>46331</v>
          </cell>
        </row>
        <row r="2872">
          <cell r="J2872">
            <v>46317</v>
          </cell>
          <cell r="K2872">
            <v>46331</v>
          </cell>
        </row>
        <row r="2873">
          <cell r="J2873">
            <v>46317</v>
          </cell>
          <cell r="K2873">
            <v>46331</v>
          </cell>
        </row>
        <row r="2874">
          <cell r="J2874">
            <v>46321</v>
          </cell>
          <cell r="K2874">
            <v>46332</v>
          </cell>
        </row>
        <row r="2875">
          <cell r="J2875">
            <v>46321</v>
          </cell>
          <cell r="K2875">
            <v>46332</v>
          </cell>
        </row>
        <row r="2876">
          <cell r="J2876">
            <v>46321</v>
          </cell>
          <cell r="K2876">
            <v>46332</v>
          </cell>
        </row>
        <row r="2877">
          <cell r="J2877">
            <v>46147</v>
          </cell>
          <cell r="K2877">
            <v>46385</v>
          </cell>
        </row>
        <row r="2878">
          <cell r="J2878">
            <v>46148</v>
          </cell>
          <cell r="K2878">
            <v>46167</v>
          </cell>
        </row>
        <row r="2879">
          <cell r="J2879">
            <v>46148</v>
          </cell>
          <cell r="K2879">
            <v>46156</v>
          </cell>
        </row>
        <row r="2880">
          <cell r="J2880">
            <v>46148</v>
          </cell>
          <cell r="K2880">
            <v>46156</v>
          </cell>
        </row>
        <row r="2881">
          <cell r="J2881">
            <v>46148</v>
          </cell>
          <cell r="K2881">
            <v>46156</v>
          </cell>
        </row>
        <row r="2882">
          <cell r="J2882">
            <v>46148</v>
          </cell>
          <cell r="K2882">
            <v>46156</v>
          </cell>
        </row>
        <row r="2883">
          <cell r="J2883">
            <v>46148</v>
          </cell>
          <cell r="K2883">
            <v>46156</v>
          </cell>
        </row>
        <row r="2884">
          <cell r="J2884">
            <v>46167</v>
          </cell>
          <cell r="K2884">
            <v>46175</v>
          </cell>
        </row>
        <row r="2885">
          <cell r="J2885">
            <v>46175</v>
          </cell>
          <cell r="K2885">
            <v>46177</v>
          </cell>
        </row>
        <row r="2886">
          <cell r="J2886">
            <v>46177</v>
          </cell>
          <cell r="K2886">
            <v>46177</v>
          </cell>
        </row>
        <row r="2887">
          <cell r="J2887">
            <v>46183</v>
          </cell>
          <cell r="K2887">
            <v>46184</v>
          </cell>
        </row>
        <row r="2888">
          <cell r="J2888">
            <v>46183</v>
          </cell>
          <cell r="K2888">
            <v>46184</v>
          </cell>
        </row>
        <row r="2889">
          <cell r="J2889">
            <v>46184</v>
          </cell>
          <cell r="K2889">
            <v>46188</v>
          </cell>
        </row>
        <row r="2890">
          <cell r="J2890">
            <v>46184</v>
          </cell>
          <cell r="K2890">
            <v>46188</v>
          </cell>
        </row>
        <row r="2891">
          <cell r="J2891">
            <v>46196</v>
          </cell>
          <cell r="K2891">
            <v>46209</v>
          </cell>
        </row>
        <row r="2892">
          <cell r="J2892">
            <v>46199</v>
          </cell>
          <cell r="K2892">
            <v>46205</v>
          </cell>
        </row>
        <row r="2893">
          <cell r="J2893">
            <v>46202</v>
          </cell>
          <cell r="K2893">
            <v>46206</v>
          </cell>
        </row>
        <row r="2894">
          <cell r="J2894">
            <v>46202</v>
          </cell>
          <cell r="K2894">
            <v>46206</v>
          </cell>
        </row>
        <row r="2895">
          <cell r="J2895">
            <v>46202</v>
          </cell>
          <cell r="K2895">
            <v>46206</v>
          </cell>
        </row>
        <row r="2896">
          <cell r="J2896">
            <v>46203</v>
          </cell>
          <cell r="K2896">
            <v>46209</v>
          </cell>
        </row>
        <row r="2897">
          <cell r="J2897">
            <v>46224</v>
          </cell>
          <cell r="K2897">
            <v>46230</v>
          </cell>
        </row>
        <row r="2898">
          <cell r="J2898">
            <v>46233</v>
          </cell>
          <cell r="K2898">
            <v>46247</v>
          </cell>
        </row>
        <row r="2899">
          <cell r="J2899">
            <v>46150</v>
          </cell>
          <cell r="K2899">
            <v>46314</v>
          </cell>
        </row>
        <row r="2900">
          <cell r="J2900">
            <v>46155</v>
          </cell>
          <cell r="K2900">
            <v>46171</v>
          </cell>
        </row>
        <row r="2901">
          <cell r="J2901">
            <v>46157</v>
          </cell>
          <cell r="K2901">
            <v>46171</v>
          </cell>
        </row>
        <row r="2902">
          <cell r="J2902">
            <v>46167</v>
          </cell>
          <cell r="K2902">
            <v>46171</v>
          </cell>
        </row>
        <row r="2903">
          <cell r="J2903">
            <v>46189</v>
          </cell>
          <cell r="K2903">
            <v>46191</v>
          </cell>
        </row>
        <row r="2904">
          <cell r="J2904">
            <v>46189</v>
          </cell>
          <cell r="K2904">
            <v>46191</v>
          </cell>
        </row>
        <row r="2905">
          <cell r="J2905">
            <v>46266</v>
          </cell>
          <cell r="K2905">
            <v>46272</v>
          </cell>
        </row>
        <row r="2906">
          <cell r="J2906">
            <v>46224</v>
          </cell>
          <cell r="K2906">
            <v>46314</v>
          </cell>
        </row>
        <row r="2907">
          <cell r="J2907">
            <v>46224</v>
          </cell>
          <cell r="K2907">
            <v>46248</v>
          </cell>
        </row>
        <row r="2908">
          <cell r="J2908">
            <v>46224</v>
          </cell>
          <cell r="K2908">
            <v>46248</v>
          </cell>
        </row>
        <row r="2909">
          <cell r="J2909">
            <v>46265</v>
          </cell>
          <cell r="K2909">
            <v>46269</v>
          </cell>
        </row>
        <row r="2910">
          <cell r="J2910">
            <v>46265</v>
          </cell>
          <cell r="K2910">
            <v>46269</v>
          </cell>
        </row>
        <row r="2911">
          <cell r="J2911">
            <v>46304</v>
          </cell>
          <cell r="K2911">
            <v>46315</v>
          </cell>
        </row>
        <row r="2912">
          <cell r="J2912">
            <v>46331</v>
          </cell>
          <cell r="K2912">
            <v>46337</v>
          </cell>
        </row>
        <row r="2913">
          <cell r="J2913">
            <v>46085</v>
          </cell>
          <cell r="K2913">
            <v>46339</v>
          </cell>
        </row>
        <row r="2914">
          <cell r="J2914">
            <v>46085</v>
          </cell>
          <cell r="K2914">
            <v>46150</v>
          </cell>
        </row>
        <row r="2915">
          <cell r="J2915">
            <v>46113</v>
          </cell>
          <cell r="K2915">
            <v>46150</v>
          </cell>
        </row>
        <row r="2916">
          <cell r="J2916">
            <v>46113</v>
          </cell>
          <cell r="K2916">
            <v>46153</v>
          </cell>
        </row>
        <row r="2917">
          <cell r="J2917">
            <v>46113</v>
          </cell>
          <cell r="K2917">
            <v>46150</v>
          </cell>
        </row>
        <row r="2918">
          <cell r="J2918">
            <v>46140</v>
          </cell>
          <cell r="K2918">
            <v>46170</v>
          </cell>
        </row>
        <row r="2919">
          <cell r="J2919">
            <v>46156</v>
          </cell>
          <cell r="K2919">
            <v>46183</v>
          </cell>
        </row>
        <row r="2920">
          <cell r="J2920">
            <v>46156</v>
          </cell>
          <cell r="K2920">
            <v>46183</v>
          </cell>
        </row>
        <row r="2921">
          <cell r="J2921">
            <v>46156</v>
          </cell>
          <cell r="K2921">
            <v>46182</v>
          </cell>
        </row>
        <row r="2922">
          <cell r="J2922">
            <v>46157</v>
          </cell>
          <cell r="K2922">
            <v>46177</v>
          </cell>
        </row>
        <row r="2923">
          <cell r="J2923">
            <v>46157</v>
          </cell>
          <cell r="K2923">
            <v>46182</v>
          </cell>
        </row>
        <row r="2924">
          <cell r="J2924">
            <v>46163</v>
          </cell>
          <cell r="K2924">
            <v>46209</v>
          </cell>
        </row>
        <row r="2925">
          <cell r="J2925">
            <v>46163</v>
          </cell>
          <cell r="K2925">
            <v>46185</v>
          </cell>
        </row>
        <row r="2926">
          <cell r="J2926">
            <v>46168</v>
          </cell>
          <cell r="K2926">
            <v>46183</v>
          </cell>
        </row>
        <row r="2927">
          <cell r="J2927">
            <v>46168</v>
          </cell>
          <cell r="K2927">
            <v>46183</v>
          </cell>
        </row>
        <row r="2928">
          <cell r="J2928">
            <v>46168</v>
          </cell>
          <cell r="K2928">
            <v>46188</v>
          </cell>
        </row>
        <row r="2929">
          <cell r="J2929">
            <v>46175</v>
          </cell>
          <cell r="K2929">
            <v>46182</v>
          </cell>
        </row>
        <row r="2930">
          <cell r="J2930">
            <v>46181</v>
          </cell>
          <cell r="K2930">
            <v>46199</v>
          </cell>
        </row>
        <row r="2931">
          <cell r="J2931">
            <v>46181</v>
          </cell>
          <cell r="K2931">
            <v>46202</v>
          </cell>
        </row>
        <row r="2932">
          <cell r="J2932">
            <v>46199</v>
          </cell>
          <cell r="K2932">
            <v>46212</v>
          </cell>
        </row>
        <row r="2933">
          <cell r="J2933">
            <v>46216</v>
          </cell>
          <cell r="K2933">
            <v>46227</v>
          </cell>
        </row>
        <row r="2934">
          <cell r="J2934">
            <v>46217</v>
          </cell>
          <cell r="K2934">
            <v>46230</v>
          </cell>
        </row>
        <row r="2935">
          <cell r="J2935">
            <v>46219</v>
          </cell>
          <cell r="K2935">
            <v>46241</v>
          </cell>
        </row>
        <row r="2936">
          <cell r="J2936">
            <v>46219</v>
          </cell>
          <cell r="K2936">
            <v>46241</v>
          </cell>
        </row>
        <row r="2937">
          <cell r="J2937">
            <v>46219</v>
          </cell>
          <cell r="K2937">
            <v>46241</v>
          </cell>
        </row>
        <row r="2938">
          <cell r="J2938">
            <v>46224</v>
          </cell>
          <cell r="K2938">
            <v>46239</v>
          </cell>
        </row>
        <row r="2939">
          <cell r="J2939">
            <v>46227</v>
          </cell>
          <cell r="K2939">
            <v>46237</v>
          </cell>
        </row>
        <row r="2940">
          <cell r="J2940">
            <v>46230</v>
          </cell>
          <cell r="K2940">
            <v>46245</v>
          </cell>
        </row>
        <row r="2941">
          <cell r="J2941">
            <v>46230</v>
          </cell>
          <cell r="K2941">
            <v>46245</v>
          </cell>
        </row>
        <row r="2942">
          <cell r="J2942">
            <v>46230</v>
          </cell>
          <cell r="K2942">
            <v>46245</v>
          </cell>
        </row>
        <row r="2943">
          <cell r="J2943">
            <v>46275</v>
          </cell>
          <cell r="K2943">
            <v>46288</v>
          </cell>
        </row>
        <row r="2944">
          <cell r="J2944">
            <v>46275</v>
          </cell>
          <cell r="K2944">
            <v>46288</v>
          </cell>
        </row>
        <row r="2945">
          <cell r="J2945">
            <v>46275</v>
          </cell>
          <cell r="K2945">
            <v>46288</v>
          </cell>
        </row>
        <row r="2946">
          <cell r="J2946">
            <v>46275</v>
          </cell>
          <cell r="K2946">
            <v>46288</v>
          </cell>
        </row>
        <row r="2947">
          <cell r="J2947">
            <v>46282</v>
          </cell>
          <cell r="K2947">
            <v>46295</v>
          </cell>
        </row>
        <row r="2948">
          <cell r="J2948">
            <v>46282</v>
          </cell>
          <cell r="K2948">
            <v>46295</v>
          </cell>
        </row>
        <row r="2949">
          <cell r="J2949">
            <v>46289</v>
          </cell>
          <cell r="K2949">
            <v>46302</v>
          </cell>
        </row>
        <row r="2950">
          <cell r="J2950">
            <v>46289</v>
          </cell>
          <cell r="K2950">
            <v>46302</v>
          </cell>
        </row>
        <row r="2951">
          <cell r="J2951">
            <v>46190</v>
          </cell>
          <cell r="K2951">
            <v>46339</v>
          </cell>
        </row>
        <row r="2952">
          <cell r="J2952">
            <v>46199</v>
          </cell>
          <cell r="K2952">
            <v>46212</v>
          </cell>
        </row>
        <row r="2953">
          <cell r="J2953">
            <v>46199</v>
          </cell>
          <cell r="K2953">
            <v>46212</v>
          </cell>
        </row>
        <row r="2954">
          <cell r="J2954">
            <v>46199</v>
          </cell>
          <cell r="K2954">
            <v>46212</v>
          </cell>
        </row>
        <row r="2955">
          <cell r="J2955">
            <v>46253</v>
          </cell>
          <cell r="K2955">
            <v>46266</v>
          </cell>
        </row>
        <row r="2956">
          <cell r="J2956">
            <v>46253</v>
          </cell>
          <cell r="K2956">
            <v>46266</v>
          </cell>
        </row>
        <row r="2957">
          <cell r="J2957">
            <v>46253</v>
          </cell>
          <cell r="K2957">
            <v>46266</v>
          </cell>
        </row>
        <row r="2958">
          <cell r="J2958">
            <v>46223</v>
          </cell>
          <cell r="K2958">
            <v>46280</v>
          </cell>
        </row>
        <row r="2959">
          <cell r="J2959">
            <v>46205</v>
          </cell>
          <cell r="K2959">
            <v>46218</v>
          </cell>
        </row>
        <row r="2960">
          <cell r="J2960">
            <v>46205</v>
          </cell>
          <cell r="K2960">
            <v>46218</v>
          </cell>
        </row>
        <row r="2961">
          <cell r="J2961">
            <v>46205</v>
          </cell>
          <cell r="K2961">
            <v>46218</v>
          </cell>
        </row>
        <row r="2962">
          <cell r="J2962">
            <v>46282</v>
          </cell>
          <cell r="K2962">
            <v>46288</v>
          </cell>
        </row>
        <row r="2963">
          <cell r="J2963">
            <v>46282</v>
          </cell>
          <cell r="K2963">
            <v>46288</v>
          </cell>
        </row>
        <row r="2964">
          <cell r="J2964">
            <v>46282</v>
          </cell>
          <cell r="K2964">
            <v>46288</v>
          </cell>
        </row>
        <row r="2965">
          <cell r="J2965">
            <v>46258</v>
          </cell>
          <cell r="K2965">
            <v>46280</v>
          </cell>
        </row>
        <row r="2966">
          <cell r="J2966">
            <v>46258</v>
          </cell>
          <cell r="K2966">
            <v>46266</v>
          </cell>
        </row>
        <row r="2967">
          <cell r="J2967">
            <v>46258</v>
          </cell>
          <cell r="K2967">
            <v>46266</v>
          </cell>
        </row>
        <row r="2968">
          <cell r="J2968">
            <v>46258</v>
          </cell>
          <cell r="K2968">
            <v>46266</v>
          </cell>
        </row>
        <row r="2969">
          <cell r="J2969">
            <v>46281</v>
          </cell>
          <cell r="K2969">
            <v>46287</v>
          </cell>
        </row>
        <row r="2970">
          <cell r="J2970">
            <v>46281</v>
          </cell>
          <cell r="K2970">
            <v>46287</v>
          </cell>
        </row>
        <row r="2971">
          <cell r="J2971">
            <v>46281</v>
          </cell>
          <cell r="K2971">
            <v>46287</v>
          </cell>
        </row>
        <row r="2972">
          <cell r="J2972">
            <v>46112</v>
          </cell>
          <cell r="K2972">
            <v>46356</v>
          </cell>
        </row>
        <row r="2973">
          <cell r="J2973">
            <v>46112</v>
          </cell>
          <cell r="K2973">
            <v>46157</v>
          </cell>
        </row>
        <row r="2974">
          <cell r="J2974">
            <v>46132</v>
          </cell>
          <cell r="K2974">
            <v>46156</v>
          </cell>
        </row>
        <row r="2975">
          <cell r="J2975">
            <v>46140</v>
          </cell>
          <cell r="K2975">
            <v>46178</v>
          </cell>
        </row>
        <row r="2976">
          <cell r="J2976">
            <v>46140</v>
          </cell>
          <cell r="K2976">
            <v>46178</v>
          </cell>
        </row>
        <row r="2977">
          <cell r="J2977">
            <v>46140</v>
          </cell>
          <cell r="K2977">
            <v>46192</v>
          </cell>
        </row>
        <row r="2978">
          <cell r="J2978">
            <v>46142</v>
          </cell>
          <cell r="K2978">
            <v>46175</v>
          </cell>
        </row>
        <row r="2979">
          <cell r="J2979">
            <v>46154</v>
          </cell>
          <cell r="K2979">
            <v>46230</v>
          </cell>
        </row>
        <row r="2980">
          <cell r="J2980">
            <v>46160</v>
          </cell>
          <cell r="K2980">
            <v>46185</v>
          </cell>
        </row>
        <row r="2981">
          <cell r="J2981">
            <v>46161</v>
          </cell>
          <cell r="K2981">
            <v>46218</v>
          </cell>
        </row>
        <row r="2982">
          <cell r="J2982">
            <v>46164</v>
          </cell>
          <cell r="K2982">
            <v>46182</v>
          </cell>
        </row>
        <row r="2983">
          <cell r="J2983">
            <v>46167</v>
          </cell>
          <cell r="K2983">
            <v>46175</v>
          </cell>
        </row>
        <row r="2984">
          <cell r="J2984">
            <v>46177</v>
          </cell>
          <cell r="K2984">
            <v>46218</v>
          </cell>
        </row>
        <row r="2985">
          <cell r="J2985">
            <v>46184</v>
          </cell>
          <cell r="K2985">
            <v>46199</v>
          </cell>
        </row>
        <row r="2986">
          <cell r="J2986">
            <v>46188</v>
          </cell>
          <cell r="K2986">
            <v>46206</v>
          </cell>
        </row>
        <row r="2987">
          <cell r="J2987">
            <v>46196</v>
          </cell>
          <cell r="K2987">
            <v>46220</v>
          </cell>
        </row>
        <row r="2988">
          <cell r="J2988">
            <v>46198</v>
          </cell>
          <cell r="K2988">
            <v>46218</v>
          </cell>
        </row>
        <row r="2989">
          <cell r="J2989">
            <v>46199</v>
          </cell>
          <cell r="K2989">
            <v>46212</v>
          </cell>
        </row>
        <row r="2990">
          <cell r="J2990">
            <v>46199</v>
          </cell>
          <cell r="K2990">
            <v>46213</v>
          </cell>
        </row>
        <row r="2991">
          <cell r="J2991">
            <v>46199</v>
          </cell>
          <cell r="K2991">
            <v>46212</v>
          </cell>
        </row>
        <row r="2992">
          <cell r="J2992">
            <v>46202</v>
          </cell>
          <cell r="K2992">
            <v>46227</v>
          </cell>
        </row>
        <row r="2993">
          <cell r="J2993">
            <v>46204</v>
          </cell>
          <cell r="K2993">
            <v>46210</v>
          </cell>
        </row>
        <row r="2994">
          <cell r="J2994">
            <v>46205</v>
          </cell>
          <cell r="K2994">
            <v>46265</v>
          </cell>
        </row>
        <row r="2995">
          <cell r="J2995">
            <v>46213</v>
          </cell>
          <cell r="K2995">
            <v>46252</v>
          </cell>
        </row>
        <row r="2996">
          <cell r="J2996">
            <v>46216</v>
          </cell>
          <cell r="K2996">
            <v>46220</v>
          </cell>
        </row>
        <row r="2997">
          <cell r="J2997">
            <v>46223</v>
          </cell>
          <cell r="K2997">
            <v>46238</v>
          </cell>
        </row>
        <row r="2998">
          <cell r="J2998">
            <v>46225</v>
          </cell>
          <cell r="K2998">
            <v>46272</v>
          </cell>
        </row>
        <row r="2999">
          <cell r="J2999">
            <v>46225</v>
          </cell>
          <cell r="K2999">
            <v>46272</v>
          </cell>
        </row>
        <row r="3000">
          <cell r="J3000">
            <v>46227</v>
          </cell>
          <cell r="K3000">
            <v>46244</v>
          </cell>
        </row>
        <row r="3001">
          <cell r="J3001">
            <v>46237</v>
          </cell>
          <cell r="K3001">
            <v>46241</v>
          </cell>
        </row>
        <row r="3002">
          <cell r="J3002">
            <v>46237</v>
          </cell>
          <cell r="K3002">
            <v>46241</v>
          </cell>
        </row>
        <row r="3003">
          <cell r="J3003">
            <v>46237</v>
          </cell>
          <cell r="K3003">
            <v>46251</v>
          </cell>
        </row>
        <row r="3004">
          <cell r="J3004">
            <v>46237</v>
          </cell>
          <cell r="K3004">
            <v>46251</v>
          </cell>
        </row>
        <row r="3005">
          <cell r="J3005">
            <v>46237</v>
          </cell>
          <cell r="K3005">
            <v>46251</v>
          </cell>
        </row>
        <row r="3006">
          <cell r="J3006">
            <v>46245</v>
          </cell>
          <cell r="K3006">
            <v>46252</v>
          </cell>
        </row>
        <row r="3007">
          <cell r="J3007">
            <v>46248</v>
          </cell>
          <cell r="K3007">
            <v>46261</v>
          </cell>
        </row>
        <row r="3008">
          <cell r="J3008">
            <v>46255</v>
          </cell>
          <cell r="K3008">
            <v>46268</v>
          </cell>
        </row>
        <row r="3009">
          <cell r="J3009">
            <v>46265</v>
          </cell>
          <cell r="K3009">
            <v>46269</v>
          </cell>
        </row>
        <row r="3010">
          <cell r="J3010">
            <v>46266</v>
          </cell>
          <cell r="K3010">
            <v>46279</v>
          </cell>
        </row>
        <row r="3011">
          <cell r="J3011">
            <v>46267</v>
          </cell>
          <cell r="K3011">
            <v>46273</v>
          </cell>
        </row>
        <row r="3012">
          <cell r="J3012">
            <v>46269</v>
          </cell>
          <cell r="K3012">
            <v>46282</v>
          </cell>
        </row>
        <row r="3013">
          <cell r="J3013">
            <v>46275</v>
          </cell>
          <cell r="K3013">
            <v>46288</v>
          </cell>
        </row>
        <row r="3014">
          <cell r="J3014">
            <v>46276</v>
          </cell>
          <cell r="K3014">
            <v>46289</v>
          </cell>
        </row>
        <row r="3015">
          <cell r="J3015">
            <v>46280</v>
          </cell>
          <cell r="K3015">
            <v>46293</v>
          </cell>
        </row>
        <row r="3016">
          <cell r="J3016">
            <v>46283</v>
          </cell>
          <cell r="K3016">
            <v>46296</v>
          </cell>
        </row>
        <row r="3017">
          <cell r="J3017">
            <v>46286</v>
          </cell>
          <cell r="K3017">
            <v>46290</v>
          </cell>
        </row>
        <row r="3018">
          <cell r="J3018">
            <v>46287</v>
          </cell>
          <cell r="K3018">
            <v>46300</v>
          </cell>
        </row>
        <row r="3019">
          <cell r="J3019">
            <v>46287</v>
          </cell>
          <cell r="K3019">
            <v>46300</v>
          </cell>
        </row>
        <row r="3020">
          <cell r="J3020">
            <v>46288</v>
          </cell>
          <cell r="K3020">
            <v>46294</v>
          </cell>
        </row>
        <row r="3021">
          <cell r="J3021">
            <v>46295</v>
          </cell>
          <cell r="K3021">
            <v>46301</v>
          </cell>
        </row>
        <row r="3022">
          <cell r="J3022">
            <v>46297</v>
          </cell>
          <cell r="K3022">
            <v>46303</v>
          </cell>
        </row>
        <row r="3023">
          <cell r="J3023">
            <v>46297</v>
          </cell>
          <cell r="K3023">
            <v>46311</v>
          </cell>
        </row>
        <row r="3024">
          <cell r="J3024">
            <v>46309</v>
          </cell>
          <cell r="K3024">
            <v>46323</v>
          </cell>
        </row>
        <row r="3025">
          <cell r="J3025">
            <v>46311</v>
          </cell>
          <cell r="K3025">
            <v>46356</v>
          </cell>
        </row>
        <row r="3026">
          <cell r="J3026">
            <v>46316</v>
          </cell>
          <cell r="K3026">
            <v>46330</v>
          </cell>
        </row>
        <row r="3027">
          <cell r="J3027">
            <v>46316</v>
          </cell>
          <cell r="K3027">
            <v>46330</v>
          </cell>
        </row>
        <row r="3028">
          <cell r="J3028">
            <v>46322</v>
          </cell>
          <cell r="K3028">
            <v>46325</v>
          </cell>
        </row>
        <row r="3029">
          <cell r="J3029">
            <v>46372</v>
          </cell>
          <cell r="K3029">
            <v>46386</v>
          </cell>
        </row>
        <row r="3030">
          <cell r="J3030">
            <v>46113</v>
          </cell>
          <cell r="K3030">
            <v>46540</v>
          </cell>
        </row>
        <row r="3031">
          <cell r="J3031">
            <v>46113</v>
          </cell>
          <cell r="K3031">
            <v>46540</v>
          </cell>
        </row>
        <row r="3032">
          <cell r="J3032">
            <v>46136</v>
          </cell>
          <cell r="K3032">
            <v>46540</v>
          </cell>
        </row>
        <row r="3033">
          <cell r="J3033">
            <v>46136</v>
          </cell>
          <cell r="K3033">
            <v>46540</v>
          </cell>
        </row>
        <row r="3034">
          <cell r="J3034">
            <v>46136</v>
          </cell>
          <cell r="K3034">
            <v>46142</v>
          </cell>
        </row>
        <row r="3035">
          <cell r="J3035">
            <v>46142</v>
          </cell>
          <cell r="K3035">
            <v>46142</v>
          </cell>
        </row>
        <row r="3036">
          <cell r="J3036">
            <v>46142</v>
          </cell>
          <cell r="K3036">
            <v>46142</v>
          </cell>
        </row>
        <row r="3037">
          <cell r="J3037">
            <v>46142</v>
          </cell>
          <cell r="K3037">
            <v>46157</v>
          </cell>
        </row>
        <row r="3038">
          <cell r="J3038">
            <v>46198</v>
          </cell>
          <cell r="K3038">
            <v>46211</v>
          </cell>
        </row>
        <row r="3039">
          <cell r="J3039">
            <v>46212</v>
          </cell>
          <cell r="K3039">
            <v>46248</v>
          </cell>
        </row>
        <row r="3040">
          <cell r="J3040">
            <v>46251</v>
          </cell>
          <cell r="K3040">
            <v>46262</v>
          </cell>
        </row>
        <row r="3041">
          <cell r="J3041">
            <v>46308</v>
          </cell>
          <cell r="K3041">
            <v>46540</v>
          </cell>
        </row>
        <row r="3042">
          <cell r="J3042">
            <v>46171</v>
          </cell>
          <cell r="K3042">
            <v>46454</v>
          </cell>
        </row>
        <row r="3043">
          <cell r="J3043">
            <v>46171</v>
          </cell>
          <cell r="K3043">
            <v>46217</v>
          </cell>
        </row>
        <row r="3044">
          <cell r="J3044">
            <v>46217</v>
          </cell>
          <cell r="K3044">
            <v>46217</v>
          </cell>
        </row>
        <row r="3045">
          <cell r="J3045">
            <v>46217</v>
          </cell>
          <cell r="K3045">
            <v>46217</v>
          </cell>
        </row>
        <row r="3046">
          <cell r="J3046">
            <v>46217</v>
          </cell>
          <cell r="K3046">
            <v>46231</v>
          </cell>
        </row>
        <row r="3047">
          <cell r="J3047">
            <v>46266</v>
          </cell>
          <cell r="K3047">
            <v>46279</v>
          </cell>
        </row>
        <row r="3048">
          <cell r="J3048">
            <v>46280</v>
          </cell>
          <cell r="K3048">
            <v>46317</v>
          </cell>
        </row>
        <row r="3049">
          <cell r="J3049">
            <v>46321</v>
          </cell>
          <cell r="K3049">
            <v>46332</v>
          </cell>
        </row>
        <row r="3050">
          <cell r="J3050">
            <v>46378</v>
          </cell>
          <cell r="K3050">
            <v>46454</v>
          </cell>
        </row>
        <row r="3051">
          <cell r="J3051">
            <v>46168</v>
          </cell>
          <cell r="K3051">
            <v>46433</v>
          </cell>
        </row>
        <row r="3052">
          <cell r="J3052">
            <v>46168</v>
          </cell>
          <cell r="K3052">
            <v>46182</v>
          </cell>
        </row>
        <row r="3053">
          <cell r="J3053">
            <v>46182</v>
          </cell>
          <cell r="K3053">
            <v>46182</v>
          </cell>
        </row>
        <row r="3054">
          <cell r="J3054">
            <v>46182</v>
          </cell>
          <cell r="K3054">
            <v>46182</v>
          </cell>
        </row>
        <row r="3055">
          <cell r="J3055">
            <v>46183</v>
          </cell>
          <cell r="K3055">
            <v>46204</v>
          </cell>
        </row>
        <row r="3056">
          <cell r="J3056">
            <v>46240</v>
          </cell>
          <cell r="K3056">
            <v>46253</v>
          </cell>
        </row>
        <row r="3057">
          <cell r="J3057">
            <v>46254</v>
          </cell>
          <cell r="K3057">
            <v>46293</v>
          </cell>
        </row>
        <row r="3058">
          <cell r="J3058">
            <v>46294</v>
          </cell>
          <cell r="K3058">
            <v>46307</v>
          </cell>
        </row>
        <row r="3059">
          <cell r="J3059">
            <v>46371</v>
          </cell>
          <cell r="K3059">
            <v>46433</v>
          </cell>
        </row>
        <row r="3060">
          <cell r="J3060">
            <v>46157</v>
          </cell>
          <cell r="K3060">
            <v>46440</v>
          </cell>
        </row>
        <row r="3061">
          <cell r="J3061">
            <v>46160</v>
          </cell>
          <cell r="K3061">
            <v>46162</v>
          </cell>
        </row>
        <row r="3062">
          <cell r="J3062">
            <v>46162</v>
          </cell>
          <cell r="K3062">
            <v>46162</v>
          </cell>
        </row>
        <row r="3063">
          <cell r="J3063">
            <v>46162</v>
          </cell>
          <cell r="K3063">
            <v>46162</v>
          </cell>
        </row>
        <row r="3064">
          <cell r="J3064">
            <v>46163</v>
          </cell>
          <cell r="K3064">
            <v>46183</v>
          </cell>
        </row>
        <row r="3065">
          <cell r="J3065">
            <v>46217</v>
          </cell>
          <cell r="K3065">
            <v>46230</v>
          </cell>
        </row>
        <row r="3066">
          <cell r="J3066">
            <v>46231</v>
          </cell>
          <cell r="K3066">
            <v>46267</v>
          </cell>
        </row>
        <row r="3067">
          <cell r="J3067">
            <v>46268</v>
          </cell>
          <cell r="K3067">
            <v>46281</v>
          </cell>
        </row>
        <row r="3068">
          <cell r="J3068">
            <v>46345</v>
          </cell>
          <cell r="K3068">
            <v>46440</v>
          </cell>
        </row>
        <row r="3069">
          <cell r="J3069">
            <v>46160</v>
          </cell>
          <cell r="K3069">
            <v>46442</v>
          </cell>
        </row>
        <row r="3070">
          <cell r="J3070">
            <v>46160</v>
          </cell>
          <cell r="K3070">
            <v>46182</v>
          </cell>
        </row>
        <row r="3071">
          <cell r="J3071">
            <v>46182</v>
          </cell>
          <cell r="K3071">
            <v>46182</v>
          </cell>
        </row>
        <row r="3072">
          <cell r="J3072">
            <v>46182</v>
          </cell>
          <cell r="K3072">
            <v>46182</v>
          </cell>
        </row>
        <row r="3073">
          <cell r="J3073">
            <v>46183</v>
          </cell>
          <cell r="K3073">
            <v>46183</v>
          </cell>
        </row>
        <row r="3074">
          <cell r="J3074">
            <v>46212</v>
          </cell>
          <cell r="K3074">
            <v>46225</v>
          </cell>
        </row>
        <row r="3075">
          <cell r="J3075">
            <v>46226</v>
          </cell>
          <cell r="K3075">
            <v>46262</v>
          </cell>
        </row>
        <row r="3076">
          <cell r="J3076">
            <v>46265</v>
          </cell>
          <cell r="K3076">
            <v>46276</v>
          </cell>
        </row>
        <row r="3077">
          <cell r="J3077">
            <v>46386</v>
          </cell>
          <cell r="K3077">
            <v>46445</v>
          </cell>
        </row>
        <row r="3078">
          <cell r="J3078">
            <v>46140</v>
          </cell>
          <cell r="K3078">
            <v>46458</v>
          </cell>
        </row>
        <row r="3079">
          <cell r="J3079">
            <v>46139</v>
          </cell>
          <cell r="K3079">
            <v>46153</v>
          </cell>
        </row>
        <row r="3080">
          <cell r="J3080">
            <v>46153</v>
          </cell>
          <cell r="K3080">
            <v>46153</v>
          </cell>
        </row>
        <row r="3081">
          <cell r="J3081">
            <v>46154</v>
          </cell>
          <cell r="K3081">
            <v>46161</v>
          </cell>
        </row>
        <row r="3082">
          <cell r="J3082">
            <v>46154</v>
          </cell>
          <cell r="K3082">
            <v>46183</v>
          </cell>
        </row>
        <row r="3083">
          <cell r="J3083">
            <v>46209</v>
          </cell>
          <cell r="K3083">
            <v>46220</v>
          </cell>
        </row>
        <row r="3084">
          <cell r="J3084">
            <v>46223</v>
          </cell>
          <cell r="K3084">
            <v>46259</v>
          </cell>
        </row>
        <row r="3085">
          <cell r="J3085">
            <v>46260</v>
          </cell>
          <cell r="K3085">
            <v>46273</v>
          </cell>
        </row>
        <row r="3086">
          <cell r="J3086">
            <v>46333</v>
          </cell>
          <cell r="K3086">
            <v>46458</v>
          </cell>
        </row>
        <row r="3087">
          <cell r="J3087">
            <v>46136</v>
          </cell>
          <cell r="K3087">
            <v>46426</v>
          </cell>
        </row>
        <row r="3088">
          <cell r="J3088">
            <v>46136</v>
          </cell>
          <cell r="K3088">
            <v>46153</v>
          </cell>
        </row>
        <row r="3089">
          <cell r="J3089">
            <v>46153</v>
          </cell>
          <cell r="K3089">
            <v>46153</v>
          </cell>
        </row>
        <row r="3090">
          <cell r="J3090">
            <v>46153</v>
          </cell>
          <cell r="K3090">
            <v>46153</v>
          </cell>
        </row>
        <row r="3091">
          <cell r="J3091">
            <v>46153</v>
          </cell>
          <cell r="K3091">
            <v>46167</v>
          </cell>
        </row>
        <row r="3092">
          <cell r="J3092">
            <v>46203</v>
          </cell>
          <cell r="K3092">
            <v>46216</v>
          </cell>
        </row>
        <row r="3093">
          <cell r="J3093">
            <v>46217</v>
          </cell>
          <cell r="K3093">
            <v>46253</v>
          </cell>
        </row>
        <row r="3094">
          <cell r="J3094">
            <v>46254</v>
          </cell>
          <cell r="K3094">
            <v>46267</v>
          </cell>
        </row>
        <row r="3095">
          <cell r="J3095">
            <v>46329</v>
          </cell>
          <cell r="K3095">
            <v>46426</v>
          </cell>
        </row>
        <row r="3096">
          <cell r="J3096">
            <v>46153</v>
          </cell>
          <cell r="K3096">
            <v>46447</v>
          </cell>
        </row>
        <row r="3097">
          <cell r="J3097">
            <v>46153</v>
          </cell>
          <cell r="K3097">
            <v>46167</v>
          </cell>
        </row>
        <row r="3098">
          <cell r="J3098">
            <v>46167</v>
          </cell>
          <cell r="K3098">
            <v>46167</v>
          </cell>
        </row>
        <row r="3099">
          <cell r="J3099">
            <v>46167</v>
          </cell>
          <cell r="K3099">
            <v>46167</v>
          </cell>
        </row>
        <row r="3100">
          <cell r="J3100">
            <v>46168</v>
          </cell>
          <cell r="K3100">
            <v>46190</v>
          </cell>
        </row>
        <row r="3101">
          <cell r="J3101">
            <v>46210</v>
          </cell>
          <cell r="K3101">
            <v>46223</v>
          </cell>
        </row>
        <row r="3102">
          <cell r="J3102">
            <v>46224</v>
          </cell>
          <cell r="K3102">
            <v>46260</v>
          </cell>
        </row>
        <row r="3103">
          <cell r="J3103">
            <v>46261</v>
          </cell>
          <cell r="K3103">
            <v>46274</v>
          </cell>
        </row>
        <row r="3104">
          <cell r="J3104">
            <v>46338</v>
          </cell>
          <cell r="K3104">
            <v>46447</v>
          </cell>
        </row>
        <row r="3105">
          <cell r="J3105">
            <v>46160</v>
          </cell>
          <cell r="K3105">
            <v>46413</v>
          </cell>
        </row>
        <row r="3106">
          <cell r="J3106">
            <v>46160</v>
          </cell>
          <cell r="K3106">
            <v>46182</v>
          </cell>
        </row>
        <row r="3107">
          <cell r="J3107">
            <v>46182</v>
          </cell>
          <cell r="K3107">
            <v>46182</v>
          </cell>
        </row>
        <row r="3108">
          <cell r="J3108">
            <v>46182</v>
          </cell>
          <cell r="K3108">
            <v>46182</v>
          </cell>
        </row>
        <row r="3109">
          <cell r="J3109">
            <v>46183</v>
          </cell>
          <cell r="K3109">
            <v>46185</v>
          </cell>
        </row>
        <row r="3110">
          <cell r="J3110">
            <v>46218</v>
          </cell>
          <cell r="K3110">
            <v>46231</v>
          </cell>
        </row>
        <row r="3111">
          <cell r="J3111">
            <v>46232</v>
          </cell>
          <cell r="K3111">
            <v>46268</v>
          </cell>
        </row>
        <row r="3112">
          <cell r="J3112">
            <v>46269</v>
          </cell>
          <cell r="K3112">
            <v>46282</v>
          </cell>
        </row>
        <row r="3113">
          <cell r="J3113">
            <v>46346</v>
          </cell>
          <cell r="K3113">
            <v>46413</v>
          </cell>
        </row>
        <row r="3114">
          <cell r="J3114">
            <v>46164</v>
          </cell>
          <cell r="K3114">
            <v>46422</v>
          </cell>
        </row>
        <row r="3115">
          <cell r="J3115">
            <v>46164</v>
          </cell>
          <cell r="K3115">
            <v>46183</v>
          </cell>
        </row>
        <row r="3116">
          <cell r="J3116">
            <v>46183</v>
          </cell>
          <cell r="K3116">
            <v>46183</v>
          </cell>
        </row>
        <row r="3117">
          <cell r="J3117">
            <v>46183</v>
          </cell>
          <cell r="K3117">
            <v>46183</v>
          </cell>
        </row>
        <row r="3118">
          <cell r="J3118">
            <v>46183</v>
          </cell>
          <cell r="K3118">
            <v>46183</v>
          </cell>
        </row>
        <row r="3119">
          <cell r="J3119">
            <v>46238</v>
          </cell>
          <cell r="K3119">
            <v>46254</v>
          </cell>
        </row>
        <row r="3120">
          <cell r="J3120">
            <v>46255</v>
          </cell>
          <cell r="K3120">
            <v>46294</v>
          </cell>
        </row>
        <row r="3121">
          <cell r="J3121">
            <v>46295</v>
          </cell>
          <cell r="K3121">
            <v>46309</v>
          </cell>
        </row>
        <row r="3122">
          <cell r="J3122">
            <v>46368</v>
          </cell>
          <cell r="K3122">
            <v>46422</v>
          </cell>
        </row>
        <row r="3123">
          <cell r="J3123">
            <v>46167</v>
          </cell>
          <cell r="K3123">
            <v>46425</v>
          </cell>
        </row>
        <row r="3124">
          <cell r="J3124">
            <v>46167</v>
          </cell>
          <cell r="K3124">
            <v>46171</v>
          </cell>
        </row>
        <row r="3125">
          <cell r="J3125">
            <v>46174</v>
          </cell>
          <cell r="K3125">
            <v>46174</v>
          </cell>
        </row>
        <row r="3126">
          <cell r="J3126">
            <v>46175</v>
          </cell>
          <cell r="K3126">
            <v>46175</v>
          </cell>
        </row>
        <row r="3127">
          <cell r="J3127">
            <v>46176</v>
          </cell>
          <cell r="K3127">
            <v>46197</v>
          </cell>
        </row>
        <row r="3128">
          <cell r="J3128">
            <v>46226</v>
          </cell>
          <cell r="K3128">
            <v>46244</v>
          </cell>
        </row>
        <row r="3129">
          <cell r="J3129">
            <v>46245</v>
          </cell>
          <cell r="K3129">
            <v>46281</v>
          </cell>
        </row>
        <row r="3130">
          <cell r="J3130">
            <v>46282</v>
          </cell>
          <cell r="K3130">
            <v>46295</v>
          </cell>
        </row>
        <row r="3131">
          <cell r="J3131">
            <v>46361</v>
          </cell>
          <cell r="K3131">
            <v>46412</v>
          </cell>
        </row>
        <row r="3132">
          <cell r="J3132">
            <v>46371</v>
          </cell>
          <cell r="K3132">
            <v>46425</v>
          </cell>
        </row>
        <row r="3133">
          <cell r="J3133">
            <v>46371</v>
          </cell>
          <cell r="K3133">
            <v>46425</v>
          </cell>
        </row>
        <row r="3134">
          <cell r="J3134">
            <v>46153</v>
          </cell>
          <cell r="K3134">
            <v>46467</v>
          </cell>
        </row>
        <row r="3135">
          <cell r="J3135">
            <v>46153</v>
          </cell>
          <cell r="K3135">
            <v>46182</v>
          </cell>
        </row>
        <row r="3136">
          <cell r="J3136">
            <v>46182</v>
          </cell>
          <cell r="K3136">
            <v>46182</v>
          </cell>
        </row>
        <row r="3137">
          <cell r="J3137">
            <v>46182</v>
          </cell>
          <cell r="K3137">
            <v>46182</v>
          </cell>
        </row>
        <row r="3138">
          <cell r="J3138">
            <v>46182</v>
          </cell>
          <cell r="K3138">
            <v>46185</v>
          </cell>
        </row>
        <row r="3139">
          <cell r="J3139">
            <v>46230</v>
          </cell>
          <cell r="K3139">
            <v>46241</v>
          </cell>
        </row>
        <row r="3140">
          <cell r="J3140">
            <v>46244</v>
          </cell>
          <cell r="K3140">
            <v>46280</v>
          </cell>
        </row>
        <row r="3141">
          <cell r="J3141">
            <v>46281</v>
          </cell>
          <cell r="K3141">
            <v>46294</v>
          </cell>
        </row>
        <row r="3142">
          <cell r="J3142">
            <v>46408</v>
          </cell>
          <cell r="K3142">
            <v>46467</v>
          </cell>
        </row>
        <row r="3143">
          <cell r="J3143">
            <v>46171</v>
          </cell>
          <cell r="K3143">
            <v>46479</v>
          </cell>
        </row>
        <row r="3144">
          <cell r="J3144">
            <v>46171</v>
          </cell>
          <cell r="K3144">
            <v>46185</v>
          </cell>
        </row>
        <row r="3145">
          <cell r="J3145">
            <v>46185</v>
          </cell>
          <cell r="K3145">
            <v>46185</v>
          </cell>
        </row>
        <row r="3146">
          <cell r="J3146">
            <v>46185</v>
          </cell>
          <cell r="K3146">
            <v>46185</v>
          </cell>
        </row>
        <row r="3147">
          <cell r="J3147">
            <v>46190</v>
          </cell>
          <cell r="K3147">
            <v>46195</v>
          </cell>
        </row>
        <row r="3148">
          <cell r="J3148">
            <v>46244</v>
          </cell>
          <cell r="K3148">
            <v>46255</v>
          </cell>
        </row>
        <row r="3149">
          <cell r="J3149">
            <v>46258</v>
          </cell>
          <cell r="K3149">
            <v>46295</v>
          </cell>
        </row>
        <row r="3150">
          <cell r="J3150">
            <v>46296</v>
          </cell>
          <cell r="K3150">
            <v>46310</v>
          </cell>
        </row>
        <row r="3151">
          <cell r="J3151">
            <v>46422</v>
          </cell>
          <cell r="K3151">
            <v>46479</v>
          </cell>
        </row>
        <row r="3152">
          <cell r="J3152">
            <v>46153</v>
          </cell>
          <cell r="K3152">
            <v>46476</v>
          </cell>
        </row>
        <row r="3153">
          <cell r="J3153">
            <v>46153</v>
          </cell>
          <cell r="K3153">
            <v>46167</v>
          </cell>
        </row>
        <row r="3154">
          <cell r="J3154">
            <v>46167</v>
          </cell>
          <cell r="K3154">
            <v>46167</v>
          </cell>
        </row>
        <row r="3155">
          <cell r="J3155">
            <v>46167</v>
          </cell>
          <cell r="K3155">
            <v>46167</v>
          </cell>
        </row>
        <row r="3156">
          <cell r="J3156">
            <v>46168</v>
          </cell>
          <cell r="K3156">
            <v>46184</v>
          </cell>
        </row>
        <row r="3157">
          <cell r="J3157">
            <v>46239</v>
          </cell>
          <cell r="K3157">
            <v>46252</v>
          </cell>
        </row>
        <row r="3158">
          <cell r="J3158">
            <v>46253</v>
          </cell>
          <cell r="K3158">
            <v>46289</v>
          </cell>
        </row>
        <row r="3159">
          <cell r="J3159">
            <v>46290</v>
          </cell>
          <cell r="K3159">
            <v>46303</v>
          </cell>
        </row>
        <row r="3160">
          <cell r="J3160">
            <v>46395</v>
          </cell>
          <cell r="K3160">
            <v>46476</v>
          </cell>
        </row>
        <row r="3161">
          <cell r="J3161">
            <v>46163</v>
          </cell>
          <cell r="K3161">
            <v>46458</v>
          </cell>
        </row>
        <row r="3162">
          <cell r="J3162">
            <v>46164</v>
          </cell>
          <cell r="K3162">
            <v>46456</v>
          </cell>
        </row>
        <row r="3163">
          <cell r="J3163">
            <v>46164</v>
          </cell>
          <cell r="K3163">
            <v>46175</v>
          </cell>
        </row>
        <row r="3164">
          <cell r="J3164">
            <v>46175</v>
          </cell>
          <cell r="K3164">
            <v>46175</v>
          </cell>
        </row>
        <row r="3165">
          <cell r="J3165">
            <v>46175</v>
          </cell>
          <cell r="K3165">
            <v>46175</v>
          </cell>
        </row>
        <row r="3166">
          <cell r="J3166">
            <v>46176</v>
          </cell>
          <cell r="K3166">
            <v>46189</v>
          </cell>
        </row>
        <row r="3167">
          <cell r="J3167">
            <v>46220</v>
          </cell>
          <cell r="K3167">
            <v>46233</v>
          </cell>
        </row>
        <row r="3168">
          <cell r="J3168">
            <v>46234</v>
          </cell>
          <cell r="K3168">
            <v>46272</v>
          </cell>
        </row>
        <row r="3169">
          <cell r="J3169">
            <v>46273</v>
          </cell>
          <cell r="K3169">
            <v>46286</v>
          </cell>
        </row>
        <row r="3170">
          <cell r="J3170">
            <v>46345</v>
          </cell>
          <cell r="K3170">
            <v>46456</v>
          </cell>
        </row>
        <row r="3171">
          <cell r="J3171">
            <v>46168</v>
          </cell>
          <cell r="K3171">
            <v>46427</v>
          </cell>
        </row>
        <row r="3172">
          <cell r="J3172">
            <v>46168</v>
          </cell>
          <cell r="K3172">
            <v>46171</v>
          </cell>
        </row>
        <row r="3173">
          <cell r="J3173">
            <v>46171</v>
          </cell>
          <cell r="K3173">
            <v>46171</v>
          </cell>
        </row>
        <row r="3174">
          <cell r="J3174">
            <v>46171</v>
          </cell>
          <cell r="K3174">
            <v>46182</v>
          </cell>
        </row>
        <row r="3175">
          <cell r="J3175">
            <v>46183</v>
          </cell>
          <cell r="K3175">
            <v>46197</v>
          </cell>
        </row>
        <row r="3176">
          <cell r="J3176">
            <v>46234</v>
          </cell>
          <cell r="K3176">
            <v>46247</v>
          </cell>
        </row>
        <row r="3177">
          <cell r="J3177">
            <v>46248</v>
          </cell>
          <cell r="K3177">
            <v>46279</v>
          </cell>
        </row>
        <row r="3178">
          <cell r="J3178">
            <v>46280</v>
          </cell>
          <cell r="K3178">
            <v>46293</v>
          </cell>
        </row>
        <row r="3179">
          <cell r="J3179">
            <v>46353</v>
          </cell>
          <cell r="K3179">
            <v>46427</v>
          </cell>
        </row>
        <row r="3180">
          <cell r="J3180">
            <v>46168</v>
          </cell>
          <cell r="K3180">
            <v>46434</v>
          </cell>
        </row>
        <row r="3181">
          <cell r="J3181">
            <v>46168</v>
          </cell>
          <cell r="K3181">
            <v>46171</v>
          </cell>
        </row>
        <row r="3182">
          <cell r="J3182">
            <v>46171</v>
          </cell>
          <cell r="K3182">
            <v>46171</v>
          </cell>
        </row>
        <row r="3183">
          <cell r="J3183">
            <v>46171</v>
          </cell>
          <cell r="K3183">
            <v>46182</v>
          </cell>
        </row>
        <row r="3184">
          <cell r="J3184">
            <v>46183</v>
          </cell>
          <cell r="K3184">
            <v>46197</v>
          </cell>
        </row>
        <row r="3185">
          <cell r="J3185">
            <v>46241</v>
          </cell>
          <cell r="K3185">
            <v>46254</v>
          </cell>
        </row>
        <row r="3186">
          <cell r="J3186">
            <v>46255</v>
          </cell>
          <cell r="K3186">
            <v>46286</v>
          </cell>
        </row>
        <row r="3187">
          <cell r="J3187">
            <v>46287</v>
          </cell>
          <cell r="K3187">
            <v>46300</v>
          </cell>
        </row>
        <row r="3188">
          <cell r="J3188">
            <v>46360</v>
          </cell>
          <cell r="K3188">
            <v>46434</v>
          </cell>
        </row>
        <row r="3189">
          <cell r="J3189">
            <v>46168</v>
          </cell>
          <cell r="K3189">
            <v>46450</v>
          </cell>
        </row>
        <row r="3190">
          <cell r="J3190">
            <v>46168</v>
          </cell>
          <cell r="K3190">
            <v>46171</v>
          </cell>
        </row>
        <row r="3191">
          <cell r="J3191">
            <v>46171</v>
          </cell>
          <cell r="K3191">
            <v>46171</v>
          </cell>
        </row>
        <row r="3192">
          <cell r="J3192">
            <v>46175</v>
          </cell>
          <cell r="K3192">
            <v>46182</v>
          </cell>
        </row>
        <row r="3193">
          <cell r="J3193">
            <v>46183</v>
          </cell>
          <cell r="K3193">
            <v>46197</v>
          </cell>
        </row>
        <row r="3194">
          <cell r="J3194">
            <v>46241</v>
          </cell>
          <cell r="K3194">
            <v>46254</v>
          </cell>
        </row>
        <row r="3195">
          <cell r="J3195">
            <v>46255</v>
          </cell>
          <cell r="K3195">
            <v>46286</v>
          </cell>
        </row>
        <row r="3196">
          <cell r="J3196">
            <v>46287</v>
          </cell>
          <cell r="K3196">
            <v>46300</v>
          </cell>
        </row>
        <row r="3197">
          <cell r="J3197">
            <v>46360</v>
          </cell>
          <cell r="K3197">
            <v>46450</v>
          </cell>
        </row>
        <row r="3198">
          <cell r="J3198">
            <v>46168</v>
          </cell>
          <cell r="K3198">
            <v>46450</v>
          </cell>
        </row>
        <row r="3199">
          <cell r="J3199">
            <v>46168</v>
          </cell>
          <cell r="K3199">
            <v>46171</v>
          </cell>
        </row>
        <row r="3200">
          <cell r="J3200">
            <v>46171</v>
          </cell>
          <cell r="K3200">
            <v>46171</v>
          </cell>
        </row>
        <row r="3201">
          <cell r="J3201">
            <v>46175</v>
          </cell>
          <cell r="K3201">
            <v>46182</v>
          </cell>
        </row>
        <row r="3202">
          <cell r="J3202">
            <v>46183</v>
          </cell>
          <cell r="K3202">
            <v>46197</v>
          </cell>
        </row>
        <row r="3203">
          <cell r="J3203">
            <v>46241</v>
          </cell>
          <cell r="K3203">
            <v>46254</v>
          </cell>
        </row>
        <row r="3204">
          <cell r="J3204">
            <v>46255</v>
          </cell>
          <cell r="K3204">
            <v>46286</v>
          </cell>
        </row>
        <row r="3205">
          <cell r="J3205">
            <v>46287</v>
          </cell>
          <cell r="K3205">
            <v>46300</v>
          </cell>
        </row>
        <row r="3206">
          <cell r="J3206">
            <v>46360</v>
          </cell>
          <cell r="K3206">
            <v>46450</v>
          </cell>
        </row>
        <row r="3207">
          <cell r="J3207">
            <v>46224</v>
          </cell>
          <cell r="K3207">
            <v>46355</v>
          </cell>
        </row>
        <row r="3208">
          <cell r="J3208">
            <v>46224</v>
          </cell>
          <cell r="K3208">
            <v>46239</v>
          </cell>
        </row>
        <row r="3209">
          <cell r="J3209">
            <v>46239</v>
          </cell>
          <cell r="K3209">
            <v>46239</v>
          </cell>
        </row>
        <row r="3210">
          <cell r="J3210">
            <v>46239</v>
          </cell>
          <cell r="K3210">
            <v>46239</v>
          </cell>
        </row>
        <row r="3211">
          <cell r="J3211">
            <v>46240</v>
          </cell>
          <cell r="K3211">
            <v>46240</v>
          </cell>
        </row>
        <row r="3212">
          <cell r="J3212">
            <v>46252</v>
          </cell>
          <cell r="K3212">
            <v>46265</v>
          </cell>
        </row>
        <row r="3213">
          <cell r="J3213">
            <v>46266</v>
          </cell>
          <cell r="K3213">
            <v>46288</v>
          </cell>
        </row>
        <row r="3214">
          <cell r="J3214">
            <v>46289</v>
          </cell>
          <cell r="K3214">
            <v>46302</v>
          </cell>
        </row>
        <row r="3215">
          <cell r="J3215">
            <v>46303</v>
          </cell>
          <cell r="K3215">
            <v>46355</v>
          </cell>
        </row>
        <row r="3216">
          <cell r="J3216">
            <v>46224</v>
          </cell>
          <cell r="K3216">
            <v>46419</v>
          </cell>
        </row>
        <row r="3217">
          <cell r="J3217">
            <v>46224</v>
          </cell>
          <cell r="K3217">
            <v>46230</v>
          </cell>
        </row>
        <row r="3218">
          <cell r="J3218">
            <v>46230</v>
          </cell>
          <cell r="K3218">
            <v>46230</v>
          </cell>
        </row>
        <row r="3219">
          <cell r="J3219">
            <v>46230</v>
          </cell>
          <cell r="K3219">
            <v>46230</v>
          </cell>
        </row>
        <row r="3220">
          <cell r="J3220">
            <v>46231</v>
          </cell>
          <cell r="K3220">
            <v>46237</v>
          </cell>
        </row>
        <row r="3221">
          <cell r="J3221">
            <v>46245</v>
          </cell>
          <cell r="K3221">
            <v>46258</v>
          </cell>
        </row>
        <row r="3222">
          <cell r="J3222">
            <v>46259</v>
          </cell>
          <cell r="K3222">
            <v>46281</v>
          </cell>
        </row>
        <row r="3223">
          <cell r="J3223">
            <v>46282</v>
          </cell>
          <cell r="K3223">
            <v>46295</v>
          </cell>
        </row>
        <row r="3224">
          <cell r="J3224">
            <v>46325</v>
          </cell>
          <cell r="K3224">
            <v>46419</v>
          </cell>
        </row>
        <row r="3225">
          <cell r="J3225">
            <v>46224</v>
          </cell>
          <cell r="K3225">
            <v>46426</v>
          </cell>
        </row>
        <row r="3226">
          <cell r="J3226">
            <v>46224</v>
          </cell>
          <cell r="K3226">
            <v>46230</v>
          </cell>
        </row>
        <row r="3227">
          <cell r="J3227">
            <v>46230</v>
          </cell>
          <cell r="K3227">
            <v>46230</v>
          </cell>
        </row>
        <row r="3228">
          <cell r="J3228">
            <v>46230</v>
          </cell>
          <cell r="K3228">
            <v>46230</v>
          </cell>
        </row>
        <row r="3229">
          <cell r="J3229">
            <v>46231</v>
          </cell>
          <cell r="K3229">
            <v>46237</v>
          </cell>
        </row>
        <row r="3230">
          <cell r="J3230">
            <v>46245</v>
          </cell>
          <cell r="K3230">
            <v>46265</v>
          </cell>
        </row>
        <row r="3231">
          <cell r="J3231">
            <v>46266</v>
          </cell>
          <cell r="K3231">
            <v>46288</v>
          </cell>
        </row>
        <row r="3232">
          <cell r="J3232">
            <v>46289</v>
          </cell>
          <cell r="K3232">
            <v>46302</v>
          </cell>
        </row>
        <row r="3233">
          <cell r="J3233">
            <v>46332</v>
          </cell>
          <cell r="K3233">
            <v>46426</v>
          </cell>
        </row>
        <row r="3234">
          <cell r="J3234">
            <v>46170</v>
          </cell>
          <cell r="K3234">
            <v>46449</v>
          </cell>
        </row>
        <row r="3235">
          <cell r="J3235">
            <v>46170</v>
          </cell>
          <cell r="K3235">
            <v>46177</v>
          </cell>
        </row>
        <row r="3236">
          <cell r="J3236">
            <v>46177</v>
          </cell>
          <cell r="K3236">
            <v>46177</v>
          </cell>
        </row>
        <row r="3237">
          <cell r="J3237">
            <v>46177</v>
          </cell>
          <cell r="K3237">
            <v>46184</v>
          </cell>
        </row>
        <row r="3238">
          <cell r="J3238">
            <v>46185</v>
          </cell>
          <cell r="K3238">
            <v>46226</v>
          </cell>
        </row>
        <row r="3239">
          <cell r="J3239">
            <v>46268</v>
          </cell>
          <cell r="K3239">
            <v>46281</v>
          </cell>
        </row>
        <row r="3240">
          <cell r="J3240">
            <v>46282</v>
          </cell>
          <cell r="K3240">
            <v>46328</v>
          </cell>
        </row>
        <row r="3241">
          <cell r="J3241">
            <v>46329</v>
          </cell>
          <cell r="K3241">
            <v>46342</v>
          </cell>
        </row>
        <row r="3242">
          <cell r="J3242">
            <v>46372</v>
          </cell>
          <cell r="K3242">
            <v>46449</v>
          </cell>
        </row>
        <row r="3243">
          <cell r="J3243">
            <v>46170</v>
          </cell>
          <cell r="K3243">
            <v>46449</v>
          </cell>
        </row>
        <row r="3244">
          <cell r="J3244">
            <v>46170</v>
          </cell>
          <cell r="K3244">
            <v>46177</v>
          </cell>
        </row>
        <row r="3245">
          <cell r="J3245">
            <v>46177</v>
          </cell>
          <cell r="K3245">
            <v>46177</v>
          </cell>
        </row>
        <row r="3246">
          <cell r="J3246">
            <v>46177</v>
          </cell>
          <cell r="K3246">
            <v>46184</v>
          </cell>
        </row>
        <row r="3247">
          <cell r="J3247">
            <v>46185</v>
          </cell>
          <cell r="K3247">
            <v>46226</v>
          </cell>
        </row>
        <row r="3248">
          <cell r="J3248">
            <v>46268</v>
          </cell>
          <cell r="K3248">
            <v>46281</v>
          </cell>
        </row>
        <row r="3249">
          <cell r="J3249">
            <v>46282</v>
          </cell>
          <cell r="K3249">
            <v>46328</v>
          </cell>
        </row>
        <row r="3250">
          <cell r="J3250">
            <v>46329</v>
          </cell>
          <cell r="K3250">
            <v>46342</v>
          </cell>
        </row>
        <row r="3251">
          <cell r="J3251">
            <v>46372</v>
          </cell>
          <cell r="K3251">
            <v>46449</v>
          </cell>
        </row>
        <row r="3252">
          <cell r="J3252">
            <v>46170</v>
          </cell>
          <cell r="K3252">
            <v>46449</v>
          </cell>
        </row>
        <row r="3253">
          <cell r="J3253">
            <v>46170</v>
          </cell>
          <cell r="K3253">
            <v>46177</v>
          </cell>
        </row>
        <row r="3254">
          <cell r="J3254">
            <v>46177</v>
          </cell>
          <cell r="K3254">
            <v>46177</v>
          </cell>
        </row>
        <row r="3255">
          <cell r="J3255">
            <v>46177</v>
          </cell>
          <cell r="K3255">
            <v>46184</v>
          </cell>
        </row>
        <row r="3256">
          <cell r="J3256">
            <v>46185</v>
          </cell>
          <cell r="K3256">
            <v>46226</v>
          </cell>
        </row>
        <row r="3257">
          <cell r="J3257">
            <v>46268</v>
          </cell>
          <cell r="K3257">
            <v>46281</v>
          </cell>
        </row>
        <row r="3258">
          <cell r="J3258">
            <v>46282</v>
          </cell>
          <cell r="K3258">
            <v>46328</v>
          </cell>
        </row>
        <row r="3259">
          <cell r="J3259">
            <v>46329</v>
          </cell>
          <cell r="K3259">
            <v>46342</v>
          </cell>
        </row>
        <row r="3260">
          <cell r="J3260">
            <v>46372</v>
          </cell>
          <cell r="K3260">
            <v>46449</v>
          </cell>
        </row>
        <row r="3261">
          <cell r="J3261">
            <v>46170</v>
          </cell>
          <cell r="K3261">
            <v>46449</v>
          </cell>
        </row>
        <row r="3262">
          <cell r="J3262">
            <v>46170</v>
          </cell>
          <cell r="K3262">
            <v>46177</v>
          </cell>
        </row>
        <row r="3263">
          <cell r="J3263">
            <v>46177</v>
          </cell>
          <cell r="K3263">
            <v>46177</v>
          </cell>
        </row>
        <row r="3264">
          <cell r="J3264">
            <v>46177</v>
          </cell>
          <cell r="K3264">
            <v>46184</v>
          </cell>
        </row>
        <row r="3265">
          <cell r="J3265">
            <v>46185</v>
          </cell>
          <cell r="K3265">
            <v>46226</v>
          </cell>
        </row>
        <row r="3266">
          <cell r="J3266">
            <v>46268</v>
          </cell>
          <cell r="K3266">
            <v>46281</v>
          </cell>
        </row>
        <row r="3267">
          <cell r="J3267">
            <v>46282</v>
          </cell>
          <cell r="K3267">
            <v>46328</v>
          </cell>
        </row>
        <row r="3268">
          <cell r="J3268">
            <v>46329</v>
          </cell>
          <cell r="K3268">
            <v>46342</v>
          </cell>
        </row>
        <row r="3269">
          <cell r="J3269">
            <v>46372</v>
          </cell>
          <cell r="K3269">
            <v>46449</v>
          </cell>
        </row>
        <row r="3270">
          <cell r="J3270">
            <v>46170</v>
          </cell>
          <cell r="K3270">
            <v>46449</v>
          </cell>
        </row>
        <row r="3271">
          <cell r="J3271">
            <v>46170</v>
          </cell>
          <cell r="K3271">
            <v>46177</v>
          </cell>
        </row>
        <row r="3272">
          <cell r="J3272">
            <v>46177</v>
          </cell>
          <cell r="K3272">
            <v>46177</v>
          </cell>
        </row>
        <row r="3273">
          <cell r="J3273">
            <v>46177</v>
          </cell>
          <cell r="K3273">
            <v>46184</v>
          </cell>
        </row>
        <row r="3274">
          <cell r="J3274">
            <v>46185</v>
          </cell>
          <cell r="K3274">
            <v>46226</v>
          </cell>
        </row>
        <row r="3275">
          <cell r="J3275">
            <v>46268</v>
          </cell>
          <cell r="K3275">
            <v>46281</v>
          </cell>
        </row>
        <row r="3276">
          <cell r="J3276">
            <v>46282</v>
          </cell>
          <cell r="K3276">
            <v>46328</v>
          </cell>
        </row>
        <row r="3277">
          <cell r="J3277">
            <v>46329</v>
          </cell>
          <cell r="K3277">
            <v>46342</v>
          </cell>
        </row>
        <row r="3278">
          <cell r="J3278">
            <v>46372</v>
          </cell>
          <cell r="K3278">
            <v>46449</v>
          </cell>
        </row>
        <row r="3279">
          <cell r="J3279">
            <v>46170</v>
          </cell>
          <cell r="K3279">
            <v>46449</v>
          </cell>
        </row>
        <row r="3280">
          <cell r="J3280">
            <v>46170</v>
          </cell>
          <cell r="K3280">
            <v>46177</v>
          </cell>
        </row>
        <row r="3281">
          <cell r="J3281">
            <v>46177</v>
          </cell>
          <cell r="K3281">
            <v>46177</v>
          </cell>
        </row>
        <row r="3282">
          <cell r="J3282">
            <v>46177</v>
          </cell>
          <cell r="K3282">
            <v>46184</v>
          </cell>
        </row>
        <row r="3283">
          <cell r="J3283">
            <v>46185</v>
          </cell>
          <cell r="K3283">
            <v>46226</v>
          </cell>
        </row>
        <row r="3284">
          <cell r="J3284">
            <v>46268</v>
          </cell>
          <cell r="K3284">
            <v>46281</v>
          </cell>
        </row>
        <row r="3285">
          <cell r="J3285">
            <v>46282</v>
          </cell>
          <cell r="K3285">
            <v>46328</v>
          </cell>
        </row>
        <row r="3286">
          <cell r="J3286">
            <v>46329</v>
          </cell>
          <cell r="K3286">
            <v>46342</v>
          </cell>
        </row>
        <row r="3287">
          <cell r="J3287">
            <v>46372</v>
          </cell>
          <cell r="K3287">
            <v>46449</v>
          </cell>
        </row>
        <row r="3288">
          <cell r="J3288">
            <v>46170</v>
          </cell>
          <cell r="K3288">
            <v>46449</v>
          </cell>
        </row>
        <row r="3289">
          <cell r="J3289">
            <v>46170</v>
          </cell>
          <cell r="K3289">
            <v>46177</v>
          </cell>
        </row>
        <row r="3290">
          <cell r="J3290">
            <v>46177</v>
          </cell>
          <cell r="K3290">
            <v>46177</v>
          </cell>
        </row>
        <row r="3291">
          <cell r="J3291">
            <v>46177</v>
          </cell>
          <cell r="K3291">
            <v>46184</v>
          </cell>
        </row>
        <row r="3292">
          <cell r="J3292">
            <v>46185</v>
          </cell>
          <cell r="K3292">
            <v>46226</v>
          </cell>
        </row>
        <row r="3293">
          <cell r="J3293">
            <v>46268</v>
          </cell>
          <cell r="K3293">
            <v>46281</v>
          </cell>
        </row>
        <row r="3294">
          <cell r="J3294">
            <v>46282</v>
          </cell>
          <cell r="K3294">
            <v>46328</v>
          </cell>
        </row>
        <row r="3295">
          <cell r="J3295">
            <v>46329</v>
          </cell>
          <cell r="K3295">
            <v>46342</v>
          </cell>
        </row>
        <row r="3296">
          <cell r="J3296">
            <v>46372</v>
          </cell>
          <cell r="K3296">
            <v>46449</v>
          </cell>
        </row>
        <row r="3297">
          <cell r="J3297">
            <v>46170</v>
          </cell>
          <cell r="K3297">
            <v>46342</v>
          </cell>
        </row>
        <row r="3298">
          <cell r="J3298">
            <v>46170</v>
          </cell>
          <cell r="K3298">
            <v>46184</v>
          </cell>
        </row>
        <row r="3299">
          <cell r="J3299">
            <v>46184</v>
          </cell>
          <cell r="K3299">
            <v>46184</v>
          </cell>
        </row>
        <row r="3300">
          <cell r="J3300">
            <v>46184</v>
          </cell>
          <cell r="K3300">
            <v>46184</v>
          </cell>
        </row>
        <row r="3301">
          <cell r="J3301">
            <v>46185</v>
          </cell>
          <cell r="K3301">
            <v>46233</v>
          </cell>
        </row>
        <row r="3302">
          <cell r="J3302">
            <v>46269</v>
          </cell>
          <cell r="K3302">
            <v>46282</v>
          </cell>
        </row>
        <row r="3303">
          <cell r="J3303">
            <v>46283</v>
          </cell>
          <cell r="K3303">
            <v>46303</v>
          </cell>
        </row>
        <row r="3304">
          <cell r="J3304">
            <v>46304</v>
          </cell>
          <cell r="K3304">
            <v>46317</v>
          </cell>
        </row>
        <row r="3305">
          <cell r="J3305">
            <v>46304</v>
          </cell>
          <cell r="K3305">
            <v>46342</v>
          </cell>
        </row>
        <row r="3306">
          <cell r="J3306">
            <v>46213</v>
          </cell>
          <cell r="K3306">
            <v>46348</v>
          </cell>
        </row>
        <row r="3307">
          <cell r="J3307">
            <v>46213</v>
          </cell>
          <cell r="K3307">
            <v>46358</v>
          </cell>
        </row>
        <row r="3308">
          <cell r="J3308">
            <v>46213</v>
          </cell>
          <cell r="K3308">
            <v>46230</v>
          </cell>
        </row>
        <row r="3309">
          <cell r="J3309">
            <v>46230</v>
          </cell>
          <cell r="K3309">
            <v>46230</v>
          </cell>
        </row>
        <row r="3310">
          <cell r="J3310">
            <v>46230</v>
          </cell>
          <cell r="K3310">
            <v>46230</v>
          </cell>
        </row>
        <row r="3311">
          <cell r="J3311">
            <v>46231</v>
          </cell>
          <cell r="K3311">
            <v>46237</v>
          </cell>
        </row>
        <row r="3312">
          <cell r="J3312">
            <v>46262</v>
          </cell>
          <cell r="K3312">
            <v>46268</v>
          </cell>
        </row>
        <row r="3313">
          <cell r="J3313">
            <v>46269</v>
          </cell>
          <cell r="K3313">
            <v>46294</v>
          </cell>
        </row>
        <row r="3314">
          <cell r="J3314">
            <v>46269</v>
          </cell>
          <cell r="K3314">
            <v>46358</v>
          </cell>
        </row>
        <row r="3315">
          <cell r="J3315">
            <v>46295</v>
          </cell>
          <cell r="K3315">
            <v>46309</v>
          </cell>
        </row>
        <row r="3316">
          <cell r="J3316">
            <v>46217</v>
          </cell>
          <cell r="K3316">
            <v>46358</v>
          </cell>
        </row>
        <row r="3317">
          <cell r="J3317">
            <v>46217</v>
          </cell>
          <cell r="K3317">
            <v>46230</v>
          </cell>
        </row>
        <row r="3318">
          <cell r="J3318">
            <v>46230</v>
          </cell>
          <cell r="K3318">
            <v>46230</v>
          </cell>
        </row>
        <row r="3319">
          <cell r="J3319">
            <v>46230</v>
          </cell>
          <cell r="K3319">
            <v>46230</v>
          </cell>
        </row>
        <row r="3320">
          <cell r="J3320">
            <v>46231</v>
          </cell>
          <cell r="K3320">
            <v>46237</v>
          </cell>
        </row>
        <row r="3321">
          <cell r="J3321">
            <v>46262</v>
          </cell>
          <cell r="K3321">
            <v>46268</v>
          </cell>
        </row>
        <row r="3322">
          <cell r="J3322">
            <v>46269</v>
          </cell>
          <cell r="K3322">
            <v>46294</v>
          </cell>
        </row>
        <row r="3323">
          <cell r="J3323">
            <v>46269</v>
          </cell>
          <cell r="K3323">
            <v>46358</v>
          </cell>
        </row>
        <row r="3324">
          <cell r="J3324">
            <v>46295</v>
          </cell>
          <cell r="K3324">
            <v>46309</v>
          </cell>
        </row>
        <row r="3325">
          <cell r="J3325">
            <v>46217</v>
          </cell>
          <cell r="K3325">
            <v>46358</v>
          </cell>
        </row>
        <row r="3326">
          <cell r="J3326">
            <v>46217</v>
          </cell>
          <cell r="K3326">
            <v>46230</v>
          </cell>
        </row>
        <row r="3327">
          <cell r="J3327">
            <v>46230</v>
          </cell>
          <cell r="K3327">
            <v>46230</v>
          </cell>
        </row>
        <row r="3328">
          <cell r="J3328">
            <v>46230</v>
          </cell>
          <cell r="K3328">
            <v>46230</v>
          </cell>
        </row>
        <row r="3329">
          <cell r="J3329">
            <v>46231</v>
          </cell>
          <cell r="K3329">
            <v>46237</v>
          </cell>
        </row>
        <row r="3330">
          <cell r="J3330">
            <v>46262</v>
          </cell>
          <cell r="K3330">
            <v>46268</v>
          </cell>
        </row>
        <row r="3331">
          <cell r="J3331">
            <v>46269</v>
          </cell>
          <cell r="K3331">
            <v>46294</v>
          </cell>
        </row>
        <row r="3332">
          <cell r="J3332">
            <v>46269</v>
          </cell>
          <cell r="K3332">
            <v>46358</v>
          </cell>
        </row>
        <row r="3333">
          <cell r="J3333">
            <v>46295</v>
          </cell>
          <cell r="K3333">
            <v>46309</v>
          </cell>
        </row>
        <row r="3334">
          <cell r="J3334">
            <v>46217</v>
          </cell>
          <cell r="K3334">
            <v>46358</v>
          </cell>
        </row>
        <row r="3335">
          <cell r="J3335">
            <v>46217</v>
          </cell>
          <cell r="K3335">
            <v>46230</v>
          </cell>
        </row>
        <row r="3336">
          <cell r="J3336">
            <v>46230</v>
          </cell>
          <cell r="K3336">
            <v>46230</v>
          </cell>
        </row>
        <row r="3337">
          <cell r="J3337">
            <v>46230</v>
          </cell>
          <cell r="K3337">
            <v>46230</v>
          </cell>
        </row>
        <row r="3338">
          <cell r="J3338">
            <v>46231</v>
          </cell>
          <cell r="K3338">
            <v>46237</v>
          </cell>
        </row>
        <row r="3339">
          <cell r="J3339">
            <v>46262</v>
          </cell>
          <cell r="K3339">
            <v>46268</v>
          </cell>
        </row>
        <row r="3340">
          <cell r="J3340">
            <v>46269</v>
          </cell>
          <cell r="K3340">
            <v>46294</v>
          </cell>
        </row>
        <row r="3341">
          <cell r="J3341">
            <v>46269</v>
          </cell>
          <cell r="K3341">
            <v>46358</v>
          </cell>
        </row>
        <row r="3342">
          <cell r="J3342">
            <v>46295</v>
          </cell>
          <cell r="K3342">
            <v>46309</v>
          </cell>
        </row>
        <row r="3343">
          <cell r="J3343">
            <v>46140</v>
          </cell>
          <cell r="K3343">
            <v>46499</v>
          </cell>
        </row>
        <row r="3344">
          <cell r="J3344">
            <v>46140</v>
          </cell>
          <cell r="K3344">
            <v>46478</v>
          </cell>
        </row>
        <row r="3345">
          <cell r="J3345">
            <v>46140</v>
          </cell>
          <cell r="K3345">
            <v>46156</v>
          </cell>
        </row>
        <row r="3346">
          <cell r="J3346">
            <v>46156</v>
          </cell>
          <cell r="K3346">
            <v>46156</v>
          </cell>
        </row>
        <row r="3347">
          <cell r="J3347">
            <v>46156</v>
          </cell>
          <cell r="K3347">
            <v>46156</v>
          </cell>
        </row>
        <row r="3348">
          <cell r="J3348">
            <v>46157</v>
          </cell>
          <cell r="K3348">
            <v>46164</v>
          </cell>
        </row>
        <row r="3349">
          <cell r="J3349">
            <v>46213</v>
          </cell>
          <cell r="K3349">
            <v>46226</v>
          </cell>
        </row>
        <row r="3350">
          <cell r="J3350">
            <v>46227</v>
          </cell>
          <cell r="K3350">
            <v>46265</v>
          </cell>
        </row>
        <row r="3351">
          <cell r="J3351">
            <v>46266</v>
          </cell>
          <cell r="K3351">
            <v>46279</v>
          </cell>
        </row>
        <row r="3352">
          <cell r="J3352">
            <v>46304</v>
          </cell>
          <cell r="K3352">
            <v>46478</v>
          </cell>
        </row>
        <row r="3353">
          <cell r="J3353">
            <v>46141</v>
          </cell>
          <cell r="K3353">
            <v>46486</v>
          </cell>
        </row>
        <row r="3354">
          <cell r="J3354">
            <v>46141</v>
          </cell>
          <cell r="K3354">
            <v>46157</v>
          </cell>
        </row>
        <row r="3355">
          <cell r="J3355">
            <v>46157</v>
          </cell>
          <cell r="K3355">
            <v>46157</v>
          </cell>
        </row>
        <row r="3356">
          <cell r="J3356">
            <v>46157</v>
          </cell>
          <cell r="K3356">
            <v>46157</v>
          </cell>
        </row>
        <row r="3357">
          <cell r="J3357">
            <v>46160</v>
          </cell>
          <cell r="K3357">
            <v>46167</v>
          </cell>
        </row>
        <row r="3358">
          <cell r="J3358">
            <v>46216</v>
          </cell>
          <cell r="K3358">
            <v>46227</v>
          </cell>
        </row>
        <row r="3359">
          <cell r="J3359">
            <v>46230</v>
          </cell>
          <cell r="K3359">
            <v>46266</v>
          </cell>
        </row>
        <row r="3360">
          <cell r="J3360">
            <v>46267</v>
          </cell>
          <cell r="K3360">
            <v>46280</v>
          </cell>
        </row>
        <row r="3361">
          <cell r="J3361">
            <v>46304</v>
          </cell>
          <cell r="K3361">
            <v>46486</v>
          </cell>
        </row>
        <row r="3362">
          <cell r="J3362">
            <v>46153</v>
          </cell>
          <cell r="K3362">
            <v>46499</v>
          </cell>
        </row>
        <row r="3363">
          <cell r="J3363">
            <v>46153</v>
          </cell>
          <cell r="K3363">
            <v>46170</v>
          </cell>
        </row>
        <row r="3364">
          <cell r="J3364">
            <v>46170</v>
          </cell>
          <cell r="K3364">
            <v>46170</v>
          </cell>
        </row>
        <row r="3365">
          <cell r="J3365">
            <v>46170</v>
          </cell>
          <cell r="K3365">
            <v>46170</v>
          </cell>
        </row>
        <row r="3366">
          <cell r="J3366">
            <v>46170</v>
          </cell>
          <cell r="K3366">
            <v>46171</v>
          </cell>
        </row>
        <row r="3367">
          <cell r="J3367">
            <v>46234</v>
          </cell>
          <cell r="K3367">
            <v>46247</v>
          </cell>
        </row>
        <row r="3368">
          <cell r="J3368">
            <v>46248</v>
          </cell>
          <cell r="K3368">
            <v>46286</v>
          </cell>
        </row>
        <row r="3369">
          <cell r="J3369">
            <v>46287</v>
          </cell>
          <cell r="K3369">
            <v>46300</v>
          </cell>
        </row>
        <row r="3370">
          <cell r="J3370">
            <v>46322</v>
          </cell>
          <cell r="K3370">
            <v>46499</v>
          </cell>
        </row>
        <row r="3371">
          <cell r="J3371">
            <v>46141</v>
          </cell>
          <cell r="K3371">
            <v>46486</v>
          </cell>
        </row>
        <row r="3372">
          <cell r="J3372">
            <v>46141</v>
          </cell>
          <cell r="K3372">
            <v>46149</v>
          </cell>
        </row>
        <row r="3373">
          <cell r="J3373">
            <v>46150</v>
          </cell>
          <cell r="K3373">
            <v>46150</v>
          </cell>
        </row>
        <row r="3374">
          <cell r="J3374">
            <v>46153</v>
          </cell>
          <cell r="K3374">
            <v>46157</v>
          </cell>
        </row>
        <row r="3375">
          <cell r="J3375">
            <v>46160</v>
          </cell>
          <cell r="K3375">
            <v>46170</v>
          </cell>
        </row>
        <row r="3376">
          <cell r="J3376">
            <v>46216</v>
          </cell>
          <cell r="K3376">
            <v>46227</v>
          </cell>
        </row>
        <row r="3377">
          <cell r="J3377">
            <v>46230</v>
          </cell>
          <cell r="K3377">
            <v>46266</v>
          </cell>
        </row>
        <row r="3378">
          <cell r="J3378">
            <v>46267</v>
          </cell>
          <cell r="K3378">
            <v>46280</v>
          </cell>
        </row>
        <row r="3379">
          <cell r="J3379">
            <v>46304</v>
          </cell>
          <cell r="K3379">
            <v>46486</v>
          </cell>
        </row>
        <row r="3380">
          <cell r="J3380">
            <v>46238</v>
          </cell>
          <cell r="K3380">
            <v>46387</v>
          </cell>
        </row>
        <row r="3381">
          <cell r="J3381">
            <v>46238</v>
          </cell>
          <cell r="K3381">
            <v>46252</v>
          </cell>
        </row>
        <row r="3382">
          <cell r="J3382">
            <v>46252</v>
          </cell>
          <cell r="K3382">
            <v>46252</v>
          </cell>
        </row>
        <row r="3383">
          <cell r="J3383">
            <v>46252</v>
          </cell>
          <cell r="K3383">
            <v>46252</v>
          </cell>
        </row>
        <row r="3384">
          <cell r="J3384">
            <v>46253</v>
          </cell>
          <cell r="K3384">
            <v>46259</v>
          </cell>
        </row>
        <row r="3385">
          <cell r="J3385">
            <v>46283</v>
          </cell>
          <cell r="K3385">
            <v>46289</v>
          </cell>
        </row>
        <row r="3386">
          <cell r="J3386">
            <v>46293</v>
          </cell>
          <cell r="K3386">
            <v>46322</v>
          </cell>
        </row>
        <row r="3387">
          <cell r="J3387">
            <v>46323</v>
          </cell>
          <cell r="K3387">
            <v>46336</v>
          </cell>
        </row>
        <row r="3388">
          <cell r="J3388">
            <v>46346</v>
          </cell>
          <cell r="K3388">
            <v>46387</v>
          </cell>
        </row>
        <row r="3389">
          <cell r="J3389">
            <v>46272</v>
          </cell>
          <cell r="K3389">
            <v>46423</v>
          </cell>
        </row>
        <row r="3390">
          <cell r="J3390">
            <v>46272</v>
          </cell>
          <cell r="K3390">
            <v>46283</v>
          </cell>
        </row>
        <row r="3391">
          <cell r="J3391">
            <v>46283</v>
          </cell>
          <cell r="K3391">
            <v>46283</v>
          </cell>
        </row>
        <row r="3392">
          <cell r="J3392">
            <v>46283</v>
          </cell>
          <cell r="K3392">
            <v>46283</v>
          </cell>
        </row>
        <row r="3393">
          <cell r="J3393">
            <v>46286</v>
          </cell>
          <cell r="K3393">
            <v>46293</v>
          </cell>
        </row>
        <row r="3394">
          <cell r="J3394">
            <v>46304</v>
          </cell>
          <cell r="K3394">
            <v>46324</v>
          </cell>
        </row>
        <row r="3395">
          <cell r="J3395">
            <v>46325</v>
          </cell>
          <cell r="K3395">
            <v>46349</v>
          </cell>
        </row>
        <row r="3396">
          <cell r="J3396">
            <v>46350</v>
          </cell>
          <cell r="K3396">
            <v>46364</v>
          </cell>
        </row>
        <row r="3397">
          <cell r="J3397">
            <v>46374</v>
          </cell>
          <cell r="K3397">
            <v>46423</v>
          </cell>
        </row>
        <row r="3398">
          <cell r="J3398">
            <v>46272</v>
          </cell>
          <cell r="K3398">
            <v>46414</v>
          </cell>
        </row>
        <row r="3399">
          <cell r="J3399">
            <v>46272</v>
          </cell>
          <cell r="K3399">
            <v>46283</v>
          </cell>
        </row>
        <row r="3400">
          <cell r="J3400">
            <v>46283</v>
          </cell>
          <cell r="K3400">
            <v>46283</v>
          </cell>
        </row>
        <row r="3401">
          <cell r="J3401">
            <v>46283</v>
          </cell>
          <cell r="K3401">
            <v>46283</v>
          </cell>
        </row>
        <row r="3402">
          <cell r="J3402">
            <v>46286</v>
          </cell>
          <cell r="K3402">
            <v>46293</v>
          </cell>
        </row>
        <row r="3403">
          <cell r="J3403">
            <v>46304</v>
          </cell>
          <cell r="K3403">
            <v>46324</v>
          </cell>
        </row>
        <row r="3404">
          <cell r="J3404">
            <v>46325</v>
          </cell>
          <cell r="K3404">
            <v>46349</v>
          </cell>
        </row>
        <row r="3405">
          <cell r="J3405">
            <v>46350</v>
          </cell>
          <cell r="K3405">
            <v>46364</v>
          </cell>
        </row>
        <row r="3406">
          <cell r="J3406">
            <v>46374</v>
          </cell>
          <cell r="K3406">
            <v>46414</v>
          </cell>
        </row>
        <row r="3407">
          <cell r="J3407">
            <v>46141</v>
          </cell>
          <cell r="K3407">
            <v>46524</v>
          </cell>
        </row>
        <row r="3408">
          <cell r="J3408">
            <v>46167</v>
          </cell>
          <cell r="K3408">
            <v>46464</v>
          </cell>
        </row>
        <row r="3409">
          <cell r="J3409">
            <v>46167</v>
          </cell>
          <cell r="K3409">
            <v>46182</v>
          </cell>
        </row>
        <row r="3410">
          <cell r="J3410">
            <v>46182</v>
          </cell>
          <cell r="K3410">
            <v>46182</v>
          </cell>
        </row>
        <row r="3411">
          <cell r="J3411">
            <v>46182</v>
          </cell>
          <cell r="K3411">
            <v>46182</v>
          </cell>
        </row>
        <row r="3412">
          <cell r="J3412">
            <v>46183</v>
          </cell>
          <cell r="K3412">
            <v>46191</v>
          </cell>
        </row>
        <row r="3413">
          <cell r="J3413">
            <v>46241</v>
          </cell>
          <cell r="K3413">
            <v>46254</v>
          </cell>
        </row>
        <row r="3414">
          <cell r="J3414">
            <v>46255</v>
          </cell>
          <cell r="K3414">
            <v>46294</v>
          </cell>
        </row>
        <row r="3415">
          <cell r="J3415">
            <v>46295</v>
          </cell>
          <cell r="K3415">
            <v>46309</v>
          </cell>
        </row>
        <row r="3416">
          <cell r="J3416">
            <v>46371</v>
          </cell>
          <cell r="K3416">
            <v>46464</v>
          </cell>
        </row>
        <row r="3417">
          <cell r="J3417">
            <v>46167</v>
          </cell>
          <cell r="K3417">
            <v>46478</v>
          </cell>
        </row>
        <row r="3418">
          <cell r="J3418">
            <v>46167</v>
          </cell>
          <cell r="K3418">
            <v>46182</v>
          </cell>
        </row>
        <row r="3419">
          <cell r="J3419">
            <v>46182</v>
          </cell>
          <cell r="K3419">
            <v>46182</v>
          </cell>
        </row>
        <row r="3420">
          <cell r="J3420">
            <v>46182</v>
          </cell>
          <cell r="K3420">
            <v>46182</v>
          </cell>
        </row>
        <row r="3421">
          <cell r="J3421">
            <v>46183</v>
          </cell>
          <cell r="K3421">
            <v>46188</v>
          </cell>
        </row>
        <row r="3422">
          <cell r="J3422">
            <v>46241</v>
          </cell>
          <cell r="K3422">
            <v>46254</v>
          </cell>
        </row>
        <row r="3423">
          <cell r="J3423">
            <v>46255</v>
          </cell>
          <cell r="K3423">
            <v>46294</v>
          </cell>
        </row>
        <row r="3424">
          <cell r="J3424">
            <v>46295</v>
          </cell>
          <cell r="K3424">
            <v>46309</v>
          </cell>
        </row>
        <row r="3425">
          <cell r="J3425">
            <v>46371</v>
          </cell>
          <cell r="K3425">
            <v>46478</v>
          </cell>
        </row>
        <row r="3426">
          <cell r="J3426">
            <v>46167</v>
          </cell>
          <cell r="K3426">
            <v>46534</v>
          </cell>
        </row>
        <row r="3427">
          <cell r="J3427">
            <v>46167</v>
          </cell>
          <cell r="K3427">
            <v>46182</v>
          </cell>
        </row>
        <row r="3428">
          <cell r="J3428">
            <v>46182</v>
          </cell>
          <cell r="K3428">
            <v>46182</v>
          </cell>
        </row>
        <row r="3429">
          <cell r="J3429">
            <v>46182</v>
          </cell>
          <cell r="K3429">
            <v>46182</v>
          </cell>
        </row>
        <row r="3430">
          <cell r="J3430">
            <v>46183</v>
          </cell>
          <cell r="K3430">
            <v>46191</v>
          </cell>
        </row>
        <row r="3431">
          <cell r="J3431">
            <v>46241</v>
          </cell>
          <cell r="K3431">
            <v>46254</v>
          </cell>
        </row>
        <row r="3432">
          <cell r="J3432">
            <v>46255</v>
          </cell>
          <cell r="K3432">
            <v>46294</v>
          </cell>
        </row>
        <row r="3433">
          <cell r="J3433">
            <v>46295</v>
          </cell>
          <cell r="K3433">
            <v>46309</v>
          </cell>
        </row>
        <row r="3434">
          <cell r="J3434">
            <v>46371</v>
          </cell>
          <cell r="K3434">
            <v>46534</v>
          </cell>
        </row>
        <row r="3435">
          <cell r="J3435">
            <v>46181</v>
          </cell>
          <cell r="K3435">
            <v>46519</v>
          </cell>
        </row>
        <row r="3436">
          <cell r="J3436">
            <v>46181</v>
          </cell>
          <cell r="K3436">
            <v>46185</v>
          </cell>
        </row>
        <row r="3437">
          <cell r="J3437">
            <v>46188</v>
          </cell>
          <cell r="K3437">
            <v>46188</v>
          </cell>
        </row>
        <row r="3438">
          <cell r="J3438">
            <v>46188</v>
          </cell>
          <cell r="K3438">
            <v>46188</v>
          </cell>
        </row>
        <row r="3439">
          <cell r="J3439">
            <v>46189</v>
          </cell>
          <cell r="K3439">
            <v>46190</v>
          </cell>
        </row>
        <row r="3440">
          <cell r="J3440">
            <v>46254</v>
          </cell>
          <cell r="K3440">
            <v>46267</v>
          </cell>
        </row>
        <row r="3441">
          <cell r="J3441">
            <v>46268</v>
          </cell>
          <cell r="K3441">
            <v>46314</v>
          </cell>
        </row>
        <row r="3442">
          <cell r="J3442">
            <v>46315</v>
          </cell>
          <cell r="K3442">
            <v>46329</v>
          </cell>
        </row>
        <row r="3443">
          <cell r="J3443">
            <v>46392</v>
          </cell>
          <cell r="K3443">
            <v>46519</v>
          </cell>
        </row>
        <row r="3444">
          <cell r="J3444">
            <v>46170</v>
          </cell>
          <cell r="K3444">
            <v>46521</v>
          </cell>
        </row>
        <row r="3445">
          <cell r="J3445">
            <v>46170</v>
          </cell>
          <cell r="K3445">
            <v>46182</v>
          </cell>
        </row>
        <row r="3446">
          <cell r="J3446">
            <v>46183</v>
          </cell>
          <cell r="K3446">
            <v>46183</v>
          </cell>
        </row>
        <row r="3447">
          <cell r="J3447">
            <v>46183</v>
          </cell>
          <cell r="K3447">
            <v>46183</v>
          </cell>
        </row>
        <row r="3448">
          <cell r="J3448">
            <v>46183</v>
          </cell>
          <cell r="K3448">
            <v>46188</v>
          </cell>
        </row>
        <row r="3449">
          <cell r="J3449">
            <v>46230</v>
          </cell>
          <cell r="K3449">
            <v>46241</v>
          </cell>
        </row>
        <row r="3450">
          <cell r="J3450">
            <v>46244</v>
          </cell>
          <cell r="K3450">
            <v>46280</v>
          </cell>
        </row>
        <row r="3451">
          <cell r="J3451">
            <v>46281</v>
          </cell>
          <cell r="K3451">
            <v>46294</v>
          </cell>
        </row>
        <row r="3452">
          <cell r="J3452">
            <v>46354</v>
          </cell>
          <cell r="K3452">
            <v>46521</v>
          </cell>
        </row>
        <row r="3453">
          <cell r="J3453">
            <v>46189</v>
          </cell>
          <cell r="K3453">
            <v>46498</v>
          </cell>
        </row>
        <row r="3454">
          <cell r="J3454">
            <v>46189</v>
          </cell>
          <cell r="K3454">
            <v>46192</v>
          </cell>
        </row>
        <row r="3455">
          <cell r="J3455">
            <v>46195</v>
          </cell>
          <cell r="K3455">
            <v>46195</v>
          </cell>
        </row>
        <row r="3456">
          <cell r="J3456">
            <v>46195</v>
          </cell>
          <cell r="K3456">
            <v>46195</v>
          </cell>
        </row>
        <row r="3457">
          <cell r="J3457">
            <v>46196</v>
          </cell>
          <cell r="K3457">
            <v>46199</v>
          </cell>
        </row>
        <row r="3458">
          <cell r="J3458">
            <v>46261</v>
          </cell>
          <cell r="K3458">
            <v>46274</v>
          </cell>
        </row>
        <row r="3459">
          <cell r="J3459">
            <v>46275</v>
          </cell>
          <cell r="K3459">
            <v>46321</v>
          </cell>
        </row>
        <row r="3460">
          <cell r="J3460">
            <v>46322</v>
          </cell>
          <cell r="K3460">
            <v>46335</v>
          </cell>
        </row>
        <row r="3461">
          <cell r="J3461">
            <v>46395</v>
          </cell>
          <cell r="K3461">
            <v>46498</v>
          </cell>
        </row>
        <row r="3462">
          <cell r="J3462">
            <v>46199</v>
          </cell>
          <cell r="K3462">
            <v>46455</v>
          </cell>
        </row>
        <row r="3463">
          <cell r="J3463">
            <v>46199</v>
          </cell>
          <cell r="K3463">
            <v>46209</v>
          </cell>
        </row>
        <row r="3464">
          <cell r="J3464">
            <v>46209</v>
          </cell>
          <cell r="K3464">
            <v>46209</v>
          </cell>
        </row>
        <row r="3465">
          <cell r="J3465">
            <v>46210</v>
          </cell>
          <cell r="K3465">
            <v>46245</v>
          </cell>
        </row>
        <row r="3466">
          <cell r="J3466">
            <v>46246</v>
          </cell>
          <cell r="K3466">
            <v>46259</v>
          </cell>
        </row>
        <row r="3467">
          <cell r="J3467">
            <v>46289</v>
          </cell>
          <cell r="K3467">
            <v>46310</v>
          </cell>
        </row>
        <row r="3468">
          <cell r="J3468">
            <v>46311</v>
          </cell>
          <cell r="K3468">
            <v>46342</v>
          </cell>
        </row>
        <row r="3469">
          <cell r="J3469">
            <v>46343</v>
          </cell>
          <cell r="K3469">
            <v>46356</v>
          </cell>
        </row>
        <row r="3470">
          <cell r="J3470">
            <v>46372</v>
          </cell>
          <cell r="K3470">
            <v>46455</v>
          </cell>
        </row>
        <row r="3471">
          <cell r="J3471">
            <v>46139</v>
          </cell>
          <cell r="K3471">
            <v>46470</v>
          </cell>
        </row>
        <row r="3472">
          <cell r="J3472">
            <v>46139</v>
          </cell>
          <cell r="K3472">
            <v>46148</v>
          </cell>
        </row>
        <row r="3473">
          <cell r="J3473">
            <v>46148</v>
          </cell>
          <cell r="K3473">
            <v>46148</v>
          </cell>
        </row>
        <row r="3474">
          <cell r="J3474">
            <v>46148</v>
          </cell>
          <cell r="K3474">
            <v>46148</v>
          </cell>
        </row>
        <row r="3475">
          <cell r="J3475">
            <v>46148</v>
          </cell>
          <cell r="K3475">
            <v>46162</v>
          </cell>
        </row>
        <row r="3476">
          <cell r="J3476">
            <v>46205</v>
          </cell>
          <cell r="K3476">
            <v>46218</v>
          </cell>
        </row>
        <row r="3477">
          <cell r="J3477">
            <v>46219</v>
          </cell>
          <cell r="K3477">
            <v>46255</v>
          </cell>
        </row>
        <row r="3478">
          <cell r="J3478">
            <v>46258</v>
          </cell>
          <cell r="K3478">
            <v>46269</v>
          </cell>
        </row>
        <row r="3479">
          <cell r="J3479">
            <v>46311</v>
          </cell>
          <cell r="K3479">
            <v>46470</v>
          </cell>
        </row>
        <row r="3480">
          <cell r="J3480">
            <v>46240</v>
          </cell>
          <cell r="K3480">
            <v>46442</v>
          </cell>
        </row>
        <row r="3481">
          <cell r="J3481">
            <v>46240</v>
          </cell>
          <cell r="K3481">
            <v>46254</v>
          </cell>
        </row>
        <row r="3482">
          <cell r="J3482">
            <v>46254</v>
          </cell>
          <cell r="K3482">
            <v>46254</v>
          </cell>
        </row>
        <row r="3483">
          <cell r="J3483">
            <v>46254</v>
          </cell>
          <cell r="K3483">
            <v>46254</v>
          </cell>
        </row>
        <row r="3484">
          <cell r="J3484">
            <v>46255</v>
          </cell>
          <cell r="K3484">
            <v>46268</v>
          </cell>
        </row>
        <row r="3485">
          <cell r="J3485">
            <v>46303</v>
          </cell>
          <cell r="K3485">
            <v>46316</v>
          </cell>
        </row>
        <row r="3486">
          <cell r="J3486">
            <v>46317</v>
          </cell>
          <cell r="K3486">
            <v>46346</v>
          </cell>
        </row>
        <row r="3487">
          <cell r="J3487">
            <v>46349</v>
          </cell>
          <cell r="K3487">
            <v>46360</v>
          </cell>
        </row>
        <row r="3488">
          <cell r="J3488">
            <v>46375</v>
          </cell>
          <cell r="K3488">
            <v>46442</v>
          </cell>
        </row>
        <row r="3489">
          <cell r="J3489">
            <v>46240</v>
          </cell>
          <cell r="K3489">
            <v>46442</v>
          </cell>
        </row>
        <row r="3490">
          <cell r="J3490">
            <v>46240</v>
          </cell>
          <cell r="K3490">
            <v>46254</v>
          </cell>
        </row>
        <row r="3491">
          <cell r="J3491">
            <v>46254</v>
          </cell>
          <cell r="K3491">
            <v>46254</v>
          </cell>
        </row>
        <row r="3492">
          <cell r="J3492">
            <v>46254</v>
          </cell>
          <cell r="K3492">
            <v>46254</v>
          </cell>
        </row>
        <row r="3493">
          <cell r="J3493">
            <v>46255</v>
          </cell>
          <cell r="K3493">
            <v>46268</v>
          </cell>
        </row>
        <row r="3494">
          <cell r="J3494">
            <v>46303</v>
          </cell>
          <cell r="K3494">
            <v>46316</v>
          </cell>
        </row>
        <row r="3495">
          <cell r="J3495">
            <v>46317</v>
          </cell>
          <cell r="K3495">
            <v>46346</v>
          </cell>
        </row>
        <row r="3496">
          <cell r="J3496">
            <v>46349</v>
          </cell>
          <cell r="K3496">
            <v>46360</v>
          </cell>
        </row>
        <row r="3497">
          <cell r="J3497">
            <v>46375</v>
          </cell>
          <cell r="K3497">
            <v>46442</v>
          </cell>
        </row>
        <row r="3498">
          <cell r="J3498">
            <v>46240</v>
          </cell>
          <cell r="K3498">
            <v>46442</v>
          </cell>
        </row>
        <row r="3499">
          <cell r="J3499">
            <v>46240</v>
          </cell>
          <cell r="K3499">
            <v>46254</v>
          </cell>
        </row>
        <row r="3500">
          <cell r="J3500">
            <v>46254</v>
          </cell>
          <cell r="K3500">
            <v>46254</v>
          </cell>
        </row>
        <row r="3501">
          <cell r="J3501">
            <v>46254</v>
          </cell>
          <cell r="K3501">
            <v>46254</v>
          </cell>
        </row>
        <row r="3502">
          <cell r="J3502">
            <v>46255</v>
          </cell>
          <cell r="K3502">
            <v>46268</v>
          </cell>
        </row>
        <row r="3503">
          <cell r="J3503">
            <v>46303</v>
          </cell>
          <cell r="K3503">
            <v>46316</v>
          </cell>
        </row>
        <row r="3504">
          <cell r="J3504">
            <v>46317</v>
          </cell>
          <cell r="K3504">
            <v>46346</v>
          </cell>
        </row>
        <row r="3505">
          <cell r="J3505">
            <v>46349</v>
          </cell>
          <cell r="K3505">
            <v>46360</v>
          </cell>
        </row>
        <row r="3506">
          <cell r="J3506">
            <v>46375</v>
          </cell>
          <cell r="K3506">
            <v>46442</v>
          </cell>
        </row>
        <row r="3507">
          <cell r="J3507">
            <v>46240</v>
          </cell>
          <cell r="K3507">
            <v>46442</v>
          </cell>
        </row>
        <row r="3508">
          <cell r="J3508">
            <v>46240</v>
          </cell>
          <cell r="K3508">
            <v>46254</v>
          </cell>
        </row>
        <row r="3509">
          <cell r="J3509">
            <v>46254</v>
          </cell>
          <cell r="K3509">
            <v>46254</v>
          </cell>
        </row>
        <row r="3510">
          <cell r="J3510">
            <v>46254</v>
          </cell>
          <cell r="K3510">
            <v>46254</v>
          </cell>
        </row>
        <row r="3511">
          <cell r="J3511">
            <v>46255</v>
          </cell>
          <cell r="K3511">
            <v>46268</v>
          </cell>
        </row>
        <row r="3512">
          <cell r="J3512">
            <v>46303</v>
          </cell>
          <cell r="K3512">
            <v>46316</v>
          </cell>
        </row>
        <row r="3513">
          <cell r="J3513">
            <v>46317</v>
          </cell>
          <cell r="K3513">
            <v>46346</v>
          </cell>
        </row>
        <row r="3514">
          <cell r="J3514">
            <v>46349</v>
          </cell>
          <cell r="K3514">
            <v>46360</v>
          </cell>
        </row>
        <row r="3515">
          <cell r="J3515">
            <v>46375</v>
          </cell>
          <cell r="K3515">
            <v>46442</v>
          </cell>
        </row>
        <row r="3516">
          <cell r="J3516">
            <v>46198</v>
          </cell>
          <cell r="K3516">
            <v>46436</v>
          </cell>
        </row>
        <row r="3517">
          <cell r="J3517">
            <v>46198</v>
          </cell>
          <cell r="K3517">
            <v>46209</v>
          </cell>
        </row>
        <row r="3518">
          <cell r="J3518">
            <v>46209</v>
          </cell>
          <cell r="K3518">
            <v>46209</v>
          </cell>
        </row>
        <row r="3519">
          <cell r="J3519">
            <v>46210</v>
          </cell>
          <cell r="K3519">
            <v>46245</v>
          </cell>
        </row>
        <row r="3520">
          <cell r="J3520">
            <v>46246</v>
          </cell>
          <cell r="K3520">
            <v>46259</v>
          </cell>
        </row>
        <row r="3521">
          <cell r="J3521">
            <v>46289</v>
          </cell>
          <cell r="K3521">
            <v>46310</v>
          </cell>
        </row>
        <row r="3522">
          <cell r="J3522">
            <v>46311</v>
          </cell>
          <cell r="K3522">
            <v>46342</v>
          </cell>
        </row>
        <row r="3523">
          <cell r="J3523">
            <v>46343</v>
          </cell>
          <cell r="K3523">
            <v>46356</v>
          </cell>
        </row>
        <row r="3524">
          <cell r="J3524">
            <v>46372</v>
          </cell>
          <cell r="K3524">
            <v>46436</v>
          </cell>
        </row>
        <row r="3525">
          <cell r="J3525">
            <v>46209</v>
          </cell>
          <cell r="K3525">
            <v>46436</v>
          </cell>
        </row>
        <row r="3526">
          <cell r="J3526">
            <v>46209</v>
          </cell>
          <cell r="K3526">
            <v>46209</v>
          </cell>
        </row>
        <row r="3527">
          <cell r="J3527">
            <v>46209</v>
          </cell>
          <cell r="K3527">
            <v>46209</v>
          </cell>
        </row>
        <row r="3528">
          <cell r="J3528">
            <v>46210</v>
          </cell>
          <cell r="K3528">
            <v>46245</v>
          </cell>
        </row>
        <row r="3529">
          <cell r="J3529">
            <v>46246</v>
          </cell>
          <cell r="K3529">
            <v>46259</v>
          </cell>
        </row>
        <row r="3530">
          <cell r="J3530">
            <v>46289</v>
          </cell>
          <cell r="K3530">
            <v>46310</v>
          </cell>
        </row>
        <row r="3531">
          <cell r="J3531">
            <v>46311</v>
          </cell>
          <cell r="K3531">
            <v>46342</v>
          </cell>
        </row>
        <row r="3532">
          <cell r="J3532">
            <v>46343</v>
          </cell>
          <cell r="K3532">
            <v>46356</v>
          </cell>
        </row>
        <row r="3533">
          <cell r="J3533">
            <v>46372</v>
          </cell>
          <cell r="K3533">
            <v>46436</v>
          </cell>
        </row>
        <row r="3534">
          <cell r="J3534">
            <v>46240</v>
          </cell>
          <cell r="K3534">
            <v>46442</v>
          </cell>
        </row>
        <row r="3535">
          <cell r="J3535">
            <v>46240</v>
          </cell>
          <cell r="K3535">
            <v>46254</v>
          </cell>
        </row>
        <row r="3536">
          <cell r="J3536">
            <v>46254</v>
          </cell>
          <cell r="K3536">
            <v>46254</v>
          </cell>
        </row>
        <row r="3537">
          <cell r="J3537">
            <v>46254</v>
          </cell>
          <cell r="K3537">
            <v>46254</v>
          </cell>
        </row>
        <row r="3538">
          <cell r="J3538">
            <v>46255</v>
          </cell>
          <cell r="K3538">
            <v>46268</v>
          </cell>
        </row>
        <row r="3539">
          <cell r="J3539">
            <v>46303</v>
          </cell>
          <cell r="K3539">
            <v>46316</v>
          </cell>
        </row>
        <row r="3540">
          <cell r="J3540">
            <v>46317</v>
          </cell>
          <cell r="K3540">
            <v>46346</v>
          </cell>
        </row>
        <row r="3541">
          <cell r="J3541">
            <v>46349</v>
          </cell>
          <cell r="K3541">
            <v>46360</v>
          </cell>
        </row>
        <row r="3542">
          <cell r="J3542">
            <v>46375</v>
          </cell>
          <cell r="K3542">
            <v>46442</v>
          </cell>
        </row>
        <row r="3543">
          <cell r="J3543">
            <v>46219</v>
          </cell>
          <cell r="K3543">
            <v>46464</v>
          </cell>
        </row>
        <row r="3544">
          <cell r="J3544">
            <v>46219</v>
          </cell>
          <cell r="K3544">
            <v>46245</v>
          </cell>
        </row>
        <row r="3545">
          <cell r="J3545">
            <v>46245</v>
          </cell>
          <cell r="K3545">
            <v>46245</v>
          </cell>
        </row>
        <row r="3546">
          <cell r="J3546">
            <v>46245</v>
          </cell>
          <cell r="K3546">
            <v>46245</v>
          </cell>
        </row>
        <row r="3547">
          <cell r="J3547">
            <v>46246</v>
          </cell>
          <cell r="K3547">
            <v>46251</v>
          </cell>
        </row>
        <row r="3548">
          <cell r="J3548">
            <v>46289</v>
          </cell>
          <cell r="K3548">
            <v>46310</v>
          </cell>
        </row>
        <row r="3549">
          <cell r="J3549">
            <v>46311</v>
          </cell>
          <cell r="K3549">
            <v>46342</v>
          </cell>
        </row>
        <row r="3550">
          <cell r="J3550">
            <v>46343</v>
          </cell>
          <cell r="K3550">
            <v>46356</v>
          </cell>
        </row>
        <row r="3551">
          <cell r="J3551">
            <v>46373</v>
          </cell>
          <cell r="K3551">
            <v>46464</v>
          </cell>
        </row>
        <row r="3552">
          <cell r="J3552">
            <v>46163</v>
          </cell>
          <cell r="K3552">
            <v>46492</v>
          </cell>
        </row>
        <row r="3553">
          <cell r="J3553">
            <v>46163</v>
          </cell>
          <cell r="K3553">
            <v>46169</v>
          </cell>
        </row>
        <row r="3554">
          <cell r="J3554">
            <v>46169</v>
          </cell>
          <cell r="K3554">
            <v>46169</v>
          </cell>
        </row>
        <row r="3555">
          <cell r="J3555">
            <v>46170</v>
          </cell>
          <cell r="K3555">
            <v>46178</v>
          </cell>
        </row>
        <row r="3556">
          <cell r="J3556">
            <v>46181</v>
          </cell>
          <cell r="K3556">
            <v>46195</v>
          </cell>
        </row>
        <row r="3557">
          <cell r="J3557">
            <v>46227</v>
          </cell>
          <cell r="K3557">
            <v>46240</v>
          </cell>
        </row>
        <row r="3558">
          <cell r="J3558">
            <v>46241</v>
          </cell>
          <cell r="K3558">
            <v>46279</v>
          </cell>
        </row>
        <row r="3559">
          <cell r="J3559">
            <v>46280</v>
          </cell>
          <cell r="K3559">
            <v>46293</v>
          </cell>
        </row>
        <row r="3560">
          <cell r="J3560">
            <v>46310</v>
          </cell>
          <cell r="K3560">
            <v>46492</v>
          </cell>
        </row>
        <row r="3561">
          <cell r="J3561">
            <v>46245</v>
          </cell>
          <cell r="K3561">
            <v>46447</v>
          </cell>
        </row>
        <row r="3562">
          <cell r="J3562">
            <v>46245</v>
          </cell>
          <cell r="K3562">
            <v>46258</v>
          </cell>
        </row>
        <row r="3563">
          <cell r="J3563">
            <v>46258</v>
          </cell>
          <cell r="K3563">
            <v>46258</v>
          </cell>
        </row>
        <row r="3564">
          <cell r="J3564">
            <v>46258</v>
          </cell>
          <cell r="K3564">
            <v>46258</v>
          </cell>
        </row>
        <row r="3565">
          <cell r="J3565">
            <v>46259</v>
          </cell>
          <cell r="K3565">
            <v>46274</v>
          </cell>
        </row>
        <row r="3566">
          <cell r="J3566">
            <v>46303</v>
          </cell>
          <cell r="K3566">
            <v>46316</v>
          </cell>
        </row>
        <row r="3567">
          <cell r="J3567">
            <v>46317</v>
          </cell>
          <cell r="K3567">
            <v>46346</v>
          </cell>
        </row>
        <row r="3568">
          <cell r="J3568">
            <v>46349</v>
          </cell>
          <cell r="K3568">
            <v>46360</v>
          </cell>
        </row>
        <row r="3569">
          <cell r="J3569">
            <v>46375</v>
          </cell>
          <cell r="K3569">
            <v>46447</v>
          </cell>
        </row>
        <row r="3570">
          <cell r="J3570">
            <v>46245</v>
          </cell>
          <cell r="K3570">
            <v>46442</v>
          </cell>
        </row>
        <row r="3571">
          <cell r="J3571">
            <v>46245</v>
          </cell>
          <cell r="K3571">
            <v>46258</v>
          </cell>
        </row>
        <row r="3572">
          <cell r="J3572">
            <v>46258</v>
          </cell>
          <cell r="K3572">
            <v>46258</v>
          </cell>
        </row>
        <row r="3573">
          <cell r="J3573">
            <v>46258</v>
          </cell>
          <cell r="K3573">
            <v>46258</v>
          </cell>
        </row>
        <row r="3574">
          <cell r="J3574">
            <v>46259</v>
          </cell>
          <cell r="K3574">
            <v>46274</v>
          </cell>
        </row>
        <row r="3575">
          <cell r="J3575">
            <v>46303</v>
          </cell>
          <cell r="K3575">
            <v>46316</v>
          </cell>
        </row>
        <row r="3576">
          <cell r="J3576">
            <v>46317</v>
          </cell>
          <cell r="K3576">
            <v>46346</v>
          </cell>
        </row>
        <row r="3577">
          <cell r="J3577">
            <v>46349</v>
          </cell>
          <cell r="K3577">
            <v>46360</v>
          </cell>
        </row>
        <row r="3578">
          <cell r="J3578">
            <v>46375</v>
          </cell>
          <cell r="K3578">
            <v>46442</v>
          </cell>
        </row>
        <row r="3579">
          <cell r="J3579">
            <v>46209</v>
          </cell>
          <cell r="K3579">
            <v>46494</v>
          </cell>
        </row>
        <row r="3580">
          <cell r="J3580">
            <v>46209</v>
          </cell>
          <cell r="K3580">
            <v>46230</v>
          </cell>
        </row>
        <row r="3581">
          <cell r="J3581">
            <v>46230</v>
          </cell>
          <cell r="K3581">
            <v>46230</v>
          </cell>
        </row>
        <row r="3582">
          <cell r="J3582">
            <v>46230</v>
          </cell>
          <cell r="K3582">
            <v>46230</v>
          </cell>
        </row>
        <row r="3583">
          <cell r="J3583">
            <v>46231</v>
          </cell>
          <cell r="K3583">
            <v>46244</v>
          </cell>
        </row>
        <row r="3584">
          <cell r="J3584">
            <v>46272</v>
          </cell>
          <cell r="K3584">
            <v>46283</v>
          </cell>
        </row>
        <row r="3585">
          <cell r="J3585">
            <v>46286</v>
          </cell>
          <cell r="K3585">
            <v>46322</v>
          </cell>
        </row>
        <row r="3586">
          <cell r="J3586">
            <v>46328</v>
          </cell>
          <cell r="K3586">
            <v>46339</v>
          </cell>
        </row>
        <row r="3587">
          <cell r="J3587">
            <v>46351</v>
          </cell>
          <cell r="K3587">
            <v>46494</v>
          </cell>
        </row>
        <row r="3588">
          <cell r="J3588">
            <v>46209</v>
          </cell>
          <cell r="K3588">
            <v>46462</v>
          </cell>
        </row>
        <row r="3589">
          <cell r="J3589">
            <v>46209</v>
          </cell>
          <cell r="K3589">
            <v>46230</v>
          </cell>
        </row>
        <row r="3590">
          <cell r="J3590">
            <v>46230</v>
          </cell>
          <cell r="K3590">
            <v>46230</v>
          </cell>
        </row>
        <row r="3591">
          <cell r="J3591">
            <v>46230</v>
          </cell>
          <cell r="K3591">
            <v>46230</v>
          </cell>
        </row>
        <row r="3592">
          <cell r="J3592">
            <v>46231</v>
          </cell>
          <cell r="K3592">
            <v>46251</v>
          </cell>
        </row>
        <row r="3593">
          <cell r="J3593">
            <v>46280</v>
          </cell>
          <cell r="K3593">
            <v>46294</v>
          </cell>
        </row>
        <row r="3594">
          <cell r="J3594">
            <v>46295</v>
          </cell>
          <cell r="K3594">
            <v>46332</v>
          </cell>
        </row>
        <row r="3595">
          <cell r="J3595">
            <v>46335</v>
          </cell>
          <cell r="K3595">
            <v>46349</v>
          </cell>
        </row>
        <row r="3596">
          <cell r="J3596">
            <v>46361</v>
          </cell>
          <cell r="K3596">
            <v>46462</v>
          </cell>
        </row>
        <row r="3597">
          <cell r="J3597">
            <v>46245</v>
          </cell>
          <cell r="K3597">
            <v>46376</v>
          </cell>
        </row>
        <row r="3598">
          <cell r="J3598">
            <v>46245</v>
          </cell>
          <cell r="K3598">
            <v>46258</v>
          </cell>
        </row>
        <row r="3599">
          <cell r="J3599">
            <v>46258</v>
          </cell>
          <cell r="K3599">
            <v>46258</v>
          </cell>
        </row>
        <row r="3600">
          <cell r="J3600">
            <v>46259</v>
          </cell>
          <cell r="K3600">
            <v>46260</v>
          </cell>
        </row>
        <row r="3601">
          <cell r="J3601">
            <v>46261</v>
          </cell>
          <cell r="K3601">
            <v>46274</v>
          </cell>
        </row>
        <row r="3602">
          <cell r="J3602">
            <v>46303</v>
          </cell>
          <cell r="K3602">
            <v>46316</v>
          </cell>
        </row>
        <row r="3603">
          <cell r="J3603">
            <v>46317</v>
          </cell>
          <cell r="K3603">
            <v>46335</v>
          </cell>
        </row>
        <row r="3604">
          <cell r="J3604">
            <v>46336</v>
          </cell>
          <cell r="K3604">
            <v>46343</v>
          </cell>
        </row>
        <row r="3605">
          <cell r="J3605">
            <v>46350</v>
          </cell>
          <cell r="K3605">
            <v>46376</v>
          </cell>
        </row>
        <row r="3606">
          <cell r="J3606">
            <v>46245</v>
          </cell>
          <cell r="K3606">
            <v>46376</v>
          </cell>
        </row>
        <row r="3607">
          <cell r="J3607">
            <v>46245</v>
          </cell>
          <cell r="K3607">
            <v>46258</v>
          </cell>
        </row>
        <row r="3608">
          <cell r="J3608">
            <v>46258</v>
          </cell>
          <cell r="K3608">
            <v>46258</v>
          </cell>
        </row>
        <row r="3609">
          <cell r="J3609">
            <v>46259</v>
          </cell>
          <cell r="K3609">
            <v>46260</v>
          </cell>
        </row>
        <row r="3610">
          <cell r="J3610">
            <v>46261</v>
          </cell>
          <cell r="K3610">
            <v>46274</v>
          </cell>
        </row>
        <row r="3611">
          <cell r="J3611">
            <v>46303</v>
          </cell>
          <cell r="K3611">
            <v>46316</v>
          </cell>
        </row>
        <row r="3612">
          <cell r="J3612">
            <v>46317</v>
          </cell>
          <cell r="K3612">
            <v>46335</v>
          </cell>
        </row>
        <row r="3613">
          <cell r="J3613">
            <v>46336</v>
          </cell>
          <cell r="K3613">
            <v>46343</v>
          </cell>
        </row>
        <row r="3614">
          <cell r="J3614">
            <v>46350</v>
          </cell>
          <cell r="K3614">
            <v>46376</v>
          </cell>
        </row>
        <row r="3615">
          <cell r="J3615">
            <v>46167</v>
          </cell>
          <cell r="K3615">
            <v>46546</v>
          </cell>
        </row>
        <row r="3616">
          <cell r="J3616">
            <v>46167</v>
          </cell>
          <cell r="K3616">
            <v>46182</v>
          </cell>
        </row>
        <row r="3617">
          <cell r="J3617">
            <v>46182</v>
          </cell>
          <cell r="K3617">
            <v>46182</v>
          </cell>
        </row>
        <row r="3618">
          <cell r="J3618">
            <v>46182</v>
          </cell>
          <cell r="K3618">
            <v>46182</v>
          </cell>
        </row>
        <row r="3619">
          <cell r="J3619">
            <v>46183</v>
          </cell>
          <cell r="K3619">
            <v>46199</v>
          </cell>
        </row>
        <row r="3620">
          <cell r="J3620">
            <v>46280</v>
          </cell>
          <cell r="K3620">
            <v>46294</v>
          </cell>
        </row>
        <row r="3621">
          <cell r="J3621">
            <v>46295</v>
          </cell>
          <cell r="K3621">
            <v>46338</v>
          </cell>
        </row>
        <row r="3622">
          <cell r="J3622">
            <v>46339</v>
          </cell>
          <cell r="K3622">
            <v>46352</v>
          </cell>
        </row>
        <row r="3623">
          <cell r="J3623">
            <v>46367</v>
          </cell>
          <cell r="K3623">
            <v>46546</v>
          </cell>
        </row>
        <row r="3624">
          <cell r="J3624">
            <v>46296</v>
          </cell>
          <cell r="K3624">
            <v>46440</v>
          </cell>
        </row>
        <row r="3625">
          <cell r="J3625">
            <v>46296</v>
          </cell>
          <cell r="K3625">
            <v>46310</v>
          </cell>
        </row>
        <row r="3626">
          <cell r="J3626">
            <v>46310</v>
          </cell>
          <cell r="K3626">
            <v>46310</v>
          </cell>
        </row>
        <row r="3627">
          <cell r="J3627">
            <v>46310</v>
          </cell>
          <cell r="K3627">
            <v>46310</v>
          </cell>
        </row>
        <row r="3628">
          <cell r="J3628">
            <v>46311</v>
          </cell>
          <cell r="K3628">
            <v>46316</v>
          </cell>
        </row>
        <row r="3629">
          <cell r="J3629">
            <v>46330</v>
          </cell>
          <cell r="K3629">
            <v>46350</v>
          </cell>
        </row>
        <row r="3630">
          <cell r="J3630">
            <v>46351</v>
          </cell>
          <cell r="K3630">
            <v>46373</v>
          </cell>
        </row>
        <row r="3631">
          <cell r="J3631">
            <v>46374</v>
          </cell>
          <cell r="K3631">
            <v>46391</v>
          </cell>
        </row>
        <row r="3632">
          <cell r="J3632">
            <v>46401</v>
          </cell>
          <cell r="K3632">
            <v>46440</v>
          </cell>
        </row>
        <row r="3633">
          <cell r="J3633">
            <v>46258</v>
          </cell>
          <cell r="K3633">
            <v>46399</v>
          </cell>
        </row>
        <row r="3634">
          <cell r="J3634">
            <v>46258</v>
          </cell>
          <cell r="K3634">
            <v>46269</v>
          </cell>
        </row>
        <row r="3635">
          <cell r="J3635">
            <v>46269</v>
          </cell>
          <cell r="K3635">
            <v>46269</v>
          </cell>
        </row>
        <row r="3636">
          <cell r="J3636">
            <v>46269</v>
          </cell>
          <cell r="K3636">
            <v>46269</v>
          </cell>
        </row>
        <row r="3637">
          <cell r="J3637">
            <v>46272</v>
          </cell>
          <cell r="K3637">
            <v>46275</v>
          </cell>
        </row>
        <row r="3638">
          <cell r="J3638">
            <v>46288</v>
          </cell>
          <cell r="K3638">
            <v>46309</v>
          </cell>
        </row>
        <row r="3639">
          <cell r="J3639">
            <v>46310</v>
          </cell>
          <cell r="K3639">
            <v>46332</v>
          </cell>
        </row>
        <row r="3640">
          <cell r="J3640">
            <v>46335</v>
          </cell>
          <cell r="K3640">
            <v>46346</v>
          </cell>
        </row>
        <row r="3641">
          <cell r="J3641">
            <v>46357</v>
          </cell>
          <cell r="K3641">
            <v>46399</v>
          </cell>
        </row>
        <row r="3642">
          <cell r="J3642">
            <v>46247</v>
          </cell>
          <cell r="K3642">
            <v>46442</v>
          </cell>
        </row>
        <row r="3643">
          <cell r="J3643">
            <v>46247</v>
          </cell>
          <cell r="K3643">
            <v>46260</v>
          </cell>
        </row>
        <row r="3644">
          <cell r="J3644">
            <v>46260</v>
          </cell>
          <cell r="K3644">
            <v>46260</v>
          </cell>
        </row>
        <row r="3645">
          <cell r="J3645">
            <v>46260</v>
          </cell>
          <cell r="K3645">
            <v>46260</v>
          </cell>
        </row>
        <row r="3646">
          <cell r="J3646">
            <v>46261</v>
          </cell>
          <cell r="K3646">
            <v>46275</v>
          </cell>
        </row>
        <row r="3647">
          <cell r="J3647">
            <v>46294</v>
          </cell>
          <cell r="K3647">
            <v>46316</v>
          </cell>
        </row>
        <row r="3648">
          <cell r="J3648">
            <v>46317</v>
          </cell>
          <cell r="K3648">
            <v>46346</v>
          </cell>
        </row>
        <row r="3649">
          <cell r="J3649">
            <v>46349</v>
          </cell>
          <cell r="K3649">
            <v>46360</v>
          </cell>
        </row>
        <row r="3650">
          <cell r="J3650">
            <v>46375</v>
          </cell>
          <cell r="K3650">
            <v>46442</v>
          </cell>
        </row>
        <row r="3651">
          <cell r="J3651">
            <v>46239</v>
          </cell>
          <cell r="K3651">
            <v>46497</v>
          </cell>
        </row>
        <row r="3652">
          <cell r="J3652">
            <v>46219</v>
          </cell>
          <cell r="K3652">
            <v>46497</v>
          </cell>
        </row>
        <row r="3653">
          <cell r="J3653">
            <v>46219</v>
          </cell>
          <cell r="K3653">
            <v>46248</v>
          </cell>
        </row>
        <row r="3654">
          <cell r="J3654">
            <v>46248</v>
          </cell>
          <cell r="K3654">
            <v>46248</v>
          </cell>
        </row>
        <row r="3655">
          <cell r="J3655">
            <v>46248</v>
          </cell>
          <cell r="K3655">
            <v>46248</v>
          </cell>
        </row>
        <row r="3656">
          <cell r="J3656">
            <v>46251</v>
          </cell>
          <cell r="K3656">
            <v>46255</v>
          </cell>
        </row>
        <row r="3657">
          <cell r="J3657">
            <v>46274</v>
          </cell>
          <cell r="K3657">
            <v>46287</v>
          </cell>
        </row>
        <row r="3658">
          <cell r="J3658">
            <v>46288</v>
          </cell>
          <cell r="K3658">
            <v>46318</v>
          </cell>
        </row>
        <row r="3659">
          <cell r="J3659">
            <v>46321</v>
          </cell>
          <cell r="K3659">
            <v>46332</v>
          </cell>
        </row>
        <row r="3660">
          <cell r="J3660">
            <v>46395</v>
          </cell>
          <cell r="K3660">
            <v>46497</v>
          </cell>
        </row>
        <row r="3661">
          <cell r="J3661">
            <v>46219</v>
          </cell>
          <cell r="K3661">
            <v>46497</v>
          </cell>
        </row>
        <row r="3662">
          <cell r="J3662">
            <v>46219</v>
          </cell>
          <cell r="K3662">
            <v>46248</v>
          </cell>
        </row>
        <row r="3663">
          <cell r="J3663">
            <v>46248</v>
          </cell>
          <cell r="K3663">
            <v>46248</v>
          </cell>
        </row>
        <row r="3664">
          <cell r="J3664">
            <v>46248</v>
          </cell>
          <cell r="K3664">
            <v>46248</v>
          </cell>
        </row>
        <row r="3665">
          <cell r="J3665">
            <v>46251</v>
          </cell>
          <cell r="K3665">
            <v>46255</v>
          </cell>
        </row>
        <row r="3666">
          <cell r="J3666">
            <v>46274</v>
          </cell>
          <cell r="K3666">
            <v>46287</v>
          </cell>
        </row>
        <row r="3667">
          <cell r="J3667">
            <v>46288</v>
          </cell>
          <cell r="K3667">
            <v>46318</v>
          </cell>
        </row>
        <row r="3668">
          <cell r="J3668">
            <v>46321</v>
          </cell>
          <cell r="K3668">
            <v>46332</v>
          </cell>
        </row>
        <row r="3669">
          <cell r="J3669">
            <v>46395</v>
          </cell>
          <cell r="K3669">
            <v>46497</v>
          </cell>
        </row>
        <row r="3670">
          <cell r="J3670">
            <v>46219</v>
          </cell>
          <cell r="K3670">
            <v>46347</v>
          </cell>
        </row>
        <row r="3671">
          <cell r="J3671">
            <v>46219</v>
          </cell>
          <cell r="K3671">
            <v>46248</v>
          </cell>
        </row>
        <row r="3672">
          <cell r="J3672">
            <v>46248</v>
          </cell>
          <cell r="K3672">
            <v>46248</v>
          </cell>
        </row>
        <row r="3673">
          <cell r="J3673">
            <v>46248</v>
          </cell>
          <cell r="K3673">
            <v>46248</v>
          </cell>
        </row>
        <row r="3674">
          <cell r="J3674">
            <v>46251</v>
          </cell>
          <cell r="K3674">
            <v>46255</v>
          </cell>
        </row>
        <row r="3675">
          <cell r="J3675">
            <v>46274</v>
          </cell>
          <cell r="K3675">
            <v>46287</v>
          </cell>
        </row>
        <row r="3676">
          <cell r="J3676">
            <v>46288</v>
          </cell>
          <cell r="K3676">
            <v>46318</v>
          </cell>
        </row>
        <row r="3677">
          <cell r="J3677">
            <v>46321</v>
          </cell>
          <cell r="K3677">
            <v>46332</v>
          </cell>
        </row>
        <row r="3678">
          <cell r="J3678">
            <v>46333</v>
          </cell>
          <cell r="K3678">
            <v>46347</v>
          </cell>
        </row>
        <row r="3679">
          <cell r="J3679">
            <v>46190</v>
          </cell>
          <cell r="K3679">
            <v>46441</v>
          </cell>
        </row>
        <row r="3680">
          <cell r="J3680">
            <v>46175</v>
          </cell>
          <cell r="K3680">
            <v>46455</v>
          </cell>
        </row>
        <row r="3681">
          <cell r="J3681">
            <v>46175</v>
          </cell>
          <cell r="K3681">
            <v>46199</v>
          </cell>
        </row>
        <row r="3682">
          <cell r="J3682">
            <v>46199</v>
          </cell>
          <cell r="K3682">
            <v>46199</v>
          </cell>
        </row>
        <row r="3683">
          <cell r="J3683">
            <v>46202</v>
          </cell>
          <cell r="K3683">
            <v>46206</v>
          </cell>
        </row>
        <row r="3684">
          <cell r="J3684">
            <v>46209</v>
          </cell>
          <cell r="K3684">
            <v>46223</v>
          </cell>
        </row>
        <row r="3685">
          <cell r="J3685">
            <v>46262</v>
          </cell>
          <cell r="K3685">
            <v>46275</v>
          </cell>
        </row>
        <row r="3686">
          <cell r="J3686">
            <v>46276</v>
          </cell>
          <cell r="K3686">
            <v>46315</v>
          </cell>
        </row>
        <row r="3687">
          <cell r="J3687">
            <v>46316</v>
          </cell>
          <cell r="K3687">
            <v>46330</v>
          </cell>
        </row>
        <row r="3688">
          <cell r="J3688">
            <v>46331</v>
          </cell>
          <cell r="K3688">
            <v>46455</v>
          </cell>
        </row>
        <row r="3689">
          <cell r="J3689">
            <v>46175</v>
          </cell>
          <cell r="K3689">
            <v>46387</v>
          </cell>
        </row>
        <row r="3690">
          <cell r="J3690">
            <v>46175</v>
          </cell>
          <cell r="K3690">
            <v>46199</v>
          </cell>
        </row>
        <row r="3691">
          <cell r="J3691">
            <v>46199</v>
          </cell>
          <cell r="K3691">
            <v>46199</v>
          </cell>
        </row>
        <row r="3692">
          <cell r="J3692">
            <v>46202</v>
          </cell>
          <cell r="K3692">
            <v>46206</v>
          </cell>
        </row>
        <row r="3693">
          <cell r="J3693">
            <v>46209</v>
          </cell>
          <cell r="K3693">
            <v>46223</v>
          </cell>
        </row>
        <row r="3694">
          <cell r="J3694">
            <v>46262</v>
          </cell>
          <cell r="K3694">
            <v>46275</v>
          </cell>
        </row>
        <row r="3695">
          <cell r="J3695">
            <v>46276</v>
          </cell>
          <cell r="K3695">
            <v>46315</v>
          </cell>
        </row>
        <row r="3696">
          <cell r="J3696">
            <v>46316</v>
          </cell>
          <cell r="K3696">
            <v>46330</v>
          </cell>
        </row>
        <row r="3697">
          <cell r="J3697">
            <v>46345</v>
          </cell>
          <cell r="K3697">
            <v>46387</v>
          </cell>
        </row>
        <row r="3698">
          <cell r="J3698">
            <v>46265</v>
          </cell>
          <cell r="K3698">
            <v>46428</v>
          </cell>
        </row>
        <row r="3699">
          <cell r="J3699">
            <v>46265</v>
          </cell>
          <cell r="K3699">
            <v>46288</v>
          </cell>
        </row>
        <row r="3700">
          <cell r="J3700">
            <v>46288</v>
          </cell>
          <cell r="K3700">
            <v>46288</v>
          </cell>
        </row>
        <row r="3701">
          <cell r="J3701">
            <v>46288</v>
          </cell>
          <cell r="K3701">
            <v>46288</v>
          </cell>
        </row>
        <row r="3702">
          <cell r="J3702">
            <v>46289</v>
          </cell>
          <cell r="K3702">
            <v>46303</v>
          </cell>
        </row>
        <row r="3703">
          <cell r="J3703">
            <v>46324</v>
          </cell>
          <cell r="K3703">
            <v>46337</v>
          </cell>
        </row>
        <row r="3704">
          <cell r="J3704">
            <v>46338</v>
          </cell>
          <cell r="K3704">
            <v>46360</v>
          </cell>
        </row>
        <row r="3705">
          <cell r="J3705">
            <v>46364</v>
          </cell>
          <cell r="K3705">
            <v>46377</v>
          </cell>
        </row>
        <row r="3706">
          <cell r="J3706">
            <v>46378</v>
          </cell>
          <cell r="K3706">
            <v>46428</v>
          </cell>
        </row>
        <row r="3707">
          <cell r="J3707">
            <v>46113</v>
          </cell>
          <cell r="K3707">
            <v>46533</v>
          </cell>
        </row>
        <row r="3708">
          <cell r="J3708">
            <v>46113</v>
          </cell>
          <cell r="K3708">
            <v>46178</v>
          </cell>
        </row>
        <row r="3709">
          <cell r="J3709">
            <v>46113</v>
          </cell>
          <cell r="K3709">
            <v>46115</v>
          </cell>
        </row>
        <row r="3710">
          <cell r="J3710">
            <v>46119</v>
          </cell>
          <cell r="K3710">
            <v>46129</v>
          </cell>
        </row>
        <row r="3711">
          <cell r="J3711">
            <v>46132</v>
          </cell>
          <cell r="K3711">
            <v>46133</v>
          </cell>
        </row>
        <row r="3712">
          <cell r="J3712">
            <v>46134</v>
          </cell>
          <cell r="K3712">
            <v>46178</v>
          </cell>
        </row>
        <row r="3713">
          <cell r="J3713">
            <v>46163</v>
          </cell>
          <cell r="K3713">
            <v>46243</v>
          </cell>
        </row>
        <row r="3714">
          <cell r="J3714">
            <v>46163</v>
          </cell>
          <cell r="K3714">
            <v>46167</v>
          </cell>
        </row>
        <row r="3715">
          <cell r="J3715">
            <v>46168</v>
          </cell>
          <cell r="K3715">
            <v>46168</v>
          </cell>
        </row>
        <row r="3716">
          <cell r="J3716">
            <v>46169</v>
          </cell>
          <cell r="K3716">
            <v>46171</v>
          </cell>
        </row>
        <row r="3717">
          <cell r="J3717">
            <v>46174</v>
          </cell>
          <cell r="K3717">
            <v>46175</v>
          </cell>
        </row>
        <row r="3718">
          <cell r="J3718">
            <v>46181</v>
          </cell>
          <cell r="K3718">
            <v>46183</v>
          </cell>
        </row>
        <row r="3719">
          <cell r="J3719">
            <v>46184</v>
          </cell>
          <cell r="K3719">
            <v>46202</v>
          </cell>
        </row>
        <row r="3720">
          <cell r="J3720">
            <v>46203</v>
          </cell>
          <cell r="K3720">
            <v>46212</v>
          </cell>
        </row>
        <row r="3721">
          <cell r="J3721">
            <v>46219</v>
          </cell>
          <cell r="K3721">
            <v>46243</v>
          </cell>
        </row>
        <row r="3722">
          <cell r="J3722">
            <v>46202</v>
          </cell>
          <cell r="K3722">
            <v>46289</v>
          </cell>
        </row>
        <row r="3723">
          <cell r="J3723">
            <v>46202</v>
          </cell>
          <cell r="K3723">
            <v>46206</v>
          </cell>
        </row>
        <row r="3724">
          <cell r="J3724">
            <v>46206</v>
          </cell>
          <cell r="K3724">
            <v>46206</v>
          </cell>
        </row>
        <row r="3725">
          <cell r="J3725">
            <v>46206</v>
          </cell>
          <cell r="K3725">
            <v>46206</v>
          </cell>
        </row>
        <row r="3726">
          <cell r="J3726">
            <v>46209</v>
          </cell>
          <cell r="K3726">
            <v>46219</v>
          </cell>
        </row>
        <row r="3727">
          <cell r="J3727">
            <v>46224</v>
          </cell>
          <cell r="K3727">
            <v>46233</v>
          </cell>
        </row>
        <row r="3728">
          <cell r="J3728">
            <v>46234</v>
          </cell>
          <cell r="K3728">
            <v>46251</v>
          </cell>
        </row>
        <row r="3729">
          <cell r="J3729">
            <v>46252</v>
          </cell>
          <cell r="K3729">
            <v>46260</v>
          </cell>
        </row>
        <row r="3730">
          <cell r="J3730">
            <v>46267</v>
          </cell>
          <cell r="K3730">
            <v>46289</v>
          </cell>
        </row>
        <row r="3731">
          <cell r="J3731">
            <v>46289</v>
          </cell>
          <cell r="K3731">
            <v>46393</v>
          </cell>
        </row>
        <row r="3732">
          <cell r="J3732">
            <v>46289</v>
          </cell>
          <cell r="K3732">
            <v>46304</v>
          </cell>
        </row>
        <row r="3733">
          <cell r="J3733">
            <v>46304</v>
          </cell>
          <cell r="K3733">
            <v>46304</v>
          </cell>
        </row>
        <row r="3734">
          <cell r="J3734">
            <v>46304</v>
          </cell>
          <cell r="K3734">
            <v>46304</v>
          </cell>
        </row>
        <row r="3735">
          <cell r="J3735">
            <v>46307</v>
          </cell>
          <cell r="K3735">
            <v>46309</v>
          </cell>
        </row>
        <row r="3736">
          <cell r="J3736">
            <v>46318</v>
          </cell>
          <cell r="K3736">
            <v>46335</v>
          </cell>
        </row>
        <row r="3737">
          <cell r="J3737">
            <v>46336</v>
          </cell>
          <cell r="K3737">
            <v>46350</v>
          </cell>
        </row>
        <row r="3738">
          <cell r="J3738">
            <v>46351</v>
          </cell>
          <cell r="K3738">
            <v>46360</v>
          </cell>
        </row>
        <row r="3739">
          <cell r="J3739">
            <v>46361</v>
          </cell>
          <cell r="K3739">
            <v>46393</v>
          </cell>
        </row>
        <row r="3740">
          <cell r="J3740">
            <v>46185</v>
          </cell>
          <cell r="K3740">
            <v>46297</v>
          </cell>
        </row>
        <row r="3741">
          <cell r="J3741">
            <v>46185</v>
          </cell>
          <cell r="K3741">
            <v>46191</v>
          </cell>
        </row>
        <row r="3742">
          <cell r="J3742">
            <v>46191</v>
          </cell>
          <cell r="K3742">
            <v>46191</v>
          </cell>
        </row>
        <row r="3743">
          <cell r="J3743">
            <v>46191</v>
          </cell>
          <cell r="K3743">
            <v>46191</v>
          </cell>
        </row>
        <row r="3744">
          <cell r="J3744">
            <v>46195</v>
          </cell>
          <cell r="K3744">
            <v>46199</v>
          </cell>
        </row>
        <row r="3745">
          <cell r="J3745">
            <v>46203</v>
          </cell>
          <cell r="K3745">
            <v>46209</v>
          </cell>
        </row>
        <row r="3746">
          <cell r="J3746">
            <v>46210</v>
          </cell>
          <cell r="K3746">
            <v>46224</v>
          </cell>
        </row>
        <row r="3747">
          <cell r="J3747">
            <v>46225</v>
          </cell>
          <cell r="K3747">
            <v>46234</v>
          </cell>
        </row>
        <row r="3748">
          <cell r="J3748">
            <v>46241</v>
          </cell>
          <cell r="K3748">
            <v>46297</v>
          </cell>
        </row>
        <row r="3749">
          <cell r="J3749">
            <v>46199</v>
          </cell>
          <cell r="K3749">
            <v>46319</v>
          </cell>
        </row>
        <row r="3750">
          <cell r="J3750">
            <v>46199</v>
          </cell>
          <cell r="K3750">
            <v>46213</v>
          </cell>
        </row>
        <row r="3751">
          <cell r="J3751">
            <v>46213</v>
          </cell>
          <cell r="K3751">
            <v>46213</v>
          </cell>
        </row>
        <row r="3752">
          <cell r="J3752">
            <v>46213</v>
          </cell>
          <cell r="K3752">
            <v>46213</v>
          </cell>
        </row>
        <row r="3753">
          <cell r="J3753">
            <v>46216</v>
          </cell>
          <cell r="K3753">
            <v>46220</v>
          </cell>
        </row>
        <row r="3754">
          <cell r="J3754">
            <v>46224</v>
          </cell>
          <cell r="K3754">
            <v>46230</v>
          </cell>
        </row>
        <row r="3755">
          <cell r="J3755">
            <v>46231</v>
          </cell>
          <cell r="K3755">
            <v>46246</v>
          </cell>
        </row>
        <row r="3756">
          <cell r="J3756">
            <v>46247</v>
          </cell>
          <cell r="K3756">
            <v>46258</v>
          </cell>
        </row>
        <row r="3757">
          <cell r="J3757">
            <v>46263</v>
          </cell>
          <cell r="K3757">
            <v>46319</v>
          </cell>
        </row>
        <row r="3758">
          <cell r="J3758">
            <v>46213</v>
          </cell>
          <cell r="K3758">
            <v>46289</v>
          </cell>
        </row>
        <row r="3759">
          <cell r="J3759">
            <v>46213</v>
          </cell>
          <cell r="K3759">
            <v>46226</v>
          </cell>
        </row>
        <row r="3760">
          <cell r="J3760">
            <v>46220</v>
          </cell>
          <cell r="K3760">
            <v>46226</v>
          </cell>
        </row>
        <row r="3761">
          <cell r="J3761">
            <v>46226</v>
          </cell>
          <cell r="K3761">
            <v>46226</v>
          </cell>
        </row>
        <row r="3762">
          <cell r="J3762">
            <v>46226</v>
          </cell>
          <cell r="K3762">
            <v>46226</v>
          </cell>
        </row>
        <row r="3763">
          <cell r="J3763">
            <v>46231</v>
          </cell>
          <cell r="K3763">
            <v>46233</v>
          </cell>
        </row>
        <row r="3764">
          <cell r="J3764">
            <v>46234</v>
          </cell>
          <cell r="K3764">
            <v>46247</v>
          </cell>
        </row>
        <row r="3765">
          <cell r="J3765">
            <v>46248</v>
          </cell>
          <cell r="K3765">
            <v>46254</v>
          </cell>
        </row>
        <row r="3766">
          <cell r="J3766">
            <v>46266</v>
          </cell>
          <cell r="K3766">
            <v>46289</v>
          </cell>
        </row>
        <row r="3767">
          <cell r="J3767">
            <v>46202</v>
          </cell>
          <cell r="K3767">
            <v>46289</v>
          </cell>
        </row>
        <row r="3768">
          <cell r="J3768">
            <v>46202</v>
          </cell>
          <cell r="K3768">
            <v>46206</v>
          </cell>
        </row>
        <row r="3769">
          <cell r="J3769">
            <v>46206</v>
          </cell>
          <cell r="K3769">
            <v>46206</v>
          </cell>
        </row>
        <row r="3770">
          <cell r="J3770">
            <v>46206</v>
          </cell>
          <cell r="K3770">
            <v>46206</v>
          </cell>
        </row>
        <row r="3771">
          <cell r="J3771">
            <v>46209</v>
          </cell>
          <cell r="K3771">
            <v>46219</v>
          </cell>
        </row>
        <row r="3772">
          <cell r="J3772">
            <v>46224</v>
          </cell>
          <cell r="K3772">
            <v>46233</v>
          </cell>
        </row>
        <row r="3773">
          <cell r="J3773">
            <v>46234</v>
          </cell>
          <cell r="K3773">
            <v>46251</v>
          </cell>
        </row>
        <row r="3774">
          <cell r="J3774">
            <v>46252</v>
          </cell>
          <cell r="K3774">
            <v>46262</v>
          </cell>
        </row>
        <row r="3775">
          <cell r="J3775">
            <v>46267</v>
          </cell>
          <cell r="K3775">
            <v>46289</v>
          </cell>
        </row>
        <row r="3776">
          <cell r="J3776">
            <v>46289</v>
          </cell>
          <cell r="K3776">
            <v>46422</v>
          </cell>
        </row>
        <row r="3777">
          <cell r="J3777">
            <v>46289</v>
          </cell>
          <cell r="K3777">
            <v>46304</v>
          </cell>
        </row>
        <row r="3778">
          <cell r="J3778">
            <v>46304</v>
          </cell>
          <cell r="K3778">
            <v>46304</v>
          </cell>
        </row>
        <row r="3779">
          <cell r="J3779">
            <v>46304</v>
          </cell>
          <cell r="K3779">
            <v>46304</v>
          </cell>
        </row>
        <row r="3780">
          <cell r="J3780">
            <v>46307</v>
          </cell>
          <cell r="K3780">
            <v>46318</v>
          </cell>
        </row>
        <row r="3781">
          <cell r="J3781">
            <v>46323</v>
          </cell>
          <cell r="K3781">
            <v>46332</v>
          </cell>
        </row>
        <row r="3782">
          <cell r="J3782">
            <v>46335</v>
          </cell>
          <cell r="K3782">
            <v>46349</v>
          </cell>
        </row>
        <row r="3783">
          <cell r="J3783">
            <v>46350</v>
          </cell>
          <cell r="K3783">
            <v>46359</v>
          </cell>
        </row>
        <row r="3784">
          <cell r="J3784">
            <v>46367</v>
          </cell>
          <cell r="K3784">
            <v>46422</v>
          </cell>
        </row>
        <row r="3785">
          <cell r="J3785">
            <v>46199</v>
          </cell>
          <cell r="K3785">
            <v>46288</v>
          </cell>
        </row>
        <row r="3786">
          <cell r="J3786">
            <v>46199</v>
          </cell>
          <cell r="K3786">
            <v>46212</v>
          </cell>
        </row>
        <row r="3787">
          <cell r="J3787">
            <v>46212</v>
          </cell>
          <cell r="K3787">
            <v>46212</v>
          </cell>
        </row>
        <row r="3788">
          <cell r="J3788">
            <v>46212</v>
          </cell>
          <cell r="K3788">
            <v>46212</v>
          </cell>
        </row>
        <row r="3789">
          <cell r="J3789">
            <v>46213</v>
          </cell>
          <cell r="K3789">
            <v>46218</v>
          </cell>
        </row>
        <row r="3790">
          <cell r="J3790">
            <v>46224</v>
          </cell>
          <cell r="K3790">
            <v>46231</v>
          </cell>
        </row>
        <row r="3791">
          <cell r="J3791">
            <v>46232</v>
          </cell>
          <cell r="K3791">
            <v>46245</v>
          </cell>
        </row>
        <row r="3792">
          <cell r="J3792">
            <v>46247</v>
          </cell>
          <cell r="K3792">
            <v>46255</v>
          </cell>
        </row>
        <row r="3793">
          <cell r="J3793">
            <v>46262</v>
          </cell>
          <cell r="K3793">
            <v>46288</v>
          </cell>
        </row>
        <row r="3794">
          <cell r="J3794">
            <v>46199</v>
          </cell>
          <cell r="K3794">
            <v>46318</v>
          </cell>
        </row>
        <row r="3795">
          <cell r="J3795">
            <v>46199</v>
          </cell>
          <cell r="K3795">
            <v>46212</v>
          </cell>
        </row>
        <row r="3796">
          <cell r="J3796">
            <v>46212</v>
          </cell>
          <cell r="K3796">
            <v>46212</v>
          </cell>
        </row>
        <row r="3797">
          <cell r="J3797">
            <v>46212</v>
          </cell>
          <cell r="K3797">
            <v>46212</v>
          </cell>
        </row>
        <row r="3798">
          <cell r="J3798">
            <v>46213</v>
          </cell>
          <cell r="K3798">
            <v>46218</v>
          </cell>
        </row>
        <row r="3799">
          <cell r="J3799">
            <v>46224</v>
          </cell>
          <cell r="K3799">
            <v>46231</v>
          </cell>
        </row>
        <row r="3800">
          <cell r="J3800">
            <v>46232</v>
          </cell>
          <cell r="K3800">
            <v>46245</v>
          </cell>
        </row>
        <row r="3801">
          <cell r="J3801">
            <v>46247</v>
          </cell>
          <cell r="K3801">
            <v>46255</v>
          </cell>
        </row>
        <row r="3802">
          <cell r="J3802">
            <v>46262</v>
          </cell>
          <cell r="K3802">
            <v>46318</v>
          </cell>
        </row>
        <row r="3803">
          <cell r="J3803">
            <v>46192</v>
          </cell>
          <cell r="K3803">
            <v>46299</v>
          </cell>
        </row>
        <row r="3804">
          <cell r="J3804">
            <v>46192</v>
          </cell>
          <cell r="K3804">
            <v>46195</v>
          </cell>
        </row>
        <row r="3805">
          <cell r="J3805">
            <v>46195</v>
          </cell>
          <cell r="K3805">
            <v>46195</v>
          </cell>
        </row>
        <row r="3806">
          <cell r="J3806">
            <v>46195</v>
          </cell>
          <cell r="K3806">
            <v>46195</v>
          </cell>
        </row>
        <row r="3807">
          <cell r="J3807">
            <v>46196</v>
          </cell>
          <cell r="K3807">
            <v>46202</v>
          </cell>
        </row>
        <row r="3808">
          <cell r="J3808">
            <v>46205</v>
          </cell>
          <cell r="K3808">
            <v>46209</v>
          </cell>
        </row>
        <row r="3809">
          <cell r="J3809">
            <v>46210</v>
          </cell>
          <cell r="K3809">
            <v>46226</v>
          </cell>
        </row>
        <row r="3810">
          <cell r="J3810">
            <v>46227</v>
          </cell>
          <cell r="K3810">
            <v>46237</v>
          </cell>
        </row>
        <row r="3811">
          <cell r="J3811">
            <v>46245</v>
          </cell>
          <cell r="K3811">
            <v>46299</v>
          </cell>
        </row>
        <row r="3812">
          <cell r="J3812">
            <v>46192</v>
          </cell>
          <cell r="K3812">
            <v>46296</v>
          </cell>
        </row>
        <row r="3813">
          <cell r="J3813">
            <v>46192</v>
          </cell>
          <cell r="K3813">
            <v>46195</v>
          </cell>
        </row>
        <row r="3814">
          <cell r="J3814">
            <v>46195</v>
          </cell>
          <cell r="K3814">
            <v>46195</v>
          </cell>
        </row>
        <row r="3815">
          <cell r="J3815">
            <v>46195</v>
          </cell>
          <cell r="K3815">
            <v>46195</v>
          </cell>
        </row>
        <row r="3816">
          <cell r="J3816">
            <v>46196</v>
          </cell>
          <cell r="K3816">
            <v>46202</v>
          </cell>
        </row>
        <row r="3817">
          <cell r="J3817">
            <v>46205</v>
          </cell>
          <cell r="K3817">
            <v>46209</v>
          </cell>
        </row>
        <row r="3818">
          <cell r="J3818">
            <v>46210</v>
          </cell>
          <cell r="K3818">
            <v>46226</v>
          </cell>
        </row>
        <row r="3819">
          <cell r="J3819">
            <v>46227</v>
          </cell>
          <cell r="K3819">
            <v>46237</v>
          </cell>
        </row>
        <row r="3820">
          <cell r="J3820">
            <v>46242</v>
          </cell>
          <cell r="K3820">
            <v>46296</v>
          </cell>
        </row>
        <row r="3821">
          <cell r="J3821">
            <v>46199</v>
          </cell>
          <cell r="K3821">
            <v>46334</v>
          </cell>
        </row>
        <row r="3822">
          <cell r="J3822">
            <v>46199</v>
          </cell>
          <cell r="K3822">
            <v>46218</v>
          </cell>
        </row>
        <row r="3823">
          <cell r="J3823">
            <v>46218</v>
          </cell>
          <cell r="K3823">
            <v>46218</v>
          </cell>
        </row>
        <row r="3824">
          <cell r="J3824">
            <v>46218</v>
          </cell>
          <cell r="K3824">
            <v>46218</v>
          </cell>
        </row>
        <row r="3825">
          <cell r="J3825">
            <v>46219</v>
          </cell>
          <cell r="K3825">
            <v>46227</v>
          </cell>
        </row>
        <row r="3826">
          <cell r="J3826">
            <v>46231</v>
          </cell>
          <cell r="K3826">
            <v>46234</v>
          </cell>
        </row>
        <row r="3827">
          <cell r="J3827">
            <v>46237</v>
          </cell>
          <cell r="K3827">
            <v>46251</v>
          </cell>
        </row>
        <row r="3828">
          <cell r="J3828">
            <v>46252</v>
          </cell>
          <cell r="K3828">
            <v>46261</v>
          </cell>
        </row>
        <row r="3829">
          <cell r="J3829">
            <v>46268</v>
          </cell>
          <cell r="K3829">
            <v>46334</v>
          </cell>
        </row>
        <row r="3830">
          <cell r="J3830">
            <v>46209</v>
          </cell>
          <cell r="K3830">
            <v>46319</v>
          </cell>
        </row>
        <row r="3831">
          <cell r="J3831">
            <v>46209</v>
          </cell>
          <cell r="K3831">
            <v>46220</v>
          </cell>
        </row>
        <row r="3832">
          <cell r="J3832">
            <v>46220</v>
          </cell>
          <cell r="K3832">
            <v>46220</v>
          </cell>
        </row>
        <row r="3833">
          <cell r="J3833">
            <v>46220</v>
          </cell>
          <cell r="K3833">
            <v>46220</v>
          </cell>
        </row>
        <row r="3834">
          <cell r="J3834">
            <v>46223</v>
          </cell>
          <cell r="K3834">
            <v>46223</v>
          </cell>
        </row>
        <row r="3835">
          <cell r="J3835">
            <v>46225</v>
          </cell>
          <cell r="K3835">
            <v>46230</v>
          </cell>
        </row>
        <row r="3836">
          <cell r="J3836">
            <v>46231</v>
          </cell>
          <cell r="K3836">
            <v>46246</v>
          </cell>
        </row>
        <row r="3837">
          <cell r="J3837">
            <v>46247</v>
          </cell>
          <cell r="K3837">
            <v>46258</v>
          </cell>
        </row>
        <row r="3838">
          <cell r="J3838">
            <v>46263</v>
          </cell>
          <cell r="K3838">
            <v>46319</v>
          </cell>
        </row>
        <row r="3839">
          <cell r="J3839">
            <v>46261</v>
          </cell>
          <cell r="K3839">
            <v>46369</v>
          </cell>
        </row>
        <row r="3840">
          <cell r="J3840">
            <v>46261</v>
          </cell>
          <cell r="K3840">
            <v>46272</v>
          </cell>
        </row>
        <row r="3841">
          <cell r="J3841">
            <v>46272</v>
          </cell>
          <cell r="K3841">
            <v>46272</v>
          </cell>
        </row>
        <row r="3842">
          <cell r="J3842">
            <v>46272</v>
          </cell>
          <cell r="K3842">
            <v>46272</v>
          </cell>
        </row>
        <row r="3843">
          <cell r="J3843">
            <v>46273</v>
          </cell>
          <cell r="K3843">
            <v>46279</v>
          </cell>
        </row>
        <row r="3844">
          <cell r="J3844">
            <v>46289</v>
          </cell>
          <cell r="K3844">
            <v>46309</v>
          </cell>
        </row>
        <row r="3845">
          <cell r="J3845">
            <v>46310</v>
          </cell>
          <cell r="K3845">
            <v>46332</v>
          </cell>
        </row>
        <row r="3846">
          <cell r="J3846">
            <v>46335</v>
          </cell>
          <cell r="K3846">
            <v>46346</v>
          </cell>
        </row>
        <row r="3847">
          <cell r="J3847">
            <v>46353</v>
          </cell>
          <cell r="K3847">
            <v>46369</v>
          </cell>
        </row>
        <row r="3848">
          <cell r="J3848">
            <v>46245</v>
          </cell>
          <cell r="K3848">
            <v>46533</v>
          </cell>
        </row>
        <row r="3849">
          <cell r="J3849">
            <v>46244</v>
          </cell>
          <cell r="K3849">
            <v>46333</v>
          </cell>
        </row>
        <row r="3850">
          <cell r="J3850">
            <v>46291</v>
          </cell>
          <cell r="K3850">
            <v>46487</v>
          </cell>
        </row>
        <row r="3851">
          <cell r="D3851" t="str">
            <v>JKT</v>
          </cell>
          <cell r="F3851" t="str">
            <v>JKT-01</v>
          </cell>
          <cell r="G3851" t="str">
            <v>CAN</v>
          </cell>
          <cell r="H3851" t="str">
            <v>01J</v>
          </cell>
          <cell r="J3851">
            <v>46291</v>
          </cell>
        </row>
        <row r="3852">
          <cell r="D3852" t="str">
            <v>JKT</v>
          </cell>
          <cell r="E3852" t="str">
            <v>S04A</v>
          </cell>
          <cell r="F3852" t="str">
            <v>JKT-01</v>
          </cell>
          <cell r="G3852" t="str">
            <v>CAN</v>
          </cell>
          <cell r="H3852" t="str">
            <v>01J</v>
          </cell>
          <cell r="J3852">
            <v>46291</v>
          </cell>
          <cell r="K3852">
            <v>46335</v>
          </cell>
        </row>
        <row r="3853">
          <cell r="D3853" t="str">
            <v>JKT</v>
          </cell>
          <cell r="E3853" t="str">
            <v>S02A</v>
          </cell>
          <cell r="F3853" t="str">
            <v>JKT-01</v>
          </cell>
          <cell r="G3853" t="str">
            <v>CAN</v>
          </cell>
          <cell r="H3853" t="str">
            <v>01J</v>
          </cell>
          <cell r="J3853">
            <v>46295</v>
          </cell>
          <cell r="K3853">
            <v>46331</v>
          </cell>
        </row>
        <row r="3854">
          <cell r="D3854" t="str">
            <v>JKT</v>
          </cell>
          <cell r="E3854" t="str">
            <v>S04B</v>
          </cell>
          <cell r="F3854" t="str">
            <v>JKT-01</v>
          </cell>
          <cell r="G3854" t="str">
            <v>CAN</v>
          </cell>
          <cell r="H3854" t="str">
            <v>01J</v>
          </cell>
          <cell r="J3854">
            <v>46314</v>
          </cell>
          <cell r="K3854">
            <v>46343</v>
          </cell>
        </row>
        <row r="3855">
          <cell r="D3855" t="str">
            <v>JKT</v>
          </cell>
          <cell r="E3855" t="str">
            <v>S04C</v>
          </cell>
          <cell r="F3855" t="str">
            <v>JKT-01</v>
          </cell>
          <cell r="G3855" t="str">
            <v>CAN</v>
          </cell>
          <cell r="H3855" t="str">
            <v>01J</v>
          </cell>
          <cell r="J3855">
            <v>46325</v>
          </cell>
          <cell r="K3855">
            <v>46354</v>
          </cell>
        </row>
        <row r="3856">
          <cell r="D3856" t="str">
            <v>JKT</v>
          </cell>
          <cell r="E3856" t="str">
            <v>S05</v>
          </cell>
          <cell r="F3856" t="str">
            <v>JKT-01</v>
          </cell>
          <cell r="G3856" t="str">
            <v>CAN</v>
          </cell>
          <cell r="H3856" t="str">
            <v>01J</v>
          </cell>
          <cell r="J3856">
            <v>46331</v>
          </cell>
          <cell r="K3856">
            <v>46354</v>
          </cell>
        </row>
        <row r="3857">
          <cell r="D3857" t="str">
            <v>JKT</v>
          </cell>
          <cell r="E3857" t="str">
            <v>S07</v>
          </cell>
          <cell r="F3857" t="str">
            <v>JKT-01</v>
          </cell>
          <cell r="G3857" t="str">
            <v>CAN</v>
          </cell>
          <cell r="H3857" t="str">
            <v>01J</v>
          </cell>
          <cell r="J3857">
            <v>46339</v>
          </cell>
          <cell r="K3857">
            <v>46365</v>
          </cell>
        </row>
        <row r="3858">
          <cell r="D3858" t="str">
            <v>JKT</v>
          </cell>
          <cell r="E3858" t="str">
            <v>S06A</v>
          </cell>
          <cell r="F3858" t="str">
            <v>JKT-01</v>
          </cell>
          <cell r="G3858" t="str">
            <v>CAN</v>
          </cell>
          <cell r="H3858" t="str">
            <v>01J</v>
          </cell>
          <cell r="J3858">
            <v>46339</v>
          </cell>
          <cell r="K3858">
            <v>46365</v>
          </cell>
        </row>
        <row r="3859">
          <cell r="D3859" t="str">
            <v>JKT</v>
          </cell>
          <cell r="E3859" t="str">
            <v>S09A</v>
          </cell>
          <cell r="F3859" t="str">
            <v>JKT-01</v>
          </cell>
          <cell r="G3859" t="str">
            <v>CAN</v>
          </cell>
          <cell r="H3859" t="str">
            <v>01J</v>
          </cell>
          <cell r="J3859">
            <v>46344</v>
          </cell>
          <cell r="K3859">
            <v>46367</v>
          </cell>
        </row>
        <row r="3860">
          <cell r="D3860" t="str">
            <v>JKT</v>
          </cell>
          <cell r="E3860" t="str">
            <v>S08A</v>
          </cell>
          <cell r="F3860" t="str">
            <v>JKT-01</v>
          </cell>
          <cell r="G3860" t="str">
            <v>CAN</v>
          </cell>
          <cell r="H3860" t="str">
            <v>01J</v>
          </cell>
          <cell r="J3860">
            <v>46347</v>
          </cell>
          <cell r="K3860">
            <v>46377</v>
          </cell>
        </row>
        <row r="3861">
          <cell r="D3861" t="str">
            <v>JKT</v>
          </cell>
          <cell r="E3861" t="str">
            <v>S06B</v>
          </cell>
          <cell r="F3861" t="str">
            <v>JKT-01</v>
          </cell>
          <cell r="G3861" t="str">
            <v>CAN</v>
          </cell>
          <cell r="H3861" t="str">
            <v>01J</v>
          </cell>
          <cell r="J3861">
            <v>46347</v>
          </cell>
          <cell r="K3861">
            <v>46373</v>
          </cell>
        </row>
        <row r="3862">
          <cell r="D3862" t="str">
            <v>JKT</v>
          </cell>
          <cell r="E3862" t="str">
            <v>S08B</v>
          </cell>
          <cell r="F3862" t="str">
            <v>JKT-01</v>
          </cell>
          <cell r="G3862" t="str">
            <v>CAN</v>
          </cell>
          <cell r="H3862" t="str">
            <v>01J</v>
          </cell>
          <cell r="J3862">
            <v>46356</v>
          </cell>
          <cell r="K3862">
            <v>46385</v>
          </cell>
        </row>
        <row r="3863">
          <cell r="D3863" t="str">
            <v>JKT</v>
          </cell>
          <cell r="E3863" t="str">
            <v>S10A</v>
          </cell>
          <cell r="F3863" t="str">
            <v>JKT-01</v>
          </cell>
          <cell r="G3863" t="str">
            <v>CAN</v>
          </cell>
          <cell r="H3863" t="str">
            <v>01J</v>
          </cell>
          <cell r="J3863">
            <v>46365</v>
          </cell>
          <cell r="K3863">
            <v>46403</v>
          </cell>
        </row>
        <row r="3864">
          <cell r="D3864" t="str">
            <v>PILE</v>
          </cell>
          <cell r="E3864" t="str">
            <v>GEN</v>
          </cell>
          <cell r="F3864" t="str">
            <v>PILE-01</v>
          </cell>
          <cell r="G3864" t="str">
            <v>CAN</v>
          </cell>
          <cell r="H3864" t="str">
            <v>01J</v>
          </cell>
          <cell r="J3864">
            <v>46422</v>
          </cell>
          <cell r="K3864">
            <v>46484</v>
          </cell>
        </row>
        <row r="3865">
          <cell r="J3865">
            <v>46332</v>
          </cell>
          <cell r="K3865">
            <v>46533</v>
          </cell>
        </row>
        <row r="3866">
          <cell r="D3866" t="str">
            <v>JKT</v>
          </cell>
          <cell r="F3866" t="str">
            <v>JKT-01</v>
          </cell>
          <cell r="H3866" t="str">
            <v>02J</v>
          </cell>
          <cell r="J3866">
            <v>46332</v>
          </cell>
        </row>
        <row r="3867">
          <cell r="D3867" t="str">
            <v>JKT</v>
          </cell>
          <cell r="E3867" t="str">
            <v>S04A</v>
          </cell>
          <cell r="F3867" t="str">
            <v>JKT-01</v>
          </cell>
          <cell r="G3867" t="str">
            <v>CAN</v>
          </cell>
          <cell r="H3867" t="str">
            <v>02J</v>
          </cell>
          <cell r="J3867">
            <v>46332</v>
          </cell>
          <cell r="K3867">
            <v>46366</v>
          </cell>
        </row>
        <row r="3868">
          <cell r="D3868" t="str">
            <v>JKT</v>
          </cell>
          <cell r="E3868" t="str">
            <v>S02A</v>
          </cell>
          <cell r="F3868" t="str">
            <v>JKT-01</v>
          </cell>
          <cell r="G3868" t="str">
            <v>CAN</v>
          </cell>
          <cell r="H3868" t="str">
            <v>02J</v>
          </cell>
          <cell r="J3868">
            <v>46336</v>
          </cell>
          <cell r="K3868">
            <v>46365</v>
          </cell>
        </row>
        <row r="3869">
          <cell r="D3869" t="str">
            <v>JKT</v>
          </cell>
          <cell r="E3869" t="str">
            <v>S04B</v>
          </cell>
          <cell r="F3869" t="str">
            <v>JKT-01</v>
          </cell>
          <cell r="G3869" t="str">
            <v>CAN</v>
          </cell>
          <cell r="H3869" t="str">
            <v>02J</v>
          </cell>
          <cell r="J3869">
            <v>46344</v>
          </cell>
          <cell r="K3869">
            <v>46373</v>
          </cell>
        </row>
        <row r="3870">
          <cell r="D3870" t="str">
            <v>JKT</v>
          </cell>
          <cell r="E3870" t="str">
            <v>S05</v>
          </cell>
          <cell r="F3870" t="str">
            <v>JKT-01</v>
          </cell>
          <cell r="G3870" t="str">
            <v>CAN</v>
          </cell>
          <cell r="H3870" t="str">
            <v>02J</v>
          </cell>
          <cell r="J3870">
            <v>46346</v>
          </cell>
          <cell r="K3870">
            <v>46371</v>
          </cell>
        </row>
        <row r="3871">
          <cell r="D3871" t="str">
            <v>JKT</v>
          </cell>
          <cell r="E3871" t="str">
            <v>S07</v>
          </cell>
          <cell r="F3871" t="str">
            <v>JKT-01</v>
          </cell>
          <cell r="G3871" t="str">
            <v>CAN</v>
          </cell>
          <cell r="H3871" t="str">
            <v>02J</v>
          </cell>
          <cell r="J3871">
            <v>46363</v>
          </cell>
          <cell r="K3871">
            <v>46392</v>
          </cell>
        </row>
        <row r="3872">
          <cell r="D3872" t="str">
            <v>JKT</v>
          </cell>
          <cell r="E3872" t="str">
            <v>S06A</v>
          </cell>
          <cell r="F3872" t="str">
            <v>JKT-01</v>
          </cell>
          <cell r="G3872" t="str">
            <v>CAN</v>
          </cell>
          <cell r="H3872" t="str">
            <v>02J</v>
          </cell>
          <cell r="J3872">
            <v>46366</v>
          </cell>
          <cell r="K3872">
            <v>46392</v>
          </cell>
        </row>
        <row r="3873">
          <cell r="D3873" t="str">
            <v>JKT</v>
          </cell>
          <cell r="E3873" t="str">
            <v>S10A</v>
          </cell>
          <cell r="F3873" t="str">
            <v>JKT-01</v>
          </cell>
          <cell r="G3873" t="str">
            <v>CAN</v>
          </cell>
          <cell r="H3873" t="str">
            <v>02J</v>
          </cell>
          <cell r="J3873">
            <v>46371</v>
          </cell>
          <cell r="K3873">
            <v>46409</v>
          </cell>
        </row>
        <row r="3874">
          <cell r="D3874" t="str">
            <v>JKT</v>
          </cell>
          <cell r="E3874" t="str">
            <v>S04C</v>
          </cell>
          <cell r="F3874" t="str">
            <v>JKT-01</v>
          </cell>
          <cell r="G3874" t="str">
            <v>CAN</v>
          </cell>
          <cell r="H3874" t="str">
            <v>02J</v>
          </cell>
          <cell r="J3874">
            <v>46373</v>
          </cell>
          <cell r="K3874">
            <v>46403</v>
          </cell>
        </row>
        <row r="3875">
          <cell r="D3875" t="str">
            <v>JKT</v>
          </cell>
          <cell r="E3875" t="str">
            <v>S08A</v>
          </cell>
          <cell r="F3875" t="str">
            <v>JKT-01</v>
          </cell>
          <cell r="G3875" t="str">
            <v>CAN</v>
          </cell>
          <cell r="H3875" t="str">
            <v>02J</v>
          </cell>
          <cell r="J3875">
            <v>46380</v>
          </cell>
          <cell r="K3875">
            <v>46409</v>
          </cell>
        </row>
        <row r="3876">
          <cell r="D3876" t="str">
            <v>JKT</v>
          </cell>
          <cell r="E3876" t="str">
            <v>S06B</v>
          </cell>
          <cell r="F3876" t="str">
            <v>JKT-01</v>
          </cell>
          <cell r="G3876" t="str">
            <v>CAN</v>
          </cell>
          <cell r="H3876" t="str">
            <v>02J</v>
          </cell>
          <cell r="J3876">
            <v>46386</v>
          </cell>
          <cell r="K3876">
            <v>46412</v>
          </cell>
        </row>
        <row r="3877">
          <cell r="D3877" t="str">
            <v>JKT</v>
          </cell>
          <cell r="E3877" t="str">
            <v>S08B</v>
          </cell>
          <cell r="F3877" t="str">
            <v>JKT-01</v>
          </cell>
          <cell r="G3877" t="str">
            <v>CAN</v>
          </cell>
          <cell r="H3877" t="str">
            <v>02J</v>
          </cell>
          <cell r="J3877">
            <v>46389</v>
          </cell>
          <cell r="K3877">
            <v>46417</v>
          </cell>
        </row>
        <row r="3878">
          <cell r="D3878" t="str">
            <v>JKT</v>
          </cell>
          <cell r="E3878" t="str">
            <v>S09A</v>
          </cell>
          <cell r="F3878" t="str">
            <v>JKT-01</v>
          </cell>
          <cell r="G3878" t="str">
            <v>CAN</v>
          </cell>
          <cell r="H3878" t="str">
            <v>02J</v>
          </cell>
          <cell r="J3878">
            <v>46393</v>
          </cell>
          <cell r="K3878">
            <v>46415</v>
          </cell>
        </row>
        <row r="3879">
          <cell r="D3879" t="str">
            <v>PILE</v>
          </cell>
          <cell r="E3879" t="str">
            <v>GEN</v>
          </cell>
          <cell r="F3879" t="str">
            <v>PILE-01</v>
          </cell>
          <cell r="G3879" t="str">
            <v>CAN</v>
          </cell>
          <cell r="H3879" t="str">
            <v>02J</v>
          </cell>
          <cell r="J3879">
            <v>46472</v>
          </cell>
          <cell r="K3879">
            <v>46526</v>
          </cell>
        </row>
        <row r="3880">
          <cell r="J3880">
            <v>46295</v>
          </cell>
          <cell r="K3880">
            <v>46522</v>
          </cell>
        </row>
        <row r="3881">
          <cell r="K3881" t="str">
            <v>30-Sep-26*</v>
          </cell>
        </row>
        <row r="3882">
          <cell r="J3882">
            <v>46303</v>
          </cell>
          <cell r="K3882">
            <v>46332</v>
          </cell>
        </row>
        <row r="3883">
          <cell r="K3883" t="str">
            <v>31-Dec-26*</v>
          </cell>
        </row>
        <row r="3884">
          <cell r="J3884">
            <v>46389</v>
          </cell>
          <cell r="K3884">
            <v>46418</v>
          </cell>
        </row>
        <row r="3885">
          <cell r="K3885" t="str">
            <v>15-May-27*</v>
          </cell>
        </row>
        <row r="3886">
          <cell r="J3886">
            <v>46179</v>
          </cell>
          <cell r="K3886">
            <v>46656</v>
          </cell>
        </row>
        <row r="3887">
          <cell r="J3887">
            <v>46265</v>
          </cell>
          <cell r="K3887">
            <v>46513</v>
          </cell>
        </row>
        <row r="3888">
          <cell r="J3888">
            <v>46265</v>
          </cell>
          <cell r="K3888">
            <v>46513</v>
          </cell>
        </row>
        <row r="3889">
          <cell r="J3889">
            <v>46265</v>
          </cell>
          <cell r="K3889">
            <v>46513</v>
          </cell>
        </row>
        <row r="3890">
          <cell r="H3890" t="str">
            <v>01J</v>
          </cell>
          <cell r="J3890">
            <v>46272</v>
          </cell>
          <cell r="K3890">
            <v>46345</v>
          </cell>
        </row>
        <row r="3891">
          <cell r="H3891" t="str">
            <v>01J</v>
          </cell>
          <cell r="J3891">
            <v>46303</v>
          </cell>
          <cell r="K3891">
            <v>46372</v>
          </cell>
        </row>
        <row r="3892">
          <cell r="H3892" t="str">
            <v>01J</v>
          </cell>
          <cell r="J3892">
            <v>46447</v>
          </cell>
          <cell r="K3892">
            <v>46513</v>
          </cell>
        </row>
        <row r="3893">
          <cell r="J3893">
            <v>46303</v>
          </cell>
          <cell r="K3893">
            <v>46386</v>
          </cell>
        </row>
        <row r="3894">
          <cell r="H3894" t="str">
            <v>01J</v>
          </cell>
          <cell r="J3894">
            <v>46303</v>
          </cell>
          <cell r="K3894">
            <v>46386</v>
          </cell>
        </row>
        <row r="3895">
          <cell r="J3895">
            <v>46265</v>
          </cell>
          <cell r="K3895">
            <v>46513</v>
          </cell>
        </row>
        <row r="3896">
          <cell r="J3896">
            <v>46265</v>
          </cell>
          <cell r="K3896">
            <v>46513</v>
          </cell>
        </row>
        <row r="3897">
          <cell r="H3897" t="str">
            <v>02J</v>
          </cell>
          <cell r="J3897">
            <v>46272</v>
          </cell>
          <cell r="K3897">
            <v>46345</v>
          </cell>
        </row>
        <row r="3898">
          <cell r="H3898" t="str">
            <v>02J</v>
          </cell>
          <cell r="J3898">
            <v>46303</v>
          </cell>
          <cell r="K3898">
            <v>46372</v>
          </cell>
        </row>
        <row r="3899">
          <cell r="H3899" t="str">
            <v>02J</v>
          </cell>
          <cell r="J3899">
            <v>46447</v>
          </cell>
          <cell r="K3899">
            <v>46513</v>
          </cell>
        </row>
        <row r="3900">
          <cell r="J3900">
            <v>46303</v>
          </cell>
          <cell r="K3900">
            <v>46386</v>
          </cell>
        </row>
        <row r="3901">
          <cell r="H3901" t="str">
            <v>02J</v>
          </cell>
          <cell r="J3901">
            <v>46303</v>
          </cell>
          <cell r="K3901">
            <v>46386</v>
          </cell>
        </row>
        <row r="3902">
          <cell r="J3902">
            <v>46179</v>
          </cell>
          <cell r="K3902">
            <v>46282</v>
          </cell>
        </row>
        <row r="3903">
          <cell r="H3903" t="str">
            <v>01T</v>
          </cell>
          <cell r="J3903">
            <v>46182</v>
          </cell>
          <cell r="K3903">
            <v>46266</v>
          </cell>
        </row>
        <row r="3904">
          <cell r="H3904" t="str">
            <v>01T</v>
          </cell>
          <cell r="J3904">
            <v>46218</v>
          </cell>
          <cell r="K3904">
            <v>46273</v>
          </cell>
        </row>
        <row r="3905">
          <cell r="H3905" t="str">
            <v>01T</v>
          </cell>
          <cell r="J3905">
            <v>46258</v>
          </cell>
          <cell r="K3905">
            <v>46284</v>
          </cell>
        </row>
        <row r="3906">
          <cell r="J3906">
            <v>46314</v>
          </cell>
          <cell r="K3906">
            <v>46634</v>
          </cell>
        </row>
        <row r="3907">
          <cell r="J3907">
            <v>46314</v>
          </cell>
          <cell r="K3907">
            <v>46596</v>
          </cell>
        </row>
        <row r="3908">
          <cell r="J3908">
            <v>46314</v>
          </cell>
          <cell r="K3908">
            <v>46596</v>
          </cell>
        </row>
        <row r="3909">
          <cell r="J3909">
            <v>46314</v>
          </cell>
          <cell r="K3909">
            <v>46574</v>
          </cell>
        </row>
        <row r="3910">
          <cell r="J3910">
            <v>46314</v>
          </cell>
          <cell r="K3910">
            <v>46465</v>
          </cell>
        </row>
        <row r="3911">
          <cell r="J3911">
            <v>46322</v>
          </cell>
          <cell r="K3911">
            <v>46416</v>
          </cell>
        </row>
        <row r="3912">
          <cell r="D3912" t="str">
            <v>JKT</v>
          </cell>
          <cell r="E3912" t="str">
            <v>S04A</v>
          </cell>
          <cell r="F3912" t="str">
            <v>JKT-01</v>
          </cell>
          <cell r="G3912" t="str">
            <v>FAB/SPL</v>
          </cell>
          <cell r="H3912" t="str">
            <v>01J</v>
          </cell>
          <cell r="J3912">
            <v>46322</v>
          </cell>
          <cell r="K3912">
            <v>46353</v>
          </cell>
        </row>
        <row r="3913">
          <cell r="D3913" t="str">
            <v>JKT</v>
          </cell>
          <cell r="E3913" t="str">
            <v>S02A</v>
          </cell>
          <cell r="F3913" t="str">
            <v>JKT-01</v>
          </cell>
          <cell r="G3913" t="str">
            <v>FAB/SPL</v>
          </cell>
          <cell r="H3913" t="str">
            <v>01J</v>
          </cell>
          <cell r="J3913">
            <v>46335</v>
          </cell>
          <cell r="K3913">
            <v>46358</v>
          </cell>
        </row>
        <row r="3914">
          <cell r="D3914" t="str">
            <v>JKT</v>
          </cell>
          <cell r="E3914" t="str">
            <v>S05</v>
          </cell>
          <cell r="F3914" t="str">
            <v>JKT-01</v>
          </cell>
          <cell r="G3914" t="str">
            <v>FAB/SPL</v>
          </cell>
          <cell r="H3914" t="str">
            <v>01J</v>
          </cell>
          <cell r="J3914">
            <v>46360</v>
          </cell>
          <cell r="K3914">
            <v>46389</v>
          </cell>
        </row>
        <row r="3915">
          <cell r="D3915" t="str">
            <v>JKT</v>
          </cell>
          <cell r="E3915" t="str">
            <v>S07</v>
          </cell>
          <cell r="F3915" t="str">
            <v>JKT-01</v>
          </cell>
          <cell r="G3915" t="str">
            <v>FAB/SPL</v>
          </cell>
          <cell r="H3915" t="str">
            <v>01J</v>
          </cell>
          <cell r="J3915">
            <v>46365</v>
          </cell>
          <cell r="K3915">
            <v>46394</v>
          </cell>
        </row>
        <row r="3916">
          <cell r="D3916" t="str">
            <v>JKT</v>
          </cell>
          <cell r="E3916" t="str">
            <v>S04B</v>
          </cell>
          <cell r="F3916" t="str">
            <v>JKT-01</v>
          </cell>
          <cell r="G3916" t="str">
            <v>FAB/SPL</v>
          </cell>
          <cell r="H3916" t="str">
            <v>01J</v>
          </cell>
          <cell r="J3916">
            <v>46368</v>
          </cell>
          <cell r="K3916">
            <v>46391</v>
          </cell>
        </row>
        <row r="3917">
          <cell r="D3917" t="str">
            <v>JKT</v>
          </cell>
          <cell r="E3917" t="str">
            <v>S04C</v>
          </cell>
          <cell r="F3917" t="str">
            <v>JKT-01</v>
          </cell>
          <cell r="G3917" t="str">
            <v>FAB/SPL</v>
          </cell>
          <cell r="H3917" t="str">
            <v>01J</v>
          </cell>
          <cell r="J3917">
            <v>46368</v>
          </cell>
          <cell r="K3917">
            <v>46391</v>
          </cell>
        </row>
        <row r="3918">
          <cell r="D3918" t="str">
            <v>JKT</v>
          </cell>
          <cell r="E3918" t="str">
            <v>S06A</v>
          </cell>
          <cell r="F3918" t="str">
            <v>JKT-01</v>
          </cell>
          <cell r="G3918" t="str">
            <v>FAB/SPL</v>
          </cell>
          <cell r="H3918" t="str">
            <v>01J</v>
          </cell>
          <cell r="J3918">
            <v>46373</v>
          </cell>
          <cell r="K3918">
            <v>46395</v>
          </cell>
        </row>
        <row r="3919">
          <cell r="D3919" t="str">
            <v>JKT</v>
          </cell>
          <cell r="E3919" t="str">
            <v>S06B</v>
          </cell>
          <cell r="F3919" t="str">
            <v>JKT-01</v>
          </cell>
          <cell r="G3919" t="str">
            <v>FAB/SPL</v>
          </cell>
          <cell r="H3919" t="str">
            <v>01J</v>
          </cell>
          <cell r="J3919">
            <v>46381</v>
          </cell>
          <cell r="K3919">
            <v>46403</v>
          </cell>
        </row>
        <row r="3920">
          <cell r="D3920" t="str">
            <v>JKT</v>
          </cell>
          <cell r="E3920" t="str">
            <v>S09A</v>
          </cell>
          <cell r="F3920" t="str">
            <v>JKT-01</v>
          </cell>
          <cell r="G3920" t="str">
            <v>FAB/SPL</v>
          </cell>
          <cell r="H3920" t="str">
            <v>01J</v>
          </cell>
          <cell r="J3920">
            <v>46385</v>
          </cell>
          <cell r="K3920">
            <v>46414</v>
          </cell>
        </row>
        <row r="3921">
          <cell r="D3921" t="str">
            <v>JKT</v>
          </cell>
          <cell r="E3921" t="str">
            <v>S08A</v>
          </cell>
          <cell r="F3921" t="str">
            <v>JKT-01</v>
          </cell>
          <cell r="G3921" t="str">
            <v>FAB/SPL</v>
          </cell>
          <cell r="H3921" t="str">
            <v>01J</v>
          </cell>
          <cell r="J3921">
            <v>46385</v>
          </cell>
          <cell r="K3921">
            <v>46407</v>
          </cell>
        </row>
        <row r="3922">
          <cell r="D3922" t="str">
            <v>JKT</v>
          </cell>
          <cell r="E3922" t="str">
            <v>S10A</v>
          </cell>
          <cell r="F3922" t="str">
            <v>JKT-01</v>
          </cell>
          <cell r="G3922" t="str">
            <v>FAB/SPL</v>
          </cell>
          <cell r="H3922" t="str">
            <v>01J</v>
          </cell>
          <cell r="J3922">
            <v>46393</v>
          </cell>
          <cell r="K3922">
            <v>46422</v>
          </cell>
        </row>
        <row r="3923">
          <cell r="D3923" t="str">
            <v>JKT</v>
          </cell>
          <cell r="E3923" t="str">
            <v>S08B</v>
          </cell>
          <cell r="F3923" t="str">
            <v>JKT-01</v>
          </cell>
          <cell r="G3923" t="str">
            <v>FAB/SPL</v>
          </cell>
          <cell r="H3923" t="str">
            <v>01J</v>
          </cell>
          <cell r="J3923">
            <v>46399</v>
          </cell>
          <cell r="K3923">
            <v>46422</v>
          </cell>
        </row>
        <row r="3924">
          <cell r="J3924">
            <v>46322</v>
          </cell>
          <cell r="K3924">
            <v>46452</v>
          </cell>
        </row>
        <row r="3925">
          <cell r="D3925" t="str">
            <v>JKT</v>
          </cell>
          <cell r="E3925" t="str">
            <v>IRS</v>
          </cell>
          <cell r="F3925" t="str">
            <v>JKT-02</v>
          </cell>
          <cell r="G3925" t="str">
            <v>FAB/SPL</v>
          </cell>
          <cell r="H3925" t="str">
            <v>01J</v>
          </cell>
          <cell r="J3925">
            <v>46322</v>
          </cell>
          <cell r="K3925">
            <v>46374</v>
          </cell>
        </row>
        <row r="3926">
          <cell r="D3926" t="str">
            <v>JKT</v>
          </cell>
          <cell r="E3926" t="str">
            <v>UPD1</v>
          </cell>
          <cell r="F3926" t="str">
            <v>JKT-02</v>
          </cell>
          <cell r="G3926" t="str">
            <v>FAB/SPL</v>
          </cell>
          <cell r="H3926" t="str">
            <v>01J</v>
          </cell>
          <cell r="J3926">
            <v>46331</v>
          </cell>
          <cell r="K3926">
            <v>46372</v>
          </cell>
        </row>
        <row r="3927">
          <cell r="D3927" t="str">
            <v>JKT</v>
          </cell>
          <cell r="E3927" t="str">
            <v>CGD</v>
          </cell>
          <cell r="F3927" t="str">
            <v>JKT-02</v>
          </cell>
          <cell r="G3927" t="str">
            <v>FAB/SPL</v>
          </cell>
          <cell r="H3927" t="str">
            <v>01J</v>
          </cell>
          <cell r="J3927">
            <v>46350</v>
          </cell>
          <cell r="K3927">
            <v>46402</v>
          </cell>
        </row>
        <row r="3928">
          <cell r="D3928" t="str">
            <v>JKT</v>
          </cell>
          <cell r="E3928" t="str">
            <v>UPD2</v>
          </cell>
          <cell r="F3928" t="str">
            <v>JKT-02</v>
          </cell>
          <cell r="G3928" t="str">
            <v>FAB/SPL</v>
          </cell>
          <cell r="H3928" t="str">
            <v>01J</v>
          </cell>
          <cell r="J3928">
            <v>46402</v>
          </cell>
          <cell r="K3928">
            <v>46452</v>
          </cell>
        </row>
        <row r="3929">
          <cell r="J3929">
            <v>46328</v>
          </cell>
          <cell r="K3929">
            <v>46461</v>
          </cell>
        </row>
        <row r="3930">
          <cell r="J3930">
            <v>46352</v>
          </cell>
          <cell r="K3930">
            <v>46444</v>
          </cell>
        </row>
        <row r="3931">
          <cell r="D3931" t="str">
            <v>JKT</v>
          </cell>
          <cell r="E3931" t="str">
            <v>S04A</v>
          </cell>
          <cell r="F3931" t="str">
            <v>JKT-01</v>
          </cell>
          <cell r="G3931" t="str">
            <v>ASSY</v>
          </cell>
          <cell r="H3931" t="str">
            <v>01J</v>
          </cell>
          <cell r="J3931">
            <v>46357</v>
          </cell>
          <cell r="K3931">
            <v>46398</v>
          </cell>
        </row>
        <row r="3932">
          <cell r="D3932" t="str">
            <v>JKT</v>
          </cell>
          <cell r="E3932" t="str">
            <v>S02A</v>
          </cell>
          <cell r="F3932" t="str">
            <v>JKT-01</v>
          </cell>
          <cell r="G3932" t="str">
            <v>ASSY</v>
          </cell>
          <cell r="H3932" t="str">
            <v>01J</v>
          </cell>
          <cell r="J3932">
            <v>46364</v>
          </cell>
          <cell r="K3932">
            <v>46393</v>
          </cell>
        </row>
        <row r="3933">
          <cell r="D3933" t="str">
            <v>JKT</v>
          </cell>
          <cell r="E3933" t="str">
            <v>S04B</v>
          </cell>
          <cell r="F3933" t="str">
            <v>JKT-01</v>
          </cell>
          <cell r="G3933" t="str">
            <v>ASSY</v>
          </cell>
          <cell r="H3933" t="str">
            <v>01J</v>
          </cell>
          <cell r="J3933">
            <v>46399</v>
          </cell>
          <cell r="K3933">
            <v>46415</v>
          </cell>
        </row>
        <row r="3934">
          <cell r="D3934" t="str">
            <v>JKT</v>
          </cell>
          <cell r="E3934" t="str">
            <v>S05</v>
          </cell>
          <cell r="F3934" t="str">
            <v>JKT-01</v>
          </cell>
          <cell r="G3934" t="str">
            <v>ASSY</v>
          </cell>
          <cell r="H3934" t="str">
            <v>01J</v>
          </cell>
          <cell r="J3934">
            <v>46401</v>
          </cell>
          <cell r="K3934">
            <v>46443</v>
          </cell>
        </row>
        <row r="3935">
          <cell r="D3935" t="str">
            <v>JKT</v>
          </cell>
          <cell r="E3935" t="str">
            <v>S06A</v>
          </cell>
          <cell r="F3935" t="str">
            <v>JKT-01</v>
          </cell>
          <cell r="G3935" t="str">
            <v>ASSY</v>
          </cell>
          <cell r="H3935" t="str">
            <v>01J</v>
          </cell>
          <cell r="J3935">
            <v>46402</v>
          </cell>
          <cell r="K3935">
            <v>46419</v>
          </cell>
        </row>
        <row r="3936">
          <cell r="D3936" t="str">
            <v>JKT</v>
          </cell>
          <cell r="E3936" t="str">
            <v>S07</v>
          </cell>
          <cell r="F3936" t="str">
            <v>JKT-01</v>
          </cell>
          <cell r="G3936" t="str">
            <v>ASSY</v>
          </cell>
          <cell r="H3936" t="str">
            <v>01J</v>
          </cell>
          <cell r="J3936">
            <v>46406</v>
          </cell>
          <cell r="K3936">
            <v>46448</v>
          </cell>
        </row>
        <row r="3937">
          <cell r="D3937" t="str">
            <v>JKT</v>
          </cell>
          <cell r="E3937" t="str">
            <v>S04C</v>
          </cell>
          <cell r="F3937" t="str">
            <v>JKT-01</v>
          </cell>
          <cell r="G3937" t="str">
            <v>ASSY</v>
          </cell>
          <cell r="H3937" t="str">
            <v>01J</v>
          </cell>
          <cell r="J3937">
            <v>46409</v>
          </cell>
          <cell r="K3937">
            <v>46435</v>
          </cell>
        </row>
        <row r="3938">
          <cell r="D3938" t="str">
            <v>JKT</v>
          </cell>
          <cell r="E3938" t="str">
            <v>S06B</v>
          </cell>
          <cell r="F3938" t="str">
            <v>JKT-01</v>
          </cell>
          <cell r="G3938" t="str">
            <v>ASSY</v>
          </cell>
          <cell r="H3938" t="str">
            <v>01J</v>
          </cell>
          <cell r="J3938">
            <v>46409</v>
          </cell>
          <cell r="K3938">
            <v>46437</v>
          </cell>
        </row>
        <row r="3939">
          <cell r="D3939" t="str">
            <v>JKT</v>
          </cell>
          <cell r="E3939" t="str">
            <v>S08A</v>
          </cell>
          <cell r="F3939" t="str">
            <v>JKT-01</v>
          </cell>
          <cell r="G3939" t="str">
            <v>ASSY</v>
          </cell>
          <cell r="H3939" t="str">
            <v>01J</v>
          </cell>
          <cell r="J3939">
            <v>46419</v>
          </cell>
          <cell r="K3939">
            <v>46444</v>
          </cell>
        </row>
        <row r="3940">
          <cell r="D3940" t="str">
            <v>JKT</v>
          </cell>
          <cell r="E3940" t="str">
            <v>S09A</v>
          </cell>
          <cell r="F3940" t="str">
            <v>JKT-01</v>
          </cell>
          <cell r="G3940" t="str">
            <v>ASSY</v>
          </cell>
          <cell r="H3940" t="str">
            <v>01J</v>
          </cell>
          <cell r="J3940">
            <v>46421</v>
          </cell>
          <cell r="K3940">
            <v>46463</v>
          </cell>
        </row>
        <row r="3941">
          <cell r="D3941" t="str">
            <v>JKT</v>
          </cell>
          <cell r="E3941" t="str">
            <v>S08B</v>
          </cell>
          <cell r="F3941" t="str">
            <v>JKT-01</v>
          </cell>
          <cell r="G3941" t="str">
            <v>ASSY</v>
          </cell>
          <cell r="H3941" t="str">
            <v>01J</v>
          </cell>
          <cell r="J3941">
            <v>46437</v>
          </cell>
          <cell r="K3941">
            <v>46458</v>
          </cell>
        </row>
        <row r="3942">
          <cell r="D3942" t="str">
            <v>JKT</v>
          </cell>
          <cell r="E3942" t="str">
            <v>S10A</v>
          </cell>
          <cell r="F3942" t="str">
            <v>JKT-01</v>
          </cell>
          <cell r="G3942" t="str">
            <v>ASSY</v>
          </cell>
          <cell r="H3942" t="str">
            <v>01J</v>
          </cell>
          <cell r="J3942">
            <v>46437</v>
          </cell>
          <cell r="K3942">
            <v>46478</v>
          </cell>
        </row>
        <row r="3943">
          <cell r="J3943">
            <v>46336</v>
          </cell>
          <cell r="K3943">
            <v>46489</v>
          </cell>
        </row>
        <row r="3944">
          <cell r="D3944" t="str">
            <v>JKT</v>
          </cell>
          <cell r="E3944" t="str">
            <v>IRS</v>
          </cell>
          <cell r="F3944" t="str">
            <v>JKT-02</v>
          </cell>
          <cell r="G3944" t="str">
            <v>PREIN</v>
          </cell>
          <cell r="H3944" t="str">
            <v>01J</v>
          </cell>
          <cell r="J3944">
            <v>46336</v>
          </cell>
          <cell r="K3944">
            <v>46413</v>
          </cell>
        </row>
        <row r="3945">
          <cell r="D3945" t="str">
            <v>JKT</v>
          </cell>
          <cell r="E3945" t="str">
            <v>UPD1</v>
          </cell>
          <cell r="F3945" t="str">
            <v>JKT-02</v>
          </cell>
          <cell r="G3945" t="str">
            <v>PREIN</v>
          </cell>
          <cell r="H3945" t="str">
            <v>01J</v>
          </cell>
          <cell r="J3945">
            <v>46358</v>
          </cell>
          <cell r="K3945">
            <v>46387</v>
          </cell>
        </row>
        <row r="3946">
          <cell r="D3946" t="str">
            <v>JKT</v>
          </cell>
          <cell r="E3946" t="str">
            <v>CGD</v>
          </cell>
          <cell r="F3946" t="str">
            <v>JKT-02</v>
          </cell>
          <cell r="G3946" t="str">
            <v>PREIN</v>
          </cell>
          <cell r="H3946" t="str">
            <v>01J</v>
          </cell>
          <cell r="J3946">
            <v>46407</v>
          </cell>
          <cell r="K3946">
            <v>46451</v>
          </cell>
        </row>
        <row r="3947">
          <cell r="D3947" t="str">
            <v>JKT</v>
          </cell>
          <cell r="E3947" t="str">
            <v>UPD2</v>
          </cell>
          <cell r="F3947" t="str">
            <v>JKT-02</v>
          </cell>
          <cell r="G3947" t="str">
            <v>PREIN</v>
          </cell>
          <cell r="H3947" t="str">
            <v>01J</v>
          </cell>
          <cell r="J3947">
            <v>46452</v>
          </cell>
          <cell r="K3947">
            <v>46489</v>
          </cell>
        </row>
        <row r="3948">
          <cell r="J3948">
            <v>46380</v>
          </cell>
          <cell r="K3948">
            <v>46574</v>
          </cell>
        </row>
        <row r="3949">
          <cell r="J3949">
            <v>46380</v>
          </cell>
          <cell r="K3949">
            <v>46515</v>
          </cell>
        </row>
        <row r="3950">
          <cell r="D3950" t="str">
            <v>JKT</v>
          </cell>
          <cell r="E3950" t="str">
            <v>S01</v>
          </cell>
          <cell r="F3950" t="str">
            <v>JKT-01</v>
          </cell>
          <cell r="G3950" t="str">
            <v>ERECT</v>
          </cell>
          <cell r="H3950" t="str">
            <v>01J</v>
          </cell>
          <cell r="J3950">
            <v>46393</v>
          </cell>
          <cell r="K3950">
            <v>46396</v>
          </cell>
        </row>
        <row r="3951">
          <cell r="D3951" t="str">
            <v>JKT</v>
          </cell>
          <cell r="E3951" t="str">
            <v>S02A</v>
          </cell>
          <cell r="F3951" t="str">
            <v>JKT-01</v>
          </cell>
          <cell r="G3951" t="str">
            <v>ERECT</v>
          </cell>
          <cell r="H3951" t="str">
            <v>01J</v>
          </cell>
          <cell r="J3951">
            <v>46396</v>
          </cell>
          <cell r="K3951">
            <v>46407</v>
          </cell>
        </row>
        <row r="3952">
          <cell r="D3952" t="str">
            <v>JKT</v>
          </cell>
          <cell r="E3952" t="str">
            <v>S04A</v>
          </cell>
          <cell r="F3952" t="str">
            <v>JKT-01</v>
          </cell>
          <cell r="G3952" t="str">
            <v>ERECT</v>
          </cell>
          <cell r="H3952" t="str">
            <v>01J</v>
          </cell>
          <cell r="J3952">
            <v>46422</v>
          </cell>
          <cell r="K3952">
            <v>46441</v>
          </cell>
        </row>
        <row r="3953">
          <cell r="D3953" t="str">
            <v>JKT</v>
          </cell>
          <cell r="E3953" t="str">
            <v>S04B</v>
          </cell>
          <cell r="F3953" t="str">
            <v>JKT-01</v>
          </cell>
          <cell r="G3953" t="str">
            <v>ERECT</v>
          </cell>
          <cell r="H3953" t="str">
            <v>01J</v>
          </cell>
          <cell r="J3953">
            <v>46445</v>
          </cell>
          <cell r="K3953">
            <v>46449</v>
          </cell>
        </row>
        <row r="3954">
          <cell r="D3954" t="str">
            <v>JKT</v>
          </cell>
          <cell r="E3954" t="str">
            <v>S04C</v>
          </cell>
          <cell r="F3954" t="str">
            <v>JKT-01</v>
          </cell>
          <cell r="G3954" t="str">
            <v>ERECT</v>
          </cell>
          <cell r="H3954" t="str">
            <v>01J</v>
          </cell>
          <cell r="J3954">
            <v>46449</v>
          </cell>
          <cell r="K3954">
            <v>46454</v>
          </cell>
        </row>
        <row r="3955">
          <cell r="D3955" t="str">
            <v>JKT</v>
          </cell>
          <cell r="E3955" t="str">
            <v>S05</v>
          </cell>
          <cell r="F3955" t="str">
            <v>JKT-01</v>
          </cell>
          <cell r="G3955" t="str">
            <v>ERECT</v>
          </cell>
          <cell r="H3955" t="str">
            <v>01J</v>
          </cell>
          <cell r="J3955">
            <v>46456</v>
          </cell>
          <cell r="K3955">
            <v>46466</v>
          </cell>
        </row>
        <row r="3956">
          <cell r="D3956" t="str">
            <v>JKT</v>
          </cell>
          <cell r="E3956" t="str">
            <v>S06A</v>
          </cell>
          <cell r="F3956" t="str">
            <v>JKT-01</v>
          </cell>
          <cell r="G3956" t="str">
            <v>ERECT</v>
          </cell>
          <cell r="H3956" t="str">
            <v>01J</v>
          </cell>
          <cell r="J3956">
            <v>46468</v>
          </cell>
          <cell r="K3956">
            <v>46471</v>
          </cell>
        </row>
        <row r="3957">
          <cell r="D3957" t="str">
            <v>JKT</v>
          </cell>
          <cell r="E3957" t="str">
            <v>S06B</v>
          </cell>
          <cell r="F3957" t="str">
            <v>JKT-01</v>
          </cell>
          <cell r="G3957" t="str">
            <v>ERECT</v>
          </cell>
          <cell r="H3957" t="str">
            <v>01J</v>
          </cell>
          <cell r="J3957">
            <v>46471</v>
          </cell>
          <cell r="K3957">
            <v>46476</v>
          </cell>
        </row>
        <row r="3958">
          <cell r="D3958" t="str">
            <v>JKT</v>
          </cell>
          <cell r="E3958" t="str">
            <v>S07</v>
          </cell>
          <cell r="F3958" t="str">
            <v>JKT-01</v>
          </cell>
          <cell r="G3958" t="str">
            <v>ERECT</v>
          </cell>
          <cell r="H3958" t="str">
            <v>01J</v>
          </cell>
          <cell r="J3958">
            <v>46476</v>
          </cell>
          <cell r="K3958">
            <v>46486</v>
          </cell>
        </row>
        <row r="3959">
          <cell r="D3959" t="str">
            <v>JKT</v>
          </cell>
          <cell r="E3959" t="str">
            <v>S08A</v>
          </cell>
          <cell r="F3959" t="str">
            <v>JKT-01</v>
          </cell>
          <cell r="G3959" t="str">
            <v>ERECT</v>
          </cell>
          <cell r="H3959" t="str">
            <v>01J</v>
          </cell>
          <cell r="J3959">
            <v>46486</v>
          </cell>
          <cell r="K3959">
            <v>46490</v>
          </cell>
        </row>
        <row r="3960">
          <cell r="D3960" t="str">
            <v>JKT</v>
          </cell>
          <cell r="E3960" t="str">
            <v>S08B</v>
          </cell>
          <cell r="F3960" t="str">
            <v>JKT-01</v>
          </cell>
          <cell r="G3960" t="str">
            <v>ERECT</v>
          </cell>
          <cell r="H3960" t="str">
            <v>01J</v>
          </cell>
          <cell r="J3960">
            <v>46490</v>
          </cell>
          <cell r="K3960">
            <v>46494</v>
          </cell>
        </row>
        <row r="3961">
          <cell r="D3961" t="str">
            <v>JKT</v>
          </cell>
          <cell r="E3961" t="str">
            <v>S09A</v>
          </cell>
          <cell r="F3961" t="str">
            <v>JKT-01</v>
          </cell>
          <cell r="G3961" t="str">
            <v>ERECT</v>
          </cell>
          <cell r="H3961" t="str">
            <v>01J</v>
          </cell>
          <cell r="J3961">
            <v>46494</v>
          </cell>
          <cell r="K3961">
            <v>46504</v>
          </cell>
        </row>
        <row r="3962">
          <cell r="D3962" t="str">
            <v>JKT</v>
          </cell>
          <cell r="E3962" t="str">
            <v>S10A</v>
          </cell>
          <cell r="F3962" t="str">
            <v>JKT-01</v>
          </cell>
          <cell r="G3962" t="str">
            <v>ERECT</v>
          </cell>
          <cell r="H3962" t="str">
            <v>01J</v>
          </cell>
          <cell r="J3962">
            <v>46504</v>
          </cell>
          <cell r="K3962">
            <v>46524</v>
          </cell>
        </row>
        <row r="3963">
          <cell r="J3963">
            <v>46489</v>
          </cell>
          <cell r="K3963">
            <v>46584</v>
          </cell>
        </row>
        <row r="3964">
          <cell r="D3964" t="str">
            <v>PILE</v>
          </cell>
          <cell r="E3964" t="str">
            <v>GEN</v>
          </cell>
          <cell r="F3964" t="str">
            <v>PILE-01</v>
          </cell>
          <cell r="G3964" t="str">
            <v>FAB/SPL</v>
          </cell>
          <cell r="H3964" t="str">
            <v>01J</v>
          </cell>
          <cell r="J3964">
            <v>46472</v>
          </cell>
          <cell r="K3964">
            <v>46567</v>
          </cell>
        </row>
        <row r="3965">
          <cell r="D3965" t="str">
            <v>PILE</v>
          </cell>
          <cell r="E3965" t="str">
            <v>GEN</v>
          </cell>
          <cell r="F3965" t="str">
            <v>PILE-01</v>
          </cell>
          <cell r="G3965" t="str">
            <v>COAT</v>
          </cell>
          <cell r="H3965" t="str">
            <v>01J</v>
          </cell>
          <cell r="J3965">
            <v>46555</v>
          </cell>
          <cell r="K3965">
            <v>46584</v>
          </cell>
        </row>
        <row r="3966">
          <cell r="D3966" t="str">
            <v>PILE</v>
          </cell>
          <cell r="E3966" t="str">
            <v>GEN</v>
          </cell>
          <cell r="F3966" t="str">
            <v>PILE-01</v>
          </cell>
          <cell r="G3966" t="str">
            <v>GEN</v>
          </cell>
          <cell r="H3966" t="str">
            <v>01J</v>
          </cell>
          <cell r="K3966" t="str">
            <v>16-Jul-27*</v>
          </cell>
        </row>
        <row r="3967">
          <cell r="J3967">
            <v>46312</v>
          </cell>
          <cell r="K3967">
            <v>46596</v>
          </cell>
        </row>
        <row r="3968">
          <cell r="J3968">
            <v>46312</v>
          </cell>
          <cell r="K3968">
            <v>46468</v>
          </cell>
        </row>
        <row r="3969">
          <cell r="D3969" t="str">
            <v>JKT</v>
          </cell>
          <cell r="E3969" t="str">
            <v>S01</v>
          </cell>
          <cell r="F3969" t="str">
            <v>JKT-01</v>
          </cell>
          <cell r="G3969" t="str">
            <v>FAB/SPL</v>
          </cell>
          <cell r="H3969" t="str">
            <v>01J</v>
          </cell>
          <cell r="J3969">
            <v>46322</v>
          </cell>
          <cell r="K3969">
            <v>46358</v>
          </cell>
        </row>
        <row r="3970">
          <cell r="D3970" t="str">
            <v>JKT</v>
          </cell>
          <cell r="E3970" t="str">
            <v>S03A</v>
          </cell>
          <cell r="F3970" t="str">
            <v>JKT-02</v>
          </cell>
          <cell r="G3970" t="str">
            <v>FAB/SPL</v>
          </cell>
          <cell r="H3970" t="str">
            <v>01J</v>
          </cell>
          <cell r="J3970">
            <v>46339</v>
          </cell>
          <cell r="K3970">
            <v>46398</v>
          </cell>
        </row>
        <row r="3971">
          <cell r="D3971" t="str">
            <v>JKT</v>
          </cell>
          <cell r="E3971" t="str">
            <v>SUPP</v>
          </cell>
          <cell r="F3971" t="str">
            <v>JKT-02</v>
          </cell>
          <cell r="G3971" t="str">
            <v>FAB/SPL</v>
          </cell>
          <cell r="H3971" t="str">
            <v>01J</v>
          </cell>
          <cell r="J3971">
            <v>46340</v>
          </cell>
          <cell r="K3971">
            <v>46372</v>
          </cell>
        </row>
        <row r="3972">
          <cell r="D3972" t="str">
            <v>JKT</v>
          </cell>
          <cell r="E3972" t="str">
            <v>STB</v>
          </cell>
          <cell r="F3972" t="str">
            <v>JKT-02</v>
          </cell>
          <cell r="G3972" t="str">
            <v>FAB/SPL</v>
          </cell>
          <cell r="H3972" t="str">
            <v>01J</v>
          </cell>
          <cell r="J3972">
            <v>46389</v>
          </cell>
          <cell r="K3972">
            <v>46412</v>
          </cell>
        </row>
        <row r="3973">
          <cell r="D3973" t="str">
            <v>JKT</v>
          </cell>
          <cell r="E3973" t="str">
            <v>CASSION</v>
          </cell>
          <cell r="F3973" t="str">
            <v>JKT-02</v>
          </cell>
          <cell r="G3973" t="str">
            <v>FAB/SPL</v>
          </cell>
          <cell r="H3973" t="str">
            <v>01J</v>
          </cell>
          <cell r="J3973">
            <v>46416</v>
          </cell>
          <cell r="K3973">
            <v>46466</v>
          </cell>
        </row>
        <row r="3974">
          <cell r="D3974" t="str">
            <v>JKT</v>
          </cell>
          <cell r="E3974" t="str">
            <v>CLP</v>
          </cell>
          <cell r="F3974" t="str">
            <v>JKT-02</v>
          </cell>
          <cell r="G3974" t="str">
            <v>FAB/SPL</v>
          </cell>
          <cell r="H3974" t="str">
            <v>01J</v>
          </cell>
          <cell r="J3974">
            <v>46434</v>
          </cell>
          <cell r="K3974">
            <v>46465</v>
          </cell>
        </row>
        <row r="3975">
          <cell r="D3975" t="str">
            <v>JKT</v>
          </cell>
          <cell r="E3975" t="str">
            <v>BOL</v>
          </cell>
          <cell r="F3975" t="str">
            <v>JKT-02</v>
          </cell>
          <cell r="G3975" t="str">
            <v>FAB/SPL</v>
          </cell>
          <cell r="H3975" t="str">
            <v>01J</v>
          </cell>
          <cell r="J3975">
            <v>46451</v>
          </cell>
          <cell r="K3975">
            <v>46499</v>
          </cell>
        </row>
        <row r="3976">
          <cell r="D3976" t="str">
            <v>JKT</v>
          </cell>
          <cell r="E3976" t="str">
            <v>TRP</v>
          </cell>
          <cell r="F3976" t="str">
            <v>JKT-02</v>
          </cell>
          <cell r="G3976" t="str">
            <v>FAB/SPL</v>
          </cell>
          <cell r="H3976" t="str">
            <v>01J</v>
          </cell>
          <cell r="J3976">
            <v>46466</v>
          </cell>
          <cell r="K3976">
            <v>46503</v>
          </cell>
        </row>
        <row r="3977">
          <cell r="D3977" t="str">
            <v>JKT</v>
          </cell>
          <cell r="E3977" t="str">
            <v>Rest01</v>
          </cell>
          <cell r="F3977" t="str">
            <v>JKT-02</v>
          </cell>
          <cell r="G3977" t="str">
            <v>FAB/SPL</v>
          </cell>
          <cell r="H3977" t="str">
            <v>01J</v>
          </cell>
          <cell r="J3977">
            <v>46475</v>
          </cell>
          <cell r="K3977">
            <v>46505</v>
          </cell>
        </row>
        <row r="3978">
          <cell r="D3978" t="str">
            <v>JKT</v>
          </cell>
          <cell r="E3978" t="str">
            <v>Rest02</v>
          </cell>
          <cell r="F3978" t="str">
            <v>JKT-02</v>
          </cell>
          <cell r="G3978" t="str">
            <v>FAB/SPL</v>
          </cell>
          <cell r="H3978" t="str">
            <v>01J</v>
          </cell>
          <cell r="J3978">
            <v>46475</v>
          </cell>
          <cell r="K3978">
            <v>46499</v>
          </cell>
        </row>
        <row r="3979">
          <cell r="D3979" t="str">
            <v>JKT</v>
          </cell>
          <cell r="E3979" t="str">
            <v>WHL</v>
          </cell>
          <cell r="F3979" t="str">
            <v>JKT-02</v>
          </cell>
          <cell r="G3979" t="str">
            <v>FAB/SPL</v>
          </cell>
          <cell r="H3979" t="str">
            <v>01J</v>
          </cell>
          <cell r="J3979">
            <v>46493</v>
          </cell>
          <cell r="K3979">
            <v>46527</v>
          </cell>
        </row>
        <row r="3980">
          <cell r="J3980">
            <v>46363</v>
          </cell>
          <cell r="K3980">
            <v>46596</v>
          </cell>
        </row>
        <row r="3981">
          <cell r="D3981" t="str">
            <v>JKT</v>
          </cell>
          <cell r="E3981" t="str">
            <v>NOD</v>
          </cell>
          <cell r="F3981" t="str">
            <v>JKT-02</v>
          </cell>
          <cell r="G3981" t="str">
            <v>PREIN</v>
          </cell>
          <cell r="H3981" t="str">
            <v>01J</v>
          </cell>
          <cell r="J3981">
            <v>46363</v>
          </cell>
          <cell r="K3981">
            <v>46465</v>
          </cell>
        </row>
        <row r="3982">
          <cell r="D3982" t="str">
            <v>JKT</v>
          </cell>
          <cell r="E3982" t="str">
            <v>S03A</v>
          </cell>
          <cell r="F3982" t="str">
            <v>JKT-02</v>
          </cell>
          <cell r="G3982" t="str">
            <v>POSTIN</v>
          </cell>
          <cell r="H3982" t="str">
            <v>01J</v>
          </cell>
          <cell r="J3982">
            <v>46407</v>
          </cell>
          <cell r="K3982">
            <v>46421</v>
          </cell>
        </row>
        <row r="3983">
          <cell r="D3983" t="str">
            <v>JKT</v>
          </cell>
          <cell r="E3983" t="str">
            <v>SUPP</v>
          </cell>
          <cell r="F3983" t="str">
            <v>JKT-02</v>
          </cell>
          <cell r="G3983" t="str">
            <v>PREIN</v>
          </cell>
          <cell r="H3983" t="str">
            <v>01J</v>
          </cell>
          <cell r="J3983">
            <v>46416</v>
          </cell>
          <cell r="K3983">
            <v>46465</v>
          </cell>
        </row>
        <row r="3984">
          <cell r="D3984" t="str">
            <v>JKT</v>
          </cell>
          <cell r="E3984" t="str">
            <v>STB</v>
          </cell>
          <cell r="F3984" t="str">
            <v>JKT-02</v>
          </cell>
          <cell r="G3984" t="str">
            <v>PREIN</v>
          </cell>
          <cell r="H3984" t="str">
            <v>01J</v>
          </cell>
          <cell r="J3984">
            <v>46443</v>
          </cell>
          <cell r="K3984">
            <v>46470</v>
          </cell>
        </row>
        <row r="3985">
          <cell r="D3985" t="str">
            <v>JKT</v>
          </cell>
          <cell r="E3985" t="str">
            <v>CLP</v>
          </cell>
          <cell r="F3985" t="str">
            <v>JKT-02</v>
          </cell>
          <cell r="G3985" t="str">
            <v>PREIN</v>
          </cell>
          <cell r="H3985" t="str">
            <v>01J</v>
          </cell>
          <cell r="J3985">
            <v>46466</v>
          </cell>
          <cell r="K3985">
            <v>46501</v>
          </cell>
        </row>
        <row r="3986">
          <cell r="D3986" t="str">
            <v>JKT</v>
          </cell>
          <cell r="E3986" t="str">
            <v>CASSION</v>
          </cell>
          <cell r="F3986" t="str">
            <v>JKT-02</v>
          </cell>
          <cell r="G3986" t="str">
            <v>POSTIN</v>
          </cell>
          <cell r="H3986" t="str">
            <v>01J</v>
          </cell>
          <cell r="J3986">
            <v>46478</v>
          </cell>
          <cell r="K3986">
            <v>46489</v>
          </cell>
        </row>
        <row r="3987">
          <cell r="D3987" t="str">
            <v>JKT</v>
          </cell>
          <cell r="E3987" t="str">
            <v>Rest01</v>
          </cell>
          <cell r="F3987" t="str">
            <v>JKT-02</v>
          </cell>
          <cell r="G3987" t="str">
            <v>PREIN</v>
          </cell>
          <cell r="H3987" t="str">
            <v>01J</v>
          </cell>
          <cell r="J3987">
            <v>46505</v>
          </cell>
          <cell r="K3987">
            <v>46524</v>
          </cell>
        </row>
        <row r="3988">
          <cell r="D3988" t="str">
            <v>JKT</v>
          </cell>
          <cell r="E3988" t="str">
            <v>Rest02</v>
          </cell>
          <cell r="F3988" t="str">
            <v>JKT-02</v>
          </cell>
          <cell r="G3988" t="str">
            <v>POSTIN</v>
          </cell>
          <cell r="H3988" t="str">
            <v>01J</v>
          </cell>
          <cell r="J3988">
            <v>46511</v>
          </cell>
          <cell r="K3988">
            <v>46528</v>
          </cell>
        </row>
        <row r="3989">
          <cell r="D3989" t="str">
            <v>JKT</v>
          </cell>
          <cell r="E3989" t="str">
            <v>BOL</v>
          </cell>
          <cell r="F3989" t="str">
            <v>JKT-02</v>
          </cell>
          <cell r="G3989" t="str">
            <v>POSTIN</v>
          </cell>
          <cell r="H3989" t="str">
            <v>01J</v>
          </cell>
          <cell r="J3989">
            <v>46528</v>
          </cell>
          <cell r="K3989">
            <v>46546</v>
          </cell>
        </row>
        <row r="3990">
          <cell r="D3990" t="str">
            <v>JKT</v>
          </cell>
          <cell r="E3990" t="str">
            <v>TEST</v>
          </cell>
          <cell r="F3990" t="str">
            <v>JKT-02</v>
          </cell>
          <cell r="G3990" t="str">
            <v>PCOMM</v>
          </cell>
          <cell r="H3990" t="str">
            <v>01J</v>
          </cell>
          <cell r="J3990">
            <v>46541</v>
          </cell>
          <cell r="K3990">
            <v>46564</v>
          </cell>
        </row>
        <row r="3991">
          <cell r="D3991" t="str">
            <v>JKT</v>
          </cell>
          <cell r="E3991" t="str">
            <v>WHL</v>
          </cell>
          <cell r="F3991" t="str">
            <v>JKT-02</v>
          </cell>
          <cell r="G3991" t="str">
            <v>POSTIN</v>
          </cell>
          <cell r="H3991" t="str">
            <v>01J</v>
          </cell>
          <cell r="J3991">
            <v>46543</v>
          </cell>
          <cell r="K3991">
            <v>46560</v>
          </cell>
        </row>
        <row r="3992">
          <cell r="D3992" t="str">
            <v>JKT</v>
          </cell>
          <cell r="E3992" t="str">
            <v>TRP</v>
          </cell>
          <cell r="F3992" t="str">
            <v>JKT-02</v>
          </cell>
          <cell r="G3992" t="str">
            <v>POSTIN</v>
          </cell>
          <cell r="H3992" t="str">
            <v>01J</v>
          </cell>
          <cell r="J3992">
            <v>46554</v>
          </cell>
          <cell r="K3992">
            <v>46562</v>
          </cell>
        </row>
        <row r="3993">
          <cell r="D3993" t="str">
            <v>JKT</v>
          </cell>
          <cell r="E3993" t="str">
            <v>BOL</v>
          </cell>
          <cell r="F3993" t="str">
            <v>JKT-02</v>
          </cell>
          <cell r="G3993" t="str">
            <v>ERECT</v>
          </cell>
          <cell r="H3993" t="str">
            <v>01J</v>
          </cell>
          <cell r="J3993">
            <v>46566</v>
          </cell>
          <cell r="K3993">
            <v>46578</v>
          </cell>
        </row>
        <row r="3994">
          <cell r="D3994" t="str">
            <v>JKT</v>
          </cell>
          <cell r="E3994" t="str">
            <v>PUNCH</v>
          </cell>
          <cell r="F3994" t="str">
            <v>JKT-02</v>
          </cell>
          <cell r="G3994" t="str">
            <v>PCOMM</v>
          </cell>
          <cell r="H3994" t="str">
            <v>01J</v>
          </cell>
          <cell r="J3994">
            <v>46578</v>
          </cell>
          <cell r="K3994">
            <v>46596</v>
          </cell>
        </row>
        <row r="3995">
          <cell r="J3995">
            <v>46392</v>
          </cell>
          <cell r="K3995">
            <v>46477</v>
          </cell>
        </row>
        <row r="3996">
          <cell r="J3996">
            <v>46409</v>
          </cell>
          <cell r="K3996">
            <v>46470</v>
          </cell>
        </row>
        <row r="3997">
          <cell r="D3997" t="str">
            <v>JKT</v>
          </cell>
          <cell r="E3997" t="str">
            <v>RISER</v>
          </cell>
          <cell r="F3997" t="str">
            <v>JKT-04</v>
          </cell>
          <cell r="G3997" t="str">
            <v>FAB/SPL</v>
          </cell>
          <cell r="H3997" t="str">
            <v>01J</v>
          </cell>
          <cell r="J3997">
            <v>46409</v>
          </cell>
          <cell r="K3997">
            <v>46470</v>
          </cell>
        </row>
        <row r="3998">
          <cell r="J3998">
            <v>46503</v>
          </cell>
          <cell r="K3998">
            <v>46539</v>
          </cell>
        </row>
        <row r="3999">
          <cell r="D3999" t="str">
            <v>JKT</v>
          </cell>
          <cell r="E3999" t="str">
            <v>RISER</v>
          </cell>
          <cell r="F3999" t="str">
            <v>JKT-04</v>
          </cell>
          <cell r="G3999" t="str">
            <v>POSTIN</v>
          </cell>
          <cell r="H3999" t="str">
            <v>01J</v>
          </cell>
          <cell r="J3999">
            <v>46503</v>
          </cell>
          <cell r="K3999">
            <v>46511</v>
          </cell>
        </row>
        <row r="4000">
          <cell r="D4000" t="str">
            <v>JKT</v>
          </cell>
          <cell r="E4000" t="str">
            <v>RISER</v>
          </cell>
          <cell r="F4000" t="str">
            <v>JKT-04</v>
          </cell>
          <cell r="G4000" t="str">
            <v>ERECT</v>
          </cell>
          <cell r="H4000" t="str">
            <v>01J</v>
          </cell>
          <cell r="J4000">
            <v>46532</v>
          </cell>
          <cell r="K4000">
            <v>46539</v>
          </cell>
        </row>
        <row r="4001">
          <cell r="J4001">
            <v>46399</v>
          </cell>
          <cell r="K4001">
            <v>46596</v>
          </cell>
        </row>
        <row r="4002">
          <cell r="D4002" t="str">
            <v>JKT</v>
          </cell>
          <cell r="E4002" t="str">
            <v>Scaffold</v>
          </cell>
          <cell r="F4002" t="str">
            <v>JKT-03</v>
          </cell>
          <cell r="G4002" t="str">
            <v>COAT</v>
          </cell>
          <cell r="H4002" t="str">
            <v>01J</v>
          </cell>
          <cell r="J4002">
            <v>46399</v>
          </cell>
          <cell r="K4002">
            <v>46596</v>
          </cell>
        </row>
        <row r="4003">
          <cell r="D4003" t="str">
            <v>JKT</v>
          </cell>
          <cell r="E4003" t="str">
            <v>S04A</v>
          </cell>
          <cell r="F4003" t="str">
            <v>JKT-03</v>
          </cell>
          <cell r="G4003" t="str">
            <v>COAT</v>
          </cell>
          <cell r="H4003" t="str">
            <v>01J</v>
          </cell>
          <cell r="J4003">
            <v>46401</v>
          </cell>
          <cell r="K4003">
            <v>46416</v>
          </cell>
        </row>
        <row r="4004">
          <cell r="D4004" t="str">
            <v>JKT</v>
          </cell>
          <cell r="E4004" t="str">
            <v>S06A</v>
          </cell>
          <cell r="F4004" t="str">
            <v>JKT-03</v>
          </cell>
          <cell r="G4004" t="str">
            <v>COAT</v>
          </cell>
          <cell r="H4004" t="str">
            <v>01J</v>
          </cell>
          <cell r="J4004">
            <v>46451</v>
          </cell>
          <cell r="K4004">
            <v>46468</v>
          </cell>
        </row>
        <row r="4005">
          <cell r="D4005" t="str">
            <v>JKT</v>
          </cell>
          <cell r="E4005" t="str">
            <v>S08A</v>
          </cell>
          <cell r="F4005" t="str">
            <v>JKT-03</v>
          </cell>
          <cell r="G4005" t="str">
            <v>COAT</v>
          </cell>
          <cell r="H4005" t="str">
            <v>01J</v>
          </cell>
          <cell r="J4005">
            <v>46452</v>
          </cell>
          <cell r="K4005">
            <v>46469</v>
          </cell>
        </row>
        <row r="4006">
          <cell r="D4006" t="str">
            <v>JKT</v>
          </cell>
          <cell r="E4006" t="str">
            <v>S07</v>
          </cell>
          <cell r="F4006" t="str">
            <v>JKT-03</v>
          </cell>
          <cell r="G4006" t="str">
            <v>COAT</v>
          </cell>
          <cell r="H4006" t="str">
            <v>01J</v>
          </cell>
          <cell r="J4006">
            <v>46452</v>
          </cell>
          <cell r="K4006">
            <v>46469</v>
          </cell>
        </row>
        <row r="4007">
          <cell r="D4007" t="str">
            <v>JKT</v>
          </cell>
          <cell r="E4007" t="str">
            <v>S06B</v>
          </cell>
          <cell r="F4007" t="str">
            <v>JKT-03</v>
          </cell>
          <cell r="G4007" t="str">
            <v>COAT</v>
          </cell>
          <cell r="H4007" t="str">
            <v>01J</v>
          </cell>
          <cell r="J4007">
            <v>46455</v>
          </cell>
          <cell r="K4007">
            <v>46471</v>
          </cell>
        </row>
        <row r="4008">
          <cell r="D4008" t="str">
            <v>JKT</v>
          </cell>
          <cell r="E4008" t="str">
            <v>S08B</v>
          </cell>
          <cell r="F4008" t="str">
            <v>JKT-03</v>
          </cell>
          <cell r="G4008" t="str">
            <v>COAT</v>
          </cell>
          <cell r="H4008" t="str">
            <v>01J</v>
          </cell>
          <cell r="J4008">
            <v>46466</v>
          </cell>
          <cell r="K4008">
            <v>46484</v>
          </cell>
        </row>
        <row r="4009">
          <cell r="D4009" t="str">
            <v>JKT</v>
          </cell>
          <cell r="E4009" t="str">
            <v>S09A</v>
          </cell>
          <cell r="F4009" t="str">
            <v>JKT-03</v>
          </cell>
          <cell r="G4009" t="str">
            <v>COAT</v>
          </cell>
          <cell r="H4009" t="str">
            <v>01J</v>
          </cell>
          <cell r="J4009">
            <v>46468</v>
          </cell>
          <cell r="K4009">
            <v>46485</v>
          </cell>
        </row>
        <row r="4010">
          <cell r="D4010" t="str">
            <v>JKT</v>
          </cell>
          <cell r="E4010" t="str">
            <v>RISER</v>
          </cell>
          <cell r="F4010" t="str">
            <v>JKT-03</v>
          </cell>
          <cell r="G4010" t="str">
            <v>COAT</v>
          </cell>
          <cell r="H4010" t="str">
            <v>01J</v>
          </cell>
          <cell r="J4010">
            <v>46471</v>
          </cell>
          <cell r="K4010">
            <v>46497</v>
          </cell>
        </row>
        <row r="4011">
          <cell r="D4011" t="str">
            <v>JKT</v>
          </cell>
          <cell r="E4011" t="str">
            <v>S10A</v>
          </cell>
          <cell r="F4011" t="str">
            <v>JKT-03</v>
          </cell>
          <cell r="G4011" t="str">
            <v>COAT</v>
          </cell>
          <cell r="H4011" t="str">
            <v>01J</v>
          </cell>
          <cell r="J4011">
            <v>46486</v>
          </cell>
          <cell r="K4011">
            <v>46503</v>
          </cell>
        </row>
        <row r="4012">
          <cell r="D4012" t="str">
            <v>JKT</v>
          </cell>
          <cell r="E4012" t="str">
            <v>SiteCC</v>
          </cell>
          <cell r="F4012" t="str">
            <v>JKT-03</v>
          </cell>
          <cell r="G4012" t="str">
            <v>COAT</v>
          </cell>
          <cell r="H4012" t="str">
            <v>01J</v>
          </cell>
          <cell r="J4012">
            <v>46490</v>
          </cell>
          <cell r="K4012">
            <v>46583</v>
          </cell>
        </row>
        <row r="4013">
          <cell r="D4013" t="str">
            <v>JKT</v>
          </cell>
          <cell r="E4013" t="str">
            <v>BOL</v>
          </cell>
          <cell r="F4013" t="str">
            <v>JKT-03</v>
          </cell>
          <cell r="G4013" t="str">
            <v>COAT</v>
          </cell>
          <cell r="H4013" t="str">
            <v>01J</v>
          </cell>
          <cell r="J4013">
            <v>46504</v>
          </cell>
          <cell r="K4013">
            <v>46521</v>
          </cell>
        </row>
        <row r="4014">
          <cell r="D4014" t="str">
            <v>JKT</v>
          </cell>
          <cell r="E4014" t="str">
            <v>WHL</v>
          </cell>
          <cell r="F4014" t="str">
            <v>JKT-03</v>
          </cell>
          <cell r="G4014" t="str">
            <v>COAT</v>
          </cell>
          <cell r="H4014" t="str">
            <v>01J</v>
          </cell>
          <cell r="J4014">
            <v>46527</v>
          </cell>
          <cell r="K4014">
            <v>46543</v>
          </cell>
        </row>
        <row r="4015">
          <cell r="D4015" t="str">
            <v>JKT</v>
          </cell>
          <cell r="E4015" t="str">
            <v>TOUCH</v>
          </cell>
          <cell r="F4015" t="str">
            <v>JKT-03</v>
          </cell>
          <cell r="G4015" t="str">
            <v>COAT</v>
          </cell>
          <cell r="H4015" t="str">
            <v>01J</v>
          </cell>
          <cell r="J4015">
            <v>46573</v>
          </cell>
          <cell r="K4015">
            <v>46590</v>
          </cell>
        </row>
        <row r="4016">
          <cell r="J4016">
            <v>46596</v>
          </cell>
          <cell r="K4016">
            <v>46625</v>
          </cell>
        </row>
        <row r="4017">
          <cell r="D4017" t="str">
            <v>JKT</v>
          </cell>
          <cell r="E4017" t="str">
            <v>RFLO</v>
          </cell>
          <cell r="F4017" t="str">
            <v>JKT-05</v>
          </cell>
          <cell r="G4017" t="str">
            <v>PCOMM</v>
          </cell>
          <cell r="H4017" t="str">
            <v>01J</v>
          </cell>
          <cell r="K4017" t="str">
            <v>28-Jul-27*</v>
          </cell>
        </row>
        <row r="4018">
          <cell r="D4018" t="str">
            <v>JKT</v>
          </cell>
          <cell r="E4018" t="str">
            <v>RFLO</v>
          </cell>
          <cell r="F4018" t="str">
            <v>JKT-05</v>
          </cell>
          <cell r="G4018" t="str">
            <v>LOAD</v>
          </cell>
          <cell r="H4018" t="str">
            <v>01J</v>
          </cell>
          <cell r="J4018">
            <v>46615</v>
          </cell>
          <cell r="K4018">
            <v>46625</v>
          </cell>
        </row>
        <row r="4019">
          <cell r="J4019">
            <v>46347</v>
          </cell>
          <cell r="K4019">
            <v>46634</v>
          </cell>
        </row>
        <row r="4020">
          <cell r="J4020">
            <v>46347</v>
          </cell>
          <cell r="K4020">
            <v>46627</v>
          </cell>
        </row>
        <row r="4021">
          <cell r="J4021">
            <v>46347</v>
          </cell>
          <cell r="K4021">
            <v>46605</v>
          </cell>
        </row>
        <row r="4022">
          <cell r="J4022">
            <v>46347</v>
          </cell>
          <cell r="K4022">
            <v>46496</v>
          </cell>
        </row>
        <row r="4023">
          <cell r="J4023">
            <v>46356</v>
          </cell>
          <cell r="K4023">
            <v>46459</v>
          </cell>
        </row>
        <row r="4024">
          <cell r="D4024" t="str">
            <v>JKT</v>
          </cell>
          <cell r="E4024" t="str">
            <v>S04A</v>
          </cell>
          <cell r="F4024" t="str">
            <v>JKT-01</v>
          </cell>
          <cell r="G4024" t="str">
            <v>FAB/SPL</v>
          </cell>
          <cell r="H4024" t="str">
            <v>02J</v>
          </cell>
          <cell r="J4024">
            <v>46367</v>
          </cell>
          <cell r="K4024">
            <v>46400</v>
          </cell>
        </row>
        <row r="4025">
          <cell r="D4025" t="str">
            <v>JKT</v>
          </cell>
          <cell r="E4025" t="str">
            <v>S02A</v>
          </cell>
          <cell r="F4025" t="str">
            <v>JKT-01</v>
          </cell>
          <cell r="G4025" t="str">
            <v>FAB/SPL</v>
          </cell>
          <cell r="H4025" t="str">
            <v>02J</v>
          </cell>
          <cell r="J4025">
            <v>46373</v>
          </cell>
          <cell r="K4025">
            <v>46400</v>
          </cell>
        </row>
        <row r="4026">
          <cell r="D4026" t="str">
            <v>JKT</v>
          </cell>
          <cell r="E4026" t="str">
            <v>S05</v>
          </cell>
          <cell r="F4026" t="str">
            <v>JKT-01</v>
          </cell>
          <cell r="G4026" t="str">
            <v>FAB/SPL</v>
          </cell>
          <cell r="H4026" t="str">
            <v>02J</v>
          </cell>
          <cell r="J4026">
            <v>46389</v>
          </cell>
          <cell r="K4026">
            <v>46416</v>
          </cell>
        </row>
        <row r="4027">
          <cell r="D4027" t="str">
            <v>JKT</v>
          </cell>
          <cell r="E4027" t="str">
            <v>S07</v>
          </cell>
          <cell r="F4027" t="str">
            <v>JKT-01</v>
          </cell>
          <cell r="G4027" t="str">
            <v>FAB/SPL</v>
          </cell>
          <cell r="H4027" t="str">
            <v>02J</v>
          </cell>
          <cell r="J4027">
            <v>46400</v>
          </cell>
          <cell r="K4027">
            <v>46436</v>
          </cell>
        </row>
        <row r="4028">
          <cell r="D4028" t="str">
            <v>JKT</v>
          </cell>
          <cell r="E4028" t="str">
            <v>S10A</v>
          </cell>
          <cell r="F4028" t="str">
            <v>JKT-01</v>
          </cell>
          <cell r="G4028" t="str">
            <v>FAB/SPL</v>
          </cell>
          <cell r="H4028" t="str">
            <v>02J</v>
          </cell>
          <cell r="J4028">
            <v>46401</v>
          </cell>
          <cell r="K4028">
            <v>46440</v>
          </cell>
        </row>
        <row r="4029">
          <cell r="D4029" t="str">
            <v>JKT</v>
          </cell>
          <cell r="E4029" t="str">
            <v>S04B</v>
          </cell>
          <cell r="F4029" t="str">
            <v>JKT-01</v>
          </cell>
          <cell r="G4029" t="str">
            <v>FAB/SPL</v>
          </cell>
          <cell r="H4029" t="str">
            <v>02J</v>
          </cell>
          <cell r="J4029">
            <v>46403</v>
          </cell>
          <cell r="K4029">
            <v>46434</v>
          </cell>
        </row>
        <row r="4030">
          <cell r="D4030" t="str">
            <v>JKT</v>
          </cell>
          <cell r="E4030" t="str">
            <v>S06A</v>
          </cell>
          <cell r="F4030" t="str">
            <v>JKT-01</v>
          </cell>
          <cell r="G4030" t="str">
            <v>FAB/SPL</v>
          </cell>
          <cell r="H4030" t="str">
            <v>02J</v>
          </cell>
          <cell r="J4030">
            <v>46405</v>
          </cell>
          <cell r="K4030">
            <v>46434</v>
          </cell>
        </row>
        <row r="4031">
          <cell r="D4031" t="str">
            <v>JKT</v>
          </cell>
          <cell r="E4031" t="str">
            <v>S06B</v>
          </cell>
          <cell r="F4031" t="str">
            <v>JKT-01</v>
          </cell>
          <cell r="G4031" t="str">
            <v>FAB/SPL</v>
          </cell>
          <cell r="H4031" t="str">
            <v>02J</v>
          </cell>
          <cell r="J4031">
            <v>46421</v>
          </cell>
          <cell r="K4031">
            <v>46450</v>
          </cell>
        </row>
        <row r="4032">
          <cell r="D4032" t="str">
            <v>JKT</v>
          </cell>
          <cell r="E4032" t="str">
            <v>S04C</v>
          </cell>
          <cell r="F4032" t="str">
            <v>JKT-01</v>
          </cell>
          <cell r="G4032" t="str">
            <v>FAB/SPL</v>
          </cell>
          <cell r="H4032" t="str">
            <v>02J</v>
          </cell>
          <cell r="J4032">
            <v>46421</v>
          </cell>
          <cell r="K4032">
            <v>46451</v>
          </cell>
        </row>
        <row r="4033">
          <cell r="D4033" t="str">
            <v>JKT</v>
          </cell>
          <cell r="E4033" t="str">
            <v>S09A</v>
          </cell>
          <cell r="F4033" t="str">
            <v>JKT-01</v>
          </cell>
          <cell r="G4033" t="str">
            <v>FAB/SPL</v>
          </cell>
          <cell r="H4033" t="str">
            <v>02J</v>
          </cell>
          <cell r="J4033">
            <v>46434</v>
          </cell>
          <cell r="K4033">
            <v>46461</v>
          </cell>
        </row>
        <row r="4034">
          <cell r="D4034" t="str">
            <v>JKT</v>
          </cell>
          <cell r="E4034" t="str">
            <v>S08A</v>
          </cell>
          <cell r="F4034" t="str">
            <v>JKT-01</v>
          </cell>
          <cell r="G4034" t="str">
            <v>FAB/SPL</v>
          </cell>
          <cell r="H4034" t="str">
            <v>02J</v>
          </cell>
          <cell r="J4034">
            <v>46443</v>
          </cell>
          <cell r="K4034">
            <v>46463</v>
          </cell>
        </row>
        <row r="4035">
          <cell r="D4035" t="str">
            <v>JKT</v>
          </cell>
          <cell r="E4035" t="str">
            <v>S08B</v>
          </cell>
          <cell r="F4035" t="str">
            <v>JKT-01</v>
          </cell>
          <cell r="G4035" t="str">
            <v>FAB/SPL</v>
          </cell>
          <cell r="H4035" t="str">
            <v>02J</v>
          </cell>
          <cell r="J4035">
            <v>46454</v>
          </cell>
          <cell r="K4035">
            <v>46476</v>
          </cell>
        </row>
        <row r="4036">
          <cell r="J4036">
            <v>46352</v>
          </cell>
          <cell r="K4036">
            <v>46470</v>
          </cell>
        </row>
        <row r="4037">
          <cell r="D4037" t="str">
            <v>JKT</v>
          </cell>
          <cell r="E4037" t="str">
            <v>IRS</v>
          </cell>
          <cell r="F4037" t="str">
            <v>JKT-02</v>
          </cell>
          <cell r="G4037" t="str">
            <v>FAB/SPL</v>
          </cell>
          <cell r="H4037" t="str">
            <v>02J</v>
          </cell>
          <cell r="J4037">
            <v>46352</v>
          </cell>
          <cell r="K4037">
            <v>46406</v>
          </cell>
        </row>
        <row r="4038">
          <cell r="D4038" t="str">
            <v>JKT</v>
          </cell>
          <cell r="E4038" t="str">
            <v>UPD1</v>
          </cell>
          <cell r="F4038" t="str">
            <v>JKT-02</v>
          </cell>
          <cell r="G4038" t="str">
            <v>FAB/SPL</v>
          </cell>
          <cell r="H4038" t="str">
            <v>02J</v>
          </cell>
          <cell r="J4038">
            <v>46366</v>
          </cell>
          <cell r="K4038">
            <v>46412</v>
          </cell>
        </row>
        <row r="4039">
          <cell r="D4039" t="str">
            <v>JKT</v>
          </cell>
          <cell r="E4039" t="str">
            <v>CGD</v>
          </cell>
          <cell r="F4039" t="str">
            <v>JKT-02</v>
          </cell>
          <cell r="G4039" t="str">
            <v>FAB/SPL</v>
          </cell>
          <cell r="H4039" t="str">
            <v>02J</v>
          </cell>
          <cell r="J4039">
            <v>46403</v>
          </cell>
          <cell r="K4039">
            <v>46464</v>
          </cell>
        </row>
        <row r="4040">
          <cell r="D4040" t="str">
            <v>JKT</v>
          </cell>
          <cell r="E4040" t="str">
            <v>UPD2</v>
          </cell>
          <cell r="F4040" t="str">
            <v>JKT-02</v>
          </cell>
          <cell r="G4040" t="str">
            <v>FAB/SPL</v>
          </cell>
          <cell r="H4040" t="str">
            <v>02J</v>
          </cell>
          <cell r="J4040">
            <v>46420</v>
          </cell>
          <cell r="K4040">
            <v>46470</v>
          </cell>
        </row>
        <row r="4041">
          <cell r="J4041">
            <v>46361</v>
          </cell>
          <cell r="K4041">
            <v>46485</v>
          </cell>
        </row>
        <row r="4042">
          <cell r="J4042">
            <v>46385</v>
          </cell>
          <cell r="K4042">
            <v>46478</v>
          </cell>
        </row>
        <row r="4043">
          <cell r="D4043" t="str">
            <v>JKT</v>
          </cell>
          <cell r="E4043" t="str">
            <v>S04A</v>
          </cell>
          <cell r="F4043" t="str">
            <v>JKT-01</v>
          </cell>
          <cell r="G4043" t="str">
            <v>ASSY</v>
          </cell>
          <cell r="H4043" t="str">
            <v>02J</v>
          </cell>
          <cell r="J4043">
            <v>46401</v>
          </cell>
          <cell r="K4043">
            <v>46450</v>
          </cell>
        </row>
        <row r="4044">
          <cell r="D4044" t="str">
            <v>JKT</v>
          </cell>
          <cell r="E4044" t="str">
            <v>S02A</v>
          </cell>
          <cell r="F4044" t="str">
            <v>JKT-01</v>
          </cell>
          <cell r="G4044" t="str">
            <v>ASSY</v>
          </cell>
          <cell r="H4044" t="str">
            <v>02J</v>
          </cell>
          <cell r="J4044">
            <v>46405</v>
          </cell>
          <cell r="K4044">
            <v>46442</v>
          </cell>
        </row>
        <row r="4045">
          <cell r="D4045" t="str">
            <v>JKT</v>
          </cell>
          <cell r="E4045" t="str">
            <v>S05</v>
          </cell>
          <cell r="F4045" t="str">
            <v>JKT-01</v>
          </cell>
          <cell r="G4045" t="str">
            <v>ASSY</v>
          </cell>
          <cell r="H4045" t="str">
            <v>02J</v>
          </cell>
          <cell r="J4045">
            <v>46438</v>
          </cell>
          <cell r="K4045">
            <v>46470</v>
          </cell>
        </row>
        <row r="4046">
          <cell r="D4046" t="str">
            <v>JKT</v>
          </cell>
          <cell r="E4046" t="str">
            <v>S07</v>
          </cell>
          <cell r="F4046" t="str">
            <v>JKT-01</v>
          </cell>
          <cell r="G4046" t="str">
            <v>ASSY</v>
          </cell>
          <cell r="H4046" t="str">
            <v>02J</v>
          </cell>
          <cell r="J4046">
            <v>46444</v>
          </cell>
          <cell r="K4046">
            <v>46476</v>
          </cell>
        </row>
        <row r="4047">
          <cell r="D4047" t="str">
            <v>JKT</v>
          </cell>
          <cell r="E4047" t="str">
            <v>S06A</v>
          </cell>
          <cell r="F4047" t="str">
            <v>JKT-01</v>
          </cell>
          <cell r="G4047" t="str">
            <v>ASSY</v>
          </cell>
          <cell r="H4047" t="str">
            <v>02J</v>
          </cell>
          <cell r="J4047">
            <v>46447</v>
          </cell>
          <cell r="K4047">
            <v>46462</v>
          </cell>
        </row>
        <row r="4048">
          <cell r="D4048" t="str">
            <v>JKT</v>
          </cell>
          <cell r="E4048" t="str">
            <v>S10A</v>
          </cell>
          <cell r="F4048" t="str">
            <v>JKT-01</v>
          </cell>
          <cell r="G4048" t="str">
            <v>ASSY</v>
          </cell>
          <cell r="H4048" t="str">
            <v>02J</v>
          </cell>
          <cell r="J4048">
            <v>46457</v>
          </cell>
          <cell r="K4048">
            <v>46498</v>
          </cell>
        </row>
        <row r="4049">
          <cell r="D4049" t="str">
            <v>JKT</v>
          </cell>
          <cell r="E4049" t="str">
            <v>S06B</v>
          </cell>
          <cell r="F4049" t="str">
            <v>JKT-01</v>
          </cell>
          <cell r="G4049" t="str">
            <v>ASSY</v>
          </cell>
          <cell r="H4049" t="str">
            <v>02J</v>
          </cell>
          <cell r="J4049">
            <v>46459</v>
          </cell>
          <cell r="K4049">
            <v>46477</v>
          </cell>
        </row>
        <row r="4050">
          <cell r="D4050" t="str">
            <v>JKT</v>
          </cell>
          <cell r="E4050" t="str">
            <v>S04B</v>
          </cell>
          <cell r="F4050" t="str">
            <v>JKT-01</v>
          </cell>
          <cell r="G4050" t="str">
            <v>ASSY</v>
          </cell>
          <cell r="H4050" t="str">
            <v>02J</v>
          </cell>
          <cell r="J4050">
            <v>46463</v>
          </cell>
          <cell r="K4050">
            <v>46479</v>
          </cell>
        </row>
        <row r="4051">
          <cell r="D4051" t="str">
            <v>JKT</v>
          </cell>
          <cell r="E4051" t="str">
            <v>S04C</v>
          </cell>
          <cell r="F4051" t="str">
            <v>JKT-01</v>
          </cell>
          <cell r="G4051" t="str">
            <v>ASSY</v>
          </cell>
          <cell r="H4051" t="str">
            <v>02J</v>
          </cell>
          <cell r="J4051">
            <v>46463</v>
          </cell>
          <cell r="K4051">
            <v>46479</v>
          </cell>
        </row>
        <row r="4052">
          <cell r="D4052" t="str">
            <v>JKT</v>
          </cell>
          <cell r="E4052" t="str">
            <v>S08A</v>
          </cell>
          <cell r="F4052" t="str">
            <v>JKT-01</v>
          </cell>
          <cell r="G4052" t="str">
            <v>ASSY</v>
          </cell>
          <cell r="H4052" t="str">
            <v>02J</v>
          </cell>
          <cell r="J4052">
            <v>46471</v>
          </cell>
          <cell r="K4052">
            <v>46487</v>
          </cell>
        </row>
        <row r="4053">
          <cell r="D4053" t="str">
            <v>JKT</v>
          </cell>
          <cell r="E4053" t="str">
            <v>S09A</v>
          </cell>
          <cell r="F4053" t="str">
            <v>JKT-01</v>
          </cell>
          <cell r="G4053" t="str">
            <v>ASSY</v>
          </cell>
          <cell r="H4053" t="str">
            <v>02J</v>
          </cell>
          <cell r="J4053">
            <v>46473</v>
          </cell>
          <cell r="K4053">
            <v>46506</v>
          </cell>
        </row>
        <row r="4054">
          <cell r="D4054" t="str">
            <v>JKT</v>
          </cell>
          <cell r="E4054" t="str">
            <v>S08B</v>
          </cell>
          <cell r="F4054" t="str">
            <v>JKT-01</v>
          </cell>
          <cell r="G4054" t="str">
            <v>ASSY</v>
          </cell>
          <cell r="H4054" t="str">
            <v>02J</v>
          </cell>
          <cell r="J4054">
            <v>46486</v>
          </cell>
          <cell r="K4054">
            <v>46506</v>
          </cell>
        </row>
        <row r="4055">
          <cell r="J4055">
            <v>46375</v>
          </cell>
          <cell r="K4055">
            <v>46506</v>
          </cell>
        </row>
        <row r="4056">
          <cell r="D4056" t="str">
            <v>JKT</v>
          </cell>
          <cell r="E4056" t="str">
            <v>IRS</v>
          </cell>
          <cell r="F4056" t="str">
            <v>JKT-02</v>
          </cell>
          <cell r="G4056" t="str">
            <v>PREIN</v>
          </cell>
          <cell r="H4056" t="str">
            <v>02J</v>
          </cell>
          <cell r="J4056">
            <v>46375</v>
          </cell>
          <cell r="K4056">
            <v>46461</v>
          </cell>
        </row>
        <row r="4057">
          <cell r="D4057" t="str">
            <v>JKT</v>
          </cell>
          <cell r="E4057" t="str">
            <v>UPD1</v>
          </cell>
          <cell r="F4057" t="str">
            <v>JKT-02</v>
          </cell>
          <cell r="G4057" t="str">
            <v>PREIN</v>
          </cell>
          <cell r="H4057" t="str">
            <v>02J</v>
          </cell>
          <cell r="J4057">
            <v>46412</v>
          </cell>
          <cell r="K4057">
            <v>46450</v>
          </cell>
        </row>
        <row r="4058">
          <cell r="D4058" t="str">
            <v>JKT</v>
          </cell>
          <cell r="E4058" t="str">
            <v>CGD</v>
          </cell>
          <cell r="F4058" t="str">
            <v>JKT-02</v>
          </cell>
          <cell r="G4058" t="str">
            <v>PREIN</v>
          </cell>
          <cell r="H4058" t="str">
            <v>02J</v>
          </cell>
          <cell r="J4058">
            <v>46448</v>
          </cell>
          <cell r="K4058">
            <v>46506</v>
          </cell>
        </row>
        <row r="4059">
          <cell r="D4059" t="str">
            <v>JKT</v>
          </cell>
          <cell r="E4059" t="str">
            <v>UPD2</v>
          </cell>
          <cell r="F4059" t="str">
            <v>JKT-02</v>
          </cell>
          <cell r="G4059" t="str">
            <v>PREIN</v>
          </cell>
          <cell r="H4059" t="str">
            <v>02J</v>
          </cell>
          <cell r="J4059">
            <v>46471</v>
          </cell>
          <cell r="K4059">
            <v>46500</v>
          </cell>
        </row>
        <row r="4060">
          <cell r="J4060">
            <v>46415</v>
          </cell>
          <cell r="K4060">
            <v>46605</v>
          </cell>
        </row>
        <row r="4061">
          <cell r="J4061">
            <v>46415</v>
          </cell>
          <cell r="K4061">
            <v>46549</v>
          </cell>
        </row>
        <row r="4062">
          <cell r="D4062" t="str">
            <v>JKT</v>
          </cell>
          <cell r="E4062" t="str">
            <v>S01</v>
          </cell>
          <cell r="F4062" t="str">
            <v>JKT-01</v>
          </cell>
          <cell r="G4062" t="str">
            <v>ERECT</v>
          </cell>
          <cell r="H4062" t="str">
            <v>02J</v>
          </cell>
          <cell r="J4062">
            <v>46442</v>
          </cell>
          <cell r="K4062">
            <v>46445</v>
          </cell>
        </row>
        <row r="4063">
          <cell r="D4063" t="str">
            <v>JKT</v>
          </cell>
          <cell r="E4063" t="str">
            <v>S02A</v>
          </cell>
          <cell r="F4063" t="str">
            <v>JKT-01</v>
          </cell>
          <cell r="G4063" t="str">
            <v>ERECT</v>
          </cell>
          <cell r="H4063" t="str">
            <v>02J</v>
          </cell>
          <cell r="J4063">
            <v>46445</v>
          </cell>
          <cell r="K4063">
            <v>46456</v>
          </cell>
        </row>
        <row r="4064">
          <cell r="D4064" t="str">
            <v>JKT</v>
          </cell>
          <cell r="E4064" t="str">
            <v>S04A</v>
          </cell>
          <cell r="F4064" t="str">
            <v>JKT-01</v>
          </cell>
          <cell r="G4064" t="str">
            <v>ERECT</v>
          </cell>
          <cell r="H4064" t="str">
            <v>02J</v>
          </cell>
          <cell r="J4064">
            <v>46471</v>
          </cell>
          <cell r="K4064">
            <v>46480</v>
          </cell>
        </row>
        <row r="4065">
          <cell r="D4065" t="str">
            <v>JKT</v>
          </cell>
          <cell r="E4065" t="str">
            <v>S04B</v>
          </cell>
          <cell r="F4065" t="str">
            <v>JKT-01</v>
          </cell>
          <cell r="G4065" t="str">
            <v>ERECT</v>
          </cell>
          <cell r="H4065" t="str">
            <v>02J</v>
          </cell>
          <cell r="J4065">
            <v>46486</v>
          </cell>
          <cell r="K4065">
            <v>46490</v>
          </cell>
        </row>
        <row r="4066">
          <cell r="D4066" t="str">
            <v>JKT</v>
          </cell>
          <cell r="E4066" t="str">
            <v>S04C</v>
          </cell>
          <cell r="F4066" t="str">
            <v>JKT-01</v>
          </cell>
          <cell r="G4066" t="str">
            <v>ERECT</v>
          </cell>
          <cell r="H4066" t="str">
            <v>02J</v>
          </cell>
          <cell r="J4066">
            <v>46490</v>
          </cell>
          <cell r="K4066">
            <v>46494</v>
          </cell>
        </row>
        <row r="4067">
          <cell r="D4067" t="str">
            <v>JKT</v>
          </cell>
          <cell r="E4067" t="str">
            <v>S05</v>
          </cell>
          <cell r="F4067" t="str">
            <v>JKT-01</v>
          </cell>
          <cell r="G4067" t="str">
            <v>ERECT</v>
          </cell>
          <cell r="H4067" t="str">
            <v>02J</v>
          </cell>
          <cell r="J4067">
            <v>46497</v>
          </cell>
          <cell r="K4067">
            <v>46507</v>
          </cell>
        </row>
        <row r="4068">
          <cell r="D4068" t="str">
            <v>JKT</v>
          </cell>
          <cell r="E4068" t="str">
            <v>S06A</v>
          </cell>
          <cell r="F4068" t="str">
            <v>JKT-01</v>
          </cell>
          <cell r="G4068" t="str">
            <v>ERECT</v>
          </cell>
          <cell r="H4068" t="str">
            <v>02J</v>
          </cell>
          <cell r="J4068">
            <v>46507</v>
          </cell>
          <cell r="K4068">
            <v>46512</v>
          </cell>
        </row>
        <row r="4069">
          <cell r="D4069" t="str">
            <v>JKT</v>
          </cell>
          <cell r="E4069" t="str">
            <v>S06B</v>
          </cell>
          <cell r="F4069" t="str">
            <v>JKT-01</v>
          </cell>
          <cell r="G4069" t="str">
            <v>ERECT</v>
          </cell>
          <cell r="H4069" t="str">
            <v>02J</v>
          </cell>
          <cell r="J4069">
            <v>46512</v>
          </cell>
          <cell r="K4069">
            <v>46517</v>
          </cell>
        </row>
        <row r="4070">
          <cell r="D4070" t="str">
            <v>JKT</v>
          </cell>
          <cell r="E4070" t="str">
            <v>S07</v>
          </cell>
          <cell r="F4070" t="str">
            <v>JKT-01</v>
          </cell>
          <cell r="G4070" t="str">
            <v>ERECT</v>
          </cell>
          <cell r="H4070" t="str">
            <v>02J</v>
          </cell>
          <cell r="J4070">
            <v>46517</v>
          </cell>
          <cell r="K4070">
            <v>46526</v>
          </cell>
        </row>
        <row r="4071">
          <cell r="D4071" t="str">
            <v>JKT</v>
          </cell>
          <cell r="E4071" t="str">
            <v>S08A</v>
          </cell>
          <cell r="F4071" t="str">
            <v>JKT-01</v>
          </cell>
          <cell r="G4071" t="str">
            <v>ERECT</v>
          </cell>
          <cell r="H4071" t="str">
            <v>02J</v>
          </cell>
          <cell r="J4071">
            <v>46526</v>
          </cell>
          <cell r="K4071">
            <v>46529</v>
          </cell>
        </row>
        <row r="4072">
          <cell r="D4072" t="str">
            <v>JKT</v>
          </cell>
          <cell r="E4072" t="str">
            <v>S08B</v>
          </cell>
          <cell r="F4072" t="str">
            <v>JKT-01</v>
          </cell>
          <cell r="G4072" t="str">
            <v>ERECT</v>
          </cell>
          <cell r="H4072" t="str">
            <v>02J</v>
          </cell>
          <cell r="J4072">
            <v>46529</v>
          </cell>
          <cell r="K4072">
            <v>46534</v>
          </cell>
        </row>
        <row r="4073">
          <cell r="D4073" t="str">
            <v>JKT</v>
          </cell>
          <cell r="E4073" t="str">
            <v>S09A</v>
          </cell>
          <cell r="F4073" t="str">
            <v>JKT-01</v>
          </cell>
          <cell r="G4073" t="str">
            <v>ERECT</v>
          </cell>
          <cell r="H4073" t="str">
            <v>02J</v>
          </cell>
          <cell r="J4073">
            <v>46534</v>
          </cell>
          <cell r="K4073">
            <v>46543</v>
          </cell>
        </row>
        <row r="4074">
          <cell r="D4074" t="str">
            <v>JKT</v>
          </cell>
          <cell r="E4074" t="str">
            <v>S10A</v>
          </cell>
          <cell r="F4074" t="str">
            <v>JKT-01</v>
          </cell>
          <cell r="G4074" t="str">
            <v>ERECT</v>
          </cell>
          <cell r="H4074" t="str">
            <v>02J</v>
          </cell>
          <cell r="J4074">
            <v>46543</v>
          </cell>
          <cell r="K4074">
            <v>46563</v>
          </cell>
        </row>
        <row r="4075">
          <cell r="J4075">
            <v>46534</v>
          </cell>
          <cell r="K4075">
            <v>46634</v>
          </cell>
        </row>
        <row r="4076">
          <cell r="D4076" t="str">
            <v>PILE</v>
          </cell>
          <cell r="E4076" t="str">
            <v>GEN</v>
          </cell>
          <cell r="F4076" t="str">
            <v>PILE-01</v>
          </cell>
          <cell r="G4076" t="str">
            <v>FAB/SPL</v>
          </cell>
          <cell r="H4076" t="str">
            <v>02J</v>
          </cell>
          <cell r="J4076">
            <v>46517</v>
          </cell>
          <cell r="K4076">
            <v>46611</v>
          </cell>
        </row>
        <row r="4077">
          <cell r="D4077" t="str">
            <v>PILE</v>
          </cell>
          <cell r="E4077" t="str">
            <v>GEN</v>
          </cell>
          <cell r="F4077" t="str">
            <v>PILE-01</v>
          </cell>
          <cell r="G4077" t="str">
            <v>COAT</v>
          </cell>
          <cell r="H4077" t="str">
            <v>02J</v>
          </cell>
          <cell r="J4077">
            <v>46605</v>
          </cell>
          <cell r="K4077">
            <v>46634</v>
          </cell>
        </row>
        <row r="4078">
          <cell r="D4078" t="str">
            <v>PILE</v>
          </cell>
          <cell r="E4078" t="str">
            <v>GEN</v>
          </cell>
          <cell r="F4078" t="str">
            <v>PILE-01</v>
          </cell>
          <cell r="G4078" t="str">
            <v>GEN</v>
          </cell>
          <cell r="H4078" t="str">
            <v>02J</v>
          </cell>
          <cell r="K4078" t="str">
            <v>04-Sep-27*</v>
          </cell>
        </row>
        <row r="4079">
          <cell r="J4079">
            <v>46312</v>
          </cell>
          <cell r="K4079">
            <v>46596</v>
          </cell>
        </row>
        <row r="4080">
          <cell r="J4080">
            <v>46312</v>
          </cell>
          <cell r="K4080">
            <v>46468</v>
          </cell>
        </row>
        <row r="4081">
          <cell r="D4081" t="str">
            <v>JKT</v>
          </cell>
          <cell r="E4081" t="str">
            <v>S03A</v>
          </cell>
          <cell r="F4081" t="str">
            <v>JKT-02</v>
          </cell>
          <cell r="G4081" t="str">
            <v>FAB/SPL</v>
          </cell>
          <cell r="H4081" t="str">
            <v>02J</v>
          </cell>
          <cell r="J4081">
            <v>46374</v>
          </cell>
          <cell r="K4081">
            <v>46442</v>
          </cell>
        </row>
        <row r="4082">
          <cell r="D4082" t="str">
            <v>JKT</v>
          </cell>
          <cell r="E4082" t="str">
            <v>S01</v>
          </cell>
          <cell r="F4082" t="str">
            <v>JKT-01</v>
          </cell>
          <cell r="G4082" t="str">
            <v>FAB/SPL</v>
          </cell>
          <cell r="H4082" t="str">
            <v>02J</v>
          </cell>
          <cell r="J4082">
            <v>46384</v>
          </cell>
          <cell r="K4082">
            <v>46421</v>
          </cell>
        </row>
        <row r="4083">
          <cell r="D4083" t="str">
            <v>JKT</v>
          </cell>
          <cell r="E4083" t="str">
            <v>SUPP</v>
          </cell>
          <cell r="F4083" t="str">
            <v>JKT-02</v>
          </cell>
          <cell r="G4083" t="str">
            <v>FAB/SPL</v>
          </cell>
          <cell r="H4083" t="str">
            <v>02J</v>
          </cell>
          <cell r="J4083">
            <v>46394</v>
          </cell>
          <cell r="K4083">
            <v>46435</v>
          </cell>
        </row>
        <row r="4084">
          <cell r="D4084" t="str">
            <v>JKT</v>
          </cell>
          <cell r="E4084" t="str">
            <v>STB</v>
          </cell>
          <cell r="F4084" t="str">
            <v>JKT-02</v>
          </cell>
          <cell r="G4084" t="str">
            <v>FAB/SPL</v>
          </cell>
          <cell r="H4084" t="str">
            <v>02J</v>
          </cell>
          <cell r="J4084">
            <v>46406</v>
          </cell>
          <cell r="K4084">
            <v>46437</v>
          </cell>
        </row>
        <row r="4085">
          <cell r="D4085" t="str">
            <v>JKT</v>
          </cell>
          <cell r="E4085" t="str">
            <v>CLP</v>
          </cell>
          <cell r="F4085" t="str">
            <v>JKT-02</v>
          </cell>
          <cell r="G4085" t="str">
            <v>FAB/SPL</v>
          </cell>
          <cell r="H4085" t="str">
            <v>02J</v>
          </cell>
          <cell r="J4085">
            <v>46462</v>
          </cell>
          <cell r="K4085">
            <v>46494</v>
          </cell>
        </row>
        <row r="4086">
          <cell r="D4086" t="str">
            <v>JKT</v>
          </cell>
          <cell r="E4086" t="str">
            <v>BOL</v>
          </cell>
          <cell r="F4086" t="str">
            <v>JKT-02</v>
          </cell>
          <cell r="G4086" t="str">
            <v>FAB/SPL</v>
          </cell>
          <cell r="H4086" t="str">
            <v>02J</v>
          </cell>
          <cell r="J4086">
            <v>46480</v>
          </cell>
          <cell r="K4086">
            <v>46528</v>
          </cell>
        </row>
        <row r="4087">
          <cell r="D4087" t="str">
            <v>JKT</v>
          </cell>
          <cell r="E4087" t="str">
            <v>CASSION</v>
          </cell>
          <cell r="F4087" t="str">
            <v>JKT-02</v>
          </cell>
          <cell r="G4087" t="str">
            <v>FAB/SPL</v>
          </cell>
          <cell r="H4087" t="str">
            <v>02J</v>
          </cell>
          <cell r="J4087">
            <v>46487</v>
          </cell>
          <cell r="K4087">
            <v>46529</v>
          </cell>
        </row>
        <row r="4088">
          <cell r="D4088" t="str">
            <v>JKT</v>
          </cell>
          <cell r="E4088" t="str">
            <v>Rest01</v>
          </cell>
          <cell r="F4088" t="str">
            <v>JKT-02</v>
          </cell>
          <cell r="G4088" t="str">
            <v>FAB/SPL</v>
          </cell>
          <cell r="H4088" t="str">
            <v>02J</v>
          </cell>
          <cell r="J4088">
            <v>46492</v>
          </cell>
          <cell r="K4088">
            <v>46521</v>
          </cell>
        </row>
        <row r="4089">
          <cell r="D4089" t="str">
            <v>JKT</v>
          </cell>
          <cell r="E4089" t="str">
            <v>WHL</v>
          </cell>
          <cell r="F4089" t="str">
            <v>JKT-02</v>
          </cell>
          <cell r="G4089" t="str">
            <v>FAB/SPL</v>
          </cell>
          <cell r="H4089" t="str">
            <v>02J</v>
          </cell>
          <cell r="J4089">
            <v>46524</v>
          </cell>
          <cell r="K4089">
            <v>46557</v>
          </cell>
        </row>
        <row r="4090">
          <cell r="D4090" t="str">
            <v>JKT</v>
          </cell>
          <cell r="E4090" t="str">
            <v>TRP</v>
          </cell>
          <cell r="F4090" t="str">
            <v>JKT-02</v>
          </cell>
          <cell r="G4090" t="str">
            <v>FAB/SPL</v>
          </cell>
          <cell r="H4090" t="str">
            <v>02J</v>
          </cell>
          <cell r="J4090">
            <v>46549</v>
          </cell>
          <cell r="K4090">
            <v>46584</v>
          </cell>
        </row>
        <row r="4091">
          <cell r="D4091" t="str">
            <v>JKT</v>
          </cell>
          <cell r="E4091" t="str">
            <v>Rest02</v>
          </cell>
          <cell r="F4091" t="str">
            <v>JKT-02</v>
          </cell>
          <cell r="G4091" t="str">
            <v>FAB/SPL</v>
          </cell>
          <cell r="H4091" t="str">
            <v>02J</v>
          </cell>
          <cell r="J4091">
            <v>46553</v>
          </cell>
          <cell r="K4091">
            <v>46576</v>
          </cell>
        </row>
        <row r="4092">
          <cell r="J4092">
            <v>46398</v>
          </cell>
          <cell r="K4092">
            <v>46627</v>
          </cell>
        </row>
        <row r="4093">
          <cell r="D4093" t="str">
            <v>JKT</v>
          </cell>
          <cell r="E4093" t="str">
            <v>NOD</v>
          </cell>
          <cell r="F4093" t="str">
            <v>JKT-02</v>
          </cell>
          <cell r="G4093" t="str">
            <v>PREIN</v>
          </cell>
          <cell r="H4093" t="str">
            <v>02J</v>
          </cell>
          <cell r="J4093">
            <v>46398</v>
          </cell>
          <cell r="K4093">
            <v>46498</v>
          </cell>
        </row>
        <row r="4094">
          <cell r="D4094" t="str">
            <v>JKT</v>
          </cell>
          <cell r="E4094" t="str">
            <v>SUPP</v>
          </cell>
          <cell r="F4094" t="str">
            <v>JKT-02</v>
          </cell>
          <cell r="G4094" t="str">
            <v>PREIN</v>
          </cell>
          <cell r="H4094" t="str">
            <v>02J</v>
          </cell>
          <cell r="J4094">
            <v>46436</v>
          </cell>
          <cell r="K4094">
            <v>46476</v>
          </cell>
        </row>
        <row r="4095">
          <cell r="D4095" t="str">
            <v>JKT</v>
          </cell>
          <cell r="E4095" t="str">
            <v>S03A</v>
          </cell>
          <cell r="F4095" t="str">
            <v>JKT-02</v>
          </cell>
          <cell r="G4095" t="str">
            <v>POSTIN</v>
          </cell>
          <cell r="H4095" t="str">
            <v>02J</v>
          </cell>
          <cell r="J4095">
            <v>46456</v>
          </cell>
          <cell r="K4095">
            <v>46470</v>
          </cell>
        </row>
        <row r="4096">
          <cell r="D4096" t="str">
            <v>JKT</v>
          </cell>
          <cell r="E4096" t="str">
            <v>STB</v>
          </cell>
          <cell r="F4096" t="str">
            <v>JKT-02</v>
          </cell>
          <cell r="G4096" t="str">
            <v>PREIN</v>
          </cell>
          <cell r="H4096" t="str">
            <v>02J</v>
          </cell>
          <cell r="J4096">
            <v>46462</v>
          </cell>
          <cell r="K4096">
            <v>46489</v>
          </cell>
        </row>
        <row r="4097">
          <cell r="D4097" t="str">
            <v>JKT</v>
          </cell>
          <cell r="E4097" t="str">
            <v>CLP</v>
          </cell>
          <cell r="F4097" t="str">
            <v>JKT-02</v>
          </cell>
          <cell r="G4097" t="str">
            <v>PREIN</v>
          </cell>
          <cell r="H4097" t="str">
            <v>02J</v>
          </cell>
          <cell r="J4097">
            <v>46496</v>
          </cell>
          <cell r="K4097">
            <v>46533</v>
          </cell>
        </row>
        <row r="4098">
          <cell r="D4098" t="str">
            <v>JKT</v>
          </cell>
          <cell r="E4098" t="str">
            <v>Rest01</v>
          </cell>
          <cell r="F4098" t="str">
            <v>JKT-02</v>
          </cell>
          <cell r="G4098" t="str">
            <v>PREIN</v>
          </cell>
          <cell r="H4098" t="str">
            <v>02J</v>
          </cell>
          <cell r="J4098">
            <v>46522</v>
          </cell>
          <cell r="K4098">
            <v>46539</v>
          </cell>
        </row>
        <row r="4099">
          <cell r="D4099" t="str">
            <v>JKT</v>
          </cell>
          <cell r="E4099" t="str">
            <v>CASSION</v>
          </cell>
          <cell r="F4099" t="str">
            <v>JKT-02</v>
          </cell>
          <cell r="G4099" t="str">
            <v>POSTIN</v>
          </cell>
          <cell r="H4099" t="str">
            <v>02J</v>
          </cell>
          <cell r="J4099">
            <v>46529</v>
          </cell>
          <cell r="K4099">
            <v>46539</v>
          </cell>
        </row>
        <row r="4100">
          <cell r="D4100" t="str">
            <v>JKT</v>
          </cell>
          <cell r="E4100" t="str">
            <v>BOL</v>
          </cell>
          <cell r="F4100" t="str">
            <v>JKT-02</v>
          </cell>
          <cell r="G4100" t="str">
            <v>POSTIN</v>
          </cell>
          <cell r="H4100" t="str">
            <v>02J</v>
          </cell>
          <cell r="J4100">
            <v>46569</v>
          </cell>
          <cell r="K4100">
            <v>46585</v>
          </cell>
        </row>
        <row r="4101">
          <cell r="D4101" t="str">
            <v>JKT</v>
          </cell>
          <cell r="E4101" t="str">
            <v>TEST</v>
          </cell>
          <cell r="F4101" t="str">
            <v>JKT-02</v>
          </cell>
          <cell r="G4101" t="str">
            <v>PCOMM</v>
          </cell>
          <cell r="H4101" t="str">
            <v>02J</v>
          </cell>
          <cell r="J4101">
            <v>46576</v>
          </cell>
          <cell r="K4101">
            <v>46597</v>
          </cell>
        </row>
        <row r="4102">
          <cell r="D4102" t="str">
            <v>JKT</v>
          </cell>
          <cell r="E4102" t="str">
            <v>WHL</v>
          </cell>
          <cell r="F4102" t="str">
            <v>JKT-02</v>
          </cell>
          <cell r="G4102" t="str">
            <v>POSTIN</v>
          </cell>
          <cell r="H4102" t="str">
            <v>02J</v>
          </cell>
          <cell r="J4102">
            <v>46578</v>
          </cell>
          <cell r="K4102">
            <v>46591</v>
          </cell>
        </row>
        <row r="4103">
          <cell r="D4103" t="str">
            <v>JKT</v>
          </cell>
          <cell r="E4103" t="str">
            <v>Rest02</v>
          </cell>
          <cell r="F4103" t="str">
            <v>JKT-02</v>
          </cell>
          <cell r="G4103" t="str">
            <v>POSTIN</v>
          </cell>
          <cell r="H4103" t="str">
            <v>02J</v>
          </cell>
          <cell r="J4103">
            <v>46588</v>
          </cell>
          <cell r="K4103">
            <v>46605</v>
          </cell>
        </row>
        <row r="4104">
          <cell r="D4104" t="str">
            <v>JKT</v>
          </cell>
          <cell r="E4104" t="str">
            <v>TRP</v>
          </cell>
          <cell r="F4104" t="str">
            <v>JKT-02</v>
          </cell>
          <cell r="G4104" t="str">
            <v>POSTIN</v>
          </cell>
          <cell r="H4104" t="str">
            <v>02J</v>
          </cell>
          <cell r="J4104">
            <v>46592</v>
          </cell>
          <cell r="K4104">
            <v>46601</v>
          </cell>
        </row>
        <row r="4105">
          <cell r="D4105" t="str">
            <v>JKT</v>
          </cell>
          <cell r="E4105" t="str">
            <v>BOL</v>
          </cell>
          <cell r="F4105" t="str">
            <v>JKT-02</v>
          </cell>
          <cell r="G4105" t="str">
            <v>ERECT</v>
          </cell>
          <cell r="H4105" t="str">
            <v>02J</v>
          </cell>
          <cell r="J4105">
            <v>46598</v>
          </cell>
          <cell r="K4105">
            <v>46611</v>
          </cell>
        </row>
        <row r="4106">
          <cell r="D4106" t="str">
            <v>JKT</v>
          </cell>
          <cell r="E4106" t="str">
            <v>PUNCH</v>
          </cell>
          <cell r="F4106" t="str">
            <v>JKT-02</v>
          </cell>
          <cell r="G4106" t="str">
            <v>PCOMM</v>
          </cell>
          <cell r="H4106" t="str">
            <v>02J</v>
          </cell>
          <cell r="J4106">
            <v>46610</v>
          </cell>
          <cell r="K4106">
            <v>46627</v>
          </cell>
        </row>
        <row r="4107">
          <cell r="J4107">
            <v>46392</v>
          </cell>
          <cell r="K4107">
            <v>46477</v>
          </cell>
        </row>
        <row r="4108">
          <cell r="J4108">
            <v>46466</v>
          </cell>
          <cell r="K4108">
            <v>46520</v>
          </cell>
        </row>
        <row r="4109">
          <cell r="D4109" t="str">
            <v>JKT</v>
          </cell>
          <cell r="E4109" t="str">
            <v>RISER</v>
          </cell>
          <cell r="F4109" t="str">
            <v>JKT-04</v>
          </cell>
          <cell r="G4109" t="str">
            <v>FAB/SPL</v>
          </cell>
          <cell r="H4109" t="str">
            <v>02J</v>
          </cell>
          <cell r="J4109">
            <v>46466</v>
          </cell>
          <cell r="K4109">
            <v>46520</v>
          </cell>
        </row>
        <row r="4110">
          <cell r="J4110">
            <v>46538</v>
          </cell>
          <cell r="K4110">
            <v>46560</v>
          </cell>
        </row>
        <row r="4111">
          <cell r="D4111" t="str">
            <v>JKT</v>
          </cell>
          <cell r="E4111" t="str">
            <v>RISER</v>
          </cell>
          <cell r="F4111" t="str">
            <v>JKT-04</v>
          </cell>
          <cell r="G4111" t="str">
            <v>POSTIN</v>
          </cell>
          <cell r="H4111" t="str">
            <v>02J</v>
          </cell>
          <cell r="J4111">
            <v>46538</v>
          </cell>
          <cell r="K4111">
            <v>46543</v>
          </cell>
        </row>
        <row r="4112">
          <cell r="D4112" t="str">
            <v>JKT</v>
          </cell>
          <cell r="E4112" t="str">
            <v>RISER</v>
          </cell>
          <cell r="F4112" t="str">
            <v>JKT-04</v>
          </cell>
          <cell r="G4112" t="str">
            <v>ERECT</v>
          </cell>
          <cell r="H4112" t="str">
            <v>02J</v>
          </cell>
          <cell r="J4112">
            <v>46554</v>
          </cell>
          <cell r="K4112">
            <v>46560</v>
          </cell>
        </row>
        <row r="4113">
          <cell r="J4113">
            <v>46413</v>
          </cell>
          <cell r="K4113">
            <v>46619</v>
          </cell>
        </row>
        <row r="4114">
          <cell r="D4114" t="str">
            <v>JKT</v>
          </cell>
          <cell r="E4114" t="str">
            <v>Scaffold</v>
          </cell>
          <cell r="F4114" t="str">
            <v>JKT-03</v>
          </cell>
          <cell r="G4114" t="str">
            <v>COAT</v>
          </cell>
          <cell r="H4114" t="str">
            <v>02J</v>
          </cell>
          <cell r="J4114">
            <v>46451</v>
          </cell>
          <cell r="K4114">
            <v>46627</v>
          </cell>
        </row>
        <row r="4115">
          <cell r="D4115" t="str">
            <v>JKT</v>
          </cell>
          <cell r="E4115" t="str">
            <v>S04A</v>
          </cell>
          <cell r="F4115" t="str">
            <v>JKT-03</v>
          </cell>
          <cell r="G4115" t="str">
            <v>COAT</v>
          </cell>
          <cell r="H4115" t="str">
            <v>02J</v>
          </cell>
          <cell r="J4115">
            <v>46452</v>
          </cell>
          <cell r="K4115">
            <v>46468</v>
          </cell>
        </row>
        <row r="4116">
          <cell r="D4116" t="str">
            <v>JKT</v>
          </cell>
          <cell r="E4116" t="str">
            <v>S06A</v>
          </cell>
          <cell r="F4116" t="str">
            <v>JKT-03</v>
          </cell>
          <cell r="G4116" t="str">
            <v>COAT</v>
          </cell>
          <cell r="H4116" t="str">
            <v>02J</v>
          </cell>
          <cell r="J4116">
            <v>46468</v>
          </cell>
          <cell r="K4116">
            <v>46484</v>
          </cell>
        </row>
        <row r="4117">
          <cell r="D4117" t="str">
            <v>JKT</v>
          </cell>
          <cell r="E4117" t="str">
            <v>S07</v>
          </cell>
          <cell r="F4117" t="str">
            <v>JKT-03</v>
          </cell>
          <cell r="G4117" t="str">
            <v>COAT</v>
          </cell>
          <cell r="H4117" t="str">
            <v>02J</v>
          </cell>
          <cell r="J4117">
            <v>46483</v>
          </cell>
          <cell r="K4117">
            <v>46498</v>
          </cell>
        </row>
        <row r="4118">
          <cell r="D4118" t="str">
            <v>JKT</v>
          </cell>
          <cell r="E4118" t="str">
            <v>S06B</v>
          </cell>
          <cell r="F4118" t="str">
            <v>JKT-03</v>
          </cell>
          <cell r="G4118" t="str">
            <v>COAT</v>
          </cell>
          <cell r="H4118" t="str">
            <v>02J</v>
          </cell>
          <cell r="J4118">
            <v>46484</v>
          </cell>
          <cell r="K4118">
            <v>46499</v>
          </cell>
        </row>
        <row r="4119">
          <cell r="D4119" t="str">
            <v>JKT</v>
          </cell>
          <cell r="E4119" t="str">
            <v>S08A</v>
          </cell>
          <cell r="F4119" t="str">
            <v>JKT-03</v>
          </cell>
          <cell r="G4119" t="str">
            <v>COAT</v>
          </cell>
          <cell r="H4119" t="str">
            <v>02J</v>
          </cell>
          <cell r="J4119">
            <v>46497</v>
          </cell>
          <cell r="K4119">
            <v>46513</v>
          </cell>
        </row>
        <row r="4120">
          <cell r="D4120" t="str">
            <v>JKT</v>
          </cell>
          <cell r="E4120" t="str">
            <v>RISER</v>
          </cell>
          <cell r="F4120" t="str">
            <v>JKT-03</v>
          </cell>
          <cell r="G4120" t="str">
            <v>COAT</v>
          </cell>
          <cell r="H4120" t="str">
            <v>02J</v>
          </cell>
          <cell r="J4120">
            <v>46506</v>
          </cell>
          <cell r="K4120">
            <v>46532</v>
          </cell>
        </row>
        <row r="4121">
          <cell r="D4121" t="str">
            <v>JKT</v>
          </cell>
          <cell r="E4121" t="str">
            <v>S10A</v>
          </cell>
          <cell r="F4121" t="str">
            <v>JKT-03</v>
          </cell>
          <cell r="G4121" t="str">
            <v>COAT</v>
          </cell>
          <cell r="H4121" t="str">
            <v>02J</v>
          </cell>
          <cell r="J4121">
            <v>46507</v>
          </cell>
          <cell r="K4121">
            <v>46524</v>
          </cell>
        </row>
        <row r="4122">
          <cell r="D4122" t="str">
            <v>JKT</v>
          </cell>
          <cell r="E4122" t="str">
            <v>S09A</v>
          </cell>
          <cell r="F4122" t="str">
            <v>JKT-03</v>
          </cell>
          <cell r="G4122" t="str">
            <v>COAT</v>
          </cell>
          <cell r="H4122" t="str">
            <v>02J</v>
          </cell>
          <cell r="J4122">
            <v>46512</v>
          </cell>
          <cell r="K4122">
            <v>46527</v>
          </cell>
        </row>
        <row r="4123">
          <cell r="D4123" t="str">
            <v>JKT</v>
          </cell>
          <cell r="E4123" t="str">
            <v>S08B</v>
          </cell>
          <cell r="F4123" t="str">
            <v>JKT-03</v>
          </cell>
          <cell r="G4123" t="str">
            <v>COAT</v>
          </cell>
          <cell r="H4123" t="str">
            <v>02J</v>
          </cell>
          <cell r="J4123">
            <v>46513</v>
          </cell>
          <cell r="K4123">
            <v>46528</v>
          </cell>
        </row>
        <row r="4124">
          <cell r="D4124" t="str">
            <v>JKT</v>
          </cell>
          <cell r="E4124" t="str">
            <v>SiteCC</v>
          </cell>
          <cell r="F4124" t="str">
            <v>JKT-03</v>
          </cell>
          <cell r="G4124" t="str">
            <v>COAT</v>
          </cell>
          <cell r="H4124" t="str">
            <v>02J</v>
          </cell>
          <cell r="J4124">
            <v>46529</v>
          </cell>
          <cell r="K4124">
            <v>46612</v>
          </cell>
        </row>
        <row r="4125">
          <cell r="D4125" t="str">
            <v>JKT</v>
          </cell>
          <cell r="E4125" t="str">
            <v>BOL</v>
          </cell>
          <cell r="F4125" t="str">
            <v>JKT-03</v>
          </cell>
          <cell r="G4125" t="str">
            <v>COAT</v>
          </cell>
          <cell r="H4125" t="str">
            <v>02J</v>
          </cell>
          <cell r="J4125">
            <v>46534</v>
          </cell>
          <cell r="K4125">
            <v>46552</v>
          </cell>
        </row>
        <row r="4126">
          <cell r="D4126" t="str">
            <v>JKT</v>
          </cell>
          <cell r="E4126" t="str">
            <v>WHL</v>
          </cell>
          <cell r="F4126" t="str">
            <v>JKT-03</v>
          </cell>
          <cell r="G4126" t="str">
            <v>COAT</v>
          </cell>
          <cell r="H4126" t="str">
            <v>02J</v>
          </cell>
          <cell r="J4126">
            <v>46557</v>
          </cell>
          <cell r="K4126">
            <v>46574</v>
          </cell>
        </row>
        <row r="4127">
          <cell r="D4127" t="str">
            <v>JKT</v>
          </cell>
          <cell r="E4127" t="str">
            <v>TOUCH</v>
          </cell>
          <cell r="F4127" t="str">
            <v>JKT-03</v>
          </cell>
          <cell r="G4127" t="str">
            <v>COAT</v>
          </cell>
          <cell r="H4127" t="str">
            <v>02J</v>
          </cell>
          <cell r="J4127">
            <v>46602</v>
          </cell>
          <cell r="K4127">
            <v>46619</v>
          </cell>
        </row>
        <row r="4128">
          <cell r="J4128">
            <v>46630</v>
          </cell>
          <cell r="K4128">
            <v>46656</v>
          </cell>
        </row>
        <row r="4129">
          <cell r="D4129" t="str">
            <v>JKT</v>
          </cell>
          <cell r="E4129" t="str">
            <v>RFLO</v>
          </cell>
          <cell r="F4129" t="str">
            <v>JKT-05</v>
          </cell>
          <cell r="G4129" t="str">
            <v>PCOMM</v>
          </cell>
          <cell r="H4129" t="str">
            <v>02J</v>
          </cell>
          <cell r="K4129" t="str">
            <v>28-Aug-27*</v>
          </cell>
        </row>
        <row r="4130">
          <cell r="D4130" t="str">
            <v>JKT</v>
          </cell>
          <cell r="E4130" t="str">
            <v>RFLO</v>
          </cell>
          <cell r="F4130" t="str">
            <v>JKT-05</v>
          </cell>
          <cell r="G4130" t="str">
            <v>LOAD</v>
          </cell>
          <cell r="H4130" t="str">
            <v>02J</v>
          </cell>
          <cell r="J4130">
            <v>46646</v>
          </cell>
          <cell r="K4130">
            <v>46656</v>
          </cell>
        </row>
        <row r="4131">
          <cell r="J4131">
            <v>46209</v>
          </cell>
          <cell r="K4131">
            <v>46538</v>
          </cell>
        </row>
        <row r="4132">
          <cell r="J4132">
            <v>46209</v>
          </cell>
          <cell r="K4132">
            <v>46524</v>
          </cell>
        </row>
        <row r="4133">
          <cell r="J4133">
            <v>46209</v>
          </cell>
          <cell r="K4133">
            <v>46387</v>
          </cell>
        </row>
        <row r="4134">
          <cell r="D4134" t="str">
            <v>MOD</v>
          </cell>
          <cell r="H4134" t="str">
            <v>02T</v>
          </cell>
          <cell r="J4134">
            <v>46247</v>
          </cell>
          <cell r="K4134">
            <v>46371</v>
          </cell>
        </row>
        <row r="4135">
          <cell r="D4135" t="str">
            <v>MOD</v>
          </cell>
          <cell r="H4135" t="str">
            <v>02T</v>
          </cell>
          <cell r="J4135">
            <v>46281</v>
          </cell>
          <cell r="K4135">
            <v>46401</v>
          </cell>
        </row>
        <row r="4136">
          <cell r="D4136" t="str">
            <v>MOD</v>
          </cell>
          <cell r="H4136" t="str">
            <v>02T</v>
          </cell>
          <cell r="J4136">
            <v>46331</v>
          </cell>
          <cell r="K4136">
            <v>46443</v>
          </cell>
        </row>
        <row r="4137">
          <cell r="J4137">
            <v>46241</v>
          </cell>
          <cell r="K4137">
            <v>46353</v>
          </cell>
        </row>
        <row r="4138">
          <cell r="D4138" t="str">
            <v>MOD</v>
          </cell>
          <cell r="H4138" t="str">
            <v>02T</v>
          </cell>
          <cell r="J4138">
            <v>46282</v>
          </cell>
          <cell r="K4138">
            <v>46395</v>
          </cell>
        </row>
        <row r="4139">
          <cell r="J4139">
            <v>46346</v>
          </cell>
          <cell r="K4139">
            <v>46437</v>
          </cell>
        </row>
        <row r="4140">
          <cell r="D4140" t="str">
            <v>MOD</v>
          </cell>
          <cell r="H4140" t="str">
            <v>02T</v>
          </cell>
          <cell r="J4140">
            <v>46339</v>
          </cell>
          <cell r="K4140">
            <v>46430</v>
          </cell>
        </row>
        <row r="4141">
          <cell r="J4141">
            <v>46307</v>
          </cell>
          <cell r="K4141">
            <v>46419</v>
          </cell>
        </row>
        <row r="4142">
          <cell r="D4142" t="str">
            <v>MOD</v>
          </cell>
          <cell r="H4142" t="str">
            <v>02T</v>
          </cell>
          <cell r="J4142">
            <v>46325</v>
          </cell>
          <cell r="K4142">
            <v>46489</v>
          </cell>
        </row>
        <row r="4143">
          <cell r="J4143">
            <v>46307</v>
          </cell>
          <cell r="K4143">
            <v>46468</v>
          </cell>
        </row>
        <row r="4144">
          <cell r="D4144" t="str">
            <v>MOD</v>
          </cell>
          <cell r="H4144" t="str">
            <v>02T</v>
          </cell>
          <cell r="J4144">
            <v>46325</v>
          </cell>
          <cell r="K4144">
            <v>46489</v>
          </cell>
        </row>
        <row r="4145">
          <cell r="J4145">
            <v>46272</v>
          </cell>
          <cell r="K4145">
            <v>46406</v>
          </cell>
        </row>
        <row r="4146">
          <cell r="D4146" t="str">
            <v>MOD</v>
          </cell>
          <cell r="H4146" t="str">
            <v>02T</v>
          </cell>
          <cell r="J4146">
            <v>46318</v>
          </cell>
          <cell r="K4146">
            <v>46451</v>
          </cell>
        </row>
        <row r="4147">
          <cell r="J4147">
            <v>46440</v>
          </cell>
          <cell r="K4147">
            <v>46524</v>
          </cell>
        </row>
        <row r="4148">
          <cell r="D4148" t="str">
            <v>MOD</v>
          </cell>
          <cell r="H4148" t="str">
            <v>02T</v>
          </cell>
          <cell r="J4148">
            <v>46433</v>
          </cell>
          <cell r="K4148">
            <v>46531</v>
          </cell>
        </row>
        <row r="4149">
          <cell r="J4149">
            <v>46233</v>
          </cell>
          <cell r="K4149">
            <v>46538</v>
          </cell>
        </row>
        <row r="4150">
          <cell r="J4150">
            <v>46233</v>
          </cell>
          <cell r="K4150">
            <v>46451</v>
          </cell>
        </row>
        <row r="4151">
          <cell r="D4151" t="str">
            <v>MOD</v>
          </cell>
          <cell r="H4151" t="str">
            <v>02T</v>
          </cell>
          <cell r="J4151">
            <v>46233</v>
          </cell>
          <cell r="K4151">
            <v>46357</v>
          </cell>
        </row>
        <row r="4152">
          <cell r="D4152" t="str">
            <v>MOD</v>
          </cell>
          <cell r="H4152" t="str">
            <v>02T</v>
          </cell>
          <cell r="J4152">
            <v>46289</v>
          </cell>
          <cell r="K4152">
            <v>46409</v>
          </cell>
        </row>
        <row r="4153">
          <cell r="D4153" t="str">
            <v>MOD</v>
          </cell>
          <cell r="H4153" t="str">
            <v>02T</v>
          </cell>
          <cell r="J4153">
            <v>46339</v>
          </cell>
          <cell r="K4153">
            <v>46451</v>
          </cell>
        </row>
        <row r="4154">
          <cell r="J4154">
            <v>46272</v>
          </cell>
          <cell r="K4154">
            <v>46384</v>
          </cell>
        </row>
        <row r="4155">
          <cell r="D4155" t="str">
            <v>MOD</v>
          </cell>
          <cell r="H4155" t="str">
            <v>02T</v>
          </cell>
          <cell r="J4155">
            <v>46272</v>
          </cell>
          <cell r="K4155">
            <v>46384</v>
          </cell>
        </row>
        <row r="4156">
          <cell r="J4156">
            <v>46346</v>
          </cell>
          <cell r="K4156">
            <v>46437</v>
          </cell>
        </row>
        <row r="4157">
          <cell r="D4157" t="str">
            <v>MOD</v>
          </cell>
          <cell r="H4157" t="str">
            <v>02T</v>
          </cell>
          <cell r="J4157">
            <v>46346</v>
          </cell>
          <cell r="K4157">
            <v>46437</v>
          </cell>
        </row>
        <row r="4158">
          <cell r="J4158">
            <v>46328</v>
          </cell>
          <cell r="K4158">
            <v>46490</v>
          </cell>
        </row>
        <row r="4159">
          <cell r="D4159" t="str">
            <v>MOD</v>
          </cell>
          <cell r="H4159" t="str">
            <v>02T</v>
          </cell>
          <cell r="J4159">
            <v>46328</v>
          </cell>
          <cell r="K4159">
            <v>46490</v>
          </cell>
        </row>
        <row r="4160">
          <cell r="J4160">
            <v>46328</v>
          </cell>
          <cell r="K4160">
            <v>46490</v>
          </cell>
        </row>
        <row r="4161">
          <cell r="D4161" t="str">
            <v>MOD</v>
          </cell>
          <cell r="H4161" t="str">
            <v>02T</v>
          </cell>
          <cell r="J4161">
            <v>46328</v>
          </cell>
          <cell r="K4161">
            <v>46490</v>
          </cell>
        </row>
        <row r="4162">
          <cell r="J4162">
            <v>46304</v>
          </cell>
          <cell r="K4162">
            <v>46437</v>
          </cell>
        </row>
        <row r="4163">
          <cell r="D4163" t="str">
            <v>MOD</v>
          </cell>
          <cell r="H4163" t="str">
            <v>02T</v>
          </cell>
          <cell r="J4163">
            <v>46304</v>
          </cell>
          <cell r="K4163">
            <v>46437</v>
          </cell>
        </row>
        <row r="4164">
          <cell r="J4164">
            <v>46440</v>
          </cell>
          <cell r="K4164">
            <v>46538</v>
          </cell>
        </row>
        <row r="4165">
          <cell r="D4165" t="str">
            <v>MOD</v>
          </cell>
          <cell r="H4165" t="str">
            <v>02T</v>
          </cell>
          <cell r="J4165">
            <v>46440</v>
          </cell>
          <cell r="K4165">
            <v>46538</v>
          </cell>
        </row>
        <row r="4166">
          <cell r="J4166">
            <v>46349</v>
          </cell>
          <cell r="K4166">
            <v>46419</v>
          </cell>
        </row>
        <row r="4167">
          <cell r="D4167" t="str">
            <v>MOD</v>
          </cell>
          <cell r="H4167" t="str">
            <v>01T</v>
          </cell>
          <cell r="J4167">
            <v>46346</v>
          </cell>
          <cell r="K4167">
            <v>46416</v>
          </cell>
        </row>
        <row r="4168">
          <cell r="J4168">
            <v>46203</v>
          </cell>
          <cell r="K4168">
            <v>46316</v>
          </cell>
        </row>
        <row r="4169">
          <cell r="D4169" t="str">
            <v>MOD</v>
          </cell>
          <cell r="H4169" t="str">
            <v>01T</v>
          </cell>
          <cell r="J4169">
            <v>46210</v>
          </cell>
          <cell r="K4169">
            <v>46303</v>
          </cell>
        </row>
        <row r="4170">
          <cell r="D4170" t="str">
            <v>MOD</v>
          </cell>
          <cell r="H4170" t="str">
            <v>01T</v>
          </cell>
          <cell r="J4170">
            <v>46226</v>
          </cell>
          <cell r="K4170">
            <v>46309</v>
          </cell>
        </row>
        <row r="4171">
          <cell r="D4171" t="str">
            <v>MOD</v>
          </cell>
          <cell r="H4171" t="str">
            <v>01T</v>
          </cell>
          <cell r="J4171">
            <v>46245</v>
          </cell>
          <cell r="K4171">
            <v>46322</v>
          </cell>
        </row>
        <row r="4172">
          <cell r="J4172">
            <v>46252</v>
          </cell>
          <cell r="K4172">
            <v>46644</v>
          </cell>
        </row>
        <row r="4173">
          <cell r="J4173">
            <v>46252</v>
          </cell>
          <cell r="K4173">
            <v>46612</v>
          </cell>
        </row>
        <row r="4174">
          <cell r="J4174">
            <v>46252</v>
          </cell>
          <cell r="K4174">
            <v>46553</v>
          </cell>
        </row>
        <row r="4175">
          <cell r="J4175">
            <v>46252</v>
          </cell>
          <cell r="K4175">
            <v>46539</v>
          </cell>
        </row>
        <row r="4176">
          <cell r="J4176">
            <v>46252</v>
          </cell>
          <cell r="K4176">
            <v>46356</v>
          </cell>
        </row>
        <row r="4177">
          <cell r="D4177" t="str">
            <v>MOD</v>
          </cell>
          <cell r="E4177" t="str">
            <v>LOW01</v>
          </cell>
          <cell r="F4177" t="str">
            <v>ST</v>
          </cell>
          <cell r="G4177" t="str">
            <v>FAB/SPL</v>
          </cell>
          <cell r="H4177" t="str">
            <v>01T</v>
          </cell>
          <cell r="J4177">
            <v>46252</v>
          </cell>
          <cell r="K4177">
            <v>46301</v>
          </cell>
        </row>
        <row r="4178">
          <cell r="D4178" t="str">
            <v>MOD</v>
          </cell>
          <cell r="E4178" t="str">
            <v>SUM01</v>
          </cell>
          <cell r="F4178" t="str">
            <v>ST</v>
          </cell>
          <cell r="G4178" t="str">
            <v>FAB/SPL</v>
          </cell>
          <cell r="H4178" t="str">
            <v>01T</v>
          </cell>
          <cell r="J4178">
            <v>46272</v>
          </cell>
          <cell r="K4178">
            <v>46308</v>
          </cell>
        </row>
        <row r="4179">
          <cell r="D4179" t="str">
            <v>MOD</v>
          </cell>
          <cell r="E4179" t="str">
            <v>MEZ01</v>
          </cell>
          <cell r="F4179" t="str">
            <v>ST</v>
          </cell>
          <cell r="G4179" t="str">
            <v>FAB/SPL</v>
          </cell>
          <cell r="H4179" t="str">
            <v>01T</v>
          </cell>
          <cell r="J4179">
            <v>46276</v>
          </cell>
          <cell r="K4179">
            <v>46312</v>
          </cell>
        </row>
        <row r="4180">
          <cell r="D4180" t="str">
            <v>MOD</v>
          </cell>
          <cell r="E4180" t="str">
            <v>UPP01</v>
          </cell>
          <cell r="F4180" t="str">
            <v>ST</v>
          </cell>
          <cell r="G4180" t="str">
            <v>FAB/SPL</v>
          </cell>
          <cell r="H4180" t="str">
            <v>01T</v>
          </cell>
          <cell r="J4180">
            <v>46291</v>
          </cell>
          <cell r="K4180">
            <v>46356</v>
          </cell>
        </row>
        <row r="4181">
          <cell r="D4181" t="str">
            <v>MOD</v>
          </cell>
          <cell r="E4181" t="str">
            <v>CLOMN</v>
          </cell>
          <cell r="F4181" t="str">
            <v>ST</v>
          </cell>
          <cell r="G4181" t="str">
            <v>FAB/SPL</v>
          </cell>
          <cell r="H4181" t="str">
            <v>01T</v>
          </cell>
          <cell r="J4181">
            <v>46303</v>
          </cell>
          <cell r="K4181">
            <v>46343</v>
          </cell>
        </row>
        <row r="4182">
          <cell r="D4182" t="str">
            <v>MOD</v>
          </cell>
          <cell r="E4182" t="str">
            <v>VentBoom01</v>
          </cell>
          <cell r="F4182" t="str">
            <v>ST</v>
          </cell>
          <cell r="G4182" t="str">
            <v>FAB/SPL</v>
          </cell>
          <cell r="H4182" t="str">
            <v>01T</v>
          </cell>
          <cell r="J4182">
            <v>46310</v>
          </cell>
          <cell r="K4182">
            <v>46338</v>
          </cell>
        </row>
        <row r="4183">
          <cell r="J4183">
            <v>46303</v>
          </cell>
          <cell r="K4183">
            <v>46447</v>
          </cell>
        </row>
        <row r="4184">
          <cell r="D4184" t="str">
            <v>MOD</v>
          </cell>
          <cell r="E4184" t="str">
            <v>LOW01</v>
          </cell>
          <cell r="F4184" t="str">
            <v>ST</v>
          </cell>
          <cell r="G4184" t="str">
            <v>ASSY</v>
          </cell>
          <cell r="H4184" t="str">
            <v>01T</v>
          </cell>
          <cell r="J4184">
            <v>46303</v>
          </cell>
          <cell r="K4184">
            <v>46360</v>
          </cell>
        </row>
        <row r="4185">
          <cell r="D4185" t="str">
            <v>MOD</v>
          </cell>
          <cell r="E4185" t="str">
            <v>SUM01</v>
          </cell>
          <cell r="F4185" t="str">
            <v>ST</v>
          </cell>
          <cell r="G4185" t="str">
            <v>ASSY</v>
          </cell>
          <cell r="H4185" t="str">
            <v>01T</v>
          </cell>
          <cell r="J4185">
            <v>46309</v>
          </cell>
          <cell r="K4185">
            <v>46342</v>
          </cell>
        </row>
        <row r="4186">
          <cell r="D4186" t="str">
            <v>MOD</v>
          </cell>
          <cell r="E4186" t="str">
            <v>MEZ01</v>
          </cell>
          <cell r="F4186" t="str">
            <v>ST</v>
          </cell>
          <cell r="G4186" t="str">
            <v>ASSY</v>
          </cell>
          <cell r="H4186" t="str">
            <v>01T</v>
          </cell>
          <cell r="J4186">
            <v>46337</v>
          </cell>
          <cell r="K4186">
            <v>46370</v>
          </cell>
        </row>
        <row r="4187">
          <cell r="D4187" t="str">
            <v>MOD</v>
          </cell>
          <cell r="E4187" t="str">
            <v>UPP01</v>
          </cell>
          <cell r="F4187" t="str">
            <v>ST</v>
          </cell>
          <cell r="G4187" t="str">
            <v>ASSY</v>
          </cell>
          <cell r="H4187" t="str">
            <v>01T</v>
          </cell>
          <cell r="J4187">
            <v>46345</v>
          </cell>
          <cell r="K4187">
            <v>46403</v>
          </cell>
        </row>
        <row r="4188">
          <cell r="D4188" t="str">
            <v>MOD</v>
          </cell>
          <cell r="E4188" t="str">
            <v>VentBoom01</v>
          </cell>
          <cell r="F4188" t="str">
            <v>ST</v>
          </cell>
          <cell r="G4188" t="str">
            <v>ASSY</v>
          </cell>
          <cell r="H4188" t="str">
            <v>01T</v>
          </cell>
          <cell r="J4188">
            <v>46405</v>
          </cell>
          <cell r="K4188">
            <v>46447</v>
          </cell>
        </row>
        <row r="4189">
          <cell r="J4189">
            <v>46400</v>
          </cell>
          <cell r="K4189">
            <v>46539</v>
          </cell>
        </row>
        <row r="4190">
          <cell r="D4190" t="str">
            <v>MOD</v>
          </cell>
          <cell r="E4190" t="str">
            <v>CLOMN</v>
          </cell>
          <cell r="F4190" t="str">
            <v>ST</v>
          </cell>
          <cell r="G4190" t="str">
            <v>ERECT</v>
          </cell>
          <cell r="H4190" t="str">
            <v>01T</v>
          </cell>
          <cell r="J4190">
            <v>46400</v>
          </cell>
          <cell r="K4190">
            <v>46405</v>
          </cell>
        </row>
        <row r="4191">
          <cell r="D4191" t="str">
            <v>MOD</v>
          </cell>
          <cell r="E4191" t="str">
            <v>SUM01</v>
          </cell>
          <cell r="F4191" t="str">
            <v>ST</v>
          </cell>
          <cell r="G4191" t="str">
            <v>ERECT</v>
          </cell>
          <cell r="H4191" t="str">
            <v>01T</v>
          </cell>
          <cell r="J4191">
            <v>46406</v>
          </cell>
          <cell r="K4191">
            <v>46437</v>
          </cell>
        </row>
        <row r="4192">
          <cell r="D4192" t="str">
            <v>MOD</v>
          </cell>
          <cell r="E4192" t="str">
            <v>LOW01</v>
          </cell>
          <cell r="F4192" t="str">
            <v>ST</v>
          </cell>
          <cell r="G4192" t="str">
            <v>ERECT</v>
          </cell>
          <cell r="H4192" t="str">
            <v>01T</v>
          </cell>
          <cell r="J4192">
            <v>46434</v>
          </cell>
          <cell r="K4192">
            <v>46462</v>
          </cell>
        </row>
        <row r="4193">
          <cell r="D4193" t="str">
            <v>MOD</v>
          </cell>
          <cell r="E4193" t="str">
            <v>MEZ01</v>
          </cell>
          <cell r="F4193" t="str">
            <v>ST</v>
          </cell>
          <cell r="G4193" t="str">
            <v>ERECT</v>
          </cell>
          <cell r="H4193" t="str">
            <v>01T</v>
          </cell>
          <cell r="J4193">
            <v>46462</v>
          </cell>
          <cell r="K4193">
            <v>46485</v>
          </cell>
        </row>
        <row r="4194">
          <cell r="D4194" t="str">
            <v>MOD</v>
          </cell>
          <cell r="E4194" t="str">
            <v>UPP01</v>
          </cell>
          <cell r="F4194" t="str">
            <v>ST</v>
          </cell>
          <cell r="G4194" t="str">
            <v>ERECT</v>
          </cell>
          <cell r="H4194" t="str">
            <v>01T</v>
          </cell>
          <cell r="J4194">
            <v>46487</v>
          </cell>
          <cell r="K4194">
            <v>46515</v>
          </cell>
        </row>
        <row r="4195">
          <cell r="D4195" t="str">
            <v>MOD</v>
          </cell>
          <cell r="E4195" t="str">
            <v>VentBoom01</v>
          </cell>
          <cell r="F4195" t="str">
            <v>ST</v>
          </cell>
          <cell r="G4195" t="str">
            <v>ERECT</v>
          </cell>
          <cell r="H4195" t="str">
            <v>01T</v>
          </cell>
          <cell r="J4195">
            <v>46517</v>
          </cell>
          <cell r="K4195">
            <v>46539</v>
          </cell>
        </row>
        <row r="4196">
          <cell r="J4196">
            <v>46282</v>
          </cell>
          <cell r="K4196">
            <v>46444</v>
          </cell>
        </row>
        <row r="4197">
          <cell r="J4197">
            <v>46282</v>
          </cell>
          <cell r="K4197">
            <v>46378</v>
          </cell>
        </row>
        <row r="4198">
          <cell r="D4198" t="str">
            <v>MOD</v>
          </cell>
          <cell r="E4198" t="str">
            <v>LOW02</v>
          </cell>
          <cell r="F4198" t="str">
            <v>ST</v>
          </cell>
          <cell r="G4198" t="str">
            <v>FAB/SPL</v>
          </cell>
          <cell r="H4198" t="str">
            <v>01T</v>
          </cell>
          <cell r="J4198">
            <v>46282</v>
          </cell>
          <cell r="K4198">
            <v>46336</v>
          </cell>
        </row>
        <row r="4199">
          <cell r="D4199" t="str">
            <v>MOD</v>
          </cell>
          <cell r="E4199" t="str">
            <v>SUM02</v>
          </cell>
          <cell r="F4199" t="str">
            <v>ST</v>
          </cell>
          <cell r="G4199" t="str">
            <v>FAB/SPL</v>
          </cell>
          <cell r="H4199" t="str">
            <v>01T</v>
          </cell>
          <cell r="J4199">
            <v>46288</v>
          </cell>
          <cell r="K4199">
            <v>46336</v>
          </cell>
        </row>
        <row r="4200">
          <cell r="D4200" t="str">
            <v>MOD</v>
          </cell>
          <cell r="E4200" t="str">
            <v>UPP02</v>
          </cell>
          <cell r="F4200" t="str">
            <v>ST</v>
          </cell>
          <cell r="G4200" t="str">
            <v>FAB/SPL</v>
          </cell>
          <cell r="H4200" t="str">
            <v>01T</v>
          </cell>
          <cell r="J4200">
            <v>46326</v>
          </cell>
          <cell r="K4200">
            <v>46378</v>
          </cell>
        </row>
        <row r="4201">
          <cell r="D4201" t="str">
            <v>MOD</v>
          </cell>
          <cell r="E4201" t="str">
            <v>MEZ02</v>
          </cell>
          <cell r="F4201" t="str">
            <v>ST</v>
          </cell>
          <cell r="G4201" t="str">
            <v>FAB/SPL</v>
          </cell>
          <cell r="H4201" t="str">
            <v>01T</v>
          </cell>
          <cell r="J4201">
            <v>46337</v>
          </cell>
          <cell r="K4201">
            <v>46359</v>
          </cell>
        </row>
        <row r="4202">
          <cell r="D4202" t="str">
            <v>MOD</v>
          </cell>
          <cell r="E4202" t="str">
            <v>VentBoom02</v>
          </cell>
          <cell r="F4202" t="str">
            <v>ST</v>
          </cell>
          <cell r="G4202" t="str">
            <v>FAB/SPL</v>
          </cell>
          <cell r="H4202" t="str">
            <v>01T</v>
          </cell>
          <cell r="J4202">
            <v>46338</v>
          </cell>
          <cell r="K4202">
            <v>46360</v>
          </cell>
        </row>
        <row r="4203">
          <cell r="J4203">
            <v>46331</v>
          </cell>
          <cell r="K4203">
            <v>46444</v>
          </cell>
        </row>
        <row r="4204">
          <cell r="D4204" t="str">
            <v>MOD</v>
          </cell>
          <cell r="E4204" t="str">
            <v>LOW02</v>
          </cell>
          <cell r="F4204" t="str">
            <v>ST</v>
          </cell>
          <cell r="G4204" t="str">
            <v>ASSY</v>
          </cell>
          <cell r="H4204" t="str">
            <v>01T</v>
          </cell>
          <cell r="J4204">
            <v>46331</v>
          </cell>
          <cell r="K4204">
            <v>46382</v>
          </cell>
        </row>
        <row r="4205">
          <cell r="D4205" t="str">
            <v>MOD</v>
          </cell>
          <cell r="E4205" t="str">
            <v>SUM02</v>
          </cell>
          <cell r="F4205" t="str">
            <v>ST</v>
          </cell>
          <cell r="G4205" t="str">
            <v>ASSY</v>
          </cell>
          <cell r="H4205" t="str">
            <v>01T</v>
          </cell>
          <cell r="J4205">
            <v>46337</v>
          </cell>
          <cell r="K4205">
            <v>46381</v>
          </cell>
        </row>
        <row r="4206">
          <cell r="D4206" t="str">
            <v>MOD</v>
          </cell>
          <cell r="E4206" t="str">
            <v>VentBoom02</v>
          </cell>
          <cell r="F4206" t="str">
            <v>ST</v>
          </cell>
          <cell r="G4206" t="str">
            <v>ASSY</v>
          </cell>
          <cell r="H4206" t="str">
            <v>01T</v>
          </cell>
          <cell r="J4206">
            <v>46361</v>
          </cell>
          <cell r="K4206">
            <v>46406</v>
          </cell>
        </row>
        <row r="4207">
          <cell r="D4207" t="str">
            <v>MOD</v>
          </cell>
          <cell r="E4207" t="str">
            <v>MEZ02</v>
          </cell>
          <cell r="F4207" t="str">
            <v>ST</v>
          </cell>
          <cell r="G4207" t="str">
            <v>ASSY</v>
          </cell>
          <cell r="H4207" t="str">
            <v>01T</v>
          </cell>
          <cell r="J4207">
            <v>46365</v>
          </cell>
          <cell r="K4207">
            <v>46410</v>
          </cell>
        </row>
        <row r="4208">
          <cell r="D4208" t="str">
            <v>MOD</v>
          </cell>
          <cell r="E4208" t="str">
            <v>UPP02</v>
          </cell>
          <cell r="F4208" t="str">
            <v>ST</v>
          </cell>
          <cell r="G4208" t="str">
            <v>ASSY</v>
          </cell>
          <cell r="H4208" t="str">
            <v>01T</v>
          </cell>
          <cell r="J4208">
            <v>46379</v>
          </cell>
          <cell r="K4208">
            <v>46444</v>
          </cell>
        </row>
        <row r="4209">
          <cell r="J4209">
            <v>46394</v>
          </cell>
          <cell r="K4209">
            <v>46568</v>
          </cell>
        </row>
        <row r="4210">
          <cell r="J4210">
            <v>46394</v>
          </cell>
          <cell r="K4210">
            <v>46461</v>
          </cell>
        </row>
        <row r="4211">
          <cell r="D4211" t="str">
            <v>MOD</v>
          </cell>
          <cell r="E4211" t="str">
            <v>Handrail</v>
          </cell>
          <cell r="F4211" t="str">
            <v>ST</v>
          </cell>
          <cell r="G4211" t="str">
            <v>FAB/SPL</v>
          </cell>
          <cell r="H4211" t="str">
            <v>01T</v>
          </cell>
          <cell r="J4211">
            <v>46394</v>
          </cell>
          <cell r="K4211">
            <v>46443</v>
          </cell>
        </row>
        <row r="4212">
          <cell r="D4212" t="str">
            <v>MOD</v>
          </cell>
          <cell r="E4212" t="str">
            <v>Solar</v>
          </cell>
          <cell r="F4212" t="str">
            <v>ST</v>
          </cell>
          <cell r="G4212" t="str">
            <v>FAB/SPL</v>
          </cell>
          <cell r="H4212" t="str">
            <v>01T</v>
          </cell>
          <cell r="J4212">
            <v>46402</v>
          </cell>
          <cell r="K4212">
            <v>46461</v>
          </cell>
        </row>
        <row r="4213">
          <cell r="D4213" t="str">
            <v>MOD</v>
          </cell>
          <cell r="E4213" t="str">
            <v>HSN</v>
          </cell>
          <cell r="F4213" t="str">
            <v>ST</v>
          </cell>
          <cell r="G4213" t="str">
            <v>FAB/SPL</v>
          </cell>
          <cell r="H4213" t="str">
            <v>01T</v>
          </cell>
          <cell r="J4213">
            <v>46438</v>
          </cell>
          <cell r="K4213">
            <v>46461</v>
          </cell>
        </row>
        <row r="4214">
          <cell r="D4214" t="str">
            <v>MOD</v>
          </cell>
          <cell r="E4214" t="str">
            <v>PNP</v>
          </cell>
          <cell r="F4214" t="str">
            <v>ST</v>
          </cell>
          <cell r="G4214" t="str">
            <v>FAB/SPL</v>
          </cell>
          <cell r="H4214" t="str">
            <v>01T</v>
          </cell>
          <cell r="J4214">
            <v>46438</v>
          </cell>
          <cell r="K4214">
            <v>46461</v>
          </cell>
        </row>
        <row r="4215">
          <cell r="J4215">
            <v>46433</v>
          </cell>
          <cell r="K4215">
            <v>46568</v>
          </cell>
        </row>
        <row r="4216">
          <cell r="D4216" t="str">
            <v>MOD</v>
          </cell>
          <cell r="E4216" t="str">
            <v>Grate</v>
          </cell>
          <cell r="F4216" t="str">
            <v>ST</v>
          </cell>
          <cell r="G4216" t="str">
            <v>ERECT</v>
          </cell>
          <cell r="H4216" t="str">
            <v>01T</v>
          </cell>
          <cell r="J4216">
            <v>46433</v>
          </cell>
          <cell r="K4216">
            <v>46522</v>
          </cell>
        </row>
        <row r="4217">
          <cell r="D4217" t="str">
            <v>MOD</v>
          </cell>
          <cell r="E4217" t="str">
            <v>Handrail</v>
          </cell>
          <cell r="F4217" t="str">
            <v>ST</v>
          </cell>
          <cell r="G4217" t="str">
            <v>ERECT</v>
          </cell>
          <cell r="H4217" t="str">
            <v>01T</v>
          </cell>
          <cell r="J4217">
            <v>46484</v>
          </cell>
          <cell r="K4217">
            <v>46556</v>
          </cell>
        </row>
        <row r="4218">
          <cell r="D4218" t="str">
            <v>MOD</v>
          </cell>
          <cell r="E4218" t="str">
            <v>Solar</v>
          </cell>
          <cell r="F4218" t="str">
            <v>ST</v>
          </cell>
          <cell r="G4218" t="str">
            <v>ERECT</v>
          </cell>
          <cell r="H4218" t="str">
            <v>01T</v>
          </cell>
          <cell r="J4218">
            <v>46540</v>
          </cell>
          <cell r="K4218">
            <v>46568</v>
          </cell>
        </row>
        <row r="4219">
          <cell r="D4219" t="str">
            <v>MOD</v>
          </cell>
          <cell r="E4219" t="str">
            <v>HSN</v>
          </cell>
          <cell r="F4219" t="str">
            <v>ST</v>
          </cell>
          <cell r="G4219" t="str">
            <v>ERECT</v>
          </cell>
          <cell r="H4219" t="str">
            <v>01T</v>
          </cell>
          <cell r="J4219">
            <v>46550</v>
          </cell>
          <cell r="K4219">
            <v>46568</v>
          </cell>
        </row>
        <row r="4220">
          <cell r="D4220" t="str">
            <v>MOD</v>
          </cell>
          <cell r="E4220" t="str">
            <v>PNP</v>
          </cell>
          <cell r="F4220" t="str">
            <v>ST</v>
          </cell>
          <cell r="G4220" t="str">
            <v>ERECT</v>
          </cell>
          <cell r="H4220" t="str">
            <v>01T</v>
          </cell>
          <cell r="J4220">
            <v>46550</v>
          </cell>
          <cell r="K4220">
            <v>46568</v>
          </cell>
        </row>
        <row r="4221">
          <cell r="J4221">
            <v>46433</v>
          </cell>
          <cell r="K4221">
            <v>46578</v>
          </cell>
        </row>
        <row r="4222">
          <cell r="J4222">
            <v>46433</v>
          </cell>
          <cell r="K4222">
            <v>46491</v>
          </cell>
        </row>
        <row r="4223">
          <cell r="D4223" t="str">
            <v>MOD</v>
          </cell>
          <cell r="E4223" t="str">
            <v>V-5001</v>
          </cell>
          <cell r="F4223" t="str">
            <v>MA</v>
          </cell>
          <cell r="G4223" t="str">
            <v>ERECT</v>
          </cell>
          <cell r="H4223" t="str">
            <v>01T</v>
          </cell>
          <cell r="J4223">
            <v>46433</v>
          </cell>
          <cell r="K4223">
            <v>46440</v>
          </cell>
        </row>
        <row r="4224">
          <cell r="D4224" t="str">
            <v>MOD</v>
          </cell>
          <cell r="E4224" t="str">
            <v>SK-5001</v>
          </cell>
          <cell r="F4224" t="str">
            <v>MA</v>
          </cell>
          <cell r="G4224" t="str">
            <v>ERECT</v>
          </cell>
          <cell r="H4224" t="str">
            <v>01T</v>
          </cell>
          <cell r="J4224">
            <v>46480</v>
          </cell>
          <cell r="K4224">
            <v>46483</v>
          </cell>
        </row>
        <row r="4225">
          <cell r="J4225">
            <v>46447</v>
          </cell>
          <cell r="K4225">
            <v>46494</v>
          </cell>
        </row>
        <row r="4226">
          <cell r="D4226" t="str">
            <v>MOD</v>
          </cell>
          <cell r="E4226" t="str">
            <v>V-3001</v>
          </cell>
          <cell r="F4226" t="str">
            <v>MA</v>
          </cell>
          <cell r="G4226" t="str">
            <v>ERECT</v>
          </cell>
          <cell r="H4226" t="str">
            <v>01T</v>
          </cell>
          <cell r="J4226">
            <v>46447</v>
          </cell>
          <cell r="K4226">
            <v>46448</v>
          </cell>
        </row>
        <row r="4227">
          <cell r="D4227" t="str">
            <v>MOD</v>
          </cell>
          <cell r="E4227" t="str">
            <v>V-01001</v>
          </cell>
          <cell r="F4227" t="str">
            <v>MA</v>
          </cell>
          <cell r="G4227" t="str">
            <v>ERECT</v>
          </cell>
          <cell r="H4227" t="str">
            <v>01T</v>
          </cell>
          <cell r="J4227">
            <v>46451</v>
          </cell>
          <cell r="K4227">
            <v>46458</v>
          </cell>
        </row>
        <row r="4228">
          <cell r="D4228" t="str">
            <v>MOD</v>
          </cell>
          <cell r="E4228" t="str">
            <v>SK9001</v>
          </cell>
          <cell r="F4228" t="str">
            <v>MA</v>
          </cell>
          <cell r="G4228" t="str">
            <v>ERECT</v>
          </cell>
          <cell r="H4228" t="str">
            <v>01T</v>
          </cell>
          <cell r="J4228">
            <v>46454</v>
          </cell>
          <cell r="K4228">
            <v>46461</v>
          </cell>
        </row>
        <row r="4229">
          <cell r="D4229" t="str">
            <v>MOD</v>
          </cell>
          <cell r="E4229" t="str">
            <v>SK7001</v>
          </cell>
          <cell r="F4229" t="str">
            <v>MA</v>
          </cell>
          <cell r="G4229" t="str">
            <v>ERECT</v>
          </cell>
          <cell r="H4229" t="str">
            <v>01T</v>
          </cell>
          <cell r="J4229">
            <v>46487</v>
          </cell>
          <cell r="K4229">
            <v>46494</v>
          </cell>
        </row>
        <row r="4230">
          <cell r="J4230">
            <v>46469</v>
          </cell>
          <cell r="K4230">
            <v>46484</v>
          </cell>
        </row>
        <row r="4231">
          <cell r="D4231" t="str">
            <v>MOD</v>
          </cell>
          <cell r="E4231" t="str">
            <v>PL2001</v>
          </cell>
          <cell r="F4231" t="str">
            <v>MA</v>
          </cell>
          <cell r="G4231" t="str">
            <v>ERECT</v>
          </cell>
          <cell r="H4231" t="str">
            <v>01T</v>
          </cell>
          <cell r="J4231">
            <v>46469</v>
          </cell>
          <cell r="K4231">
            <v>46471</v>
          </cell>
        </row>
        <row r="4232">
          <cell r="D4232" t="str">
            <v>MOD</v>
          </cell>
          <cell r="E4232" t="str">
            <v>T7001</v>
          </cell>
          <cell r="F4232" t="str">
            <v>MA</v>
          </cell>
          <cell r="G4232" t="str">
            <v>ERECT</v>
          </cell>
          <cell r="H4232" t="str">
            <v>01T</v>
          </cell>
          <cell r="J4232">
            <v>46473</v>
          </cell>
          <cell r="K4232">
            <v>46483</v>
          </cell>
        </row>
        <row r="4233">
          <cell r="D4233" t="str">
            <v>MOD</v>
          </cell>
          <cell r="E4233" t="str">
            <v>T-9001</v>
          </cell>
          <cell r="F4233" t="str">
            <v>MA</v>
          </cell>
          <cell r="G4233" t="str">
            <v>ERECT</v>
          </cell>
          <cell r="H4233" t="str">
            <v>01T</v>
          </cell>
          <cell r="J4233">
            <v>46473</v>
          </cell>
          <cell r="K4233">
            <v>46483</v>
          </cell>
        </row>
        <row r="4234">
          <cell r="D4234" t="str">
            <v>MOD</v>
          </cell>
          <cell r="E4234" t="str">
            <v>T7003</v>
          </cell>
          <cell r="F4234" t="str">
            <v>MA</v>
          </cell>
          <cell r="G4234" t="str">
            <v>ERECT</v>
          </cell>
          <cell r="H4234" t="str">
            <v>01T</v>
          </cell>
          <cell r="J4234">
            <v>46475</v>
          </cell>
          <cell r="K4234">
            <v>46484</v>
          </cell>
        </row>
        <row r="4235">
          <cell r="J4235">
            <v>46517</v>
          </cell>
          <cell r="K4235">
            <v>46574</v>
          </cell>
        </row>
        <row r="4236">
          <cell r="D4236" t="str">
            <v>MOD</v>
          </cell>
          <cell r="E4236" t="str">
            <v>07x/9x</v>
          </cell>
          <cell r="F4236" t="str">
            <v>MA</v>
          </cell>
          <cell r="G4236" t="str">
            <v>ERECT</v>
          </cell>
          <cell r="H4236" t="str">
            <v>01T</v>
          </cell>
          <cell r="J4236">
            <v>46517</v>
          </cell>
          <cell r="K4236">
            <v>46518</v>
          </cell>
        </row>
        <row r="4237">
          <cell r="D4237" t="str">
            <v>MOD</v>
          </cell>
          <cell r="E4237" t="str">
            <v>CR7001</v>
          </cell>
          <cell r="F4237" t="str">
            <v>MA</v>
          </cell>
          <cell r="G4237" t="str">
            <v>ERECT</v>
          </cell>
          <cell r="H4237" t="str">
            <v>01T</v>
          </cell>
          <cell r="J4237">
            <v>46543</v>
          </cell>
          <cell r="K4237">
            <v>46574</v>
          </cell>
        </row>
        <row r="4238">
          <cell r="J4238">
            <v>46359</v>
          </cell>
          <cell r="K4238">
            <v>46538</v>
          </cell>
        </row>
        <row r="4239">
          <cell r="D4239" t="str">
            <v>MOD</v>
          </cell>
          <cell r="E4239" t="str">
            <v>SUPP</v>
          </cell>
          <cell r="F4239" t="str">
            <v>PI</v>
          </cell>
          <cell r="G4239" t="str">
            <v>FAB/SPL</v>
          </cell>
          <cell r="H4239" t="str">
            <v>01T</v>
          </cell>
          <cell r="J4239">
            <v>46359</v>
          </cell>
          <cell r="K4239">
            <v>46450</v>
          </cell>
        </row>
        <row r="4240">
          <cell r="D4240" t="str">
            <v>MOD</v>
          </cell>
          <cell r="E4240" t="str">
            <v>SUPP</v>
          </cell>
          <cell r="F4240" t="str">
            <v>PI</v>
          </cell>
          <cell r="G4240" t="str">
            <v>ERECT</v>
          </cell>
          <cell r="H4240" t="str">
            <v>01T</v>
          </cell>
          <cell r="J4240">
            <v>46380</v>
          </cell>
          <cell r="K4240">
            <v>46496</v>
          </cell>
        </row>
        <row r="4241">
          <cell r="D4241" t="str">
            <v>MOD</v>
          </cell>
          <cell r="E4241" t="str">
            <v>PIPE</v>
          </cell>
          <cell r="F4241" t="str">
            <v>PI</v>
          </cell>
          <cell r="G4241" t="str">
            <v>FAB/SPL</v>
          </cell>
          <cell r="H4241" t="str">
            <v>01T</v>
          </cell>
          <cell r="J4241">
            <v>46385</v>
          </cell>
          <cell r="K4241">
            <v>46494</v>
          </cell>
        </row>
        <row r="4242">
          <cell r="D4242" t="str">
            <v>MOD</v>
          </cell>
          <cell r="E4242" t="str">
            <v>PIPE</v>
          </cell>
          <cell r="F4242" t="str">
            <v>PI</v>
          </cell>
          <cell r="G4242" t="str">
            <v>ERECT</v>
          </cell>
          <cell r="H4242" t="str">
            <v>01T</v>
          </cell>
          <cell r="J4242">
            <v>46422</v>
          </cell>
          <cell r="K4242">
            <v>46538</v>
          </cell>
        </row>
        <row r="4243">
          <cell r="J4243">
            <v>46385</v>
          </cell>
          <cell r="K4243">
            <v>46546</v>
          </cell>
        </row>
        <row r="4244">
          <cell r="D4244" t="str">
            <v>MOD</v>
          </cell>
          <cell r="E4244" t="str">
            <v>RISER</v>
          </cell>
          <cell r="F4244" t="str">
            <v>PI</v>
          </cell>
          <cell r="G4244" t="str">
            <v>FAB/SPL</v>
          </cell>
          <cell r="H4244" t="str">
            <v>01T</v>
          </cell>
          <cell r="J4244">
            <v>46385</v>
          </cell>
          <cell r="K4244">
            <v>46489</v>
          </cell>
        </row>
        <row r="4245">
          <cell r="D4245" t="str">
            <v>MOD</v>
          </cell>
          <cell r="E4245" t="str">
            <v>RISER</v>
          </cell>
          <cell r="F4245" t="str">
            <v>PI</v>
          </cell>
          <cell r="G4245" t="str">
            <v>ERECT</v>
          </cell>
          <cell r="H4245" t="str">
            <v>01T</v>
          </cell>
          <cell r="J4245">
            <v>46486</v>
          </cell>
          <cell r="K4245">
            <v>46546</v>
          </cell>
        </row>
        <row r="4246">
          <cell r="J4246">
            <v>46336</v>
          </cell>
          <cell r="K4246">
            <v>46575</v>
          </cell>
        </row>
        <row r="4247">
          <cell r="J4247">
            <v>46336</v>
          </cell>
          <cell r="K4247">
            <v>46476</v>
          </cell>
        </row>
        <row r="4248">
          <cell r="D4248" t="str">
            <v>MOD</v>
          </cell>
          <cell r="E4248" t="str">
            <v>SUPP</v>
          </cell>
          <cell r="F4248" t="str">
            <v>EL</v>
          </cell>
          <cell r="G4248" t="str">
            <v>FAB/SPL</v>
          </cell>
          <cell r="H4248" t="str">
            <v>01T</v>
          </cell>
          <cell r="J4248">
            <v>46336</v>
          </cell>
          <cell r="K4248">
            <v>46392</v>
          </cell>
        </row>
        <row r="4249">
          <cell r="D4249" t="str">
            <v>MOD</v>
          </cell>
          <cell r="E4249" t="str">
            <v>SUPP</v>
          </cell>
          <cell r="F4249" t="str">
            <v>EL</v>
          </cell>
          <cell r="G4249" t="str">
            <v>ERECT</v>
          </cell>
          <cell r="H4249" t="str">
            <v>01T</v>
          </cell>
          <cell r="J4249">
            <v>46357</v>
          </cell>
          <cell r="K4249">
            <v>46459</v>
          </cell>
        </row>
        <row r="4250">
          <cell r="J4250">
            <v>46433</v>
          </cell>
          <cell r="K4250">
            <v>46583</v>
          </cell>
        </row>
        <row r="4251">
          <cell r="D4251" t="str">
            <v>MOD</v>
          </cell>
          <cell r="E4251" t="str">
            <v>TRARY</v>
          </cell>
          <cell r="F4251" t="str">
            <v>EL</v>
          </cell>
          <cell r="G4251" t="str">
            <v>ERECT</v>
          </cell>
          <cell r="H4251" t="str">
            <v>01T</v>
          </cell>
          <cell r="J4251">
            <v>46433</v>
          </cell>
          <cell r="K4251">
            <v>46510</v>
          </cell>
        </row>
        <row r="4252">
          <cell r="D4252" t="str">
            <v>MOD</v>
          </cell>
          <cell r="E4252" t="str">
            <v>CABLE</v>
          </cell>
          <cell r="F4252" t="str">
            <v>EL</v>
          </cell>
          <cell r="G4252" t="str">
            <v>ERECT</v>
          </cell>
          <cell r="H4252" t="str">
            <v>01T</v>
          </cell>
          <cell r="J4252">
            <v>46490</v>
          </cell>
          <cell r="K4252">
            <v>46562</v>
          </cell>
        </row>
        <row r="4253">
          <cell r="D4253" t="str">
            <v>MOD</v>
          </cell>
          <cell r="E4253" t="str">
            <v>GLAND</v>
          </cell>
          <cell r="F4253" t="str">
            <v>EL</v>
          </cell>
          <cell r="G4253" t="str">
            <v>ERECT</v>
          </cell>
          <cell r="H4253" t="str">
            <v>01T</v>
          </cell>
          <cell r="J4253">
            <v>46512</v>
          </cell>
          <cell r="K4253">
            <v>46569</v>
          </cell>
        </row>
        <row r="4254">
          <cell r="D4254" t="str">
            <v>MOD</v>
          </cell>
          <cell r="E4254" t="str">
            <v>TERM</v>
          </cell>
          <cell r="F4254" t="str">
            <v>EL</v>
          </cell>
          <cell r="G4254" t="str">
            <v>ERECT</v>
          </cell>
          <cell r="H4254" t="str">
            <v>01T</v>
          </cell>
          <cell r="J4254">
            <v>46526</v>
          </cell>
          <cell r="K4254">
            <v>46583</v>
          </cell>
        </row>
        <row r="4255">
          <cell r="J4255">
            <v>46470</v>
          </cell>
          <cell r="K4255">
            <v>46576</v>
          </cell>
        </row>
        <row r="4256">
          <cell r="D4256" t="str">
            <v>MOD</v>
          </cell>
          <cell r="E4256" t="str">
            <v>EQUIP</v>
          </cell>
          <cell r="F4256" t="str">
            <v>EL</v>
          </cell>
          <cell r="G4256" t="str">
            <v>ERECT</v>
          </cell>
          <cell r="H4256" t="str">
            <v>01T</v>
          </cell>
          <cell r="J4256">
            <v>46470</v>
          </cell>
          <cell r="K4256">
            <v>46542</v>
          </cell>
        </row>
        <row r="4257">
          <cell r="D4257" t="str">
            <v>MOD</v>
          </cell>
          <cell r="E4257" t="str">
            <v>EIRoom</v>
          </cell>
          <cell r="F4257" t="str">
            <v>EL</v>
          </cell>
          <cell r="G4257" t="str">
            <v>ERECT</v>
          </cell>
          <cell r="H4257" t="str">
            <v>01T</v>
          </cell>
          <cell r="J4257">
            <v>46484</v>
          </cell>
          <cell r="K4257">
            <v>46506</v>
          </cell>
        </row>
        <row r="4258">
          <cell r="D4258" t="str">
            <v>MOD</v>
          </cell>
          <cell r="E4258" t="str">
            <v>LIGHT</v>
          </cell>
          <cell r="F4258" t="str">
            <v>EL</v>
          </cell>
          <cell r="G4258" t="str">
            <v>ERECT</v>
          </cell>
          <cell r="H4258" t="str">
            <v>01T</v>
          </cell>
          <cell r="J4258">
            <v>46487</v>
          </cell>
          <cell r="K4258">
            <v>46548</v>
          </cell>
        </row>
        <row r="4259">
          <cell r="D4259" t="str">
            <v>MOD</v>
          </cell>
          <cell r="E4259" t="str">
            <v>Solar</v>
          </cell>
          <cell r="F4259" t="str">
            <v>EL</v>
          </cell>
          <cell r="G4259" t="str">
            <v>ERECT</v>
          </cell>
          <cell r="H4259" t="str">
            <v>01T</v>
          </cell>
          <cell r="J4259">
            <v>46568</v>
          </cell>
          <cell r="K4259">
            <v>46576</v>
          </cell>
        </row>
        <row r="4260">
          <cell r="J4260">
            <v>46336</v>
          </cell>
          <cell r="K4260">
            <v>46588</v>
          </cell>
        </row>
        <row r="4261">
          <cell r="J4261">
            <v>46336</v>
          </cell>
          <cell r="K4261">
            <v>46480</v>
          </cell>
        </row>
        <row r="4262">
          <cell r="D4262" t="str">
            <v>MOD</v>
          </cell>
          <cell r="E4262" t="str">
            <v>SUPP</v>
          </cell>
          <cell r="F4262" t="str">
            <v>IN</v>
          </cell>
          <cell r="G4262" t="str">
            <v>FAB/SPL</v>
          </cell>
          <cell r="H4262" t="str">
            <v>01T</v>
          </cell>
          <cell r="J4262">
            <v>46357</v>
          </cell>
          <cell r="K4262">
            <v>46413</v>
          </cell>
        </row>
        <row r="4263">
          <cell r="D4263" t="str">
            <v>MOD</v>
          </cell>
          <cell r="E4263" t="str">
            <v>SUPP</v>
          </cell>
          <cell r="F4263" t="str">
            <v>IN</v>
          </cell>
          <cell r="G4263" t="str">
            <v>ERECT</v>
          </cell>
          <cell r="H4263" t="str">
            <v>01T</v>
          </cell>
          <cell r="J4263">
            <v>46379</v>
          </cell>
          <cell r="K4263">
            <v>46499</v>
          </cell>
        </row>
        <row r="4264">
          <cell r="J4264">
            <v>46441</v>
          </cell>
          <cell r="K4264">
            <v>46577</v>
          </cell>
        </row>
        <row r="4265">
          <cell r="D4265" t="str">
            <v>MOD</v>
          </cell>
          <cell r="E4265" t="str">
            <v>TRARY</v>
          </cell>
          <cell r="F4265" t="str">
            <v>IN</v>
          </cell>
          <cell r="G4265" t="str">
            <v>ERECT</v>
          </cell>
          <cell r="H4265" t="str">
            <v>01T</v>
          </cell>
          <cell r="J4265">
            <v>46441</v>
          </cell>
          <cell r="K4265">
            <v>46517</v>
          </cell>
        </row>
        <row r="4266">
          <cell r="D4266" t="str">
            <v>MOD</v>
          </cell>
          <cell r="E4266" t="str">
            <v>CABLE</v>
          </cell>
          <cell r="F4266" t="str">
            <v>IN</v>
          </cell>
          <cell r="G4266" t="str">
            <v>ERECT</v>
          </cell>
          <cell r="H4266" t="str">
            <v>01T</v>
          </cell>
          <cell r="J4266">
            <v>46504</v>
          </cell>
          <cell r="K4266">
            <v>46570</v>
          </cell>
        </row>
        <row r="4267">
          <cell r="D4267" t="str">
            <v>MOD</v>
          </cell>
          <cell r="E4267" t="str">
            <v>GLAND</v>
          </cell>
          <cell r="F4267" t="str">
            <v>IN</v>
          </cell>
          <cell r="G4267" t="str">
            <v>ERECT</v>
          </cell>
          <cell r="H4267" t="str">
            <v>01T</v>
          </cell>
          <cell r="J4267">
            <v>46515</v>
          </cell>
          <cell r="K4267">
            <v>46573</v>
          </cell>
        </row>
        <row r="4268">
          <cell r="D4268" t="str">
            <v>MOD</v>
          </cell>
          <cell r="E4268" t="str">
            <v>TERM</v>
          </cell>
          <cell r="F4268" t="str">
            <v>IN</v>
          </cell>
          <cell r="G4268" t="str">
            <v>ERECT</v>
          </cell>
          <cell r="H4268" t="str">
            <v>01T</v>
          </cell>
          <cell r="J4268">
            <v>46520</v>
          </cell>
          <cell r="K4268">
            <v>46577</v>
          </cell>
        </row>
        <row r="4269">
          <cell r="D4269" t="str">
            <v>MOD</v>
          </cell>
          <cell r="E4269" t="str">
            <v>TUBE</v>
          </cell>
          <cell r="F4269" t="str">
            <v>IN</v>
          </cell>
          <cell r="G4269" t="str">
            <v>ERECT</v>
          </cell>
          <cell r="H4269" t="str">
            <v>01T</v>
          </cell>
          <cell r="J4269">
            <v>46534</v>
          </cell>
          <cell r="K4269">
            <v>46577</v>
          </cell>
        </row>
        <row r="4270">
          <cell r="J4270">
            <v>46471</v>
          </cell>
          <cell r="K4270">
            <v>46563</v>
          </cell>
        </row>
        <row r="4271">
          <cell r="D4271" t="str">
            <v>MOD</v>
          </cell>
          <cell r="E4271" t="str">
            <v>PANEL</v>
          </cell>
          <cell r="F4271" t="str">
            <v>IN</v>
          </cell>
          <cell r="G4271" t="str">
            <v>ERECT</v>
          </cell>
          <cell r="H4271" t="str">
            <v>01T</v>
          </cell>
          <cell r="J4271">
            <v>46471</v>
          </cell>
          <cell r="K4271">
            <v>46542</v>
          </cell>
        </row>
        <row r="4272">
          <cell r="D4272" t="str">
            <v>MOD</v>
          </cell>
          <cell r="E4272" t="str">
            <v>CALIB</v>
          </cell>
          <cell r="F4272" t="str">
            <v>IN</v>
          </cell>
          <cell r="G4272" t="str">
            <v>ERECT</v>
          </cell>
          <cell r="H4272" t="str">
            <v>01T</v>
          </cell>
          <cell r="J4272">
            <v>46476</v>
          </cell>
          <cell r="K4272">
            <v>46549</v>
          </cell>
        </row>
        <row r="4273">
          <cell r="D4273" t="str">
            <v>MOD</v>
          </cell>
          <cell r="E4273" t="str">
            <v>EQUIP</v>
          </cell>
          <cell r="F4273" t="str">
            <v>IN</v>
          </cell>
          <cell r="G4273" t="str">
            <v>ERECT</v>
          </cell>
          <cell r="H4273" t="str">
            <v>01T</v>
          </cell>
          <cell r="J4273">
            <v>46491</v>
          </cell>
          <cell r="K4273">
            <v>46563</v>
          </cell>
        </row>
        <row r="4274">
          <cell r="J4274">
            <v>46336</v>
          </cell>
          <cell r="K4274">
            <v>46557</v>
          </cell>
        </row>
        <row r="4275">
          <cell r="J4275">
            <v>46336</v>
          </cell>
          <cell r="K4275">
            <v>46480</v>
          </cell>
        </row>
        <row r="4276">
          <cell r="D4276" t="str">
            <v>MOD</v>
          </cell>
          <cell r="E4276" t="str">
            <v>SUPP</v>
          </cell>
          <cell r="F4276" t="str">
            <v>TELE</v>
          </cell>
          <cell r="G4276" t="str">
            <v>FAB/SPL</v>
          </cell>
          <cell r="H4276" t="str">
            <v>01T</v>
          </cell>
          <cell r="J4276">
            <v>46357</v>
          </cell>
          <cell r="K4276">
            <v>46413</v>
          </cell>
        </row>
        <row r="4277">
          <cell r="D4277" t="str">
            <v>MOD</v>
          </cell>
          <cell r="E4277" t="str">
            <v>SUPP</v>
          </cell>
          <cell r="F4277" t="str">
            <v>TELE</v>
          </cell>
          <cell r="G4277" t="str">
            <v>ERECT</v>
          </cell>
          <cell r="H4277" t="str">
            <v>01T</v>
          </cell>
          <cell r="J4277">
            <v>46379</v>
          </cell>
          <cell r="K4277">
            <v>46483</v>
          </cell>
        </row>
        <row r="4278">
          <cell r="J4278">
            <v>46433</v>
          </cell>
          <cell r="K4278">
            <v>46569</v>
          </cell>
        </row>
        <row r="4279">
          <cell r="D4279" t="str">
            <v>MOD</v>
          </cell>
          <cell r="E4279" t="str">
            <v>TRARY</v>
          </cell>
          <cell r="F4279" t="str">
            <v>TELE</v>
          </cell>
          <cell r="G4279" t="str">
            <v>ERECT</v>
          </cell>
          <cell r="H4279" t="str">
            <v>01T</v>
          </cell>
          <cell r="J4279">
            <v>46433</v>
          </cell>
          <cell r="K4279">
            <v>46507</v>
          </cell>
        </row>
        <row r="4280">
          <cell r="D4280" t="str">
            <v>MOD</v>
          </cell>
          <cell r="E4280" t="str">
            <v>CABLE</v>
          </cell>
          <cell r="F4280" t="str">
            <v>TELE</v>
          </cell>
          <cell r="G4280" t="str">
            <v>ERECT</v>
          </cell>
          <cell r="H4280" t="str">
            <v>01T</v>
          </cell>
          <cell r="J4280">
            <v>46490</v>
          </cell>
          <cell r="K4280">
            <v>46553</v>
          </cell>
        </row>
        <row r="4281">
          <cell r="D4281" t="str">
            <v>MOD</v>
          </cell>
          <cell r="E4281" t="str">
            <v>GLAND</v>
          </cell>
          <cell r="F4281" t="str">
            <v>TELE</v>
          </cell>
          <cell r="G4281" t="str">
            <v>ERECT</v>
          </cell>
          <cell r="H4281" t="str">
            <v>01T</v>
          </cell>
          <cell r="J4281">
            <v>46510</v>
          </cell>
          <cell r="K4281">
            <v>46567</v>
          </cell>
        </row>
        <row r="4282">
          <cell r="D4282" t="str">
            <v>MOD</v>
          </cell>
          <cell r="E4282" t="str">
            <v>TERM</v>
          </cell>
          <cell r="F4282" t="str">
            <v>TELE</v>
          </cell>
          <cell r="G4282" t="str">
            <v>ERECT</v>
          </cell>
          <cell r="H4282" t="str">
            <v>01T</v>
          </cell>
          <cell r="J4282">
            <v>46512</v>
          </cell>
          <cell r="K4282">
            <v>46569</v>
          </cell>
        </row>
        <row r="4283">
          <cell r="J4283">
            <v>46456</v>
          </cell>
          <cell r="K4283">
            <v>46527</v>
          </cell>
        </row>
        <row r="4284">
          <cell r="D4284" t="str">
            <v>MOD</v>
          </cell>
          <cell r="E4284" t="str">
            <v>EQUIP</v>
          </cell>
          <cell r="F4284" t="str">
            <v>TELE</v>
          </cell>
          <cell r="G4284" t="str">
            <v>ERECT</v>
          </cell>
          <cell r="H4284" t="str">
            <v>01T</v>
          </cell>
          <cell r="J4284">
            <v>46456</v>
          </cell>
          <cell r="K4284">
            <v>46527</v>
          </cell>
        </row>
        <row r="4285">
          <cell r="J4285">
            <v>46414</v>
          </cell>
          <cell r="K4285">
            <v>46563</v>
          </cell>
        </row>
        <row r="4286">
          <cell r="D4286" t="str">
            <v>MOD</v>
          </cell>
          <cell r="E4286" t="str">
            <v>SUPP</v>
          </cell>
          <cell r="F4286" t="str">
            <v>SA</v>
          </cell>
          <cell r="G4286" t="str">
            <v>FAB/SPL</v>
          </cell>
          <cell r="H4286" t="str">
            <v>01T</v>
          </cell>
          <cell r="J4286">
            <v>46414</v>
          </cell>
          <cell r="K4286">
            <v>46457</v>
          </cell>
        </row>
        <row r="4287">
          <cell r="D4287" t="str">
            <v>MOD</v>
          </cell>
          <cell r="E4287" t="str">
            <v>SUPP</v>
          </cell>
          <cell r="F4287" t="str">
            <v>SA</v>
          </cell>
          <cell r="G4287" t="str">
            <v>ERECT</v>
          </cell>
          <cell r="H4287" t="str">
            <v>01T</v>
          </cell>
          <cell r="J4287">
            <v>46458</v>
          </cell>
          <cell r="K4287">
            <v>46493</v>
          </cell>
        </row>
        <row r="4288">
          <cell r="D4288" t="str">
            <v>MOD</v>
          </cell>
          <cell r="E4288" t="str">
            <v>SAFET</v>
          </cell>
          <cell r="F4288" t="str">
            <v>SA</v>
          </cell>
          <cell r="G4288" t="str">
            <v>ERECT</v>
          </cell>
          <cell r="H4288" t="str">
            <v>01T</v>
          </cell>
          <cell r="J4288">
            <v>46505</v>
          </cell>
          <cell r="K4288">
            <v>46563</v>
          </cell>
        </row>
        <row r="4289">
          <cell r="J4289">
            <v>46333</v>
          </cell>
          <cell r="K4289">
            <v>46601</v>
          </cell>
        </row>
        <row r="4290">
          <cell r="J4290">
            <v>46356</v>
          </cell>
          <cell r="K4290">
            <v>46531</v>
          </cell>
        </row>
        <row r="4291">
          <cell r="D4291" t="str">
            <v>MOD</v>
          </cell>
          <cell r="E4291" t="str">
            <v>CLOMN</v>
          </cell>
          <cell r="F4291" t="str">
            <v>CC</v>
          </cell>
          <cell r="G4291" t="str">
            <v>COAT</v>
          </cell>
          <cell r="H4291" t="str">
            <v>01T</v>
          </cell>
          <cell r="J4291">
            <v>46356</v>
          </cell>
          <cell r="K4291">
            <v>46372</v>
          </cell>
        </row>
        <row r="4292">
          <cell r="D4292" t="str">
            <v>MOD</v>
          </cell>
          <cell r="E4292" t="str">
            <v>SUM01</v>
          </cell>
          <cell r="F4292" t="str">
            <v>CC</v>
          </cell>
          <cell r="G4292" t="str">
            <v>COAT</v>
          </cell>
          <cell r="H4292" t="str">
            <v>01T</v>
          </cell>
          <cell r="J4292">
            <v>46381</v>
          </cell>
          <cell r="K4292">
            <v>46400</v>
          </cell>
        </row>
        <row r="4293">
          <cell r="D4293" t="str">
            <v>MOD</v>
          </cell>
          <cell r="E4293" t="str">
            <v>LOW01</v>
          </cell>
          <cell r="F4293" t="str">
            <v>CC</v>
          </cell>
          <cell r="G4293" t="str">
            <v>COAT</v>
          </cell>
          <cell r="H4293" t="str">
            <v>01T</v>
          </cell>
          <cell r="J4293">
            <v>46384</v>
          </cell>
          <cell r="K4293">
            <v>46407</v>
          </cell>
        </row>
        <row r="4294">
          <cell r="D4294" t="str">
            <v>MOD</v>
          </cell>
          <cell r="E4294" t="str">
            <v>Handrail</v>
          </cell>
          <cell r="F4294" t="str">
            <v>CC</v>
          </cell>
          <cell r="G4294" t="str">
            <v>COAT</v>
          </cell>
          <cell r="H4294" t="str">
            <v>01T</v>
          </cell>
          <cell r="J4294">
            <v>46406</v>
          </cell>
          <cell r="K4294">
            <v>46455</v>
          </cell>
        </row>
        <row r="4295">
          <cell r="D4295" t="str">
            <v>MOD</v>
          </cell>
          <cell r="E4295" t="str">
            <v>MEZ01</v>
          </cell>
          <cell r="F4295" t="str">
            <v>CC</v>
          </cell>
          <cell r="G4295" t="str">
            <v>COAT</v>
          </cell>
          <cell r="H4295" t="str">
            <v>01T</v>
          </cell>
          <cell r="J4295">
            <v>46410</v>
          </cell>
          <cell r="K4295">
            <v>46437</v>
          </cell>
        </row>
        <row r="4296">
          <cell r="D4296" t="str">
            <v>MOD</v>
          </cell>
          <cell r="E4296" t="str">
            <v>UPP01</v>
          </cell>
          <cell r="F4296" t="str">
            <v>CC</v>
          </cell>
          <cell r="G4296" t="str">
            <v>COAT</v>
          </cell>
          <cell r="H4296" t="str">
            <v>01T</v>
          </cell>
          <cell r="J4296">
            <v>46445</v>
          </cell>
          <cell r="K4296">
            <v>46468</v>
          </cell>
        </row>
        <row r="4297">
          <cell r="D4297" t="str">
            <v>MOD</v>
          </cell>
          <cell r="E4297" t="str">
            <v>VentBoom01</v>
          </cell>
          <cell r="F4297" t="str">
            <v>CC</v>
          </cell>
          <cell r="G4297" t="str">
            <v>COAT</v>
          </cell>
          <cell r="H4297" t="str">
            <v>01T</v>
          </cell>
          <cell r="J4297">
            <v>46472</v>
          </cell>
          <cell r="K4297">
            <v>46490</v>
          </cell>
        </row>
        <row r="4298">
          <cell r="D4298" t="str">
            <v>MOD</v>
          </cell>
          <cell r="E4298" t="str">
            <v>Solar</v>
          </cell>
          <cell r="F4298" t="str">
            <v>CC</v>
          </cell>
          <cell r="G4298" t="str">
            <v>COAT</v>
          </cell>
          <cell r="H4298" t="str">
            <v>01T</v>
          </cell>
          <cell r="J4298">
            <v>46480</v>
          </cell>
          <cell r="K4298">
            <v>46531</v>
          </cell>
        </row>
        <row r="4299">
          <cell r="D4299" t="str">
            <v>MOD</v>
          </cell>
          <cell r="E4299" t="str">
            <v>HSN</v>
          </cell>
          <cell r="F4299" t="str">
            <v>CC</v>
          </cell>
          <cell r="G4299" t="str">
            <v>COAT</v>
          </cell>
          <cell r="H4299" t="str">
            <v>01T</v>
          </cell>
          <cell r="J4299">
            <v>46514</v>
          </cell>
          <cell r="K4299">
            <v>46531</v>
          </cell>
        </row>
        <row r="4300">
          <cell r="D4300" t="str">
            <v>MOD</v>
          </cell>
          <cell r="E4300" t="str">
            <v>PNP</v>
          </cell>
          <cell r="F4300" t="str">
            <v>CC</v>
          </cell>
          <cell r="G4300" t="str">
            <v>COAT</v>
          </cell>
          <cell r="H4300" t="str">
            <v>01T</v>
          </cell>
          <cell r="J4300">
            <v>46514</v>
          </cell>
          <cell r="K4300">
            <v>46531</v>
          </cell>
        </row>
        <row r="4301">
          <cell r="J4301">
            <v>46367</v>
          </cell>
          <cell r="K4301">
            <v>46518</v>
          </cell>
        </row>
        <row r="4302">
          <cell r="D4302" t="str">
            <v>MOD</v>
          </cell>
          <cell r="E4302" t="str">
            <v>SUPP</v>
          </cell>
          <cell r="F4302" t="str">
            <v>PI</v>
          </cell>
          <cell r="G4302" t="str">
            <v>COAT</v>
          </cell>
          <cell r="H4302" t="str">
            <v>01T</v>
          </cell>
          <cell r="J4302">
            <v>46367</v>
          </cell>
          <cell r="K4302">
            <v>46487</v>
          </cell>
        </row>
        <row r="4303">
          <cell r="D4303" t="str">
            <v>MOD</v>
          </cell>
          <cell r="E4303" t="str">
            <v>PIPE</v>
          </cell>
          <cell r="F4303" t="str">
            <v>CC</v>
          </cell>
          <cell r="G4303" t="str">
            <v>COAT</v>
          </cell>
          <cell r="H4303" t="str">
            <v>01T</v>
          </cell>
          <cell r="J4303">
            <v>46414</v>
          </cell>
          <cell r="K4303">
            <v>46518</v>
          </cell>
        </row>
        <row r="4304">
          <cell r="J4304">
            <v>46351</v>
          </cell>
          <cell r="K4304">
            <v>46494</v>
          </cell>
        </row>
        <row r="4305">
          <cell r="D4305" t="str">
            <v>MOD</v>
          </cell>
          <cell r="E4305" t="str">
            <v>SUPP</v>
          </cell>
          <cell r="F4305" t="str">
            <v>EL</v>
          </cell>
          <cell r="G4305" t="str">
            <v>COAT</v>
          </cell>
          <cell r="H4305" t="str">
            <v>01T</v>
          </cell>
          <cell r="J4305">
            <v>46351</v>
          </cell>
          <cell r="K4305">
            <v>46410</v>
          </cell>
        </row>
        <row r="4306">
          <cell r="D4306" t="str">
            <v>MOD</v>
          </cell>
          <cell r="E4306" t="str">
            <v>SUPP</v>
          </cell>
          <cell r="F4306" t="str">
            <v>TELE</v>
          </cell>
          <cell r="G4306" t="str">
            <v>COAT</v>
          </cell>
          <cell r="H4306" t="str">
            <v>01T</v>
          </cell>
          <cell r="J4306">
            <v>46371</v>
          </cell>
          <cell r="K4306">
            <v>46434</v>
          </cell>
        </row>
        <row r="4307">
          <cell r="D4307" t="str">
            <v>MOD</v>
          </cell>
          <cell r="E4307" t="str">
            <v>SUPP</v>
          </cell>
          <cell r="F4307" t="str">
            <v>IN</v>
          </cell>
          <cell r="G4307" t="str">
            <v>COAT</v>
          </cell>
          <cell r="H4307" t="str">
            <v>01T</v>
          </cell>
          <cell r="J4307">
            <v>46372</v>
          </cell>
          <cell r="K4307">
            <v>46440</v>
          </cell>
        </row>
        <row r="4308">
          <cell r="D4308" t="str">
            <v>MOD</v>
          </cell>
          <cell r="E4308" t="str">
            <v>SUPP</v>
          </cell>
          <cell r="F4308" t="str">
            <v>SA</v>
          </cell>
          <cell r="G4308" t="str">
            <v>COAT</v>
          </cell>
          <cell r="H4308" t="str">
            <v>01T</v>
          </cell>
          <cell r="J4308">
            <v>46441</v>
          </cell>
          <cell r="K4308">
            <v>46475</v>
          </cell>
        </row>
        <row r="4309">
          <cell r="J4309">
            <v>46445</v>
          </cell>
          <cell r="K4309">
            <v>46589</v>
          </cell>
        </row>
        <row r="4310">
          <cell r="D4310" t="str">
            <v>MOD</v>
          </cell>
          <cell r="E4310" t="str">
            <v>TOUCH</v>
          </cell>
          <cell r="F4310" t="str">
            <v>CC</v>
          </cell>
          <cell r="G4310" t="str">
            <v>COAT</v>
          </cell>
          <cell r="H4310" t="str">
            <v>01T</v>
          </cell>
          <cell r="J4310">
            <v>46445</v>
          </cell>
          <cell r="K4310">
            <v>46589</v>
          </cell>
        </row>
        <row r="4311">
          <cell r="D4311" t="str">
            <v>MOD</v>
          </cell>
          <cell r="E4311" t="str">
            <v>TOUCH</v>
          </cell>
          <cell r="F4311" t="str">
            <v>CC</v>
          </cell>
          <cell r="G4311" t="str">
            <v>COAT</v>
          </cell>
          <cell r="H4311" t="str">
            <v>01T</v>
          </cell>
          <cell r="J4311">
            <v>46498</v>
          </cell>
          <cell r="K4311">
            <v>46584</v>
          </cell>
        </row>
        <row r="4312">
          <cell r="D4312" t="str">
            <v>MOD</v>
          </cell>
          <cell r="E4312" t="str">
            <v>TOUCH</v>
          </cell>
          <cell r="F4312" t="str">
            <v>CC</v>
          </cell>
          <cell r="G4312" t="str">
            <v>COAT</v>
          </cell>
          <cell r="H4312" t="str">
            <v>01T</v>
          </cell>
          <cell r="J4312">
            <v>46534</v>
          </cell>
          <cell r="K4312">
            <v>46588</v>
          </cell>
        </row>
        <row r="4313">
          <cell r="J4313">
            <v>46367</v>
          </cell>
          <cell r="K4313">
            <v>46606</v>
          </cell>
        </row>
        <row r="4314">
          <cell r="D4314" t="str">
            <v>MOD</v>
          </cell>
          <cell r="E4314" t="str">
            <v>Scaffold</v>
          </cell>
          <cell r="F4314" t="str">
            <v>CC</v>
          </cell>
          <cell r="G4314" t="str">
            <v>COAT</v>
          </cell>
          <cell r="H4314" t="str">
            <v>01T</v>
          </cell>
          <cell r="J4314">
            <v>46367</v>
          </cell>
          <cell r="K4314">
            <v>46606</v>
          </cell>
        </row>
        <row r="4315">
          <cell r="D4315" t="str">
            <v>MOD</v>
          </cell>
          <cell r="E4315" t="str">
            <v>EQUIP</v>
          </cell>
          <cell r="F4315" t="str">
            <v>CC</v>
          </cell>
          <cell r="G4315" t="str">
            <v>ERECT</v>
          </cell>
          <cell r="H4315" t="str">
            <v>01T</v>
          </cell>
          <cell r="J4315">
            <v>46519</v>
          </cell>
          <cell r="K4315">
            <v>46576</v>
          </cell>
        </row>
        <row r="4316">
          <cell r="D4316" t="str">
            <v>MOD</v>
          </cell>
          <cell r="E4316" t="str">
            <v>PIPE</v>
          </cell>
          <cell r="F4316" t="str">
            <v>CC</v>
          </cell>
          <cell r="G4316" t="str">
            <v>ERECT</v>
          </cell>
          <cell r="H4316" t="str">
            <v>01T</v>
          </cell>
          <cell r="J4316">
            <v>46534</v>
          </cell>
          <cell r="K4316">
            <v>46592</v>
          </cell>
        </row>
        <row r="4317">
          <cell r="J4317">
            <v>46498</v>
          </cell>
          <cell r="K4317">
            <v>46612</v>
          </cell>
        </row>
        <row r="4318">
          <cell r="D4318" t="str">
            <v>MOD</v>
          </cell>
          <cell r="E4318" t="str">
            <v>TEST</v>
          </cell>
          <cell r="F4318" t="str">
            <v>PI</v>
          </cell>
          <cell r="G4318" t="str">
            <v>ERECT</v>
          </cell>
          <cell r="H4318" t="str">
            <v>01T</v>
          </cell>
          <cell r="J4318">
            <v>46498</v>
          </cell>
          <cell r="K4318">
            <v>46582</v>
          </cell>
        </row>
        <row r="4319">
          <cell r="D4319" t="str">
            <v>MOD</v>
          </cell>
          <cell r="E4319" t="str">
            <v>TEST02</v>
          </cell>
          <cell r="F4319" t="str">
            <v>PCC</v>
          </cell>
          <cell r="G4319" t="str">
            <v>PCOMM</v>
          </cell>
          <cell r="H4319" t="str">
            <v>01T</v>
          </cell>
          <cell r="J4319">
            <v>46536</v>
          </cell>
          <cell r="K4319">
            <v>46594</v>
          </cell>
        </row>
        <row r="4320">
          <cell r="D4320" t="str">
            <v>MOD</v>
          </cell>
          <cell r="E4320" t="str">
            <v>TEST</v>
          </cell>
          <cell r="F4320" t="str">
            <v>PCC</v>
          </cell>
          <cell r="G4320" t="str">
            <v>ERECT</v>
          </cell>
          <cell r="H4320" t="str">
            <v>01T</v>
          </cell>
          <cell r="J4320">
            <v>46546</v>
          </cell>
          <cell r="K4320">
            <v>46563</v>
          </cell>
        </row>
        <row r="4321">
          <cell r="D4321" t="str">
            <v>MOD</v>
          </cell>
          <cell r="E4321" t="str">
            <v>PUNCH</v>
          </cell>
          <cell r="F4321" t="str">
            <v>PCC</v>
          </cell>
          <cell r="G4321" t="str">
            <v>PCOMM</v>
          </cell>
          <cell r="H4321" t="str">
            <v>01T</v>
          </cell>
          <cell r="J4321">
            <v>46554</v>
          </cell>
          <cell r="K4321">
            <v>46612</v>
          </cell>
        </row>
        <row r="4322">
          <cell r="J4322">
            <v>46594</v>
          </cell>
          <cell r="K4322">
            <v>46625</v>
          </cell>
        </row>
        <row r="4323">
          <cell r="D4323" t="str">
            <v>MOD</v>
          </cell>
          <cell r="E4323" t="str">
            <v>RFLO</v>
          </cell>
          <cell r="F4323" t="str">
            <v>RFLO</v>
          </cell>
          <cell r="G4323" t="str">
            <v>LOAD</v>
          </cell>
          <cell r="H4323" t="str">
            <v>01T</v>
          </cell>
          <cell r="J4323">
            <v>46594</v>
          </cell>
          <cell r="K4323">
            <v>46625</v>
          </cell>
        </row>
        <row r="4324">
          <cell r="J4324">
            <v>46275</v>
          </cell>
          <cell r="K4324">
            <v>46644</v>
          </cell>
        </row>
        <row r="4325">
          <cell r="J4325">
            <v>46275</v>
          </cell>
          <cell r="K4325">
            <v>46599</v>
          </cell>
        </row>
        <row r="4326">
          <cell r="J4326">
            <v>46275</v>
          </cell>
          <cell r="K4326">
            <v>46555</v>
          </cell>
        </row>
        <row r="4327">
          <cell r="J4327">
            <v>46275</v>
          </cell>
          <cell r="K4327">
            <v>46442</v>
          </cell>
        </row>
        <row r="4328">
          <cell r="D4328" t="str">
            <v>MOD</v>
          </cell>
          <cell r="E4328" t="str">
            <v>LOW01</v>
          </cell>
          <cell r="F4328" t="str">
            <v>ST</v>
          </cell>
          <cell r="G4328" t="str">
            <v>FAB/SPL</v>
          </cell>
          <cell r="H4328" t="str">
            <v>02T</v>
          </cell>
          <cell r="J4328">
            <v>46275</v>
          </cell>
          <cell r="K4328">
            <v>46352</v>
          </cell>
        </row>
        <row r="4329">
          <cell r="D4329" t="str">
            <v>MOD</v>
          </cell>
          <cell r="E4329" t="str">
            <v>SUM01</v>
          </cell>
          <cell r="F4329" t="str">
            <v>ST</v>
          </cell>
          <cell r="G4329" t="str">
            <v>FAB/SPL</v>
          </cell>
          <cell r="H4329" t="str">
            <v>02T</v>
          </cell>
          <cell r="J4329">
            <v>46293</v>
          </cell>
          <cell r="K4329">
            <v>46322</v>
          </cell>
        </row>
        <row r="4330">
          <cell r="D4330" t="str">
            <v>MOD</v>
          </cell>
          <cell r="E4330" t="str">
            <v>MEZ01</v>
          </cell>
          <cell r="F4330" t="str">
            <v>ST</v>
          </cell>
          <cell r="G4330" t="str">
            <v>FAB/SPL</v>
          </cell>
          <cell r="H4330" t="str">
            <v>02T</v>
          </cell>
          <cell r="J4330">
            <v>46311</v>
          </cell>
          <cell r="K4330">
            <v>46339</v>
          </cell>
        </row>
        <row r="4331">
          <cell r="D4331" t="str">
            <v>MOD</v>
          </cell>
          <cell r="E4331" t="str">
            <v>UPP01</v>
          </cell>
          <cell r="F4331" t="str">
            <v>ST</v>
          </cell>
          <cell r="G4331" t="str">
            <v>FAB/SPL</v>
          </cell>
          <cell r="H4331" t="str">
            <v>02T</v>
          </cell>
          <cell r="J4331">
            <v>46328</v>
          </cell>
          <cell r="K4331">
            <v>46395</v>
          </cell>
        </row>
        <row r="4332">
          <cell r="D4332" t="str">
            <v>MOD</v>
          </cell>
          <cell r="E4332" t="str">
            <v>CLOMN</v>
          </cell>
          <cell r="F4332" t="str">
            <v>ST</v>
          </cell>
          <cell r="G4332" t="str">
            <v>FAB/SPL</v>
          </cell>
          <cell r="H4332" t="str">
            <v>02T</v>
          </cell>
          <cell r="J4332">
            <v>46333</v>
          </cell>
          <cell r="K4332">
            <v>46370</v>
          </cell>
        </row>
        <row r="4333">
          <cell r="D4333" t="str">
            <v>MOD</v>
          </cell>
          <cell r="E4333" t="str">
            <v>VentBoom01</v>
          </cell>
          <cell r="F4333" t="str">
            <v>ST</v>
          </cell>
          <cell r="G4333" t="str">
            <v>FAB/SPL</v>
          </cell>
          <cell r="H4333" t="str">
            <v>02T</v>
          </cell>
          <cell r="J4333">
            <v>46396</v>
          </cell>
          <cell r="K4333">
            <v>46442</v>
          </cell>
        </row>
        <row r="4334">
          <cell r="J4334">
            <v>46323</v>
          </cell>
          <cell r="K4334">
            <v>46476</v>
          </cell>
        </row>
        <row r="4335">
          <cell r="D4335" t="str">
            <v>MOD</v>
          </cell>
          <cell r="E4335" t="str">
            <v>SUM01</v>
          </cell>
          <cell r="F4335" t="str">
            <v>ST</v>
          </cell>
          <cell r="G4335" t="str">
            <v>ASSY</v>
          </cell>
          <cell r="H4335" t="str">
            <v>02T</v>
          </cell>
          <cell r="J4335">
            <v>46323</v>
          </cell>
          <cell r="K4335">
            <v>46356</v>
          </cell>
        </row>
        <row r="4336">
          <cell r="D4336" t="str">
            <v>MOD</v>
          </cell>
          <cell r="E4336" t="str">
            <v>LOW01</v>
          </cell>
          <cell r="F4336" t="str">
            <v>ST</v>
          </cell>
          <cell r="G4336" t="str">
            <v>ASSY</v>
          </cell>
          <cell r="H4336" t="str">
            <v>02T</v>
          </cell>
          <cell r="J4336">
            <v>46336</v>
          </cell>
          <cell r="K4336">
            <v>46406</v>
          </cell>
        </row>
        <row r="4337">
          <cell r="D4337" t="str">
            <v>MOD</v>
          </cell>
          <cell r="E4337" t="str">
            <v>MEZ01</v>
          </cell>
          <cell r="F4337" t="str">
            <v>ST</v>
          </cell>
          <cell r="G4337" t="str">
            <v>ASSY</v>
          </cell>
          <cell r="H4337" t="str">
            <v>02T</v>
          </cell>
          <cell r="J4337">
            <v>46368</v>
          </cell>
          <cell r="K4337">
            <v>46402</v>
          </cell>
        </row>
        <row r="4338">
          <cell r="D4338" t="str">
            <v>MOD</v>
          </cell>
          <cell r="E4338" t="str">
            <v>UPP01</v>
          </cell>
          <cell r="F4338" t="str">
            <v>ST</v>
          </cell>
          <cell r="G4338" t="str">
            <v>ASSY</v>
          </cell>
          <cell r="H4338" t="str">
            <v>02T</v>
          </cell>
          <cell r="J4338">
            <v>46368</v>
          </cell>
          <cell r="K4338">
            <v>46445</v>
          </cell>
        </row>
        <row r="4339">
          <cell r="D4339" t="str">
            <v>MOD</v>
          </cell>
          <cell r="E4339" t="str">
            <v>VentBoom01</v>
          </cell>
          <cell r="F4339" t="str">
            <v>ST</v>
          </cell>
          <cell r="G4339" t="str">
            <v>ASSY</v>
          </cell>
          <cell r="H4339" t="str">
            <v>02T</v>
          </cell>
          <cell r="J4339">
            <v>46443</v>
          </cell>
          <cell r="K4339">
            <v>46476</v>
          </cell>
        </row>
        <row r="4340">
          <cell r="J4340">
            <v>46408</v>
          </cell>
          <cell r="K4340">
            <v>46555</v>
          </cell>
        </row>
        <row r="4341">
          <cell r="D4341" t="str">
            <v>MOD</v>
          </cell>
          <cell r="E4341" t="str">
            <v>CLOMN</v>
          </cell>
          <cell r="F4341" t="str">
            <v>ST</v>
          </cell>
          <cell r="G4341" t="str">
            <v>ERECT</v>
          </cell>
          <cell r="H4341" t="str">
            <v>02T</v>
          </cell>
          <cell r="J4341">
            <v>46408</v>
          </cell>
          <cell r="K4341">
            <v>46413</v>
          </cell>
        </row>
        <row r="4342">
          <cell r="D4342" t="str">
            <v>MOD</v>
          </cell>
          <cell r="E4342" t="str">
            <v>SUM01</v>
          </cell>
          <cell r="F4342" t="str">
            <v>ST</v>
          </cell>
          <cell r="G4342" t="str">
            <v>ERECT</v>
          </cell>
          <cell r="H4342" t="str">
            <v>02T</v>
          </cell>
          <cell r="J4342">
            <v>46438</v>
          </cell>
          <cell r="K4342">
            <v>46461</v>
          </cell>
        </row>
        <row r="4343">
          <cell r="D4343" t="str">
            <v>MOD</v>
          </cell>
          <cell r="E4343" t="str">
            <v>LOW01</v>
          </cell>
          <cell r="F4343" t="str">
            <v>ST</v>
          </cell>
          <cell r="G4343" t="str">
            <v>ERECT</v>
          </cell>
          <cell r="H4343" t="str">
            <v>02T</v>
          </cell>
          <cell r="J4343">
            <v>46461</v>
          </cell>
          <cell r="K4343">
            <v>46490</v>
          </cell>
        </row>
        <row r="4344">
          <cell r="D4344" t="str">
            <v>MOD</v>
          </cell>
          <cell r="E4344" t="str">
            <v>MEZ01</v>
          </cell>
          <cell r="F4344" t="str">
            <v>ST</v>
          </cell>
          <cell r="G4344" t="str">
            <v>ERECT</v>
          </cell>
          <cell r="H4344" t="str">
            <v>02T</v>
          </cell>
          <cell r="J4344">
            <v>46490</v>
          </cell>
          <cell r="K4344">
            <v>46513</v>
          </cell>
        </row>
        <row r="4345">
          <cell r="D4345" t="str">
            <v>MOD</v>
          </cell>
          <cell r="E4345" t="str">
            <v>UPP01</v>
          </cell>
          <cell r="F4345" t="str">
            <v>ST</v>
          </cell>
          <cell r="G4345" t="str">
            <v>ERECT</v>
          </cell>
          <cell r="H4345" t="str">
            <v>02T</v>
          </cell>
          <cell r="J4345">
            <v>46506</v>
          </cell>
          <cell r="K4345">
            <v>46534</v>
          </cell>
        </row>
        <row r="4346">
          <cell r="D4346" t="str">
            <v>MOD</v>
          </cell>
          <cell r="E4346" t="str">
            <v>VentBoom01</v>
          </cell>
          <cell r="F4346" t="str">
            <v>ST</v>
          </cell>
          <cell r="G4346" t="str">
            <v>ERECT</v>
          </cell>
          <cell r="H4346" t="str">
            <v>02T</v>
          </cell>
          <cell r="J4346">
            <v>46531</v>
          </cell>
          <cell r="K4346">
            <v>46555</v>
          </cell>
        </row>
        <row r="4347">
          <cell r="J4347">
            <v>46311</v>
          </cell>
          <cell r="K4347">
            <v>46479</v>
          </cell>
        </row>
        <row r="4348">
          <cell r="J4348">
            <v>46311</v>
          </cell>
          <cell r="K4348">
            <v>46435</v>
          </cell>
        </row>
        <row r="4349">
          <cell r="D4349" t="str">
            <v>MOD</v>
          </cell>
          <cell r="E4349" t="str">
            <v>LOW02</v>
          </cell>
          <cell r="F4349" t="str">
            <v>ST</v>
          </cell>
          <cell r="G4349" t="str">
            <v>FAB/SPL</v>
          </cell>
          <cell r="H4349" t="str">
            <v>02T</v>
          </cell>
          <cell r="J4349">
            <v>46311</v>
          </cell>
          <cell r="K4349">
            <v>46363</v>
          </cell>
        </row>
        <row r="4350">
          <cell r="D4350" t="str">
            <v>MOD</v>
          </cell>
          <cell r="E4350" t="str">
            <v>SUM02</v>
          </cell>
          <cell r="F4350" t="str">
            <v>ST</v>
          </cell>
          <cell r="G4350" t="str">
            <v>FAB/SPL</v>
          </cell>
          <cell r="H4350" t="str">
            <v>02T</v>
          </cell>
          <cell r="J4350">
            <v>46323</v>
          </cell>
          <cell r="K4350">
            <v>46357</v>
          </cell>
        </row>
        <row r="4351">
          <cell r="D4351" t="str">
            <v>MOD</v>
          </cell>
          <cell r="E4351" t="str">
            <v>UPP02</v>
          </cell>
          <cell r="F4351" t="str">
            <v>ST</v>
          </cell>
          <cell r="G4351" t="str">
            <v>FAB/SPL</v>
          </cell>
          <cell r="H4351" t="str">
            <v>02T</v>
          </cell>
          <cell r="J4351">
            <v>46350</v>
          </cell>
          <cell r="K4351">
            <v>46402</v>
          </cell>
        </row>
        <row r="4352">
          <cell r="D4352" t="str">
            <v>MOD</v>
          </cell>
          <cell r="E4352" t="str">
            <v>MEZ02</v>
          </cell>
          <cell r="F4352" t="str">
            <v>ST</v>
          </cell>
          <cell r="G4352" t="str">
            <v>FAB/SPL</v>
          </cell>
          <cell r="H4352" t="str">
            <v>02T</v>
          </cell>
          <cell r="J4352">
            <v>46364</v>
          </cell>
          <cell r="K4352">
            <v>46399</v>
          </cell>
        </row>
        <row r="4353">
          <cell r="D4353" t="str">
            <v>MOD</v>
          </cell>
          <cell r="E4353" t="str">
            <v>VentBoom02</v>
          </cell>
          <cell r="F4353" t="str">
            <v>ST</v>
          </cell>
          <cell r="G4353" t="str">
            <v>FAB/SPL</v>
          </cell>
          <cell r="H4353" t="str">
            <v>02T</v>
          </cell>
          <cell r="J4353">
            <v>46403</v>
          </cell>
          <cell r="K4353">
            <v>46435</v>
          </cell>
        </row>
        <row r="4354">
          <cell r="J4354">
            <v>46352</v>
          </cell>
          <cell r="K4354">
            <v>46479</v>
          </cell>
        </row>
        <row r="4355">
          <cell r="D4355" t="str">
            <v>MOD</v>
          </cell>
          <cell r="E4355" t="str">
            <v>LOW02</v>
          </cell>
          <cell r="F4355" t="str">
            <v>ST</v>
          </cell>
          <cell r="G4355" t="str">
            <v>ASSY</v>
          </cell>
          <cell r="H4355" t="str">
            <v>02T</v>
          </cell>
          <cell r="J4355">
            <v>46352</v>
          </cell>
          <cell r="K4355">
            <v>46416</v>
          </cell>
        </row>
        <row r="4356">
          <cell r="D4356" t="str">
            <v>MOD</v>
          </cell>
          <cell r="E4356" t="str">
            <v>SUM02</v>
          </cell>
          <cell r="F4356" t="str">
            <v>ST</v>
          </cell>
          <cell r="G4356" t="str">
            <v>ASSY</v>
          </cell>
          <cell r="H4356" t="str">
            <v>02T</v>
          </cell>
          <cell r="J4356">
            <v>46358</v>
          </cell>
          <cell r="K4356">
            <v>46403</v>
          </cell>
        </row>
        <row r="4357">
          <cell r="D4357" t="str">
            <v>MOD</v>
          </cell>
          <cell r="E4357" t="str">
            <v>MEZ02</v>
          </cell>
          <cell r="F4357" t="str">
            <v>ST</v>
          </cell>
          <cell r="G4357" t="str">
            <v>ASSY</v>
          </cell>
          <cell r="H4357" t="str">
            <v>02T</v>
          </cell>
          <cell r="J4357">
            <v>46400</v>
          </cell>
          <cell r="K4357">
            <v>46454</v>
          </cell>
        </row>
        <row r="4358">
          <cell r="D4358" t="str">
            <v>MOD</v>
          </cell>
          <cell r="E4358" t="str">
            <v>UPP02</v>
          </cell>
          <cell r="F4358" t="str">
            <v>ST</v>
          </cell>
          <cell r="G4358" t="str">
            <v>ASSY</v>
          </cell>
          <cell r="H4358" t="str">
            <v>02T</v>
          </cell>
          <cell r="J4358">
            <v>46403</v>
          </cell>
          <cell r="K4358">
            <v>46468</v>
          </cell>
        </row>
        <row r="4359">
          <cell r="D4359" t="str">
            <v>MOD</v>
          </cell>
          <cell r="E4359" t="str">
            <v>VentBoom02</v>
          </cell>
          <cell r="F4359" t="str">
            <v>ST</v>
          </cell>
          <cell r="G4359" t="str">
            <v>ASSY</v>
          </cell>
          <cell r="H4359" t="str">
            <v>02T</v>
          </cell>
          <cell r="J4359">
            <v>46436</v>
          </cell>
          <cell r="K4359">
            <v>46479</v>
          </cell>
        </row>
        <row r="4360">
          <cell r="J4360">
            <v>46416</v>
          </cell>
          <cell r="K4360">
            <v>46599</v>
          </cell>
        </row>
        <row r="4361">
          <cell r="J4361">
            <v>46416</v>
          </cell>
          <cell r="K4361">
            <v>46487</v>
          </cell>
        </row>
        <row r="4362">
          <cell r="D4362" t="str">
            <v>MOD</v>
          </cell>
          <cell r="E4362" t="str">
            <v>Handrail</v>
          </cell>
          <cell r="F4362" t="str">
            <v>ST</v>
          </cell>
          <cell r="G4362" t="str">
            <v>FAB/SPL</v>
          </cell>
          <cell r="H4362" t="str">
            <v>02T</v>
          </cell>
          <cell r="J4362">
            <v>46416</v>
          </cell>
          <cell r="K4362">
            <v>46471</v>
          </cell>
        </row>
        <row r="4363">
          <cell r="D4363" t="str">
            <v>MOD</v>
          </cell>
          <cell r="E4363" t="str">
            <v>Solar</v>
          </cell>
          <cell r="F4363" t="str">
            <v>ST</v>
          </cell>
          <cell r="G4363" t="str">
            <v>FAB/SPL</v>
          </cell>
          <cell r="H4363" t="str">
            <v>02T</v>
          </cell>
          <cell r="J4363">
            <v>46447</v>
          </cell>
          <cell r="K4363">
            <v>46487</v>
          </cell>
        </row>
        <row r="4364">
          <cell r="D4364" t="str">
            <v>MOD</v>
          </cell>
          <cell r="E4364" t="str">
            <v>HSN</v>
          </cell>
          <cell r="F4364" t="str">
            <v>ST</v>
          </cell>
          <cell r="G4364" t="str">
            <v>FAB/SPL</v>
          </cell>
          <cell r="H4364" t="str">
            <v>02T</v>
          </cell>
          <cell r="J4364">
            <v>46464</v>
          </cell>
          <cell r="K4364">
            <v>46487</v>
          </cell>
        </row>
        <row r="4365">
          <cell r="D4365" t="str">
            <v>MOD</v>
          </cell>
          <cell r="E4365" t="str">
            <v>PNP</v>
          </cell>
          <cell r="F4365" t="str">
            <v>ST</v>
          </cell>
          <cell r="G4365" t="str">
            <v>FAB/SPL</v>
          </cell>
          <cell r="H4365" t="str">
            <v>02T</v>
          </cell>
          <cell r="J4365">
            <v>46464</v>
          </cell>
          <cell r="K4365">
            <v>46487</v>
          </cell>
        </row>
        <row r="4366">
          <cell r="J4366">
            <v>46464</v>
          </cell>
          <cell r="K4366">
            <v>46599</v>
          </cell>
        </row>
        <row r="4367">
          <cell r="D4367" t="str">
            <v>MOD</v>
          </cell>
          <cell r="E4367" t="str">
            <v>Grate</v>
          </cell>
          <cell r="F4367" t="str">
            <v>ST</v>
          </cell>
          <cell r="G4367" t="str">
            <v>ERECT</v>
          </cell>
          <cell r="H4367" t="str">
            <v>02T</v>
          </cell>
          <cell r="J4367">
            <v>46464</v>
          </cell>
          <cell r="K4367">
            <v>46555</v>
          </cell>
        </row>
        <row r="4368">
          <cell r="D4368" t="str">
            <v>MOD</v>
          </cell>
          <cell r="E4368" t="str">
            <v>Handrail</v>
          </cell>
          <cell r="F4368" t="str">
            <v>ST</v>
          </cell>
          <cell r="G4368" t="str">
            <v>ERECT</v>
          </cell>
          <cell r="H4368" t="str">
            <v>02T</v>
          </cell>
          <cell r="J4368">
            <v>46513</v>
          </cell>
          <cell r="K4368">
            <v>46584</v>
          </cell>
        </row>
        <row r="4369">
          <cell r="D4369" t="str">
            <v>MOD</v>
          </cell>
          <cell r="E4369" t="str">
            <v>Solar</v>
          </cell>
          <cell r="F4369" t="str">
            <v>ST</v>
          </cell>
          <cell r="G4369" t="str">
            <v>ERECT</v>
          </cell>
          <cell r="H4369" t="str">
            <v>02T</v>
          </cell>
          <cell r="J4369">
            <v>46555</v>
          </cell>
          <cell r="K4369">
            <v>46584</v>
          </cell>
        </row>
        <row r="4370">
          <cell r="D4370" t="str">
            <v>MOD</v>
          </cell>
          <cell r="E4370" t="str">
            <v>HSN</v>
          </cell>
          <cell r="F4370" t="str">
            <v>ST</v>
          </cell>
          <cell r="G4370" t="str">
            <v>ERECT</v>
          </cell>
          <cell r="H4370" t="str">
            <v>02T</v>
          </cell>
          <cell r="J4370">
            <v>46582</v>
          </cell>
          <cell r="K4370">
            <v>46599</v>
          </cell>
        </row>
        <row r="4371">
          <cell r="D4371" t="str">
            <v>MOD</v>
          </cell>
          <cell r="E4371" t="str">
            <v>PNP</v>
          </cell>
          <cell r="F4371" t="str">
            <v>ST</v>
          </cell>
          <cell r="G4371" t="str">
            <v>ERECT</v>
          </cell>
          <cell r="H4371" t="str">
            <v>02T</v>
          </cell>
          <cell r="J4371">
            <v>46582</v>
          </cell>
          <cell r="K4371">
            <v>46599</v>
          </cell>
        </row>
        <row r="4372">
          <cell r="J4372">
            <v>46450</v>
          </cell>
          <cell r="K4372">
            <v>46581</v>
          </cell>
        </row>
        <row r="4373">
          <cell r="J4373">
            <v>46450</v>
          </cell>
          <cell r="K4373">
            <v>46483</v>
          </cell>
        </row>
        <row r="4374">
          <cell r="D4374" t="str">
            <v>MOD</v>
          </cell>
          <cell r="E4374" t="str">
            <v>V-5001</v>
          </cell>
          <cell r="F4374" t="str">
            <v>MA</v>
          </cell>
          <cell r="G4374" t="str">
            <v>ERECT</v>
          </cell>
          <cell r="H4374" t="str">
            <v>02T</v>
          </cell>
          <cell r="J4374">
            <v>46450</v>
          </cell>
          <cell r="K4374">
            <v>46458</v>
          </cell>
        </row>
        <row r="4375">
          <cell r="D4375" t="str">
            <v>MOD</v>
          </cell>
          <cell r="E4375" t="str">
            <v>SK-5001</v>
          </cell>
          <cell r="F4375" t="str">
            <v>MA</v>
          </cell>
          <cell r="G4375" t="str">
            <v>ERECT</v>
          </cell>
          <cell r="H4375" t="str">
            <v>02T</v>
          </cell>
          <cell r="J4375">
            <v>46480</v>
          </cell>
          <cell r="K4375">
            <v>46483</v>
          </cell>
        </row>
        <row r="4376">
          <cell r="J4376">
            <v>46472</v>
          </cell>
          <cell r="K4376">
            <v>46496</v>
          </cell>
        </row>
        <row r="4377">
          <cell r="D4377" t="str">
            <v>MOD</v>
          </cell>
          <cell r="E4377" t="str">
            <v>V-01001</v>
          </cell>
          <cell r="F4377" t="str">
            <v>MA</v>
          </cell>
          <cell r="G4377" t="str">
            <v>ERECT</v>
          </cell>
          <cell r="H4377" t="str">
            <v>02T</v>
          </cell>
          <cell r="J4377">
            <v>46472</v>
          </cell>
          <cell r="K4377">
            <v>46486</v>
          </cell>
        </row>
        <row r="4378">
          <cell r="D4378" t="str">
            <v>MOD</v>
          </cell>
          <cell r="E4378" t="str">
            <v>V-3001</v>
          </cell>
          <cell r="F4378" t="str">
            <v>MA</v>
          </cell>
          <cell r="G4378" t="str">
            <v>ERECT</v>
          </cell>
          <cell r="H4378" t="str">
            <v>02T</v>
          </cell>
          <cell r="J4378">
            <v>46472</v>
          </cell>
          <cell r="K4378">
            <v>46473</v>
          </cell>
        </row>
        <row r="4379">
          <cell r="D4379" t="str">
            <v>MOD</v>
          </cell>
          <cell r="E4379" t="str">
            <v>SK11001</v>
          </cell>
          <cell r="F4379" t="str">
            <v>MA</v>
          </cell>
          <cell r="G4379" t="str">
            <v>ERECT</v>
          </cell>
          <cell r="H4379" t="str">
            <v>02T</v>
          </cell>
          <cell r="J4379">
            <v>46472</v>
          </cell>
          <cell r="K4379">
            <v>46486</v>
          </cell>
        </row>
        <row r="4380">
          <cell r="D4380" t="str">
            <v>MOD</v>
          </cell>
          <cell r="E4380" t="str">
            <v>V-10002</v>
          </cell>
          <cell r="F4380" t="str">
            <v>MA</v>
          </cell>
          <cell r="G4380" t="str">
            <v>ERECT</v>
          </cell>
          <cell r="H4380" t="str">
            <v>02T</v>
          </cell>
          <cell r="J4380">
            <v>46472</v>
          </cell>
          <cell r="K4380">
            <v>46486</v>
          </cell>
        </row>
        <row r="4381">
          <cell r="D4381" t="str">
            <v>MOD</v>
          </cell>
          <cell r="E4381" t="str">
            <v>PR2002</v>
          </cell>
          <cell r="F4381" t="str">
            <v>MA</v>
          </cell>
          <cell r="G4381" t="str">
            <v>ERECT</v>
          </cell>
          <cell r="H4381" t="str">
            <v>02T</v>
          </cell>
          <cell r="J4381">
            <v>46472</v>
          </cell>
          <cell r="K4381">
            <v>46473</v>
          </cell>
        </row>
        <row r="4382">
          <cell r="D4382" t="str">
            <v>MOD</v>
          </cell>
          <cell r="E4382" t="str">
            <v>V-10001</v>
          </cell>
          <cell r="F4382" t="str">
            <v>MA</v>
          </cell>
          <cell r="G4382" t="str">
            <v>ERECT</v>
          </cell>
          <cell r="H4382" t="str">
            <v>02T</v>
          </cell>
          <cell r="J4382">
            <v>46472</v>
          </cell>
          <cell r="K4382">
            <v>46496</v>
          </cell>
        </row>
        <row r="4383">
          <cell r="D4383" t="str">
            <v>MOD</v>
          </cell>
          <cell r="E4383" t="str">
            <v>SK9001</v>
          </cell>
          <cell r="F4383" t="str">
            <v>MA</v>
          </cell>
          <cell r="G4383" t="str">
            <v>ERECT</v>
          </cell>
          <cell r="H4383" t="str">
            <v>02T</v>
          </cell>
          <cell r="J4383">
            <v>46472</v>
          </cell>
          <cell r="K4383">
            <v>46473</v>
          </cell>
        </row>
        <row r="4384">
          <cell r="D4384" t="str">
            <v>MOD</v>
          </cell>
          <cell r="E4384" t="str">
            <v>V-11003</v>
          </cell>
          <cell r="F4384" t="str">
            <v>MA</v>
          </cell>
          <cell r="G4384" t="str">
            <v>ERECT</v>
          </cell>
          <cell r="H4384" t="str">
            <v>02T</v>
          </cell>
          <cell r="J4384">
            <v>46473</v>
          </cell>
          <cell r="K4384">
            <v>46489</v>
          </cell>
        </row>
        <row r="4385">
          <cell r="D4385" t="str">
            <v>MOD</v>
          </cell>
          <cell r="E4385" t="str">
            <v>SK7001</v>
          </cell>
          <cell r="F4385" t="str">
            <v>MA</v>
          </cell>
          <cell r="G4385" t="str">
            <v>ERECT</v>
          </cell>
          <cell r="H4385" t="str">
            <v>02T</v>
          </cell>
          <cell r="J4385">
            <v>46486</v>
          </cell>
          <cell r="K4385">
            <v>46487</v>
          </cell>
        </row>
        <row r="4386">
          <cell r="J4386">
            <v>46500</v>
          </cell>
          <cell r="K4386">
            <v>46505</v>
          </cell>
        </row>
        <row r="4387">
          <cell r="D4387" t="str">
            <v>MOD</v>
          </cell>
          <cell r="E4387" t="str">
            <v>PL2001</v>
          </cell>
          <cell r="F4387" t="str">
            <v>MA</v>
          </cell>
          <cell r="G4387" t="str">
            <v>ERECT</v>
          </cell>
          <cell r="H4387" t="str">
            <v>02T</v>
          </cell>
          <cell r="J4387">
            <v>46500</v>
          </cell>
          <cell r="K4387">
            <v>46503</v>
          </cell>
        </row>
        <row r="4388">
          <cell r="D4388" t="str">
            <v>MOD</v>
          </cell>
          <cell r="E4388" t="str">
            <v>T7001</v>
          </cell>
          <cell r="F4388" t="str">
            <v>MA</v>
          </cell>
          <cell r="G4388" t="str">
            <v>ERECT</v>
          </cell>
          <cell r="H4388" t="str">
            <v>02T</v>
          </cell>
          <cell r="J4388">
            <v>46501</v>
          </cell>
          <cell r="K4388">
            <v>46504</v>
          </cell>
        </row>
        <row r="4389">
          <cell r="D4389" t="str">
            <v>MOD</v>
          </cell>
          <cell r="E4389" t="str">
            <v>T-9001</v>
          </cell>
          <cell r="F4389" t="str">
            <v>MA</v>
          </cell>
          <cell r="G4389" t="str">
            <v>ERECT</v>
          </cell>
          <cell r="H4389" t="str">
            <v>02T</v>
          </cell>
          <cell r="J4389">
            <v>46501</v>
          </cell>
          <cell r="K4389">
            <v>46504</v>
          </cell>
        </row>
        <row r="4390">
          <cell r="D4390" t="str">
            <v>MOD</v>
          </cell>
          <cell r="E4390" t="str">
            <v>T7003</v>
          </cell>
          <cell r="F4390" t="str">
            <v>MA</v>
          </cell>
          <cell r="G4390" t="str">
            <v>ERECT</v>
          </cell>
          <cell r="H4390" t="str">
            <v>02T</v>
          </cell>
          <cell r="J4390">
            <v>46503</v>
          </cell>
          <cell r="K4390">
            <v>46505</v>
          </cell>
        </row>
        <row r="4391">
          <cell r="D4391" t="str">
            <v>MOD</v>
          </cell>
          <cell r="E4391" t="str">
            <v>T-9003</v>
          </cell>
          <cell r="F4391" t="str">
            <v>MA</v>
          </cell>
          <cell r="G4391" t="str">
            <v>ERECT</v>
          </cell>
          <cell r="H4391" t="str">
            <v>02T</v>
          </cell>
          <cell r="J4391">
            <v>46503</v>
          </cell>
          <cell r="K4391">
            <v>46505</v>
          </cell>
        </row>
        <row r="4392">
          <cell r="J4392">
            <v>46535</v>
          </cell>
          <cell r="K4392">
            <v>46581</v>
          </cell>
        </row>
        <row r="4393">
          <cell r="D4393" t="str">
            <v>MOD</v>
          </cell>
          <cell r="E4393" t="str">
            <v>07x/9x</v>
          </cell>
          <cell r="F4393" t="str">
            <v>MA</v>
          </cell>
          <cell r="G4393" t="str">
            <v>ERECT</v>
          </cell>
          <cell r="H4393" t="str">
            <v>02T</v>
          </cell>
          <cell r="J4393">
            <v>46535</v>
          </cell>
          <cell r="K4393">
            <v>46536</v>
          </cell>
        </row>
        <row r="4394">
          <cell r="D4394" t="str">
            <v>MOD</v>
          </cell>
          <cell r="E4394" t="str">
            <v>CR7001</v>
          </cell>
          <cell r="F4394" t="str">
            <v>MA</v>
          </cell>
          <cell r="G4394" t="str">
            <v>ERECT</v>
          </cell>
          <cell r="H4394" t="str">
            <v>02T</v>
          </cell>
          <cell r="J4394">
            <v>46553</v>
          </cell>
          <cell r="K4394">
            <v>46581</v>
          </cell>
        </row>
        <row r="4395">
          <cell r="J4395">
            <v>46379</v>
          </cell>
          <cell r="K4395">
            <v>46571</v>
          </cell>
        </row>
        <row r="4396">
          <cell r="D4396" t="str">
            <v>MOD</v>
          </cell>
          <cell r="E4396" t="str">
            <v>SUPP</v>
          </cell>
          <cell r="F4396" t="str">
            <v>PI</v>
          </cell>
          <cell r="G4396" t="str">
            <v>FAB/SPL</v>
          </cell>
          <cell r="H4396" t="str">
            <v>02T</v>
          </cell>
          <cell r="J4396">
            <v>46379</v>
          </cell>
          <cell r="K4396">
            <v>46470</v>
          </cell>
        </row>
        <row r="4397">
          <cell r="D4397" t="str">
            <v>MOD</v>
          </cell>
          <cell r="E4397" t="str">
            <v>SUPP</v>
          </cell>
          <cell r="F4397" t="str">
            <v>PI</v>
          </cell>
          <cell r="G4397" t="str">
            <v>ERECT</v>
          </cell>
          <cell r="H4397" t="str">
            <v>02T</v>
          </cell>
          <cell r="J4397">
            <v>46395</v>
          </cell>
          <cell r="K4397">
            <v>46504</v>
          </cell>
        </row>
        <row r="4398">
          <cell r="D4398" t="str">
            <v>MOD</v>
          </cell>
          <cell r="E4398" t="str">
            <v>PIPE</v>
          </cell>
          <cell r="F4398" t="str">
            <v>PI</v>
          </cell>
          <cell r="G4398" t="str">
            <v>FAB/SPL</v>
          </cell>
          <cell r="H4398" t="str">
            <v>02T</v>
          </cell>
          <cell r="J4398">
            <v>46410</v>
          </cell>
          <cell r="K4398">
            <v>46526</v>
          </cell>
        </row>
        <row r="4399">
          <cell r="D4399" t="str">
            <v>MOD</v>
          </cell>
          <cell r="E4399" t="str">
            <v>PIPE</v>
          </cell>
          <cell r="F4399" t="str">
            <v>PI</v>
          </cell>
          <cell r="G4399" t="str">
            <v>ERECT</v>
          </cell>
          <cell r="H4399" t="str">
            <v>02T</v>
          </cell>
          <cell r="J4399">
            <v>46451</v>
          </cell>
          <cell r="K4399">
            <v>46571</v>
          </cell>
        </row>
        <row r="4400">
          <cell r="J4400">
            <v>46443</v>
          </cell>
          <cell r="K4400">
            <v>46568</v>
          </cell>
        </row>
        <row r="4401">
          <cell r="D4401" t="str">
            <v>MOD</v>
          </cell>
          <cell r="E4401" t="str">
            <v>RISER</v>
          </cell>
          <cell r="F4401" t="str">
            <v>PI</v>
          </cell>
          <cell r="G4401" t="str">
            <v>FAB/SPL</v>
          </cell>
          <cell r="H4401" t="str">
            <v>02T</v>
          </cell>
          <cell r="J4401">
            <v>46443</v>
          </cell>
          <cell r="K4401">
            <v>46538</v>
          </cell>
        </row>
        <row r="4402">
          <cell r="D4402" t="str">
            <v>MOD</v>
          </cell>
          <cell r="E4402" t="str">
            <v>RISER</v>
          </cell>
          <cell r="F4402" t="str">
            <v>PI</v>
          </cell>
          <cell r="G4402" t="str">
            <v>ERECT</v>
          </cell>
          <cell r="H4402" t="str">
            <v>02T</v>
          </cell>
          <cell r="J4402">
            <v>46507</v>
          </cell>
          <cell r="K4402">
            <v>46568</v>
          </cell>
        </row>
        <row r="4403">
          <cell r="J4403">
            <v>46346</v>
          </cell>
          <cell r="K4403">
            <v>46612</v>
          </cell>
        </row>
        <row r="4404">
          <cell r="J4404">
            <v>46346</v>
          </cell>
          <cell r="K4404">
            <v>46476</v>
          </cell>
        </row>
        <row r="4405">
          <cell r="D4405" t="str">
            <v>MOD</v>
          </cell>
          <cell r="E4405" t="str">
            <v>SUPP</v>
          </cell>
          <cell r="F4405" t="str">
            <v>EL</v>
          </cell>
          <cell r="G4405" t="str">
            <v>FAB/SPL</v>
          </cell>
          <cell r="H4405" t="str">
            <v>02T</v>
          </cell>
          <cell r="J4405">
            <v>46346</v>
          </cell>
          <cell r="K4405">
            <v>46402</v>
          </cell>
        </row>
        <row r="4406">
          <cell r="D4406" t="str">
            <v>MOD</v>
          </cell>
          <cell r="E4406" t="str">
            <v>SUPP</v>
          </cell>
          <cell r="F4406" t="str">
            <v>EL</v>
          </cell>
          <cell r="G4406" t="str">
            <v>ERECT</v>
          </cell>
          <cell r="H4406" t="str">
            <v>02T</v>
          </cell>
          <cell r="J4406">
            <v>46373</v>
          </cell>
          <cell r="K4406">
            <v>46476</v>
          </cell>
        </row>
        <row r="4407">
          <cell r="J4407">
            <v>46433</v>
          </cell>
          <cell r="K4407">
            <v>46612</v>
          </cell>
        </row>
        <row r="4408">
          <cell r="D4408" t="str">
            <v>MOD</v>
          </cell>
          <cell r="E4408" t="str">
            <v>TRARY</v>
          </cell>
          <cell r="F4408" t="str">
            <v>EL</v>
          </cell>
          <cell r="G4408" t="str">
            <v>ERECT</v>
          </cell>
          <cell r="H4408" t="str">
            <v>02T</v>
          </cell>
          <cell r="J4408">
            <v>46433</v>
          </cell>
          <cell r="K4408">
            <v>46518</v>
          </cell>
        </row>
        <row r="4409">
          <cell r="D4409" t="str">
            <v>MOD</v>
          </cell>
          <cell r="E4409" t="str">
            <v>CABLE</v>
          </cell>
          <cell r="F4409" t="str">
            <v>EL</v>
          </cell>
          <cell r="G4409" t="str">
            <v>ERECT</v>
          </cell>
          <cell r="H4409" t="str">
            <v>02T</v>
          </cell>
          <cell r="J4409">
            <v>46514</v>
          </cell>
          <cell r="K4409">
            <v>46585</v>
          </cell>
        </row>
        <row r="4410">
          <cell r="D4410" t="str">
            <v>MOD</v>
          </cell>
          <cell r="E4410" t="str">
            <v>GLAND</v>
          </cell>
          <cell r="F4410" t="str">
            <v>EL</v>
          </cell>
          <cell r="G4410" t="str">
            <v>ERECT</v>
          </cell>
          <cell r="H4410" t="str">
            <v>02T</v>
          </cell>
          <cell r="J4410">
            <v>46550</v>
          </cell>
          <cell r="K4410">
            <v>46606</v>
          </cell>
        </row>
        <row r="4411">
          <cell r="D4411" t="str">
            <v>MOD</v>
          </cell>
          <cell r="E4411" t="str">
            <v>TERM</v>
          </cell>
          <cell r="F4411" t="str">
            <v>EL</v>
          </cell>
          <cell r="G4411" t="str">
            <v>ERECT</v>
          </cell>
          <cell r="H4411" t="str">
            <v>02T</v>
          </cell>
          <cell r="J4411">
            <v>46556</v>
          </cell>
          <cell r="K4411">
            <v>46612</v>
          </cell>
        </row>
        <row r="4412">
          <cell r="J4412">
            <v>46487</v>
          </cell>
          <cell r="K4412">
            <v>46592</v>
          </cell>
        </row>
        <row r="4413">
          <cell r="D4413" t="str">
            <v>MOD</v>
          </cell>
          <cell r="E4413" t="str">
            <v>EQUIP</v>
          </cell>
          <cell r="F4413" t="str">
            <v>EL</v>
          </cell>
          <cell r="G4413" t="str">
            <v>ERECT</v>
          </cell>
          <cell r="H4413" t="str">
            <v>02T</v>
          </cell>
          <cell r="J4413">
            <v>46487</v>
          </cell>
          <cell r="K4413">
            <v>46560</v>
          </cell>
        </row>
        <row r="4414">
          <cell r="D4414" t="str">
            <v>MOD</v>
          </cell>
          <cell r="E4414" t="str">
            <v>EIRoom</v>
          </cell>
          <cell r="F4414" t="str">
            <v>EL</v>
          </cell>
          <cell r="G4414" t="str">
            <v>ERECT</v>
          </cell>
          <cell r="H4414" t="str">
            <v>02T</v>
          </cell>
          <cell r="J4414">
            <v>46492</v>
          </cell>
          <cell r="K4414">
            <v>46517</v>
          </cell>
        </row>
        <row r="4415">
          <cell r="D4415" t="str">
            <v>MOD</v>
          </cell>
          <cell r="E4415" t="str">
            <v>LIGHT</v>
          </cell>
          <cell r="F4415" t="str">
            <v>EL</v>
          </cell>
          <cell r="G4415" t="str">
            <v>ERECT</v>
          </cell>
          <cell r="H4415" t="str">
            <v>02T</v>
          </cell>
          <cell r="J4415">
            <v>46512</v>
          </cell>
          <cell r="K4415">
            <v>46571</v>
          </cell>
        </row>
        <row r="4416">
          <cell r="D4416" t="str">
            <v>MOD</v>
          </cell>
          <cell r="E4416" t="str">
            <v>Solar</v>
          </cell>
          <cell r="F4416" t="str">
            <v>EL</v>
          </cell>
          <cell r="G4416" t="str">
            <v>ERECT</v>
          </cell>
          <cell r="H4416" t="str">
            <v>02T</v>
          </cell>
          <cell r="J4416">
            <v>46584</v>
          </cell>
          <cell r="K4416">
            <v>46592</v>
          </cell>
        </row>
        <row r="4417">
          <cell r="J4417">
            <v>46368</v>
          </cell>
          <cell r="K4417">
            <v>46612</v>
          </cell>
        </row>
        <row r="4418">
          <cell r="J4418">
            <v>46368</v>
          </cell>
          <cell r="K4418">
            <v>46504</v>
          </cell>
        </row>
        <row r="4419">
          <cell r="D4419" t="str">
            <v>MOD</v>
          </cell>
          <cell r="E4419" t="str">
            <v>SUPP</v>
          </cell>
          <cell r="F4419" t="str">
            <v>IN</v>
          </cell>
          <cell r="G4419" t="str">
            <v>FAB/SPL</v>
          </cell>
          <cell r="H4419" t="str">
            <v>02T</v>
          </cell>
          <cell r="J4419">
            <v>46368</v>
          </cell>
          <cell r="K4419">
            <v>46434</v>
          </cell>
        </row>
        <row r="4420">
          <cell r="D4420" t="str">
            <v>MOD</v>
          </cell>
          <cell r="E4420" t="str">
            <v>SUPP</v>
          </cell>
          <cell r="F4420" t="str">
            <v>IN</v>
          </cell>
          <cell r="G4420" t="str">
            <v>ERECT</v>
          </cell>
          <cell r="H4420" t="str">
            <v>02T</v>
          </cell>
          <cell r="J4420">
            <v>46389</v>
          </cell>
          <cell r="K4420">
            <v>46504</v>
          </cell>
        </row>
        <row r="4421">
          <cell r="J4421">
            <v>46443</v>
          </cell>
          <cell r="K4421">
            <v>46612</v>
          </cell>
        </row>
        <row r="4422">
          <cell r="D4422" t="str">
            <v>MOD</v>
          </cell>
          <cell r="E4422" t="str">
            <v>TRARY</v>
          </cell>
          <cell r="F4422" t="str">
            <v>IN</v>
          </cell>
          <cell r="G4422" t="str">
            <v>ERECT</v>
          </cell>
          <cell r="H4422" t="str">
            <v>02T</v>
          </cell>
          <cell r="J4422">
            <v>46443</v>
          </cell>
          <cell r="K4422">
            <v>46519</v>
          </cell>
        </row>
        <row r="4423">
          <cell r="D4423" t="str">
            <v>MOD</v>
          </cell>
          <cell r="E4423" t="str">
            <v>CABLE</v>
          </cell>
          <cell r="F4423" t="str">
            <v>IN</v>
          </cell>
          <cell r="G4423" t="str">
            <v>ERECT</v>
          </cell>
          <cell r="H4423" t="str">
            <v>02T</v>
          </cell>
          <cell r="J4423">
            <v>46526</v>
          </cell>
          <cell r="K4423">
            <v>46591</v>
          </cell>
        </row>
        <row r="4424">
          <cell r="D4424" t="str">
            <v>MOD</v>
          </cell>
          <cell r="E4424" t="str">
            <v>GLAND</v>
          </cell>
          <cell r="F4424" t="str">
            <v>IN</v>
          </cell>
          <cell r="G4424" t="str">
            <v>ERECT</v>
          </cell>
          <cell r="H4424" t="str">
            <v>02T</v>
          </cell>
          <cell r="J4424">
            <v>46539</v>
          </cell>
          <cell r="K4424">
            <v>46596</v>
          </cell>
        </row>
        <row r="4425">
          <cell r="D4425" t="str">
            <v>MOD</v>
          </cell>
          <cell r="E4425" t="str">
            <v>TERM</v>
          </cell>
          <cell r="F4425" t="str">
            <v>IN</v>
          </cell>
          <cell r="G4425" t="str">
            <v>ERECT</v>
          </cell>
          <cell r="H4425" t="str">
            <v>02T</v>
          </cell>
          <cell r="J4425">
            <v>46548</v>
          </cell>
          <cell r="K4425">
            <v>46603</v>
          </cell>
        </row>
        <row r="4426">
          <cell r="D4426" t="str">
            <v>MOD</v>
          </cell>
          <cell r="E4426" t="str">
            <v>TUBE</v>
          </cell>
          <cell r="F4426" t="str">
            <v>IN</v>
          </cell>
          <cell r="G4426" t="str">
            <v>ERECT</v>
          </cell>
          <cell r="H4426" t="str">
            <v>02T</v>
          </cell>
          <cell r="J4426">
            <v>46555</v>
          </cell>
          <cell r="K4426">
            <v>46612</v>
          </cell>
        </row>
        <row r="4427">
          <cell r="J4427">
            <v>46479</v>
          </cell>
          <cell r="K4427">
            <v>46582</v>
          </cell>
        </row>
        <row r="4428">
          <cell r="D4428" t="str">
            <v>MOD</v>
          </cell>
          <cell r="E4428" t="str">
            <v>CALIB</v>
          </cell>
          <cell r="F4428" t="str">
            <v>IN</v>
          </cell>
          <cell r="G4428" t="str">
            <v>ERECT</v>
          </cell>
          <cell r="H4428" t="str">
            <v>02T</v>
          </cell>
          <cell r="J4428">
            <v>46479</v>
          </cell>
          <cell r="K4428">
            <v>46553</v>
          </cell>
        </row>
        <row r="4429">
          <cell r="D4429" t="str">
            <v>MOD</v>
          </cell>
          <cell r="E4429" t="str">
            <v>PANEL</v>
          </cell>
          <cell r="F4429" t="str">
            <v>IN</v>
          </cell>
          <cell r="G4429" t="str">
            <v>ERECT</v>
          </cell>
          <cell r="H4429" t="str">
            <v>02T</v>
          </cell>
          <cell r="J4429">
            <v>46496</v>
          </cell>
          <cell r="K4429">
            <v>46568</v>
          </cell>
        </row>
        <row r="4430">
          <cell r="D4430" t="str">
            <v>MOD</v>
          </cell>
          <cell r="E4430" t="str">
            <v>EQUIP</v>
          </cell>
          <cell r="F4430" t="str">
            <v>IN</v>
          </cell>
          <cell r="G4430" t="str">
            <v>ERECT</v>
          </cell>
          <cell r="H4430" t="str">
            <v>02T</v>
          </cell>
          <cell r="J4430">
            <v>46511</v>
          </cell>
          <cell r="K4430">
            <v>46582</v>
          </cell>
        </row>
        <row r="4431">
          <cell r="J4431">
            <v>46377</v>
          </cell>
          <cell r="K4431">
            <v>46574</v>
          </cell>
        </row>
        <row r="4432">
          <cell r="J4432">
            <v>46377</v>
          </cell>
          <cell r="K4432">
            <v>46498</v>
          </cell>
        </row>
        <row r="4433">
          <cell r="D4433" t="str">
            <v>MOD</v>
          </cell>
          <cell r="E4433" t="str">
            <v>SUPP</v>
          </cell>
          <cell r="F4433" t="str">
            <v>TELE</v>
          </cell>
          <cell r="G4433" t="str">
            <v>FAB/SPL</v>
          </cell>
          <cell r="H4433" t="str">
            <v>02T</v>
          </cell>
          <cell r="J4433">
            <v>46377</v>
          </cell>
          <cell r="K4433">
            <v>46442</v>
          </cell>
        </row>
        <row r="4434">
          <cell r="D4434" t="str">
            <v>MOD</v>
          </cell>
          <cell r="E4434" t="str">
            <v>SUPP</v>
          </cell>
          <cell r="F4434" t="str">
            <v>TELE</v>
          </cell>
          <cell r="G4434" t="str">
            <v>ERECT</v>
          </cell>
          <cell r="H4434" t="str">
            <v>02T</v>
          </cell>
          <cell r="J4434">
            <v>46395</v>
          </cell>
          <cell r="K4434">
            <v>46498</v>
          </cell>
        </row>
        <row r="4435">
          <cell r="J4435">
            <v>46433</v>
          </cell>
          <cell r="K4435">
            <v>46574</v>
          </cell>
        </row>
        <row r="4436">
          <cell r="D4436" t="str">
            <v>MOD</v>
          </cell>
          <cell r="E4436" t="str">
            <v>TRARY</v>
          </cell>
          <cell r="F4436" t="str">
            <v>TELE</v>
          </cell>
          <cell r="G4436" t="str">
            <v>ERECT</v>
          </cell>
          <cell r="H4436" t="str">
            <v>02T</v>
          </cell>
          <cell r="J4436">
            <v>46433</v>
          </cell>
          <cell r="K4436">
            <v>46507</v>
          </cell>
        </row>
        <row r="4437">
          <cell r="D4437" t="str">
            <v>MOD</v>
          </cell>
          <cell r="E4437" t="str">
            <v>CABLE</v>
          </cell>
          <cell r="F4437" t="str">
            <v>TELE</v>
          </cell>
          <cell r="G4437" t="str">
            <v>ERECT</v>
          </cell>
          <cell r="H4437" t="str">
            <v>02T</v>
          </cell>
          <cell r="J4437">
            <v>46490</v>
          </cell>
          <cell r="K4437">
            <v>46553</v>
          </cell>
        </row>
        <row r="4438">
          <cell r="D4438" t="str">
            <v>MOD</v>
          </cell>
          <cell r="E4438" t="str">
            <v>GLAND</v>
          </cell>
          <cell r="F4438" t="str">
            <v>TELE</v>
          </cell>
          <cell r="G4438" t="str">
            <v>ERECT</v>
          </cell>
          <cell r="H4438" t="str">
            <v>02T</v>
          </cell>
          <cell r="J4438">
            <v>46512</v>
          </cell>
          <cell r="K4438">
            <v>46569</v>
          </cell>
        </row>
        <row r="4439">
          <cell r="D4439" t="str">
            <v>MOD</v>
          </cell>
          <cell r="E4439" t="str">
            <v>TERM</v>
          </cell>
          <cell r="F4439" t="str">
            <v>TELE</v>
          </cell>
          <cell r="G4439" t="str">
            <v>ERECT</v>
          </cell>
          <cell r="H4439" t="str">
            <v>02T</v>
          </cell>
          <cell r="J4439">
            <v>46517</v>
          </cell>
          <cell r="K4439">
            <v>46574</v>
          </cell>
        </row>
        <row r="4440">
          <cell r="J4440">
            <v>46456</v>
          </cell>
          <cell r="K4440">
            <v>46527</v>
          </cell>
        </row>
        <row r="4441">
          <cell r="D4441" t="str">
            <v>MOD</v>
          </cell>
          <cell r="E4441" t="str">
            <v>EQUIP</v>
          </cell>
          <cell r="F4441" t="str">
            <v>TELE</v>
          </cell>
          <cell r="G4441" t="str">
            <v>ERECT</v>
          </cell>
          <cell r="H4441" t="str">
            <v>02T</v>
          </cell>
          <cell r="J4441">
            <v>46456</v>
          </cell>
          <cell r="K4441">
            <v>46527</v>
          </cell>
        </row>
        <row r="4442">
          <cell r="J4442">
            <v>46443</v>
          </cell>
          <cell r="K4442">
            <v>46570</v>
          </cell>
        </row>
        <row r="4443">
          <cell r="D4443" t="str">
            <v>MOD</v>
          </cell>
          <cell r="E4443" t="str">
            <v>SUPP</v>
          </cell>
          <cell r="F4443" t="str">
            <v>SA</v>
          </cell>
          <cell r="G4443" t="str">
            <v>FAB/SPL</v>
          </cell>
          <cell r="H4443" t="str">
            <v>02T</v>
          </cell>
          <cell r="J4443">
            <v>46443</v>
          </cell>
          <cell r="K4443">
            <v>46477</v>
          </cell>
        </row>
        <row r="4444">
          <cell r="D4444" t="str">
            <v>MOD</v>
          </cell>
          <cell r="E4444" t="str">
            <v>SUPP</v>
          </cell>
          <cell r="F4444" t="str">
            <v>SA</v>
          </cell>
          <cell r="G4444" t="str">
            <v>ERECT</v>
          </cell>
          <cell r="H4444" t="str">
            <v>02T</v>
          </cell>
          <cell r="J4444">
            <v>46478</v>
          </cell>
          <cell r="K4444">
            <v>46514</v>
          </cell>
        </row>
        <row r="4445">
          <cell r="D4445" t="str">
            <v>MOD</v>
          </cell>
          <cell r="E4445" t="str">
            <v>SAFET</v>
          </cell>
          <cell r="F4445" t="str">
            <v>SA</v>
          </cell>
          <cell r="G4445" t="str">
            <v>ERECT</v>
          </cell>
          <cell r="H4445" t="str">
            <v>02T</v>
          </cell>
          <cell r="J4445">
            <v>46513</v>
          </cell>
          <cell r="K4445">
            <v>46570</v>
          </cell>
        </row>
        <row r="4446">
          <cell r="J4446">
            <v>46365</v>
          </cell>
          <cell r="K4446">
            <v>46644</v>
          </cell>
        </row>
        <row r="4447">
          <cell r="J4447">
            <v>46371</v>
          </cell>
          <cell r="K4447">
            <v>46554</v>
          </cell>
        </row>
        <row r="4448">
          <cell r="D4448" t="str">
            <v>MOD</v>
          </cell>
          <cell r="E4448" t="str">
            <v>CLOMN</v>
          </cell>
          <cell r="F4448" t="str">
            <v>CC</v>
          </cell>
          <cell r="G4448" t="str">
            <v>COAT</v>
          </cell>
          <cell r="H4448" t="str">
            <v>02T</v>
          </cell>
          <cell r="J4448">
            <v>46371</v>
          </cell>
          <cell r="K4448">
            <v>46387</v>
          </cell>
        </row>
        <row r="4449">
          <cell r="D4449" t="str">
            <v>MOD</v>
          </cell>
          <cell r="E4449" t="str">
            <v>SUM01</v>
          </cell>
          <cell r="F4449" t="str">
            <v>CC</v>
          </cell>
          <cell r="G4449" t="str">
            <v>COAT</v>
          </cell>
          <cell r="H4449" t="str">
            <v>02T</v>
          </cell>
          <cell r="J4449">
            <v>46403</v>
          </cell>
          <cell r="K4449">
            <v>46436</v>
          </cell>
        </row>
        <row r="4450">
          <cell r="D4450" t="str">
            <v>MOD</v>
          </cell>
          <cell r="E4450" t="str">
            <v>LOW01</v>
          </cell>
          <cell r="F4450" t="str">
            <v>CC</v>
          </cell>
          <cell r="G4450" t="str">
            <v>COAT</v>
          </cell>
          <cell r="H4450" t="str">
            <v>02T</v>
          </cell>
          <cell r="J4450">
            <v>46417</v>
          </cell>
          <cell r="K4450">
            <v>46449</v>
          </cell>
        </row>
        <row r="4451">
          <cell r="D4451" t="str">
            <v>MOD</v>
          </cell>
          <cell r="E4451" t="str">
            <v>Handrail</v>
          </cell>
          <cell r="F4451" t="str">
            <v>CC</v>
          </cell>
          <cell r="G4451" t="str">
            <v>COAT</v>
          </cell>
          <cell r="H4451" t="str">
            <v>02T</v>
          </cell>
          <cell r="J4451">
            <v>46440</v>
          </cell>
          <cell r="K4451">
            <v>46492</v>
          </cell>
        </row>
        <row r="4452">
          <cell r="D4452" t="str">
            <v>MOD</v>
          </cell>
          <cell r="E4452" t="str">
            <v>MEZ01</v>
          </cell>
          <cell r="F4452" t="str">
            <v>CC</v>
          </cell>
          <cell r="G4452" t="str">
            <v>COAT</v>
          </cell>
          <cell r="H4452" t="str">
            <v>02T</v>
          </cell>
          <cell r="J4452">
            <v>46454</v>
          </cell>
          <cell r="K4452">
            <v>46471</v>
          </cell>
        </row>
        <row r="4453">
          <cell r="D4453" t="str">
            <v>MOD</v>
          </cell>
          <cell r="E4453" t="str">
            <v>UPP01</v>
          </cell>
          <cell r="F4453" t="str">
            <v>CC</v>
          </cell>
          <cell r="G4453" t="str">
            <v>COAT</v>
          </cell>
          <cell r="H4453" t="str">
            <v>02T</v>
          </cell>
          <cell r="J4453">
            <v>46469</v>
          </cell>
          <cell r="K4453">
            <v>46492</v>
          </cell>
        </row>
        <row r="4454">
          <cell r="D4454" t="str">
            <v>MOD</v>
          </cell>
          <cell r="E4454" t="str">
            <v>VentBoom01</v>
          </cell>
          <cell r="F4454" t="str">
            <v>CC</v>
          </cell>
          <cell r="G4454" t="str">
            <v>COAT</v>
          </cell>
          <cell r="H4454" t="str">
            <v>02T</v>
          </cell>
          <cell r="J4454">
            <v>46487</v>
          </cell>
          <cell r="K4454">
            <v>46504</v>
          </cell>
        </row>
        <row r="4455">
          <cell r="D4455" t="str">
            <v>MOD</v>
          </cell>
          <cell r="E4455" t="str">
            <v>Solar</v>
          </cell>
          <cell r="F4455" t="str">
            <v>CC</v>
          </cell>
          <cell r="G4455" t="str">
            <v>COAT</v>
          </cell>
          <cell r="H4455" t="str">
            <v>02T</v>
          </cell>
          <cell r="J4455">
            <v>46493</v>
          </cell>
          <cell r="K4455">
            <v>46534</v>
          </cell>
        </row>
        <row r="4456">
          <cell r="D4456" t="str">
            <v>MOD</v>
          </cell>
          <cell r="E4456" t="str">
            <v>HSN</v>
          </cell>
          <cell r="F4456" t="str">
            <v>CC</v>
          </cell>
          <cell r="G4456" t="str">
            <v>COAT</v>
          </cell>
          <cell r="H4456" t="str">
            <v>02T</v>
          </cell>
          <cell r="J4456">
            <v>46535</v>
          </cell>
          <cell r="K4456">
            <v>46554</v>
          </cell>
        </row>
        <row r="4457">
          <cell r="D4457" t="str">
            <v>MOD</v>
          </cell>
          <cell r="E4457" t="str">
            <v>PNP</v>
          </cell>
          <cell r="F4457" t="str">
            <v>CC</v>
          </cell>
          <cell r="G4457" t="str">
            <v>COAT</v>
          </cell>
          <cell r="H4457" t="str">
            <v>02T</v>
          </cell>
          <cell r="J4457">
            <v>46535</v>
          </cell>
          <cell r="K4457">
            <v>46554</v>
          </cell>
        </row>
        <row r="4458">
          <cell r="J4458">
            <v>46386</v>
          </cell>
          <cell r="K4458">
            <v>46554</v>
          </cell>
        </row>
        <row r="4459">
          <cell r="D4459" t="str">
            <v>MOD</v>
          </cell>
          <cell r="E4459" t="str">
            <v>SUPP</v>
          </cell>
          <cell r="F4459" t="str">
            <v>PI</v>
          </cell>
          <cell r="G4459" t="str">
            <v>COAT</v>
          </cell>
          <cell r="H4459" t="str">
            <v>02T</v>
          </cell>
          <cell r="J4459">
            <v>46386</v>
          </cell>
          <cell r="K4459">
            <v>46496</v>
          </cell>
        </row>
        <row r="4460">
          <cell r="D4460" t="str">
            <v>MOD</v>
          </cell>
          <cell r="E4460" t="str">
            <v>PIPE</v>
          </cell>
          <cell r="F4460" t="str">
            <v>PI</v>
          </cell>
          <cell r="G4460" t="str">
            <v>COAT</v>
          </cell>
          <cell r="H4460" t="str">
            <v>02T</v>
          </cell>
          <cell r="J4460">
            <v>46457</v>
          </cell>
          <cell r="K4460">
            <v>46554</v>
          </cell>
        </row>
        <row r="4461">
          <cell r="J4461">
            <v>46365</v>
          </cell>
          <cell r="K4461">
            <v>46515</v>
          </cell>
        </row>
        <row r="4462">
          <cell r="D4462" t="str">
            <v>MOD</v>
          </cell>
          <cell r="E4462" t="str">
            <v>SUPP</v>
          </cell>
          <cell r="F4462" t="str">
            <v>EL</v>
          </cell>
          <cell r="G4462" t="str">
            <v>COAT</v>
          </cell>
          <cell r="H4462" t="str">
            <v>02T</v>
          </cell>
          <cell r="J4462">
            <v>46365</v>
          </cell>
          <cell r="K4462">
            <v>46416</v>
          </cell>
        </row>
        <row r="4463">
          <cell r="D4463" t="str">
            <v>MOD</v>
          </cell>
          <cell r="E4463" t="str">
            <v>SUPP</v>
          </cell>
          <cell r="F4463" t="str">
            <v>IN</v>
          </cell>
          <cell r="G4463" t="str">
            <v>COAT</v>
          </cell>
          <cell r="H4463" t="str">
            <v>02T</v>
          </cell>
          <cell r="J4463">
            <v>46382</v>
          </cell>
          <cell r="K4463">
            <v>46443</v>
          </cell>
        </row>
        <row r="4464">
          <cell r="D4464" t="str">
            <v>MOD</v>
          </cell>
          <cell r="E4464" t="str">
            <v>SUPP</v>
          </cell>
          <cell r="F4464" t="str">
            <v>TELE</v>
          </cell>
          <cell r="G4464" t="str">
            <v>COAT</v>
          </cell>
          <cell r="H4464" t="str">
            <v>02T</v>
          </cell>
          <cell r="J4464">
            <v>46385</v>
          </cell>
          <cell r="K4464">
            <v>46445</v>
          </cell>
        </row>
        <row r="4465">
          <cell r="D4465" t="str">
            <v>MOD</v>
          </cell>
          <cell r="E4465" t="str">
            <v>SUPP</v>
          </cell>
          <cell r="F4465" t="str">
            <v>SA</v>
          </cell>
          <cell r="G4465" t="str">
            <v>COAT</v>
          </cell>
          <cell r="H4465" t="str">
            <v>02T</v>
          </cell>
          <cell r="J4465">
            <v>46461</v>
          </cell>
          <cell r="K4465">
            <v>46496</v>
          </cell>
        </row>
        <row r="4466">
          <cell r="J4466">
            <v>46473</v>
          </cell>
          <cell r="K4466">
            <v>46644</v>
          </cell>
        </row>
        <row r="4467">
          <cell r="D4467" t="str">
            <v>MOD</v>
          </cell>
          <cell r="E4467" t="str">
            <v>TOUCH</v>
          </cell>
          <cell r="F4467" t="str">
            <v>CC</v>
          </cell>
          <cell r="G4467" t="str">
            <v>COAT</v>
          </cell>
          <cell r="H4467" t="str">
            <v>02T</v>
          </cell>
          <cell r="J4467">
            <v>46473</v>
          </cell>
          <cell r="K4467">
            <v>46644</v>
          </cell>
        </row>
        <row r="4468">
          <cell r="D4468" t="str">
            <v>MOD</v>
          </cell>
          <cell r="E4468" t="str">
            <v>TOUCH</v>
          </cell>
          <cell r="F4468" t="str">
            <v>CC</v>
          </cell>
          <cell r="G4468" t="str">
            <v>COAT</v>
          </cell>
          <cell r="H4468" t="str">
            <v>02T</v>
          </cell>
          <cell r="J4468">
            <v>46514</v>
          </cell>
          <cell r="K4468">
            <v>46599</v>
          </cell>
        </row>
        <row r="4469">
          <cell r="D4469" t="str">
            <v>MOD</v>
          </cell>
          <cell r="E4469" t="str">
            <v>TOUCH</v>
          </cell>
          <cell r="F4469" t="str">
            <v>CC</v>
          </cell>
          <cell r="G4469" t="str">
            <v>COAT</v>
          </cell>
          <cell r="H4469" t="str">
            <v>02T</v>
          </cell>
          <cell r="J4469">
            <v>46561</v>
          </cell>
          <cell r="K4469">
            <v>46612</v>
          </cell>
        </row>
        <row r="4470">
          <cell r="J4470">
            <v>46413</v>
          </cell>
          <cell r="K4470">
            <v>46638</v>
          </cell>
        </row>
        <row r="4471">
          <cell r="D4471" t="str">
            <v>MOD</v>
          </cell>
          <cell r="E4471" t="str">
            <v>Scaffold</v>
          </cell>
          <cell r="F4471" t="str">
            <v>CC</v>
          </cell>
          <cell r="G4471" t="str">
            <v>COAT</v>
          </cell>
          <cell r="H4471" t="str">
            <v>02T</v>
          </cell>
          <cell r="J4471">
            <v>46413</v>
          </cell>
          <cell r="K4471">
            <v>46638</v>
          </cell>
        </row>
        <row r="4472">
          <cell r="D4472" t="str">
            <v>MOD</v>
          </cell>
          <cell r="E4472" t="str">
            <v>EQUIP</v>
          </cell>
          <cell r="F4472" t="str">
            <v>CC</v>
          </cell>
          <cell r="G4472" t="str">
            <v>ERECT</v>
          </cell>
          <cell r="H4472" t="str">
            <v>02T</v>
          </cell>
          <cell r="J4472">
            <v>46538</v>
          </cell>
          <cell r="K4472">
            <v>46595</v>
          </cell>
        </row>
        <row r="4473">
          <cell r="D4473" t="str">
            <v>MOD</v>
          </cell>
          <cell r="E4473" t="str">
            <v>PIPE</v>
          </cell>
          <cell r="F4473" t="str">
            <v>CC</v>
          </cell>
          <cell r="G4473" t="str">
            <v>ERECT</v>
          </cell>
          <cell r="H4473" t="str">
            <v>02T</v>
          </cell>
          <cell r="J4473">
            <v>46562</v>
          </cell>
          <cell r="K4473">
            <v>46618</v>
          </cell>
        </row>
        <row r="4474">
          <cell r="J4474">
            <v>46511</v>
          </cell>
          <cell r="K4474">
            <v>46644</v>
          </cell>
        </row>
        <row r="4475">
          <cell r="D4475" t="str">
            <v>MOD</v>
          </cell>
          <cell r="E4475" t="str">
            <v>TEST</v>
          </cell>
          <cell r="F4475" t="str">
            <v>PI</v>
          </cell>
          <cell r="G4475" t="str">
            <v>ERECT</v>
          </cell>
          <cell r="H4475" t="str">
            <v>02T</v>
          </cell>
          <cell r="J4475">
            <v>46511</v>
          </cell>
          <cell r="K4475">
            <v>46605</v>
          </cell>
        </row>
        <row r="4476">
          <cell r="D4476" t="str">
            <v>MOD</v>
          </cell>
          <cell r="E4476" t="str">
            <v>TEST02</v>
          </cell>
          <cell r="F4476" t="str">
            <v>PCC</v>
          </cell>
          <cell r="G4476" t="str">
            <v>PCOMM</v>
          </cell>
          <cell r="H4476" t="str">
            <v>02T</v>
          </cell>
          <cell r="J4476">
            <v>46569</v>
          </cell>
          <cell r="K4476">
            <v>46625</v>
          </cell>
        </row>
        <row r="4477">
          <cell r="D4477" t="str">
            <v>MOD</v>
          </cell>
          <cell r="E4477" t="str">
            <v>TEST</v>
          </cell>
          <cell r="F4477" t="str">
            <v>PCC</v>
          </cell>
          <cell r="G4477" t="str">
            <v>ERECT</v>
          </cell>
          <cell r="H4477" t="str">
            <v>02T</v>
          </cell>
          <cell r="J4477">
            <v>46574</v>
          </cell>
          <cell r="K4477">
            <v>46590</v>
          </cell>
        </row>
        <row r="4478">
          <cell r="D4478" t="str">
            <v>MOD</v>
          </cell>
          <cell r="E4478" t="str">
            <v>PUNCH</v>
          </cell>
          <cell r="F4478" t="str">
            <v>PCC</v>
          </cell>
          <cell r="G4478" t="str">
            <v>PCOMM</v>
          </cell>
          <cell r="H4478" t="str">
            <v>02T</v>
          </cell>
          <cell r="J4478">
            <v>46585</v>
          </cell>
          <cell r="K4478">
            <v>46644</v>
          </cell>
        </row>
        <row r="4479">
          <cell r="J4479">
            <v>46646</v>
          </cell>
          <cell r="K4479">
            <v>46656</v>
          </cell>
        </row>
        <row r="4480">
          <cell r="D4480" t="str">
            <v>MOD</v>
          </cell>
          <cell r="E4480" t="str">
            <v>RFLO</v>
          </cell>
          <cell r="F4480" t="str">
            <v>RFLO</v>
          </cell>
          <cell r="G4480" t="str">
            <v>LOAD</v>
          </cell>
          <cell r="H4480" t="str">
            <v>02T</v>
          </cell>
          <cell r="J4480">
            <v>46646</v>
          </cell>
          <cell r="K4480">
            <v>46656</v>
          </cell>
        </row>
        <row r="4481">
          <cell r="J4481">
            <v>46596</v>
          </cell>
          <cell r="K4481">
            <v>46656</v>
          </cell>
        </row>
        <row r="4482">
          <cell r="J4482">
            <v>46596</v>
          </cell>
          <cell r="K4482">
            <v>46625</v>
          </cell>
        </row>
        <row r="4483">
          <cell r="H4483" t="str">
            <v>01T</v>
          </cell>
          <cell r="J4483">
            <v>46594</v>
          </cell>
          <cell r="K4483">
            <v>46595</v>
          </cell>
        </row>
        <row r="4484">
          <cell r="H4484" t="str">
            <v>02J</v>
          </cell>
          <cell r="J4484">
            <v>46596</v>
          </cell>
          <cell r="K4484">
            <v>46597</v>
          </cell>
        </row>
        <row r="4485">
          <cell r="H4485" t="str">
            <v>02J</v>
          </cell>
          <cell r="K4485">
            <v>46597</v>
          </cell>
        </row>
        <row r="4486">
          <cell r="H4486" t="str">
            <v>01T</v>
          </cell>
          <cell r="K4486">
            <v>46612</v>
          </cell>
        </row>
        <row r="4487">
          <cell r="H4487" t="str">
            <v>02J</v>
          </cell>
          <cell r="K4487" t="str">
            <v>16-Aug-27*</v>
          </cell>
        </row>
        <row r="4488">
          <cell r="H4488" t="str">
            <v>02J</v>
          </cell>
          <cell r="J4488">
            <v>46615</v>
          </cell>
          <cell r="K4488">
            <v>46616</v>
          </cell>
        </row>
        <row r="4489">
          <cell r="H4489" t="str">
            <v>02J</v>
          </cell>
          <cell r="K4489">
            <v>46615</v>
          </cell>
        </row>
        <row r="4490">
          <cell r="H4490" t="str">
            <v>02J</v>
          </cell>
          <cell r="J4490">
            <v>46615</v>
          </cell>
          <cell r="K4490">
            <v>46617</v>
          </cell>
        </row>
        <row r="4491">
          <cell r="H4491" t="str">
            <v>02J</v>
          </cell>
          <cell r="J4491">
            <v>46616</v>
          </cell>
          <cell r="K4491">
            <v>46617</v>
          </cell>
        </row>
        <row r="4492">
          <cell r="H4492" t="str">
            <v>01T</v>
          </cell>
          <cell r="J4492">
            <v>46617</v>
          </cell>
          <cell r="K4492">
            <v>46618</v>
          </cell>
        </row>
        <row r="4493">
          <cell r="H4493" t="str">
            <v>02J</v>
          </cell>
          <cell r="J4493">
            <v>46618</v>
          </cell>
          <cell r="K4493">
            <v>46619</v>
          </cell>
        </row>
        <row r="4494">
          <cell r="H4494" t="str">
            <v>02J</v>
          </cell>
          <cell r="J4494">
            <v>46619</v>
          </cell>
          <cell r="K4494">
            <v>46620</v>
          </cell>
        </row>
        <row r="4495">
          <cell r="H4495" t="str">
            <v>02J</v>
          </cell>
          <cell r="J4495">
            <v>46620</v>
          </cell>
          <cell r="K4495">
            <v>46621</v>
          </cell>
        </row>
        <row r="4496">
          <cell r="H4496" t="str">
            <v>01T</v>
          </cell>
          <cell r="J4496">
            <v>46620</v>
          </cell>
          <cell r="K4496">
            <v>46621</v>
          </cell>
        </row>
        <row r="4497">
          <cell r="H4497" t="str">
            <v>02J</v>
          </cell>
          <cell r="J4497">
            <v>46621</v>
          </cell>
          <cell r="K4497">
            <v>46622</v>
          </cell>
        </row>
        <row r="4498">
          <cell r="H4498" t="str">
            <v>02J</v>
          </cell>
          <cell r="J4498">
            <v>46622</v>
          </cell>
          <cell r="K4498">
            <v>46624</v>
          </cell>
        </row>
        <row r="4499">
          <cell r="H4499" t="str">
            <v>02J</v>
          </cell>
          <cell r="J4499">
            <v>46624</v>
          </cell>
          <cell r="K4499">
            <v>46625</v>
          </cell>
        </row>
        <row r="4500">
          <cell r="H4500" t="str">
            <v>02J</v>
          </cell>
          <cell r="K4500" t="str">
            <v>26-Aug-27*</v>
          </cell>
        </row>
        <row r="4501">
          <cell r="J4501">
            <v>46627</v>
          </cell>
          <cell r="K4501">
            <v>46656</v>
          </cell>
        </row>
        <row r="4502">
          <cell r="H4502" t="str">
            <v>02T</v>
          </cell>
          <cell r="J4502">
            <v>46625</v>
          </cell>
          <cell r="K4502">
            <v>46626</v>
          </cell>
        </row>
        <row r="4503">
          <cell r="H4503" t="str">
            <v>02T</v>
          </cell>
          <cell r="K4503">
            <v>46626</v>
          </cell>
        </row>
        <row r="4504">
          <cell r="H4504" t="str">
            <v>02J</v>
          </cell>
          <cell r="J4504">
            <v>46627</v>
          </cell>
          <cell r="K4504">
            <v>46628</v>
          </cell>
        </row>
        <row r="4505">
          <cell r="H4505" t="str">
            <v>02J</v>
          </cell>
          <cell r="K4505">
            <v>46628</v>
          </cell>
        </row>
        <row r="4506">
          <cell r="H4506" t="str">
            <v>02J</v>
          </cell>
          <cell r="K4506" t="str">
            <v>16-Sep-27*</v>
          </cell>
        </row>
        <row r="4507">
          <cell r="H4507" t="str">
            <v>02J</v>
          </cell>
          <cell r="J4507">
            <v>46646</v>
          </cell>
          <cell r="K4507">
            <v>46647</v>
          </cell>
        </row>
        <row r="4508">
          <cell r="H4508" t="str">
            <v>02J</v>
          </cell>
          <cell r="K4508">
            <v>46646</v>
          </cell>
        </row>
        <row r="4509">
          <cell r="H4509" t="str">
            <v>02J</v>
          </cell>
          <cell r="J4509">
            <v>46646</v>
          </cell>
          <cell r="K4509">
            <v>46648</v>
          </cell>
        </row>
        <row r="4510">
          <cell r="D4510" t="str">
            <v>JKT</v>
          </cell>
          <cell r="E4510" t="str">
            <v>RFLO</v>
          </cell>
          <cell r="F4510" t="str">
            <v>JKT-05</v>
          </cell>
          <cell r="G4510" t="str">
            <v>LOAD</v>
          </cell>
          <cell r="H4510" t="str">
            <v>02J</v>
          </cell>
          <cell r="J4510">
            <v>46646</v>
          </cell>
          <cell r="K4510">
            <v>46656</v>
          </cell>
        </row>
        <row r="4511">
          <cell r="D4511" t="str">
            <v>MOD</v>
          </cell>
          <cell r="E4511" t="str">
            <v>RFLO</v>
          </cell>
          <cell r="F4511" t="str">
            <v>RFLO</v>
          </cell>
          <cell r="G4511" t="str">
            <v>LOAD</v>
          </cell>
          <cell r="H4511" t="str">
            <v>02T</v>
          </cell>
          <cell r="J4511">
            <v>46646</v>
          </cell>
          <cell r="K4511">
            <v>46656</v>
          </cell>
        </row>
        <row r="4512">
          <cell r="H4512" t="str">
            <v>02J</v>
          </cell>
          <cell r="J4512">
            <v>46647</v>
          </cell>
          <cell r="K4512">
            <v>46648</v>
          </cell>
        </row>
        <row r="4513">
          <cell r="H4513" t="str">
            <v>02T</v>
          </cell>
          <cell r="J4513">
            <v>46648</v>
          </cell>
          <cell r="K4513">
            <v>46649</v>
          </cell>
        </row>
        <row r="4514">
          <cell r="H4514" t="str">
            <v>02J</v>
          </cell>
          <cell r="J4514">
            <v>46649</v>
          </cell>
          <cell r="K4514">
            <v>46650</v>
          </cell>
        </row>
        <row r="4515">
          <cell r="H4515" t="str">
            <v>02J</v>
          </cell>
          <cell r="J4515">
            <v>46650</v>
          </cell>
          <cell r="K4515">
            <v>46651</v>
          </cell>
        </row>
        <row r="4516">
          <cell r="H4516" t="str">
            <v>02J</v>
          </cell>
          <cell r="J4516">
            <v>46651</v>
          </cell>
          <cell r="K4516">
            <v>46652</v>
          </cell>
        </row>
        <row r="4517">
          <cell r="H4517" t="str">
            <v>02J</v>
          </cell>
          <cell r="J4517">
            <v>46651</v>
          </cell>
          <cell r="K4517">
            <v>46652</v>
          </cell>
        </row>
        <row r="4518">
          <cell r="H4518" t="str">
            <v>02J</v>
          </cell>
          <cell r="J4518">
            <v>46652</v>
          </cell>
          <cell r="K4518">
            <v>46653</v>
          </cell>
        </row>
        <row r="4519">
          <cell r="H4519" t="str">
            <v>02J</v>
          </cell>
          <cell r="J4519">
            <v>46653</v>
          </cell>
          <cell r="K4519">
            <v>46655</v>
          </cell>
        </row>
        <row r="4520">
          <cell r="H4520" t="str">
            <v>02J</v>
          </cell>
          <cell r="J4520">
            <v>46655</v>
          </cell>
          <cell r="K4520">
            <v>46656</v>
          </cell>
        </row>
        <row r="4521">
          <cell r="H4521" t="str">
            <v>02J</v>
          </cell>
          <cell r="K4521" t="str">
            <v>26-Sep-27*</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导管架（原）"/>
      <sheetName val="导管架"/>
      <sheetName val="算填充量工效"/>
      <sheetName val="Module"/>
    </sheetNames>
    <sheetDataSet>
      <sheetData sheetId="0"/>
      <sheetData sheetId="1">
        <row r="2">
          <cell r="N2" t="str">
            <v>500-1524</v>
          </cell>
          <cell r="O2">
            <v>6.1836753164921401</v>
          </cell>
          <cell r="P2">
            <v>9.8450927875163501</v>
          </cell>
          <cell r="Q2">
            <v>14.7418213125272</v>
          </cell>
        </row>
        <row r="3">
          <cell r="N3">
            <v>750</v>
          </cell>
          <cell r="O3">
            <v>2.1138766322071101</v>
          </cell>
          <cell r="P3">
            <v>4.0638077818926401</v>
          </cell>
          <cell r="Q3">
            <v>6.43967963648773</v>
          </cell>
        </row>
        <row r="4">
          <cell r="N4">
            <v>550</v>
          </cell>
          <cell r="O4">
            <v>1.3143211000633901</v>
          </cell>
          <cell r="P4">
            <v>2.5063170855368502</v>
          </cell>
          <cell r="Q4">
            <v>4.6771951425614198</v>
          </cell>
        </row>
        <row r="5">
          <cell r="N5" t="str">
            <v>400-750</v>
          </cell>
          <cell r="O5">
            <v>1.6966443558569499</v>
          </cell>
          <cell r="P5">
            <v>3.2519715913121399</v>
          </cell>
          <cell r="Q5">
            <v>5.5032859855202396</v>
          </cell>
        </row>
        <row r="6">
          <cell r="N6" t="str">
            <v>450-500</v>
          </cell>
          <cell r="O6">
            <v>1.2968665897850999</v>
          </cell>
          <cell r="P6">
            <v>2.47322624313425</v>
          </cell>
          <cell r="Q6">
            <v>4.6220437385570801</v>
          </cell>
        </row>
        <row r="7">
          <cell r="N7" t="str">
            <v>400-450</v>
          </cell>
          <cell r="O7">
            <v>1.2794120795068</v>
          </cell>
          <cell r="P7">
            <v>2.44013540073164</v>
          </cell>
          <cell r="Q7">
            <v>4.5668923345527404</v>
          </cell>
        </row>
        <row r="8">
          <cell r="N8" t="str">
            <v>406.4-500</v>
          </cell>
          <cell r="O8">
            <v>1.2968665897850999</v>
          </cell>
          <cell r="P8">
            <v>2.47322624313425</v>
          </cell>
          <cell r="Q8">
            <v>4.6220437385570801</v>
          </cell>
        </row>
        <row r="9">
          <cell r="N9">
            <v>450</v>
          </cell>
          <cell r="O9">
            <v>1.2794120795068</v>
          </cell>
          <cell r="P9">
            <v>2.44013540073164</v>
          </cell>
          <cell r="Q9">
            <v>4.5668923345527404</v>
          </cell>
        </row>
      </sheetData>
      <sheetData sheetId="2"/>
      <sheetData sheetId="3"/>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fore Award"/>
      <sheetName val="Equipment List and MR List (3)"/>
      <sheetName val="Procurement progress "/>
      <sheetName val="After Award"/>
      <sheetName val="Expediting Level Definition"/>
      <sheetName val="L3 schedule"/>
      <sheetName val="China Holidays"/>
      <sheetName val="Thai holidays"/>
      <sheetName val="PSR"/>
    </sheetNames>
    <sheetDataSet>
      <sheetData sheetId="0">
        <row r="15">
          <cell r="D15">
            <v>0</v>
          </cell>
        </row>
        <row r="16">
          <cell r="D16" t="str">
            <v>Package Name</v>
          </cell>
        </row>
        <row r="17">
          <cell r="D17" t="str">
            <v>Pedestal Crane</v>
          </cell>
        </row>
        <row r="18">
          <cell r="D18" t="str">
            <v>Pedestal Crane</v>
          </cell>
        </row>
        <row r="19">
          <cell r="D19" t="str">
            <v>Pedestal Crane</v>
          </cell>
        </row>
        <row r="20">
          <cell r="D20" t="str">
            <v>Material Handling Equipment</v>
          </cell>
        </row>
        <row r="21">
          <cell r="D21" t="str">
            <v>Material Handling Equipment</v>
          </cell>
        </row>
        <row r="22">
          <cell r="D22" t="str">
            <v>Material Handling Equipment</v>
          </cell>
        </row>
        <row r="23">
          <cell r="D23" t="str">
            <v>Instrument Gas Filter Coalescer</v>
          </cell>
        </row>
        <row r="24">
          <cell r="D24" t="str">
            <v>Instrument Gas Filter Coalescer</v>
          </cell>
        </row>
        <row r="25">
          <cell r="D25" t="str">
            <v>Instrument Gas Filter Coalescer</v>
          </cell>
        </row>
        <row r="26">
          <cell r="D26" t="str">
            <v>Production &amp; Test Seperator</v>
          </cell>
        </row>
        <row r="27">
          <cell r="D27" t="str">
            <v>Production &amp; Test Seperator</v>
          </cell>
        </row>
        <row r="28">
          <cell r="D28" t="str">
            <v>Production &amp; Test Seperator</v>
          </cell>
        </row>
        <row r="29">
          <cell r="D29" t="str">
            <v>Pig Launcher and Receiver</v>
          </cell>
        </row>
        <row r="30">
          <cell r="D30" t="str">
            <v>Pig Launcher and Receiver</v>
          </cell>
        </row>
        <row r="31">
          <cell r="D31" t="str">
            <v>Pig Launcher and Receiver</v>
          </cell>
        </row>
        <row r="32">
          <cell r="D32" t="str">
            <v>Corrosion Inhibitor Injection Pump</v>
          </cell>
        </row>
        <row r="33">
          <cell r="D33">
            <v>0</v>
          </cell>
        </row>
        <row r="34">
          <cell r="D34">
            <v>0</v>
          </cell>
        </row>
        <row r="35">
          <cell r="D35" t="str">
            <v>Demulsifier/Water Clarifier Injection Pump</v>
          </cell>
        </row>
        <row r="36">
          <cell r="D36" t="str">
            <v>Demulsifier/Water Clarifier Injection Pump</v>
          </cell>
        </row>
        <row r="37">
          <cell r="D37" t="str">
            <v>Demulsifier/Water Clarifier Injection Pump</v>
          </cell>
        </row>
        <row r="38">
          <cell r="D38" t="str">
            <v>De-Oiler Hydrocyclone</v>
          </cell>
        </row>
        <row r="39">
          <cell r="D39" t="str">
            <v>De-Oiler Hydrocyclone</v>
          </cell>
        </row>
        <row r="40">
          <cell r="D40" t="str">
            <v>De-Oiler Hydrocyclone</v>
          </cell>
        </row>
        <row r="41">
          <cell r="D41" t="str">
            <v>Degasser</v>
          </cell>
        </row>
        <row r="42">
          <cell r="D42" t="str">
            <v>Degasser</v>
          </cell>
        </row>
        <row r="43">
          <cell r="D43" t="str">
            <v>Degasser</v>
          </cell>
        </row>
        <row r="44">
          <cell r="D44" t="str">
            <v>Skim Tank Vessel</v>
          </cell>
        </row>
        <row r="45">
          <cell r="D45" t="str">
            <v>Skim Tank Vessel</v>
          </cell>
        </row>
        <row r="46">
          <cell r="D46" t="str">
            <v>Skim Tank Vessel</v>
          </cell>
        </row>
        <row r="47">
          <cell r="D47" t="str">
            <v>Closed Drain Sump Vessel</v>
          </cell>
        </row>
        <row r="48">
          <cell r="D48" t="str">
            <v>Closed Drain Sump Vessel</v>
          </cell>
        </row>
        <row r="49">
          <cell r="D49" t="str">
            <v>Closed Drain Sump Vessel</v>
          </cell>
        </row>
        <row r="50">
          <cell r="D50" t="str">
            <v>Storage Tote Tank</v>
          </cell>
        </row>
        <row r="51">
          <cell r="D51" t="str">
            <v>Storage Tote Tank</v>
          </cell>
        </row>
        <row r="52">
          <cell r="D52" t="str">
            <v>Storage Tote Tank</v>
          </cell>
        </row>
        <row r="53">
          <cell r="D53" t="str">
            <v>Storage Tank</v>
          </cell>
        </row>
        <row r="54">
          <cell r="D54" t="str">
            <v>Storage Tank</v>
          </cell>
        </row>
        <row r="55">
          <cell r="D55" t="str">
            <v>Storage Tank</v>
          </cell>
        </row>
        <row r="56">
          <cell r="D56" t="str">
            <v>Closed Drain Sump Pump</v>
          </cell>
        </row>
        <row r="57">
          <cell r="D57" t="str">
            <v>Closed Drain Sump Pump</v>
          </cell>
        </row>
        <row r="58">
          <cell r="D58" t="str">
            <v>Closed Drain Sump Pump</v>
          </cell>
        </row>
        <row r="59">
          <cell r="D59" t="str">
            <v>Diesel Transfer Pump</v>
          </cell>
        </row>
        <row r="60">
          <cell r="D60" t="str">
            <v>Diesel Transfer Pump</v>
          </cell>
        </row>
        <row r="61">
          <cell r="D61" t="str">
            <v>Diesel Transfer Pump</v>
          </cell>
        </row>
        <row r="62">
          <cell r="D62" t="str">
            <v>Open Drain Caisson Pump</v>
          </cell>
        </row>
        <row r="63">
          <cell r="D63" t="str">
            <v>Open Drain Caisson Pump</v>
          </cell>
        </row>
        <row r="64">
          <cell r="D64" t="str">
            <v>Open Drain Caisson Pump</v>
          </cell>
        </row>
        <row r="65">
          <cell r="D65" t="str">
            <v>DC Distribution Board</v>
          </cell>
        </row>
        <row r="66">
          <cell r="D66" t="str">
            <v>DC Distribution Board</v>
          </cell>
        </row>
        <row r="67">
          <cell r="D67" t="str">
            <v>DC Distribution Board</v>
          </cell>
        </row>
        <row r="68">
          <cell r="D68" t="str">
            <v>Solar Power System</v>
          </cell>
        </row>
        <row r="69">
          <cell r="D69" t="str">
            <v>Solar Power System</v>
          </cell>
        </row>
        <row r="70">
          <cell r="D70" t="str">
            <v>Solar Power System</v>
          </cell>
        </row>
        <row r="71">
          <cell r="D71" t="str">
            <v>Navigation Aid System</v>
          </cell>
        </row>
        <row r="72">
          <cell r="D72" t="str">
            <v>Navigation Aid System</v>
          </cell>
        </row>
        <row r="73">
          <cell r="D73" t="str">
            <v>Navigation Aid System</v>
          </cell>
        </row>
        <row r="74">
          <cell r="D74" t="str">
            <v>External Battery Charger</v>
          </cell>
        </row>
        <row r="75">
          <cell r="D75" t="str">
            <v>External Battery Charger</v>
          </cell>
        </row>
        <row r="76">
          <cell r="D76" t="str">
            <v>External Battery Charger</v>
          </cell>
        </row>
        <row r="77">
          <cell r="D77" t="str">
            <v>Control Valve</v>
          </cell>
        </row>
        <row r="78">
          <cell r="D78" t="str">
            <v>Control Valve</v>
          </cell>
        </row>
        <row r="79">
          <cell r="D79" t="str">
            <v>Control Valve</v>
          </cell>
        </row>
        <row r="80">
          <cell r="D80" t="str">
            <v>Self Regulator Valve</v>
          </cell>
        </row>
        <row r="81">
          <cell r="D81" t="str">
            <v>Self Regulator Valve</v>
          </cell>
        </row>
        <row r="82">
          <cell r="D82" t="str">
            <v>Self Regulator Valve</v>
          </cell>
        </row>
        <row r="83">
          <cell r="D83" t="str">
            <v>Actuated Choke Valve</v>
          </cell>
        </row>
        <row r="84">
          <cell r="D84" t="str">
            <v>Actuated Choke Valve</v>
          </cell>
        </row>
        <row r="85">
          <cell r="D85" t="str">
            <v>Actuated Choke Valve</v>
          </cell>
        </row>
        <row r="86">
          <cell r="D86" t="str">
            <v>Actuated Ball Valve</v>
          </cell>
        </row>
        <row r="87">
          <cell r="D87" t="str">
            <v>Actuated Ball Valve</v>
          </cell>
        </row>
        <row r="88">
          <cell r="D88" t="str">
            <v>Actuated Ball Valve</v>
          </cell>
        </row>
        <row r="89">
          <cell r="D89" t="str">
            <v>Actuated Compact Ball Valve</v>
          </cell>
        </row>
        <row r="90">
          <cell r="D90" t="str">
            <v>Actuated Compact Ball Valve</v>
          </cell>
        </row>
        <row r="91">
          <cell r="D91" t="str">
            <v>Actuated Compact Ball Valve</v>
          </cell>
        </row>
        <row r="92">
          <cell r="D92" t="str">
            <v>Safety Relief Valves</v>
          </cell>
        </row>
        <row r="93">
          <cell r="D93" t="str">
            <v>Safety Relief Valves</v>
          </cell>
        </row>
        <row r="94">
          <cell r="D94" t="str">
            <v>Safety Relief Valves</v>
          </cell>
        </row>
        <row r="95">
          <cell r="D95" t="str">
            <v>Coriolis Flow Meters</v>
          </cell>
        </row>
        <row r="96">
          <cell r="D96" t="str">
            <v>Coriolis Flow Meters</v>
          </cell>
        </row>
        <row r="97">
          <cell r="D97" t="str">
            <v>Coriolis Flow Meters</v>
          </cell>
        </row>
        <row r="98">
          <cell r="D98" t="str">
            <v>Wellhead Control Panel (WHCP)</v>
          </cell>
        </row>
        <row r="99">
          <cell r="D99" t="str">
            <v>Wellhead Control Panel (WHCP)</v>
          </cell>
        </row>
        <row r="100">
          <cell r="D100" t="str">
            <v>Wellhead Control Panel (WHCP)</v>
          </cell>
        </row>
        <row r="101">
          <cell r="D101" t="str">
            <v>Pressure Gauge</v>
          </cell>
        </row>
        <row r="102">
          <cell r="D102" t="str">
            <v>Pressure Gauge</v>
          </cell>
        </row>
        <row r="103">
          <cell r="D103" t="str">
            <v>Pressure Gauge</v>
          </cell>
        </row>
        <row r="104">
          <cell r="D104" t="str">
            <v>Pressure Transmitter</v>
          </cell>
        </row>
        <row r="105">
          <cell r="D105" t="str">
            <v>Pressure Transmitter</v>
          </cell>
        </row>
        <row r="106">
          <cell r="D106" t="str">
            <v>Pressure Transmitter</v>
          </cell>
        </row>
        <row r="107">
          <cell r="D107" t="str">
            <v>Temperature Gauge</v>
          </cell>
        </row>
        <row r="108">
          <cell r="D108" t="str">
            <v>Temperature Gauge</v>
          </cell>
        </row>
        <row r="109">
          <cell r="D109" t="str">
            <v>Temperature Gauge</v>
          </cell>
        </row>
        <row r="110">
          <cell r="D110" t="str">
            <v>Temperature Transmitter</v>
          </cell>
        </row>
        <row r="111">
          <cell r="D111" t="str">
            <v>Temperature Transmitter</v>
          </cell>
        </row>
        <row r="112">
          <cell r="D112" t="str">
            <v>Temperature Transmitter</v>
          </cell>
        </row>
        <row r="113">
          <cell r="D113" t="str">
            <v>Vortex Flow Meter</v>
          </cell>
        </row>
        <row r="114">
          <cell r="D114" t="str">
            <v>Vortex Flow Meter</v>
          </cell>
        </row>
        <row r="115">
          <cell r="D115" t="str">
            <v>Vortex Flow Meter</v>
          </cell>
        </row>
        <row r="116">
          <cell r="D116" t="str">
            <v>Level Transmitter and Gauge</v>
          </cell>
        </row>
        <row r="117">
          <cell r="D117" t="str">
            <v>Level Transmitter and Gauge</v>
          </cell>
        </row>
        <row r="118">
          <cell r="D118" t="str">
            <v>Level Transmitter and Gauge</v>
          </cell>
        </row>
        <row r="119">
          <cell r="D119" t="str">
            <v>Pig Signaller</v>
          </cell>
        </row>
        <row r="120">
          <cell r="D120" t="str">
            <v>Pig Signaller</v>
          </cell>
        </row>
        <row r="121">
          <cell r="D121" t="str">
            <v>Pig Signaller</v>
          </cell>
        </row>
        <row r="122">
          <cell r="D122" t="str">
            <v>Rrestriction Orifice</v>
          </cell>
        </row>
        <row r="123">
          <cell r="D123" t="str">
            <v>Rrestriction Orifice</v>
          </cell>
        </row>
        <row r="124">
          <cell r="D124" t="str">
            <v>Rrestriction Orifice</v>
          </cell>
        </row>
        <row r="125">
          <cell r="D125" t="str">
            <v>PLC System</v>
          </cell>
        </row>
        <row r="126">
          <cell r="D126" t="str">
            <v>PLC System</v>
          </cell>
        </row>
        <row r="127">
          <cell r="D127" t="str">
            <v>PLC System</v>
          </cell>
        </row>
        <row r="128">
          <cell r="D128" t="str">
            <v>Fire and Gas Detector</v>
          </cell>
        </row>
        <row r="129">
          <cell r="D129" t="str">
            <v>Fire and Gas Detector</v>
          </cell>
        </row>
        <row r="130">
          <cell r="D130" t="str">
            <v>Fire and Gas Detector</v>
          </cell>
        </row>
        <row r="131">
          <cell r="D131" t="str">
            <v>Dip Tape Level Indicator</v>
          </cell>
        </row>
        <row r="132">
          <cell r="D132" t="str">
            <v>Dip Tape Level Indicator</v>
          </cell>
        </row>
        <row r="133">
          <cell r="D133" t="str">
            <v>Dip Tape Level Indicator</v>
          </cell>
        </row>
        <row r="134">
          <cell r="D134" t="str">
            <v>Position Limit Switches</v>
          </cell>
        </row>
        <row r="135">
          <cell r="D135" t="str">
            <v>Position Limit Switches</v>
          </cell>
        </row>
        <row r="136">
          <cell r="D136" t="str">
            <v>Position Limit Switches</v>
          </cell>
        </row>
        <row r="137">
          <cell r="D137" t="str">
            <v>Guided Wave Radar Level Transmitter</v>
          </cell>
        </row>
        <row r="138">
          <cell r="D138" t="str">
            <v>Guided Wave Radar Level Transmitter</v>
          </cell>
        </row>
        <row r="139">
          <cell r="D139" t="str">
            <v>Guided Wave Radar Level Transmitter</v>
          </cell>
        </row>
        <row r="140">
          <cell r="D140" t="str">
            <v>Oil in Water Analyzer</v>
          </cell>
        </row>
        <row r="141">
          <cell r="D141" t="str">
            <v>Oil in Water Analyzer</v>
          </cell>
        </row>
        <row r="142">
          <cell r="D142" t="str">
            <v>Oil in Water Analyzer</v>
          </cell>
        </row>
        <row r="143">
          <cell r="D143" t="str">
            <v>Level Switch</v>
          </cell>
        </row>
        <row r="144">
          <cell r="D144" t="str">
            <v>Level Switch</v>
          </cell>
        </row>
        <row r="145">
          <cell r="D145" t="str">
            <v>Level Switch</v>
          </cell>
        </row>
        <row r="146">
          <cell r="D146" t="str">
            <v>Flow Switch</v>
          </cell>
        </row>
        <row r="147">
          <cell r="D147" t="str">
            <v>Flow Switch</v>
          </cell>
        </row>
        <row r="148">
          <cell r="D148" t="str">
            <v>Flow Switch</v>
          </cell>
        </row>
        <row r="149">
          <cell r="D149" t="str">
            <v>SCADA System</v>
          </cell>
        </row>
        <row r="150">
          <cell r="D150" t="str">
            <v>SCADA System</v>
          </cell>
        </row>
        <row r="151">
          <cell r="D151" t="str">
            <v>SCADA System</v>
          </cell>
        </row>
        <row r="152">
          <cell r="D152" t="str">
            <v>Telecommunication System (WiMAX, Telephone, Marine Radio)</v>
          </cell>
        </row>
        <row r="153">
          <cell r="D153" t="str">
            <v>Telecommunication System (WiMAX, Telephone, Marine Radio)</v>
          </cell>
        </row>
        <row r="154">
          <cell r="D154" t="str">
            <v>Telecommunication System (WiMAX, Telephone, Marine Radio)</v>
          </cell>
        </row>
        <row r="155">
          <cell r="D155" t="str">
            <v>Marine Racon</v>
          </cell>
        </row>
        <row r="156">
          <cell r="D156" t="str">
            <v>Marine Racon</v>
          </cell>
        </row>
        <row r="157">
          <cell r="D157" t="str">
            <v>Marine Racon</v>
          </cell>
        </row>
        <row r="158">
          <cell r="D158" t="str">
            <v>BALL VALVE (FLANGE END)</v>
          </cell>
        </row>
        <row r="159">
          <cell r="D159" t="str">
            <v>BALL VALVE (FLANGE END)</v>
          </cell>
        </row>
        <row r="160">
          <cell r="D160" t="str">
            <v>BALL VALVE (FLANGE END)</v>
          </cell>
        </row>
        <row r="161">
          <cell r="D161" t="str">
            <v>GLOBE VALVE (FLANGE END)</v>
          </cell>
        </row>
        <row r="162">
          <cell r="D162" t="str">
            <v>GLOBE VALVE (FLANGE END)</v>
          </cell>
        </row>
        <row r="163">
          <cell r="D163" t="str">
            <v>GLOBE VALVE (FLANGE END)</v>
          </cell>
        </row>
        <row r="164">
          <cell r="D164" t="str">
            <v>GLOBE VALVE (WELDED END)</v>
          </cell>
        </row>
        <row r="165">
          <cell r="D165" t="str">
            <v>GLOBE VALVE (WELDED END)</v>
          </cell>
        </row>
        <row r="166">
          <cell r="D166" t="str">
            <v>GLOBE VALVE (WELDED END)</v>
          </cell>
        </row>
        <row r="167">
          <cell r="D167" t="str">
            <v>CHECK VALVE (FLANGE END)</v>
          </cell>
        </row>
        <row r="168">
          <cell r="D168" t="str">
            <v>CHECK VALVE (FLANGE END)</v>
          </cell>
        </row>
        <row r="169">
          <cell r="D169" t="str">
            <v>CHECK VALVE (FLANGE END)</v>
          </cell>
        </row>
        <row r="170">
          <cell r="D170" t="str">
            <v>CHECK VALVE (WELDED END)</v>
          </cell>
        </row>
        <row r="171">
          <cell r="D171" t="str">
            <v>CHECK VALVE (WELDED END)</v>
          </cell>
        </row>
        <row r="172">
          <cell r="D172" t="str">
            <v>CHECK VALVE (WELDED END)</v>
          </cell>
        </row>
        <row r="173">
          <cell r="D173" t="str">
            <v>COMPACT CHECK VALVE (WELDED END)</v>
          </cell>
        </row>
        <row r="174">
          <cell r="D174" t="str">
            <v>COMPACT CHECK VALVE (WELDED END)</v>
          </cell>
        </row>
        <row r="175">
          <cell r="D175" t="str">
            <v>COMPACT CHECK VALVE (WELDED END)</v>
          </cell>
        </row>
        <row r="176">
          <cell r="D176" t="str">
            <v>Primary Steel - Plates for topside</v>
          </cell>
        </row>
        <row r="177">
          <cell r="D177" t="str">
            <v>Primary Steel - Plate</v>
          </cell>
        </row>
        <row r="178">
          <cell r="D178" t="str">
            <v>Primary Steel - Plate</v>
          </cell>
        </row>
        <row r="179">
          <cell r="D179" t="str">
            <v>Primary Steel -  Joint Connection for Topside</v>
          </cell>
        </row>
        <row r="180">
          <cell r="D180">
            <v>0</v>
          </cell>
        </row>
        <row r="181">
          <cell r="D181">
            <v>0</v>
          </cell>
        </row>
        <row r="182">
          <cell r="D182" t="str">
            <v>Primary Steel - Beam for topside (Standard)</v>
          </cell>
        </row>
        <row r="183">
          <cell r="D183" t="str">
            <v>Primary Steel - Beam</v>
          </cell>
        </row>
        <row r="184">
          <cell r="D184" t="str">
            <v>Primary Steel - Beam</v>
          </cell>
        </row>
        <row r="185">
          <cell r="D185" t="str">
            <v>Primary Steel - Beam for topside (non-standard)</v>
          </cell>
        </row>
        <row r="186">
          <cell r="D186" t="str">
            <v>Primary Steel - Beam</v>
          </cell>
        </row>
        <row r="187">
          <cell r="D187" t="str">
            <v>Primary Steel - Beam</v>
          </cell>
        </row>
        <row r="188">
          <cell r="D188" t="str">
            <v>Primary Steel - Seamless Pipe for topside</v>
          </cell>
        </row>
        <row r="189">
          <cell r="D189" t="str">
            <v>Primary Steel - Seamless Pipe</v>
          </cell>
        </row>
        <row r="190">
          <cell r="D190" t="str">
            <v>Primary Steel - Seamless Pipe</v>
          </cell>
        </row>
        <row r="191">
          <cell r="D191" t="str">
            <v>Primary Steel - Tubular for topside</v>
          </cell>
        </row>
        <row r="192">
          <cell r="D192">
            <v>0</v>
          </cell>
        </row>
        <row r="193">
          <cell r="D193">
            <v>0</v>
          </cell>
        </row>
        <row r="194">
          <cell r="D194" t="str">
            <v>Primary Steel - Plates for jacket</v>
          </cell>
        </row>
        <row r="195">
          <cell r="D195" t="str">
            <v>Primary Steel - Plate</v>
          </cell>
        </row>
        <row r="196">
          <cell r="D196" t="str">
            <v>Primary Steel - Plate</v>
          </cell>
        </row>
        <row r="197">
          <cell r="D197" t="str">
            <v>Primary Steel -Beam for jacket</v>
          </cell>
        </row>
        <row r="198">
          <cell r="D198">
            <v>0</v>
          </cell>
        </row>
        <row r="199">
          <cell r="D199">
            <v>0</v>
          </cell>
        </row>
        <row r="200">
          <cell r="D200" t="str">
            <v>Primary Steel -Tubular for jacket (column)</v>
          </cell>
        </row>
        <row r="201">
          <cell r="D201">
            <v>0</v>
          </cell>
        </row>
        <row r="202">
          <cell r="D202">
            <v>0</v>
          </cell>
        </row>
        <row r="203">
          <cell r="D203" t="str">
            <v>Primary Steel -Tubular for jacket (bracing)</v>
          </cell>
        </row>
        <row r="204">
          <cell r="D204">
            <v>0</v>
          </cell>
        </row>
        <row r="205">
          <cell r="D205">
            <v>0</v>
          </cell>
        </row>
        <row r="206">
          <cell r="D206" t="str">
            <v>Primary Steel - Plates for Pile</v>
          </cell>
        </row>
        <row r="207">
          <cell r="D207" t="str">
            <v>Primary Steel - Plate</v>
          </cell>
        </row>
        <row r="208">
          <cell r="D208" t="str">
            <v>Primary Steel - Plate</v>
          </cell>
        </row>
        <row r="209">
          <cell r="D209" t="str">
            <v>Primary Steel -Tubular for Pile</v>
          </cell>
        </row>
        <row r="210">
          <cell r="D210">
            <v>0</v>
          </cell>
        </row>
        <row r="211">
          <cell r="D211">
            <v>0</v>
          </cell>
        </row>
        <row r="212">
          <cell r="D212" t="str">
            <v>Special items</v>
          </cell>
        </row>
        <row r="213">
          <cell r="D213">
            <v>0</v>
          </cell>
        </row>
        <row r="214">
          <cell r="D214">
            <v>0</v>
          </cell>
        </row>
        <row r="215">
          <cell r="D215" t="str">
            <v>SPECIAL PIPE SUPPORT</v>
          </cell>
        </row>
        <row r="216">
          <cell r="D216" t="str">
            <v>SPECIAL PIPE SUPPORT</v>
          </cell>
        </row>
        <row r="217">
          <cell r="D217" t="str">
            <v>SPECIAL PIPE SUPPORT</v>
          </cell>
        </row>
        <row r="218">
          <cell r="D218" t="str">
            <v>CS Fitting</v>
          </cell>
        </row>
        <row r="219">
          <cell r="D219" t="str">
            <v>CS Fitting</v>
          </cell>
        </row>
        <row r="220">
          <cell r="D220" t="str">
            <v>CS Fitting</v>
          </cell>
        </row>
        <row r="221">
          <cell r="D221" t="str">
            <v>SS &amp; DSS Fitting</v>
          </cell>
        </row>
        <row r="222">
          <cell r="D222" t="str">
            <v>SS &amp; DSS Fitting</v>
          </cell>
        </row>
        <row r="223">
          <cell r="D223" t="str">
            <v>SS &amp; DSS Fitting</v>
          </cell>
        </row>
        <row r="224">
          <cell r="D224" t="str">
            <v>CS Flange</v>
          </cell>
        </row>
        <row r="225">
          <cell r="D225" t="str">
            <v>CS Flange</v>
          </cell>
        </row>
        <row r="226">
          <cell r="D226" t="str">
            <v>CS Flange</v>
          </cell>
        </row>
        <row r="227">
          <cell r="D227" t="str">
            <v>SS &amp; DSS Flange</v>
          </cell>
        </row>
        <row r="228">
          <cell r="D228" t="str">
            <v>SS &amp; DSS Flange</v>
          </cell>
        </row>
        <row r="229">
          <cell r="D229" t="str">
            <v>SS &amp; DSS Flange</v>
          </cell>
        </row>
        <row r="230">
          <cell r="D230" t="str">
            <v>SAW Welded Pipe</v>
          </cell>
        </row>
        <row r="231">
          <cell r="D231" t="str">
            <v>SAW Welded Pipe</v>
          </cell>
        </row>
        <row r="232">
          <cell r="D232" t="str">
            <v>SAW Welded Pipe</v>
          </cell>
        </row>
        <row r="233">
          <cell r="D233" t="str">
            <v>CS Pipe</v>
          </cell>
        </row>
        <row r="234">
          <cell r="D234" t="str">
            <v>CS Pipe</v>
          </cell>
        </row>
        <row r="235">
          <cell r="D235" t="str">
            <v>CS Pipe</v>
          </cell>
        </row>
        <row r="236">
          <cell r="D236" t="str">
            <v>DSS Pipes</v>
          </cell>
        </row>
        <row r="237">
          <cell r="D237" t="str">
            <v>DSS Pipes</v>
          </cell>
        </row>
        <row r="238">
          <cell r="D238" t="str">
            <v>DSS Pipes</v>
          </cell>
        </row>
        <row r="239">
          <cell r="D239" t="str">
            <v>Steamless SS pipes</v>
          </cell>
        </row>
        <row r="240">
          <cell r="D240" t="str">
            <v>Steamless SS pipes</v>
          </cell>
        </row>
        <row r="241">
          <cell r="D241" t="str">
            <v>Steamless SS pipes</v>
          </cell>
        </row>
        <row r="242">
          <cell r="D242" t="str">
            <v>Bolts &amp; Nuts</v>
          </cell>
        </row>
        <row r="243">
          <cell r="D243" t="str">
            <v>Bolts &amp; Nuts</v>
          </cell>
        </row>
        <row r="244">
          <cell r="D244" t="str">
            <v>Bolts &amp; Nuts</v>
          </cell>
        </row>
        <row r="245">
          <cell r="D245" t="str">
            <v>Gasket</v>
          </cell>
        </row>
        <row r="246">
          <cell r="D246" t="str">
            <v>Gasket</v>
          </cell>
        </row>
        <row r="247">
          <cell r="D247" t="str">
            <v>Gasket</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FC000"/>
    <pageSetUpPr fitToPage="1"/>
  </sheetPr>
  <dimension ref="A1:AS316"/>
  <sheetViews>
    <sheetView tabSelected="1" topLeftCell="A16" zoomScale="85" zoomScaleNormal="85" zoomScaleSheetLayoutView="55" workbookViewId="0">
      <pane xSplit="14" ySplit="3" topLeftCell="O138" activePane="bottomRight" state="frozen"/>
      <selection pane="topRight"/>
      <selection pane="bottomLeft"/>
      <selection pane="bottomRight" activeCell="U296" sqref="U296"/>
    </sheetView>
  </sheetViews>
  <sheetFormatPr defaultColWidth="9" defaultRowHeight="13.5" outlineLevelCol="1"/>
  <cols>
    <col min="1" max="1" width="6.46484375" style="552" customWidth="1"/>
    <col min="2" max="2" width="15.1328125" style="553" customWidth="1"/>
    <col min="3" max="3" width="37.6640625" style="554" customWidth="1"/>
    <col min="4" max="4" width="8.86328125" style="552" hidden="1" customWidth="1"/>
    <col min="5" max="5" width="8.86328125" style="553" hidden="1" customWidth="1"/>
    <col min="6" max="6" width="8.86328125" style="552" hidden="1" customWidth="1"/>
    <col min="7" max="7" width="10.1328125" style="554" hidden="1" customWidth="1"/>
    <col min="8" max="8" width="11.796875" style="553" hidden="1" customWidth="1"/>
    <col min="9" max="9" width="17" style="553" customWidth="1"/>
    <col min="10" max="10" width="12.46484375" style="553" hidden="1" customWidth="1"/>
    <col min="11" max="11" width="9.46484375" style="553" hidden="1" customWidth="1"/>
    <col min="12" max="12" width="0.19921875" style="553" customWidth="1"/>
    <col min="13" max="13" width="11.1328125" style="555" customWidth="1"/>
    <col min="14" max="14" width="13.46484375" style="553" hidden="1" customWidth="1" outlineLevel="1"/>
    <col min="15" max="15" width="11.796875" style="546" customWidth="1" outlineLevel="1"/>
    <col min="16" max="16" width="11.86328125" style="546" customWidth="1" outlineLevel="1"/>
    <col min="17" max="17" width="10.19921875" style="546" customWidth="1" outlineLevel="1"/>
    <col min="18" max="18" width="10.796875" style="546" customWidth="1" outlineLevel="1"/>
    <col min="19" max="19" width="10.86328125" style="546" customWidth="1" outlineLevel="1"/>
    <col min="20" max="20" width="12.33203125" style="546" customWidth="1" outlineLevel="1"/>
    <col min="21" max="21" width="11.19921875" style="546" customWidth="1" outlineLevel="1"/>
    <col min="22" max="22" width="11.46484375" style="546" customWidth="1" outlineLevel="1"/>
    <col min="23" max="23" width="11.46484375" style="546" customWidth="1"/>
    <col min="24" max="24" width="13.46484375" style="546" customWidth="1"/>
    <col min="25" max="25" width="14.1328125" style="553" customWidth="1"/>
    <col min="26" max="27" width="12.1328125" style="553" customWidth="1"/>
    <col min="28" max="28" width="14.1328125" style="553" customWidth="1"/>
    <col min="29" max="30" width="15.1328125" style="553" customWidth="1"/>
    <col min="31" max="31" width="14.19921875" style="553" customWidth="1"/>
    <col min="32" max="32" width="11.46484375" style="553" customWidth="1" outlineLevel="1"/>
    <col min="33" max="35" width="13.53125" style="553" customWidth="1"/>
    <col min="36" max="36" width="16.86328125" style="553" customWidth="1"/>
    <col min="37" max="37" width="10.796875" style="554" customWidth="1"/>
    <col min="38" max="38" width="9.86328125" style="552" customWidth="1"/>
    <col min="39" max="39" width="13.796875" style="556" customWidth="1"/>
    <col min="40" max="40" width="13.796875" style="557" customWidth="1"/>
    <col min="41" max="41" width="9.86328125" style="557" customWidth="1"/>
    <col min="42" max="42" width="15" style="557" hidden="1" customWidth="1"/>
    <col min="43" max="43" width="13" style="554" hidden="1" customWidth="1"/>
    <col min="44" max="44" width="21.73046875" style="558" customWidth="1"/>
    <col min="45" max="45" width="28" style="553" customWidth="1"/>
    <col min="46" max="16384" width="9" style="553"/>
  </cols>
  <sheetData>
    <row r="1" spans="1:45" ht="13.8" hidden="1" customHeight="1">
      <c r="AN1" s="556"/>
    </row>
    <row r="2" spans="1:45" ht="13.8" hidden="1" customHeight="1">
      <c r="B2" s="559" t="s">
        <v>0</v>
      </c>
      <c r="C2" s="560" t="s">
        <v>1</v>
      </c>
      <c r="D2" s="561"/>
      <c r="F2" s="561"/>
      <c r="AN2" s="556"/>
    </row>
    <row r="3" spans="1:45" ht="13.8" hidden="1" customHeight="1">
      <c r="C3" s="560" t="s">
        <v>2</v>
      </c>
      <c r="D3" s="561"/>
      <c r="F3" s="561"/>
      <c r="AN3" s="556"/>
    </row>
    <row r="4" spans="1:45" ht="13.8" hidden="1" customHeight="1">
      <c r="C4" s="560" t="s">
        <v>3</v>
      </c>
      <c r="D4" s="561"/>
      <c r="F4" s="561"/>
      <c r="AN4" s="556"/>
    </row>
    <row r="5" spans="1:45" ht="15.6" hidden="1" customHeight="1">
      <c r="B5" s="562"/>
      <c r="C5" s="560" t="s">
        <v>4</v>
      </c>
      <c r="D5" s="561"/>
      <c r="F5" s="561"/>
      <c r="AN5" s="556"/>
    </row>
    <row r="6" spans="1:45" ht="15.6" hidden="1" customHeight="1">
      <c r="B6" s="562"/>
      <c r="C6" s="560" t="s">
        <v>5</v>
      </c>
      <c r="D6" s="561"/>
      <c r="F6" s="561"/>
      <c r="AN6" s="556"/>
    </row>
    <row r="7" spans="1:45" ht="13.8" hidden="1" customHeight="1">
      <c r="AN7" s="556"/>
    </row>
    <row r="8" spans="1:45" s="546" customFormat="1" ht="13.8" hidden="1" customHeight="1">
      <c r="A8" s="563"/>
      <c r="C8" s="564"/>
      <c r="D8" s="563"/>
      <c r="F8" s="563"/>
      <c r="G8" s="564"/>
      <c r="L8" s="565" t="s">
        <v>6</v>
      </c>
      <c r="M8" s="566"/>
      <c r="N8" s="567"/>
      <c r="O8" s="567">
        <v>1</v>
      </c>
      <c r="P8" s="567">
        <v>10</v>
      </c>
      <c r="Q8" s="567">
        <v>0</v>
      </c>
      <c r="R8" s="567">
        <v>0</v>
      </c>
      <c r="S8" s="567">
        <v>0</v>
      </c>
      <c r="T8" s="567">
        <v>10</v>
      </c>
      <c r="U8" s="567">
        <v>17</v>
      </c>
      <c r="V8" s="567">
        <v>10</v>
      </c>
      <c r="W8" s="567"/>
      <c r="X8" s="567">
        <v>9</v>
      </c>
      <c r="AK8" s="564"/>
      <c r="AL8" s="563"/>
      <c r="AM8" s="547"/>
      <c r="AN8" s="547"/>
      <c r="AO8" s="568"/>
      <c r="AP8" s="568"/>
      <c r="AQ8" s="564"/>
      <c r="AR8" s="558"/>
    </row>
    <row r="9" spans="1:45" s="546" customFormat="1" ht="13.8" hidden="1" customHeight="1">
      <c r="A9" s="563"/>
      <c r="C9" s="564"/>
      <c r="D9" s="563"/>
      <c r="F9" s="563"/>
      <c r="G9" s="564"/>
      <c r="L9" s="565" t="s">
        <v>7</v>
      </c>
      <c r="M9" s="566"/>
      <c r="N9" s="567"/>
      <c r="O9" s="567">
        <v>1</v>
      </c>
      <c r="P9" s="567">
        <v>10</v>
      </c>
      <c r="Q9" s="567">
        <v>0</v>
      </c>
      <c r="R9" s="567">
        <v>0</v>
      </c>
      <c r="S9" s="567">
        <v>0</v>
      </c>
      <c r="T9" s="567">
        <v>10</v>
      </c>
      <c r="U9" s="567">
        <v>17</v>
      </c>
      <c r="V9" s="567">
        <v>10</v>
      </c>
      <c r="W9" s="567"/>
      <c r="X9" s="567">
        <v>9</v>
      </c>
      <c r="AK9" s="564"/>
      <c r="AL9" s="563"/>
      <c r="AM9" s="547"/>
      <c r="AN9" s="547"/>
      <c r="AO9" s="568"/>
      <c r="AP9" s="568"/>
      <c r="AQ9" s="564"/>
      <c r="AR9" s="558"/>
    </row>
    <row r="10" spans="1:45" s="546" customFormat="1" ht="13.8" hidden="1" customHeight="1">
      <c r="A10" s="563"/>
      <c r="C10" s="564"/>
      <c r="D10" s="563"/>
      <c r="F10" s="563"/>
      <c r="G10" s="564"/>
      <c r="L10" s="565" t="s">
        <v>8</v>
      </c>
      <c r="M10" s="566"/>
      <c r="N10" s="567"/>
      <c r="O10" s="567">
        <v>1</v>
      </c>
      <c r="P10" s="567">
        <v>10</v>
      </c>
      <c r="Q10" s="567">
        <v>0</v>
      </c>
      <c r="R10" s="567">
        <v>0</v>
      </c>
      <c r="S10" s="567">
        <v>0</v>
      </c>
      <c r="T10" s="567">
        <v>10</v>
      </c>
      <c r="U10" s="567">
        <v>13</v>
      </c>
      <c r="V10" s="567">
        <v>10</v>
      </c>
      <c r="W10" s="567"/>
      <c r="X10" s="567">
        <v>9</v>
      </c>
      <c r="AK10" s="564"/>
      <c r="AL10" s="563"/>
      <c r="AM10" s="547"/>
      <c r="AN10" s="547"/>
      <c r="AO10" s="568"/>
      <c r="AP10" s="568"/>
      <c r="AQ10" s="564"/>
      <c r="AR10" s="558"/>
    </row>
    <row r="11" spans="1:45" s="546" customFormat="1" ht="13.8" hidden="1" customHeight="1">
      <c r="A11" s="563"/>
      <c r="C11" s="564"/>
      <c r="D11" s="563"/>
      <c r="F11" s="563"/>
      <c r="G11" s="564"/>
      <c r="L11" s="565" t="s">
        <v>9</v>
      </c>
      <c r="M11" s="566"/>
      <c r="N11" s="567"/>
      <c r="O11" s="567">
        <v>1</v>
      </c>
      <c r="P11" s="567">
        <v>10</v>
      </c>
      <c r="Q11" s="567">
        <v>0</v>
      </c>
      <c r="R11" s="567">
        <v>0</v>
      </c>
      <c r="S11" s="567">
        <v>0</v>
      </c>
      <c r="T11" s="567">
        <v>5</v>
      </c>
      <c r="U11" s="567">
        <v>7</v>
      </c>
      <c r="V11" s="567">
        <v>10</v>
      </c>
      <c r="W11" s="567"/>
      <c r="X11" s="567">
        <v>5</v>
      </c>
      <c r="AK11" s="564"/>
      <c r="AL11" s="563"/>
      <c r="AM11" s="547"/>
      <c r="AN11" s="547"/>
      <c r="AO11" s="568"/>
      <c r="AP11" s="568"/>
      <c r="AQ11" s="564"/>
      <c r="AR11" s="558"/>
    </row>
    <row r="12" spans="1:45" s="546" customFormat="1" ht="21" hidden="1" customHeight="1">
      <c r="A12" s="563"/>
      <c r="B12" s="569" t="s">
        <v>10</v>
      </c>
      <c r="C12" s="564"/>
      <c r="D12" s="563"/>
      <c r="F12" s="563"/>
      <c r="G12" s="564"/>
      <c r="L12" s="570" t="s">
        <v>6</v>
      </c>
      <c r="M12" s="571"/>
      <c r="O12" s="47">
        <v>1</v>
      </c>
      <c r="P12" s="47">
        <v>5</v>
      </c>
      <c r="Q12" s="572">
        <v>1</v>
      </c>
      <c r="R12" s="47">
        <v>5</v>
      </c>
      <c r="T12" s="572">
        <v>10</v>
      </c>
      <c r="U12" s="47">
        <v>20</v>
      </c>
      <c r="V12" s="47">
        <v>3</v>
      </c>
      <c r="W12" s="47"/>
      <c r="X12" s="572">
        <v>10</v>
      </c>
      <c r="Y12" s="572">
        <v>2</v>
      </c>
      <c r="Z12" s="546">
        <v>5</v>
      </c>
      <c r="AA12" s="47">
        <v>20</v>
      </c>
      <c r="AB12" s="47">
        <v>10</v>
      </c>
      <c r="AF12" s="47">
        <v>5</v>
      </c>
      <c r="AG12" s="47">
        <v>5</v>
      </c>
      <c r="AH12" s="47"/>
      <c r="AI12" s="47"/>
      <c r="AJ12" s="47"/>
      <c r="AK12" s="564"/>
      <c r="AL12" s="558"/>
      <c r="AM12" s="573"/>
      <c r="AN12" s="568"/>
      <c r="AO12" s="568"/>
      <c r="AP12" s="568"/>
      <c r="AQ12" s="564"/>
      <c r="AR12" s="558"/>
    </row>
    <row r="13" spans="1:45" s="546" customFormat="1" ht="13.8" hidden="1" customHeight="1">
      <c r="A13" s="563"/>
      <c r="C13" s="564"/>
      <c r="D13" s="563"/>
      <c r="F13" s="563"/>
      <c r="G13" s="564"/>
      <c r="L13" s="570" t="s">
        <v>7</v>
      </c>
      <c r="M13" s="571"/>
      <c r="O13" s="47">
        <v>1</v>
      </c>
      <c r="P13" s="47">
        <v>5</v>
      </c>
      <c r="Q13" s="572">
        <v>1</v>
      </c>
      <c r="R13" s="47">
        <v>5</v>
      </c>
      <c r="T13" s="572">
        <v>10</v>
      </c>
      <c r="U13" s="47">
        <v>20</v>
      </c>
      <c r="V13" s="47">
        <v>3</v>
      </c>
      <c r="W13" s="47"/>
      <c r="X13" s="572">
        <v>10</v>
      </c>
      <c r="Y13" s="572">
        <v>2</v>
      </c>
      <c r="Z13" s="546">
        <v>5</v>
      </c>
      <c r="AA13" s="47">
        <v>20</v>
      </c>
      <c r="AB13" s="47">
        <v>10</v>
      </c>
      <c r="AF13" s="47">
        <v>5</v>
      </c>
      <c r="AG13" s="47">
        <v>5</v>
      </c>
      <c r="AH13" s="47"/>
      <c r="AI13" s="47"/>
      <c r="AJ13" s="47"/>
      <c r="AK13" s="564"/>
      <c r="AL13" s="558"/>
      <c r="AM13" s="573"/>
      <c r="AN13" s="568"/>
      <c r="AO13" s="568"/>
      <c r="AP13" s="568"/>
      <c r="AQ13" s="564"/>
      <c r="AR13" s="558"/>
    </row>
    <row r="14" spans="1:45" s="546" customFormat="1" ht="13.8" hidden="1" customHeight="1">
      <c r="A14" s="563"/>
      <c r="C14" s="564"/>
      <c r="D14" s="563"/>
      <c r="F14" s="563"/>
      <c r="G14" s="564"/>
      <c r="L14" s="570" t="s">
        <v>8</v>
      </c>
      <c r="M14" s="571"/>
      <c r="O14" s="47">
        <v>3</v>
      </c>
      <c r="P14" s="574">
        <v>5</v>
      </c>
      <c r="Q14" s="572">
        <v>1</v>
      </c>
      <c r="R14" s="574">
        <v>5</v>
      </c>
      <c r="T14" s="572">
        <v>10</v>
      </c>
      <c r="U14" s="47">
        <v>15</v>
      </c>
      <c r="V14" s="574">
        <v>3</v>
      </c>
      <c r="W14" s="574"/>
      <c r="X14" s="572">
        <v>10</v>
      </c>
      <c r="Y14" s="572">
        <v>2</v>
      </c>
      <c r="Z14" s="546">
        <v>5</v>
      </c>
      <c r="AA14" s="47">
        <v>15</v>
      </c>
      <c r="AB14" s="47">
        <v>10</v>
      </c>
      <c r="AF14" s="47">
        <v>5</v>
      </c>
      <c r="AG14" s="47">
        <v>5</v>
      </c>
      <c r="AH14" s="47"/>
      <c r="AI14" s="47"/>
      <c r="AJ14" s="47"/>
      <c r="AK14" s="564"/>
      <c r="AL14" s="558"/>
      <c r="AM14" s="573"/>
      <c r="AN14" s="568"/>
      <c r="AO14" s="568"/>
      <c r="AP14" s="568"/>
      <c r="AQ14" s="564"/>
      <c r="AR14" s="558"/>
    </row>
    <row r="15" spans="1:45" s="546" customFormat="1" ht="13.8" hidden="1" customHeight="1">
      <c r="A15" s="563"/>
      <c r="C15" s="564"/>
      <c r="D15" s="563"/>
      <c r="F15" s="563"/>
      <c r="G15" s="564"/>
      <c r="L15" s="570" t="s">
        <v>9</v>
      </c>
      <c r="M15" s="571"/>
      <c r="O15" s="47">
        <v>3</v>
      </c>
      <c r="P15" s="47">
        <v>5</v>
      </c>
      <c r="Q15" s="572">
        <v>1</v>
      </c>
      <c r="R15" s="47">
        <v>3</v>
      </c>
      <c r="T15" s="572">
        <v>5</v>
      </c>
      <c r="U15" s="47">
        <v>7</v>
      </c>
      <c r="V15" s="47">
        <v>2</v>
      </c>
      <c r="W15" s="47"/>
      <c r="X15" s="572">
        <v>5</v>
      </c>
      <c r="Y15" s="572">
        <v>2</v>
      </c>
      <c r="Z15" s="546">
        <v>5</v>
      </c>
      <c r="AA15" s="47">
        <v>10</v>
      </c>
      <c r="AB15" s="47">
        <v>10</v>
      </c>
      <c r="AF15" s="575">
        <v>5</v>
      </c>
      <c r="AG15" s="575">
        <v>5</v>
      </c>
      <c r="AH15" s="575"/>
      <c r="AI15" s="47"/>
      <c r="AJ15" s="47"/>
      <c r="AK15" s="564"/>
      <c r="AL15" s="558"/>
      <c r="AM15" s="573"/>
      <c r="AN15" s="568"/>
      <c r="AO15" s="568"/>
      <c r="AP15" s="568"/>
      <c r="AQ15" s="564"/>
      <c r="AR15" s="558"/>
    </row>
    <row r="16" spans="1:45" s="546" customFormat="1" ht="45" customHeight="1">
      <c r="A16" s="576" t="s">
        <v>11</v>
      </c>
      <c r="B16" s="261" t="s">
        <v>12</v>
      </c>
      <c r="C16" s="577" t="s">
        <v>13</v>
      </c>
      <c r="D16" s="578" t="s">
        <v>14</v>
      </c>
      <c r="E16" s="576" t="s">
        <v>15</v>
      </c>
      <c r="F16" s="578" t="s">
        <v>16</v>
      </c>
      <c r="G16" s="576" t="s">
        <v>17</v>
      </c>
      <c r="H16" s="576" t="s">
        <v>18</v>
      </c>
      <c r="I16" s="576" t="s">
        <v>19</v>
      </c>
      <c r="J16" s="576" t="s">
        <v>20</v>
      </c>
      <c r="K16" s="576" t="s">
        <v>21</v>
      </c>
      <c r="L16" s="576" t="s">
        <v>22</v>
      </c>
      <c r="M16" s="576"/>
      <c r="N16" s="576" t="s">
        <v>23</v>
      </c>
      <c r="O16" s="576" t="s">
        <v>24</v>
      </c>
      <c r="P16" s="576" t="s">
        <v>25</v>
      </c>
      <c r="Q16" s="579" t="s">
        <v>26</v>
      </c>
      <c r="R16" s="576" t="s">
        <v>27</v>
      </c>
      <c r="S16" s="576" t="s">
        <v>28</v>
      </c>
      <c r="T16" s="576" t="s">
        <v>29</v>
      </c>
      <c r="U16" s="579" t="s">
        <v>30</v>
      </c>
      <c r="V16" s="576" t="s">
        <v>31</v>
      </c>
      <c r="W16" s="576" t="s">
        <v>32</v>
      </c>
      <c r="X16" s="579" t="s">
        <v>33</v>
      </c>
      <c r="Y16" s="576" t="s">
        <v>34</v>
      </c>
      <c r="Z16" s="576" t="s">
        <v>35</v>
      </c>
      <c r="AA16" s="579" t="s">
        <v>36</v>
      </c>
      <c r="AB16" s="579" t="s">
        <v>37</v>
      </c>
      <c r="AC16" s="576" t="s">
        <v>38</v>
      </c>
      <c r="AD16" s="576" t="s">
        <v>39</v>
      </c>
      <c r="AE16" s="579" t="s">
        <v>40</v>
      </c>
      <c r="AF16" s="580" t="s">
        <v>41</v>
      </c>
      <c r="AG16" s="579" t="s">
        <v>42</v>
      </c>
      <c r="AH16" s="579" t="s">
        <v>43</v>
      </c>
      <c r="AI16" s="579" t="s">
        <v>44</v>
      </c>
      <c r="AJ16" s="579" t="s">
        <v>45</v>
      </c>
      <c r="AK16" s="576" t="s">
        <v>15</v>
      </c>
      <c r="AL16" s="576" t="s">
        <v>46</v>
      </c>
      <c r="AM16" s="576" t="s">
        <v>47</v>
      </c>
      <c r="AN16" s="576" t="s">
        <v>48</v>
      </c>
      <c r="AO16" s="576" t="s">
        <v>49</v>
      </c>
      <c r="AP16" s="576"/>
      <c r="AQ16" s="576"/>
      <c r="AR16" s="576" t="s">
        <v>50</v>
      </c>
      <c r="AS16" s="576" t="s">
        <v>51</v>
      </c>
    </row>
    <row r="17" spans="1:45" s="546" customFormat="1" ht="15.75" hidden="1" customHeight="1">
      <c r="A17" s="581"/>
      <c r="B17" s="582"/>
      <c r="C17" s="583"/>
      <c r="D17" s="584"/>
      <c r="E17" s="585"/>
      <c r="F17" s="584"/>
      <c r="G17" s="585"/>
      <c r="H17" s="586"/>
      <c r="I17" s="586"/>
      <c r="J17" s="586"/>
      <c r="K17" s="586"/>
      <c r="L17" s="586"/>
      <c r="M17" s="65" t="s">
        <v>52</v>
      </c>
      <c r="N17" s="586"/>
      <c r="O17" s="586"/>
      <c r="P17" s="586"/>
      <c r="Q17" s="586"/>
      <c r="R17" s="586"/>
      <c r="S17" s="586"/>
      <c r="T17" s="586"/>
      <c r="U17" s="586"/>
      <c r="V17" s="586"/>
      <c r="W17" s="586"/>
      <c r="X17" s="586"/>
      <c r="Y17" s="586"/>
      <c r="Z17" s="585"/>
      <c r="AA17" s="585"/>
      <c r="AB17" s="585"/>
      <c r="AC17" s="585"/>
      <c r="AD17" s="585"/>
      <c r="AE17" s="585"/>
      <c r="AF17" s="585"/>
      <c r="AG17" s="585"/>
      <c r="AH17" s="585"/>
      <c r="AI17" s="585"/>
      <c r="AJ17" s="585"/>
      <c r="AK17" s="577"/>
      <c r="AL17" s="585"/>
      <c r="AM17" s="585"/>
      <c r="AN17" s="585"/>
      <c r="AO17" s="585"/>
      <c r="AP17" s="585"/>
      <c r="AQ17" s="585"/>
      <c r="AR17" s="585" t="s">
        <v>53</v>
      </c>
    </row>
    <row r="18" spans="1:45" s="547" customFormat="1" ht="15.75" hidden="1" customHeight="1">
      <c r="A18" s="587"/>
      <c r="B18" s="588"/>
      <c r="C18" s="589"/>
      <c r="D18" s="590"/>
      <c r="E18" s="591"/>
      <c r="F18" s="590"/>
      <c r="G18" s="591"/>
      <c r="H18" s="592"/>
      <c r="I18" s="592"/>
      <c r="J18" s="592"/>
      <c r="K18" s="592"/>
      <c r="L18" s="592"/>
      <c r="M18" s="593" t="s">
        <v>54</v>
      </c>
      <c r="N18" s="587" t="s">
        <v>55</v>
      </c>
      <c r="O18" s="592" t="s">
        <v>56</v>
      </c>
      <c r="P18" s="592" t="s">
        <v>56</v>
      </c>
      <c r="Q18" s="592" t="s">
        <v>55</v>
      </c>
      <c r="R18" s="592" t="s">
        <v>56</v>
      </c>
      <c r="S18" s="592"/>
      <c r="T18" s="592" t="s">
        <v>55</v>
      </c>
      <c r="U18" s="592" t="s">
        <v>56</v>
      </c>
      <c r="V18" s="592" t="s">
        <v>56</v>
      </c>
      <c r="W18" s="592" t="s">
        <v>55</v>
      </c>
      <c r="X18" s="592" t="s">
        <v>55</v>
      </c>
      <c r="Y18" s="592" t="s">
        <v>55</v>
      </c>
      <c r="Z18" s="592" t="s">
        <v>55</v>
      </c>
      <c r="AA18" s="591" t="s">
        <v>55</v>
      </c>
      <c r="AB18" s="591" t="s">
        <v>56</v>
      </c>
      <c r="AC18" s="591"/>
      <c r="AD18" s="591"/>
      <c r="AE18" s="591"/>
      <c r="AF18" s="591"/>
      <c r="AG18" s="591"/>
      <c r="AH18" s="591"/>
      <c r="AI18" s="591"/>
      <c r="AJ18" s="591"/>
      <c r="AK18" s="594"/>
      <c r="AL18" s="591"/>
      <c r="AM18" s="591"/>
      <c r="AN18" s="591"/>
      <c r="AO18" s="591"/>
      <c r="AP18" s="591"/>
      <c r="AQ18" s="591"/>
      <c r="AR18" s="591"/>
    </row>
    <row r="19" spans="1:45" s="548" customFormat="1" ht="24" hidden="1" customHeight="1">
      <c r="A19" s="595">
        <v>1</v>
      </c>
      <c r="B19" s="263" t="s">
        <v>57</v>
      </c>
      <c r="C19" s="596" t="s">
        <v>58</v>
      </c>
      <c r="D19" s="597"/>
      <c r="E19" s="598"/>
      <c r="F19" s="599"/>
      <c r="G19" s="600"/>
      <c r="H19" s="601"/>
      <c r="I19" s="600" t="s">
        <v>59</v>
      </c>
      <c r="J19" s="263"/>
      <c r="K19" s="602"/>
      <c r="L19" s="263" t="s">
        <v>6</v>
      </c>
      <c r="M19" s="603" t="s">
        <v>60</v>
      </c>
      <c r="N19" s="604"/>
      <c r="O19" s="605">
        <v>46122</v>
      </c>
      <c r="P19" s="605">
        <v>46142</v>
      </c>
      <c r="Q19" s="605">
        <v>46142</v>
      </c>
      <c r="R19" s="605">
        <v>46142</v>
      </c>
      <c r="S19" s="605">
        <v>46145</v>
      </c>
      <c r="T19" s="605">
        <v>46157</v>
      </c>
      <c r="U19" s="605">
        <v>46184</v>
      </c>
      <c r="V19" s="605">
        <v>46198</v>
      </c>
      <c r="W19" s="605"/>
      <c r="X19" s="605">
        <v>46211</v>
      </c>
      <c r="Y19" s="605">
        <v>46213</v>
      </c>
      <c r="Z19" s="605">
        <v>46220</v>
      </c>
      <c r="AA19" s="605">
        <v>46248</v>
      </c>
      <c r="AB19" s="605">
        <v>46262</v>
      </c>
      <c r="AC19" s="605">
        <v>46307</v>
      </c>
      <c r="AD19" s="605">
        <v>46310</v>
      </c>
      <c r="AE19" s="605">
        <v>46313</v>
      </c>
      <c r="AF19" s="605">
        <v>46496</v>
      </c>
      <c r="AG19" s="605">
        <v>46526</v>
      </c>
      <c r="AH19" s="605">
        <v>46540</v>
      </c>
      <c r="AI19" s="605">
        <v>46554</v>
      </c>
      <c r="AJ19" s="605">
        <v>46570</v>
      </c>
      <c r="AK19" s="606">
        <v>47</v>
      </c>
      <c r="AL19" s="607">
        <f>AK19*7</f>
        <v>329</v>
      </c>
      <c r="AM19" s="605">
        <f>X19+AL19</f>
        <v>46540</v>
      </c>
      <c r="AN19" s="608">
        <f>AN20</f>
        <v>46540</v>
      </c>
      <c r="AO19" s="600">
        <f>AN20-AM19</f>
        <v>0</v>
      </c>
      <c r="AP19" s="609" t="s">
        <v>61</v>
      </c>
      <c r="AQ19" s="610" t="s">
        <v>62</v>
      </c>
      <c r="AR19" s="611">
        <v>46543</v>
      </c>
      <c r="AS19" s="608"/>
    </row>
    <row r="20" spans="1:45" s="549" customFormat="1" ht="24" customHeight="1">
      <c r="A20" s="595"/>
      <c r="B20" s="263" t="s">
        <v>57</v>
      </c>
      <c r="C20" s="596" t="s">
        <v>58</v>
      </c>
      <c r="D20" s="597"/>
      <c r="E20" s="598"/>
      <c r="F20" s="599"/>
      <c r="G20" s="600"/>
      <c r="H20" s="601" t="s">
        <v>63</v>
      </c>
      <c r="I20" s="600" t="s">
        <v>59</v>
      </c>
      <c r="J20" s="263" t="s">
        <v>64</v>
      </c>
      <c r="K20" s="263">
        <v>2</v>
      </c>
      <c r="L20" s="263" t="s">
        <v>6</v>
      </c>
      <c r="M20" s="603" t="s">
        <v>65</v>
      </c>
      <c r="N20" s="605"/>
      <c r="O20" s="605"/>
      <c r="P20" s="605"/>
      <c r="Q20" s="605"/>
      <c r="R20" s="605"/>
      <c r="S20" s="605"/>
      <c r="T20" s="605"/>
      <c r="U20" s="605"/>
      <c r="V20" s="605"/>
      <c r="W20" s="605"/>
      <c r="X20" s="605"/>
      <c r="Y20" s="605"/>
      <c r="Z20" s="605"/>
      <c r="AA20" s="605"/>
      <c r="AB20" s="612">
        <v>46331</v>
      </c>
      <c r="AC20" s="612">
        <v>46300</v>
      </c>
      <c r="AD20" s="612">
        <v>46258</v>
      </c>
      <c r="AE20" s="612">
        <v>46301</v>
      </c>
      <c r="AF20" s="612">
        <v>46497</v>
      </c>
      <c r="AG20" s="612">
        <v>46521</v>
      </c>
      <c r="AH20" s="605">
        <v>46533</v>
      </c>
      <c r="AI20" s="605">
        <v>46547</v>
      </c>
      <c r="AJ20" s="605">
        <v>46563</v>
      </c>
      <c r="AK20" s="606">
        <v>47</v>
      </c>
      <c r="AL20" s="607">
        <v>329</v>
      </c>
      <c r="AM20" s="613">
        <v>46533</v>
      </c>
      <c r="AN20" s="608">
        <f>AR19-3</f>
        <v>46540</v>
      </c>
      <c r="AO20" s="600">
        <f>AN20-AM20</f>
        <v>7</v>
      </c>
      <c r="AP20" s="614" t="str">
        <f>AP19</f>
        <v>Long Lead</v>
      </c>
      <c r="AQ20" s="610" t="s">
        <v>66</v>
      </c>
      <c r="AR20" s="611">
        <v>46553</v>
      </c>
      <c r="AS20" s="608"/>
    </row>
    <row r="21" spans="1:45" s="548" customFormat="1" ht="24" customHeight="1">
      <c r="A21" s="615"/>
      <c r="B21" s="616" t="s">
        <v>57</v>
      </c>
      <c r="C21" s="616" t="s">
        <v>58</v>
      </c>
      <c r="D21" s="617"/>
      <c r="E21" s="618"/>
      <c r="F21" s="619"/>
      <c r="G21" s="620"/>
      <c r="H21" s="621"/>
      <c r="I21" s="620" t="s">
        <v>59</v>
      </c>
      <c r="J21" s="616" t="s">
        <v>64</v>
      </c>
      <c r="K21" s="263">
        <v>2</v>
      </c>
      <c r="L21" s="616" t="s">
        <v>6</v>
      </c>
      <c r="M21" s="622" t="s">
        <v>67</v>
      </c>
      <c r="N21" s="623">
        <v>46120</v>
      </c>
      <c r="O21" s="623">
        <v>46122</v>
      </c>
      <c r="P21" s="623">
        <v>46139</v>
      </c>
      <c r="Q21" s="623">
        <f>P21</f>
        <v>46139</v>
      </c>
      <c r="R21" s="623">
        <f>Q21</f>
        <v>46139</v>
      </c>
      <c r="S21" s="623">
        <f>R21</f>
        <v>46139</v>
      </c>
      <c r="T21" s="623">
        <v>46143</v>
      </c>
      <c r="U21" s="623">
        <v>46185</v>
      </c>
      <c r="V21" s="623">
        <v>46190</v>
      </c>
      <c r="W21" s="623">
        <v>46204</v>
      </c>
      <c r="X21" s="623">
        <v>46240</v>
      </c>
      <c r="Y21" s="623">
        <v>46240</v>
      </c>
      <c r="Z21" s="623">
        <v>46213</v>
      </c>
      <c r="AA21" s="623">
        <f>Z21+1</f>
        <v>46214</v>
      </c>
      <c r="AB21" s="623"/>
      <c r="AC21" s="623"/>
      <c r="AD21" s="623"/>
      <c r="AE21" s="623"/>
      <c r="AF21" s="623"/>
      <c r="AG21" s="623"/>
      <c r="AH21" s="623"/>
      <c r="AI21" s="623"/>
      <c r="AJ21" s="623"/>
      <c r="AK21" s="624"/>
      <c r="AL21" s="625"/>
      <c r="AM21" s="623"/>
      <c r="AN21" s="626"/>
      <c r="AO21" s="620"/>
      <c r="AP21" s="627" t="str">
        <f>AP19</f>
        <v>Long Lead</v>
      </c>
      <c r="AQ21" s="628"/>
      <c r="AR21" s="627" t="s">
        <v>68</v>
      </c>
      <c r="AS21" s="626" t="s">
        <v>69</v>
      </c>
    </row>
    <row r="22" spans="1:45" s="548" customFormat="1" ht="24" hidden="1" customHeight="1">
      <c r="A22" s="595">
        <v>2</v>
      </c>
      <c r="B22" s="263" t="s">
        <v>70</v>
      </c>
      <c r="C22" s="263" t="s">
        <v>71</v>
      </c>
      <c r="D22" s="597"/>
      <c r="E22" s="598"/>
      <c r="F22" s="629"/>
      <c r="G22" s="600"/>
      <c r="H22" s="601"/>
      <c r="I22" s="600" t="s">
        <v>59</v>
      </c>
      <c r="J22" s="263"/>
      <c r="K22" s="602"/>
      <c r="L22" s="263" t="s">
        <v>8</v>
      </c>
      <c r="M22" s="603" t="s">
        <v>60</v>
      </c>
      <c r="N22" s="605"/>
      <c r="O22" s="605">
        <v>46203</v>
      </c>
      <c r="P22" s="605">
        <v>46217</v>
      </c>
      <c r="Q22" s="605">
        <v>46217</v>
      </c>
      <c r="R22" s="605">
        <v>46217</v>
      </c>
      <c r="S22" s="605">
        <v>46217</v>
      </c>
      <c r="T22" s="605">
        <v>46231</v>
      </c>
      <c r="U22" s="605">
        <v>46252</v>
      </c>
      <c r="V22" s="605">
        <v>46266</v>
      </c>
      <c r="W22" s="605"/>
      <c r="X22" s="605">
        <v>46279</v>
      </c>
      <c r="Y22" s="605">
        <v>46281</v>
      </c>
      <c r="Z22" s="605">
        <v>46288</v>
      </c>
      <c r="AA22" s="605">
        <v>46317</v>
      </c>
      <c r="AB22" s="605">
        <v>46332</v>
      </c>
      <c r="AC22" s="605">
        <v>46377</v>
      </c>
      <c r="AD22" s="605">
        <v>46380</v>
      </c>
      <c r="AE22" s="605">
        <v>46381</v>
      </c>
      <c r="AF22" s="605">
        <v>46410</v>
      </c>
      <c r="AG22" s="605">
        <v>46440</v>
      </c>
      <c r="AH22" s="605">
        <v>46454</v>
      </c>
      <c r="AI22" s="605">
        <v>46468</v>
      </c>
      <c r="AJ22" s="605">
        <v>46484</v>
      </c>
      <c r="AK22" s="630">
        <v>25</v>
      </c>
      <c r="AL22" s="607">
        <f>AK22*7</f>
        <v>175</v>
      </c>
      <c r="AM22" s="605">
        <f>X22+AL22</f>
        <v>46454</v>
      </c>
      <c r="AN22" s="608">
        <f>AN23</f>
        <v>46459</v>
      </c>
      <c r="AO22" s="600">
        <f>AN23-AM22</f>
        <v>5</v>
      </c>
      <c r="AP22" s="609"/>
      <c r="AQ22" s="610" t="s">
        <v>62</v>
      </c>
      <c r="AR22" s="611">
        <v>46462</v>
      </c>
      <c r="AS22" s="608"/>
    </row>
    <row r="23" spans="1:45" s="549" customFormat="1" ht="24" customHeight="1">
      <c r="A23" s="595"/>
      <c r="B23" s="263" t="s">
        <v>70</v>
      </c>
      <c r="C23" s="596" t="s">
        <v>71</v>
      </c>
      <c r="D23" s="597"/>
      <c r="E23" s="598"/>
      <c r="F23" s="629"/>
      <c r="G23" s="600"/>
      <c r="H23" s="601" t="s">
        <v>72</v>
      </c>
      <c r="I23" s="600" t="s">
        <v>59</v>
      </c>
      <c r="J23" s="263" t="s">
        <v>73</v>
      </c>
      <c r="K23" s="263">
        <v>4</v>
      </c>
      <c r="L23" s="263" t="s">
        <v>8</v>
      </c>
      <c r="M23" s="603" t="s">
        <v>65</v>
      </c>
      <c r="N23" s="605"/>
      <c r="O23" s="605"/>
      <c r="P23" s="605"/>
      <c r="Q23" s="605"/>
      <c r="R23" s="605"/>
      <c r="S23" s="605"/>
      <c r="T23" s="605"/>
      <c r="U23" s="605"/>
      <c r="V23" s="605"/>
      <c r="W23" s="605"/>
      <c r="X23" s="605">
        <v>46279</v>
      </c>
      <c r="Y23" s="605"/>
      <c r="Z23" s="605">
        <v>46288</v>
      </c>
      <c r="AA23" s="605">
        <v>46317</v>
      </c>
      <c r="AB23" s="605">
        <v>46332</v>
      </c>
      <c r="AC23" s="605">
        <v>46377</v>
      </c>
      <c r="AD23" s="605">
        <v>46380</v>
      </c>
      <c r="AE23" s="605">
        <v>46381</v>
      </c>
      <c r="AF23" s="605">
        <v>46391</v>
      </c>
      <c r="AG23" s="605">
        <v>46421</v>
      </c>
      <c r="AH23" s="605">
        <v>46435</v>
      </c>
      <c r="AI23" s="605">
        <v>46449</v>
      </c>
      <c r="AJ23" s="605">
        <v>46465</v>
      </c>
      <c r="AK23" s="606">
        <v>25</v>
      </c>
      <c r="AL23" s="607">
        <v>175</v>
      </c>
      <c r="AM23" s="613">
        <v>46435</v>
      </c>
      <c r="AN23" s="608">
        <f>AR22-3</f>
        <v>46459</v>
      </c>
      <c r="AO23" s="600">
        <f>AN23-AM23</f>
        <v>24</v>
      </c>
      <c r="AP23" s="609"/>
      <c r="AQ23" s="610" t="s">
        <v>66</v>
      </c>
      <c r="AR23" s="611">
        <v>46490</v>
      </c>
      <c r="AS23" s="608" t="s">
        <v>74</v>
      </c>
    </row>
    <row r="24" spans="1:45" s="548" customFormat="1" ht="24" customHeight="1">
      <c r="A24" s="615"/>
      <c r="B24" s="616" t="s">
        <v>70</v>
      </c>
      <c r="C24" s="616" t="s">
        <v>71</v>
      </c>
      <c r="D24" s="617"/>
      <c r="E24" s="618"/>
      <c r="F24" s="631"/>
      <c r="G24" s="620"/>
      <c r="H24" s="621"/>
      <c r="I24" s="620" t="s">
        <v>59</v>
      </c>
      <c r="J24" s="616" t="s">
        <v>73</v>
      </c>
      <c r="K24" s="263">
        <v>4</v>
      </c>
      <c r="L24" s="616" t="s">
        <v>8</v>
      </c>
      <c r="M24" s="622" t="s">
        <v>67</v>
      </c>
      <c r="N24" s="620"/>
      <c r="O24" s="623">
        <v>46170</v>
      </c>
      <c r="P24" s="623">
        <v>46188</v>
      </c>
      <c r="Q24" s="623">
        <v>46188</v>
      </c>
      <c r="R24" s="623">
        <v>46188</v>
      </c>
      <c r="S24" s="623">
        <v>46191</v>
      </c>
      <c r="T24" s="623">
        <v>46204</v>
      </c>
      <c r="U24" s="623">
        <v>46242</v>
      </c>
      <c r="V24" s="623">
        <v>46255</v>
      </c>
      <c r="W24" s="623">
        <v>46260</v>
      </c>
      <c r="X24" s="620"/>
      <c r="Y24" s="623">
        <v>46260</v>
      </c>
      <c r="Z24" s="623"/>
      <c r="AA24" s="623"/>
      <c r="AB24" s="623"/>
      <c r="AC24" s="623"/>
      <c r="AD24" s="623"/>
      <c r="AE24" s="623"/>
      <c r="AF24" s="623"/>
      <c r="AG24" s="623"/>
      <c r="AH24" s="623"/>
      <c r="AI24" s="623"/>
      <c r="AJ24" s="623"/>
      <c r="AK24" s="624"/>
      <c r="AL24" s="625"/>
      <c r="AM24" s="623"/>
      <c r="AN24" s="626"/>
      <c r="AO24" s="620"/>
      <c r="AP24" s="627"/>
      <c r="AQ24" s="628"/>
      <c r="AR24" s="627" t="s">
        <v>75</v>
      </c>
      <c r="AS24" s="626"/>
    </row>
    <row r="25" spans="1:45" s="548" customFormat="1" ht="24" hidden="1" customHeight="1">
      <c r="A25" s="595">
        <v>3</v>
      </c>
      <c r="B25" s="263" t="s">
        <v>76</v>
      </c>
      <c r="C25" s="596" t="s">
        <v>77</v>
      </c>
      <c r="D25" s="632"/>
      <c r="E25" s="598"/>
      <c r="F25" s="599"/>
      <c r="G25" s="600"/>
      <c r="H25" s="601"/>
      <c r="I25" s="600" t="s">
        <v>59</v>
      </c>
      <c r="J25" s="263"/>
      <c r="K25" s="602"/>
      <c r="L25" s="263" t="s">
        <v>6</v>
      </c>
      <c r="M25" s="603" t="s">
        <v>60</v>
      </c>
      <c r="N25" s="605"/>
      <c r="O25" s="605">
        <v>46170</v>
      </c>
      <c r="P25" s="605">
        <v>46182</v>
      </c>
      <c r="Q25" s="605">
        <v>46182</v>
      </c>
      <c r="R25" s="605">
        <v>46182</v>
      </c>
      <c r="S25" s="605">
        <v>46190</v>
      </c>
      <c r="T25" s="605">
        <v>46204</v>
      </c>
      <c r="U25" s="605">
        <v>46224</v>
      </c>
      <c r="V25" s="605">
        <v>46240</v>
      </c>
      <c r="W25" s="605"/>
      <c r="X25" s="605">
        <v>46253</v>
      </c>
      <c r="Y25" s="605">
        <v>46255</v>
      </c>
      <c r="Z25" s="605">
        <v>46262</v>
      </c>
      <c r="AA25" s="605">
        <v>46293</v>
      </c>
      <c r="AB25" s="605">
        <v>46307</v>
      </c>
      <c r="AC25" s="605">
        <v>46367</v>
      </c>
      <c r="AD25" s="605">
        <v>46370</v>
      </c>
      <c r="AE25" s="605">
        <v>46371</v>
      </c>
      <c r="AF25" s="605">
        <v>46402</v>
      </c>
      <c r="AG25" s="605">
        <v>46432</v>
      </c>
      <c r="AH25" s="605">
        <v>46433</v>
      </c>
      <c r="AI25" s="605">
        <v>46447</v>
      </c>
      <c r="AJ25" s="605">
        <v>46463</v>
      </c>
      <c r="AK25" s="606">
        <v>25.714285714285701</v>
      </c>
      <c r="AL25" s="607">
        <f>AK25*7</f>
        <v>179.99999999999991</v>
      </c>
      <c r="AM25" s="605">
        <f>X25+AL25</f>
        <v>46433</v>
      </c>
      <c r="AN25" s="608">
        <f>AN26</f>
        <v>46444</v>
      </c>
      <c r="AO25" s="600">
        <f>AN26-AM25</f>
        <v>11</v>
      </c>
      <c r="AP25" s="609"/>
      <c r="AQ25" s="610" t="s">
        <v>62</v>
      </c>
      <c r="AR25" s="611">
        <v>46447</v>
      </c>
      <c r="AS25" s="608"/>
    </row>
    <row r="26" spans="1:45" s="548" customFormat="1" ht="24" customHeight="1">
      <c r="A26" s="595"/>
      <c r="B26" s="263" t="s">
        <v>76</v>
      </c>
      <c r="C26" s="596" t="s">
        <v>77</v>
      </c>
      <c r="D26" s="632"/>
      <c r="E26" s="598"/>
      <c r="F26" s="599"/>
      <c r="G26" s="600"/>
      <c r="H26" s="601" t="s">
        <v>78</v>
      </c>
      <c r="I26" s="600" t="s">
        <v>59</v>
      </c>
      <c r="J26" s="263" t="s">
        <v>64</v>
      </c>
      <c r="K26" s="263">
        <v>3</v>
      </c>
      <c r="L26" s="263" t="s">
        <v>6</v>
      </c>
      <c r="M26" s="603" t="s">
        <v>65</v>
      </c>
      <c r="N26" s="605"/>
      <c r="O26" s="605"/>
      <c r="P26" s="605"/>
      <c r="Q26" s="605"/>
      <c r="R26" s="605"/>
      <c r="S26" s="605"/>
      <c r="T26" s="605"/>
      <c r="U26" s="605"/>
      <c r="V26" s="605"/>
      <c r="W26" s="605"/>
      <c r="X26" s="605"/>
      <c r="Y26" s="605"/>
      <c r="Z26" s="605"/>
      <c r="AA26" s="612"/>
      <c r="AB26" s="612">
        <v>46336</v>
      </c>
      <c r="AC26" s="612">
        <v>46345</v>
      </c>
      <c r="AD26" s="612">
        <v>46346</v>
      </c>
      <c r="AE26" s="612">
        <v>46347</v>
      </c>
      <c r="AF26" s="612">
        <v>46415</v>
      </c>
      <c r="AG26" s="612">
        <v>46417</v>
      </c>
      <c r="AH26" s="612">
        <v>46417</v>
      </c>
      <c r="AI26" s="605">
        <v>46431</v>
      </c>
      <c r="AJ26" s="605">
        <v>46447</v>
      </c>
      <c r="AK26" s="606">
        <v>28.285714285714299</v>
      </c>
      <c r="AL26" s="607">
        <v>198</v>
      </c>
      <c r="AM26" s="613">
        <v>46417</v>
      </c>
      <c r="AN26" s="608">
        <f>AR25-3</f>
        <v>46444</v>
      </c>
      <c r="AO26" s="600">
        <f>AN26-AM26</f>
        <v>27</v>
      </c>
      <c r="AP26" s="609"/>
      <c r="AQ26" s="610" t="s">
        <v>66</v>
      </c>
      <c r="AR26" s="611">
        <v>46472</v>
      </c>
      <c r="AS26" s="608"/>
    </row>
    <row r="27" spans="1:45" s="548" customFormat="1" ht="24" customHeight="1">
      <c r="A27" s="615"/>
      <c r="B27" s="616" t="s">
        <v>76</v>
      </c>
      <c r="C27" s="616" t="s">
        <v>77</v>
      </c>
      <c r="D27" s="633"/>
      <c r="E27" s="618"/>
      <c r="F27" s="619"/>
      <c r="G27" s="620"/>
      <c r="H27" s="621"/>
      <c r="I27" s="620" t="s">
        <v>59</v>
      </c>
      <c r="J27" s="616" t="s">
        <v>64</v>
      </c>
      <c r="K27" s="263">
        <v>3</v>
      </c>
      <c r="L27" s="616" t="s">
        <v>6</v>
      </c>
      <c r="M27" s="622" t="s">
        <v>67</v>
      </c>
      <c r="N27" s="623">
        <v>46136</v>
      </c>
      <c r="O27" s="623">
        <v>46165</v>
      </c>
      <c r="P27" s="623">
        <v>46183</v>
      </c>
      <c r="Q27" s="623">
        <v>46183</v>
      </c>
      <c r="R27" s="623">
        <v>46183</v>
      </c>
      <c r="S27" s="623">
        <v>46183</v>
      </c>
      <c r="T27" s="623">
        <v>46192</v>
      </c>
      <c r="U27" s="623">
        <v>46220</v>
      </c>
      <c r="V27" s="623">
        <v>46224</v>
      </c>
      <c r="W27" s="623">
        <v>46219</v>
      </c>
      <c r="X27" s="623">
        <v>46219</v>
      </c>
      <c r="Y27" s="623">
        <v>46219</v>
      </c>
      <c r="Z27" s="623">
        <v>46226</v>
      </c>
      <c r="AA27" s="623">
        <f>Z27+1</f>
        <v>46227</v>
      </c>
      <c r="AB27" s="623"/>
      <c r="AC27" s="623"/>
      <c r="AD27" s="623"/>
      <c r="AE27" s="623"/>
      <c r="AF27" s="623"/>
      <c r="AG27" s="623"/>
      <c r="AH27" s="623"/>
      <c r="AI27" s="623"/>
      <c r="AJ27" s="623"/>
      <c r="AK27" s="624"/>
      <c r="AL27" s="625"/>
      <c r="AM27" s="623"/>
      <c r="AN27" s="626"/>
      <c r="AO27" s="620"/>
      <c r="AP27" s="627"/>
      <c r="AQ27" s="628"/>
      <c r="AR27" s="627" t="s">
        <v>79</v>
      </c>
      <c r="AS27" s="626" t="s">
        <v>80</v>
      </c>
    </row>
    <row r="28" spans="1:45" s="548" customFormat="1" ht="24" hidden="1" customHeight="1">
      <c r="A28" s="595">
        <v>4</v>
      </c>
      <c r="B28" s="263" t="s">
        <v>81</v>
      </c>
      <c r="C28" s="596" t="s">
        <v>82</v>
      </c>
      <c r="D28" s="597"/>
      <c r="E28" s="598"/>
      <c r="F28" s="599"/>
      <c r="G28" s="600"/>
      <c r="H28" s="601"/>
      <c r="I28" s="600" t="s">
        <v>59</v>
      </c>
      <c r="J28" s="263"/>
      <c r="K28" s="602"/>
      <c r="L28" s="263" t="s">
        <v>6</v>
      </c>
      <c r="M28" s="603" t="s">
        <v>60</v>
      </c>
      <c r="N28" s="604"/>
      <c r="O28" s="605">
        <v>46154</v>
      </c>
      <c r="P28" s="605">
        <v>46162</v>
      </c>
      <c r="Q28" s="605">
        <v>46162</v>
      </c>
      <c r="R28" s="605">
        <v>46162</v>
      </c>
      <c r="S28" s="605">
        <v>46170</v>
      </c>
      <c r="T28" s="605">
        <v>46183</v>
      </c>
      <c r="U28" s="605">
        <v>46211</v>
      </c>
      <c r="V28" s="605">
        <v>46216</v>
      </c>
      <c r="W28" s="605"/>
      <c r="X28" s="605">
        <v>46230</v>
      </c>
      <c r="Y28" s="605">
        <v>46232</v>
      </c>
      <c r="Z28" s="605">
        <v>46239</v>
      </c>
      <c r="AA28" s="605">
        <v>46267</v>
      </c>
      <c r="AB28" s="605">
        <v>46281</v>
      </c>
      <c r="AC28" s="605">
        <v>46341</v>
      </c>
      <c r="AD28" s="605">
        <v>46344</v>
      </c>
      <c r="AE28" s="605">
        <v>46345</v>
      </c>
      <c r="AF28" s="605">
        <v>46430</v>
      </c>
      <c r="AG28" s="605">
        <v>46433</v>
      </c>
      <c r="AH28" s="605">
        <v>46440</v>
      </c>
      <c r="AI28" s="605">
        <v>46454</v>
      </c>
      <c r="AJ28" s="605">
        <v>46470</v>
      </c>
      <c r="AK28" s="606">
        <v>30</v>
      </c>
      <c r="AL28" s="607">
        <f>AK28*7</f>
        <v>210</v>
      </c>
      <c r="AM28" s="605">
        <f>X28+AL28</f>
        <v>46440</v>
      </c>
      <c r="AN28" s="608">
        <f>AN29</f>
        <v>46448</v>
      </c>
      <c r="AO28" s="600">
        <f>AN29-AM28</f>
        <v>8</v>
      </c>
      <c r="AP28" s="609" t="s">
        <v>61</v>
      </c>
      <c r="AQ28" s="610" t="s">
        <v>62</v>
      </c>
      <c r="AR28" s="611">
        <v>46451</v>
      </c>
      <c r="AS28" s="608"/>
    </row>
    <row r="29" spans="1:45" s="548" customFormat="1" ht="24" customHeight="1">
      <c r="A29" s="595"/>
      <c r="B29" s="263" t="s">
        <v>81</v>
      </c>
      <c r="C29" s="596" t="s">
        <v>82</v>
      </c>
      <c r="D29" s="597"/>
      <c r="E29" s="598"/>
      <c r="F29" s="599"/>
      <c r="G29" s="600"/>
      <c r="H29" s="601" t="s">
        <v>83</v>
      </c>
      <c r="I29" s="600" t="s">
        <v>59</v>
      </c>
      <c r="J29" s="263" t="s">
        <v>64</v>
      </c>
      <c r="K29" s="263">
        <v>2</v>
      </c>
      <c r="L29" s="263" t="s">
        <v>6</v>
      </c>
      <c r="M29" s="603" t="s">
        <v>65</v>
      </c>
      <c r="N29" s="605"/>
      <c r="O29" s="605"/>
      <c r="P29" s="605"/>
      <c r="Q29" s="605"/>
      <c r="R29" s="605"/>
      <c r="S29" s="605"/>
      <c r="T29" s="605"/>
      <c r="U29" s="605"/>
      <c r="V29" s="605"/>
      <c r="W29" s="605"/>
      <c r="X29" s="605"/>
      <c r="Y29" s="605"/>
      <c r="Z29" s="605"/>
      <c r="AA29" s="612"/>
      <c r="AB29" s="612">
        <v>46336</v>
      </c>
      <c r="AC29" s="612">
        <v>46343</v>
      </c>
      <c r="AD29" s="612">
        <v>46344</v>
      </c>
      <c r="AE29" s="612">
        <v>46345</v>
      </c>
      <c r="AF29" s="612">
        <v>46430</v>
      </c>
      <c r="AG29" s="612">
        <v>46433</v>
      </c>
      <c r="AH29" s="612">
        <v>46433</v>
      </c>
      <c r="AI29" s="605">
        <v>46447</v>
      </c>
      <c r="AJ29" s="605">
        <v>46463</v>
      </c>
      <c r="AK29" s="606">
        <v>30.571428571428601</v>
      </c>
      <c r="AL29" s="607">
        <v>214</v>
      </c>
      <c r="AM29" s="613">
        <v>46433</v>
      </c>
      <c r="AN29" s="608">
        <f>AR28-3</f>
        <v>46448</v>
      </c>
      <c r="AO29" s="600">
        <f>AN29-AM29</f>
        <v>15</v>
      </c>
      <c r="AP29" s="614" t="str">
        <f>AP28</f>
        <v>Long Lead</v>
      </c>
      <c r="AQ29" s="610" t="s">
        <v>66</v>
      </c>
      <c r="AR29" s="611">
        <v>46472</v>
      </c>
      <c r="AS29" s="608"/>
    </row>
    <row r="30" spans="1:45" s="548" customFormat="1" ht="24" customHeight="1">
      <c r="A30" s="615"/>
      <c r="B30" s="616" t="s">
        <v>81</v>
      </c>
      <c r="C30" s="616" t="s">
        <v>82</v>
      </c>
      <c r="D30" s="617"/>
      <c r="E30" s="618"/>
      <c r="F30" s="619"/>
      <c r="G30" s="620"/>
      <c r="H30" s="621"/>
      <c r="I30" s="620" t="s">
        <v>59</v>
      </c>
      <c r="J30" s="616" t="s">
        <v>64</v>
      </c>
      <c r="K30" s="263">
        <v>2</v>
      </c>
      <c r="L30" s="616" t="s">
        <v>6</v>
      </c>
      <c r="M30" s="622" t="s">
        <v>67</v>
      </c>
      <c r="N30" s="623">
        <v>46136</v>
      </c>
      <c r="O30" s="623">
        <v>46157</v>
      </c>
      <c r="P30" s="623">
        <v>46182</v>
      </c>
      <c r="Q30" s="623">
        <v>46182</v>
      </c>
      <c r="R30" s="623">
        <v>46182</v>
      </c>
      <c r="S30" s="623">
        <v>46182</v>
      </c>
      <c r="T30" s="623">
        <v>46190</v>
      </c>
      <c r="U30" s="623">
        <v>46206</v>
      </c>
      <c r="V30" s="623">
        <v>46210</v>
      </c>
      <c r="W30" s="623">
        <v>46219</v>
      </c>
      <c r="X30" s="623">
        <v>46219</v>
      </c>
      <c r="Y30" s="623">
        <v>46219</v>
      </c>
      <c r="Z30" s="623">
        <v>46226</v>
      </c>
      <c r="AA30" s="623">
        <v>46260</v>
      </c>
      <c r="AB30" s="623"/>
      <c r="AC30" s="623"/>
      <c r="AD30" s="623"/>
      <c r="AE30" s="623"/>
      <c r="AF30" s="623"/>
      <c r="AG30" s="623"/>
      <c r="AH30" s="623"/>
      <c r="AI30" s="623"/>
      <c r="AJ30" s="623"/>
      <c r="AK30" s="624"/>
      <c r="AL30" s="625"/>
      <c r="AM30" s="623"/>
      <c r="AN30" s="626"/>
      <c r="AO30" s="620"/>
      <c r="AP30" s="627" t="str">
        <f>AP28</f>
        <v>Long Lead</v>
      </c>
      <c r="AQ30" s="628"/>
      <c r="AR30" s="627" t="s">
        <v>79</v>
      </c>
      <c r="AS30" s="626" t="s">
        <v>80</v>
      </c>
    </row>
    <row r="31" spans="1:45" s="548" customFormat="1" ht="24" hidden="1" customHeight="1">
      <c r="A31" s="595">
        <v>5</v>
      </c>
      <c r="B31" s="263" t="s">
        <v>84</v>
      </c>
      <c r="C31" s="596" t="s">
        <v>85</v>
      </c>
      <c r="D31" s="597"/>
      <c r="E31" s="598"/>
      <c r="F31" s="599"/>
      <c r="G31" s="600"/>
      <c r="H31" s="601"/>
      <c r="I31" s="263" t="s">
        <v>86</v>
      </c>
      <c r="J31" s="263"/>
      <c r="K31" s="602"/>
      <c r="L31" s="263" t="s">
        <v>6</v>
      </c>
      <c r="M31" s="603" t="s">
        <v>60</v>
      </c>
      <c r="N31" s="604"/>
      <c r="O31" s="605">
        <v>46157</v>
      </c>
      <c r="P31" s="605">
        <v>46175</v>
      </c>
      <c r="Q31" s="605">
        <v>46175</v>
      </c>
      <c r="R31" s="605">
        <v>46175</v>
      </c>
      <c r="S31" s="605">
        <v>46176</v>
      </c>
      <c r="T31" s="605">
        <v>46189</v>
      </c>
      <c r="U31" s="605">
        <v>46217</v>
      </c>
      <c r="V31" s="605">
        <v>46227</v>
      </c>
      <c r="W31" s="605"/>
      <c r="X31" s="605">
        <v>46234</v>
      </c>
      <c r="Y31" s="605">
        <v>46238</v>
      </c>
      <c r="Z31" s="605">
        <v>46245</v>
      </c>
      <c r="AA31" s="605">
        <v>46273</v>
      </c>
      <c r="AB31" s="605">
        <v>46287</v>
      </c>
      <c r="AC31" s="605">
        <v>46347</v>
      </c>
      <c r="AD31" s="605">
        <v>46350</v>
      </c>
      <c r="AE31" s="605">
        <v>46351</v>
      </c>
      <c r="AF31" s="605">
        <v>46427</v>
      </c>
      <c r="AG31" s="605">
        <v>46457</v>
      </c>
      <c r="AH31" s="605">
        <v>46458</v>
      </c>
      <c r="AI31" s="605">
        <v>46472</v>
      </c>
      <c r="AJ31" s="605">
        <v>46488</v>
      </c>
      <c r="AK31" s="606">
        <v>32</v>
      </c>
      <c r="AL31" s="607">
        <f>AK31*7</f>
        <v>224</v>
      </c>
      <c r="AM31" s="605">
        <f>X31+AL31</f>
        <v>46458</v>
      </c>
      <c r="AN31" s="608">
        <f>AN32</f>
        <v>46466</v>
      </c>
      <c r="AO31" s="600">
        <f>AN32-AM31</f>
        <v>8</v>
      </c>
      <c r="AP31" s="609"/>
      <c r="AQ31" s="610" t="s">
        <v>62</v>
      </c>
      <c r="AR31" s="611">
        <v>46469</v>
      </c>
      <c r="AS31" s="608"/>
    </row>
    <row r="32" spans="1:45" s="548" customFormat="1" ht="24" customHeight="1">
      <c r="A32" s="595"/>
      <c r="B32" s="263" t="s">
        <v>84</v>
      </c>
      <c r="C32" s="596" t="s">
        <v>85</v>
      </c>
      <c r="D32" s="597"/>
      <c r="E32" s="598"/>
      <c r="F32" s="634"/>
      <c r="G32" s="263"/>
      <c r="H32" s="601" t="s">
        <v>87</v>
      </c>
      <c r="I32" s="263" t="s">
        <v>86</v>
      </c>
      <c r="J32" s="263" t="s">
        <v>64</v>
      </c>
      <c r="K32" s="263">
        <v>2</v>
      </c>
      <c r="L32" s="263" t="s">
        <v>6</v>
      </c>
      <c r="M32" s="603" t="s">
        <v>65</v>
      </c>
      <c r="N32" s="635"/>
      <c r="O32" s="635"/>
      <c r="P32" s="635"/>
      <c r="Q32" s="635"/>
      <c r="R32" s="635"/>
      <c r="S32" s="635"/>
      <c r="T32" s="635"/>
      <c r="U32" s="635"/>
      <c r="V32" s="635"/>
      <c r="W32" s="635"/>
      <c r="X32" s="635"/>
      <c r="Y32" s="635"/>
      <c r="Z32" s="635"/>
      <c r="AA32" s="635"/>
      <c r="AB32" s="635">
        <v>46290</v>
      </c>
      <c r="AC32" s="635">
        <v>46350</v>
      </c>
      <c r="AD32" s="635">
        <v>46353</v>
      </c>
      <c r="AE32" s="635">
        <v>46354</v>
      </c>
      <c r="AF32" s="635">
        <v>46350</v>
      </c>
      <c r="AG32" s="635">
        <v>46380</v>
      </c>
      <c r="AH32" s="635">
        <v>46381</v>
      </c>
      <c r="AI32" s="635">
        <v>46395</v>
      </c>
      <c r="AJ32" s="635">
        <v>46411</v>
      </c>
      <c r="AK32" s="606">
        <v>20</v>
      </c>
      <c r="AL32" s="607">
        <v>140</v>
      </c>
      <c r="AM32" s="613">
        <f>W33+AL32</f>
        <v>46381</v>
      </c>
      <c r="AN32" s="608">
        <f>AR31-3</f>
        <v>46466</v>
      </c>
      <c r="AO32" s="263">
        <f>AN32-AM32</f>
        <v>85</v>
      </c>
      <c r="AP32" s="636"/>
      <c r="AQ32" s="610" t="s">
        <v>66</v>
      </c>
      <c r="AR32" s="611">
        <v>46472</v>
      </c>
      <c r="AS32" s="608" t="s">
        <v>80</v>
      </c>
    </row>
    <row r="33" spans="1:45" s="548" customFormat="1" ht="24" customHeight="1">
      <c r="A33" s="615"/>
      <c r="B33" s="616" t="s">
        <v>84</v>
      </c>
      <c r="C33" s="616" t="s">
        <v>85</v>
      </c>
      <c r="D33" s="617"/>
      <c r="E33" s="618"/>
      <c r="F33" s="637"/>
      <c r="G33" s="616"/>
      <c r="H33" s="621"/>
      <c r="I33" s="616" t="s">
        <v>86</v>
      </c>
      <c r="J33" s="616" t="s">
        <v>64</v>
      </c>
      <c r="K33" s="263">
        <v>2</v>
      </c>
      <c r="L33" s="616" t="s">
        <v>6</v>
      </c>
      <c r="M33" s="622" t="s">
        <v>67</v>
      </c>
      <c r="N33" s="638">
        <v>46136</v>
      </c>
      <c r="O33" s="638">
        <v>46163</v>
      </c>
      <c r="P33" s="623">
        <v>46182</v>
      </c>
      <c r="Q33" s="623">
        <v>46182</v>
      </c>
      <c r="R33" s="623">
        <v>46182</v>
      </c>
      <c r="S33" s="623">
        <v>46182</v>
      </c>
      <c r="T33" s="638">
        <v>46199</v>
      </c>
      <c r="U33" s="638">
        <v>46225</v>
      </c>
      <c r="V33" s="638">
        <v>46240</v>
      </c>
      <c r="W33" s="638">
        <v>46241</v>
      </c>
      <c r="X33" s="620"/>
      <c r="Y33" s="638">
        <v>46241</v>
      </c>
      <c r="Z33" s="638">
        <v>46248</v>
      </c>
      <c r="AA33" s="623">
        <f>Z33+1</f>
        <v>46249</v>
      </c>
      <c r="AB33" s="638"/>
      <c r="AC33" s="638"/>
      <c r="AD33" s="638"/>
      <c r="AE33" s="638"/>
      <c r="AF33" s="638"/>
      <c r="AG33" s="638"/>
      <c r="AH33" s="638"/>
      <c r="AI33" s="638"/>
      <c r="AJ33" s="638"/>
      <c r="AK33" s="624"/>
      <c r="AL33" s="625"/>
      <c r="AM33" s="638"/>
      <c r="AN33" s="639"/>
      <c r="AO33" s="616"/>
      <c r="AP33" s="621"/>
      <c r="AQ33" s="640"/>
      <c r="AR33" s="627" t="s">
        <v>88</v>
      </c>
      <c r="AS33" s="639"/>
    </row>
    <row r="34" spans="1:45" s="548" customFormat="1" ht="24" hidden="1" customHeight="1">
      <c r="A34" s="595">
        <v>6</v>
      </c>
      <c r="B34" s="263" t="s">
        <v>89</v>
      </c>
      <c r="C34" s="263" t="s">
        <v>90</v>
      </c>
      <c r="D34" s="597"/>
      <c r="E34" s="598"/>
      <c r="F34" s="599"/>
      <c r="G34" s="600"/>
      <c r="H34" s="601"/>
      <c r="I34" s="600" t="s">
        <v>59</v>
      </c>
      <c r="J34" s="263"/>
      <c r="K34" s="602"/>
      <c r="L34" s="263" t="s">
        <v>6</v>
      </c>
      <c r="M34" s="603" t="s">
        <v>60</v>
      </c>
      <c r="N34" s="604"/>
      <c r="O34" s="605">
        <v>46153</v>
      </c>
      <c r="P34" s="605">
        <v>46182</v>
      </c>
      <c r="Q34" s="605">
        <v>46182</v>
      </c>
      <c r="R34" s="605">
        <v>46182</v>
      </c>
      <c r="S34" s="605">
        <v>46169</v>
      </c>
      <c r="T34" s="605">
        <v>46183</v>
      </c>
      <c r="U34" s="605">
        <v>46210</v>
      </c>
      <c r="V34" s="605">
        <v>46213</v>
      </c>
      <c r="W34" s="605"/>
      <c r="X34" s="605">
        <v>46227</v>
      </c>
      <c r="Y34" s="605">
        <v>46231</v>
      </c>
      <c r="Z34" s="605">
        <v>46238</v>
      </c>
      <c r="AA34" s="605">
        <v>46266</v>
      </c>
      <c r="AB34" s="605">
        <v>46280</v>
      </c>
      <c r="AC34" s="605">
        <v>46392</v>
      </c>
      <c r="AD34" s="605">
        <v>46395</v>
      </c>
      <c r="AE34" s="605">
        <v>46396</v>
      </c>
      <c r="AF34" s="605">
        <v>46421</v>
      </c>
      <c r="AG34" s="605">
        <v>46437</v>
      </c>
      <c r="AH34" s="605">
        <v>46451</v>
      </c>
      <c r="AI34" s="605">
        <v>46465</v>
      </c>
      <c r="AJ34" s="605">
        <v>46481</v>
      </c>
      <c r="AK34" s="606">
        <v>32</v>
      </c>
      <c r="AL34" s="607">
        <f>AK34*7</f>
        <v>224</v>
      </c>
      <c r="AM34" s="605">
        <f>X34+AL34</f>
        <v>46451</v>
      </c>
      <c r="AN34" s="608">
        <f>AN35</f>
        <v>46451</v>
      </c>
      <c r="AO34" s="600">
        <f>AN35-AM34</f>
        <v>0</v>
      </c>
      <c r="AP34" s="609" t="s">
        <v>61</v>
      </c>
      <c r="AQ34" s="610" t="s">
        <v>62</v>
      </c>
      <c r="AR34" s="611">
        <v>46454</v>
      </c>
      <c r="AS34" s="608"/>
    </row>
    <row r="35" spans="1:45" s="548" customFormat="1" ht="24" customHeight="1">
      <c r="A35" s="595"/>
      <c r="B35" s="263" t="s">
        <v>89</v>
      </c>
      <c r="C35" s="641" t="s">
        <v>90</v>
      </c>
      <c r="D35" s="597"/>
      <c r="E35" s="598"/>
      <c r="F35" s="599"/>
      <c r="G35" s="600"/>
      <c r="H35" s="601" t="s">
        <v>91</v>
      </c>
      <c r="I35" s="600" t="s">
        <v>59</v>
      </c>
      <c r="J35" s="263" t="s">
        <v>64</v>
      </c>
      <c r="K35" s="263">
        <v>3</v>
      </c>
      <c r="L35" s="263" t="s">
        <v>6</v>
      </c>
      <c r="M35" s="603" t="s">
        <v>65</v>
      </c>
      <c r="N35" s="605"/>
      <c r="O35" s="605"/>
      <c r="P35" s="635"/>
      <c r="Q35" s="605"/>
      <c r="R35" s="605"/>
      <c r="S35" s="605"/>
      <c r="T35" s="605"/>
      <c r="U35" s="605"/>
      <c r="V35" s="605"/>
      <c r="W35" s="605"/>
      <c r="X35" s="605"/>
      <c r="Y35" s="605"/>
      <c r="Z35" s="605"/>
      <c r="AA35" s="605"/>
      <c r="AB35" s="612">
        <v>46339</v>
      </c>
      <c r="AC35" s="612">
        <v>46366</v>
      </c>
      <c r="AD35" s="612">
        <v>46366</v>
      </c>
      <c r="AE35" s="612">
        <v>46366</v>
      </c>
      <c r="AF35" s="612">
        <v>46469</v>
      </c>
      <c r="AG35" s="612">
        <v>46471</v>
      </c>
      <c r="AH35" s="612">
        <v>46476</v>
      </c>
      <c r="AI35" s="605">
        <v>46490</v>
      </c>
      <c r="AJ35" s="605">
        <v>46506</v>
      </c>
      <c r="AK35" s="606">
        <v>35.142857142857103</v>
      </c>
      <c r="AL35" s="607">
        <v>246</v>
      </c>
      <c r="AM35" s="613">
        <v>46476</v>
      </c>
      <c r="AN35" s="608">
        <f>AR34-3</f>
        <v>46451</v>
      </c>
      <c r="AO35" s="600">
        <f>AN35-AM35</f>
        <v>-25</v>
      </c>
      <c r="AP35" s="614" t="str">
        <f>AP34</f>
        <v>Long Lead</v>
      </c>
      <c r="AQ35" s="610" t="s">
        <v>66</v>
      </c>
      <c r="AR35" s="611">
        <v>46472</v>
      </c>
      <c r="AS35" s="608"/>
    </row>
    <row r="36" spans="1:45" s="548" customFormat="1" ht="24" customHeight="1">
      <c r="A36" s="615"/>
      <c r="B36" s="616" t="s">
        <v>89</v>
      </c>
      <c r="C36" s="616" t="s">
        <v>90</v>
      </c>
      <c r="D36" s="617"/>
      <c r="E36" s="618"/>
      <c r="F36" s="619"/>
      <c r="G36" s="620"/>
      <c r="H36" s="621"/>
      <c r="I36" s="620" t="s">
        <v>59</v>
      </c>
      <c r="J36" s="616" t="s">
        <v>64</v>
      </c>
      <c r="K36" s="263">
        <v>3</v>
      </c>
      <c r="L36" s="616" t="s">
        <v>6</v>
      </c>
      <c r="M36" s="622" t="s">
        <v>67</v>
      </c>
      <c r="N36" s="623">
        <v>46133</v>
      </c>
      <c r="O36" s="623">
        <v>46157</v>
      </c>
      <c r="P36" s="623">
        <v>46182</v>
      </c>
      <c r="Q36" s="623">
        <v>46182</v>
      </c>
      <c r="R36" s="623">
        <v>46182</v>
      </c>
      <c r="S36" s="623">
        <v>46182</v>
      </c>
      <c r="T36" s="623">
        <v>46183</v>
      </c>
      <c r="U36" s="623">
        <v>46206</v>
      </c>
      <c r="V36" s="623">
        <v>46210</v>
      </c>
      <c r="W36" s="623">
        <v>46230</v>
      </c>
      <c r="X36" s="620"/>
      <c r="Y36" s="623">
        <v>46230</v>
      </c>
      <c r="Z36" s="623">
        <v>46237</v>
      </c>
      <c r="AA36" s="623">
        <v>46262</v>
      </c>
      <c r="AB36" s="623"/>
      <c r="AC36" s="623"/>
      <c r="AD36" s="623"/>
      <c r="AE36" s="623"/>
      <c r="AF36" s="623"/>
      <c r="AG36" s="623"/>
      <c r="AH36" s="623"/>
      <c r="AI36" s="623"/>
      <c r="AJ36" s="623"/>
      <c r="AK36" s="624"/>
      <c r="AL36" s="625"/>
      <c r="AM36" s="623"/>
      <c r="AN36" s="626"/>
      <c r="AO36" s="620"/>
      <c r="AP36" s="627" t="str">
        <f>AP34</f>
        <v>Long Lead</v>
      </c>
      <c r="AQ36" s="628"/>
      <c r="AR36" s="621" t="s">
        <v>92</v>
      </c>
      <c r="AS36" s="626" t="s">
        <v>80</v>
      </c>
    </row>
    <row r="37" spans="1:45" s="548" customFormat="1" ht="24" hidden="1" customHeight="1">
      <c r="A37" s="595">
        <v>8</v>
      </c>
      <c r="B37" s="263" t="s">
        <v>93</v>
      </c>
      <c r="C37" s="596" t="s">
        <v>94</v>
      </c>
      <c r="D37" s="597"/>
      <c r="E37" s="598"/>
      <c r="F37" s="599"/>
      <c r="G37" s="600"/>
      <c r="H37" s="601"/>
      <c r="I37" s="600" t="s">
        <v>59</v>
      </c>
      <c r="J37" s="263"/>
      <c r="K37" s="602"/>
      <c r="L37" s="263" t="s">
        <v>6</v>
      </c>
      <c r="M37" s="603" t="s">
        <v>60</v>
      </c>
      <c r="N37" s="604"/>
      <c r="O37" s="605">
        <v>46141</v>
      </c>
      <c r="P37" s="605">
        <v>46153</v>
      </c>
      <c r="Q37" s="605">
        <v>46153</v>
      </c>
      <c r="R37" s="605">
        <v>46161</v>
      </c>
      <c r="S37" s="605">
        <v>46161</v>
      </c>
      <c r="T37" s="605">
        <v>46183</v>
      </c>
      <c r="U37" s="605">
        <v>46203</v>
      </c>
      <c r="V37" s="605">
        <v>46206</v>
      </c>
      <c r="W37" s="605"/>
      <c r="X37" s="605">
        <v>46220</v>
      </c>
      <c r="Y37" s="605">
        <v>46224</v>
      </c>
      <c r="Z37" s="605">
        <v>46231</v>
      </c>
      <c r="AA37" s="605">
        <v>46259</v>
      </c>
      <c r="AB37" s="605">
        <v>46273</v>
      </c>
      <c r="AC37" s="612">
        <v>46340</v>
      </c>
      <c r="AD37" s="612">
        <v>46340</v>
      </c>
      <c r="AE37" s="612">
        <v>46340</v>
      </c>
      <c r="AF37" s="612">
        <v>46457</v>
      </c>
      <c r="AG37" s="612">
        <v>46461</v>
      </c>
      <c r="AH37" s="612">
        <f>AG37+3</f>
        <v>46464</v>
      </c>
      <c r="AI37" s="612">
        <f>AH37+14</f>
        <v>46478</v>
      </c>
      <c r="AJ37" s="612">
        <f>AM37+30</f>
        <v>46494</v>
      </c>
      <c r="AK37" s="606">
        <v>34</v>
      </c>
      <c r="AL37" s="607">
        <f t="shared" ref="AL37:AL40" si="0">AK37*7</f>
        <v>238</v>
      </c>
      <c r="AM37" s="612">
        <f>AH37</f>
        <v>46464</v>
      </c>
      <c r="AN37" s="608">
        <f>AN38</f>
        <v>46469</v>
      </c>
      <c r="AO37" s="600">
        <f>AN38-AM37</f>
        <v>5</v>
      </c>
      <c r="AP37" s="609"/>
      <c r="AQ37" s="610" t="s">
        <v>62</v>
      </c>
      <c r="AR37" s="611" t="s">
        <v>95</v>
      </c>
      <c r="AS37" s="608"/>
    </row>
    <row r="38" spans="1:45" s="548" customFormat="1" ht="24" customHeight="1">
      <c r="A38" s="595"/>
      <c r="B38" s="263" t="s">
        <v>93</v>
      </c>
      <c r="C38" s="596" t="s">
        <v>94</v>
      </c>
      <c r="D38" s="632"/>
      <c r="E38" s="598"/>
      <c r="F38" s="599"/>
      <c r="G38" s="600"/>
      <c r="H38" s="601" t="s">
        <v>96</v>
      </c>
      <c r="I38" s="600" t="s">
        <v>59</v>
      </c>
      <c r="J38" s="263" t="s">
        <v>64</v>
      </c>
      <c r="K38" s="263">
        <v>2</v>
      </c>
      <c r="L38" s="263" t="s">
        <v>6</v>
      </c>
      <c r="M38" s="603" t="s">
        <v>65</v>
      </c>
      <c r="N38" s="605"/>
      <c r="O38" s="605"/>
      <c r="P38" s="605"/>
      <c r="Q38" s="605"/>
      <c r="R38" s="605"/>
      <c r="S38" s="605"/>
      <c r="T38" s="605"/>
      <c r="U38" s="605"/>
      <c r="V38" s="605"/>
      <c r="W38" s="605"/>
      <c r="X38" s="605"/>
      <c r="Y38" s="605"/>
      <c r="Z38" s="605"/>
      <c r="AA38" s="612"/>
      <c r="AB38" s="612">
        <v>46380</v>
      </c>
      <c r="AC38" s="612">
        <v>46329</v>
      </c>
      <c r="AD38" s="612">
        <v>46329</v>
      </c>
      <c r="AE38" s="612">
        <v>46340</v>
      </c>
      <c r="AF38" s="612">
        <v>46461</v>
      </c>
      <c r="AG38" s="612">
        <v>46461</v>
      </c>
      <c r="AH38" s="612">
        <v>46461</v>
      </c>
      <c r="AI38" s="605">
        <v>46475</v>
      </c>
      <c r="AJ38" s="605">
        <v>46491</v>
      </c>
      <c r="AK38" s="606">
        <v>34.571428571428598</v>
      </c>
      <c r="AL38" s="607">
        <v>242</v>
      </c>
      <c r="AM38" s="613">
        <v>46461</v>
      </c>
      <c r="AN38" s="608">
        <f>AR38-3</f>
        <v>46469</v>
      </c>
      <c r="AO38" s="600">
        <f>AN38-AM38</f>
        <v>8</v>
      </c>
      <c r="AP38" s="609"/>
      <c r="AQ38" s="610" t="s">
        <v>66</v>
      </c>
      <c r="AR38" s="611">
        <v>46472</v>
      </c>
      <c r="AS38" s="608" t="s">
        <v>97</v>
      </c>
    </row>
    <row r="39" spans="1:45" s="548" customFormat="1" ht="24" customHeight="1">
      <c r="A39" s="615"/>
      <c r="B39" s="616" t="s">
        <v>93</v>
      </c>
      <c r="C39" s="616" t="s">
        <v>94</v>
      </c>
      <c r="D39" s="633"/>
      <c r="E39" s="618"/>
      <c r="F39" s="619"/>
      <c r="G39" s="620"/>
      <c r="H39" s="621"/>
      <c r="I39" s="620" t="s">
        <v>59</v>
      </c>
      <c r="J39" s="616" t="s">
        <v>64</v>
      </c>
      <c r="K39" s="263">
        <v>2</v>
      </c>
      <c r="L39" s="616" t="s">
        <v>6</v>
      </c>
      <c r="M39" s="622" t="s">
        <v>67</v>
      </c>
      <c r="N39" s="623">
        <v>46136</v>
      </c>
      <c r="O39" s="623">
        <v>46139</v>
      </c>
      <c r="P39" s="623">
        <v>46153</v>
      </c>
      <c r="Q39" s="623">
        <v>46153</v>
      </c>
      <c r="R39" s="623">
        <f>P39</f>
        <v>46153</v>
      </c>
      <c r="S39" s="623">
        <f>P39</f>
        <v>46153</v>
      </c>
      <c r="T39" s="623">
        <v>46182</v>
      </c>
      <c r="U39" s="623">
        <v>46200</v>
      </c>
      <c r="V39" s="623">
        <v>46202</v>
      </c>
      <c r="W39" s="623">
        <v>46219</v>
      </c>
      <c r="X39" s="623">
        <v>46219</v>
      </c>
      <c r="Y39" s="623">
        <v>46219</v>
      </c>
      <c r="Z39" s="623">
        <v>46226</v>
      </c>
      <c r="AA39" s="623">
        <v>46260</v>
      </c>
      <c r="AB39" s="623"/>
      <c r="AC39" s="623"/>
      <c r="AD39" s="623"/>
      <c r="AE39" s="623"/>
      <c r="AF39" s="623"/>
      <c r="AG39" s="623"/>
      <c r="AH39" s="623"/>
      <c r="AI39" s="623"/>
      <c r="AJ39" s="623"/>
      <c r="AK39" s="624"/>
      <c r="AL39" s="625"/>
      <c r="AM39" s="623"/>
      <c r="AN39" s="626"/>
      <c r="AO39" s="620"/>
      <c r="AP39" s="627"/>
      <c r="AQ39" s="628"/>
      <c r="AR39" s="627" t="s">
        <v>79</v>
      </c>
      <c r="AS39" s="626" t="s">
        <v>80</v>
      </c>
    </row>
    <row r="40" spans="1:45" s="548" customFormat="1" ht="24" hidden="1" customHeight="1">
      <c r="A40" s="595">
        <v>9</v>
      </c>
      <c r="B40" s="263" t="s">
        <v>98</v>
      </c>
      <c r="C40" s="596" t="s">
        <v>99</v>
      </c>
      <c r="D40" s="597"/>
      <c r="E40" s="598"/>
      <c r="F40" s="599"/>
      <c r="G40" s="600"/>
      <c r="H40" s="601"/>
      <c r="I40" s="600" t="s">
        <v>59</v>
      </c>
      <c r="J40" s="263"/>
      <c r="K40" s="602"/>
      <c r="L40" s="263" t="s">
        <v>6</v>
      </c>
      <c r="M40" s="603" t="s">
        <v>60</v>
      </c>
      <c r="N40" s="604"/>
      <c r="O40" s="605">
        <v>46134</v>
      </c>
      <c r="P40" s="605">
        <v>46153</v>
      </c>
      <c r="Q40" s="605">
        <v>46153</v>
      </c>
      <c r="R40" s="605">
        <v>46153</v>
      </c>
      <c r="S40" s="605">
        <v>46154</v>
      </c>
      <c r="T40" s="605">
        <v>46167</v>
      </c>
      <c r="U40" s="605">
        <v>46197</v>
      </c>
      <c r="V40" s="605">
        <v>46202</v>
      </c>
      <c r="W40" s="605"/>
      <c r="X40" s="605">
        <v>46216</v>
      </c>
      <c r="Y40" s="605">
        <v>46218</v>
      </c>
      <c r="Z40" s="605">
        <v>46225</v>
      </c>
      <c r="AA40" s="605">
        <v>46253</v>
      </c>
      <c r="AB40" s="605">
        <v>46267</v>
      </c>
      <c r="AC40" s="612">
        <v>46340</v>
      </c>
      <c r="AD40" s="612">
        <v>46340</v>
      </c>
      <c r="AE40" s="612">
        <v>46343</v>
      </c>
      <c r="AF40" s="612">
        <v>46453</v>
      </c>
      <c r="AG40" s="612">
        <v>46456</v>
      </c>
      <c r="AH40" s="612">
        <f>AG40+3</f>
        <v>46459</v>
      </c>
      <c r="AI40" s="612">
        <f>AH40+14</f>
        <v>46473</v>
      </c>
      <c r="AJ40" s="612">
        <f>AM40+30</f>
        <v>46489</v>
      </c>
      <c r="AK40" s="606">
        <v>34</v>
      </c>
      <c r="AL40" s="607">
        <f t="shared" si="0"/>
        <v>238</v>
      </c>
      <c r="AM40" s="612">
        <f>AH40</f>
        <v>46459</v>
      </c>
      <c r="AN40" s="608">
        <f>AN41</f>
        <v>46470</v>
      </c>
      <c r="AO40" s="600">
        <f>AN41-AM40</f>
        <v>11</v>
      </c>
      <c r="AP40" s="609"/>
      <c r="AQ40" s="610" t="s">
        <v>62</v>
      </c>
      <c r="AR40" s="611" t="s">
        <v>95</v>
      </c>
      <c r="AS40" s="608"/>
    </row>
    <row r="41" spans="1:45" s="548" customFormat="1" ht="24" customHeight="1">
      <c r="A41" s="595"/>
      <c r="B41" s="263" t="s">
        <v>98</v>
      </c>
      <c r="C41" s="596" t="s">
        <v>99</v>
      </c>
      <c r="D41" s="632"/>
      <c r="E41" s="598"/>
      <c r="F41" s="599"/>
      <c r="G41" s="600"/>
      <c r="H41" s="601" t="s">
        <v>100</v>
      </c>
      <c r="I41" s="600" t="s">
        <v>59</v>
      </c>
      <c r="J41" s="263" t="s">
        <v>64</v>
      </c>
      <c r="K41" s="263">
        <v>2</v>
      </c>
      <c r="L41" s="263" t="s">
        <v>6</v>
      </c>
      <c r="M41" s="603" t="s">
        <v>65</v>
      </c>
      <c r="N41" s="605"/>
      <c r="O41" s="605"/>
      <c r="P41" s="605"/>
      <c r="Q41" s="605"/>
      <c r="R41" s="605"/>
      <c r="S41" s="605"/>
      <c r="T41" s="605"/>
      <c r="U41" s="605"/>
      <c r="V41" s="605"/>
      <c r="W41" s="605"/>
      <c r="X41" s="605"/>
      <c r="Y41" s="605"/>
      <c r="Z41" s="605"/>
      <c r="AA41" s="612"/>
      <c r="AB41" s="612">
        <v>46380</v>
      </c>
      <c r="AC41" s="612">
        <v>46280</v>
      </c>
      <c r="AD41" s="612">
        <v>46281</v>
      </c>
      <c r="AE41" s="612">
        <v>46282</v>
      </c>
      <c r="AF41" s="612">
        <v>46451</v>
      </c>
      <c r="AG41" s="612">
        <v>46456</v>
      </c>
      <c r="AH41" s="612">
        <v>46456</v>
      </c>
      <c r="AI41" s="605">
        <v>46470</v>
      </c>
      <c r="AJ41" s="605">
        <v>46486</v>
      </c>
      <c r="AK41" s="606">
        <v>33.857142857142897</v>
      </c>
      <c r="AL41" s="607">
        <v>237</v>
      </c>
      <c r="AM41" s="613">
        <v>46456</v>
      </c>
      <c r="AN41" s="608">
        <f>AR41-3</f>
        <v>46470</v>
      </c>
      <c r="AO41" s="600">
        <f>AN41-AM41</f>
        <v>14</v>
      </c>
      <c r="AP41" s="609"/>
      <c r="AQ41" s="610" t="s">
        <v>66</v>
      </c>
      <c r="AR41" s="611">
        <v>46473</v>
      </c>
      <c r="AS41" s="608" t="s">
        <v>97</v>
      </c>
    </row>
    <row r="42" spans="1:45" s="548" customFormat="1" ht="24" customHeight="1">
      <c r="A42" s="615"/>
      <c r="B42" s="616" t="s">
        <v>98</v>
      </c>
      <c r="C42" s="616" t="s">
        <v>99</v>
      </c>
      <c r="D42" s="633"/>
      <c r="E42" s="618"/>
      <c r="F42" s="619"/>
      <c r="G42" s="620"/>
      <c r="H42" s="621"/>
      <c r="I42" s="620" t="s">
        <v>59</v>
      </c>
      <c r="J42" s="616" t="s">
        <v>64</v>
      </c>
      <c r="K42" s="263">
        <v>2</v>
      </c>
      <c r="L42" s="616" t="s">
        <v>6</v>
      </c>
      <c r="M42" s="622" t="s">
        <v>67</v>
      </c>
      <c r="N42" s="623">
        <v>46135</v>
      </c>
      <c r="O42" s="623">
        <v>46135</v>
      </c>
      <c r="P42" s="623">
        <v>46151</v>
      </c>
      <c r="Q42" s="623">
        <v>46151</v>
      </c>
      <c r="R42" s="623">
        <f>P42</f>
        <v>46151</v>
      </c>
      <c r="S42" s="623">
        <f>P42</f>
        <v>46151</v>
      </c>
      <c r="T42" s="623">
        <v>46181</v>
      </c>
      <c r="U42" s="623">
        <v>46202</v>
      </c>
      <c r="V42" s="623">
        <v>46204</v>
      </c>
      <c r="W42" s="623">
        <v>46219</v>
      </c>
      <c r="X42" s="623">
        <v>46219</v>
      </c>
      <c r="Y42" s="623">
        <v>46219</v>
      </c>
      <c r="Z42" s="623">
        <v>46226</v>
      </c>
      <c r="AA42" s="623">
        <v>46260</v>
      </c>
      <c r="AB42" s="623"/>
      <c r="AC42" s="623"/>
      <c r="AD42" s="623"/>
      <c r="AE42" s="623"/>
      <c r="AF42" s="623"/>
      <c r="AG42" s="623"/>
      <c r="AH42" s="623"/>
      <c r="AI42" s="623"/>
      <c r="AJ42" s="623"/>
      <c r="AK42" s="624"/>
      <c r="AL42" s="625"/>
      <c r="AM42" s="623"/>
      <c r="AN42" s="626"/>
      <c r="AO42" s="620"/>
      <c r="AP42" s="627"/>
      <c r="AQ42" s="628"/>
      <c r="AR42" s="627" t="s">
        <v>79</v>
      </c>
      <c r="AS42" s="626" t="s">
        <v>80</v>
      </c>
    </row>
    <row r="43" spans="1:45" s="548" customFormat="1" ht="24" hidden="1" customHeight="1">
      <c r="A43" s="595">
        <v>10</v>
      </c>
      <c r="B43" s="263" t="s">
        <v>101</v>
      </c>
      <c r="C43" s="596" t="s">
        <v>102</v>
      </c>
      <c r="D43" s="597"/>
      <c r="E43" s="598"/>
      <c r="F43" s="599"/>
      <c r="G43" s="600"/>
      <c r="H43" s="601"/>
      <c r="I43" s="600" t="s">
        <v>59</v>
      </c>
      <c r="J43" s="263"/>
      <c r="K43" s="602"/>
      <c r="L43" s="263" t="s">
        <v>6</v>
      </c>
      <c r="M43" s="603" t="s">
        <v>60</v>
      </c>
      <c r="N43" s="604"/>
      <c r="O43" s="605">
        <v>46147</v>
      </c>
      <c r="P43" s="605">
        <v>46167</v>
      </c>
      <c r="Q43" s="605">
        <v>46167</v>
      </c>
      <c r="R43" s="605">
        <v>46167</v>
      </c>
      <c r="S43" s="605">
        <v>46163</v>
      </c>
      <c r="T43" s="605">
        <v>46190</v>
      </c>
      <c r="U43" s="605">
        <v>46204</v>
      </c>
      <c r="V43" s="605">
        <v>46209</v>
      </c>
      <c r="W43" s="605"/>
      <c r="X43" s="605">
        <v>46223</v>
      </c>
      <c r="Y43" s="605">
        <v>46225</v>
      </c>
      <c r="Z43" s="605">
        <v>46232</v>
      </c>
      <c r="AA43" s="605">
        <v>46260</v>
      </c>
      <c r="AB43" s="605">
        <v>46274</v>
      </c>
      <c r="AC43" s="605">
        <v>46334</v>
      </c>
      <c r="AD43" s="605">
        <v>46337</v>
      </c>
      <c r="AE43" s="605">
        <v>46338</v>
      </c>
      <c r="AF43" s="605">
        <v>46374</v>
      </c>
      <c r="AG43" s="605">
        <v>46446</v>
      </c>
      <c r="AH43" s="605">
        <v>46447</v>
      </c>
      <c r="AI43" s="605">
        <v>46461</v>
      </c>
      <c r="AJ43" s="605">
        <v>46477</v>
      </c>
      <c r="AK43" s="606">
        <v>32</v>
      </c>
      <c r="AL43" s="607">
        <f>AK43*7</f>
        <v>224</v>
      </c>
      <c r="AM43" s="605">
        <f>X43+AL43</f>
        <v>46447</v>
      </c>
      <c r="AN43" s="608">
        <f>AN44</f>
        <v>46469</v>
      </c>
      <c r="AO43" s="600">
        <f>AN44-AM43</f>
        <v>22</v>
      </c>
      <c r="AP43" s="609"/>
      <c r="AQ43" s="610" t="s">
        <v>62</v>
      </c>
      <c r="AR43" s="611" t="s">
        <v>95</v>
      </c>
      <c r="AS43" s="608"/>
    </row>
    <row r="44" spans="1:45" s="548" customFormat="1" ht="24" customHeight="1">
      <c r="A44" s="595"/>
      <c r="B44" s="263" t="s">
        <v>101</v>
      </c>
      <c r="C44" s="596" t="s">
        <v>102</v>
      </c>
      <c r="D44" s="632"/>
      <c r="E44" s="598"/>
      <c r="F44" s="599"/>
      <c r="G44" s="600"/>
      <c r="H44" s="601" t="s">
        <v>103</v>
      </c>
      <c r="I44" s="600" t="s">
        <v>59</v>
      </c>
      <c r="J44" s="263" t="s">
        <v>64</v>
      </c>
      <c r="K44" s="263">
        <v>2</v>
      </c>
      <c r="L44" s="263" t="s">
        <v>6</v>
      </c>
      <c r="M44" s="603" t="s">
        <v>65</v>
      </c>
      <c r="N44" s="605"/>
      <c r="O44" s="605"/>
      <c r="P44" s="605"/>
      <c r="Q44" s="605"/>
      <c r="R44" s="605"/>
      <c r="S44" s="605"/>
      <c r="T44" s="605"/>
      <c r="U44" s="605"/>
      <c r="V44" s="605"/>
      <c r="W44" s="605"/>
      <c r="X44" s="605"/>
      <c r="Y44" s="605"/>
      <c r="Z44" s="605"/>
      <c r="AA44" s="612"/>
      <c r="AB44" s="612">
        <v>46336</v>
      </c>
      <c r="AC44" s="612">
        <v>46345</v>
      </c>
      <c r="AD44" s="612">
        <v>46346</v>
      </c>
      <c r="AE44" s="612">
        <v>46347</v>
      </c>
      <c r="AF44" s="612">
        <v>46454</v>
      </c>
      <c r="AG44" s="612">
        <v>46446</v>
      </c>
      <c r="AH44" s="612">
        <v>46446</v>
      </c>
      <c r="AI44" s="605">
        <v>46460</v>
      </c>
      <c r="AJ44" s="605">
        <v>46476</v>
      </c>
      <c r="AK44" s="606">
        <v>32.428571428571402</v>
      </c>
      <c r="AL44" s="607">
        <v>227</v>
      </c>
      <c r="AM44" s="613">
        <v>46446</v>
      </c>
      <c r="AN44" s="608">
        <f>AR44-3</f>
        <v>46469</v>
      </c>
      <c r="AO44" s="600">
        <f>AN44-AM44</f>
        <v>23</v>
      </c>
      <c r="AP44" s="609"/>
      <c r="AQ44" s="610" t="s">
        <v>66</v>
      </c>
      <c r="AR44" s="611">
        <v>46472</v>
      </c>
      <c r="AS44" s="608" t="s">
        <v>97</v>
      </c>
    </row>
    <row r="45" spans="1:45" s="548" customFormat="1" ht="24" customHeight="1">
      <c r="A45" s="615"/>
      <c r="B45" s="616" t="s">
        <v>101</v>
      </c>
      <c r="C45" s="616" t="s">
        <v>102</v>
      </c>
      <c r="D45" s="633"/>
      <c r="E45" s="618"/>
      <c r="F45" s="619"/>
      <c r="G45" s="620"/>
      <c r="H45" s="621"/>
      <c r="I45" s="620" t="s">
        <v>59</v>
      </c>
      <c r="J45" s="616" t="s">
        <v>64</v>
      </c>
      <c r="K45" s="263">
        <v>2</v>
      </c>
      <c r="L45" s="616" t="s">
        <v>6</v>
      </c>
      <c r="M45" s="622" t="s">
        <v>67</v>
      </c>
      <c r="N45" s="623">
        <v>46136</v>
      </c>
      <c r="O45" s="623">
        <v>46150</v>
      </c>
      <c r="P45" s="623">
        <v>46167</v>
      </c>
      <c r="Q45" s="623">
        <v>46167</v>
      </c>
      <c r="R45" s="623">
        <v>46167</v>
      </c>
      <c r="S45" s="623">
        <v>46167</v>
      </c>
      <c r="T45" s="623">
        <v>46190</v>
      </c>
      <c r="U45" s="623">
        <v>46206</v>
      </c>
      <c r="V45" s="623">
        <v>46210</v>
      </c>
      <c r="W45" s="623">
        <v>46219</v>
      </c>
      <c r="X45" s="623">
        <v>46219</v>
      </c>
      <c r="Y45" s="623">
        <v>46219</v>
      </c>
      <c r="Z45" s="623">
        <v>46226</v>
      </c>
      <c r="AA45" s="623">
        <v>46260</v>
      </c>
      <c r="AB45" s="623"/>
      <c r="AC45" s="623"/>
      <c r="AD45" s="623"/>
      <c r="AE45" s="623"/>
      <c r="AF45" s="623"/>
      <c r="AG45" s="623"/>
      <c r="AH45" s="623"/>
      <c r="AI45" s="623"/>
      <c r="AJ45" s="623"/>
      <c r="AK45" s="624"/>
      <c r="AL45" s="625"/>
      <c r="AM45" s="623"/>
      <c r="AN45" s="626"/>
      <c r="AO45" s="620"/>
      <c r="AP45" s="627"/>
      <c r="AQ45" s="628"/>
      <c r="AR45" s="627" t="s">
        <v>79</v>
      </c>
      <c r="AS45" s="626" t="s">
        <v>80</v>
      </c>
    </row>
    <row r="46" spans="1:45" s="548" customFormat="1" ht="24" hidden="1" customHeight="1">
      <c r="A46" s="595">
        <v>11</v>
      </c>
      <c r="B46" s="263" t="s">
        <v>104</v>
      </c>
      <c r="C46" s="596" t="s">
        <v>105</v>
      </c>
      <c r="D46" s="597"/>
      <c r="E46" s="598"/>
      <c r="F46" s="599"/>
      <c r="G46" s="600"/>
      <c r="H46" s="601"/>
      <c r="I46" s="600" t="s">
        <v>59</v>
      </c>
      <c r="J46" s="263"/>
      <c r="K46" s="602"/>
      <c r="L46" s="263" t="s">
        <v>6</v>
      </c>
      <c r="M46" s="603" t="s">
        <v>60</v>
      </c>
      <c r="N46" s="604"/>
      <c r="O46" s="605">
        <v>46155</v>
      </c>
      <c r="P46" s="605">
        <v>46182</v>
      </c>
      <c r="Q46" s="605">
        <v>46182</v>
      </c>
      <c r="R46" s="605">
        <v>46182</v>
      </c>
      <c r="S46" s="605">
        <v>46171</v>
      </c>
      <c r="T46" s="605">
        <v>46185</v>
      </c>
      <c r="U46" s="605">
        <v>46212</v>
      </c>
      <c r="V46" s="605">
        <v>46217</v>
      </c>
      <c r="W46" s="605"/>
      <c r="X46" s="605">
        <v>46231</v>
      </c>
      <c r="Y46" s="605">
        <v>46233</v>
      </c>
      <c r="Z46" s="605">
        <v>46240</v>
      </c>
      <c r="AA46" s="605">
        <v>46268</v>
      </c>
      <c r="AB46" s="605">
        <v>46282</v>
      </c>
      <c r="AC46" s="605">
        <v>46342</v>
      </c>
      <c r="AD46" s="605">
        <v>46345</v>
      </c>
      <c r="AE46" s="605">
        <v>46346</v>
      </c>
      <c r="AF46" s="605">
        <v>46382</v>
      </c>
      <c r="AG46" s="605">
        <v>46412</v>
      </c>
      <c r="AH46" s="605">
        <v>46413</v>
      </c>
      <c r="AI46" s="605">
        <v>46427</v>
      </c>
      <c r="AJ46" s="605">
        <v>46443</v>
      </c>
      <c r="AK46" s="606">
        <v>26</v>
      </c>
      <c r="AL46" s="607">
        <f>AK46*7</f>
        <v>182</v>
      </c>
      <c r="AM46" s="605">
        <f>X46+AL46</f>
        <v>46413</v>
      </c>
      <c r="AN46" s="608">
        <f>AN47</f>
        <v>46430</v>
      </c>
      <c r="AO46" s="600">
        <f>AN47-AM46</f>
        <v>17</v>
      </c>
      <c r="AP46" s="609" t="s">
        <v>61</v>
      </c>
      <c r="AQ46" s="610" t="s">
        <v>62</v>
      </c>
      <c r="AR46" s="611">
        <v>46433</v>
      </c>
      <c r="AS46" s="608"/>
    </row>
    <row r="47" spans="1:45" s="548" customFormat="1" ht="24" customHeight="1">
      <c r="A47" s="595"/>
      <c r="B47" s="263" t="s">
        <v>104</v>
      </c>
      <c r="C47" s="596" t="s">
        <v>105</v>
      </c>
      <c r="D47" s="632"/>
      <c r="E47" s="598"/>
      <c r="F47" s="599"/>
      <c r="G47" s="600"/>
      <c r="H47" s="601" t="s">
        <v>106</v>
      </c>
      <c r="I47" s="600" t="s">
        <v>59</v>
      </c>
      <c r="J47" s="263" t="s">
        <v>64</v>
      </c>
      <c r="K47" s="263">
        <v>3</v>
      </c>
      <c r="L47" s="263" t="s">
        <v>6</v>
      </c>
      <c r="M47" s="603" t="s">
        <v>65</v>
      </c>
      <c r="N47" s="605"/>
      <c r="O47" s="605"/>
      <c r="P47" s="605"/>
      <c r="Q47" s="605"/>
      <c r="R47" s="605"/>
      <c r="S47" s="605"/>
      <c r="T47" s="605"/>
      <c r="U47" s="605"/>
      <c r="V47" s="605"/>
      <c r="W47" s="605"/>
      <c r="X47" s="605"/>
      <c r="Y47" s="605"/>
      <c r="Z47" s="605"/>
      <c r="AA47" s="612"/>
      <c r="AB47" s="612">
        <v>46336</v>
      </c>
      <c r="AC47" s="612">
        <v>46336</v>
      </c>
      <c r="AD47" s="612">
        <v>46336</v>
      </c>
      <c r="AE47" s="612">
        <v>46337</v>
      </c>
      <c r="AF47" s="612">
        <v>46403</v>
      </c>
      <c r="AG47" s="612">
        <v>46406</v>
      </c>
      <c r="AH47" s="612">
        <v>46406</v>
      </c>
      <c r="AI47" s="605">
        <v>46420</v>
      </c>
      <c r="AJ47" s="605">
        <v>46436</v>
      </c>
      <c r="AK47" s="606">
        <v>26.714285714285701</v>
      </c>
      <c r="AL47" s="607">
        <v>187</v>
      </c>
      <c r="AM47" s="613">
        <v>46406</v>
      </c>
      <c r="AN47" s="608">
        <f>AR46-3</f>
        <v>46430</v>
      </c>
      <c r="AO47" s="600">
        <f>AN47-AM47</f>
        <v>24</v>
      </c>
      <c r="AP47" s="614" t="str">
        <f>AP46</f>
        <v>Long Lead</v>
      </c>
      <c r="AQ47" s="610" t="s">
        <v>66</v>
      </c>
      <c r="AR47" s="611">
        <v>46450</v>
      </c>
      <c r="AS47" s="608"/>
    </row>
    <row r="48" spans="1:45" s="548" customFormat="1" ht="24" customHeight="1">
      <c r="A48" s="615"/>
      <c r="B48" s="616" t="s">
        <v>104</v>
      </c>
      <c r="C48" s="616" t="s">
        <v>105</v>
      </c>
      <c r="D48" s="633"/>
      <c r="E48" s="618"/>
      <c r="F48" s="619"/>
      <c r="G48" s="620"/>
      <c r="H48" s="621"/>
      <c r="I48" s="620" t="s">
        <v>59</v>
      </c>
      <c r="J48" s="616" t="s">
        <v>64</v>
      </c>
      <c r="K48" s="263">
        <v>3</v>
      </c>
      <c r="L48" s="616" t="s">
        <v>6</v>
      </c>
      <c r="M48" s="622" t="s">
        <v>67</v>
      </c>
      <c r="N48" s="623">
        <v>46136</v>
      </c>
      <c r="O48" s="623">
        <v>46157</v>
      </c>
      <c r="P48" s="623">
        <v>46182</v>
      </c>
      <c r="Q48" s="623">
        <v>46182</v>
      </c>
      <c r="R48" s="623">
        <v>46182</v>
      </c>
      <c r="S48" s="623">
        <v>46182</v>
      </c>
      <c r="T48" s="623">
        <v>46185</v>
      </c>
      <c r="U48" s="623">
        <v>46206</v>
      </c>
      <c r="V48" s="623">
        <v>46210</v>
      </c>
      <c r="W48" s="623">
        <v>46219</v>
      </c>
      <c r="X48" s="623">
        <v>46219</v>
      </c>
      <c r="Y48" s="623">
        <v>46219</v>
      </c>
      <c r="Z48" s="623">
        <v>46226</v>
      </c>
      <c r="AA48" s="623">
        <v>46260</v>
      </c>
      <c r="AB48" s="623"/>
      <c r="AC48" s="623"/>
      <c r="AD48" s="623"/>
      <c r="AE48" s="623"/>
      <c r="AF48" s="623"/>
      <c r="AG48" s="623"/>
      <c r="AH48" s="623"/>
      <c r="AI48" s="623"/>
      <c r="AJ48" s="623"/>
      <c r="AK48" s="624"/>
      <c r="AL48" s="625"/>
      <c r="AM48" s="623"/>
      <c r="AN48" s="626"/>
      <c r="AO48" s="620"/>
      <c r="AP48" s="627" t="str">
        <f>AP46</f>
        <v>Long Lead</v>
      </c>
      <c r="AQ48" s="628"/>
      <c r="AR48" s="627" t="s">
        <v>79</v>
      </c>
      <c r="AS48" s="626" t="s">
        <v>107</v>
      </c>
    </row>
    <row r="49" spans="1:45" s="548" customFormat="1" ht="24" hidden="1" customHeight="1">
      <c r="A49" s="595">
        <v>13</v>
      </c>
      <c r="B49" s="263" t="s">
        <v>108</v>
      </c>
      <c r="C49" s="596" t="s">
        <v>109</v>
      </c>
      <c r="D49" s="597"/>
      <c r="E49" s="598"/>
      <c r="F49" s="599"/>
      <c r="G49" s="600"/>
      <c r="H49" s="601"/>
      <c r="I49" s="600" t="s">
        <v>59</v>
      </c>
      <c r="J49" s="263"/>
      <c r="K49" s="602"/>
      <c r="L49" s="263" t="s">
        <v>6</v>
      </c>
      <c r="M49" s="603" t="s">
        <v>60</v>
      </c>
      <c r="N49" s="604"/>
      <c r="O49" s="605">
        <v>46164</v>
      </c>
      <c r="P49" s="605">
        <v>46183</v>
      </c>
      <c r="Q49" s="605">
        <v>46183</v>
      </c>
      <c r="R49" s="605">
        <v>46183</v>
      </c>
      <c r="S49" s="605">
        <v>46183</v>
      </c>
      <c r="T49" s="605">
        <v>46183</v>
      </c>
      <c r="U49" s="605">
        <v>46225</v>
      </c>
      <c r="V49" s="605">
        <v>46241</v>
      </c>
      <c r="W49" s="605"/>
      <c r="X49" s="605">
        <v>46254</v>
      </c>
      <c r="Y49" s="605">
        <v>46258</v>
      </c>
      <c r="Z49" s="605">
        <v>46265</v>
      </c>
      <c r="AA49" s="605">
        <v>46294</v>
      </c>
      <c r="AB49" s="605">
        <v>46309</v>
      </c>
      <c r="AC49" s="605">
        <v>46369</v>
      </c>
      <c r="AD49" s="605">
        <v>46372</v>
      </c>
      <c r="AE49" s="605">
        <v>46377</v>
      </c>
      <c r="AF49" s="605">
        <v>46391</v>
      </c>
      <c r="AG49" s="605">
        <v>46421</v>
      </c>
      <c r="AH49" s="605">
        <v>46422</v>
      </c>
      <c r="AI49" s="605">
        <v>46436</v>
      </c>
      <c r="AJ49" s="605">
        <v>46452</v>
      </c>
      <c r="AK49" s="606">
        <v>24</v>
      </c>
      <c r="AL49" s="607">
        <f>AK49*7</f>
        <v>168</v>
      </c>
      <c r="AM49" s="605">
        <f>X49+AL49</f>
        <v>46422</v>
      </c>
      <c r="AN49" s="608">
        <f>AN50</f>
        <v>46470</v>
      </c>
      <c r="AO49" s="600">
        <f>AN50-AM49</f>
        <v>48</v>
      </c>
      <c r="AP49" s="609"/>
      <c r="AQ49" s="610" t="s">
        <v>62</v>
      </c>
      <c r="AR49" s="611">
        <v>46473</v>
      </c>
      <c r="AS49" s="608"/>
    </row>
    <row r="50" spans="1:45" s="548" customFormat="1" ht="24" customHeight="1">
      <c r="A50" s="595"/>
      <c r="B50" s="263" t="s">
        <v>108</v>
      </c>
      <c r="C50" s="596" t="s">
        <v>109</v>
      </c>
      <c r="D50" s="632"/>
      <c r="E50" s="598"/>
      <c r="F50" s="599"/>
      <c r="G50" s="600"/>
      <c r="H50" s="601" t="s">
        <v>110</v>
      </c>
      <c r="I50" s="600" t="s">
        <v>59</v>
      </c>
      <c r="J50" s="263" t="s">
        <v>64</v>
      </c>
      <c r="K50" s="263">
        <v>3</v>
      </c>
      <c r="L50" s="263" t="s">
        <v>6</v>
      </c>
      <c r="M50" s="603" t="s">
        <v>65</v>
      </c>
      <c r="N50" s="605"/>
      <c r="O50" s="605"/>
      <c r="P50" s="605"/>
      <c r="Q50" s="605"/>
      <c r="R50" s="605"/>
      <c r="S50" s="605"/>
      <c r="T50" s="605"/>
      <c r="U50" s="605"/>
      <c r="V50" s="605"/>
      <c r="W50" s="605"/>
      <c r="X50" s="605"/>
      <c r="Y50" s="605"/>
      <c r="Z50" s="605"/>
      <c r="AA50" s="612"/>
      <c r="AB50" s="612">
        <v>46336</v>
      </c>
      <c r="AC50" s="612">
        <v>46336</v>
      </c>
      <c r="AD50" s="612">
        <v>46376</v>
      </c>
      <c r="AE50" s="612">
        <v>46377</v>
      </c>
      <c r="AF50" s="612">
        <v>46443</v>
      </c>
      <c r="AG50" s="612">
        <v>46444</v>
      </c>
      <c r="AH50" s="612">
        <v>46444</v>
      </c>
      <c r="AI50" s="605">
        <v>46458</v>
      </c>
      <c r="AJ50" s="605">
        <v>46474</v>
      </c>
      <c r="AK50" s="606">
        <v>32.142857142857103</v>
      </c>
      <c r="AL50" s="607">
        <v>225</v>
      </c>
      <c r="AM50" s="613">
        <v>46444</v>
      </c>
      <c r="AN50" s="608">
        <f>AR49-3</f>
        <v>46470</v>
      </c>
      <c r="AO50" s="600">
        <f>AN50-AM50</f>
        <v>26</v>
      </c>
      <c r="AP50" s="609"/>
      <c r="AQ50" s="610" t="s">
        <v>66</v>
      </c>
      <c r="AR50" s="611">
        <v>46501</v>
      </c>
      <c r="AS50" s="608"/>
    </row>
    <row r="51" spans="1:45" s="548" customFormat="1" ht="24" customHeight="1">
      <c r="A51" s="615"/>
      <c r="B51" s="616" t="s">
        <v>108</v>
      </c>
      <c r="C51" s="616" t="s">
        <v>109</v>
      </c>
      <c r="D51" s="633"/>
      <c r="E51" s="618"/>
      <c r="F51" s="619"/>
      <c r="G51" s="620"/>
      <c r="H51" s="621"/>
      <c r="I51" s="620" t="s">
        <v>59</v>
      </c>
      <c r="J51" s="616" t="s">
        <v>64</v>
      </c>
      <c r="K51" s="263">
        <v>3</v>
      </c>
      <c r="L51" s="616" t="s">
        <v>6</v>
      </c>
      <c r="M51" s="622" t="s">
        <v>67</v>
      </c>
      <c r="N51" s="623">
        <v>46136</v>
      </c>
      <c r="O51" s="623">
        <v>46164</v>
      </c>
      <c r="P51" s="623">
        <v>46183</v>
      </c>
      <c r="Q51" s="623">
        <v>46183</v>
      </c>
      <c r="R51" s="623">
        <v>46183</v>
      </c>
      <c r="S51" s="623">
        <v>46183</v>
      </c>
      <c r="T51" s="623">
        <v>46183</v>
      </c>
      <c r="U51" s="623">
        <v>46212</v>
      </c>
      <c r="V51" s="623">
        <v>46219</v>
      </c>
      <c r="W51" s="623">
        <v>46219</v>
      </c>
      <c r="X51" s="623">
        <v>46219</v>
      </c>
      <c r="Y51" s="623">
        <v>46219</v>
      </c>
      <c r="Z51" s="623">
        <v>46226</v>
      </c>
      <c r="AA51" s="623">
        <v>46260</v>
      </c>
      <c r="AB51" s="623"/>
      <c r="AC51" s="623"/>
      <c r="AD51" s="623"/>
      <c r="AE51" s="623"/>
      <c r="AF51" s="623"/>
      <c r="AG51" s="623"/>
      <c r="AH51" s="623"/>
      <c r="AI51" s="623"/>
      <c r="AJ51" s="623"/>
      <c r="AK51" s="624"/>
      <c r="AL51" s="625"/>
      <c r="AM51" s="623"/>
      <c r="AN51" s="626"/>
      <c r="AO51" s="620"/>
      <c r="AP51" s="627"/>
      <c r="AQ51" s="628"/>
      <c r="AR51" s="627" t="s">
        <v>79</v>
      </c>
      <c r="AS51" s="626" t="s">
        <v>111</v>
      </c>
    </row>
    <row r="52" spans="1:45" s="548" customFormat="1" ht="24" hidden="1" customHeight="1">
      <c r="A52" s="595">
        <v>14</v>
      </c>
      <c r="B52" s="263" t="s">
        <v>112</v>
      </c>
      <c r="C52" s="263" t="s">
        <v>113</v>
      </c>
      <c r="D52" s="597"/>
      <c r="E52" s="598"/>
      <c r="F52" s="599"/>
      <c r="G52" s="600"/>
      <c r="H52" s="601"/>
      <c r="I52" s="600" t="s">
        <v>59</v>
      </c>
      <c r="J52" s="263"/>
      <c r="K52" s="602"/>
      <c r="L52" s="263" t="s">
        <v>6</v>
      </c>
      <c r="M52" s="603" t="s">
        <v>60</v>
      </c>
      <c r="N52" s="604"/>
      <c r="O52" s="605">
        <v>46155</v>
      </c>
      <c r="P52" s="605">
        <v>46182</v>
      </c>
      <c r="Q52" s="605">
        <v>46182</v>
      </c>
      <c r="R52" s="605">
        <v>46182</v>
      </c>
      <c r="S52" s="605">
        <v>46171</v>
      </c>
      <c r="T52" s="605">
        <v>46185</v>
      </c>
      <c r="U52" s="605">
        <v>46212</v>
      </c>
      <c r="V52" s="605">
        <v>46217</v>
      </c>
      <c r="W52" s="605"/>
      <c r="X52" s="605">
        <v>46231</v>
      </c>
      <c r="Y52" s="605">
        <v>46233</v>
      </c>
      <c r="Z52" s="605">
        <v>46240</v>
      </c>
      <c r="AA52" s="605">
        <v>46268</v>
      </c>
      <c r="AB52" s="605">
        <v>46282</v>
      </c>
      <c r="AC52" s="605">
        <v>46394</v>
      </c>
      <c r="AD52" s="605">
        <v>46397</v>
      </c>
      <c r="AE52" s="605">
        <v>46398</v>
      </c>
      <c r="AF52" s="605">
        <v>46411</v>
      </c>
      <c r="AG52" s="605">
        <v>46441</v>
      </c>
      <c r="AH52" s="605">
        <v>46455</v>
      </c>
      <c r="AI52" s="605">
        <v>46469</v>
      </c>
      <c r="AJ52" s="605">
        <v>46485</v>
      </c>
      <c r="AK52" s="630">
        <v>32</v>
      </c>
      <c r="AL52" s="607">
        <f>AK52*7</f>
        <v>224</v>
      </c>
      <c r="AM52" s="605">
        <f>X52+AL52</f>
        <v>46455</v>
      </c>
      <c r="AN52" s="608">
        <f>AN53</f>
        <v>46474</v>
      </c>
      <c r="AO52" s="600">
        <f>AN53-AM52</f>
        <v>19</v>
      </c>
      <c r="AP52" s="609" t="s">
        <v>61</v>
      </c>
      <c r="AQ52" s="610" t="s">
        <v>62</v>
      </c>
      <c r="AR52" s="611">
        <v>46477</v>
      </c>
      <c r="AS52" s="608"/>
    </row>
    <row r="53" spans="1:45" s="548" customFormat="1" ht="24" customHeight="1">
      <c r="A53" s="595"/>
      <c r="B53" s="263" t="s">
        <v>112</v>
      </c>
      <c r="C53" s="596" t="s">
        <v>113</v>
      </c>
      <c r="D53" s="597"/>
      <c r="E53" s="598"/>
      <c r="F53" s="599"/>
      <c r="G53" s="600"/>
      <c r="H53" s="601" t="s">
        <v>114</v>
      </c>
      <c r="I53" s="600" t="s">
        <v>59</v>
      </c>
      <c r="J53" s="263" t="s">
        <v>64</v>
      </c>
      <c r="K53" s="263">
        <v>3</v>
      </c>
      <c r="L53" s="263" t="s">
        <v>6</v>
      </c>
      <c r="M53" s="603" t="s">
        <v>65</v>
      </c>
      <c r="N53" s="605"/>
      <c r="O53" s="605"/>
      <c r="P53" s="605"/>
      <c r="Q53" s="605"/>
      <c r="R53" s="605"/>
      <c r="S53" s="605"/>
      <c r="T53" s="605"/>
      <c r="U53" s="605"/>
      <c r="V53" s="605"/>
      <c r="W53" s="605"/>
      <c r="X53" s="605"/>
      <c r="Y53" s="605"/>
      <c r="Z53" s="605"/>
      <c r="AA53" s="605"/>
      <c r="AB53" s="605">
        <v>46312</v>
      </c>
      <c r="AC53" s="612">
        <v>46387</v>
      </c>
      <c r="AD53" s="612">
        <v>46387</v>
      </c>
      <c r="AE53" s="612">
        <v>46388</v>
      </c>
      <c r="AF53" s="612">
        <v>46392</v>
      </c>
      <c r="AG53" s="612">
        <v>46399</v>
      </c>
      <c r="AH53" s="605">
        <v>46434</v>
      </c>
      <c r="AI53" s="605">
        <v>46448</v>
      </c>
      <c r="AJ53" s="605">
        <v>46464</v>
      </c>
      <c r="AK53" s="606">
        <v>29.1428571428571</v>
      </c>
      <c r="AL53" s="607">
        <v>204</v>
      </c>
      <c r="AM53" s="613">
        <v>46434</v>
      </c>
      <c r="AN53" s="608">
        <f>AR52-3</f>
        <v>46474</v>
      </c>
      <c r="AO53" s="600">
        <f>AN53-AM53</f>
        <v>40</v>
      </c>
      <c r="AP53" s="614" t="str">
        <f>AP52</f>
        <v>Long Lead</v>
      </c>
      <c r="AQ53" s="610" t="s">
        <v>66</v>
      </c>
      <c r="AR53" s="611">
        <v>46477</v>
      </c>
      <c r="AS53" s="608"/>
    </row>
    <row r="54" spans="1:45" s="548" customFormat="1" ht="24" customHeight="1">
      <c r="A54" s="615"/>
      <c r="B54" s="616" t="s">
        <v>112</v>
      </c>
      <c r="C54" s="616" t="s">
        <v>113</v>
      </c>
      <c r="D54" s="617"/>
      <c r="E54" s="618"/>
      <c r="F54" s="619"/>
      <c r="G54" s="620"/>
      <c r="H54" s="621"/>
      <c r="I54" s="620" t="s">
        <v>59</v>
      </c>
      <c r="J54" s="616" t="s">
        <v>64</v>
      </c>
      <c r="K54" s="263">
        <v>3</v>
      </c>
      <c r="L54" s="616" t="s">
        <v>6</v>
      </c>
      <c r="M54" s="622" t="s">
        <v>67</v>
      </c>
      <c r="N54" s="623">
        <v>46133</v>
      </c>
      <c r="O54" s="623">
        <v>46157</v>
      </c>
      <c r="P54" s="623">
        <v>46182</v>
      </c>
      <c r="Q54" s="623">
        <v>46182</v>
      </c>
      <c r="R54" s="623">
        <v>46182</v>
      </c>
      <c r="S54" s="623">
        <v>46182</v>
      </c>
      <c r="T54" s="623">
        <v>46178</v>
      </c>
      <c r="U54" s="623">
        <v>46206</v>
      </c>
      <c r="V54" s="623">
        <v>46211</v>
      </c>
      <c r="W54" s="623">
        <v>46230</v>
      </c>
      <c r="X54" s="620"/>
      <c r="Y54" s="623">
        <v>46230</v>
      </c>
      <c r="Z54" s="623">
        <v>46240</v>
      </c>
      <c r="AA54" s="623">
        <v>46262</v>
      </c>
      <c r="AB54" s="623"/>
      <c r="AC54" s="623"/>
      <c r="AD54" s="623"/>
      <c r="AE54" s="623"/>
      <c r="AF54" s="623"/>
      <c r="AG54" s="623"/>
      <c r="AH54" s="623"/>
      <c r="AI54" s="623"/>
      <c r="AJ54" s="623"/>
      <c r="AK54" s="624"/>
      <c r="AL54" s="625"/>
      <c r="AM54" s="623"/>
      <c r="AN54" s="626"/>
      <c r="AO54" s="620"/>
      <c r="AP54" s="627" t="str">
        <f>AP52</f>
        <v>Long Lead</v>
      </c>
      <c r="AQ54" s="628"/>
      <c r="AR54" s="627" t="s">
        <v>115</v>
      </c>
      <c r="AS54" s="626" t="s">
        <v>107</v>
      </c>
    </row>
    <row r="55" spans="1:45" s="548" customFormat="1" ht="24" hidden="1" customHeight="1">
      <c r="A55" s="595">
        <v>15</v>
      </c>
      <c r="B55" s="263" t="s">
        <v>116</v>
      </c>
      <c r="C55" s="263" t="s">
        <v>117</v>
      </c>
      <c r="D55" s="597"/>
      <c r="E55" s="598"/>
      <c r="F55" s="599"/>
      <c r="G55" s="600"/>
      <c r="H55" s="601"/>
      <c r="I55" s="600" t="s">
        <v>59</v>
      </c>
      <c r="J55" s="263"/>
      <c r="K55" s="602"/>
      <c r="L55" s="263" t="s">
        <v>6</v>
      </c>
      <c r="M55" s="603" t="s">
        <v>60</v>
      </c>
      <c r="N55" s="604"/>
      <c r="O55" s="605">
        <v>46177</v>
      </c>
      <c r="P55" s="605">
        <v>46185</v>
      </c>
      <c r="Q55" s="605">
        <v>46185</v>
      </c>
      <c r="R55" s="605">
        <v>46185</v>
      </c>
      <c r="S55" s="605">
        <v>46193</v>
      </c>
      <c r="T55" s="605">
        <v>46195</v>
      </c>
      <c r="U55" s="605">
        <v>46238</v>
      </c>
      <c r="V55" s="605">
        <v>46241</v>
      </c>
      <c r="W55" s="605"/>
      <c r="X55" s="605">
        <v>46255</v>
      </c>
      <c r="Y55" s="605">
        <v>46259</v>
      </c>
      <c r="Z55" s="605">
        <v>46266</v>
      </c>
      <c r="AA55" s="605">
        <v>46295</v>
      </c>
      <c r="AB55" s="605">
        <v>46310</v>
      </c>
      <c r="AC55" s="605">
        <v>46421</v>
      </c>
      <c r="AD55" s="605">
        <v>46424</v>
      </c>
      <c r="AE55" s="605">
        <v>46425</v>
      </c>
      <c r="AF55" s="605">
        <v>46435</v>
      </c>
      <c r="AG55" s="605">
        <v>46465</v>
      </c>
      <c r="AH55" s="605">
        <v>46479</v>
      </c>
      <c r="AI55" s="605">
        <v>46493</v>
      </c>
      <c r="AJ55" s="605">
        <v>46509</v>
      </c>
      <c r="AK55" s="630">
        <v>32</v>
      </c>
      <c r="AL55" s="607">
        <f>AK55*7</f>
        <v>224</v>
      </c>
      <c r="AM55" s="605">
        <f>X55+AL55</f>
        <v>46479</v>
      </c>
      <c r="AN55" s="608">
        <f>AN56</f>
        <v>46483</v>
      </c>
      <c r="AO55" s="600">
        <f>AN56-AM55</f>
        <v>4</v>
      </c>
      <c r="AP55" s="609"/>
      <c r="AQ55" s="610" t="s">
        <v>62</v>
      </c>
      <c r="AR55" s="611">
        <v>46486</v>
      </c>
      <c r="AS55" s="608"/>
    </row>
    <row r="56" spans="1:45" s="548" customFormat="1" ht="24" customHeight="1">
      <c r="A56" s="595"/>
      <c r="B56" s="263" t="s">
        <v>116</v>
      </c>
      <c r="C56" s="596" t="s">
        <v>117</v>
      </c>
      <c r="D56" s="597"/>
      <c r="E56" s="598"/>
      <c r="F56" s="599"/>
      <c r="G56" s="600"/>
      <c r="H56" s="601" t="s">
        <v>118</v>
      </c>
      <c r="I56" s="600" t="s">
        <v>59</v>
      </c>
      <c r="J56" s="263" t="s">
        <v>64</v>
      </c>
      <c r="K56" s="263">
        <v>3</v>
      </c>
      <c r="L56" s="263" t="s">
        <v>6</v>
      </c>
      <c r="M56" s="603" t="s">
        <v>65</v>
      </c>
      <c r="N56" s="605"/>
      <c r="O56" s="605"/>
      <c r="P56" s="605"/>
      <c r="Q56" s="605"/>
      <c r="R56" s="605"/>
      <c r="S56" s="605"/>
      <c r="T56" s="605"/>
      <c r="U56" s="605"/>
      <c r="V56" s="605"/>
      <c r="W56" s="605"/>
      <c r="X56" s="605"/>
      <c r="Y56" s="605"/>
      <c r="Z56" s="642"/>
      <c r="AA56" s="605"/>
      <c r="AB56" s="605">
        <v>46323</v>
      </c>
      <c r="AC56" s="612">
        <v>46380</v>
      </c>
      <c r="AD56" s="612">
        <v>46381</v>
      </c>
      <c r="AE56" s="612">
        <v>46382</v>
      </c>
      <c r="AF56" s="612">
        <v>46392</v>
      </c>
      <c r="AG56" s="612">
        <v>46399</v>
      </c>
      <c r="AH56" s="605">
        <v>46434</v>
      </c>
      <c r="AI56" s="605">
        <v>46448</v>
      </c>
      <c r="AJ56" s="605">
        <v>46464</v>
      </c>
      <c r="AK56" s="606">
        <v>29.1428571428571</v>
      </c>
      <c r="AL56" s="607">
        <v>204</v>
      </c>
      <c r="AM56" s="613">
        <v>46434</v>
      </c>
      <c r="AN56" s="608">
        <f>AR55-3</f>
        <v>46483</v>
      </c>
      <c r="AO56" s="600">
        <f>AN56-AM56</f>
        <v>49</v>
      </c>
      <c r="AP56" s="609"/>
      <c r="AQ56" s="610" t="s">
        <v>66</v>
      </c>
      <c r="AR56" s="611">
        <v>46487</v>
      </c>
      <c r="AS56" s="608"/>
    </row>
    <row r="57" spans="1:45" s="548" customFormat="1" ht="24" customHeight="1">
      <c r="A57" s="615"/>
      <c r="B57" s="616" t="s">
        <v>116</v>
      </c>
      <c r="C57" s="616" t="s">
        <v>117</v>
      </c>
      <c r="D57" s="617"/>
      <c r="E57" s="618"/>
      <c r="F57" s="619"/>
      <c r="G57" s="620"/>
      <c r="H57" s="621"/>
      <c r="I57" s="620" t="s">
        <v>59</v>
      </c>
      <c r="J57" s="616" t="s">
        <v>64</v>
      </c>
      <c r="K57" s="263">
        <v>3</v>
      </c>
      <c r="L57" s="616" t="s">
        <v>6</v>
      </c>
      <c r="M57" s="622" t="s">
        <v>67</v>
      </c>
      <c r="N57" s="623"/>
      <c r="O57" s="623">
        <v>46170</v>
      </c>
      <c r="P57" s="623">
        <v>46188</v>
      </c>
      <c r="Q57" s="623">
        <v>46188</v>
      </c>
      <c r="R57" s="623">
        <v>46188</v>
      </c>
      <c r="S57" s="623">
        <v>46188</v>
      </c>
      <c r="T57" s="623">
        <v>46191</v>
      </c>
      <c r="U57" s="623">
        <v>46213</v>
      </c>
      <c r="V57" s="623">
        <v>46217</v>
      </c>
      <c r="W57" s="623">
        <v>46230</v>
      </c>
      <c r="X57" s="620"/>
      <c r="Y57" s="623">
        <v>46230</v>
      </c>
      <c r="Z57" s="623">
        <v>46240</v>
      </c>
      <c r="AA57" s="623">
        <v>46262</v>
      </c>
      <c r="AB57" s="623"/>
      <c r="AC57" s="623"/>
      <c r="AD57" s="623"/>
      <c r="AE57" s="623"/>
      <c r="AF57" s="623"/>
      <c r="AG57" s="623"/>
      <c r="AH57" s="623"/>
      <c r="AI57" s="623"/>
      <c r="AJ57" s="623"/>
      <c r="AK57" s="624"/>
      <c r="AL57" s="625"/>
      <c r="AM57" s="623"/>
      <c r="AN57" s="626"/>
      <c r="AO57" s="620"/>
      <c r="AP57" s="627"/>
      <c r="AQ57" s="628"/>
      <c r="AR57" s="627" t="s">
        <v>115</v>
      </c>
      <c r="AS57" s="626" t="s">
        <v>80</v>
      </c>
    </row>
    <row r="58" spans="1:45" s="548" customFormat="1" ht="24" hidden="1" customHeight="1">
      <c r="A58" s="595">
        <v>16</v>
      </c>
      <c r="B58" s="263" t="s">
        <v>119</v>
      </c>
      <c r="C58" s="596" t="s">
        <v>120</v>
      </c>
      <c r="D58" s="597"/>
      <c r="E58" s="598"/>
      <c r="F58" s="599"/>
      <c r="G58" s="600"/>
      <c r="H58" s="601"/>
      <c r="I58" s="600" t="s">
        <v>59</v>
      </c>
      <c r="J58" s="263"/>
      <c r="K58" s="602"/>
      <c r="L58" s="263" t="s">
        <v>6</v>
      </c>
      <c r="M58" s="603" t="s">
        <v>60</v>
      </c>
      <c r="N58" s="604"/>
      <c r="O58" s="605">
        <v>46150</v>
      </c>
      <c r="P58" s="605">
        <v>46167</v>
      </c>
      <c r="Q58" s="605">
        <v>46167</v>
      </c>
      <c r="R58" s="605">
        <v>46167</v>
      </c>
      <c r="S58" s="605">
        <v>46168</v>
      </c>
      <c r="T58" s="605">
        <v>46184</v>
      </c>
      <c r="U58" s="605">
        <v>46223</v>
      </c>
      <c r="V58" s="605">
        <v>46239</v>
      </c>
      <c r="W58" s="605"/>
      <c r="X58" s="605">
        <v>46252</v>
      </c>
      <c r="Y58" s="605">
        <v>46254</v>
      </c>
      <c r="Z58" s="642">
        <v>46261</v>
      </c>
      <c r="AA58" s="642">
        <v>46289</v>
      </c>
      <c r="AB58" s="605">
        <v>46303</v>
      </c>
      <c r="AC58" s="605">
        <v>46415</v>
      </c>
      <c r="AD58" s="605">
        <f>AC58+3</f>
        <v>46418</v>
      </c>
      <c r="AE58" s="605">
        <f>AD58+1</f>
        <v>46419</v>
      </c>
      <c r="AF58" s="605">
        <v>46445</v>
      </c>
      <c r="AG58" s="605">
        <v>46475</v>
      </c>
      <c r="AH58" s="605">
        <v>46476</v>
      </c>
      <c r="AI58" s="605">
        <v>46490</v>
      </c>
      <c r="AJ58" s="605">
        <v>46506</v>
      </c>
      <c r="AK58" s="606">
        <v>32</v>
      </c>
      <c r="AL58" s="607">
        <f>AK58*7</f>
        <v>224</v>
      </c>
      <c r="AM58" s="605">
        <f>X58+AL58</f>
        <v>46476</v>
      </c>
      <c r="AN58" s="608">
        <f>AN59</f>
        <v>46494</v>
      </c>
      <c r="AO58" s="600">
        <f>AN59-AM58</f>
        <v>18</v>
      </c>
      <c r="AP58" s="609"/>
      <c r="AQ58" s="610" t="s">
        <v>62</v>
      </c>
      <c r="AR58" s="611" t="s">
        <v>95</v>
      </c>
      <c r="AS58" s="608"/>
    </row>
    <row r="59" spans="1:45" s="548" customFormat="1" ht="24" customHeight="1">
      <c r="A59" s="595"/>
      <c r="B59" s="263" t="s">
        <v>119</v>
      </c>
      <c r="C59" s="263" t="s">
        <v>120</v>
      </c>
      <c r="D59" s="597"/>
      <c r="E59" s="598"/>
      <c r="F59" s="599"/>
      <c r="G59" s="600"/>
      <c r="H59" s="601" t="s">
        <v>121</v>
      </c>
      <c r="I59" s="600" t="s">
        <v>59</v>
      </c>
      <c r="J59" s="263" t="s">
        <v>64</v>
      </c>
      <c r="K59" s="263">
        <v>2</v>
      </c>
      <c r="L59" s="263" t="s">
        <v>6</v>
      </c>
      <c r="M59" s="603" t="s">
        <v>65</v>
      </c>
      <c r="N59" s="605"/>
      <c r="O59" s="605"/>
      <c r="P59" s="605"/>
      <c r="Q59" s="605"/>
      <c r="R59" s="605"/>
      <c r="S59" s="605"/>
      <c r="T59" s="605"/>
      <c r="U59" s="605"/>
      <c r="V59" s="605"/>
      <c r="W59" s="605"/>
      <c r="X59" s="605"/>
      <c r="Y59" s="605"/>
      <c r="Z59" s="605"/>
      <c r="AA59" s="605"/>
      <c r="AB59" s="605">
        <v>46323</v>
      </c>
      <c r="AC59" s="612">
        <v>46380</v>
      </c>
      <c r="AD59" s="612">
        <v>46381</v>
      </c>
      <c r="AE59" s="612">
        <v>46382</v>
      </c>
      <c r="AF59" s="612">
        <v>46392</v>
      </c>
      <c r="AG59" s="612">
        <v>46399</v>
      </c>
      <c r="AH59" s="605">
        <v>46434</v>
      </c>
      <c r="AI59" s="605">
        <v>46448</v>
      </c>
      <c r="AJ59" s="605">
        <v>46464</v>
      </c>
      <c r="AK59" s="630">
        <v>29.1428571428571</v>
      </c>
      <c r="AL59" s="607">
        <v>204</v>
      </c>
      <c r="AM59" s="605">
        <v>46434</v>
      </c>
      <c r="AN59" s="608">
        <f>AR59-3</f>
        <v>46494</v>
      </c>
      <c r="AO59" s="600">
        <f>AN59-AM59</f>
        <v>60</v>
      </c>
      <c r="AP59" s="609"/>
      <c r="AQ59" s="610" t="s">
        <v>66</v>
      </c>
      <c r="AR59" s="611">
        <v>46497</v>
      </c>
      <c r="AS59" s="608"/>
    </row>
    <row r="60" spans="1:45" s="548" customFormat="1" ht="24" customHeight="1">
      <c r="A60" s="615"/>
      <c r="B60" s="616" t="s">
        <v>119</v>
      </c>
      <c r="C60" s="616" t="s">
        <v>120</v>
      </c>
      <c r="D60" s="617"/>
      <c r="E60" s="618"/>
      <c r="F60" s="619"/>
      <c r="G60" s="620"/>
      <c r="H60" s="621"/>
      <c r="I60" s="620" t="s">
        <v>59</v>
      </c>
      <c r="J60" s="616" t="s">
        <v>64</v>
      </c>
      <c r="K60" s="643">
        <v>2</v>
      </c>
      <c r="L60" s="616" t="s">
        <v>6</v>
      </c>
      <c r="M60" s="622" t="s">
        <v>67</v>
      </c>
      <c r="N60" s="623">
        <v>46133</v>
      </c>
      <c r="O60" s="623">
        <v>46152</v>
      </c>
      <c r="P60" s="623">
        <v>46167</v>
      </c>
      <c r="Q60" s="623">
        <v>46167</v>
      </c>
      <c r="R60" s="623">
        <v>46167</v>
      </c>
      <c r="S60" s="623">
        <v>46167</v>
      </c>
      <c r="T60" s="623">
        <v>46184</v>
      </c>
      <c r="U60" s="623">
        <v>46213</v>
      </c>
      <c r="V60" s="623">
        <v>46219</v>
      </c>
      <c r="W60" s="623">
        <v>46230</v>
      </c>
      <c r="X60" s="620"/>
      <c r="Y60" s="623">
        <v>46230</v>
      </c>
      <c r="Z60" s="623">
        <v>46240</v>
      </c>
      <c r="AA60" s="623">
        <v>46262</v>
      </c>
      <c r="AB60" s="623"/>
      <c r="AC60" s="623"/>
      <c r="AD60" s="623"/>
      <c r="AE60" s="623"/>
      <c r="AF60" s="623"/>
      <c r="AG60" s="623"/>
      <c r="AH60" s="623"/>
      <c r="AI60" s="623"/>
      <c r="AJ60" s="623"/>
      <c r="AK60" s="624"/>
      <c r="AL60" s="625"/>
      <c r="AM60" s="623"/>
      <c r="AN60" s="626"/>
      <c r="AO60" s="620"/>
      <c r="AP60" s="627"/>
      <c r="AQ60" s="628"/>
      <c r="AR60" s="627" t="s">
        <v>115</v>
      </c>
      <c r="AS60" s="626" t="s">
        <v>74</v>
      </c>
    </row>
    <row r="61" spans="1:45" s="548" customFormat="1" ht="24" hidden="1" customHeight="1">
      <c r="A61" s="595">
        <v>17</v>
      </c>
      <c r="B61" s="263" t="s">
        <v>122</v>
      </c>
      <c r="C61" s="263" t="s">
        <v>123</v>
      </c>
      <c r="D61" s="597"/>
      <c r="E61" s="598"/>
      <c r="F61" s="599"/>
      <c r="G61" s="600"/>
      <c r="H61" s="601"/>
      <c r="I61" s="600" t="s">
        <v>124</v>
      </c>
      <c r="J61" s="263"/>
      <c r="K61" s="602"/>
      <c r="L61" s="263" t="s">
        <v>7</v>
      </c>
      <c r="M61" s="603" t="s">
        <v>60</v>
      </c>
      <c r="N61" s="604"/>
      <c r="O61" s="605">
        <v>46139</v>
      </c>
      <c r="P61" s="605">
        <v>46156</v>
      </c>
      <c r="Q61" s="605">
        <v>46156</v>
      </c>
      <c r="R61" s="605">
        <v>46156</v>
      </c>
      <c r="S61" s="605">
        <v>46155</v>
      </c>
      <c r="T61" s="605">
        <v>46164</v>
      </c>
      <c r="U61" s="605">
        <v>46199</v>
      </c>
      <c r="V61" s="605">
        <v>46213</v>
      </c>
      <c r="W61" s="605"/>
      <c r="X61" s="605">
        <v>46226</v>
      </c>
      <c r="Y61" s="605">
        <v>46230</v>
      </c>
      <c r="Z61" s="605">
        <v>46237</v>
      </c>
      <c r="AA61" s="605">
        <v>46265</v>
      </c>
      <c r="AB61" s="605">
        <v>46300</v>
      </c>
      <c r="AC61" s="605">
        <v>46320</v>
      </c>
      <c r="AD61" s="605">
        <f>AC61+3</f>
        <v>46323</v>
      </c>
      <c r="AE61" s="605">
        <f>AD61+1</f>
        <v>46324</v>
      </c>
      <c r="AF61" s="605">
        <v>46458</v>
      </c>
      <c r="AG61" s="605">
        <v>46478</v>
      </c>
      <c r="AH61" s="605">
        <v>46485</v>
      </c>
      <c r="AI61" s="605">
        <v>46499</v>
      </c>
      <c r="AJ61" s="605">
        <v>46515</v>
      </c>
      <c r="AK61" s="630">
        <v>36</v>
      </c>
      <c r="AL61" s="607">
        <f>AK61*7</f>
        <v>252</v>
      </c>
      <c r="AM61" s="605">
        <f>X61+AL61</f>
        <v>46478</v>
      </c>
      <c r="AN61" s="608">
        <f>AN62</f>
        <v>46467</v>
      </c>
      <c r="AO61" s="600">
        <f>AN62-AM61</f>
        <v>-11</v>
      </c>
      <c r="AP61" s="609" t="s">
        <v>61</v>
      </c>
      <c r="AQ61" s="610" t="s">
        <v>62</v>
      </c>
      <c r="AR61" s="611">
        <v>46470</v>
      </c>
      <c r="AS61" s="608"/>
    </row>
    <row r="62" spans="1:45" s="548" customFormat="1" ht="24" customHeight="1">
      <c r="A62" s="595"/>
      <c r="B62" s="263" t="s">
        <v>122</v>
      </c>
      <c r="C62" s="596" t="s">
        <v>123</v>
      </c>
      <c r="D62" s="597"/>
      <c r="E62" s="598"/>
      <c r="F62" s="599"/>
      <c r="G62" s="600"/>
      <c r="H62" s="601" t="s">
        <v>125</v>
      </c>
      <c r="I62" s="600" t="s">
        <v>124</v>
      </c>
      <c r="J62" s="263" t="s">
        <v>64</v>
      </c>
      <c r="K62" s="263">
        <v>3</v>
      </c>
      <c r="L62" s="263" t="s">
        <v>7</v>
      </c>
      <c r="M62" s="603" t="s">
        <v>65</v>
      </c>
      <c r="N62" s="605"/>
      <c r="O62" s="605"/>
      <c r="P62" s="605"/>
      <c r="Q62" s="605"/>
      <c r="R62" s="605"/>
      <c r="S62" s="605"/>
      <c r="T62" s="605"/>
      <c r="U62" s="605"/>
      <c r="V62" s="605"/>
      <c r="W62" s="605"/>
      <c r="X62" s="605"/>
      <c r="Y62" s="605"/>
      <c r="Z62" s="642"/>
      <c r="AA62" s="644"/>
      <c r="AB62" s="612">
        <v>46325</v>
      </c>
      <c r="AC62" s="612">
        <v>46335</v>
      </c>
      <c r="AD62" s="612">
        <v>46335</v>
      </c>
      <c r="AE62" s="612">
        <v>46336</v>
      </c>
      <c r="AF62" s="612">
        <v>46359</v>
      </c>
      <c r="AG62" s="612">
        <v>46374</v>
      </c>
      <c r="AH62" s="612">
        <v>46422</v>
      </c>
      <c r="AI62" s="605">
        <v>46479</v>
      </c>
      <c r="AJ62" s="605">
        <v>46495</v>
      </c>
      <c r="AK62" s="606">
        <v>32.428571428571402</v>
      </c>
      <c r="AL62" s="607">
        <v>227</v>
      </c>
      <c r="AM62" s="613">
        <v>46465</v>
      </c>
      <c r="AN62" s="608">
        <f>AR61-3</f>
        <v>46467</v>
      </c>
      <c r="AO62" s="600">
        <f>AN62-AM62</f>
        <v>2</v>
      </c>
      <c r="AP62" s="614" t="str">
        <f>AP61</f>
        <v>Long Lead</v>
      </c>
      <c r="AQ62" s="610" t="s">
        <v>66</v>
      </c>
      <c r="AR62" s="611">
        <v>46505</v>
      </c>
      <c r="AS62" s="608"/>
    </row>
    <row r="63" spans="1:45" s="548" customFormat="1" ht="24" customHeight="1">
      <c r="A63" s="615"/>
      <c r="B63" s="616" t="s">
        <v>122</v>
      </c>
      <c r="C63" s="616" t="s">
        <v>123</v>
      </c>
      <c r="D63" s="617"/>
      <c r="E63" s="618"/>
      <c r="F63" s="619"/>
      <c r="G63" s="620"/>
      <c r="H63" s="621"/>
      <c r="I63" s="620" t="s">
        <v>124</v>
      </c>
      <c r="J63" s="616" t="s">
        <v>64</v>
      </c>
      <c r="K63" s="643">
        <v>3</v>
      </c>
      <c r="L63" s="616" t="s">
        <v>7</v>
      </c>
      <c r="M63" s="622" t="s">
        <v>67</v>
      </c>
      <c r="N63" s="623">
        <v>46133</v>
      </c>
      <c r="O63" s="623">
        <v>46139</v>
      </c>
      <c r="P63" s="623">
        <v>46156</v>
      </c>
      <c r="Q63" s="623">
        <v>46156</v>
      </c>
      <c r="R63" s="623">
        <v>46156</v>
      </c>
      <c r="S63" s="623">
        <v>46156</v>
      </c>
      <c r="T63" s="623">
        <v>46164</v>
      </c>
      <c r="U63" s="623">
        <v>46206</v>
      </c>
      <c r="V63" s="623">
        <v>46213</v>
      </c>
      <c r="W63" s="623">
        <v>46238</v>
      </c>
      <c r="X63" s="620"/>
      <c r="Y63" s="623">
        <v>46238</v>
      </c>
      <c r="Z63" s="623">
        <v>46241</v>
      </c>
      <c r="AA63" s="623">
        <f>Z63+1</f>
        <v>46242</v>
      </c>
      <c r="AB63" s="623"/>
      <c r="AC63" s="623"/>
      <c r="AD63" s="623"/>
      <c r="AE63" s="623"/>
      <c r="AF63" s="623"/>
      <c r="AG63" s="623"/>
      <c r="AH63" s="623"/>
      <c r="AI63" s="623"/>
      <c r="AJ63" s="623"/>
      <c r="AK63" s="624"/>
      <c r="AL63" s="625"/>
      <c r="AM63" s="623"/>
      <c r="AN63" s="626"/>
      <c r="AO63" s="620"/>
      <c r="AP63" s="627" t="str">
        <f>AP61</f>
        <v>Long Lead</v>
      </c>
      <c r="AQ63" s="628"/>
      <c r="AR63" s="627" t="s">
        <v>126</v>
      </c>
      <c r="AS63" s="626"/>
    </row>
    <row r="64" spans="1:45" s="548" customFormat="1" ht="24" hidden="1" customHeight="1">
      <c r="A64" s="595">
        <v>18</v>
      </c>
      <c r="B64" s="263" t="s">
        <v>127</v>
      </c>
      <c r="C64" s="263" t="s">
        <v>128</v>
      </c>
      <c r="D64" s="597"/>
      <c r="E64" s="598"/>
      <c r="F64" s="599"/>
      <c r="G64" s="600"/>
      <c r="H64" s="601"/>
      <c r="I64" s="600" t="s">
        <v>124</v>
      </c>
      <c r="J64" s="263"/>
      <c r="K64" s="602"/>
      <c r="L64" s="263" t="s">
        <v>6</v>
      </c>
      <c r="M64" s="603" t="s">
        <v>60</v>
      </c>
      <c r="N64" s="604"/>
      <c r="O64" s="605">
        <v>46139</v>
      </c>
      <c r="P64" s="605">
        <v>46156</v>
      </c>
      <c r="Q64" s="605">
        <v>46156</v>
      </c>
      <c r="R64" s="605">
        <v>46156</v>
      </c>
      <c r="S64" s="605">
        <v>46155</v>
      </c>
      <c r="T64" s="605">
        <v>46164</v>
      </c>
      <c r="U64" s="605">
        <v>46199</v>
      </c>
      <c r="V64" s="605">
        <v>46213</v>
      </c>
      <c r="W64" s="605"/>
      <c r="X64" s="605">
        <v>46226</v>
      </c>
      <c r="Y64" s="605">
        <v>46230</v>
      </c>
      <c r="Z64" s="605">
        <v>46237</v>
      </c>
      <c r="AA64" s="605">
        <v>46265</v>
      </c>
      <c r="AB64" s="605">
        <v>46300</v>
      </c>
      <c r="AC64" s="605">
        <v>46320</v>
      </c>
      <c r="AD64" s="605">
        <f>AC64+3</f>
        <v>46323</v>
      </c>
      <c r="AE64" s="605">
        <f>AD64+1</f>
        <v>46324</v>
      </c>
      <c r="AF64" s="605">
        <v>46458</v>
      </c>
      <c r="AG64" s="605">
        <v>46478</v>
      </c>
      <c r="AH64" s="605">
        <v>46485</v>
      </c>
      <c r="AI64" s="605">
        <v>46499</v>
      </c>
      <c r="AJ64" s="605">
        <v>46515</v>
      </c>
      <c r="AK64" s="630">
        <v>37</v>
      </c>
      <c r="AL64" s="607">
        <f>AK64*7</f>
        <v>259</v>
      </c>
      <c r="AM64" s="605">
        <f>X64+AL64</f>
        <v>46485</v>
      </c>
      <c r="AN64" s="608">
        <f>AN65</f>
        <v>46561</v>
      </c>
      <c r="AO64" s="600">
        <f>AN65-AM64</f>
        <v>76</v>
      </c>
      <c r="AP64" s="609" t="s">
        <v>61</v>
      </c>
      <c r="AQ64" s="610" t="s">
        <v>62</v>
      </c>
      <c r="AR64" s="611">
        <v>46568</v>
      </c>
      <c r="AS64" s="608"/>
    </row>
    <row r="65" spans="1:45" s="548" customFormat="1" ht="24" customHeight="1">
      <c r="A65" s="595"/>
      <c r="B65" s="263" t="s">
        <v>127</v>
      </c>
      <c r="C65" s="596" t="s">
        <v>128</v>
      </c>
      <c r="D65" s="597"/>
      <c r="E65" s="598"/>
      <c r="F65" s="599"/>
      <c r="G65" s="600"/>
      <c r="H65" s="601" t="s">
        <v>129</v>
      </c>
      <c r="I65" s="600" t="s">
        <v>124</v>
      </c>
      <c r="J65" s="263" t="s">
        <v>64</v>
      </c>
      <c r="K65" s="263">
        <v>2</v>
      </c>
      <c r="L65" s="263" t="s">
        <v>6</v>
      </c>
      <c r="M65" s="603" t="s">
        <v>65</v>
      </c>
      <c r="N65" s="605"/>
      <c r="O65" s="605"/>
      <c r="P65" s="605"/>
      <c r="Q65" s="605"/>
      <c r="R65" s="605"/>
      <c r="S65" s="605"/>
      <c r="T65" s="605"/>
      <c r="U65" s="605"/>
      <c r="V65" s="605"/>
      <c r="W65" s="605"/>
      <c r="X65" s="605"/>
      <c r="Y65" s="605"/>
      <c r="Z65" s="642"/>
      <c r="AA65" s="644"/>
      <c r="AB65" s="612">
        <v>46325</v>
      </c>
      <c r="AC65" s="612">
        <v>46335</v>
      </c>
      <c r="AD65" s="612">
        <v>46335</v>
      </c>
      <c r="AE65" s="612">
        <v>46336</v>
      </c>
      <c r="AF65" s="612">
        <v>46359</v>
      </c>
      <c r="AG65" s="612">
        <v>46374</v>
      </c>
      <c r="AH65" s="612">
        <v>46422</v>
      </c>
      <c r="AI65" s="605">
        <v>46479</v>
      </c>
      <c r="AJ65" s="605">
        <v>46495</v>
      </c>
      <c r="AK65" s="606">
        <v>32.428571428571402</v>
      </c>
      <c r="AL65" s="607">
        <v>227</v>
      </c>
      <c r="AM65" s="613">
        <v>46465</v>
      </c>
      <c r="AN65" s="608">
        <f>AR64-7</f>
        <v>46561</v>
      </c>
      <c r="AO65" s="600">
        <f>AN65-AM65</f>
        <v>96</v>
      </c>
      <c r="AP65" s="614" t="str">
        <f>AP64</f>
        <v>Long Lead</v>
      </c>
      <c r="AQ65" s="610" t="s">
        <v>66</v>
      </c>
      <c r="AR65" s="611">
        <v>46568</v>
      </c>
      <c r="AS65" s="608"/>
    </row>
    <row r="66" spans="1:45" s="548" customFormat="1" ht="24" customHeight="1">
      <c r="A66" s="615"/>
      <c r="B66" s="616" t="s">
        <v>127</v>
      </c>
      <c r="C66" s="616" t="s">
        <v>128</v>
      </c>
      <c r="D66" s="617"/>
      <c r="E66" s="618"/>
      <c r="F66" s="619"/>
      <c r="G66" s="620"/>
      <c r="H66" s="621"/>
      <c r="I66" s="620" t="s">
        <v>124</v>
      </c>
      <c r="J66" s="616" t="s">
        <v>64</v>
      </c>
      <c r="K66" s="643">
        <v>2</v>
      </c>
      <c r="L66" s="616" t="s">
        <v>6</v>
      </c>
      <c r="M66" s="622" t="s">
        <v>67</v>
      </c>
      <c r="N66" s="623">
        <v>46133</v>
      </c>
      <c r="O66" s="623">
        <v>46139</v>
      </c>
      <c r="P66" s="623">
        <v>46156</v>
      </c>
      <c r="Q66" s="623">
        <v>46156</v>
      </c>
      <c r="R66" s="623">
        <v>46156</v>
      </c>
      <c r="S66" s="623">
        <v>46156</v>
      </c>
      <c r="T66" s="623">
        <v>46164</v>
      </c>
      <c r="U66" s="623">
        <v>46206</v>
      </c>
      <c r="V66" s="623">
        <v>46213</v>
      </c>
      <c r="W66" s="623">
        <v>46238</v>
      </c>
      <c r="X66" s="620"/>
      <c r="Y66" s="623">
        <v>46238</v>
      </c>
      <c r="Z66" s="623">
        <v>46241</v>
      </c>
      <c r="AA66" s="623">
        <f>Z66+1</f>
        <v>46242</v>
      </c>
      <c r="AB66" s="623"/>
      <c r="AC66" s="623"/>
      <c r="AD66" s="623"/>
      <c r="AE66" s="623"/>
      <c r="AF66" s="623"/>
      <c r="AG66" s="623"/>
      <c r="AH66" s="623"/>
      <c r="AI66" s="623"/>
      <c r="AJ66" s="623"/>
      <c r="AK66" s="624"/>
      <c r="AL66" s="625"/>
      <c r="AM66" s="623"/>
      <c r="AN66" s="626"/>
      <c r="AO66" s="620"/>
      <c r="AP66" s="627" t="str">
        <f>AP64</f>
        <v>Long Lead</v>
      </c>
      <c r="AQ66" s="628"/>
      <c r="AR66" s="627" t="s">
        <v>126</v>
      </c>
      <c r="AS66" s="626"/>
    </row>
    <row r="67" spans="1:45" s="548" customFormat="1" ht="24" hidden="1" customHeight="1">
      <c r="A67" s="595">
        <v>19</v>
      </c>
      <c r="B67" s="263" t="s">
        <v>130</v>
      </c>
      <c r="C67" s="263" t="s">
        <v>131</v>
      </c>
      <c r="D67" s="597"/>
      <c r="E67" s="598"/>
      <c r="F67" s="599"/>
      <c r="G67" s="600"/>
      <c r="H67" s="601"/>
      <c r="I67" s="600" t="s">
        <v>124</v>
      </c>
      <c r="J67" s="263"/>
      <c r="K67" s="602"/>
      <c r="L67" s="263" t="s">
        <v>7</v>
      </c>
      <c r="M67" s="603" t="s">
        <v>60</v>
      </c>
      <c r="N67" s="604"/>
      <c r="O67" s="605">
        <v>46150</v>
      </c>
      <c r="P67" s="605">
        <v>46170</v>
      </c>
      <c r="Q67" s="605">
        <v>46170</v>
      </c>
      <c r="R67" s="605">
        <v>46170</v>
      </c>
      <c r="S67" s="605">
        <v>46164</v>
      </c>
      <c r="T67" s="605">
        <v>46171</v>
      </c>
      <c r="U67" s="605">
        <v>46218</v>
      </c>
      <c r="V67" s="605">
        <v>46234</v>
      </c>
      <c r="W67" s="605"/>
      <c r="X67" s="605">
        <v>46247</v>
      </c>
      <c r="Y67" s="605">
        <v>46251</v>
      </c>
      <c r="Z67" s="605">
        <v>46258</v>
      </c>
      <c r="AA67" s="605">
        <v>46286</v>
      </c>
      <c r="AB67" s="605">
        <v>46300</v>
      </c>
      <c r="AC67" s="605">
        <v>46320</v>
      </c>
      <c r="AD67" s="605">
        <f>AC67+3</f>
        <v>46323</v>
      </c>
      <c r="AE67" s="605">
        <f>AD67+1</f>
        <v>46324</v>
      </c>
      <c r="AF67" s="605">
        <v>46472</v>
      </c>
      <c r="AG67" s="605">
        <v>46492</v>
      </c>
      <c r="AH67" s="605">
        <v>46499</v>
      </c>
      <c r="AI67" s="605">
        <v>46513</v>
      </c>
      <c r="AJ67" s="605">
        <v>46529</v>
      </c>
      <c r="AK67" s="630">
        <v>36</v>
      </c>
      <c r="AL67" s="607">
        <f>AK67*7</f>
        <v>252</v>
      </c>
      <c r="AM67" s="605">
        <f>X67+AL67</f>
        <v>46499</v>
      </c>
      <c r="AN67" s="608">
        <f>AN68</f>
        <v>46500</v>
      </c>
      <c r="AO67" s="600">
        <f>AN68-AM67</f>
        <v>1</v>
      </c>
      <c r="AP67" s="609" t="s">
        <v>61</v>
      </c>
      <c r="AQ67" s="610" t="s">
        <v>62</v>
      </c>
      <c r="AR67" s="611">
        <v>46507</v>
      </c>
      <c r="AS67" s="608"/>
    </row>
    <row r="68" spans="1:45" s="548" customFormat="1" ht="24" customHeight="1">
      <c r="A68" s="595"/>
      <c r="B68" s="263" t="s">
        <v>130</v>
      </c>
      <c r="C68" s="596" t="s">
        <v>131</v>
      </c>
      <c r="D68" s="597"/>
      <c r="E68" s="598"/>
      <c r="F68" s="599"/>
      <c r="G68" s="600"/>
      <c r="H68" s="601" t="s">
        <v>132</v>
      </c>
      <c r="I68" s="600" t="s">
        <v>124</v>
      </c>
      <c r="J68" s="263" t="s">
        <v>64</v>
      </c>
      <c r="K68" s="263">
        <v>4</v>
      </c>
      <c r="L68" s="263" t="s">
        <v>7</v>
      </c>
      <c r="M68" s="603" t="s">
        <v>65</v>
      </c>
      <c r="N68" s="605"/>
      <c r="O68" s="605"/>
      <c r="P68" s="605"/>
      <c r="Q68" s="605"/>
      <c r="R68" s="605"/>
      <c r="S68" s="605"/>
      <c r="T68" s="605"/>
      <c r="U68" s="605"/>
      <c r="V68" s="605"/>
      <c r="W68" s="605"/>
      <c r="X68" s="605"/>
      <c r="Y68" s="605"/>
      <c r="Z68" s="642"/>
      <c r="AA68" s="644"/>
      <c r="AB68" s="612">
        <v>46325</v>
      </c>
      <c r="AC68" s="612">
        <v>46399</v>
      </c>
      <c r="AD68" s="612">
        <v>46335</v>
      </c>
      <c r="AE68" s="612">
        <v>46378</v>
      </c>
      <c r="AF68" s="612">
        <v>46434</v>
      </c>
      <c r="AG68" s="612">
        <v>46454</v>
      </c>
      <c r="AH68" s="612">
        <v>46465</v>
      </c>
      <c r="AI68" s="605">
        <v>46479</v>
      </c>
      <c r="AJ68" s="605">
        <v>46495</v>
      </c>
      <c r="AK68" s="606">
        <v>32.428571428571402</v>
      </c>
      <c r="AL68" s="607">
        <v>227</v>
      </c>
      <c r="AM68" s="613">
        <v>46465</v>
      </c>
      <c r="AN68" s="608">
        <f>AR67-7</f>
        <v>46500</v>
      </c>
      <c r="AO68" s="600">
        <f>AN68-AM68</f>
        <v>35</v>
      </c>
      <c r="AP68" s="614" t="str">
        <f>AP67</f>
        <v>Long Lead</v>
      </c>
      <c r="AQ68" s="610" t="s">
        <v>66</v>
      </c>
      <c r="AR68" s="611">
        <v>46507</v>
      </c>
      <c r="AS68" s="608"/>
    </row>
    <row r="69" spans="1:45" s="548" customFormat="1" ht="24" customHeight="1">
      <c r="A69" s="615"/>
      <c r="B69" s="616" t="s">
        <v>130</v>
      </c>
      <c r="C69" s="616" t="s">
        <v>131</v>
      </c>
      <c r="D69" s="617"/>
      <c r="E69" s="618"/>
      <c r="F69" s="619"/>
      <c r="G69" s="620"/>
      <c r="H69" s="621"/>
      <c r="I69" s="620" t="s">
        <v>124</v>
      </c>
      <c r="J69" s="616" t="s">
        <v>64</v>
      </c>
      <c r="K69" s="643">
        <v>4</v>
      </c>
      <c r="L69" s="616" t="s">
        <v>7</v>
      </c>
      <c r="M69" s="622" t="s">
        <v>67</v>
      </c>
      <c r="N69" s="623">
        <v>46133</v>
      </c>
      <c r="O69" s="623">
        <v>46150</v>
      </c>
      <c r="P69" s="623">
        <v>46170</v>
      </c>
      <c r="Q69" s="623">
        <v>46170</v>
      </c>
      <c r="R69" s="623">
        <v>46170</v>
      </c>
      <c r="S69" s="623">
        <v>46170</v>
      </c>
      <c r="T69" s="623">
        <v>46171</v>
      </c>
      <c r="U69" s="623">
        <v>46215</v>
      </c>
      <c r="V69" s="623">
        <v>46224</v>
      </c>
      <c r="W69" s="623">
        <v>46238</v>
      </c>
      <c r="X69" s="620"/>
      <c r="Y69" s="623">
        <v>46238</v>
      </c>
      <c r="Z69" s="623">
        <v>46241</v>
      </c>
      <c r="AA69" s="623">
        <f>Z69+1</f>
        <v>46242</v>
      </c>
      <c r="AB69" s="623"/>
      <c r="AC69" s="623"/>
      <c r="AD69" s="623"/>
      <c r="AE69" s="623"/>
      <c r="AF69" s="623"/>
      <c r="AG69" s="623"/>
      <c r="AH69" s="623"/>
      <c r="AI69" s="623"/>
      <c r="AJ69" s="623"/>
      <c r="AK69" s="624"/>
      <c r="AL69" s="625"/>
      <c r="AM69" s="623"/>
      <c r="AN69" s="626"/>
      <c r="AO69" s="620"/>
      <c r="AP69" s="627" t="str">
        <f>AP67</f>
        <v>Long Lead</v>
      </c>
      <c r="AQ69" s="628"/>
      <c r="AR69" s="627" t="s">
        <v>126</v>
      </c>
      <c r="AS69" s="626"/>
    </row>
    <row r="70" spans="1:45" s="548" customFormat="1" ht="24" hidden="1" customHeight="1">
      <c r="A70" s="595">
        <v>20</v>
      </c>
      <c r="B70" s="263" t="s">
        <v>133</v>
      </c>
      <c r="C70" s="263" t="s">
        <v>134</v>
      </c>
      <c r="D70" s="597"/>
      <c r="E70" s="598"/>
      <c r="F70" s="599"/>
      <c r="G70" s="600"/>
      <c r="H70" s="601"/>
      <c r="I70" s="600" t="s">
        <v>124</v>
      </c>
      <c r="J70" s="263"/>
      <c r="K70" s="602"/>
      <c r="L70" s="263" t="s">
        <v>8</v>
      </c>
      <c r="M70" s="603" t="s">
        <v>60</v>
      </c>
      <c r="N70" s="604"/>
      <c r="O70" s="605">
        <v>46136</v>
      </c>
      <c r="P70" s="605">
        <v>46148</v>
      </c>
      <c r="Q70" s="605">
        <v>46149</v>
      </c>
      <c r="R70" s="605">
        <v>46156</v>
      </c>
      <c r="S70" s="605">
        <v>46156</v>
      </c>
      <c r="T70" s="605">
        <v>46169</v>
      </c>
      <c r="U70" s="605">
        <v>46199</v>
      </c>
      <c r="V70" s="605">
        <v>46213</v>
      </c>
      <c r="W70" s="605"/>
      <c r="X70" s="605">
        <v>46226</v>
      </c>
      <c r="Y70" s="605">
        <v>46230</v>
      </c>
      <c r="Z70" s="605">
        <v>46237</v>
      </c>
      <c r="AA70" s="605">
        <v>46265</v>
      </c>
      <c r="AB70" s="605">
        <v>46300</v>
      </c>
      <c r="AC70" s="605">
        <v>46320</v>
      </c>
      <c r="AD70" s="605">
        <f>AC70+3</f>
        <v>46323</v>
      </c>
      <c r="AE70" s="605">
        <f>AD70+1</f>
        <v>46324</v>
      </c>
      <c r="AF70" s="605">
        <v>46458</v>
      </c>
      <c r="AG70" s="605">
        <v>46478</v>
      </c>
      <c r="AH70" s="605">
        <v>46485</v>
      </c>
      <c r="AI70" s="605">
        <v>46499</v>
      </c>
      <c r="AJ70" s="605">
        <v>46515</v>
      </c>
      <c r="AK70" s="630">
        <v>37</v>
      </c>
      <c r="AL70" s="607">
        <f>AK70*7</f>
        <v>259</v>
      </c>
      <c r="AM70" s="605">
        <f>X70+AL70</f>
        <v>46485</v>
      </c>
      <c r="AN70" s="608">
        <f>AN71</f>
        <v>46480</v>
      </c>
      <c r="AO70" s="600">
        <f>AN71-AM70</f>
        <v>-5</v>
      </c>
      <c r="AP70" s="609" t="s">
        <v>61</v>
      </c>
      <c r="AQ70" s="610" t="s">
        <v>62</v>
      </c>
      <c r="AR70" s="611">
        <v>46487</v>
      </c>
      <c r="AS70" s="608"/>
    </row>
    <row r="71" spans="1:45" s="548" customFormat="1" ht="24" customHeight="1">
      <c r="A71" s="595"/>
      <c r="B71" s="263" t="s">
        <v>133</v>
      </c>
      <c r="C71" s="596" t="s">
        <v>134</v>
      </c>
      <c r="D71" s="597"/>
      <c r="E71" s="598"/>
      <c r="F71" s="599"/>
      <c r="G71" s="600"/>
      <c r="H71" s="601" t="s">
        <v>129</v>
      </c>
      <c r="I71" s="600" t="s">
        <v>124</v>
      </c>
      <c r="J71" s="263" t="s">
        <v>73</v>
      </c>
      <c r="K71" s="263">
        <v>3</v>
      </c>
      <c r="L71" s="263" t="s">
        <v>8</v>
      </c>
      <c r="M71" s="603" t="s">
        <v>65</v>
      </c>
      <c r="N71" s="605"/>
      <c r="O71" s="605"/>
      <c r="P71" s="605"/>
      <c r="Q71" s="605"/>
      <c r="R71" s="605"/>
      <c r="S71" s="605"/>
      <c r="T71" s="605"/>
      <c r="U71" s="605"/>
      <c r="V71" s="605"/>
      <c r="W71" s="605"/>
      <c r="X71" s="605"/>
      <c r="Y71" s="605"/>
      <c r="Z71" s="642"/>
      <c r="AA71" s="644"/>
      <c r="AB71" s="612">
        <v>46325</v>
      </c>
      <c r="AC71" s="612">
        <v>46335</v>
      </c>
      <c r="AD71" s="612">
        <v>46335</v>
      </c>
      <c r="AE71" s="612">
        <v>46336</v>
      </c>
      <c r="AF71" s="612">
        <v>46359</v>
      </c>
      <c r="AG71" s="612">
        <v>46374</v>
      </c>
      <c r="AH71" s="612">
        <v>46422</v>
      </c>
      <c r="AI71" s="605">
        <v>46479</v>
      </c>
      <c r="AJ71" s="605">
        <v>46495</v>
      </c>
      <c r="AK71" s="606">
        <v>32.428571428571402</v>
      </c>
      <c r="AL71" s="607">
        <v>227</v>
      </c>
      <c r="AM71" s="613">
        <v>46465</v>
      </c>
      <c r="AN71" s="608">
        <f>AR70-7</f>
        <v>46480</v>
      </c>
      <c r="AO71" s="600">
        <f>AN71-AM71</f>
        <v>15</v>
      </c>
      <c r="AP71" s="614" t="str">
        <f>AP70</f>
        <v>Long Lead</v>
      </c>
      <c r="AQ71" s="610" t="s">
        <v>66</v>
      </c>
      <c r="AR71" s="611">
        <v>46505</v>
      </c>
      <c r="AS71" s="608"/>
    </row>
    <row r="72" spans="1:45" s="548" customFormat="1" ht="24" customHeight="1">
      <c r="A72" s="615"/>
      <c r="B72" s="616" t="s">
        <v>133</v>
      </c>
      <c r="C72" s="616" t="s">
        <v>134</v>
      </c>
      <c r="D72" s="617"/>
      <c r="E72" s="618"/>
      <c r="F72" s="619"/>
      <c r="G72" s="620"/>
      <c r="H72" s="621"/>
      <c r="I72" s="620" t="s">
        <v>124</v>
      </c>
      <c r="J72" s="616" t="s">
        <v>73</v>
      </c>
      <c r="K72" s="643">
        <v>3</v>
      </c>
      <c r="L72" s="616" t="s">
        <v>8</v>
      </c>
      <c r="M72" s="622" t="s">
        <v>67</v>
      </c>
      <c r="N72" s="623">
        <v>46133</v>
      </c>
      <c r="O72" s="623">
        <v>46139</v>
      </c>
      <c r="P72" s="623">
        <v>46156</v>
      </c>
      <c r="Q72" s="623">
        <v>46156</v>
      </c>
      <c r="R72" s="623">
        <v>46156</v>
      </c>
      <c r="S72" s="623">
        <v>46156</v>
      </c>
      <c r="T72" s="623">
        <v>46164</v>
      </c>
      <c r="U72" s="623">
        <v>46210</v>
      </c>
      <c r="V72" s="623">
        <v>46219</v>
      </c>
      <c r="W72" s="623">
        <v>46238</v>
      </c>
      <c r="X72" s="620"/>
      <c r="Y72" s="623">
        <v>46238</v>
      </c>
      <c r="Z72" s="623">
        <v>46241</v>
      </c>
      <c r="AA72" s="623">
        <f>Z72+1</f>
        <v>46242</v>
      </c>
      <c r="AB72" s="623"/>
      <c r="AC72" s="623"/>
      <c r="AD72" s="623"/>
      <c r="AE72" s="623"/>
      <c r="AF72" s="623"/>
      <c r="AG72" s="623"/>
      <c r="AH72" s="623"/>
      <c r="AI72" s="645"/>
      <c r="AJ72" s="623"/>
      <c r="AK72" s="624"/>
      <c r="AL72" s="625"/>
      <c r="AM72" s="623"/>
      <c r="AN72" s="626"/>
      <c r="AO72" s="620"/>
      <c r="AP72" s="627" t="str">
        <f>AP70</f>
        <v>Long Lead</v>
      </c>
      <c r="AQ72" s="628"/>
      <c r="AR72" s="627" t="s">
        <v>126</v>
      </c>
      <c r="AS72" s="626"/>
    </row>
    <row r="73" spans="1:45" s="548" customFormat="1" ht="24" hidden="1" customHeight="1">
      <c r="A73" s="595">
        <v>21</v>
      </c>
      <c r="B73" s="263" t="s">
        <v>135</v>
      </c>
      <c r="C73" s="263" t="s">
        <v>136</v>
      </c>
      <c r="D73" s="597"/>
      <c r="E73" s="598"/>
      <c r="F73" s="599"/>
      <c r="G73" s="600"/>
      <c r="H73" s="601"/>
      <c r="I73" s="600" t="s">
        <v>137</v>
      </c>
      <c r="J73" s="263"/>
      <c r="K73" s="602"/>
      <c r="L73" s="263" t="s">
        <v>7</v>
      </c>
      <c r="M73" s="603" t="s">
        <v>60</v>
      </c>
      <c r="N73" s="604"/>
      <c r="O73" s="605">
        <v>46164</v>
      </c>
      <c r="P73" s="605">
        <v>46182</v>
      </c>
      <c r="Q73" s="605">
        <v>46182</v>
      </c>
      <c r="R73" s="605">
        <v>46182</v>
      </c>
      <c r="S73" s="605">
        <v>46183</v>
      </c>
      <c r="T73" s="605">
        <v>46191</v>
      </c>
      <c r="U73" s="605">
        <v>46225</v>
      </c>
      <c r="V73" s="605">
        <v>46241</v>
      </c>
      <c r="W73" s="605"/>
      <c r="X73" s="605">
        <v>46254</v>
      </c>
      <c r="Y73" s="605">
        <v>46258</v>
      </c>
      <c r="Z73" s="605">
        <v>46265</v>
      </c>
      <c r="AA73" s="605">
        <v>46294</v>
      </c>
      <c r="AB73" s="605">
        <v>46309</v>
      </c>
      <c r="AC73" s="605">
        <v>46369</v>
      </c>
      <c r="AD73" s="605">
        <v>46372</v>
      </c>
      <c r="AE73" s="605">
        <v>46373</v>
      </c>
      <c r="AF73" s="605">
        <v>46443</v>
      </c>
      <c r="AG73" s="605">
        <v>46457</v>
      </c>
      <c r="AH73" s="605">
        <v>46464</v>
      </c>
      <c r="AI73" s="605">
        <v>46478</v>
      </c>
      <c r="AJ73" s="605">
        <v>46494</v>
      </c>
      <c r="AK73" s="630">
        <v>30</v>
      </c>
      <c r="AL73" s="607">
        <f>AK73*7</f>
        <v>210</v>
      </c>
      <c r="AM73" s="605">
        <f>X73+AL73</f>
        <v>46464</v>
      </c>
      <c r="AN73" s="608">
        <f>AN74</f>
        <v>46485</v>
      </c>
      <c r="AO73" s="600">
        <f>AN74-AM73</f>
        <v>21</v>
      </c>
      <c r="AP73" s="609"/>
      <c r="AQ73" s="610" t="s">
        <v>62</v>
      </c>
      <c r="AR73" s="611">
        <v>46492</v>
      </c>
      <c r="AS73" s="608"/>
    </row>
    <row r="74" spans="1:45" s="548" customFormat="1" ht="24" customHeight="1">
      <c r="A74" s="595"/>
      <c r="B74" s="263" t="s">
        <v>135</v>
      </c>
      <c r="C74" s="596" t="s">
        <v>136</v>
      </c>
      <c r="D74" s="597"/>
      <c r="E74" s="598"/>
      <c r="F74" s="629"/>
      <c r="G74" s="600"/>
      <c r="H74" s="601" t="s">
        <v>138</v>
      </c>
      <c r="I74" s="600" t="s">
        <v>137</v>
      </c>
      <c r="J74" s="263" t="s">
        <v>73</v>
      </c>
      <c r="K74" s="263">
        <v>2</v>
      </c>
      <c r="L74" s="263" t="s">
        <v>7</v>
      </c>
      <c r="M74" s="603" t="s">
        <v>65</v>
      </c>
      <c r="N74" s="605"/>
      <c r="O74" s="605"/>
      <c r="P74" s="605"/>
      <c r="Q74" s="605"/>
      <c r="R74" s="605"/>
      <c r="S74" s="605"/>
      <c r="T74" s="605"/>
      <c r="U74" s="605"/>
      <c r="V74" s="605"/>
      <c r="W74" s="605"/>
      <c r="X74" s="605">
        <v>46280</v>
      </c>
      <c r="Y74" s="605"/>
      <c r="Z74" s="605"/>
      <c r="AA74" s="605"/>
      <c r="AB74" s="605">
        <v>46330</v>
      </c>
      <c r="AC74" s="605">
        <v>46390</v>
      </c>
      <c r="AD74" s="605">
        <v>46393</v>
      </c>
      <c r="AE74" s="605">
        <v>46394</v>
      </c>
      <c r="AF74" s="605">
        <v>46455</v>
      </c>
      <c r="AG74" s="605">
        <v>46469</v>
      </c>
      <c r="AH74" s="605">
        <v>46475</v>
      </c>
      <c r="AI74" s="605">
        <f>AM74+14</f>
        <v>46489</v>
      </c>
      <c r="AJ74" s="605">
        <f>AM74+30</f>
        <v>46505</v>
      </c>
      <c r="AK74" s="646">
        <f>AL74/7</f>
        <v>28.428571428571427</v>
      </c>
      <c r="AL74" s="647">
        <v>199</v>
      </c>
      <c r="AM74" s="613">
        <v>46475</v>
      </c>
      <c r="AN74" s="608">
        <f>AR73-7</f>
        <v>46485</v>
      </c>
      <c r="AO74" s="600">
        <f>AN74-AM74</f>
        <v>10</v>
      </c>
      <c r="AP74" s="609"/>
      <c r="AQ74" s="610" t="s">
        <v>66</v>
      </c>
      <c r="AR74" s="611">
        <v>46492</v>
      </c>
      <c r="AS74" s="608" t="s">
        <v>139</v>
      </c>
    </row>
    <row r="75" spans="1:45" s="548" customFormat="1" ht="24" customHeight="1">
      <c r="A75" s="615"/>
      <c r="B75" s="616" t="s">
        <v>135</v>
      </c>
      <c r="C75" s="616" t="s">
        <v>136</v>
      </c>
      <c r="D75" s="617"/>
      <c r="E75" s="618"/>
      <c r="F75" s="631"/>
      <c r="G75" s="620"/>
      <c r="H75" s="621"/>
      <c r="I75" s="620" t="s">
        <v>137</v>
      </c>
      <c r="J75" s="616" t="s">
        <v>73</v>
      </c>
      <c r="K75" s="263">
        <v>2</v>
      </c>
      <c r="L75" s="616" t="s">
        <v>7</v>
      </c>
      <c r="M75" s="622" t="s">
        <v>67</v>
      </c>
      <c r="N75" s="623">
        <v>46133</v>
      </c>
      <c r="O75" s="623">
        <v>46165</v>
      </c>
      <c r="P75" s="623">
        <v>46182</v>
      </c>
      <c r="Q75" s="623">
        <v>46182</v>
      </c>
      <c r="R75" s="623">
        <v>46182</v>
      </c>
      <c r="S75" s="623">
        <v>46182</v>
      </c>
      <c r="T75" s="623">
        <v>46188</v>
      </c>
      <c r="U75" s="623">
        <v>46248</v>
      </c>
      <c r="V75" s="623">
        <v>46252</v>
      </c>
      <c r="W75" s="623">
        <v>46276</v>
      </c>
      <c r="X75" s="620"/>
      <c r="Y75" s="623">
        <v>46276</v>
      </c>
      <c r="Z75" s="623">
        <v>46283</v>
      </c>
      <c r="AA75" s="623">
        <f>Z75+1</f>
        <v>46284</v>
      </c>
      <c r="AB75" s="623"/>
      <c r="AC75" s="623"/>
      <c r="AD75" s="623"/>
      <c r="AE75" s="623"/>
      <c r="AF75" s="623"/>
      <c r="AG75" s="623"/>
      <c r="AH75" s="623"/>
      <c r="AI75" s="623"/>
      <c r="AJ75" s="623"/>
      <c r="AK75" s="624"/>
      <c r="AL75" s="625"/>
      <c r="AM75" s="623"/>
      <c r="AN75" s="626"/>
      <c r="AO75" s="620"/>
      <c r="AP75" s="627"/>
      <c r="AQ75" s="628"/>
      <c r="AR75" s="627" t="s">
        <v>140</v>
      </c>
      <c r="AS75" s="626"/>
    </row>
    <row r="76" spans="1:45" s="548" customFormat="1" ht="24" hidden="1" customHeight="1">
      <c r="A76" s="595">
        <v>22</v>
      </c>
      <c r="B76" s="263" t="s">
        <v>141</v>
      </c>
      <c r="C76" s="263" t="s">
        <v>142</v>
      </c>
      <c r="D76" s="597"/>
      <c r="E76" s="598"/>
      <c r="F76" s="599"/>
      <c r="G76" s="600"/>
      <c r="H76" s="601"/>
      <c r="I76" s="600" t="s">
        <v>137</v>
      </c>
      <c r="J76" s="263"/>
      <c r="K76" s="602"/>
      <c r="L76" s="263" t="s">
        <v>7</v>
      </c>
      <c r="M76" s="603" t="s">
        <v>60</v>
      </c>
      <c r="N76" s="604"/>
      <c r="O76" s="605">
        <v>46164</v>
      </c>
      <c r="P76" s="605">
        <v>46182</v>
      </c>
      <c r="Q76" s="605">
        <v>46182</v>
      </c>
      <c r="R76" s="605">
        <v>46182</v>
      </c>
      <c r="S76" s="605">
        <v>46183</v>
      </c>
      <c r="T76" s="605">
        <v>46188</v>
      </c>
      <c r="U76" s="605">
        <v>46225</v>
      </c>
      <c r="V76" s="605">
        <v>46241</v>
      </c>
      <c r="W76" s="605"/>
      <c r="X76" s="605">
        <v>46254</v>
      </c>
      <c r="Y76" s="605">
        <v>46258</v>
      </c>
      <c r="Z76" s="605">
        <v>46265</v>
      </c>
      <c r="AA76" s="605">
        <v>46294</v>
      </c>
      <c r="AB76" s="605">
        <v>46309</v>
      </c>
      <c r="AC76" s="605">
        <v>46369</v>
      </c>
      <c r="AD76" s="605">
        <v>46372</v>
      </c>
      <c r="AE76" s="605">
        <v>46373</v>
      </c>
      <c r="AF76" s="605">
        <v>46457</v>
      </c>
      <c r="AG76" s="605">
        <v>46471</v>
      </c>
      <c r="AH76" s="605">
        <v>46478</v>
      </c>
      <c r="AI76" s="605">
        <v>46492</v>
      </c>
      <c r="AJ76" s="605">
        <v>46508</v>
      </c>
      <c r="AK76" s="630">
        <v>32</v>
      </c>
      <c r="AL76" s="607">
        <f>AK76*7</f>
        <v>224</v>
      </c>
      <c r="AM76" s="605">
        <f>X76+AL76</f>
        <v>46478</v>
      </c>
      <c r="AN76" s="608">
        <f>AN77</f>
        <v>46485</v>
      </c>
      <c r="AO76" s="600">
        <f>AN77-AM76</f>
        <v>7</v>
      </c>
      <c r="AP76" s="609"/>
      <c r="AQ76" s="610" t="s">
        <v>62</v>
      </c>
      <c r="AR76" s="611">
        <v>46492</v>
      </c>
      <c r="AS76" s="608"/>
    </row>
    <row r="77" spans="1:45" s="548" customFormat="1" ht="24" customHeight="1">
      <c r="A77" s="595"/>
      <c r="B77" s="263" t="s">
        <v>141</v>
      </c>
      <c r="C77" s="263" t="s">
        <v>142</v>
      </c>
      <c r="D77" s="597"/>
      <c r="E77" s="598"/>
      <c r="F77" s="599"/>
      <c r="G77" s="600"/>
      <c r="H77" s="601" t="s">
        <v>143</v>
      </c>
      <c r="I77" s="600" t="s">
        <v>137</v>
      </c>
      <c r="J77" s="263" t="s">
        <v>73</v>
      </c>
      <c r="K77" s="263">
        <v>4</v>
      </c>
      <c r="L77" s="263" t="s">
        <v>7</v>
      </c>
      <c r="M77" s="603" t="s">
        <v>65</v>
      </c>
      <c r="N77" s="605"/>
      <c r="O77" s="605"/>
      <c r="P77" s="605"/>
      <c r="Q77" s="605"/>
      <c r="R77" s="605"/>
      <c r="S77" s="605"/>
      <c r="T77" s="605"/>
      <c r="U77" s="605"/>
      <c r="V77" s="605"/>
      <c r="W77" s="605"/>
      <c r="X77" s="605"/>
      <c r="Y77" s="605"/>
      <c r="Z77" s="605"/>
      <c r="AA77" s="605"/>
      <c r="AB77" s="605">
        <v>46330</v>
      </c>
      <c r="AC77" s="605">
        <v>46390</v>
      </c>
      <c r="AD77" s="605">
        <v>46393</v>
      </c>
      <c r="AE77" s="605">
        <v>46394</v>
      </c>
      <c r="AF77" s="605">
        <v>46451</v>
      </c>
      <c r="AG77" s="605">
        <v>46465</v>
      </c>
      <c r="AH77" s="612">
        <v>46475</v>
      </c>
      <c r="AI77" s="605">
        <f>AM77+14</f>
        <v>46489</v>
      </c>
      <c r="AJ77" s="605">
        <f>AM77+30</f>
        <v>46505</v>
      </c>
      <c r="AK77" s="646">
        <f>AL77/7</f>
        <v>28.428571428571427</v>
      </c>
      <c r="AL77" s="647">
        <v>199</v>
      </c>
      <c r="AM77" s="613">
        <v>46475</v>
      </c>
      <c r="AN77" s="608">
        <f>AR76-7</f>
        <v>46485</v>
      </c>
      <c r="AO77" s="600">
        <f>AN77-AM77</f>
        <v>10</v>
      </c>
      <c r="AP77" s="609"/>
      <c r="AQ77" s="610" t="s">
        <v>66</v>
      </c>
      <c r="AR77" s="611">
        <v>46492</v>
      </c>
      <c r="AS77" s="608" t="s">
        <v>139</v>
      </c>
    </row>
    <row r="78" spans="1:45" s="548" customFormat="1" ht="24" customHeight="1">
      <c r="A78" s="615"/>
      <c r="B78" s="616" t="s">
        <v>141</v>
      </c>
      <c r="C78" s="616" t="s">
        <v>142</v>
      </c>
      <c r="D78" s="648"/>
      <c r="E78" s="618"/>
      <c r="F78" s="619"/>
      <c r="G78" s="620"/>
      <c r="H78" s="621"/>
      <c r="I78" s="620" t="s">
        <v>137</v>
      </c>
      <c r="J78" s="616" t="s">
        <v>73</v>
      </c>
      <c r="K78" s="263">
        <v>4</v>
      </c>
      <c r="L78" s="616" t="s">
        <v>7</v>
      </c>
      <c r="M78" s="622" t="s">
        <v>67</v>
      </c>
      <c r="N78" s="623">
        <v>46133</v>
      </c>
      <c r="O78" s="623">
        <v>46165</v>
      </c>
      <c r="P78" s="623">
        <v>46182</v>
      </c>
      <c r="Q78" s="623">
        <v>46182</v>
      </c>
      <c r="R78" s="623">
        <v>46182</v>
      </c>
      <c r="S78" s="623">
        <v>46182</v>
      </c>
      <c r="T78" s="623">
        <v>46188</v>
      </c>
      <c r="U78" s="623">
        <v>46227</v>
      </c>
      <c r="V78" s="623">
        <v>46233</v>
      </c>
      <c r="W78" s="623">
        <v>46276</v>
      </c>
      <c r="X78" s="620"/>
      <c r="Y78" s="623">
        <v>46276</v>
      </c>
      <c r="Z78" s="623">
        <v>46283</v>
      </c>
      <c r="AA78" s="623">
        <f>Z78+1</f>
        <v>46284</v>
      </c>
      <c r="AB78" s="623"/>
      <c r="AC78" s="623"/>
      <c r="AD78" s="623"/>
      <c r="AE78" s="623"/>
      <c r="AF78" s="623"/>
      <c r="AG78" s="623"/>
      <c r="AH78" s="623"/>
      <c r="AI78" s="623"/>
      <c r="AJ78" s="623"/>
      <c r="AK78" s="624"/>
      <c r="AL78" s="625"/>
      <c r="AM78" s="623"/>
      <c r="AN78" s="626"/>
      <c r="AO78" s="620"/>
      <c r="AP78" s="627"/>
      <c r="AQ78" s="628"/>
      <c r="AR78" s="627" t="s">
        <v>140</v>
      </c>
      <c r="AS78" s="626"/>
    </row>
    <row r="79" spans="1:45" s="548" customFormat="1" ht="24" hidden="1" customHeight="1">
      <c r="A79" s="595">
        <v>23</v>
      </c>
      <c r="B79" s="263" t="s">
        <v>144</v>
      </c>
      <c r="C79" s="263" t="s">
        <v>145</v>
      </c>
      <c r="D79" s="597"/>
      <c r="E79" s="598"/>
      <c r="F79" s="599"/>
      <c r="G79" s="600"/>
      <c r="H79" s="601"/>
      <c r="I79" s="600" t="s">
        <v>137</v>
      </c>
      <c r="J79" s="263"/>
      <c r="K79" s="602"/>
      <c r="L79" s="263" t="s">
        <v>6</v>
      </c>
      <c r="M79" s="603" t="s">
        <v>60</v>
      </c>
      <c r="N79" s="604"/>
      <c r="O79" s="605">
        <v>46164</v>
      </c>
      <c r="P79" s="605">
        <v>46182</v>
      </c>
      <c r="Q79" s="605">
        <v>46182</v>
      </c>
      <c r="R79" s="605">
        <v>46182</v>
      </c>
      <c r="S79" s="605">
        <v>46183</v>
      </c>
      <c r="T79" s="605">
        <v>46191</v>
      </c>
      <c r="U79" s="605">
        <v>46225</v>
      </c>
      <c r="V79" s="605">
        <v>46241</v>
      </c>
      <c r="W79" s="605"/>
      <c r="X79" s="605">
        <v>46254</v>
      </c>
      <c r="Y79" s="605">
        <v>46258</v>
      </c>
      <c r="Z79" s="605">
        <v>46265</v>
      </c>
      <c r="AA79" s="605">
        <v>46294</v>
      </c>
      <c r="AB79" s="605">
        <v>46309</v>
      </c>
      <c r="AC79" s="605">
        <v>46369</v>
      </c>
      <c r="AD79" s="605">
        <v>46372</v>
      </c>
      <c r="AE79" s="605">
        <v>46373</v>
      </c>
      <c r="AF79" s="605">
        <v>46490</v>
      </c>
      <c r="AG79" s="605">
        <v>46504</v>
      </c>
      <c r="AH79" s="605">
        <v>46534</v>
      </c>
      <c r="AI79" s="605">
        <v>46548</v>
      </c>
      <c r="AJ79" s="605">
        <v>46564</v>
      </c>
      <c r="AK79" s="630">
        <v>40</v>
      </c>
      <c r="AL79" s="607">
        <f>AK79*7</f>
        <v>280</v>
      </c>
      <c r="AM79" s="605">
        <f>X79+AL79</f>
        <v>46534</v>
      </c>
      <c r="AN79" s="608">
        <f>AN80</f>
        <v>46489</v>
      </c>
      <c r="AO79" s="600">
        <f>AN80-AM79</f>
        <v>-45</v>
      </c>
      <c r="AP79" s="609" t="s">
        <v>61</v>
      </c>
      <c r="AQ79" s="610" t="s">
        <v>62</v>
      </c>
      <c r="AR79" s="611">
        <v>46492</v>
      </c>
      <c r="AS79" s="608"/>
    </row>
    <row r="80" spans="1:45" s="548" customFormat="1" ht="24" customHeight="1">
      <c r="A80" s="595"/>
      <c r="B80" s="263" t="s">
        <v>144</v>
      </c>
      <c r="C80" s="596" t="s">
        <v>145</v>
      </c>
      <c r="D80" s="597"/>
      <c r="E80" s="598"/>
      <c r="F80" s="599"/>
      <c r="G80" s="600"/>
      <c r="H80" s="601" t="s">
        <v>146</v>
      </c>
      <c r="I80" s="600" t="s">
        <v>137</v>
      </c>
      <c r="J80" s="263" t="s">
        <v>64</v>
      </c>
      <c r="K80" s="263">
        <v>2</v>
      </c>
      <c r="L80" s="263" t="s">
        <v>6</v>
      </c>
      <c r="M80" s="603" t="s">
        <v>65</v>
      </c>
      <c r="N80" s="605"/>
      <c r="O80" s="605"/>
      <c r="P80" s="605"/>
      <c r="Q80" s="605"/>
      <c r="R80" s="605"/>
      <c r="S80" s="605"/>
      <c r="T80" s="605"/>
      <c r="U80" s="605"/>
      <c r="V80" s="605"/>
      <c r="W80" s="605"/>
      <c r="X80" s="605"/>
      <c r="Y80" s="605"/>
      <c r="Z80" s="612"/>
      <c r="AA80" s="612"/>
      <c r="AB80" s="612">
        <v>46325</v>
      </c>
      <c r="AC80" s="612">
        <v>46409</v>
      </c>
      <c r="AD80" s="612">
        <v>46044</v>
      </c>
      <c r="AE80" s="612">
        <v>46410</v>
      </c>
      <c r="AF80" s="612">
        <v>46077</v>
      </c>
      <c r="AG80" s="612">
        <v>46079</v>
      </c>
      <c r="AH80" s="605">
        <v>46485</v>
      </c>
      <c r="AI80" s="605">
        <v>46499</v>
      </c>
      <c r="AJ80" s="605">
        <v>46515</v>
      </c>
      <c r="AK80" s="606">
        <v>34</v>
      </c>
      <c r="AL80" s="607">
        <v>238</v>
      </c>
      <c r="AM80" s="613">
        <v>46485</v>
      </c>
      <c r="AN80" s="608">
        <f>AR79-3</f>
        <v>46489</v>
      </c>
      <c r="AO80" s="600">
        <f>AN80-AM80</f>
        <v>4</v>
      </c>
      <c r="AP80" s="614" t="str">
        <f>AP79</f>
        <v>Long Lead</v>
      </c>
      <c r="AQ80" s="610" t="s">
        <v>66</v>
      </c>
      <c r="AR80" s="611">
        <v>46492</v>
      </c>
      <c r="AS80" s="608" t="s">
        <v>139</v>
      </c>
    </row>
    <row r="81" spans="1:45" s="548" customFormat="1" ht="24" customHeight="1">
      <c r="A81" s="615"/>
      <c r="B81" s="616" t="s">
        <v>144</v>
      </c>
      <c r="C81" s="616" t="s">
        <v>145</v>
      </c>
      <c r="D81" s="648"/>
      <c r="E81" s="618"/>
      <c r="F81" s="619"/>
      <c r="G81" s="620"/>
      <c r="H81" s="621"/>
      <c r="I81" s="620" t="s">
        <v>137</v>
      </c>
      <c r="J81" s="616" t="s">
        <v>64</v>
      </c>
      <c r="K81" s="263">
        <v>2</v>
      </c>
      <c r="L81" s="616" t="s">
        <v>6</v>
      </c>
      <c r="M81" s="622" t="s">
        <v>67</v>
      </c>
      <c r="N81" s="623">
        <v>46133</v>
      </c>
      <c r="O81" s="623">
        <v>46165</v>
      </c>
      <c r="P81" s="623">
        <v>46182</v>
      </c>
      <c r="Q81" s="623">
        <v>46182</v>
      </c>
      <c r="R81" s="623">
        <v>46182</v>
      </c>
      <c r="S81" s="623">
        <v>46182</v>
      </c>
      <c r="T81" s="623">
        <v>46191</v>
      </c>
      <c r="U81" s="623">
        <v>46227</v>
      </c>
      <c r="V81" s="623">
        <v>46236</v>
      </c>
      <c r="W81" s="623">
        <v>46247</v>
      </c>
      <c r="X81" s="620"/>
      <c r="Y81" s="623">
        <v>46247</v>
      </c>
      <c r="Z81" s="623">
        <v>46255</v>
      </c>
      <c r="AA81" s="623">
        <f>Z81+1</f>
        <v>46256</v>
      </c>
      <c r="AB81" s="623"/>
      <c r="AC81" s="623"/>
      <c r="AD81" s="623"/>
      <c r="AE81" s="623"/>
      <c r="AF81" s="623"/>
      <c r="AG81" s="623"/>
      <c r="AH81" s="623"/>
      <c r="AI81" s="623"/>
      <c r="AJ81" s="623"/>
      <c r="AK81" s="624"/>
      <c r="AL81" s="625"/>
      <c r="AM81" s="623"/>
      <c r="AN81" s="626"/>
      <c r="AO81" s="620"/>
      <c r="AP81" s="627" t="str">
        <f>AP79</f>
        <v>Long Lead</v>
      </c>
      <c r="AQ81" s="628"/>
      <c r="AR81" s="627" t="s">
        <v>147</v>
      </c>
      <c r="AS81" s="626"/>
    </row>
    <row r="82" spans="1:45" s="548" customFormat="1" ht="24" hidden="1" customHeight="1">
      <c r="A82" s="595">
        <v>24</v>
      </c>
      <c r="B82" s="263" t="s">
        <v>148</v>
      </c>
      <c r="C82" s="263" t="s">
        <v>149</v>
      </c>
      <c r="D82" s="597"/>
      <c r="E82" s="598"/>
      <c r="F82" s="599"/>
      <c r="G82" s="600"/>
      <c r="H82" s="601"/>
      <c r="I82" s="600" t="s">
        <v>137</v>
      </c>
      <c r="J82" s="263"/>
      <c r="K82" s="602"/>
      <c r="L82" s="263" t="s">
        <v>7</v>
      </c>
      <c r="M82" s="603" t="s">
        <v>60</v>
      </c>
      <c r="N82" s="604"/>
      <c r="O82" s="605">
        <v>46178</v>
      </c>
      <c r="P82" s="605">
        <v>46185</v>
      </c>
      <c r="Q82" s="605">
        <v>46188</v>
      </c>
      <c r="R82" s="605">
        <v>46188</v>
      </c>
      <c r="S82" s="605">
        <v>46188</v>
      </c>
      <c r="T82" s="605">
        <v>46190</v>
      </c>
      <c r="U82" s="605">
        <v>46239</v>
      </c>
      <c r="V82" s="605">
        <v>46254</v>
      </c>
      <c r="W82" s="605"/>
      <c r="X82" s="605">
        <v>46267</v>
      </c>
      <c r="Y82" s="605">
        <v>46269</v>
      </c>
      <c r="Z82" s="605">
        <v>46276</v>
      </c>
      <c r="AA82" s="605">
        <v>46314</v>
      </c>
      <c r="AB82" s="605">
        <v>46329</v>
      </c>
      <c r="AC82" s="605">
        <v>46389</v>
      </c>
      <c r="AD82" s="605">
        <v>46392</v>
      </c>
      <c r="AE82" s="605">
        <v>46393</v>
      </c>
      <c r="AF82" s="605">
        <v>46475</v>
      </c>
      <c r="AG82" s="605">
        <v>46489</v>
      </c>
      <c r="AH82" s="605">
        <v>46519</v>
      </c>
      <c r="AI82" s="605">
        <v>46533</v>
      </c>
      <c r="AJ82" s="605">
        <v>46549</v>
      </c>
      <c r="AK82" s="630">
        <v>36</v>
      </c>
      <c r="AL82" s="607">
        <f>AK82*7</f>
        <v>252</v>
      </c>
      <c r="AM82" s="605">
        <f>X82+AL82</f>
        <v>46519</v>
      </c>
      <c r="AN82" s="608">
        <f>AN83</f>
        <v>46485</v>
      </c>
      <c r="AO82" s="600">
        <f>AN83-AM82</f>
        <v>-34</v>
      </c>
      <c r="AP82" s="609" t="s">
        <v>61</v>
      </c>
      <c r="AQ82" s="610" t="s">
        <v>62</v>
      </c>
      <c r="AR82" s="611">
        <v>46492</v>
      </c>
      <c r="AS82" s="608"/>
    </row>
    <row r="83" spans="1:45" s="548" customFormat="1" ht="24" customHeight="1">
      <c r="A83" s="595"/>
      <c r="B83" s="263" t="s">
        <v>148</v>
      </c>
      <c r="C83" s="596" t="s">
        <v>149</v>
      </c>
      <c r="D83" s="597"/>
      <c r="E83" s="598"/>
      <c r="F83" s="599"/>
      <c r="G83" s="600"/>
      <c r="H83" s="601" t="s">
        <v>150</v>
      </c>
      <c r="I83" s="600" t="s">
        <v>137</v>
      </c>
      <c r="J83" s="263" t="s">
        <v>73</v>
      </c>
      <c r="K83" s="263">
        <v>2</v>
      </c>
      <c r="L83" s="263" t="s">
        <v>7</v>
      </c>
      <c r="M83" s="603" t="s">
        <v>65</v>
      </c>
      <c r="N83" s="605"/>
      <c r="O83" s="605"/>
      <c r="P83" s="605"/>
      <c r="Q83" s="605"/>
      <c r="R83" s="605"/>
      <c r="S83" s="605"/>
      <c r="T83" s="605"/>
      <c r="U83" s="605"/>
      <c r="V83" s="605"/>
      <c r="W83" s="605"/>
      <c r="X83" s="605"/>
      <c r="Y83" s="605"/>
      <c r="Z83" s="605"/>
      <c r="AA83" s="612"/>
      <c r="AB83" s="612">
        <v>46321</v>
      </c>
      <c r="AC83" s="612">
        <v>46352</v>
      </c>
      <c r="AD83" s="612">
        <v>46355</v>
      </c>
      <c r="AE83" s="612">
        <v>46356</v>
      </c>
      <c r="AF83" s="612">
        <v>46068</v>
      </c>
      <c r="AG83" s="612">
        <v>46465</v>
      </c>
      <c r="AH83" s="612">
        <v>46470</v>
      </c>
      <c r="AI83" s="612">
        <v>46484</v>
      </c>
      <c r="AJ83" s="612">
        <v>46500</v>
      </c>
      <c r="AK83" s="606">
        <v>31</v>
      </c>
      <c r="AL83" s="607">
        <v>217</v>
      </c>
      <c r="AM83" s="613">
        <v>46470</v>
      </c>
      <c r="AN83" s="608">
        <f>AR82-7</f>
        <v>46485</v>
      </c>
      <c r="AO83" s="600">
        <f>AN83-AM83</f>
        <v>15</v>
      </c>
      <c r="AP83" s="614" t="str">
        <f>AP82</f>
        <v>Long Lead</v>
      </c>
      <c r="AQ83" s="610" t="s">
        <v>66</v>
      </c>
      <c r="AR83" s="611">
        <v>46492</v>
      </c>
      <c r="AS83" s="608" t="s">
        <v>139</v>
      </c>
    </row>
    <row r="84" spans="1:45" s="548" customFormat="1" ht="24" customHeight="1">
      <c r="A84" s="615"/>
      <c r="B84" s="616" t="s">
        <v>148</v>
      </c>
      <c r="C84" s="649" t="s">
        <v>149</v>
      </c>
      <c r="D84" s="617"/>
      <c r="E84" s="618"/>
      <c r="F84" s="619"/>
      <c r="G84" s="620"/>
      <c r="H84" s="621"/>
      <c r="I84" s="620" t="s">
        <v>137</v>
      </c>
      <c r="J84" s="616" t="s">
        <v>73</v>
      </c>
      <c r="K84" s="263">
        <v>2</v>
      </c>
      <c r="L84" s="616" t="s">
        <v>7</v>
      </c>
      <c r="M84" s="622" t="s">
        <v>67</v>
      </c>
      <c r="N84" s="623"/>
      <c r="O84" s="623">
        <v>46178</v>
      </c>
      <c r="P84" s="623">
        <v>46186</v>
      </c>
      <c r="Q84" s="623">
        <v>46186</v>
      </c>
      <c r="R84" s="623">
        <v>46186</v>
      </c>
      <c r="S84" s="623">
        <v>46186</v>
      </c>
      <c r="T84" s="623">
        <v>46196</v>
      </c>
      <c r="U84" s="623">
        <v>46251</v>
      </c>
      <c r="V84" s="623">
        <v>46254</v>
      </c>
      <c r="W84" s="623">
        <v>46253</v>
      </c>
      <c r="X84" s="620"/>
      <c r="Y84" s="623">
        <v>46253</v>
      </c>
      <c r="Z84" s="623">
        <v>46269</v>
      </c>
      <c r="AA84" s="623">
        <f>Z84+1</f>
        <v>46270</v>
      </c>
      <c r="AB84" s="623"/>
      <c r="AC84" s="623"/>
      <c r="AD84" s="623"/>
      <c r="AE84" s="623"/>
      <c r="AF84" s="623"/>
      <c r="AG84" s="623"/>
      <c r="AH84" s="623"/>
      <c r="AI84" s="623"/>
      <c r="AJ84" s="623"/>
      <c r="AK84" s="624"/>
      <c r="AL84" s="625"/>
      <c r="AM84" s="623"/>
      <c r="AN84" s="626"/>
      <c r="AO84" s="620"/>
      <c r="AP84" s="627" t="str">
        <f>AP82</f>
        <v>Long Lead</v>
      </c>
      <c r="AQ84" s="628"/>
      <c r="AR84" s="627" t="s">
        <v>151</v>
      </c>
      <c r="AS84" s="626"/>
    </row>
    <row r="85" spans="1:45" s="548" customFormat="1" ht="24" hidden="1" customHeight="1">
      <c r="A85" s="595">
        <v>25</v>
      </c>
      <c r="B85" s="263" t="s">
        <v>152</v>
      </c>
      <c r="C85" s="263" t="s">
        <v>153</v>
      </c>
      <c r="D85" s="597"/>
      <c r="E85" s="598"/>
      <c r="F85" s="599"/>
      <c r="G85" s="600"/>
      <c r="H85" s="601"/>
      <c r="I85" s="600" t="s">
        <v>137</v>
      </c>
      <c r="J85" s="263"/>
      <c r="K85" s="602"/>
      <c r="L85" s="263" t="s">
        <v>7</v>
      </c>
      <c r="M85" s="603" t="s">
        <v>60</v>
      </c>
      <c r="N85" s="604"/>
      <c r="O85" s="605">
        <v>46162</v>
      </c>
      <c r="P85" s="605">
        <v>46182</v>
      </c>
      <c r="Q85" s="605">
        <v>46183</v>
      </c>
      <c r="R85" s="605">
        <v>46183</v>
      </c>
      <c r="S85" s="605">
        <v>46183</v>
      </c>
      <c r="T85" s="605">
        <v>46188</v>
      </c>
      <c r="U85" s="605">
        <v>46224</v>
      </c>
      <c r="V85" s="605">
        <v>46230</v>
      </c>
      <c r="W85" s="605"/>
      <c r="X85" s="605">
        <v>46241</v>
      </c>
      <c r="Y85" s="605">
        <v>46245</v>
      </c>
      <c r="Z85" s="605">
        <v>46252</v>
      </c>
      <c r="AA85" s="605">
        <v>46280</v>
      </c>
      <c r="AB85" s="605">
        <v>46294</v>
      </c>
      <c r="AC85" s="605">
        <v>46354</v>
      </c>
      <c r="AD85" s="605">
        <v>46357</v>
      </c>
      <c r="AE85" s="605">
        <v>46358</v>
      </c>
      <c r="AF85" s="605">
        <v>46477</v>
      </c>
      <c r="AG85" s="605">
        <v>46491</v>
      </c>
      <c r="AH85" s="605">
        <v>46521</v>
      </c>
      <c r="AI85" s="605">
        <v>46535</v>
      </c>
      <c r="AJ85" s="605">
        <v>46551</v>
      </c>
      <c r="AK85" s="630">
        <v>40</v>
      </c>
      <c r="AL85" s="607">
        <f>AK85*7</f>
        <v>280</v>
      </c>
      <c r="AM85" s="605">
        <f>X85+AL85</f>
        <v>46521</v>
      </c>
      <c r="AN85" s="608">
        <f>AN86</f>
        <v>46485</v>
      </c>
      <c r="AO85" s="600">
        <f>AN86-AM85</f>
        <v>-36</v>
      </c>
      <c r="AP85" s="609" t="s">
        <v>61</v>
      </c>
      <c r="AQ85" s="610" t="s">
        <v>62</v>
      </c>
      <c r="AR85" s="611">
        <v>46492</v>
      </c>
      <c r="AS85" s="608"/>
    </row>
    <row r="86" spans="1:45" s="548" customFormat="1" ht="24" customHeight="1">
      <c r="A86" s="595"/>
      <c r="B86" s="263" t="s">
        <v>152</v>
      </c>
      <c r="C86" s="596" t="s">
        <v>153</v>
      </c>
      <c r="D86" s="597"/>
      <c r="E86" s="598"/>
      <c r="F86" s="629"/>
      <c r="G86" s="600"/>
      <c r="H86" s="601" t="s">
        <v>150</v>
      </c>
      <c r="I86" s="600" t="s">
        <v>137</v>
      </c>
      <c r="J86" s="263" t="s">
        <v>64</v>
      </c>
      <c r="K86" s="263">
        <v>2</v>
      </c>
      <c r="L86" s="263" t="s">
        <v>7</v>
      </c>
      <c r="M86" s="603" t="s">
        <v>65</v>
      </c>
      <c r="N86" s="605"/>
      <c r="O86" s="605"/>
      <c r="P86" s="605"/>
      <c r="Q86" s="605"/>
      <c r="R86" s="605"/>
      <c r="S86" s="605"/>
      <c r="T86" s="605"/>
      <c r="U86" s="605"/>
      <c r="V86" s="605"/>
      <c r="W86" s="605"/>
      <c r="X86" s="605"/>
      <c r="Y86" s="605"/>
      <c r="Z86" s="605"/>
      <c r="AA86" s="605"/>
      <c r="AB86" s="612">
        <v>46321</v>
      </c>
      <c r="AC86" s="612">
        <v>46352</v>
      </c>
      <c r="AD86" s="612">
        <v>46355</v>
      </c>
      <c r="AE86" s="612">
        <v>46356</v>
      </c>
      <c r="AF86" s="612">
        <v>46068</v>
      </c>
      <c r="AG86" s="612">
        <v>46465</v>
      </c>
      <c r="AH86" s="612">
        <v>46470</v>
      </c>
      <c r="AI86" s="612">
        <v>46484</v>
      </c>
      <c r="AJ86" s="612">
        <v>46500</v>
      </c>
      <c r="AK86" s="606">
        <v>31</v>
      </c>
      <c r="AL86" s="607">
        <v>217</v>
      </c>
      <c r="AM86" s="613">
        <v>46470</v>
      </c>
      <c r="AN86" s="608">
        <f>AR85-7</f>
        <v>46485</v>
      </c>
      <c r="AO86" s="600">
        <f>AN86-AM86</f>
        <v>15</v>
      </c>
      <c r="AP86" s="614" t="str">
        <f>AP85</f>
        <v>Long Lead</v>
      </c>
      <c r="AQ86" s="610" t="s">
        <v>66</v>
      </c>
      <c r="AR86" s="611">
        <v>46492</v>
      </c>
      <c r="AS86" s="608" t="s">
        <v>139</v>
      </c>
    </row>
    <row r="87" spans="1:45" s="548" customFormat="1" ht="24" customHeight="1">
      <c r="A87" s="615"/>
      <c r="B87" s="616" t="s">
        <v>152</v>
      </c>
      <c r="C87" s="649" t="s">
        <v>153</v>
      </c>
      <c r="D87" s="617"/>
      <c r="E87" s="618"/>
      <c r="F87" s="631"/>
      <c r="G87" s="620"/>
      <c r="H87" s="621"/>
      <c r="I87" s="620" t="s">
        <v>137</v>
      </c>
      <c r="J87" s="616" t="s">
        <v>64</v>
      </c>
      <c r="K87" s="263">
        <v>2</v>
      </c>
      <c r="L87" s="616" t="s">
        <v>7</v>
      </c>
      <c r="M87" s="622" t="s">
        <v>67</v>
      </c>
      <c r="N87" s="623">
        <v>46133</v>
      </c>
      <c r="O87" s="623">
        <v>46169</v>
      </c>
      <c r="P87" s="623">
        <v>46183</v>
      </c>
      <c r="Q87" s="623">
        <v>46183</v>
      </c>
      <c r="R87" s="623">
        <v>46183</v>
      </c>
      <c r="S87" s="623">
        <v>46183</v>
      </c>
      <c r="T87" s="623">
        <v>46191</v>
      </c>
      <c r="U87" s="623">
        <v>46248</v>
      </c>
      <c r="V87" s="623">
        <v>46251</v>
      </c>
      <c r="W87" s="623">
        <v>46253</v>
      </c>
      <c r="X87" s="620"/>
      <c r="Y87" s="623">
        <v>46253</v>
      </c>
      <c r="Z87" s="623">
        <v>46269</v>
      </c>
      <c r="AA87" s="623">
        <f>Z87+1</f>
        <v>46270</v>
      </c>
      <c r="AB87" s="623"/>
      <c r="AC87" s="623"/>
      <c r="AD87" s="623"/>
      <c r="AE87" s="623"/>
      <c r="AF87" s="623"/>
      <c r="AG87" s="623"/>
      <c r="AH87" s="623"/>
      <c r="AI87" s="623"/>
      <c r="AJ87" s="623"/>
      <c r="AK87" s="624"/>
      <c r="AL87" s="625"/>
      <c r="AM87" s="623"/>
      <c r="AN87" s="626"/>
      <c r="AO87" s="620"/>
      <c r="AP87" s="627" t="str">
        <f>AP85</f>
        <v>Long Lead</v>
      </c>
      <c r="AQ87" s="628"/>
      <c r="AR87" s="627" t="s">
        <v>151</v>
      </c>
      <c r="AS87" s="626"/>
    </row>
    <row r="88" spans="1:45" s="548" customFormat="1" ht="24" hidden="1" customHeight="1">
      <c r="A88" s="595">
        <v>26</v>
      </c>
      <c r="B88" s="263" t="s">
        <v>154</v>
      </c>
      <c r="C88" s="263" t="s">
        <v>155</v>
      </c>
      <c r="D88" s="597"/>
      <c r="E88" s="598"/>
      <c r="F88" s="599"/>
      <c r="G88" s="600"/>
      <c r="H88" s="601"/>
      <c r="I88" s="600" t="s">
        <v>137</v>
      </c>
      <c r="J88" s="263"/>
      <c r="K88" s="602"/>
      <c r="L88" s="263" t="s">
        <v>7</v>
      </c>
      <c r="M88" s="603" t="s">
        <v>60</v>
      </c>
      <c r="N88" s="604"/>
      <c r="O88" s="605">
        <v>46185</v>
      </c>
      <c r="P88" s="605">
        <v>46192</v>
      </c>
      <c r="Q88" s="605">
        <v>46195</v>
      </c>
      <c r="R88" s="605">
        <v>46195</v>
      </c>
      <c r="S88" s="605">
        <v>46203</v>
      </c>
      <c r="T88" s="605">
        <v>46199</v>
      </c>
      <c r="U88" s="605">
        <v>46247</v>
      </c>
      <c r="V88" s="605">
        <v>46261</v>
      </c>
      <c r="W88" s="605"/>
      <c r="X88" s="605">
        <v>46274</v>
      </c>
      <c r="Y88" s="605">
        <v>46276</v>
      </c>
      <c r="Z88" s="605">
        <v>46283</v>
      </c>
      <c r="AA88" s="605">
        <v>46321</v>
      </c>
      <c r="AB88" s="605">
        <v>46335</v>
      </c>
      <c r="AC88" s="605">
        <v>46395</v>
      </c>
      <c r="AD88" s="605">
        <v>46398</v>
      </c>
      <c r="AE88" s="605">
        <v>46399</v>
      </c>
      <c r="AF88" s="605">
        <v>46477</v>
      </c>
      <c r="AG88" s="605">
        <v>46491</v>
      </c>
      <c r="AH88" s="605">
        <v>46498</v>
      </c>
      <c r="AI88" s="605">
        <v>46512</v>
      </c>
      <c r="AJ88" s="605">
        <v>46528</v>
      </c>
      <c r="AK88" s="630">
        <v>32</v>
      </c>
      <c r="AL88" s="607">
        <f>AK88*7</f>
        <v>224</v>
      </c>
      <c r="AM88" s="605">
        <f>X88+AL88</f>
        <v>46498</v>
      </c>
      <c r="AN88" s="608">
        <f>AN89</f>
        <v>46504</v>
      </c>
      <c r="AO88" s="600">
        <f>AN89-AM88</f>
        <v>6</v>
      </c>
      <c r="AP88" s="609"/>
      <c r="AQ88" s="610" t="s">
        <v>62</v>
      </c>
      <c r="AR88" s="611">
        <v>46507</v>
      </c>
      <c r="AS88" s="608"/>
    </row>
    <row r="89" spans="1:45" s="548" customFormat="1" ht="24" customHeight="1">
      <c r="A89" s="595"/>
      <c r="B89" s="263" t="s">
        <v>154</v>
      </c>
      <c r="C89" s="263" t="s">
        <v>155</v>
      </c>
      <c r="D89" s="597"/>
      <c r="E89" s="598"/>
      <c r="F89" s="629"/>
      <c r="G89" s="600"/>
      <c r="H89" s="601" t="s">
        <v>156</v>
      </c>
      <c r="I89" s="600" t="s">
        <v>137</v>
      </c>
      <c r="J89" s="263" t="s">
        <v>73</v>
      </c>
      <c r="K89" s="263">
        <v>2</v>
      </c>
      <c r="L89" s="263" t="s">
        <v>7</v>
      </c>
      <c r="M89" s="603" t="s">
        <v>65</v>
      </c>
      <c r="N89" s="605"/>
      <c r="O89" s="605"/>
      <c r="P89" s="605"/>
      <c r="Q89" s="605"/>
      <c r="R89" s="605"/>
      <c r="S89" s="605"/>
      <c r="T89" s="605"/>
      <c r="U89" s="605"/>
      <c r="V89" s="605"/>
      <c r="W89" s="605"/>
      <c r="X89" s="605">
        <v>46274</v>
      </c>
      <c r="Y89" s="605"/>
      <c r="Z89" s="605"/>
      <c r="AA89" s="605"/>
      <c r="AB89" s="605">
        <v>46325</v>
      </c>
      <c r="AC89" s="605">
        <v>46385</v>
      </c>
      <c r="AD89" s="605">
        <v>46388</v>
      </c>
      <c r="AE89" s="605">
        <v>46389</v>
      </c>
      <c r="AF89" s="605">
        <v>46477</v>
      </c>
      <c r="AG89" s="605">
        <v>46491</v>
      </c>
      <c r="AH89" s="605">
        <v>46498</v>
      </c>
      <c r="AI89" s="605">
        <v>46512</v>
      </c>
      <c r="AJ89" s="605">
        <v>46528</v>
      </c>
      <c r="AK89" s="606">
        <v>32</v>
      </c>
      <c r="AL89" s="607">
        <v>224</v>
      </c>
      <c r="AM89" s="605">
        <v>46498</v>
      </c>
      <c r="AN89" s="608">
        <f>AR88-3</f>
        <v>46504</v>
      </c>
      <c r="AO89" s="600">
        <f>AN89-AM89</f>
        <v>6</v>
      </c>
      <c r="AP89" s="609"/>
      <c r="AQ89" s="610" t="s">
        <v>66</v>
      </c>
      <c r="AR89" s="611">
        <v>46507</v>
      </c>
      <c r="AS89" s="608" t="s">
        <v>139</v>
      </c>
    </row>
    <row r="90" spans="1:45" s="548" customFormat="1" ht="24" customHeight="1">
      <c r="A90" s="615"/>
      <c r="B90" s="616" t="s">
        <v>154</v>
      </c>
      <c r="C90" s="649" t="s">
        <v>155</v>
      </c>
      <c r="D90" s="617"/>
      <c r="E90" s="618"/>
      <c r="F90" s="631"/>
      <c r="G90" s="620"/>
      <c r="H90" s="621"/>
      <c r="I90" s="620" t="s">
        <v>137</v>
      </c>
      <c r="J90" s="616" t="s">
        <v>73</v>
      </c>
      <c r="K90" s="263">
        <v>2</v>
      </c>
      <c r="L90" s="616" t="s">
        <v>7</v>
      </c>
      <c r="M90" s="622" t="s">
        <v>67</v>
      </c>
      <c r="N90" s="623"/>
      <c r="O90" s="623">
        <v>46189</v>
      </c>
      <c r="P90" s="623">
        <v>46203</v>
      </c>
      <c r="Q90" s="623">
        <v>46203</v>
      </c>
      <c r="R90" s="623">
        <v>46203</v>
      </c>
      <c r="S90" s="623">
        <v>46203</v>
      </c>
      <c r="T90" s="623">
        <f>S90+1</f>
        <v>46204</v>
      </c>
      <c r="U90" s="623">
        <v>46255</v>
      </c>
      <c r="V90" s="623">
        <v>46260</v>
      </c>
      <c r="W90" s="623">
        <v>46274</v>
      </c>
      <c r="X90" s="620"/>
      <c r="Y90" s="623">
        <v>46274</v>
      </c>
      <c r="Z90" s="623">
        <v>46283</v>
      </c>
      <c r="AA90" s="623">
        <f>Z90+1</f>
        <v>46284</v>
      </c>
      <c r="AB90" s="623"/>
      <c r="AC90" s="623"/>
      <c r="AD90" s="623"/>
      <c r="AE90" s="623"/>
      <c r="AF90" s="623"/>
      <c r="AG90" s="623"/>
      <c r="AH90" s="623"/>
      <c r="AI90" s="623"/>
      <c r="AJ90" s="623"/>
      <c r="AK90" s="624"/>
      <c r="AL90" s="625"/>
      <c r="AM90" s="623"/>
      <c r="AN90" s="626"/>
      <c r="AO90" s="620"/>
      <c r="AP90" s="627"/>
      <c r="AQ90" s="628"/>
      <c r="AR90" s="627" t="s">
        <v>157</v>
      </c>
      <c r="AS90" s="626"/>
    </row>
    <row r="91" spans="1:45" s="548" customFormat="1" ht="24" hidden="1" customHeight="1">
      <c r="A91" s="595">
        <v>27</v>
      </c>
      <c r="B91" s="263" t="s">
        <v>158</v>
      </c>
      <c r="C91" s="263" t="s">
        <v>159</v>
      </c>
      <c r="D91" s="650"/>
      <c r="E91" s="598"/>
      <c r="F91" s="651"/>
      <c r="G91" s="600"/>
      <c r="H91" s="601"/>
      <c r="I91" s="600" t="s">
        <v>137</v>
      </c>
      <c r="J91" s="263"/>
      <c r="K91" s="602"/>
      <c r="L91" s="263" t="s">
        <v>8</v>
      </c>
      <c r="M91" s="603" t="s">
        <v>60</v>
      </c>
      <c r="N91" s="604"/>
      <c r="O91" s="605">
        <v>46227</v>
      </c>
      <c r="P91" s="605">
        <v>46209</v>
      </c>
      <c r="Q91" s="605">
        <v>46209</v>
      </c>
      <c r="R91" s="605">
        <v>46245</v>
      </c>
      <c r="S91" s="605">
        <v>46245</v>
      </c>
      <c r="T91" s="605">
        <v>46259</v>
      </c>
      <c r="U91" s="605">
        <v>46276</v>
      </c>
      <c r="V91" s="605">
        <v>46290</v>
      </c>
      <c r="W91" s="605"/>
      <c r="X91" s="605">
        <v>46310</v>
      </c>
      <c r="Y91" s="605">
        <v>46314</v>
      </c>
      <c r="Z91" s="605">
        <v>46321</v>
      </c>
      <c r="AA91" s="605">
        <v>46342</v>
      </c>
      <c r="AB91" s="605">
        <v>46356</v>
      </c>
      <c r="AC91" s="605">
        <v>46371</v>
      </c>
      <c r="AD91" s="605">
        <f>AC91+3</f>
        <v>46374</v>
      </c>
      <c r="AE91" s="605">
        <f>AD91+1</f>
        <v>46375</v>
      </c>
      <c r="AF91" s="605">
        <v>46434</v>
      </c>
      <c r="AG91" s="605">
        <v>46448</v>
      </c>
      <c r="AH91" s="605">
        <v>46455</v>
      </c>
      <c r="AI91" s="605">
        <v>46469</v>
      </c>
      <c r="AJ91" s="605">
        <v>46485</v>
      </c>
      <c r="AK91" s="630">
        <v>20.714285714285701</v>
      </c>
      <c r="AL91" s="607">
        <f>AK91*7</f>
        <v>144.99999999999991</v>
      </c>
      <c r="AM91" s="605">
        <f>X91+AL91</f>
        <v>46455</v>
      </c>
      <c r="AN91" s="608">
        <f>AN92</f>
        <v>46469</v>
      </c>
      <c r="AO91" s="600">
        <f>AN92-AM91</f>
        <v>14</v>
      </c>
      <c r="AP91" s="609"/>
      <c r="AQ91" s="610" t="s">
        <v>62</v>
      </c>
      <c r="AR91" s="611">
        <v>46476</v>
      </c>
      <c r="AS91" s="608"/>
    </row>
    <row r="92" spans="1:45" s="548" customFormat="1" ht="24" customHeight="1">
      <c r="A92" s="595"/>
      <c r="B92" s="263" t="s">
        <v>158</v>
      </c>
      <c r="C92" s="596" t="s">
        <v>159</v>
      </c>
      <c r="D92" s="652"/>
      <c r="E92" s="598"/>
      <c r="F92" s="652"/>
      <c r="G92" s="600"/>
      <c r="H92" s="601" t="s">
        <v>160</v>
      </c>
      <c r="I92" s="600" t="s">
        <v>137</v>
      </c>
      <c r="J92" s="263" t="s">
        <v>73</v>
      </c>
      <c r="K92" s="263">
        <v>3</v>
      </c>
      <c r="L92" s="263" t="s">
        <v>8</v>
      </c>
      <c r="M92" s="603" t="s">
        <v>65</v>
      </c>
      <c r="N92" s="605"/>
      <c r="O92" s="605"/>
      <c r="P92" s="605"/>
      <c r="Q92" s="605"/>
      <c r="R92" s="605"/>
      <c r="S92" s="605"/>
      <c r="T92" s="605"/>
      <c r="U92" s="605">
        <v>46290</v>
      </c>
      <c r="V92" s="605">
        <f>WORKDAY.INTL(U92,INDEX(V$8:V$11,MATCH($L92,$L$8:$L$11,0)),1,IF(V$18="China",'China Holidays'!$A$2:$A$82,'Thai Holidays'!$A$2:$A$63))</f>
        <v>46304</v>
      </c>
      <c r="W92" s="605"/>
      <c r="X92" s="605">
        <v>46310</v>
      </c>
      <c r="Y92" s="605">
        <v>46314</v>
      </c>
      <c r="Z92" s="605">
        <v>46321</v>
      </c>
      <c r="AA92" s="605">
        <v>46342</v>
      </c>
      <c r="AB92" s="605">
        <v>46356</v>
      </c>
      <c r="AC92" s="605">
        <v>46371</v>
      </c>
      <c r="AD92" s="605">
        <v>46371</v>
      </c>
      <c r="AE92" s="605">
        <v>46373</v>
      </c>
      <c r="AF92" s="605">
        <v>46434</v>
      </c>
      <c r="AG92" s="605">
        <v>46448</v>
      </c>
      <c r="AH92" s="605">
        <v>46455</v>
      </c>
      <c r="AI92" s="605">
        <v>46469</v>
      </c>
      <c r="AJ92" s="605">
        <v>46485</v>
      </c>
      <c r="AK92" s="606">
        <v>20.714285714285701</v>
      </c>
      <c r="AL92" s="607">
        <v>145</v>
      </c>
      <c r="AM92" s="605">
        <f>IF(X92&lt;&gt;"",X92+AL92,X93+AL92)</f>
        <v>46455</v>
      </c>
      <c r="AN92" s="608">
        <f>AR91-7</f>
        <v>46469</v>
      </c>
      <c r="AO92" s="600">
        <f>AN92-AM92</f>
        <v>14</v>
      </c>
      <c r="AP92" s="609"/>
      <c r="AQ92" s="610" t="s">
        <v>66</v>
      </c>
      <c r="AR92" s="611">
        <v>46479</v>
      </c>
      <c r="AS92" s="608" t="s">
        <v>139</v>
      </c>
    </row>
    <row r="93" spans="1:45" s="548" customFormat="1" ht="24" customHeight="1">
      <c r="A93" s="615"/>
      <c r="B93" s="616" t="s">
        <v>158</v>
      </c>
      <c r="C93" s="649" t="s">
        <v>159</v>
      </c>
      <c r="D93" s="653"/>
      <c r="E93" s="618"/>
      <c r="F93" s="653"/>
      <c r="G93" s="620"/>
      <c r="H93" s="621"/>
      <c r="I93" s="620" t="s">
        <v>137</v>
      </c>
      <c r="J93" s="616" t="s">
        <v>73</v>
      </c>
      <c r="K93" s="263">
        <v>3</v>
      </c>
      <c r="L93" s="616" t="s">
        <v>8</v>
      </c>
      <c r="M93" s="622" t="s">
        <v>67</v>
      </c>
      <c r="N93" s="623"/>
      <c r="O93" s="623">
        <v>46198</v>
      </c>
      <c r="P93" s="623">
        <v>46219</v>
      </c>
      <c r="Q93" s="623">
        <v>46219</v>
      </c>
      <c r="R93" s="623">
        <f>Q93</f>
        <v>46219</v>
      </c>
      <c r="S93" s="623">
        <v>46241</v>
      </c>
      <c r="T93" s="623">
        <v>46260</v>
      </c>
      <c r="U93" s="623"/>
      <c r="V93" s="623"/>
      <c r="W93" s="623"/>
      <c r="X93" s="620"/>
      <c r="Y93" s="623"/>
      <c r="Z93" s="623"/>
      <c r="AA93" s="623"/>
      <c r="AB93" s="623"/>
      <c r="AC93" s="623"/>
      <c r="AD93" s="623"/>
      <c r="AE93" s="623"/>
      <c r="AF93" s="623"/>
      <c r="AG93" s="623"/>
      <c r="AH93" s="623"/>
      <c r="AI93" s="623"/>
      <c r="AJ93" s="623"/>
      <c r="AK93" s="624"/>
      <c r="AL93" s="625"/>
      <c r="AM93" s="623"/>
      <c r="AN93" s="626"/>
      <c r="AO93" s="620"/>
      <c r="AP93" s="627"/>
      <c r="AQ93" s="628"/>
      <c r="AR93" s="627"/>
      <c r="AS93" s="626"/>
    </row>
    <row r="94" spans="1:45" s="548" customFormat="1" ht="24" hidden="1" customHeight="1">
      <c r="A94" s="595">
        <v>28</v>
      </c>
      <c r="B94" s="263" t="s">
        <v>161</v>
      </c>
      <c r="C94" s="263" t="s">
        <v>162</v>
      </c>
      <c r="D94" s="597"/>
      <c r="E94" s="598"/>
      <c r="F94" s="599"/>
      <c r="G94" s="600"/>
      <c r="H94" s="601"/>
      <c r="I94" s="600" t="s">
        <v>137</v>
      </c>
      <c r="J94" s="263"/>
      <c r="K94" s="602"/>
      <c r="L94" s="263" t="s">
        <v>6</v>
      </c>
      <c r="M94" s="603" t="s">
        <v>60</v>
      </c>
      <c r="N94" s="604"/>
      <c r="O94" s="605">
        <v>46136</v>
      </c>
      <c r="P94" s="605">
        <v>46148</v>
      </c>
      <c r="Q94" s="605">
        <v>46148</v>
      </c>
      <c r="R94" s="605">
        <v>46155</v>
      </c>
      <c r="S94" s="605">
        <v>46156</v>
      </c>
      <c r="T94" s="605">
        <v>46162</v>
      </c>
      <c r="U94" s="605">
        <v>46199</v>
      </c>
      <c r="V94" s="605">
        <v>46204</v>
      </c>
      <c r="W94" s="605"/>
      <c r="X94" s="605">
        <v>46218</v>
      </c>
      <c r="Y94" s="605">
        <v>46220</v>
      </c>
      <c r="Z94" s="605">
        <v>46227</v>
      </c>
      <c r="AA94" s="605">
        <v>46255</v>
      </c>
      <c r="AB94" s="605">
        <v>46269</v>
      </c>
      <c r="AC94" s="605">
        <v>46387</v>
      </c>
      <c r="AD94" s="605">
        <v>46296</v>
      </c>
      <c r="AE94" s="605">
        <v>46387</v>
      </c>
      <c r="AF94" s="605">
        <v>46433</v>
      </c>
      <c r="AG94" s="605">
        <v>46463</v>
      </c>
      <c r="AH94" s="605">
        <v>46470</v>
      </c>
      <c r="AI94" s="605">
        <v>46484</v>
      </c>
      <c r="AJ94" s="605">
        <v>46500</v>
      </c>
      <c r="AK94" s="630">
        <v>36</v>
      </c>
      <c r="AL94" s="607">
        <f>AK94*7</f>
        <v>252</v>
      </c>
      <c r="AM94" s="605">
        <f>X94+AL94</f>
        <v>46470</v>
      </c>
      <c r="AN94" s="608">
        <f>AN95</f>
        <v>46468</v>
      </c>
      <c r="AO94" s="600">
        <f>AN95-AM94</f>
        <v>-2</v>
      </c>
      <c r="AP94" s="609" t="s">
        <v>61</v>
      </c>
      <c r="AQ94" s="610" t="s">
        <v>62</v>
      </c>
      <c r="AR94" s="611">
        <v>46471</v>
      </c>
      <c r="AS94" s="608"/>
    </row>
    <row r="95" spans="1:45" s="548" customFormat="1" ht="24" customHeight="1">
      <c r="A95" s="595"/>
      <c r="B95" s="263" t="s">
        <v>161</v>
      </c>
      <c r="C95" s="596" t="s">
        <v>162</v>
      </c>
      <c r="D95" s="597"/>
      <c r="E95" s="598"/>
      <c r="F95" s="629"/>
      <c r="G95" s="600"/>
      <c r="H95" s="601" t="s">
        <v>163</v>
      </c>
      <c r="I95" s="600" t="s">
        <v>137</v>
      </c>
      <c r="J95" s="263" t="s">
        <v>64</v>
      </c>
      <c r="K95" s="263">
        <v>2</v>
      </c>
      <c r="L95" s="263" t="s">
        <v>6</v>
      </c>
      <c r="M95" s="603" t="s">
        <v>65</v>
      </c>
      <c r="N95" s="605"/>
      <c r="O95" s="605"/>
      <c r="P95" s="605"/>
      <c r="Q95" s="605"/>
      <c r="R95" s="605"/>
      <c r="S95" s="605"/>
      <c r="T95" s="605"/>
      <c r="U95" s="605"/>
      <c r="V95" s="605"/>
      <c r="W95" s="605"/>
      <c r="X95" s="605"/>
      <c r="Y95" s="605"/>
      <c r="Z95" s="605"/>
      <c r="AA95" s="605"/>
      <c r="AB95" s="612">
        <v>46325</v>
      </c>
      <c r="AC95" s="612">
        <v>46387</v>
      </c>
      <c r="AD95" s="612">
        <v>46296</v>
      </c>
      <c r="AE95" s="612">
        <v>46388</v>
      </c>
      <c r="AF95" s="612">
        <v>46443</v>
      </c>
      <c r="AG95" s="612">
        <v>46450</v>
      </c>
      <c r="AH95" s="605">
        <v>46466</v>
      </c>
      <c r="AI95" s="605">
        <v>46480</v>
      </c>
      <c r="AJ95" s="605">
        <v>46496</v>
      </c>
      <c r="AK95" s="606">
        <v>34</v>
      </c>
      <c r="AL95" s="607">
        <v>238</v>
      </c>
      <c r="AM95" s="613">
        <v>46466</v>
      </c>
      <c r="AN95" s="608">
        <f>AR94-3</f>
        <v>46468</v>
      </c>
      <c r="AO95" s="600">
        <f>AN95-AM95</f>
        <v>2</v>
      </c>
      <c r="AP95" s="614" t="str">
        <f>AP94</f>
        <v>Long Lead</v>
      </c>
      <c r="AQ95" s="610" t="s">
        <v>66</v>
      </c>
      <c r="AR95" s="611">
        <v>46496</v>
      </c>
      <c r="AS95" s="608" t="s">
        <v>139</v>
      </c>
    </row>
    <row r="96" spans="1:45" s="548" customFormat="1" ht="24" customHeight="1">
      <c r="A96" s="615"/>
      <c r="B96" s="616" t="s">
        <v>161</v>
      </c>
      <c r="C96" s="649" t="s">
        <v>162</v>
      </c>
      <c r="D96" s="617"/>
      <c r="E96" s="618"/>
      <c r="F96" s="631"/>
      <c r="G96" s="620"/>
      <c r="H96" s="621"/>
      <c r="I96" s="620" t="s">
        <v>137</v>
      </c>
      <c r="J96" s="616" t="s">
        <v>64</v>
      </c>
      <c r="K96" s="263">
        <v>2</v>
      </c>
      <c r="L96" s="616" t="s">
        <v>6</v>
      </c>
      <c r="M96" s="622" t="s">
        <v>67</v>
      </c>
      <c r="N96" s="623">
        <v>46133</v>
      </c>
      <c r="O96" s="623">
        <v>46140</v>
      </c>
      <c r="P96" s="623">
        <v>46157</v>
      </c>
      <c r="Q96" s="623">
        <v>46157</v>
      </c>
      <c r="R96" s="623">
        <v>46157</v>
      </c>
      <c r="S96" s="623">
        <v>46157</v>
      </c>
      <c r="T96" s="623">
        <v>46162</v>
      </c>
      <c r="U96" s="623">
        <v>46206</v>
      </c>
      <c r="V96" s="623">
        <v>46210</v>
      </c>
      <c r="W96" s="623">
        <v>46226</v>
      </c>
      <c r="X96" s="654">
        <v>46261</v>
      </c>
      <c r="Y96" s="623">
        <v>46226</v>
      </c>
      <c r="Z96" s="623">
        <v>46234</v>
      </c>
      <c r="AA96" s="623">
        <v>46251</v>
      </c>
      <c r="AB96" s="623"/>
      <c r="AC96" s="623"/>
      <c r="AD96" s="623"/>
      <c r="AE96" s="623"/>
      <c r="AF96" s="623"/>
      <c r="AG96" s="623"/>
      <c r="AH96" s="623"/>
      <c r="AI96" s="623"/>
      <c r="AJ96" s="623"/>
      <c r="AK96" s="624"/>
      <c r="AL96" s="625"/>
      <c r="AM96" s="623"/>
      <c r="AN96" s="626"/>
      <c r="AO96" s="620"/>
      <c r="AP96" s="627" t="str">
        <f>AP94</f>
        <v>Long Lead</v>
      </c>
      <c r="AQ96" s="628"/>
      <c r="AR96" s="627" t="s">
        <v>164</v>
      </c>
      <c r="AS96" s="626"/>
    </row>
    <row r="97" spans="1:45" s="548" customFormat="1" ht="24" hidden="1" customHeight="1">
      <c r="A97" s="595">
        <v>29</v>
      </c>
      <c r="B97" s="263" t="s">
        <v>165</v>
      </c>
      <c r="C97" s="263" t="s">
        <v>166</v>
      </c>
      <c r="D97" s="650"/>
      <c r="E97" s="598"/>
      <c r="F97" s="651"/>
      <c r="G97" s="600"/>
      <c r="H97" s="601"/>
      <c r="I97" s="600" t="s">
        <v>137</v>
      </c>
      <c r="J97" s="263"/>
      <c r="K97" s="602"/>
      <c r="L97" s="263" t="s">
        <v>8</v>
      </c>
      <c r="M97" s="603" t="s">
        <v>60</v>
      </c>
      <c r="N97" s="604"/>
      <c r="O97" s="605">
        <v>46239</v>
      </c>
      <c r="P97" s="605">
        <v>46254</v>
      </c>
      <c r="Q97" s="605">
        <v>46254</v>
      </c>
      <c r="R97" s="605">
        <v>46254</v>
      </c>
      <c r="S97" s="605">
        <v>46254</v>
      </c>
      <c r="T97" s="605">
        <v>46268</v>
      </c>
      <c r="U97" s="605">
        <v>46287</v>
      </c>
      <c r="V97" s="605">
        <v>46301</v>
      </c>
      <c r="W97" s="605"/>
      <c r="X97" s="605">
        <v>46316</v>
      </c>
      <c r="Y97" s="605">
        <v>46318</v>
      </c>
      <c r="Z97" s="605">
        <v>46325</v>
      </c>
      <c r="AA97" s="605">
        <v>46346</v>
      </c>
      <c r="AB97" s="605">
        <v>46360</v>
      </c>
      <c r="AC97" s="605">
        <v>46375</v>
      </c>
      <c r="AD97" s="605">
        <v>46375</v>
      </c>
      <c r="AE97" s="605">
        <v>46377</v>
      </c>
      <c r="AF97" s="605">
        <v>46421</v>
      </c>
      <c r="AG97" s="605">
        <v>46435</v>
      </c>
      <c r="AH97" s="605">
        <v>46442</v>
      </c>
      <c r="AI97" s="605">
        <v>46456</v>
      </c>
      <c r="AJ97" s="605">
        <v>46472</v>
      </c>
      <c r="AK97" s="630">
        <v>18</v>
      </c>
      <c r="AL97" s="607">
        <f>AK97*7</f>
        <v>126</v>
      </c>
      <c r="AM97" s="605">
        <f>X97+AL97</f>
        <v>46442</v>
      </c>
      <c r="AN97" s="608">
        <f>AN98</f>
        <v>46469</v>
      </c>
      <c r="AO97" s="600">
        <f>AN98-AM97</f>
        <v>27</v>
      </c>
      <c r="AP97" s="609"/>
      <c r="AQ97" s="610" t="s">
        <v>62</v>
      </c>
      <c r="AR97" s="611">
        <v>46476</v>
      </c>
      <c r="AS97" s="608"/>
    </row>
    <row r="98" spans="1:45" s="548" customFormat="1" ht="24" customHeight="1">
      <c r="A98" s="595"/>
      <c r="B98" s="263" t="s">
        <v>165</v>
      </c>
      <c r="C98" s="596" t="s">
        <v>166</v>
      </c>
      <c r="D98" s="652"/>
      <c r="E98" s="598"/>
      <c r="F98" s="652"/>
      <c r="G98" s="600"/>
      <c r="H98" s="601" t="s">
        <v>167</v>
      </c>
      <c r="I98" s="600" t="s">
        <v>137</v>
      </c>
      <c r="J98" s="263" t="s">
        <v>73</v>
      </c>
      <c r="K98" s="263">
        <v>4</v>
      </c>
      <c r="L98" s="263" t="s">
        <v>8</v>
      </c>
      <c r="M98" s="603" t="s">
        <v>65</v>
      </c>
      <c r="N98" s="605"/>
      <c r="O98" s="605"/>
      <c r="P98" s="605"/>
      <c r="Q98" s="605"/>
      <c r="R98" s="605"/>
      <c r="S98" s="605"/>
      <c r="T98" s="605"/>
      <c r="U98" s="605">
        <v>46290</v>
      </c>
      <c r="V98" s="605">
        <f>WORKDAY.INTL(U98,INDEX(V$8:V$11,MATCH($L98,$L$8:$L$11,0)),1,IF(V$18="China",'China Holidays'!$A$2:$A$82,'Thai Holidays'!$A$2:$A$63))</f>
        <v>46304</v>
      </c>
      <c r="W98" s="605"/>
      <c r="X98" s="605">
        <v>46315</v>
      </c>
      <c r="Y98" s="605">
        <v>46317</v>
      </c>
      <c r="Z98" s="605">
        <v>46324</v>
      </c>
      <c r="AA98" s="605">
        <v>46345</v>
      </c>
      <c r="AB98" s="605">
        <v>46359</v>
      </c>
      <c r="AC98" s="605">
        <v>46374</v>
      </c>
      <c r="AD98" s="605">
        <v>46374</v>
      </c>
      <c r="AE98" s="605">
        <v>46376</v>
      </c>
      <c r="AF98" s="605">
        <v>46420</v>
      </c>
      <c r="AG98" s="605">
        <v>46434</v>
      </c>
      <c r="AH98" s="605">
        <v>46441</v>
      </c>
      <c r="AI98" s="605">
        <v>46455</v>
      </c>
      <c r="AJ98" s="605">
        <v>46471</v>
      </c>
      <c r="AK98" s="606">
        <v>18</v>
      </c>
      <c r="AL98" s="607">
        <v>126</v>
      </c>
      <c r="AM98" s="605">
        <f>IF(X98&lt;&gt;"",X98+AL98,X99+AL98)</f>
        <v>46441</v>
      </c>
      <c r="AN98" s="608">
        <f>AR97-7</f>
        <v>46469</v>
      </c>
      <c r="AO98" s="600">
        <f>AN98-AM98</f>
        <v>28</v>
      </c>
      <c r="AP98" s="609"/>
      <c r="AQ98" s="610" t="s">
        <v>66</v>
      </c>
      <c r="AR98" s="611">
        <v>46476</v>
      </c>
      <c r="AS98" s="608" t="s">
        <v>139</v>
      </c>
    </row>
    <row r="99" spans="1:45" s="548" customFormat="1" ht="24" customHeight="1">
      <c r="A99" s="615"/>
      <c r="B99" s="616" t="s">
        <v>165</v>
      </c>
      <c r="C99" s="649" t="s">
        <v>166</v>
      </c>
      <c r="D99" s="653"/>
      <c r="E99" s="618"/>
      <c r="F99" s="653"/>
      <c r="G99" s="620"/>
      <c r="H99" s="621"/>
      <c r="I99" s="620" t="s">
        <v>137</v>
      </c>
      <c r="J99" s="616" t="s">
        <v>73</v>
      </c>
      <c r="K99" s="263">
        <v>4</v>
      </c>
      <c r="L99" s="616" t="s">
        <v>8</v>
      </c>
      <c r="M99" s="622" t="s">
        <v>67</v>
      </c>
      <c r="N99" s="620"/>
      <c r="O99" s="623">
        <v>46233</v>
      </c>
      <c r="P99" s="623">
        <v>46237</v>
      </c>
      <c r="Q99" s="623">
        <v>46237</v>
      </c>
      <c r="R99" s="623">
        <f>Q99</f>
        <v>46237</v>
      </c>
      <c r="S99" s="623">
        <v>46244</v>
      </c>
      <c r="T99" s="623">
        <v>46262</v>
      </c>
      <c r="U99" s="623"/>
      <c r="V99" s="623"/>
      <c r="W99" s="623"/>
      <c r="X99" s="620"/>
      <c r="Y99" s="623"/>
      <c r="Z99" s="623"/>
      <c r="AA99" s="623"/>
      <c r="AB99" s="623"/>
      <c r="AC99" s="623"/>
      <c r="AD99" s="623"/>
      <c r="AE99" s="623"/>
      <c r="AF99" s="623"/>
      <c r="AG99" s="623"/>
      <c r="AH99" s="623"/>
      <c r="AI99" s="623"/>
      <c r="AJ99" s="623"/>
      <c r="AK99" s="624"/>
      <c r="AL99" s="625"/>
      <c r="AM99" s="623"/>
      <c r="AN99" s="626"/>
      <c r="AO99" s="620"/>
      <c r="AP99" s="627"/>
      <c r="AQ99" s="628"/>
      <c r="AR99" s="627"/>
      <c r="AS99" s="626"/>
    </row>
    <row r="100" spans="1:45" s="548" customFormat="1" ht="24" hidden="1" customHeight="1">
      <c r="A100" s="595">
        <v>30</v>
      </c>
      <c r="B100" s="263" t="s">
        <v>168</v>
      </c>
      <c r="C100" s="263" t="s">
        <v>169</v>
      </c>
      <c r="D100" s="650"/>
      <c r="E100" s="598"/>
      <c r="F100" s="651"/>
      <c r="G100" s="600"/>
      <c r="H100" s="601"/>
      <c r="I100" s="600" t="s">
        <v>137</v>
      </c>
      <c r="J100" s="263"/>
      <c r="K100" s="602"/>
      <c r="L100" s="263" t="s">
        <v>8</v>
      </c>
      <c r="M100" s="603" t="s">
        <v>60</v>
      </c>
      <c r="N100" s="604"/>
      <c r="O100" s="605">
        <v>46239</v>
      </c>
      <c r="P100" s="605">
        <v>46254</v>
      </c>
      <c r="Q100" s="605">
        <v>46254</v>
      </c>
      <c r="R100" s="605">
        <v>46254</v>
      </c>
      <c r="S100" s="605">
        <v>46254</v>
      </c>
      <c r="T100" s="605">
        <v>46268</v>
      </c>
      <c r="U100" s="605">
        <v>46287</v>
      </c>
      <c r="V100" s="605">
        <v>46301</v>
      </c>
      <c r="W100" s="605"/>
      <c r="X100" s="605">
        <v>46316</v>
      </c>
      <c r="Y100" s="605">
        <v>46318</v>
      </c>
      <c r="Z100" s="605">
        <v>46325</v>
      </c>
      <c r="AA100" s="605">
        <v>46346</v>
      </c>
      <c r="AB100" s="605">
        <v>46360</v>
      </c>
      <c r="AC100" s="605">
        <v>46375</v>
      </c>
      <c r="AD100" s="605">
        <v>46375</v>
      </c>
      <c r="AE100" s="605">
        <v>46377</v>
      </c>
      <c r="AF100" s="605">
        <v>46421</v>
      </c>
      <c r="AG100" s="605">
        <v>46435</v>
      </c>
      <c r="AH100" s="605">
        <v>46442</v>
      </c>
      <c r="AI100" s="605">
        <v>46456</v>
      </c>
      <c r="AJ100" s="605">
        <v>46472</v>
      </c>
      <c r="AK100" s="630">
        <v>18</v>
      </c>
      <c r="AL100" s="607">
        <f>AK100*7</f>
        <v>126</v>
      </c>
      <c r="AM100" s="605">
        <f>X100+AL100</f>
        <v>46442</v>
      </c>
      <c r="AN100" s="608">
        <f>AN101</f>
        <v>46469</v>
      </c>
      <c r="AO100" s="600">
        <f>AN101-AM100</f>
        <v>27</v>
      </c>
      <c r="AP100" s="609"/>
      <c r="AQ100" s="610" t="s">
        <v>62</v>
      </c>
      <c r="AR100" s="611">
        <v>46476</v>
      </c>
      <c r="AS100" s="608"/>
    </row>
    <row r="101" spans="1:45" s="548" customFormat="1" ht="24" customHeight="1">
      <c r="A101" s="595"/>
      <c r="B101" s="263" t="s">
        <v>168</v>
      </c>
      <c r="C101" s="596" t="s">
        <v>169</v>
      </c>
      <c r="D101" s="652"/>
      <c r="E101" s="598"/>
      <c r="F101" s="652"/>
      <c r="G101" s="600"/>
      <c r="H101" s="601" t="s">
        <v>167</v>
      </c>
      <c r="I101" s="600" t="s">
        <v>137</v>
      </c>
      <c r="J101" s="263" t="s">
        <v>73</v>
      </c>
      <c r="K101" s="263">
        <v>4</v>
      </c>
      <c r="L101" s="263" t="s">
        <v>8</v>
      </c>
      <c r="M101" s="603" t="s">
        <v>65</v>
      </c>
      <c r="N101" s="605"/>
      <c r="O101" s="605"/>
      <c r="P101" s="605"/>
      <c r="Q101" s="605"/>
      <c r="R101" s="605"/>
      <c r="S101" s="605"/>
      <c r="T101" s="605">
        <v>46293</v>
      </c>
      <c r="U101" s="605">
        <f>WORKDAY.INTL(T101,INDEX(U$8:U$11,MATCH($L101,$L$8:$L$11,0)),1,IF(U$18="China",'China Holidays'!$A$2:$A$82,'Thai Holidays'!$A$2:$A$63))</f>
        <v>46311</v>
      </c>
      <c r="V101" s="605">
        <f>WORKDAY.INTL(U101,INDEX(V$8:V$11,MATCH($L101,$L$8:$L$11,0)),1,IF(V$18="China",'China Holidays'!$A$2:$A$82,'Thai Holidays'!$A$2:$A$63))</f>
        <v>46328</v>
      </c>
      <c r="W101" s="605"/>
      <c r="X101" s="605">
        <v>46315</v>
      </c>
      <c r="Y101" s="605">
        <v>46317</v>
      </c>
      <c r="Z101" s="605">
        <v>46324</v>
      </c>
      <c r="AA101" s="605">
        <v>46345</v>
      </c>
      <c r="AB101" s="605">
        <v>46359</v>
      </c>
      <c r="AC101" s="605">
        <v>46374</v>
      </c>
      <c r="AD101" s="605">
        <v>46374</v>
      </c>
      <c r="AE101" s="605">
        <v>46376</v>
      </c>
      <c r="AF101" s="605">
        <v>46420</v>
      </c>
      <c r="AG101" s="605">
        <v>46434</v>
      </c>
      <c r="AH101" s="605">
        <v>46441</v>
      </c>
      <c r="AI101" s="605">
        <v>46455</v>
      </c>
      <c r="AJ101" s="605">
        <v>46471</v>
      </c>
      <c r="AK101" s="606">
        <v>18</v>
      </c>
      <c r="AL101" s="607">
        <v>126</v>
      </c>
      <c r="AM101" s="605">
        <f>IF(X101&lt;&gt;"",X101+AL101,X102+AL101)</f>
        <v>46441</v>
      </c>
      <c r="AN101" s="608">
        <f>AR100-7</f>
        <v>46469</v>
      </c>
      <c r="AO101" s="600">
        <f>AN101-AM101</f>
        <v>28</v>
      </c>
      <c r="AP101" s="609"/>
      <c r="AQ101" s="610" t="s">
        <v>66</v>
      </c>
      <c r="AR101" s="611">
        <v>46476</v>
      </c>
      <c r="AS101" s="608" t="s">
        <v>139</v>
      </c>
    </row>
    <row r="102" spans="1:45" s="548" customFormat="1" ht="24" customHeight="1">
      <c r="A102" s="615"/>
      <c r="B102" s="616" t="s">
        <v>168</v>
      </c>
      <c r="C102" s="649" t="s">
        <v>169</v>
      </c>
      <c r="D102" s="653"/>
      <c r="E102" s="618"/>
      <c r="F102" s="653"/>
      <c r="G102" s="620"/>
      <c r="H102" s="621"/>
      <c r="I102" s="620" t="s">
        <v>137</v>
      </c>
      <c r="J102" s="616" t="s">
        <v>73</v>
      </c>
      <c r="K102" s="263">
        <v>4</v>
      </c>
      <c r="L102" s="616" t="s">
        <v>8</v>
      </c>
      <c r="M102" s="622" t="s">
        <v>67</v>
      </c>
      <c r="N102" s="620"/>
      <c r="O102" s="623">
        <v>46239</v>
      </c>
      <c r="P102" s="623">
        <v>46251</v>
      </c>
      <c r="Q102" s="623">
        <v>46251</v>
      </c>
      <c r="R102" s="623">
        <f>Q102</f>
        <v>46251</v>
      </c>
      <c r="S102" s="623">
        <f>R102</f>
        <v>46251</v>
      </c>
      <c r="T102" s="623"/>
      <c r="U102" s="623"/>
      <c r="V102" s="623"/>
      <c r="W102" s="623"/>
      <c r="X102" s="620"/>
      <c r="Y102" s="623"/>
      <c r="Z102" s="623"/>
      <c r="AA102" s="623"/>
      <c r="AB102" s="623"/>
      <c r="AC102" s="623"/>
      <c r="AD102" s="623"/>
      <c r="AE102" s="623"/>
      <c r="AF102" s="623"/>
      <c r="AG102" s="623"/>
      <c r="AH102" s="623"/>
      <c r="AI102" s="623"/>
      <c r="AJ102" s="623"/>
      <c r="AK102" s="624"/>
      <c r="AL102" s="625"/>
      <c r="AM102" s="623"/>
      <c r="AN102" s="626"/>
      <c r="AO102" s="620"/>
      <c r="AP102" s="627"/>
      <c r="AQ102" s="628"/>
      <c r="AR102" s="627"/>
      <c r="AS102" s="626"/>
    </row>
    <row r="103" spans="1:45" s="548" customFormat="1" ht="24" hidden="1" customHeight="1">
      <c r="A103" s="595">
        <v>31</v>
      </c>
      <c r="B103" s="263" t="s">
        <v>170</v>
      </c>
      <c r="C103" s="263" t="s">
        <v>171</v>
      </c>
      <c r="D103" s="650"/>
      <c r="E103" s="598"/>
      <c r="F103" s="651"/>
      <c r="G103" s="600"/>
      <c r="H103" s="601"/>
      <c r="I103" s="600" t="s">
        <v>137</v>
      </c>
      <c r="J103" s="263"/>
      <c r="K103" s="602"/>
      <c r="L103" s="263" t="s">
        <v>8</v>
      </c>
      <c r="M103" s="603" t="s">
        <v>60</v>
      </c>
      <c r="N103" s="604"/>
      <c r="O103" s="605">
        <v>46239</v>
      </c>
      <c r="P103" s="605">
        <v>46254</v>
      </c>
      <c r="Q103" s="605">
        <v>46254</v>
      </c>
      <c r="R103" s="605">
        <v>46254</v>
      </c>
      <c r="S103" s="605">
        <v>46254</v>
      </c>
      <c r="T103" s="605">
        <v>46268</v>
      </c>
      <c r="U103" s="605">
        <v>46287</v>
      </c>
      <c r="V103" s="605">
        <v>46301</v>
      </c>
      <c r="W103" s="605"/>
      <c r="X103" s="605">
        <v>46316</v>
      </c>
      <c r="Y103" s="605">
        <v>46318</v>
      </c>
      <c r="Z103" s="605">
        <v>46325</v>
      </c>
      <c r="AA103" s="605">
        <v>46346</v>
      </c>
      <c r="AB103" s="605">
        <v>46360</v>
      </c>
      <c r="AC103" s="605">
        <v>46375</v>
      </c>
      <c r="AD103" s="605">
        <v>46375</v>
      </c>
      <c r="AE103" s="605">
        <v>46377</v>
      </c>
      <c r="AF103" s="605">
        <v>46421</v>
      </c>
      <c r="AG103" s="605">
        <v>46435</v>
      </c>
      <c r="AH103" s="605">
        <v>46442</v>
      </c>
      <c r="AI103" s="605">
        <v>46456</v>
      </c>
      <c r="AJ103" s="605">
        <v>46472</v>
      </c>
      <c r="AK103" s="630">
        <v>18</v>
      </c>
      <c r="AL103" s="607">
        <f>AK103*7</f>
        <v>126</v>
      </c>
      <c r="AM103" s="605">
        <f>X103+AL103</f>
        <v>46442</v>
      </c>
      <c r="AN103" s="608">
        <f>AN104</f>
        <v>46469</v>
      </c>
      <c r="AO103" s="600">
        <f>AN104-AM103</f>
        <v>27</v>
      </c>
      <c r="AP103" s="609"/>
      <c r="AQ103" s="610" t="s">
        <v>62</v>
      </c>
      <c r="AR103" s="611">
        <v>46476</v>
      </c>
      <c r="AS103" s="608"/>
    </row>
    <row r="104" spans="1:45" s="548" customFormat="1" ht="24" customHeight="1">
      <c r="A104" s="595"/>
      <c r="B104" s="263" t="s">
        <v>170</v>
      </c>
      <c r="C104" s="596" t="s">
        <v>171</v>
      </c>
      <c r="D104" s="652"/>
      <c r="E104" s="598"/>
      <c r="F104" s="652"/>
      <c r="G104" s="600"/>
      <c r="H104" s="601" t="s">
        <v>167</v>
      </c>
      <c r="I104" s="600" t="s">
        <v>137</v>
      </c>
      <c r="J104" s="263" t="s">
        <v>73</v>
      </c>
      <c r="K104" s="263">
        <v>4</v>
      </c>
      <c r="L104" s="263" t="s">
        <v>8</v>
      </c>
      <c r="M104" s="603" t="s">
        <v>65</v>
      </c>
      <c r="N104" s="605"/>
      <c r="O104" s="605"/>
      <c r="P104" s="605"/>
      <c r="Q104" s="605"/>
      <c r="R104" s="605"/>
      <c r="S104" s="605"/>
      <c r="T104" s="605"/>
      <c r="U104" s="605">
        <v>46290</v>
      </c>
      <c r="V104" s="605">
        <f>WORKDAY.INTL(U104,INDEX(V$8:V$11,MATCH($L104,$L$8:$L$11,0)),1,IF(V$18="China",'China Holidays'!$A$2:$A$82,'Thai Holidays'!$A$2:$A$63))</f>
        <v>46304</v>
      </c>
      <c r="W104" s="605"/>
      <c r="X104" s="605">
        <v>46315</v>
      </c>
      <c r="Y104" s="605">
        <v>46317</v>
      </c>
      <c r="Z104" s="605">
        <v>46324</v>
      </c>
      <c r="AA104" s="605">
        <v>46345</v>
      </c>
      <c r="AB104" s="605">
        <v>46359</v>
      </c>
      <c r="AC104" s="605">
        <v>46374</v>
      </c>
      <c r="AD104" s="605">
        <v>46374</v>
      </c>
      <c r="AE104" s="605">
        <v>46376</v>
      </c>
      <c r="AF104" s="605">
        <v>46420</v>
      </c>
      <c r="AG104" s="605">
        <v>46434</v>
      </c>
      <c r="AH104" s="605">
        <v>46441</v>
      </c>
      <c r="AI104" s="605">
        <v>46455</v>
      </c>
      <c r="AJ104" s="605">
        <v>46471</v>
      </c>
      <c r="AK104" s="606">
        <v>18</v>
      </c>
      <c r="AL104" s="607">
        <v>126</v>
      </c>
      <c r="AM104" s="605">
        <f>IF(X104&lt;&gt;"",X104+AL104,X105+AL104)</f>
        <v>46441</v>
      </c>
      <c r="AN104" s="608">
        <f>AR103-7</f>
        <v>46469</v>
      </c>
      <c r="AO104" s="600">
        <f>AN104-AM104</f>
        <v>28</v>
      </c>
      <c r="AP104" s="609"/>
      <c r="AQ104" s="610" t="s">
        <v>66</v>
      </c>
      <c r="AR104" s="611">
        <v>46476</v>
      </c>
      <c r="AS104" s="608" t="s">
        <v>139</v>
      </c>
    </row>
    <row r="105" spans="1:45" s="548" customFormat="1" ht="24" customHeight="1">
      <c r="A105" s="615"/>
      <c r="B105" s="616" t="s">
        <v>170</v>
      </c>
      <c r="C105" s="649" t="s">
        <v>171</v>
      </c>
      <c r="D105" s="653"/>
      <c r="E105" s="618"/>
      <c r="F105" s="653"/>
      <c r="G105" s="620"/>
      <c r="H105" s="621"/>
      <c r="I105" s="620" t="s">
        <v>137</v>
      </c>
      <c r="J105" s="616" t="s">
        <v>73</v>
      </c>
      <c r="K105" s="263">
        <v>4</v>
      </c>
      <c r="L105" s="616" t="s">
        <v>8</v>
      </c>
      <c r="M105" s="622" t="s">
        <v>67</v>
      </c>
      <c r="N105" s="620"/>
      <c r="O105" s="623">
        <v>46240</v>
      </c>
      <c r="P105" s="623">
        <v>46259</v>
      </c>
      <c r="Q105" s="623">
        <v>46259</v>
      </c>
      <c r="R105" s="623">
        <v>46259</v>
      </c>
      <c r="S105" s="623">
        <f>R105</f>
        <v>46259</v>
      </c>
      <c r="T105" s="623">
        <v>46262</v>
      </c>
      <c r="U105" s="623"/>
      <c r="V105" s="623"/>
      <c r="W105" s="623"/>
      <c r="X105" s="620"/>
      <c r="Y105" s="623"/>
      <c r="Z105" s="623"/>
      <c r="AA105" s="623"/>
      <c r="AB105" s="623"/>
      <c r="AC105" s="623"/>
      <c r="AD105" s="623"/>
      <c r="AE105" s="623"/>
      <c r="AF105" s="623"/>
      <c r="AG105" s="623"/>
      <c r="AH105" s="623"/>
      <c r="AI105" s="623"/>
      <c r="AJ105" s="623"/>
      <c r="AK105" s="624"/>
      <c r="AL105" s="625"/>
      <c r="AM105" s="623"/>
      <c r="AN105" s="626"/>
      <c r="AO105" s="620"/>
      <c r="AP105" s="627"/>
      <c r="AQ105" s="628"/>
      <c r="AR105" s="627"/>
      <c r="AS105" s="626"/>
    </row>
    <row r="106" spans="1:45" s="548" customFormat="1" ht="24" hidden="1" customHeight="1">
      <c r="A106" s="595">
        <v>32</v>
      </c>
      <c r="B106" s="263" t="s">
        <v>172</v>
      </c>
      <c r="C106" s="263" t="s">
        <v>173</v>
      </c>
      <c r="D106" s="650"/>
      <c r="E106" s="598"/>
      <c r="F106" s="651"/>
      <c r="G106" s="600"/>
      <c r="H106" s="601"/>
      <c r="I106" s="600" t="s">
        <v>137</v>
      </c>
      <c r="J106" s="263"/>
      <c r="K106" s="602"/>
      <c r="L106" s="263" t="s">
        <v>8</v>
      </c>
      <c r="M106" s="603" t="s">
        <v>60</v>
      </c>
      <c r="N106" s="604"/>
      <c r="O106" s="605">
        <v>46239</v>
      </c>
      <c r="P106" s="605">
        <v>46254</v>
      </c>
      <c r="Q106" s="605">
        <v>46254</v>
      </c>
      <c r="R106" s="605">
        <v>46254</v>
      </c>
      <c r="S106" s="605">
        <v>46254</v>
      </c>
      <c r="T106" s="605">
        <v>46268</v>
      </c>
      <c r="U106" s="605">
        <v>46287</v>
      </c>
      <c r="V106" s="605">
        <v>46301</v>
      </c>
      <c r="W106" s="605"/>
      <c r="X106" s="605">
        <v>46316</v>
      </c>
      <c r="Y106" s="605">
        <v>46318</v>
      </c>
      <c r="Z106" s="605">
        <v>46325</v>
      </c>
      <c r="AA106" s="605">
        <v>46346</v>
      </c>
      <c r="AB106" s="605">
        <v>46360</v>
      </c>
      <c r="AC106" s="605">
        <v>46375</v>
      </c>
      <c r="AD106" s="605">
        <v>46375</v>
      </c>
      <c r="AE106" s="605">
        <v>46377</v>
      </c>
      <c r="AF106" s="605">
        <v>46421</v>
      </c>
      <c r="AG106" s="605">
        <v>46435</v>
      </c>
      <c r="AH106" s="605">
        <v>46442</v>
      </c>
      <c r="AI106" s="605">
        <v>46456</v>
      </c>
      <c r="AJ106" s="605">
        <v>46472</v>
      </c>
      <c r="AK106" s="630">
        <v>18</v>
      </c>
      <c r="AL106" s="607">
        <f>AK106*7</f>
        <v>126</v>
      </c>
      <c r="AM106" s="605">
        <f>X106+AL106</f>
        <v>46442</v>
      </c>
      <c r="AN106" s="608">
        <f>AN107</f>
        <v>46469</v>
      </c>
      <c r="AO106" s="600">
        <f>AN107-AM106</f>
        <v>27</v>
      </c>
      <c r="AP106" s="609"/>
      <c r="AQ106" s="610" t="s">
        <v>62</v>
      </c>
      <c r="AR106" s="611">
        <v>46476</v>
      </c>
      <c r="AS106" s="608"/>
    </row>
    <row r="107" spans="1:45" s="548" customFormat="1" ht="24" customHeight="1">
      <c r="A107" s="595"/>
      <c r="B107" s="263" t="s">
        <v>172</v>
      </c>
      <c r="C107" s="596" t="s">
        <v>173</v>
      </c>
      <c r="D107" s="652"/>
      <c r="E107" s="598"/>
      <c r="F107" s="652"/>
      <c r="G107" s="600"/>
      <c r="H107" s="601" t="s">
        <v>167</v>
      </c>
      <c r="I107" s="600" t="s">
        <v>137</v>
      </c>
      <c r="J107" s="263" t="s">
        <v>73</v>
      </c>
      <c r="K107" s="263">
        <v>4</v>
      </c>
      <c r="L107" s="263" t="s">
        <v>8</v>
      </c>
      <c r="M107" s="603" t="s">
        <v>65</v>
      </c>
      <c r="N107" s="605"/>
      <c r="O107" s="605"/>
      <c r="P107" s="605"/>
      <c r="Q107" s="605"/>
      <c r="R107" s="605"/>
      <c r="S107" s="605"/>
      <c r="T107" s="605">
        <v>46293</v>
      </c>
      <c r="U107" s="605">
        <f>WORKDAY.INTL(T107,INDEX(U$8:U$11,MATCH($L107,$L$8:$L$11,0)),1,IF(U$18="China",'China Holidays'!$A$2:$A$82,'Thai Holidays'!$A$2:$A$63))</f>
        <v>46311</v>
      </c>
      <c r="V107" s="605">
        <f>WORKDAY.INTL(U107,INDEX(V$8:V$11,MATCH($L107,$L$8:$L$11,0)),1,IF(V$18="China",'China Holidays'!$A$2:$A$82,'Thai Holidays'!$A$2:$A$63))</f>
        <v>46328</v>
      </c>
      <c r="W107" s="605"/>
      <c r="X107" s="605">
        <v>46315</v>
      </c>
      <c r="Y107" s="605">
        <v>46317</v>
      </c>
      <c r="Z107" s="605">
        <v>46324</v>
      </c>
      <c r="AA107" s="605">
        <v>46345</v>
      </c>
      <c r="AB107" s="605">
        <v>46359</v>
      </c>
      <c r="AC107" s="605">
        <v>46374</v>
      </c>
      <c r="AD107" s="605">
        <v>46374</v>
      </c>
      <c r="AE107" s="605">
        <v>46376</v>
      </c>
      <c r="AF107" s="605">
        <v>46420</v>
      </c>
      <c r="AG107" s="605">
        <v>46434</v>
      </c>
      <c r="AH107" s="605">
        <v>46441</v>
      </c>
      <c r="AI107" s="605">
        <v>46455</v>
      </c>
      <c r="AJ107" s="605">
        <v>46471</v>
      </c>
      <c r="AK107" s="606">
        <v>18</v>
      </c>
      <c r="AL107" s="607">
        <v>126</v>
      </c>
      <c r="AM107" s="605">
        <f>IF(X107&lt;&gt;"",X107+AL107,X108+AL107)</f>
        <v>46441</v>
      </c>
      <c r="AN107" s="608">
        <f>AR106-7</f>
        <v>46469</v>
      </c>
      <c r="AO107" s="600">
        <f>AN107-AM107</f>
        <v>28</v>
      </c>
      <c r="AP107" s="609"/>
      <c r="AQ107" s="610" t="s">
        <v>66</v>
      </c>
      <c r="AR107" s="611">
        <v>46476</v>
      </c>
      <c r="AS107" s="608" t="s">
        <v>139</v>
      </c>
    </row>
    <row r="108" spans="1:45" s="548" customFormat="1" ht="24" customHeight="1">
      <c r="A108" s="615"/>
      <c r="B108" s="616" t="s">
        <v>172</v>
      </c>
      <c r="C108" s="649" t="s">
        <v>173</v>
      </c>
      <c r="D108" s="653"/>
      <c r="E108" s="618"/>
      <c r="F108" s="653"/>
      <c r="G108" s="620"/>
      <c r="H108" s="621"/>
      <c r="I108" s="620" t="s">
        <v>137</v>
      </c>
      <c r="J108" s="616" t="s">
        <v>73</v>
      </c>
      <c r="K108" s="263">
        <v>4</v>
      </c>
      <c r="L108" s="616" t="s">
        <v>8</v>
      </c>
      <c r="M108" s="622" t="s">
        <v>67</v>
      </c>
      <c r="N108" s="620"/>
      <c r="O108" s="623">
        <v>46238</v>
      </c>
      <c r="P108" s="623">
        <v>46251</v>
      </c>
      <c r="Q108" s="623">
        <v>46251</v>
      </c>
      <c r="R108" s="623">
        <f>Q108</f>
        <v>46251</v>
      </c>
      <c r="S108" s="623">
        <f>R108</f>
        <v>46251</v>
      </c>
      <c r="T108" s="623"/>
      <c r="U108" s="623"/>
      <c r="V108" s="623"/>
      <c r="W108" s="623"/>
      <c r="X108" s="620"/>
      <c r="Y108" s="623"/>
      <c r="Z108" s="623"/>
      <c r="AA108" s="623"/>
      <c r="AB108" s="623"/>
      <c r="AC108" s="623"/>
      <c r="AD108" s="623"/>
      <c r="AE108" s="623"/>
      <c r="AF108" s="623"/>
      <c r="AG108" s="623"/>
      <c r="AH108" s="623"/>
      <c r="AI108" s="623"/>
      <c r="AJ108" s="623"/>
      <c r="AK108" s="624"/>
      <c r="AL108" s="625"/>
      <c r="AM108" s="623"/>
      <c r="AN108" s="626"/>
      <c r="AO108" s="620"/>
      <c r="AP108" s="627"/>
      <c r="AQ108" s="628"/>
      <c r="AR108" s="627"/>
      <c r="AS108" s="626"/>
    </row>
    <row r="109" spans="1:45" s="548" customFormat="1" ht="24" hidden="1" customHeight="1">
      <c r="A109" s="595">
        <v>33</v>
      </c>
      <c r="B109" s="263" t="s">
        <v>174</v>
      </c>
      <c r="C109" s="263" t="s">
        <v>175</v>
      </c>
      <c r="D109" s="650"/>
      <c r="E109" s="598"/>
      <c r="F109" s="651"/>
      <c r="G109" s="600"/>
      <c r="H109" s="601"/>
      <c r="I109" s="600" t="s">
        <v>137</v>
      </c>
      <c r="J109" s="263"/>
      <c r="K109" s="602"/>
      <c r="L109" s="263" t="s">
        <v>8</v>
      </c>
      <c r="M109" s="603" t="s">
        <v>60</v>
      </c>
      <c r="N109" s="604"/>
      <c r="O109" s="605">
        <v>46227</v>
      </c>
      <c r="P109" s="605">
        <v>46209</v>
      </c>
      <c r="Q109" s="605">
        <v>46209</v>
      </c>
      <c r="R109" s="605">
        <v>46245</v>
      </c>
      <c r="S109" s="605">
        <v>46245</v>
      </c>
      <c r="T109" s="605">
        <v>46259</v>
      </c>
      <c r="U109" s="605">
        <v>46276</v>
      </c>
      <c r="V109" s="605">
        <v>46290</v>
      </c>
      <c r="W109" s="605"/>
      <c r="X109" s="605">
        <v>46310</v>
      </c>
      <c r="Y109" s="605">
        <v>46314</v>
      </c>
      <c r="Z109" s="605">
        <v>46321</v>
      </c>
      <c r="AA109" s="605">
        <v>46342</v>
      </c>
      <c r="AB109" s="605">
        <v>46356</v>
      </c>
      <c r="AC109" s="605">
        <v>46371</v>
      </c>
      <c r="AD109" s="605">
        <v>46371</v>
      </c>
      <c r="AE109" s="605">
        <v>46373</v>
      </c>
      <c r="AF109" s="605">
        <v>46415</v>
      </c>
      <c r="AG109" s="605">
        <v>46429</v>
      </c>
      <c r="AH109" s="605">
        <v>46436</v>
      </c>
      <c r="AI109" s="605">
        <v>46450</v>
      </c>
      <c r="AJ109" s="605">
        <v>46466</v>
      </c>
      <c r="AK109" s="630">
        <v>18</v>
      </c>
      <c r="AL109" s="607">
        <f>AK109*7</f>
        <v>126</v>
      </c>
      <c r="AM109" s="605">
        <f>X109+AL109</f>
        <v>46436</v>
      </c>
      <c r="AN109" s="608">
        <f>AN110</f>
        <v>46469</v>
      </c>
      <c r="AO109" s="600">
        <f>AN110-AM109</f>
        <v>33</v>
      </c>
      <c r="AP109" s="609"/>
      <c r="AQ109" s="610" t="s">
        <v>62</v>
      </c>
      <c r="AR109" s="611">
        <v>46476</v>
      </c>
      <c r="AS109" s="608"/>
    </row>
    <row r="110" spans="1:45" s="548" customFormat="1" ht="24" customHeight="1">
      <c r="A110" s="595"/>
      <c r="B110" s="263" t="s">
        <v>174</v>
      </c>
      <c r="C110" s="596" t="s">
        <v>175</v>
      </c>
      <c r="D110" s="652"/>
      <c r="E110" s="598"/>
      <c r="F110" s="652"/>
      <c r="G110" s="600"/>
      <c r="H110" s="601" t="s">
        <v>176</v>
      </c>
      <c r="I110" s="600" t="s">
        <v>137</v>
      </c>
      <c r="J110" s="263" t="s">
        <v>73</v>
      </c>
      <c r="K110" s="263">
        <v>3</v>
      </c>
      <c r="L110" s="263" t="s">
        <v>8</v>
      </c>
      <c r="M110" s="603" t="s">
        <v>65</v>
      </c>
      <c r="N110" s="605"/>
      <c r="O110" s="605"/>
      <c r="P110" s="605"/>
      <c r="Q110" s="605"/>
      <c r="R110" s="605"/>
      <c r="S110" s="605"/>
      <c r="T110" s="605"/>
      <c r="U110" s="605">
        <v>46290</v>
      </c>
      <c r="V110" s="605">
        <f>WORKDAY.INTL(U110,INDEX(V$8:V$11,MATCH($L110,$L$8:$L$11,0)),1,IF(V$18="China",'China Holidays'!$A$2:$A$82,'Thai Holidays'!$A$2:$A$63))</f>
        <v>46304</v>
      </c>
      <c r="W110" s="605"/>
      <c r="X110" s="605">
        <v>46310</v>
      </c>
      <c r="Y110" s="605">
        <v>46314</v>
      </c>
      <c r="Z110" s="605">
        <v>46321</v>
      </c>
      <c r="AA110" s="605">
        <v>46342</v>
      </c>
      <c r="AB110" s="605">
        <v>46356</v>
      </c>
      <c r="AC110" s="605">
        <v>46371</v>
      </c>
      <c r="AD110" s="605">
        <v>46371</v>
      </c>
      <c r="AE110" s="605">
        <v>46373</v>
      </c>
      <c r="AF110" s="605">
        <v>46415</v>
      </c>
      <c r="AG110" s="605">
        <v>46429</v>
      </c>
      <c r="AH110" s="605">
        <v>46436</v>
      </c>
      <c r="AI110" s="605">
        <v>46450</v>
      </c>
      <c r="AJ110" s="605">
        <v>46466</v>
      </c>
      <c r="AK110" s="606">
        <v>18</v>
      </c>
      <c r="AL110" s="607">
        <v>126</v>
      </c>
      <c r="AM110" s="605">
        <f>IF(X110&lt;&gt;"",X110+AL110,X111+AL110)</f>
        <v>46436</v>
      </c>
      <c r="AN110" s="608">
        <f>AR109-7</f>
        <v>46469</v>
      </c>
      <c r="AO110" s="600">
        <f>AN110-AM110</f>
        <v>33</v>
      </c>
      <c r="AP110" s="609"/>
      <c r="AQ110" s="610" t="s">
        <v>66</v>
      </c>
      <c r="AR110" s="611">
        <v>46476</v>
      </c>
      <c r="AS110" s="608" t="s">
        <v>139</v>
      </c>
    </row>
    <row r="111" spans="1:45" s="548" customFormat="1" ht="24" customHeight="1">
      <c r="A111" s="615"/>
      <c r="B111" s="616" t="s">
        <v>174</v>
      </c>
      <c r="C111" s="649" t="s">
        <v>175</v>
      </c>
      <c r="D111" s="653"/>
      <c r="E111" s="618"/>
      <c r="F111" s="653"/>
      <c r="G111" s="620"/>
      <c r="H111" s="621"/>
      <c r="I111" s="620" t="s">
        <v>137</v>
      </c>
      <c r="J111" s="616" t="s">
        <v>73</v>
      </c>
      <c r="K111" s="263">
        <v>3</v>
      </c>
      <c r="L111" s="616" t="s">
        <v>8</v>
      </c>
      <c r="M111" s="622" t="s">
        <v>67</v>
      </c>
      <c r="N111" s="623"/>
      <c r="O111" s="623">
        <v>46197</v>
      </c>
      <c r="P111" s="623">
        <v>46211</v>
      </c>
      <c r="Q111" s="623">
        <v>46211</v>
      </c>
      <c r="R111" s="623">
        <v>46211</v>
      </c>
      <c r="S111" s="623">
        <v>46241</v>
      </c>
      <c r="T111" s="623">
        <v>46269</v>
      </c>
      <c r="U111" s="623"/>
      <c r="V111" s="623"/>
      <c r="W111" s="623"/>
      <c r="X111" s="620"/>
      <c r="Y111" s="623"/>
      <c r="Z111" s="623"/>
      <c r="AA111" s="623"/>
      <c r="AB111" s="623"/>
      <c r="AC111" s="623"/>
      <c r="AD111" s="623"/>
      <c r="AE111" s="623"/>
      <c r="AF111" s="623"/>
      <c r="AG111" s="623"/>
      <c r="AH111" s="623"/>
      <c r="AI111" s="623"/>
      <c r="AJ111" s="623"/>
      <c r="AK111" s="624"/>
      <c r="AL111" s="625"/>
      <c r="AM111" s="623"/>
      <c r="AN111" s="626"/>
      <c r="AO111" s="620"/>
      <c r="AP111" s="627"/>
      <c r="AQ111" s="628"/>
      <c r="AR111" s="627"/>
      <c r="AS111" s="626"/>
    </row>
    <row r="112" spans="1:45" s="548" customFormat="1" ht="24" hidden="1" customHeight="1">
      <c r="A112" s="595">
        <v>34</v>
      </c>
      <c r="B112" s="263" t="s">
        <v>177</v>
      </c>
      <c r="C112" s="263" t="s">
        <v>178</v>
      </c>
      <c r="D112" s="650"/>
      <c r="E112" s="598"/>
      <c r="F112" s="651"/>
      <c r="G112" s="600"/>
      <c r="H112" s="601"/>
      <c r="I112" s="600" t="s">
        <v>137</v>
      </c>
      <c r="J112" s="263"/>
      <c r="K112" s="602"/>
      <c r="L112" s="263" t="s">
        <v>8</v>
      </c>
      <c r="M112" s="603" t="s">
        <v>60</v>
      </c>
      <c r="N112" s="604"/>
      <c r="O112" s="605">
        <v>46227</v>
      </c>
      <c r="P112" s="605">
        <v>46209</v>
      </c>
      <c r="Q112" s="605">
        <v>46209</v>
      </c>
      <c r="R112" s="605">
        <v>46245</v>
      </c>
      <c r="S112" s="605">
        <v>46245</v>
      </c>
      <c r="T112" s="605">
        <v>46259</v>
      </c>
      <c r="U112" s="605">
        <v>46276</v>
      </c>
      <c r="V112" s="605">
        <v>46290</v>
      </c>
      <c r="W112" s="605"/>
      <c r="X112" s="605">
        <v>46310</v>
      </c>
      <c r="Y112" s="605">
        <v>46275</v>
      </c>
      <c r="Z112" s="605">
        <v>46282</v>
      </c>
      <c r="AA112" s="605">
        <v>46342</v>
      </c>
      <c r="AB112" s="605">
        <v>46356</v>
      </c>
      <c r="AC112" s="605">
        <v>46371</v>
      </c>
      <c r="AD112" s="605">
        <f>AC112+3</f>
        <v>46374</v>
      </c>
      <c r="AE112" s="605">
        <f>AD112+1</f>
        <v>46375</v>
      </c>
      <c r="AF112" s="605">
        <v>46415</v>
      </c>
      <c r="AG112" s="605">
        <v>46429</v>
      </c>
      <c r="AH112" s="605">
        <v>46436</v>
      </c>
      <c r="AI112" s="605">
        <v>46450</v>
      </c>
      <c r="AJ112" s="605">
        <v>46466</v>
      </c>
      <c r="AK112" s="630">
        <v>18</v>
      </c>
      <c r="AL112" s="607">
        <f>AK112*7</f>
        <v>126</v>
      </c>
      <c r="AM112" s="605">
        <f>X112+AL112</f>
        <v>46436</v>
      </c>
      <c r="AN112" s="608">
        <f>AN113</f>
        <v>46469</v>
      </c>
      <c r="AO112" s="600">
        <f>AN113-AM112</f>
        <v>33</v>
      </c>
      <c r="AP112" s="609"/>
      <c r="AQ112" s="610" t="s">
        <v>62</v>
      </c>
      <c r="AR112" s="611">
        <v>46476</v>
      </c>
      <c r="AS112" s="608"/>
    </row>
    <row r="113" spans="1:45" s="548" customFormat="1" ht="24" customHeight="1">
      <c r="A113" s="595"/>
      <c r="B113" s="263" t="s">
        <v>177</v>
      </c>
      <c r="C113" s="596" t="s">
        <v>178</v>
      </c>
      <c r="D113" s="652"/>
      <c r="E113" s="598"/>
      <c r="F113" s="652"/>
      <c r="G113" s="600"/>
      <c r="H113" s="601" t="s">
        <v>167</v>
      </c>
      <c r="I113" s="600" t="s">
        <v>137</v>
      </c>
      <c r="J113" s="263" t="s">
        <v>73</v>
      </c>
      <c r="K113" s="263">
        <v>4</v>
      </c>
      <c r="L113" s="263" t="s">
        <v>8</v>
      </c>
      <c r="M113" s="603" t="s">
        <v>65</v>
      </c>
      <c r="N113" s="605"/>
      <c r="O113" s="605"/>
      <c r="P113" s="605"/>
      <c r="Q113" s="605"/>
      <c r="R113" s="605"/>
      <c r="S113" s="605"/>
      <c r="T113" s="605"/>
      <c r="U113" s="605">
        <v>46290</v>
      </c>
      <c r="V113" s="605">
        <f>WORKDAY.INTL(U113,INDEX(V$8:V$11,MATCH($L113,$L$8:$L$11,0)),1,IF(V$18="China",'China Holidays'!$A$2:$A$82,'Thai Holidays'!$A$2:$A$63))</f>
        <v>46304</v>
      </c>
      <c r="W113" s="605"/>
      <c r="X113" s="605">
        <v>46310</v>
      </c>
      <c r="Y113" s="605">
        <v>46314</v>
      </c>
      <c r="Z113" s="605">
        <v>46321</v>
      </c>
      <c r="AA113" s="605">
        <v>46342</v>
      </c>
      <c r="AB113" s="605">
        <v>46356</v>
      </c>
      <c r="AC113" s="605">
        <v>46371</v>
      </c>
      <c r="AD113" s="605">
        <v>46371</v>
      </c>
      <c r="AE113" s="605">
        <v>46373</v>
      </c>
      <c r="AF113" s="605">
        <v>46415</v>
      </c>
      <c r="AG113" s="605">
        <v>46429</v>
      </c>
      <c r="AH113" s="605">
        <v>46436</v>
      </c>
      <c r="AI113" s="605">
        <v>46450</v>
      </c>
      <c r="AJ113" s="605">
        <v>46466</v>
      </c>
      <c r="AK113" s="606">
        <v>18</v>
      </c>
      <c r="AL113" s="607">
        <v>126</v>
      </c>
      <c r="AM113" s="605">
        <f>IF(X113&lt;&gt;"",X113+AL113,X114+AL113)</f>
        <v>46436</v>
      </c>
      <c r="AN113" s="608">
        <f>AR112-7</f>
        <v>46469</v>
      </c>
      <c r="AO113" s="600">
        <f>AN113-AM113</f>
        <v>33</v>
      </c>
      <c r="AP113" s="609"/>
      <c r="AQ113" s="610" t="s">
        <v>66</v>
      </c>
      <c r="AR113" s="611">
        <v>46476</v>
      </c>
      <c r="AS113" s="608" t="s">
        <v>139</v>
      </c>
    </row>
    <row r="114" spans="1:45" s="548" customFormat="1" ht="24" customHeight="1">
      <c r="A114" s="615"/>
      <c r="B114" s="616" t="s">
        <v>177</v>
      </c>
      <c r="C114" s="649" t="s">
        <v>178</v>
      </c>
      <c r="D114" s="653"/>
      <c r="E114" s="618"/>
      <c r="F114" s="653"/>
      <c r="G114" s="620"/>
      <c r="H114" s="621"/>
      <c r="I114" s="620" t="s">
        <v>137</v>
      </c>
      <c r="J114" s="616" t="s">
        <v>73</v>
      </c>
      <c r="K114" s="263">
        <v>4</v>
      </c>
      <c r="L114" s="616" t="s">
        <v>8</v>
      </c>
      <c r="M114" s="622" t="s">
        <v>67</v>
      </c>
      <c r="N114" s="623"/>
      <c r="O114" s="623">
        <v>46203</v>
      </c>
      <c r="P114" s="623">
        <v>46225</v>
      </c>
      <c r="Q114" s="623">
        <v>46225</v>
      </c>
      <c r="R114" s="623">
        <f>Q114</f>
        <v>46225</v>
      </c>
      <c r="S114" s="623">
        <v>46225</v>
      </c>
      <c r="T114" s="623">
        <v>46269</v>
      </c>
      <c r="U114" s="623"/>
      <c r="V114" s="623"/>
      <c r="W114" s="623"/>
      <c r="X114" s="620"/>
      <c r="Y114" s="623"/>
      <c r="Z114" s="623"/>
      <c r="AA114" s="623"/>
      <c r="AB114" s="623"/>
      <c r="AC114" s="623"/>
      <c r="AD114" s="623"/>
      <c r="AE114" s="623"/>
      <c r="AF114" s="623"/>
      <c r="AG114" s="623"/>
      <c r="AH114" s="623"/>
      <c r="AI114" s="623"/>
      <c r="AJ114" s="623"/>
      <c r="AK114" s="624"/>
      <c r="AL114" s="625"/>
      <c r="AM114" s="623"/>
      <c r="AN114" s="626"/>
      <c r="AO114" s="620"/>
      <c r="AP114" s="627"/>
      <c r="AQ114" s="628"/>
      <c r="AR114" s="627"/>
      <c r="AS114" s="626"/>
    </row>
    <row r="115" spans="1:45" s="548" customFormat="1" ht="24" hidden="1" customHeight="1">
      <c r="A115" s="595">
        <v>35</v>
      </c>
      <c r="B115" s="263" t="s">
        <v>179</v>
      </c>
      <c r="C115" s="263" t="s">
        <v>180</v>
      </c>
      <c r="D115" s="650"/>
      <c r="E115" s="598"/>
      <c r="F115" s="651"/>
      <c r="G115" s="600"/>
      <c r="H115" s="601"/>
      <c r="I115" s="600" t="s">
        <v>137</v>
      </c>
      <c r="J115" s="263"/>
      <c r="K115" s="602"/>
      <c r="L115" s="263" t="s">
        <v>8</v>
      </c>
      <c r="M115" s="603" t="s">
        <v>60</v>
      </c>
      <c r="N115" s="604"/>
      <c r="O115" s="605">
        <v>46239</v>
      </c>
      <c r="P115" s="605">
        <v>46254</v>
      </c>
      <c r="Q115" s="605">
        <v>46254</v>
      </c>
      <c r="R115" s="605">
        <v>46254</v>
      </c>
      <c r="S115" s="605">
        <v>46254</v>
      </c>
      <c r="T115" s="605">
        <v>46268</v>
      </c>
      <c r="U115" s="605">
        <v>46287</v>
      </c>
      <c r="V115" s="605">
        <v>46301</v>
      </c>
      <c r="W115" s="605"/>
      <c r="X115" s="605">
        <v>46316</v>
      </c>
      <c r="Y115" s="605">
        <v>46318</v>
      </c>
      <c r="Z115" s="605">
        <v>46325</v>
      </c>
      <c r="AA115" s="605">
        <v>46346</v>
      </c>
      <c r="AB115" s="605">
        <v>46360</v>
      </c>
      <c r="AC115" s="605">
        <v>46375</v>
      </c>
      <c r="AD115" s="605">
        <v>46375</v>
      </c>
      <c r="AE115" s="605">
        <v>46377</v>
      </c>
      <c r="AF115" s="605">
        <v>46421</v>
      </c>
      <c r="AG115" s="605">
        <v>46435</v>
      </c>
      <c r="AH115" s="605">
        <v>46442</v>
      </c>
      <c r="AI115" s="605">
        <v>46456</v>
      </c>
      <c r="AJ115" s="605">
        <v>46472</v>
      </c>
      <c r="AK115" s="630">
        <v>18</v>
      </c>
      <c r="AL115" s="607">
        <f>AK115*7</f>
        <v>126</v>
      </c>
      <c r="AM115" s="605">
        <f>X115+AL115</f>
        <v>46442</v>
      </c>
      <c r="AN115" s="608">
        <f>AN116</f>
        <v>46469</v>
      </c>
      <c r="AO115" s="600">
        <f>AN116-AM115</f>
        <v>27</v>
      </c>
      <c r="AP115" s="609"/>
      <c r="AQ115" s="610" t="s">
        <v>62</v>
      </c>
      <c r="AR115" s="611">
        <v>46476</v>
      </c>
      <c r="AS115" s="608"/>
    </row>
    <row r="116" spans="1:45" s="548" customFormat="1" ht="24" customHeight="1">
      <c r="A116" s="595"/>
      <c r="B116" s="263" t="s">
        <v>179</v>
      </c>
      <c r="C116" s="596" t="s">
        <v>180</v>
      </c>
      <c r="D116" s="652"/>
      <c r="E116" s="598"/>
      <c r="F116" s="652"/>
      <c r="G116" s="600"/>
      <c r="H116" s="601" t="s">
        <v>181</v>
      </c>
      <c r="I116" s="600" t="s">
        <v>137</v>
      </c>
      <c r="J116" s="263" t="s">
        <v>73</v>
      </c>
      <c r="K116" s="263">
        <v>4</v>
      </c>
      <c r="L116" s="263" t="s">
        <v>8</v>
      </c>
      <c r="M116" s="603" t="s">
        <v>65</v>
      </c>
      <c r="N116" s="605"/>
      <c r="O116" s="605"/>
      <c r="P116" s="605"/>
      <c r="Q116" s="605"/>
      <c r="R116" s="605"/>
      <c r="S116" s="605"/>
      <c r="T116" s="605"/>
      <c r="U116" s="605">
        <v>46290</v>
      </c>
      <c r="V116" s="605">
        <f>WORKDAY.INTL(U116,INDEX(V$8:V$11,MATCH($L116,$L$8:$L$11,0)),1,IF(V$18="China",'China Holidays'!$A$2:$A$82,'Thai Holidays'!$A$2:$A$63))</f>
        <v>46304</v>
      </c>
      <c r="W116" s="605"/>
      <c r="X116" s="605">
        <v>46315</v>
      </c>
      <c r="Y116" s="605">
        <v>46317</v>
      </c>
      <c r="Z116" s="605">
        <v>46324</v>
      </c>
      <c r="AA116" s="605">
        <v>46345</v>
      </c>
      <c r="AB116" s="605">
        <v>46359</v>
      </c>
      <c r="AC116" s="605">
        <v>46374</v>
      </c>
      <c r="AD116" s="605">
        <v>46374</v>
      </c>
      <c r="AE116" s="605">
        <v>46376</v>
      </c>
      <c r="AF116" s="605">
        <v>46420</v>
      </c>
      <c r="AG116" s="605">
        <v>46434</v>
      </c>
      <c r="AH116" s="605">
        <v>46441</v>
      </c>
      <c r="AI116" s="605">
        <v>46455</v>
      </c>
      <c r="AJ116" s="605">
        <v>46471</v>
      </c>
      <c r="AK116" s="606">
        <v>18</v>
      </c>
      <c r="AL116" s="607">
        <v>126</v>
      </c>
      <c r="AM116" s="605">
        <f>IF(X116&lt;&gt;"",X116+AL116,X117+AL116)</f>
        <v>46441</v>
      </c>
      <c r="AN116" s="608">
        <f>AR115-7</f>
        <v>46469</v>
      </c>
      <c r="AO116" s="600">
        <f>AN116-AM116</f>
        <v>28</v>
      </c>
      <c r="AP116" s="609"/>
      <c r="AQ116" s="610" t="s">
        <v>66</v>
      </c>
      <c r="AR116" s="611">
        <v>46479</v>
      </c>
      <c r="AS116" s="608" t="s">
        <v>139</v>
      </c>
    </row>
    <row r="117" spans="1:45" s="548" customFormat="1" ht="24" customHeight="1">
      <c r="A117" s="615"/>
      <c r="B117" s="616" t="s">
        <v>179</v>
      </c>
      <c r="C117" s="649" t="s">
        <v>180</v>
      </c>
      <c r="D117" s="653"/>
      <c r="E117" s="618"/>
      <c r="F117" s="653"/>
      <c r="G117" s="620"/>
      <c r="H117" s="621"/>
      <c r="I117" s="620" t="s">
        <v>137</v>
      </c>
      <c r="J117" s="616" t="s">
        <v>73</v>
      </c>
      <c r="K117" s="263">
        <v>4</v>
      </c>
      <c r="L117" s="616" t="s">
        <v>8</v>
      </c>
      <c r="M117" s="622" t="s">
        <v>67</v>
      </c>
      <c r="N117" s="620"/>
      <c r="O117" s="623">
        <v>46240</v>
      </c>
      <c r="P117" s="623">
        <v>46259</v>
      </c>
      <c r="Q117" s="623">
        <v>46259</v>
      </c>
      <c r="R117" s="623">
        <v>46259</v>
      </c>
      <c r="S117" s="623">
        <v>46244</v>
      </c>
      <c r="T117" s="623">
        <v>46258</v>
      </c>
      <c r="U117" s="623"/>
      <c r="V117" s="623"/>
      <c r="W117" s="623"/>
      <c r="X117" s="620"/>
      <c r="Y117" s="623"/>
      <c r="Z117" s="623"/>
      <c r="AA117" s="623"/>
      <c r="AB117" s="623"/>
      <c r="AC117" s="623"/>
      <c r="AD117" s="623"/>
      <c r="AE117" s="623"/>
      <c r="AF117" s="623"/>
      <c r="AG117" s="623"/>
      <c r="AH117" s="623"/>
      <c r="AI117" s="623"/>
      <c r="AJ117" s="623"/>
      <c r="AK117" s="624"/>
      <c r="AL117" s="625"/>
      <c r="AM117" s="623"/>
      <c r="AN117" s="626"/>
      <c r="AO117" s="620"/>
      <c r="AP117" s="627"/>
      <c r="AQ117" s="628"/>
      <c r="AR117" s="627"/>
      <c r="AS117" s="626"/>
    </row>
    <row r="118" spans="1:45" s="548" customFormat="1" ht="24" hidden="1" customHeight="1">
      <c r="A118" s="595">
        <v>36</v>
      </c>
      <c r="B118" s="263" t="s">
        <v>182</v>
      </c>
      <c r="C118" s="263" t="s">
        <v>183</v>
      </c>
      <c r="D118" s="650"/>
      <c r="E118" s="598"/>
      <c r="F118" s="651"/>
      <c r="G118" s="600"/>
      <c r="H118" s="601"/>
      <c r="I118" s="600" t="s">
        <v>137</v>
      </c>
      <c r="J118" s="263"/>
      <c r="K118" s="602"/>
      <c r="L118" s="263" t="s">
        <v>8</v>
      </c>
      <c r="M118" s="603" t="s">
        <v>60</v>
      </c>
      <c r="N118" s="604"/>
      <c r="O118" s="605">
        <v>46227</v>
      </c>
      <c r="P118" s="605">
        <v>46245</v>
      </c>
      <c r="Q118" s="605">
        <v>46245</v>
      </c>
      <c r="R118" s="605">
        <v>46245</v>
      </c>
      <c r="S118" s="605">
        <v>46245</v>
      </c>
      <c r="T118" s="605">
        <v>46251</v>
      </c>
      <c r="U118" s="605">
        <v>46276</v>
      </c>
      <c r="V118" s="605">
        <v>46290</v>
      </c>
      <c r="W118" s="605"/>
      <c r="X118" s="605">
        <v>46310</v>
      </c>
      <c r="Y118" s="605">
        <v>46294</v>
      </c>
      <c r="Z118" s="605">
        <v>46308</v>
      </c>
      <c r="AA118" s="605">
        <v>46342</v>
      </c>
      <c r="AB118" s="605">
        <v>46356</v>
      </c>
      <c r="AC118" s="605">
        <v>46371</v>
      </c>
      <c r="AD118" s="605">
        <f>AC118+3</f>
        <v>46374</v>
      </c>
      <c r="AE118" s="605">
        <f>AD118+1</f>
        <v>46375</v>
      </c>
      <c r="AF118" s="605">
        <v>46443</v>
      </c>
      <c r="AG118" s="605">
        <v>46457</v>
      </c>
      <c r="AH118" s="605">
        <v>46464</v>
      </c>
      <c r="AI118" s="605">
        <v>46478</v>
      </c>
      <c r="AJ118" s="605">
        <v>46494</v>
      </c>
      <c r="AK118" s="630">
        <v>22</v>
      </c>
      <c r="AL118" s="607">
        <f>AK118*7</f>
        <v>154</v>
      </c>
      <c r="AM118" s="605">
        <f>X118+AL118</f>
        <v>46464</v>
      </c>
      <c r="AN118" s="608">
        <f>AN119</f>
        <v>46485</v>
      </c>
      <c r="AO118" s="600">
        <f>AN119-AM118</f>
        <v>21</v>
      </c>
      <c r="AP118" s="609"/>
      <c r="AQ118" s="610" t="s">
        <v>62</v>
      </c>
      <c r="AR118" s="611">
        <v>46492</v>
      </c>
      <c r="AS118" s="608"/>
    </row>
    <row r="119" spans="1:45" s="548" customFormat="1" ht="24" customHeight="1">
      <c r="A119" s="595"/>
      <c r="B119" s="263" t="s">
        <v>182</v>
      </c>
      <c r="C119" s="596" t="s">
        <v>184</v>
      </c>
      <c r="D119" s="652"/>
      <c r="E119" s="598"/>
      <c r="F119" s="652"/>
      <c r="G119" s="600"/>
      <c r="H119" s="601" t="s">
        <v>167</v>
      </c>
      <c r="I119" s="600" t="s">
        <v>137</v>
      </c>
      <c r="J119" s="263" t="s">
        <v>73</v>
      </c>
      <c r="K119" s="263">
        <v>4</v>
      </c>
      <c r="L119" s="263" t="s">
        <v>8</v>
      </c>
      <c r="M119" s="603" t="s">
        <v>65</v>
      </c>
      <c r="N119" s="605"/>
      <c r="O119" s="605"/>
      <c r="P119" s="605"/>
      <c r="Q119" s="605"/>
      <c r="R119" s="605"/>
      <c r="S119" s="605"/>
      <c r="T119" s="605"/>
      <c r="U119" s="605">
        <v>46290</v>
      </c>
      <c r="V119" s="605">
        <f>WORKDAY.INTL(U119,INDEX(V$8:V$11,MATCH($L119,$L$8:$L$11,0)),1,IF(V$18="China",'China Holidays'!$A$2:$A$82,'Thai Holidays'!$A$2:$A$63))</f>
        <v>46304</v>
      </c>
      <c r="W119" s="605"/>
      <c r="X119" s="605">
        <v>46310</v>
      </c>
      <c r="Y119" s="605">
        <v>46314</v>
      </c>
      <c r="Z119" s="605">
        <v>46321</v>
      </c>
      <c r="AA119" s="605">
        <v>46342</v>
      </c>
      <c r="AB119" s="605">
        <v>46356</v>
      </c>
      <c r="AC119" s="605">
        <v>46371</v>
      </c>
      <c r="AD119" s="605">
        <v>46371</v>
      </c>
      <c r="AE119" s="605">
        <v>46373</v>
      </c>
      <c r="AF119" s="605">
        <v>46443</v>
      </c>
      <c r="AG119" s="605">
        <v>46457</v>
      </c>
      <c r="AH119" s="605">
        <v>46464</v>
      </c>
      <c r="AI119" s="605">
        <v>46478</v>
      </c>
      <c r="AJ119" s="605">
        <v>46494</v>
      </c>
      <c r="AK119" s="606">
        <v>22</v>
      </c>
      <c r="AL119" s="607">
        <v>154</v>
      </c>
      <c r="AM119" s="605">
        <f>IF(X119&lt;&gt;"",X119+AL119,X120+AL119)</f>
        <v>46464</v>
      </c>
      <c r="AN119" s="608">
        <f>AR118-7</f>
        <v>46485</v>
      </c>
      <c r="AO119" s="600">
        <f>AN119-AM119</f>
        <v>21</v>
      </c>
      <c r="AP119" s="609"/>
      <c r="AQ119" s="610" t="s">
        <v>66</v>
      </c>
      <c r="AR119" s="611">
        <v>46492</v>
      </c>
      <c r="AS119" s="608" t="s">
        <v>139</v>
      </c>
    </row>
    <row r="120" spans="1:45" s="548" customFormat="1" ht="24" customHeight="1">
      <c r="A120" s="615"/>
      <c r="B120" s="616" t="s">
        <v>182</v>
      </c>
      <c r="C120" s="649" t="s">
        <v>184</v>
      </c>
      <c r="D120" s="653"/>
      <c r="E120" s="618"/>
      <c r="F120" s="653"/>
      <c r="G120" s="620"/>
      <c r="H120" s="621"/>
      <c r="I120" s="620" t="s">
        <v>137</v>
      </c>
      <c r="J120" s="616" t="s">
        <v>73</v>
      </c>
      <c r="K120" s="263">
        <v>4</v>
      </c>
      <c r="L120" s="616" t="s">
        <v>8</v>
      </c>
      <c r="M120" s="622" t="s">
        <v>67</v>
      </c>
      <c r="N120" s="620"/>
      <c r="O120" s="623">
        <v>46206</v>
      </c>
      <c r="P120" s="623">
        <v>46225</v>
      </c>
      <c r="Q120" s="623">
        <v>46225</v>
      </c>
      <c r="R120" s="623">
        <f>Q120</f>
        <v>46225</v>
      </c>
      <c r="S120" s="623">
        <v>46241</v>
      </c>
      <c r="T120" s="623">
        <v>46266</v>
      </c>
      <c r="U120" s="623"/>
      <c r="V120" s="623"/>
      <c r="W120" s="623"/>
      <c r="X120" s="620"/>
      <c r="Y120" s="623"/>
      <c r="Z120" s="623"/>
      <c r="AA120" s="623"/>
      <c r="AB120" s="623"/>
      <c r="AC120" s="623"/>
      <c r="AD120" s="623"/>
      <c r="AE120" s="623"/>
      <c r="AF120" s="623"/>
      <c r="AG120" s="623"/>
      <c r="AH120" s="623"/>
      <c r="AI120" s="623"/>
      <c r="AJ120" s="623"/>
      <c r="AK120" s="624"/>
      <c r="AL120" s="625"/>
      <c r="AM120" s="623"/>
      <c r="AN120" s="626"/>
      <c r="AO120" s="620"/>
      <c r="AP120" s="627"/>
      <c r="AQ120" s="628"/>
      <c r="AR120" s="627"/>
      <c r="AS120" s="626"/>
    </row>
    <row r="121" spans="1:45" s="548" customFormat="1" ht="24" hidden="1" customHeight="1">
      <c r="A121" s="595">
        <v>37</v>
      </c>
      <c r="B121" s="263" t="s">
        <v>185</v>
      </c>
      <c r="C121" s="263" t="s">
        <v>186</v>
      </c>
      <c r="D121" s="597"/>
      <c r="E121" s="598"/>
      <c r="F121" s="599"/>
      <c r="G121" s="600"/>
      <c r="H121" s="601"/>
      <c r="I121" s="600" t="s">
        <v>137</v>
      </c>
      <c r="J121" s="263"/>
      <c r="K121" s="602"/>
      <c r="L121" s="263" t="s">
        <v>7</v>
      </c>
      <c r="M121" s="603" t="s">
        <v>60</v>
      </c>
      <c r="N121" s="604"/>
      <c r="O121" s="605">
        <v>46161</v>
      </c>
      <c r="P121" s="605">
        <v>46169</v>
      </c>
      <c r="Q121" s="605">
        <v>46169</v>
      </c>
      <c r="R121" s="605">
        <v>46178</v>
      </c>
      <c r="S121" s="605">
        <v>46179</v>
      </c>
      <c r="T121" s="605">
        <v>46195</v>
      </c>
      <c r="U121" s="605">
        <v>46223</v>
      </c>
      <c r="V121" s="605">
        <v>46226</v>
      </c>
      <c r="W121" s="605"/>
      <c r="X121" s="605">
        <v>46240</v>
      </c>
      <c r="Y121" s="605">
        <v>46244</v>
      </c>
      <c r="Z121" s="605">
        <v>46251</v>
      </c>
      <c r="AA121" s="605">
        <v>46279</v>
      </c>
      <c r="AB121" s="605">
        <v>46293</v>
      </c>
      <c r="AC121" s="605">
        <v>46308</v>
      </c>
      <c r="AD121" s="605">
        <v>46308</v>
      </c>
      <c r="AE121" s="605">
        <v>46310</v>
      </c>
      <c r="AF121" s="605">
        <v>46448</v>
      </c>
      <c r="AG121" s="605">
        <v>46478</v>
      </c>
      <c r="AH121" s="605">
        <v>46492</v>
      </c>
      <c r="AI121" s="605">
        <v>46506</v>
      </c>
      <c r="AJ121" s="605">
        <v>46522</v>
      </c>
      <c r="AK121" s="630">
        <v>36</v>
      </c>
      <c r="AL121" s="607">
        <f>AK121*7</f>
        <v>252</v>
      </c>
      <c r="AM121" s="605">
        <f>X121+AL121</f>
        <v>46492</v>
      </c>
      <c r="AN121" s="608">
        <f>AN122</f>
        <v>46505</v>
      </c>
      <c r="AO121" s="600">
        <f>AN122-AM121</f>
        <v>13</v>
      </c>
      <c r="AP121" s="609"/>
      <c r="AQ121" s="610" t="s">
        <v>62</v>
      </c>
      <c r="AR121" s="611">
        <v>46512</v>
      </c>
      <c r="AS121" s="608"/>
    </row>
    <row r="122" spans="1:45" s="548" customFormat="1" ht="24" customHeight="1">
      <c r="A122" s="595"/>
      <c r="B122" s="263" t="s">
        <v>185</v>
      </c>
      <c r="C122" s="263" t="s">
        <v>186</v>
      </c>
      <c r="D122" s="597"/>
      <c r="E122" s="598"/>
      <c r="F122" s="629"/>
      <c r="G122" s="600"/>
      <c r="H122" s="601" t="s">
        <v>187</v>
      </c>
      <c r="I122" s="600" t="s">
        <v>137</v>
      </c>
      <c r="J122" s="263" t="s">
        <v>73</v>
      </c>
      <c r="K122" s="263">
        <v>2</v>
      </c>
      <c r="L122" s="263" t="s">
        <v>7</v>
      </c>
      <c r="M122" s="603" t="s">
        <v>65</v>
      </c>
      <c r="N122" s="605"/>
      <c r="O122" s="605"/>
      <c r="P122" s="605"/>
      <c r="Q122" s="605"/>
      <c r="R122" s="605"/>
      <c r="S122" s="605"/>
      <c r="T122" s="605"/>
      <c r="U122" s="605"/>
      <c r="V122" s="605"/>
      <c r="W122" s="605"/>
      <c r="X122" s="605">
        <v>46240</v>
      </c>
      <c r="Y122" s="605">
        <v>46244</v>
      </c>
      <c r="Z122" s="605">
        <v>46251</v>
      </c>
      <c r="AA122" s="605">
        <v>46279</v>
      </c>
      <c r="AB122" s="612">
        <v>46325</v>
      </c>
      <c r="AC122" s="612">
        <v>46409</v>
      </c>
      <c r="AD122" s="612">
        <v>46044</v>
      </c>
      <c r="AE122" s="612">
        <v>46410</v>
      </c>
      <c r="AF122" s="612">
        <v>46077</v>
      </c>
      <c r="AG122" s="612">
        <v>46478</v>
      </c>
      <c r="AH122" s="605">
        <v>46500</v>
      </c>
      <c r="AI122" s="605">
        <v>46514</v>
      </c>
      <c r="AJ122" s="605">
        <v>46530</v>
      </c>
      <c r="AK122" s="606">
        <v>34.428571428571402</v>
      </c>
      <c r="AL122" s="607">
        <v>241</v>
      </c>
      <c r="AM122" s="613">
        <v>46504</v>
      </c>
      <c r="AN122" s="608">
        <f>AR121-7</f>
        <v>46505</v>
      </c>
      <c r="AO122" s="600">
        <f>AN122-AM122</f>
        <v>1</v>
      </c>
      <c r="AP122" s="609"/>
      <c r="AQ122" s="610" t="s">
        <v>66</v>
      </c>
      <c r="AR122" s="611">
        <v>46512</v>
      </c>
      <c r="AS122" s="608"/>
    </row>
    <row r="123" spans="1:45" s="548" customFormat="1" ht="24" customHeight="1">
      <c r="A123" s="615"/>
      <c r="B123" s="616" t="s">
        <v>185</v>
      </c>
      <c r="C123" s="649" t="s">
        <v>186</v>
      </c>
      <c r="D123" s="617"/>
      <c r="E123" s="618"/>
      <c r="F123" s="631"/>
      <c r="G123" s="620"/>
      <c r="H123" s="621"/>
      <c r="I123" s="620" t="s">
        <v>137</v>
      </c>
      <c r="J123" s="616" t="s">
        <v>73</v>
      </c>
      <c r="K123" s="263">
        <v>2</v>
      </c>
      <c r="L123" s="616" t="s">
        <v>7</v>
      </c>
      <c r="M123" s="622" t="s">
        <v>67</v>
      </c>
      <c r="N123" s="623">
        <v>46133</v>
      </c>
      <c r="O123" s="623">
        <v>46165</v>
      </c>
      <c r="P123" s="623">
        <v>46182</v>
      </c>
      <c r="Q123" s="623">
        <v>46182</v>
      </c>
      <c r="R123" s="623">
        <v>46182</v>
      </c>
      <c r="S123" s="623">
        <v>46182</v>
      </c>
      <c r="T123" s="623">
        <v>46188</v>
      </c>
      <c r="U123" s="623">
        <v>46213</v>
      </c>
      <c r="V123" s="623">
        <v>46219</v>
      </c>
      <c r="W123" s="655">
        <v>46259</v>
      </c>
      <c r="X123" s="620"/>
      <c r="Y123" s="623"/>
      <c r="Z123" s="623">
        <v>46267</v>
      </c>
      <c r="AA123" s="623">
        <f>Z123+1</f>
        <v>46268</v>
      </c>
      <c r="AB123" s="623"/>
      <c r="AC123" s="623"/>
      <c r="AD123" s="623"/>
      <c r="AE123" s="623"/>
      <c r="AF123" s="623"/>
      <c r="AG123" s="623"/>
      <c r="AH123" s="623"/>
      <c r="AI123" s="623"/>
      <c r="AJ123" s="623"/>
      <c r="AK123" s="624"/>
      <c r="AL123" s="625"/>
      <c r="AM123" s="623"/>
      <c r="AN123" s="626"/>
      <c r="AO123" s="620"/>
      <c r="AP123" s="627"/>
      <c r="AQ123" s="628"/>
      <c r="AR123" s="627"/>
      <c r="AS123" s="626"/>
    </row>
    <row r="124" spans="1:45" s="548" customFormat="1" ht="24" hidden="1" customHeight="1">
      <c r="A124" s="595">
        <v>38</v>
      </c>
      <c r="B124" s="263" t="s">
        <v>188</v>
      </c>
      <c r="C124" s="263" t="s">
        <v>189</v>
      </c>
      <c r="D124" s="650"/>
      <c r="E124" s="598"/>
      <c r="F124" s="651"/>
      <c r="G124" s="600"/>
      <c r="H124" s="601"/>
      <c r="I124" s="600" t="s">
        <v>137</v>
      </c>
      <c r="J124" s="263"/>
      <c r="K124" s="602"/>
      <c r="L124" s="263" t="s">
        <v>8</v>
      </c>
      <c r="M124" s="603" t="s">
        <v>60</v>
      </c>
      <c r="N124" s="604"/>
      <c r="O124" s="605">
        <v>46244</v>
      </c>
      <c r="P124" s="605">
        <v>46258</v>
      </c>
      <c r="Q124" s="605">
        <v>46258</v>
      </c>
      <c r="R124" s="605">
        <v>46260</v>
      </c>
      <c r="S124" s="605">
        <v>46261</v>
      </c>
      <c r="T124" s="605">
        <v>46274</v>
      </c>
      <c r="U124" s="605">
        <v>46289</v>
      </c>
      <c r="V124" s="605">
        <v>46303</v>
      </c>
      <c r="W124" s="605"/>
      <c r="X124" s="605">
        <v>46316</v>
      </c>
      <c r="Y124" s="605">
        <v>46318</v>
      </c>
      <c r="Z124" s="605">
        <v>46325</v>
      </c>
      <c r="AA124" s="605">
        <v>46346</v>
      </c>
      <c r="AB124" s="605">
        <v>46360</v>
      </c>
      <c r="AC124" s="605">
        <v>46375</v>
      </c>
      <c r="AD124" s="605">
        <v>46375</v>
      </c>
      <c r="AE124" s="605">
        <v>46377</v>
      </c>
      <c r="AF124" s="605">
        <v>46426</v>
      </c>
      <c r="AG124" s="605">
        <v>46440</v>
      </c>
      <c r="AH124" s="605">
        <v>46447</v>
      </c>
      <c r="AI124" s="605">
        <v>46461</v>
      </c>
      <c r="AJ124" s="605">
        <v>46477</v>
      </c>
      <c r="AK124" s="630">
        <v>18.714285714285701</v>
      </c>
      <c r="AL124" s="607">
        <f>AK124*7</f>
        <v>130.99999999999991</v>
      </c>
      <c r="AM124" s="605">
        <f>X124+AL124</f>
        <v>46447</v>
      </c>
      <c r="AN124" s="608">
        <f>AN125</f>
        <v>46484</v>
      </c>
      <c r="AO124" s="600">
        <f>AN125-AM124</f>
        <v>37</v>
      </c>
      <c r="AP124" s="609"/>
      <c r="AQ124" s="610" t="s">
        <v>62</v>
      </c>
      <c r="AR124" s="611">
        <v>46491</v>
      </c>
      <c r="AS124" s="608"/>
    </row>
    <row r="125" spans="1:45" s="548" customFormat="1" ht="24" customHeight="1">
      <c r="A125" s="595"/>
      <c r="B125" s="263" t="s">
        <v>188</v>
      </c>
      <c r="C125" s="596" t="s">
        <v>189</v>
      </c>
      <c r="D125" s="652"/>
      <c r="E125" s="598"/>
      <c r="F125" s="652"/>
      <c r="G125" s="600"/>
      <c r="H125" s="601" t="s">
        <v>190</v>
      </c>
      <c r="I125" s="600" t="s">
        <v>137</v>
      </c>
      <c r="J125" s="263" t="s">
        <v>73</v>
      </c>
      <c r="K125" s="263">
        <v>4</v>
      </c>
      <c r="L125" s="263" t="s">
        <v>8</v>
      </c>
      <c r="M125" s="603" t="s">
        <v>65</v>
      </c>
      <c r="N125" s="605"/>
      <c r="O125" s="605"/>
      <c r="P125" s="605"/>
      <c r="Q125" s="605"/>
      <c r="R125" s="605"/>
      <c r="S125" s="605"/>
      <c r="T125" s="605"/>
      <c r="U125" s="605">
        <v>46290</v>
      </c>
      <c r="V125" s="605">
        <f>WORKDAY.INTL(U125,INDEX(V$8:V$11,MATCH($L125,$L$8:$L$11,0)),1,IF(V$18="China",'China Holidays'!$A$2:$A$82,'Thai Holidays'!$A$2:$A$63))</f>
        <v>46304</v>
      </c>
      <c r="W125" s="605"/>
      <c r="X125" s="605">
        <v>46316</v>
      </c>
      <c r="Y125" s="605">
        <v>46318</v>
      </c>
      <c r="Z125" s="605">
        <v>46325</v>
      </c>
      <c r="AA125" s="605">
        <v>46346</v>
      </c>
      <c r="AB125" s="605">
        <v>46360</v>
      </c>
      <c r="AC125" s="605">
        <v>46375</v>
      </c>
      <c r="AD125" s="605">
        <v>46375</v>
      </c>
      <c r="AE125" s="605">
        <v>46377</v>
      </c>
      <c r="AF125" s="605">
        <v>46426</v>
      </c>
      <c r="AG125" s="605">
        <v>46440</v>
      </c>
      <c r="AH125" s="605">
        <v>46447</v>
      </c>
      <c r="AI125" s="605">
        <v>46461</v>
      </c>
      <c r="AJ125" s="605">
        <v>46477</v>
      </c>
      <c r="AK125" s="606">
        <v>18.714285714285701</v>
      </c>
      <c r="AL125" s="607">
        <v>131</v>
      </c>
      <c r="AM125" s="605">
        <f>IF(X125&lt;&gt;"",X125+AL125,X126+AL125)</f>
        <v>46447</v>
      </c>
      <c r="AN125" s="608">
        <f>AR124-7</f>
        <v>46484</v>
      </c>
      <c r="AO125" s="600">
        <f>AN125-AM125</f>
        <v>37</v>
      </c>
      <c r="AP125" s="609"/>
      <c r="AQ125" s="610" t="s">
        <v>66</v>
      </c>
      <c r="AR125" s="611">
        <v>46491</v>
      </c>
      <c r="AS125" s="608"/>
    </row>
    <row r="126" spans="1:45" s="548" customFormat="1" ht="24" customHeight="1">
      <c r="A126" s="615"/>
      <c r="B126" s="616" t="s">
        <v>188</v>
      </c>
      <c r="C126" s="649" t="s">
        <v>189</v>
      </c>
      <c r="D126" s="653"/>
      <c r="E126" s="618"/>
      <c r="F126" s="653"/>
      <c r="G126" s="620"/>
      <c r="H126" s="621"/>
      <c r="I126" s="620" t="s">
        <v>137</v>
      </c>
      <c r="J126" s="616" t="s">
        <v>73</v>
      </c>
      <c r="K126" s="263">
        <v>4</v>
      </c>
      <c r="L126" s="616" t="s">
        <v>8</v>
      </c>
      <c r="M126" s="622" t="s">
        <v>67</v>
      </c>
      <c r="N126" s="620"/>
      <c r="O126" s="623">
        <v>46240</v>
      </c>
      <c r="P126" s="623">
        <v>46259</v>
      </c>
      <c r="Q126" s="623">
        <v>46259</v>
      </c>
      <c r="R126" s="623">
        <v>46259</v>
      </c>
      <c r="S126" s="623">
        <v>46259</v>
      </c>
      <c r="T126" s="623">
        <v>46259</v>
      </c>
      <c r="U126" s="623"/>
      <c r="V126" s="623"/>
      <c r="W126" s="623"/>
      <c r="X126" s="620"/>
      <c r="Y126" s="623"/>
      <c r="Z126" s="623"/>
      <c r="AA126" s="623"/>
      <c r="AB126" s="623"/>
      <c r="AC126" s="623"/>
      <c r="AD126" s="623"/>
      <c r="AE126" s="623"/>
      <c r="AF126" s="623"/>
      <c r="AG126" s="623"/>
      <c r="AH126" s="623"/>
      <c r="AI126" s="623"/>
      <c r="AJ126" s="623"/>
      <c r="AK126" s="624"/>
      <c r="AL126" s="625"/>
      <c r="AM126" s="623"/>
      <c r="AN126" s="626"/>
      <c r="AO126" s="620"/>
      <c r="AP126" s="627"/>
      <c r="AQ126" s="628"/>
      <c r="AR126" s="627"/>
      <c r="AS126" s="626"/>
    </row>
    <row r="127" spans="1:45" s="548" customFormat="1" ht="24" hidden="1" customHeight="1">
      <c r="A127" s="595">
        <v>40</v>
      </c>
      <c r="B127" s="263" t="s">
        <v>191</v>
      </c>
      <c r="C127" s="263" t="s">
        <v>192</v>
      </c>
      <c r="D127" s="650"/>
      <c r="E127" s="598"/>
      <c r="F127" s="651"/>
      <c r="G127" s="600"/>
      <c r="H127" s="601"/>
      <c r="I127" s="600" t="s">
        <v>137</v>
      </c>
      <c r="J127" s="263"/>
      <c r="K127" s="602"/>
      <c r="L127" s="263" t="s">
        <v>8</v>
      </c>
      <c r="M127" s="603" t="s">
        <v>60</v>
      </c>
      <c r="N127" s="604"/>
      <c r="O127" s="605">
        <v>46244</v>
      </c>
      <c r="P127" s="605">
        <v>46258</v>
      </c>
      <c r="Q127" s="605">
        <v>46258</v>
      </c>
      <c r="R127" s="605">
        <v>46258</v>
      </c>
      <c r="S127" s="605">
        <v>46258</v>
      </c>
      <c r="T127" s="605">
        <v>46274</v>
      </c>
      <c r="U127" s="605">
        <v>46289</v>
      </c>
      <c r="V127" s="605">
        <v>46303</v>
      </c>
      <c r="W127" s="605"/>
      <c r="X127" s="605">
        <v>46316</v>
      </c>
      <c r="Y127" s="605">
        <v>46318</v>
      </c>
      <c r="Z127" s="605">
        <v>46325</v>
      </c>
      <c r="AA127" s="605">
        <v>46346</v>
      </c>
      <c r="AB127" s="605">
        <v>46360</v>
      </c>
      <c r="AC127" s="605">
        <v>46375</v>
      </c>
      <c r="AD127" s="605">
        <v>46375</v>
      </c>
      <c r="AE127" s="605">
        <v>46377</v>
      </c>
      <c r="AF127" s="605">
        <v>46421</v>
      </c>
      <c r="AG127" s="605">
        <v>46435</v>
      </c>
      <c r="AH127" s="605">
        <v>46442</v>
      </c>
      <c r="AI127" s="605">
        <v>46456</v>
      </c>
      <c r="AJ127" s="605">
        <v>46472</v>
      </c>
      <c r="AK127" s="630">
        <v>18</v>
      </c>
      <c r="AL127" s="607">
        <f>AK127*7</f>
        <v>126</v>
      </c>
      <c r="AM127" s="605">
        <f>X127+AL127</f>
        <v>46442</v>
      </c>
      <c r="AN127" s="608">
        <f>AN128</f>
        <v>46484</v>
      </c>
      <c r="AO127" s="600">
        <f>AN128-AM127</f>
        <v>42</v>
      </c>
      <c r="AP127" s="609"/>
      <c r="AQ127" s="610" t="s">
        <v>62</v>
      </c>
      <c r="AR127" s="611">
        <v>46491</v>
      </c>
      <c r="AS127" s="608"/>
    </row>
    <row r="128" spans="1:45" s="548" customFormat="1" ht="24" customHeight="1">
      <c r="A128" s="595"/>
      <c r="B128" s="263" t="s">
        <v>191</v>
      </c>
      <c r="C128" s="596" t="s">
        <v>192</v>
      </c>
      <c r="D128" s="652"/>
      <c r="E128" s="598"/>
      <c r="F128" s="652"/>
      <c r="G128" s="600"/>
      <c r="H128" s="601" t="s">
        <v>193</v>
      </c>
      <c r="I128" s="600" t="s">
        <v>137</v>
      </c>
      <c r="J128" s="263" t="s">
        <v>73</v>
      </c>
      <c r="K128" s="263">
        <v>4</v>
      </c>
      <c r="L128" s="263" t="s">
        <v>8</v>
      </c>
      <c r="M128" s="603" t="s">
        <v>65</v>
      </c>
      <c r="N128" s="605"/>
      <c r="O128" s="605"/>
      <c r="P128" s="605"/>
      <c r="Q128" s="605"/>
      <c r="R128" s="605"/>
      <c r="S128" s="605"/>
      <c r="T128" s="605"/>
      <c r="U128" s="605"/>
      <c r="V128" s="605">
        <f>WORKDAY.INTL(U129,INDEX(V$8:V$11,MATCH($L128,$L$8:$L$11,0)),1,IF(V$18="China",'China Holidays'!$A$2:$A$82,'Thai Holidays'!$A$2:$A$63))</f>
        <v>46297</v>
      </c>
      <c r="W128" s="605"/>
      <c r="X128" s="605">
        <v>46316</v>
      </c>
      <c r="Y128" s="605">
        <v>46318</v>
      </c>
      <c r="Z128" s="605">
        <v>46325</v>
      </c>
      <c r="AA128" s="605">
        <v>46346</v>
      </c>
      <c r="AB128" s="605">
        <v>46360</v>
      </c>
      <c r="AC128" s="605">
        <v>46375</v>
      </c>
      <c r="AD128" s="605">
        <v>46375</v>
      </c>
      <c r="AE128" s="605">
        <v>46377</v>
      </c>
      <c r="AF128" s="605">
        <v>46421</v>
      </c>
      <c r="AG128" s="605">
        <v>46435</v>
      </c>
      <c r="AH128" s="605">
        <v>46442</v>
      </c>
      <c r="AI128" s="605">
        <v>46456</v>
      </c>
      <c r="AJ128" s="605">
        <v>46472</v>
      </c>
      <c r="AK128" s="606">
        <v>18</v>
      </c>
      <c r="AL128" s="607">
        <v>126</v>
      </c>
      <c r="AM128" s="605">
        <f>IF(X128&lt;&gt;"",X128+AL128,X129+AL128)</f>
        <v>46442</v>
      </c>
      <c r="AN128" s="608">
        <f>AR127-7</f>
        <v>46484</v>
      </c>
      <c r="AO128" s="600">
        <f>AN128-AM128</f>
        <v>42</v>
      </c>
      <c r="AP128" s="609"/>
      <c r="AQ128" s="610" t="s">
        <v>66</v>
      </c>
      <c r="AR128" s="611">
        <v>46491</v>
      </c>
      <c r="AS128" s="608"/>
    </row>
    <row r="129" spans="1:45" s="548" customFormat="1" ht="24" customHeight="1">
      <c r="A129" s="615"/>
      <c r="B129" s="616" t="s">
        <v>191</v>
      </c>
      <c r="C129" s="649" t="s">
        <v>192</v>
      </c>
      <c r="D129" s="653"/>
      <c r="E129" s="618"/>
      <c r="F129" s="653"/>
      <c r="G129" s="620"/>
      <c r="H129" s="621"/>
      <c r="I129" s="620" t="s">
        <v>137</v>
      </c>
      <c r="J129" s="616" t="s">
        <v>73</v>
      </c>
      <c r="K129" s="263">
        <v>4</v>
      </c>
      <c r="L129" s="616" t="s">
        <v>8</v>
      </c>
      <c r="M129" s="622" t="s">
        <v>67</v>
      </c>
      <c r="N129" s="620"/>
      <c r="O129" s="623">
        <v>46248</v>
      </c>
      <c r="P129" s="623">
        <v>46261</v>
      </c>
      <c r="Q129" s="623">
        <v>46261</v>
      </c>
      <c r="R129" s="623">
        <v>46261</v>
      </c>
      <c r="S129" s="623">
        <v>46261</v>
      </c>
      <c r="T129" s="623">
        <v>46261</v>
      </c>
      <c r="U129" s="623">
        <v>46283</v>
      </c>
      <c r="V129" s="623"/>
      <c r="W129" s="623"/>
      <c r="X129" s="620"/>
      <c r="Y129" s="623"/>
      <c r="Z129" s="623"/>
      <c r="AA129" s="623"/>
      <c r="AB129" s="623"/>
      <c r="AC129" s="623"/>
      <c r="AD129" s="623"/>
      <c r="AE129" s="623"/>
      <c r="AF129" s="623"/>
      <c r="AG129" s="623"/>
      <c r="AH129" s="623"/>
      <c r="AI129" s="623"/>
      <c r="AJ129" s="623"/>
      <c r="AK129" s="624"/>
      <c r="AL129" s="625"/>
      <c r="AM129" s="623"/>
      <c r="AN129" s="626"/>
      <c r="AO129" s="620"/>
      <c r="AP129" s="627"/>
      <c r="AQ129" s="628"/>
      <c r="AR129" s="627"/>
      <c r="AS129" s="626"/>
    </row>
    <row r="130" spans="1:45" s="548" customFormat="1" ht="24" hidden="1" customHeight="1">
      <c r="A130" s="595">
        <v>41</v>
      </c>
      <c r="B130" s="263" t="s">
        <v>194</v>
      </c>
      <c r="C130" s="263" t="s">
        <v>195</v>
      </c>
      <c r="D130" s="650"/>
      <c r="E130" s="598"/>
      <c r="F130" s="651"/>
      <c r="G130" s="600"/>
      <c r="H130" s="601"/>
      <c r="I130" s="600" t="s">
        <v>137</v>
      </c>
      <c r="J130" s="263"/>
      <c r="K130" s="602"/>
      <c r="L130" s="263" t="s">
        <v>8</v>
      </c>
      <c r="M130" s="603" t="s">
        <v>60</v>
      </c>
      <c r="N130" s="604"/>
      <c r="O130" s="605">
        <v>46220</v>
      </c>
      <c r="P130" s="605">
        <v>46230</v>
      </c>
      <c r="Q130" s="605">
        <v>46230</v>
      </c>
      <c r="R130" s="605">
        <v>46237</v>
      </c>
      <c r="S130" s="605">
        <v>46238</v>
      </c>
      <c r="T130" s="605">
        <v>46244</v>
      </c>
      <c r="U130" s="605">
        <v>46265</v>
      </c>
      <c r="V130" s="605">
        <v>46270</v>
      </c>
      <c r="W130" s="605"/>
      <c r="X130" s="605">
        <v>46283</v>
      </c>
      <c r="Y130" s="605">
        <v>46286</v>
      </c>
      <c r="Z130" s="605">
        <v>46293</v>
      </c>
      <c r="AA130" s="605">
        <v>46322</v>
      </c>
      <c r="AB130" s="605">
        <v>46339</v>
      </c>
      <c r="AC130" s="605">
        <v>46351</v>
      </c>
      <c r="AD130" s="605">
        <v>46351</v>
      </c>
      <c r="AE130" s="605">
        <v>46353</v>
      </c>
      <c r="AF130" s="605">
        <v>46473</v>
      </c>
      <c r="AG130" s="605">
        <v>46487</v>
      </c>
      <c r="AH130" s="605">
        <v>46494</v>
      </c>
      <c r="AI130" s="605">
        <v>46508</v>
      </c>
      <c r="AJ130" s="605">
        <v>46524</v>
      </c>
      <c r="AK130" s="630">
        <v>30</v>
      </c>
      <c r="AL130" s="607">
        <f>AK130*7</f>
        <v>210</v>
      </c>
      <c r="AM130" s="605">
        <f>X130+AL130</f>
        <v>46493</v>
      </c>
      <c r="AN130" s="608">
        <f>AN131</f>
        <v>46500</v>
      </c>
      <c r="AO130" s="600">
        <f>AN131-AM130</f>
        <v>7</v>
      </c>
      <c r="AP130" s="609"/>
      <c r="AQ130" s="610" t="s">
        <v>62</v>
      </c>
      <c r="AR130" s="611">
        <v>46507</v>
      </c>
      <c r="AS130" s="608"/>
    </row>
    <row r="131" spans="1:45" s="548" customFormat="1" ht="24" customHeight="1">
      <c r="A131" s="595"/>
      <c r="B131" s="263" t="s">
        <v>194</v>
      </c>
      <c r="C131" s="596" t="s">
        <v>195</v>
      </c>
      <c r="D131" s="652"/>
      <c r="E131" s="598"/>
      <c r="F131" s="652"/>
      <c r="G131" s="600"/>
      <c r="H131" s="601" t="s">
        <v>167</v>
      </c>
      <c r="I131" s="600" t="s">
        <v>137</v>
      </c>
      <c r="J131" s="263" t="s">
        <v>73</v>
      </c>
      <c r="K131" s="263">
        <v>4</v>
      </c>
      <c r="L131" s="263" t="s">
        <v>8</v>
      </c>
      <c r="M131" s="603" t="s">
        <v>65</v>
      </c>
      <c r="N131" s="605"/>
      <c r="O131" s="605"/>
      <c r="P131" s="605"/>
      <c r="Q131" s="605"/>
      <c r="R131" s="605"/>
      <c r="S131" s="605"/>
      <c r="T131" s="605"/>
      <c r="U131" s="605">
        <v>46290</v>
      </c>
      <c r="V131" s="605">
        <f>WORKDAY.INTL(U131,INDEX(V$8:V$11,MATCH($L131,$L$8:$L$11,0)),1,IF(V$18="China",'China Holidays'!$A$2:$A$82,'Thai Holidays'!$A$2:$A$63))</f>
        <v>46304</v>
      </c>
      <c r="W131" s="605"/>
      <c r="X131" s="605">
        <v>46289</v>
      </c>
      <c r="Y131" s="605">
        <v>46294</v>
      </c>
      <c r="Z131" s="605">
        <v>46308</v>
      </c>
      <c r="AA131" s="605">
        <v>46329</v>
      </c>
      <c r="AB131" s="605">
        <v>46343</v>
      </c>
      <c r="AC131" s="605">
        <v>46358</v>
      </c>
      <c r="AD131" s="605">
        <v>46358</v>
      </c>
      <c r="AE131" s="605">
        <v>46360</v>
      </c>
      <c r="AF131" s="605">
        <v>46478</v>
      </c>
      <c r="AG131" s="605">
        <v>46492</v>
      </c>
      <c r="AH131" s="605">
        <v>46499</v>
      </c>
      <c r="AI131" s="605">
        <v>46513</v>
      </c>
      <c r="AJ131" s="605">
        <v>46529</v>
      </c>
      <c r="AK131" s="606">
        <v>30</v>
      </c>
      <c r="AL131" s="607">
        <v>210</v>
      </c>
      <c r="AM131" s="605">
        <f>IF(X131&lt;&gt;"",X131+AL131,X132+AL131)</f>
        <v>46499</v>
      </c>
      <c r="AN131" s="608">
        <f>AR130-7</f>
        <v>46500</v>
      </c>
      <c r="AO131" s="600">
        <f>AN131-AM131</f>
        <v>1</v>
      </c>
      <c r="AP131" s="609"/>
      <c r="AQ131" s="610" t="s">
        <v>66</v>
      </c>
      <c r="AR131" s="611">
        <v>46507</v>
      </c>
      <c r="AS131" s="608"/>
    </row>
    <row r="132" spans="1:45" s="548" customFormat="1" ht="24" customHeight="1">
      <c r="A132" s="615"/>
      <c r="B132" s="616" t="s">
        <v>194</v>
      </c>
      <c r="C132" s="649" t="s">
        <v>195</v>
      </c>
      <c r="D132" s="653"/>
      <c r="E132" s="618"/>
      <c r="F132" s="653"/>
      <c r="G132" s="620"/>
      <c r="H132" s="621"/>
      <c r="I132" s="620" t="s">
        <v>137</v>
      </c>
      <c r="J132" s="616" t="s">
        <v>73</v>
      </c>
      <c r="K132" s="263">
        <v>4</v>
      </c>
      <c r="L132" s="616" t="s">
        <v>8</v>
      </c>
      <c r="M132" s="622" t="s">
        <v>67</v>
      </c>
      <c r="N132" s="623"/>
      <c r="O132" s="623">
        <v>46204</v>
      </c>
      <c r="P132" s="623">
        <v>46225</v>
      </c>
      <c r="Q132" s="623">
        <v>46225</v>
      </c>
      <c r="R132" s="623">
        <f>Q132</f>
        <v>46225</v>
      </c>
      <c r="S132" s="623">
        <v>46241</v>
      </c>
      <c r="T132" s="623">
        <v>46277</v>
      </c>
      <c r="U132" s="623"/>
      <c r="V132" s="623"/>
      <c r="W132" s="623"/>
      <c r="X132" s="623"/>
      <c r="Y132" s="623"/>
      <c r="Z132" s="623"/>
      <c r="AA132" s="623"/>
      <c r="AB132" s="623"/>
      <c r="AC132" s="623"/>
      <c r="AD132" s="623"/>
      <c r="AE132" s="623"/>
      <c r="AF132" s="623"/>
      <c r="AG132" s="623"/>
      <c r="AH132" s="623"/>
      <c r="AI132" s="623"/>
      <c r="AJ132" s="623"/>
      <c r="AK132" s="642"/>
      <c r="AL132" s="625"/>
      <c r="AM132" s="605"/>
      <c r="AN132" s="626"/>
      <c r="AO132" s="620"/>
      <c r="AP132" s="627"/>
      <c r="AQ132" s="628"/>
      <c r="AR132" s="627"/>
      <c r="AS132" s="626"/>
    </row>
    <row r="133" spans="1:45" s="548" customFormat="1" ht="24" hidden="1" customHeight="1">
      <c r="A133" s="595">
        <v>42</v>
      </c>
      <c r="B133" s="263" t="s">
        <v>196</v>
      </c>
      <c r="C133" s="263" t="s">
        <v>197</v>
      </c>
      <c r="D133" s="650"/>
      <c r="E133" s="598"/>
      <c r="F133" s="651"/>
      <c r="G133" s="600"/>
      <c r="H133" s="601"/>
      <c r="I133" s="600" t="s">
        <v>137</v>
      </c>
      <c r="J133" s="263"/>
      <c r="K133" s="602"/>
      <c r="L133" s="263" t="s">
        <v>8</v>
      </c>
      <c r="M133" s="603" t="s">
        <v>60</v>
      </c>
      <c r="N133" s="604"/>
      <c r="O133" s="605">
        <v>46220</v>
      </c>
      <c r="P133" s="605">
        <v>46230</v>
      </c>
      <c r="Q133" s="605">
        <v>46230</v>
      </c>
      <c r="R133" s="605">
        <v>46230</v>
      </c>
      <c r="S133" s="605">
        <v>46238</v>
      </c>
      <c r="T133" s="605">
        <v>46251</v>
      </c>
      <c r="U133" s="605">
        <v>46275</v>
      </c>
      <c r="V133" s="605">
        <v>46280</v>
      </c>
      <c r="W133" s="605"/>
      <c r="X133" s="605">
        <v>46294</v>
      </c>
      <c r="Y133" s="605">
        <v>46296</v>
      </c>
      <c r="Z133" s="605">
        <v>46303</v>
      </c>
      <c r="AA133" s="605">
        <v>46332</v>
      </c>
      <c r="AB133" s="605">
        <v>46349</v>
      </c>
      <c r="AC133" s="605">
        <v>46361</v>
      </c>
      <c r="AD133" s="605">
        <v>46361</v>
      </c>
      <c r="AE133" s="605">
        <v>46363</v>
      </c>
      <c r="AF133" s="605">
        <v>46441</v>
      </c>
      <c r="AG133" s="605">
        <v>46455</v>
      </c>
      <c r="AH133" s="605">
        <v>46462</v>
      </c>
      <c r="AI133" s="605">
        <v>46476</v>
      </c>
      <c r="AJ133" s="605">
        <v>46492</v>
      </c>
      <c r="AK133" s="630">
        <v>24</v>
      </c>
      <c r="AL133" s="607">
        <f>AK133*7</f>
        <v>168</v>
      </c>
      <c r="AM133" s="605">
        <f>X133+AL133</f>
        <v>46462</v>
      </c>
      <c r="AN133" s="608">
        <f>AN134</f>
        <v>46484</v>
      </c>
      <c r="AO133" s="600">
        <f>AN134-AM133</f>
        <v>22</v>
      </c>
      <c r="AP133" s="609"/>
      <c r="AQ133" s="610" t="s">
        <v>62</v>
      </c>
      <c r="AR133" s="611">
        <v>46491</v>
      </c>
      <c r="AS133" s="608"/>
    </row>
    <row r="134" spans="1:45" s="548" customFormat="1" ht="24" customHeight="1">
      <c r="A134" s="595"/>
      <c r="B134" s="263" t="s">
        <v>196</v>
      </c>
      <c r="C134" s="596" t="s">
        <v>197</v>
      </c>
      <c r="D134" s="652"/>
      <c r="E134" s="598"/>
      <c r="F134" s="652"/>
      <c r="G134" s="600"/>
      <c r="H134" s="601" t="s">
        <v>198</v>
      </c>
      <c r="I134" s="600" t="s">
        <v>137</v>
      </c>
      <c r="J134" s="263" t="s">
        <v>73</v>
      </c>
      <c r="K134" s="263">
        <v>3</v>
      </c>
      <c r="L134" s="263" t="s">
        <v>8</v>
      </c>
      <c r="M134" s="603" t="s">
        <v>65</v>
      </c>
      <c r="N134" s="605"/>
      <c r="O134" s="605"/>
      <c r="P134" s="605"/>
      <c r="Q134" s="605"/>
      <c r="R134" s="605"/>
      <c r="S134" s="605"/>
      <c r="T134" s="605"/>
      <c r="U134" s="605">
        <v>46290</v>
      </c>
      <c r="V134" s="605">
        <f>WORKDAY.INTL(U134,INDEX(V$8:V$11,MATCH($L134,$L$8:$L$11,0)),1,IF(V$18="China",'China Holidays'!$A$2:$A$82,'Thai Holidays'!$A$2:$A$63))</f>
        <v>46304</v>
      </c>
      <c r="W134" s="605"/>
      <c r="X134" s="605">
        <v>46309</v>
      </c>
      <c r="Y134" s="605">
        <v>46311</v>
      </c>
      <c r="Z134" s="605">
        <v>46318</v>
      </c>
      <c r="AA134" s="605">
        <v>46339</v>
      </c>
      <c r="AB134" s="605">
        <v>46353</v>
      </c>
      <c r="AC134" s="605">
        <v>46368</v>
      </c>
      <c r="AD134" s="605">
        <v>46368</v>
      </c>
      <c r="AE134" s="605">
        <v>46370</v>
      </c>
      <c r="AF134" s="605">
        <v>46456</v>
      </c>
      <c r="AG134" s="605">
        <v>46470</v>
      </c>
      <c r="AH134" s="605">
        <v>46477</v>
      </c>
      <c r="AI134" s="605">
        <v>46491</v>
      </c>
      <c r="AJ134" s="605">
        <v>46507</v>
      </c>
      <c r="AK134" s="606">
        <v>24</v>
      </c>
      <c r="AL134" s="607">
        <v>168</v>
      </c>
      <c r="AM134" s="605">
        <f>IF(X134&lt;&gt;"",X134+AL134,X135+AL134)</f>
        <v>46477</v>
      </c>
      <c r="AN134" s="608">
        <f>AR133-7</f>
        <v>46484</v>
      </c>
      <c r="AO134" s="600">
        <f>AN134-AM134</f>
        <v>7</v>
      </c>
      <c r="AP134" s="609"/>
      <c r="AQ134" s="610" t="s">
        <v>66</v>
      </c>
      <c r="AR134" s="611">
        <v>46491</v>
      </c>
      <c r="AS134" s="608"/>
    </row>
    <row r="135" spans="1:45" s="548" customFormat="1" ht="24" customHeight="1">
      <c r="A135" s="615"/>
      <c r="B135" s="616" t="s">
        <v>196</v>
      </c>
      <c r="C135" s="649" t="s">
        <v>197</v>
      </c>
      <c r="D135" s="653"/>
      <c r="E135" s="618"/>
      <c r="F135" s="653"/>
      <c r="G135" s="620"/>
      <c r="H135" s="621"/>
      <c r="I135" s="620" t="s">
        <v>137</v>
      </c>
      <c r="J135" s="616" t="s">
        <v>73</v>
      </c>
      <c r="K135" s="263">
        <v>3</v>
      </c>
      <c r="L135" s="616" t="s">
        <v>8</v>
      </c>
      <c r="M135" s="622" t="s">
        <v>67</v>
      </c>
      <c r="N135" s="623"/>
      <c r="O135" s="623">
        <v>46204</v>
      </c>
      <c r="P135" s="623">
        <v>46225</v>
      </c>
      <c r="Q135" s="623">
        <v>46225</v>
      </c>
      <c r="R135" s="623">
        <f>Q135</f>
        <v>46225</v>
      </c>
      <c r="S135" s="623">
        <v>46241</v>
      </c>
      <c r="T135" s="623">
        <v>46277</v>
      </c>
      <c r="U135" s="623"/>
      <c r="V135" s="623"/>
      <c r="W135" s="623"/>
      <c r="X135" s="623"/>
      <c r="Y135" s="623"/>
      <c r="Z135" s="623"/>
      <c r="AA135" s="623"/>
      <c r="AB135" s="623"/>
      <c r="AC135" s="623"/>
      <c r="AD135" s="623"/>
      <c r="AE135" s="623"/>
      <c r="AF135" s="623"/>
      <c r="AG135" s="623"/>
      <c r="AH135" s="623"/>
      <c r="AI135" s="623"/>
      <c r="AJ135" s="623"/>
      <c r="AK135" s="656"/>
      <c r="AL135" s="625"/>
      <c r="AM135" s="605"/>
      <c r="AN135" s="626"/>
      <c r="AO135" s="620"/>
      <c r="AP135" s="627"/>
      <c r="AQ135" s="628"/>
      <c r="AR135" s="627"/>
      <c r="AS135" s="626"/>
    </row>
    <row r="136" spans="1:45" s="548" customFormat="1" ht="24" hidden="1" customHeight="1">
      <c r="A136" s="595">
        <v>43</v>
      </c>
      <c r="B136" s="263" t="s">
        <v>199</v>
      </c>
      <c r="C136" s="263" t="s">
        <v>200</v>
      </c>
      <c r="D136" s="650"/>
      <c r="E136" s="598"/>
      <c r="F136" s="651"/>
      <c r="G136" s="600"/>
      <c r="H136" s="601"/>
      <c r="I136" s="600" t="s">
        <v>137</v>
      </c>
      <c r="J136" s="263"/>
      <c r="K136" s="602"/>
      <c r="L136" s="263" t="s">
        <v>8</v>
      </c>
      <c r="M136" s="603" t="s">
        <v>60</v>
      </c>
      <c r="N136" s="604"/>
      <c r="O136" s="605">
        <v>46244</v>
      </c>
      <c r="P136" s="605">
        <v>46258</v>
      </c>
      <c r="Q136" s="605">
        <v>46258</v>
      </c>
      <c r="R136" s="605">
        <v>46260</v>
      </c>
      <c r="S136" s="605">
        <v>46261</v>
      </c>
      <c r="T136" s="605">
        <v>46274</v>
      </c>
      <c r="U136" s="605">
        <v>46289</v>
      </c>
      <c r="V136" s="605">
        <v>46303</v>
      </c>
      <c r="W136" s="605"/>
      <c r="X136" s="605">
        <v>46316</v>
      </c>
      <c r="Y136" s="605">
        <v>46318</v>
      </c>
      <c r="Z136" s="605">
        <v>46323</v>
      </c>
      <c r="AA136" s="605">
        <v>46335</v>
      </c>
      <c r="AB136" s="605">
        <v>46343</v>
      </c>
      <c r="AC136" s="605">
        <v>46350</v>
      </c>
      <c r="AD136" s="605">
        <f>AC136+3</f>
        <v>46353</v>
      </c>
      <c r="AE136" s="605">
        <f>AD136+1</f>
        <v>46354</v>
      </c>
      <c r="AF136" s="605">
        <v>46355</v>
      </c>
      <c r="AG136" s="605">
        <v>46369</v>
      </c>
      <c r="AH136" s="605">
        <v>46376</v>
      </c>
      <c r="AI136" s="605">
        <v>46390</v>
      </c>
      <c r="AJ136" s="605">
        <v>46406</v>
      </c>
      <c r="AK136" s="630">
        <v>8.5714285714285694</v>
      </c>
      <c r="AL136" s="607">
        <f>AK136*7</f>
        <v>59.999999999999986</v>
      </c>
      <c r="AM136" s="605">
        <f>X136+AL136</f>
        <v>46376</v>
      </c>
      <c r="AN136" s="608">
        <f>AN137</f>
        <v>46484</v>
      </c>
      <c r="AO136" s="600">
        <f>AN137-AM136</f>
        <v>108</v>
      </c>
      <c r="AP136" s="609"/>
      <c r="AQ136" s="610" t="s">
        <v>62</v>
      </c>
      <c r="AR136" s="611">
        <v>46491</v>
      </c>
      <c r="AS136" s="608"/>
    </row>
    <row r="137" spans="1:45" s="548" customFormat="1" ht="24" customHeight="1">
      <c r="A137" s="595"/>
      <c r="B137" s="263" t="s">
        <v>199</v>
      </c>
      <c r="C137" s="596" t="s">
        <v>200</v>
      </c>
      <c r="D137" s="652"/>
      <c r="E137" s="598"/>
      <c r="F137" s="652"/>
      <c r="G137" s="600"/>
      <c r="H137" s="601" t="s">
        <v>201</v>
      </c>
      <c r="I137" s="600" t="s">
        <v>137</v>
      </c>
      <c r="J137" s="263" t="s">
        <v>73</v>
      </c>
      <c r="K137" s="263">
        <v>4</v>
      </c>
      <c r="L137" s="263" t="s">
        <v>8</v>
      </c>
      <c r="M137" s="603" t="s">
        <v>65</v>
      </c>
      <c r="N137" s="605"/>
      <c r="O137" s="605"/>
      <c r="P137" s="605"/>
      <c r="Q137" s="605"/>
      <c r="R137" s="605"/>
      <c r="S137" s="605"/>
      <c r="T137" s="605"/>
      <c r="U137" s="605">
        <v>46290</v>
      </c>
      <c r="V137" s="605">
        <f>WORKDAY.INTL(U137,INDEX(V$8:V$11,MATCH($L137,$L$8:$L$11,0)),1,IF(V$18="China",'China Holidays'!$A$2:$A$82,'Thai Holidays'!$A$2:$A$63))</f>
        <v>46304</v>
      </c>
      <c r="W137" s="605"/>
      <c r="X137" s="605">
        <v>46316</v>
      </c>
      <c r="Y137" s="605">
        <v>46318</v>
      </c>
      <c r="Z137" s="605">
        <v>46323</v>
      </c>
      <c r="AA137" s="605">
        <v>46333</v>
      </c>
      <c r="AB137" s="605">
        <v>46343</v>
      </c>
      <c r="AC137" s="605">
        <v>46350</v>
      </c>
      <c r="AD137" s="605">
        <v>46350</v>
      </c>
      <c r="AE137" s="605">
        <v>46352</v>
      </c>
      <c r="AF137" s="605">
        <v>46355</v>
      </c>
      <c r="AG137" s="605">
        <v>46369</v>
      </c>
      <c r="AH137" s="605">
        <v>46376</v>
      </c>
      <c r="AI137" s="605">
        <v>46390</v>
      </c>
      <c r="AJ137" s="605">
        <v>46406</v>
      </c>
      <c r="AK137" s="606">
        <v>8.5714285714285694</v>
      </c>
      <c r="AL137" s="607">
        <v>60</v>
      </c>
      <c r="AM137" s="605">
        <f>IF(X137&lt;&gt;"",X137+AL137,X138+AL137)</f>
        <v>46376</v>
      </c>
      <c r="AN137" s="608">
        <f>AR136-7</f>
        <v>46484</v>
      </c>
      <c r="AO137" s="600">
        <f>AN137-AM137</f>
        <v>108</v>
      </c>
      <c r="AP137" s="609"/>
      <c r="AQ137" s="610" t="s">
        <v>66</v>
      </c>
      <c r="AR137" s="611">
        <v>46491</v>
      </c>
      <c r="AS137" s="608"/>
    </row>
    <row r="138" spans="1:45" s="548" customFormat="1" ht="24" customHeight="1">
      <c r="A138" s="615"/>
      <c r="B138" s="616" t="s">
        <v>199</v>
      </c>
      <c r="C138" s="649" t="s">
        <v>200</v>
      </c>
      <c r="D138" s="653"/>
      <c r="E138" s="618"/>
      <c r="F138" s="653"/>
      <c r="G138" s="620"/>
      <c r="H138" s="621"/>
      <c r="I138" s="620" t="s">
        <v>137</v>
      </c>
      <c r="J138" s="616" t="s">
        <v>73</v>
      </c>
      <c r="K138" s="263">
        <v>4</v>
      </c>
      <c r="L138" s="616" t="s">
        <v>8</v>
      </c>
      <c r="M138" s="622" t="s">
        <v>67</v>
      </c>
      <c r="N138" s="623"/>
      <c r="O138" s="623">
        <v>46248</v>
      </c>
      <c r="P138" s="623">
        <v>46261</v>
      </c>
      <c r="Q138" s="623">
        <v>46261</v>
      </c>
      <c r="R138" s="623">
        <v>46261</v>
      </c>
      <c r="S138" s="623">
        <f>R138</f>
        <v>46261</v>
      </c>
      <c r="T138" s="623">
        <v>46261</v>
      </c>
      <c r="U138" s="623"/>
      <c r="V138" s="623"/>
      <c r="W138" s="623"/>
      <c r="X138" s="620"/>
      <c r="Y138" s="623"/>
      <c r="Z138" s="623"/>
      <c r="AA138" s="623"/>
      <c r="AB138" s="623"/>
      <c r="AC138" s="623"/>
      <c r="AD138" s="623"/>
      <c r="AE138" s="623"/>
      <c r="AF138" s="623"/>
      <c r="AG138" s="623"/>
      <c r="AH138" s="623"/>
      <c r="AI138" s="623"/>
      <c r="AJ138" s="623"/>
      <c r="AK138" s="624"/>
      <c r="AL138" s="625"/>
      <c r="AM138" s="623"/>
      <c r="AN138" s="626"/>
      <c r="AO138" s="620"/>
      <c r="AP138" s="627"/>
      <c r="AQ138" s="628"/>
      <c r="AR138" s="627"/>
      <c r="AS138" s="626"/>
    </row>
    <row r="139" spans="1:45" s="548" customFormat="1" ht="24" hidden="1" customHeight="1">
      <c r="A139" s="595">
        <v>45</v>
      </c>
      <c r="B139" s="263" t="s">
        <v>202</v>
      </c>
      <c r="C139" s="263" t="s">
        <v>203</v>
      </c>
      <c r="D139" s="597"/>
      <c r="E139" s="598"/>
      <c r="F139" s="599"/>
      <c r="G139" s="600"/>
      <c r="H139" s="601"/>
      <c r="I139" s="600" t="s">
        <v>137</v>
      </c>
      <c r="J139" s="263"/>
      <c r="K139" s="602"/>
      <c r="L139" s="263" t="s">
        <v>7</v>
      </c>
      <c r="M139" s="603" t="s">
        <v>60</v>
      </c>
      <c r="N139" s="604"/>
      <c r="O139" s="605">
        <v>46161</v>
      </c>
      <c r="P139" s="605">
        <v>46182</v>
      </c>
      <c r="Q139" s="605">
        <v>46182</v>
      </c>
      <c r="R139" s="605">
        <v>46182</v>
      </c>
      <c r="S139" s="605">
        <v>46179</v>
      </c>
      <c r="T139" s="605">
        <v>46199</v>
      </c>
      <c r="U139" s="605">
        <v>46266</v>
      </c>
      <c r="V139" s="605">
        <v>46280</v>
      </c>
      <c r="W139" s="605"/>
      <c r="X139" s="605">
        <v>46294</v>
      </c>
      <c r="Y139" s="605">
        <v>46303</v>
      </c>
      <c r="Z139" s="605">
        <v>46310</v>
      </c>
      <c r="AA139" s="605">
        <v>46338</v>
      </c>
      <c r="AB139" s="605">
        <v>46352</v>
      </c>
      <c r="AC139" s="605">
        <v>46367</v>
      </c>
      <c r="AD139" s="605">
        <f>AC139+3</f>
        <v>46370</v>
      </c>
      <c r="AE139" s="605">
        <f>AD139+1</f>
        <v>46371</v>
      </c>
      <c r="AF139" s="605">
        <v>46502</v>
      </c>
      <c r="AG139" s="605">
        <v>46532</v>
      </c>
      <c r="AH139" s="605">
        <v>46546</v>
      </c>
      <c r="AI139" s="605">
        <v>46560</v>
      </c>
      <c r="AJ139" s="605">
        <v>46576</v>
      </c>
      <c r="AK139" s="630">
        <v>36</v>
      </c>
      <c r="AL139" s="607">
        <f>AK139*7</f>
        <v>252</v>
      </c>
      <c r="AM139" s="605">
        <f>X139+AL139</f>
        <v>46546</v>
      </c>
      <c r="AN139" s="608">
        <f>AN140</f>
        <v>46591</v>
      </c>
      <c r="AO139" s="600">
        <f>AN140-AM139</f>
        <v>45</v>
      </c>
      <c r="AP139" s="609"/>
      <c r="AQ139" s="610" t="s">
        <v>62</v>
      </c>
      <c r="AR139" s="611">
        <v>46598</v>
      </c>
      <c r="AS139" s="608"/>
    </row>
    <row r="140" spans="1:45" s="548" customFormat="1" ht="24" customHeight="1">
      <c r="A140" s="595"/>
      <c r="B140" s="263" t="s">
        <v>202</v>
      </c>
      <c r="C140" s="596" t="s">
        <v>203</v>
      </c>
      <c r="D140" s="597"/>
      <c r="E140" s="598"/>
      <c r="F140" s="629"/>
      <c r="G140" s="600"/>
      <c r="H140" s="601" t="s">
        <v>204</v>
      </c>
      <c r="I140" s="600" t="s">
        <v>137</v>
      </c>
      <c r="J140" s="263" t="s">
        <v>73</v>
      </c>
      <c r="K140" s="263">
        <v>2</v>
      </c>
      <c r="L140" s="263" t="s">
        <v>7</v>
      </c>
      <c r="M140" s="603" t="s">
        <v>65</v>
      </c>
      <c r="N140" s="605"/>
      <c r="O140" s="605"/>
      <c r="P140" s="605"/>
      <c r="Q140" s="605"/>
      <c r="R140" s="605"/>
      <c r="S140" s="605"/>
      <c r="T140" s="605"/>
      <c r="U140" s="605"/>
      <c r="V140" s="605"/>
      <c r="W140" s="605"/>
      <c r="X140" s="605">
        <v>46294</v>
      </c>
      <c r="Y140" s="605">
        <v>46303</v>
      </c>
      <c r="Z140" s="605">
        <v>46310</v>
      </c>
      <c r="AA140" s="605">
        <v>46338</v>
      </c>
      <c r="AB140" s="605">
        <v>46352</v>
      </c>
      <c r="AC140" s="605">
        <v>46367</v>
      </c>
      <c r="AD140" s="605">
        <v>46367</v>
      </c>
      <c r="AE140" s="605">
        <v>46369</v>
      </c>
      <c r="AF140" s="605">
        <v>46502</v>
      </c>
      <c r="AG140" s="605">
        <v>46532</v>
      </c>
      <c r="AH140" s="605">
        <v>46546</v>
      </c>
      <c r="AI140" s="605">
        <v>46560</v>
      </c>
      <c r="AJ140" s="605">
        <v>46576</v>
      </c>
      <c r="AK140" s="606">
        <v>36</v>
      </c>
      <c r="AL140" s="607">
        <v>252</v>
      </c>
      <c r="AM140" s="605">
        <f>IF(X140&lt;&gt;"",X140+AL140,X141+AL140)</f>
        <v>46546</v>
      </c>
      <c r="AN140" s="608">
        <f>AR139-7</f>
        <v>46591</v>
      </c>
      <c r="AO140" s="600">
        <f>AN140-AM140</f>
        <v>45</v>
      </c>
      <c r="AP140" s="609"/>
      <c r="AQ140" s="610" t="s">
        <v>66</v>
      </c>
      <c r="AR140" s="611">
        <v>46598</v>
      </c>
      <c r="AS140" s="608"/>
    </row>
    <row r="141" spans="1:45" s="548" customFormat="1" ht="24" customHeight="1">
      <c r="A141" s="615"/>
      <c r="B141" s="616" t="s">
        <v>202</v>
      </c>
      <c r="C141" s="649" t="s">
        <v>203</v>
      </c>
      <c r="D141" s="617"/>
      <c r="E141" s="618"/>
      <c r="F141" s="631"/>
      <c r="G141" s="620"/>
      <c r="H141" s="621"/>
      <c r="I141" s="620" t="s">
        <v>137</v>
      </c>
      <c r="J141" s="616" t="s">
        <v>73</v>
      </c>
      <c r="K141" s="263">
        <v>2</v>
      </c>
      <c r="L141" s="616" t="s">
        <v>7</v>
      </c>
      <c r="M141" s="622" t="s">
        <v>67</v>
      </c>
      <c r="N141" s="623">
        <v>46133</v>
      </c>
      <c r="O141" s="623">
        <v>46165</v>
      </c>
      <c r="P141" s="623">
        <v>46182</v>
      </c>
      <c r="Q141" s="623">
        <v>46182</v>
      </c>
      <c r="R141" s="623">
        <v>46182</v>
      </c>
      <c r="S141" s="623">
        <v>46182</v>
      </c>
      <c r="T141" s="623">
        <v>46190</v>
      </c>
      <c r="U141" s="623">
        <v>46233</v>
      </c>
      <c r="V141" s="623">
        <v>46236</v>
      </c>
      <c r="W141" s="657"/>
      <c r="X141" s="620"/>
      <c r="Y141" s="623"/>
      <c r="Z141" s="623"/>
      <c r="AA141" s="623"/>
      <c r="AB141" s="623"/>
      <c r="AC141" s="623"/>
      <c r="AD141" s="623"/>
      <c r="AE141" s="623"/>
      <c r="AF141" s="623"/>
      <c r="AG141" s="623"/>
      <c r="AH141" s="623"/>
      <c r="AI141" s="623"/>
      <c r="AJ141" s="623"/>
      <c r="AK141" s="624"/>
      <c r="AL141" s="625"/>
      <c r="AM141" s="623"/>
      <c r="AN141" s="626"/>
      <c r="AO141" s="620"/>
      <c r="AP141" s="627"/>
      <c r="AQ141" s="628"/>
      <c r="AR141" s="627"/>
      <c r="AS141" s="626"/>
    </row>
    <row r="142" spans="1:45" s="548" customFormat="1" ht="24" hidden="1" customHeight="1">
      <c r="A142" s="595">
        <v>46</v>
      </c>
      <c r="B142" s="263" t="s">
        <v>205</v>
      </c>
      <c r="C142" s="263" t="s">
        <v>206</v>
      </c>
      <c r="D142" s="650"/>
      <c r="E142" s="598"/>
      <c r="F142" s="651"/>
      <c r="G142" s="600"/>
      <c r="H142" s="601"/>
      <c r="I142" s="600" t="s">
        <v>207</v>
      </c>
      <c r="J142" s="263"/>
      <c r="K142" s="602"/>
      <c r="L142" s="263" t="s">
        <v>8</v>
      </c>
      <c r="M142" s="603" t="s">
        <v>60</v>
      </c>
      <c r="N142" s="604"/>
      <c r="O142" s="605">
        <v>46189</v>
      </c>
      <c r="P142" s="605">
        <v>46198</v>
      </c>
      <c r="Q142" s="605">
        <v>46199</v>
      </c>
      <c r="R142" s="605">
        <v>46206</v>
      </c>
      <c r="S142" s="605">
        <v>46207</v>
      </c>
      <c r="T142" s="605">
        <v>46223</v>
      </c>
      <c r="U142" s="605">
        <v>46248</v>
      </c>
      <c r="V142" s="605">
        <v>46262</v>
      </c>
      <c r="W142" s="605"/>
      <c r="X142" s="605">
        <v>46275</v>
      </c>
      <c r="Y142" s="605">
        <v>46279</v>
      </c>
      <c r="Z142" s="605">
        <v>46286</v>
      </c>
      <c r="AA142" s="605">
        <v>46315</v>
      </c>
      <c r="AB142" s="605">
        <v>46330</v>
      </c>
      <c r="AC142" s="605">
        <v>46345</v>
      </c>
      <c r="AD142" s="605">
        <v>46345</v>
      </c>
      <c r="AE142" s="605">
        <v>46347</v>
      </c>
      <c r="AF142" s="605">
        <v>46434</v>
      </c>
      <c r="AG142" s="605">
        <v>46448</v>
      </c>
      <c r="AH142" s="605">
        <v>46455</v>
      </c>
      <c r="AI142" s="605">
        <v>46469</v>
      </c>
      <c r="AJ142" s="605">
        <v>46485</v>
      </c>
      <c r="AK142" s="630">
        <v>25.714285714285701</v>
      </c>
      <c r="AL142" s="607">
        <f>AK142*7</f>
        <v>179.99999999999991</v>
      </c>
      <c r="AM142" s="605">
        <f>X142+AL142</f>
        <v>46455</v>
      </c>
      <c r="AN142" s="608">
        <f>AN143</f>
        <v>46495</v>
      </c>
      <c r="AO142" s="600">
        <f>AN143-AM142</f>
        <v>40</v>
      </c>
      <c r="AP142" s="609"/>
      <c r="AQ142" s="610" t="s">
        <v>62</v>
      </c>
      <c r="AR142" s="611">
        <v>46502</v>
      </c>
      <c r="AS142" s="608"/>
    </row>
    <row r="143" spans="1:45" s="548" customFormat="1" ht="24" customHeight="1">
      <c r="A143" s="595"/>
      <c r="B143" s="263" t="s">
        <v>205</v>
      </c>
      <c r="C143" s="596" t="s">
        <v>206</v>
      </c>
      <c r="D143" s="652"/>
      <c r="E143" s="598"/>
      <c r="F143" s="652"/>
      <c r="G143" s="600"/>
      <c r="H143" s="601" t="s">
        <v>208</v>
      </c>
      <c r="I143" s="600" t="s">
        <v>207</v>
      </c>
      <c r="J143" s="263" t="s">
        <v>73</v>
      </c>
      <c r="K143" s="263">
        <v>3</v>
      </c>
      <c r="L143" s="263" t="s">
        <v>8</v>
      </c>
      <c r="M143" s="603" t="s">
        <v>65</v>
      </c>
      <c r="N143" s="605"/>
      <c r="O143" s="605"/>
      <c r="P143" s="605"/>
      <c r="Q143" s="605"/>
      <c r="R143" s="605"/>
      <c r="S143" s="605"/>
      <c r="T143" s="605">
        <v>46223</v>
      </c>
      <c r="U143" s="605">
        <v>46283</v>
      </c>
      <c r="V143" s="605">
        <f>WORKDAY.INTL(U143,INDEX(V$8:V$11,MATCH($L143,$L$8:$L$11,0)),1,IF(V$18="China",'China Holidays'!$A$2:$A$82,'Thai Holidays'!$A$2:$A$63))</f>
        <v>46297</v>
      </c>
      <c r="W143" s="605"/>
      <c r="X143" s="605">
        <v>46311</v>
      </c>
      <c r="Y143" s="605">
        <v>46315</v>
      </c>
      <c r="Z143" s="605">
        <v>46322</v>
      </c>
      <c r="AA143" s="605">
        <v>46343</v>
      </c>
      <c r="AB143" s="605">
        <v>46357</v>
      </c>
      <c r="AC143" s="605">
        <v>46372</v>
      </c>
      <c r="AD143" s="605">
        <v>46372</v>
      </c>
      <c r="AE143" s="605">
        <v>46374</v>
      </c>
      <c r="AF143" s="605">
        <v>46470</v>
      </c>
      <c r="AG143" s="605">
        <v>46484</v>
      </c>
      <c r="AH143" s="605">
        <v>46491</v>
      </c>
      <c r="AI143" s="605">
        <v>46505</v>
      </c>
      <c r="AJ143" s="605">
        <v>46521</v>
      </c>
      <c r="AK143" s="606">
        <v>25.714285714285701</v>
      </c>
      <c r="AL143" s="607">
        <v>180</v>
      </c>
      <c r="AM143" s="605">
        <f>IF(X143&lt;&gt;"",X143+AL143,X144+AL143)</f>
        <v>46491</v>
      </c>
      <c r="AN143" s="608">
        <f>AR142-7</f>
        <v>46495</v>
      </c>
      <c r="AO143" s="600">
        <f>AN143-AM143</f>
        <v>4</v>
      </c>
      <c r="AP143" s="609"/>
      <c r="AQ143" s="610" t="s">
        <v>66</v>
      </c>
      <c r="AR143" s="611">
        <v>46502</v>
      </c>
      <c r="AS143" s="608"/>
    </row>
    <row r="144" spans="1:45" s="548" customFormat="1" ht="24" customHeight="1">
      <c r="A144" s="615"/>
      <c r="B144" s="616" t="s">
        <v>205</v>
      </c>
      <c r="C144" s="649" t="s">
        <v>206</v>
      </c>
      <c r="D144" s="653"/>
      <c r="E144" s="618"/>
      <c r="F144" s="653"/>
      <c r="G144" s="620"/>
      <c r="H144" s="621"/>
      <c r="I144" s="620" t="s">
        <v>207</v>
      </c>
      <c r="J144" s="616" t="s">
        <v>73</v>
      </c>
      <c r="K144" s="263">
        <v>3</v>
      </c>
      <c r="L144" s="616" t="s">
        <v>8</v>
      </c>
      <c r="M144" s="622" t="s">
        <v>67</v>
      </c>
      <c r="N144" s="623"/>
      <c r="O144" s="623">
        <v>46169</v>
      </c>
      <c r="P144" s="623">
        <v>46188</v>
      </c>
      <c r="Q144" s="623">
        <v>46188</v>
      </c>
      <c r="R144" s="623">
        <v>46188</v>
      </c>
      <c r="S144" s="623">
        <v>46212</v>
      </c>
      <c r="T144" s="623">
        <v>46247</v>
      </c>
      <c r="U144" s="623">
        <v>46276</v>
      </c>
      <c r="V144" s="623"/>
      <c r="W144" s="623"/>
      <c r="X144" s="620"/>
      <c r="Y144" s="623"/>
      <c r="Z144" s="623"/>
      <c r="AA144" s="623"/>
      <c r="AB144" s="623"/>
      <c r="AC144" s="623"/>
      <c r="AD144" s="623"/>
      <c r="AE144" s="623"/>
      <c r="AF144" s="623"/>
      <c r="AG144" s="623"/>
      <c r="AH144" s="623"/>
      <c r="AI144" s="623"/>
      <c r="AJ144" s="623"/>
      <c r="AK144" s="624"/>
      <c r="AL144" s="625"/>
      <c r="AM144" s="623"/>
      <c r="AN144" s="626"/>
      <c r="AO144" s="620"/>
      <c r="AP144" s="627"/>
      <c r="AQ144" s="628"/>
      <c r="AR144" s="627"/>
      <c r="AS144" s="626"/>
    </row>
    <row r="145" spans="1:45" s="548" customFormat="1" ht="24" hidden="1" customHeight="1">
      <c r="A145" s="595">
        <v>47</v>
      </c>
      <c r="B145" s="263" t="s">
        <v>209</v>
      </c>
      <c r="C145" s="263" t="s">
        <v>210</v>
      </c>
      <c r="D145" s="650"/>
      <c r="E145" s="598"/>
      <c r="F145" s="651"/>
      <c r="G145" s="600"/>
      <c r="H145" s="601"/>
      <c r="I145" s="600" t="s">
        <v>207</v>
      </c>
      <c r="J145" s="263"/>
      <c r="K145" s="602"/>
      <c r="L145" s="263" t="s">
        <v>8</v>
      </c>
      <c r="M145" s="603" t="s">
        <v>60</v>
      </c>
      <c r="N145" s="604"/>
      <c r="O145" s="605">
        <v>46189</v>
      </c>
      <c r="P145" s="605">
        <v>46198</v>
      </c>
      <c r="Q145" s="605">
        <v>46199</v>
      </c>
      <c r="R145" s="605">
        <v>46206</v>
      </c>
      <c r="S145" s="605">
        <v>46207</v>
      </c>
      <c r="T145" s="605">
        <v>46223</v>
      </c>
      <c r="U145" s="605">
        <v>46248</v>
      </c>
      <c r="V145" s="605">
        <v>46262</v>
      </c>
      <c r="W145" s="605"/>
      <c r="X145" s="605">
        <v>46275</v>
      </c>
      <c r="Y145" s="605">
        <v>46279</v>
      </c>
      <c r="Z145" s="605">
        <v>46286</v>
      </c>
      <c r="AA145" s="605">
        <v>46315</v>
      </c>
      <c r="AB145" s="605">
        <v>46330</v>
      </c>
      <c r="AC145" s="605">
        <v>46345</v>
      </c>
      <c r="AD145" s="605">
        <v>46345</v>
      </c>
      <c r="AE145" s="605">
        <v>46347</v>
      </c>
      <c r="AF145" s="605">
        <v>46366</v>
      </c>
      <c r="AG145" s="605">
        <v>46380</v>
      </c>
      <c r="AH145" s="605">
        <v>46387</v>
      </c>
      <c r="AI145" s="605">
        <v>46401</v>
      </c>
      <c r="AJ145" s="605">
        <v>46417</v>
      </c>
      <c r="AK145" s="630">
        <v>16</v>
      </c>
      <c r="AL145" s="607">
        <f>AK145*7</f>
        <v>112</v>
      </c>
      <c r="AM145" s="605">
        <f>X145+AL145</f>
        <v>46387</v>
      </c>
      <c r="AN145" s="608">
        <f>AN146</f>
        <v>46449</v>
      </c>
      <c r="AO145" s="600">
        <f>AN146-AM145</f>
        <v>62</v>
      </c>
      <c r="AP145" s="609"/>
      <c r="AQ145" s="610" t="s">
        <v>62</v>
      </c>
      <c r="AR145" s="611">
        <v>46456</v>
      </c>
      <c r="AS145" s="608"/>
    </row>
    <row r="146" spans="1:45" s="548" customFormat="1" ht="24" customHeight="1">
      <c r="A146" s="595"/>
      <c r="B146" s="263" t="s">
        <v>209</v>
      </c>
      <c r="C146" s="596" t="s">
        <v>210</v>
      </c>
      <c r="D146" s="652"/>
      <c r="E146" s="598"/>
      <c r="F146" s="652"/>
      <c r="G146" s="600"/>
      <c r="H146" s="601" t="s">
        <v>211</v>
      </c>
      <c r="I146" s="600" t="s">
        <v>207</v>
      </c>
      <c r="J146" s="263" t="s">
        <v>73</v>
      </c>
      <c r="K146" s="263">
        <v>3</v>
      </c>
      <c r="L146" s="263" t="s">
        <v>8</v>
      </c>
      <c r="M146" s="603" t="s">
        <v>65</v>
      </c>
      <c r="N146" s="605"/>
      <c r="O146" s="605"/>
      <c r="P146" s="605"/>
      <c r="Q146" s="605"/>
      <c r="R146" s="605"/>
      <c r="S146" s="605"/>
      <c r="T146" s="605">
        <v>46223</v>
      </c>
      <c r="U146" s="605">
        <v>46249</v>
      </c>
      <c r="V146" s="605">
        <f>WORKDAY.INTL(U146,INDEX(V$8:V$11,MATCH($L146,$L$8:$L$11,0)),1,IF(V$18="China",'China Holidays'!$A$2:$A$82,'Thai Holidays'!$A$2:$A$63))</f>
        <v>46262</v>
      </c>
      <c r="W146" s="605"/>
      <c r="X146" s="605">
        <v>46311</v>
      </c>
      <c r="Y146" s="605">
        <v>46315</v>
      </c>
      <c r="Z146" s="605">
        <v>46322</v>
      </c>
      <c r="AA146" s="605">
        <v>46343</v>
      </c>
      <c r="AB146" s="605">
        <v>46357</v>
      </c>
      <c r="AC146" s="605">
        <v>46372</v>
      </c>
      <c r="AD146" s="605">
        <v>46372</v>
      </c>
      <c r="AE146" s="605">
        <v>46374</v>
      </c>
      <c r="AF146" s="605">
        <v>46402</v>
      </c>
      <c r="AG146" s="605">
        <v>46416</v>
      </c>
      <c r="AH146" s="605">
        <v>46423</v>
      </c>
      <c r="AI146" s="605">
        <v>46437</v>
      </c>
      <c r="AJ146" s="605">
        <v>46453</v>
      </c>
      <c r="AK146" s="606">
        <v>16</v>
      </c>
      <c r="AL146" s="607">
        <v>112</v>
      </c>
      <c r="AM146" s="605">
        <f>IF(X146&lt;&gt;"",X146+AL146,X147+AL146)</f>
        <v>46423</v>
      </c>
      <c r="AN146" s="608">
        <f>AR145-7</f>
        <v>46449</v>
      </c>
      <c r="AO146" s="600">
        <f>AN146-AM146</f>
        <v>26</v>
      </c>
      <c r="AP146" s="609"/>
      <c r="AQ146" s="610" t="s">
        <v>66</v>
      </c>
      <c r="AR146" s="611">
        <v>46456</v>
      </c>
      <c r="AS146" s="608"/>
    </row>
    <row r="147" spans="1:45" s="548" customFormat="1" ht="24" customHeight="1">
      <c r="A147" s="615"/>
      <c r="B147" s="616" t="s">
        <v>209</v>
      </c>
      <c r="C147" s="649" t="s">
        <v>210</v>
      </c>
      <c r="D147" s="653"/>
      <c r="E147" s="618"/>
      <c r="F147" s="653"/>
      <c r="G147" s="620"/>
      <c r="H147" s="621"/>
      <c r="I147" s="620" t="s">
        <v>207</v>
      </c>
      <c r="J147" s="616" t="s">
        <v>73</v>
      </c>
      <c r="K147" s="263">
        <v>3</v>
      </c>
      <c r="L147" s="616" t="s">
        <v>8</v>
      </c>
      <c r="M147" s="622" t="s">
        <v>67</v>
      </c>
      <c r="N147" s="623"/>
      <c r="O147" s="623">
        <v>46169</v>
      </c>
      <c r="P147" s="623">
        <v>46188</v>
      </c>
      <c r="Q147" s="623">
        <v>46188</v>
      </c>
      <c r="R147" s="623">
        <v>46188</v>
      </c>
      <c r="S147" s="623">
        <v>46212</v>
      </c>
      <c r="T147" s="623">
        <v>46247</v>
      </c>
      <c r="U147" s="623">
        <v>46267</v>
      </c>
      <c r="V147" s="623">
        <v>46269</v>
      </c>
      <c r="W147" s="623"/>
      <c r="X147" s="620"/>
      <c r="Y147" s="623"/>
      <c r="Z147" s="623"/>
      <c r="AA147" s="623"/>
      <c r="AB147" s="623"/>
      <c r="AC147" s="623"/>
      <c r="AD147" s="623"/>
      <c r="AE147" s="623"/>
      <c r="AF147" s="623"/>
      <c r="AG147" s="623"/>
      <c r="AH147" s="623"/>
      <c r="AI147" s="623"/>
      <c r="AJ147" s="623"/>
      <c r="AK147" s="624"/>
      <c r="AL147" s="625"/>
      <c r="AM147" s="623"/>
      <c r="AN147" s="626"/>
      <c r="AO147" s="620"/>
      <c r="AP147" s="627"/>
      <c r="AQ147" s="628"/>
      <c r="AR147" s="627"/>
      <c r="AS147" s="626"/>
    </row>
    <row r="148" spans="1:45" s="548" customFormat="1" ht="24" hidden="1" customHeight="1">
      <c r="A148" s="595">
        <v>48</v>
      </c>
      <c r="B148" s="263" t="s">
        <v>212</v>
      </c>
      <c r="C148" s="263" t="s">
        <v>213</v>
      </c>
      <c r="D148" s="597"/>
      <c r="E148" s="598"/>
      <c r="F148" s="599"/>
      <c r="G148" s="600"/>
      <c r="H148" s="601"/>
      <c r="I148" s="600" t="s">
        <v>86</v>
      </c>
      <c r="J148" s="263"/>
      <c r="K148" s="602"/>
      <c r="L148" s="263" t="s">
        <v>8</v>
      </c>
      <c r="M148" s="603" t="s">
        <v>60</v>
      </c>
      <c r="N148" s="604"/>
      <c r="O148" s="605">
        <v>46163</v>
      </c>
      <c r="P148" s="605">
        <v>46170</v>
      </c>
      <c r="Q148" s="605">
        <v>46171</v>
      </c>
      <c r="R148" s="605">
        <v>46182</v>
      </c>
      <c r="S148" s="605">
        <v>46183</v>
      </c>
      <c r="T148" s="605">
        <v>46197</v>
      </c>
      <c r="U148" s="605">
        <v>46218</v>
      </c>
      <c r="V148" s="605">
        <v>46234</v>
      </c>
      <c r="W148" s="605"/>
      <c r="X148" s="605">
        <v>46247</v>
      </c>
      <c r="Y148" s="605">
        <v>46251</v>
      </c>
      <c r="Z148" s="605">
        <v>46258</v>
      </c>
      <c r="AA148" s="605">
        <v>46279</v>
      </c>
      <c r="AB148" s="605">
        <v>46293</v>
      </c>
      <c r="AC148" s="605">
        <v>46353</v>
      </c>
      <c r="AD148" s="605">
        <v>46356</v>
      </c>
      <c r="AE148" s="605">
        <v>46357</v>
      </c>
      <c r="AF148" s="605">
        <v>46406</v>
      </c>
      <c r="AG148" s="605">
        <v>46420</v>
      </c>
      <c r="AH148" s="605">
        <v>46427</v>
      </c>
      <c r="AI148" s="605">
        <v>46441</v>
      </c>
      <c r="AJ148" s="605">
        <v>46457</v>
      </c>
      <c r="AK148" s="630">
        <v>25.714285714285701</v>
      </c>
      <c r="AL148" s="607">
        <f>AK148*7</f>
        <v>179.99999999999991</v>
      </c>
      <c r="AM148" s="605">
        <f>X148+AL148</f>
        <v>46427</v>
      </c>
      <c r="AN148" s="608">
        <f>AN149</f>
        <v>46415</v>
      </c>
      <c r="AO148" s="600">
        <f>AN149-AM148</f>
        <v>-12</v>
      </c>
      <c r="AP148" s="609"/>
      <c r="AQ148" s="610" t="s">
        <v>62</v>
      </c>
      <c r="AR148" s="611">
        <v>46422</v>
      </c>
      <c r="AS148" s="608"/>
    </row>
    <row r="149" spans="1:45" s="548" customFormat="1" ht="24" customHeight="1">
      <c r="A149" s="595"/>
      <c r="B149" s="263" t="s">
        <v>212</v>
      </c>
      <c r="C149" s="596" t="s">
        <v>213</v>
      </c>
      <c r="D149" s="597"/>
      <c r="E149" s="598"/>
      <c r="F149" s="629"/>
      <c r="G149" s="600"/>
      <c r="H149" s="601" t="s">
        <v>214</v>
      </c>
      <c r="I149" s="600" t="s">
        <v>86</v>
      </c>
      <c r="J149" s="263" t="s">
        <v>64</v>
      </c>
      <c r="K149" s="263" t="s">
        <v>215</v>
      </c>
      <c r="L149" s="263" t="s">
        <v>8</v>
      </c>
      <c r="M149" s="603" t="s">
        <v>65</v>
      </c>
      <c r="N149" s="605"/>
      <c r="O149" s="605"/>
      <c r="P149" s="605"/>
      <c r="Q149" s="605"/>
      <c r="R149" s="605"/>
      <c r="S149" s="605"/>
      <c r="T149" s="605"/>
      <c r="U149" s="605"/>
      <c r="V149" s="605"/>
      <c r="W149" s="605"/>
      <c r="X149" s="605">
        <v>46255</v>
      </c>
      <c r="Y149" s="605"/>
      <c r="Z149" s="605"/>
      <c r="AA149" s="605"/>
      <c r="AB149" s="612">
        <f>AD149-3</f>
        <v>46335</v>
      </c>
      <c r="AC149" s="612">
        <v>46337</v>
      </c>
      <c r="AD149" s="612">
        <v>46338</v>
      </c>
      <c r="AE149" s="612">
        <v>46339</v>
      </c>
      <c r="AF149" s="612">
        <v>46385</v>
      </c>
      <c r="AG149" s="612">
        <v>46409</v>
      </c>
      <c r="AH149" s="612">
        <v>46412</v>
      </c>
      <c r="AI149" s="605">
        <v>46426</v>
      </c>
      <c r="AJ149" s="605">
        <v>46442</v>
      </c>
      <c r="AK149" s="606">
        <v>22</v>
      </c>
      <c r="AL149" s="607">
        <v>154</v>
      </c>
      <c r="AM149" s="613">
        <v>46412</v>
      </c>
      <c r="AN149" s="608">
        <f>AR148-7</f>
        <v>46415</v>
      </c>
      <c r="AO149" s="600">
        <f>AN149-AM149</f>
        <v>3</v>
      </c>
      <c r="AP149" s="609"/>
      <c r="AQ149" s="610" t="s">
        <v>66</v>
      </c>
      <c r="AR149" s="611">
        <v>46476</v>
      </c>
      <c r="AS149" s="608"/>
    </row>
    <row r="150" spans="1:45" s="548" customFormat="1" ht="24" customHeight="1">
      <c r="A150" s="615"/>
      <c r="B150" s="616" t="s">
        <v>212</v>
      </c>
      <c r="C150" s="649" t="s">
        <v>213</v>
      </c>
      <c r="D150" s="617"/>
      <c r="E150" s="618"/>
      <c r="F150" s="631"/>
      <c r="G150" s="620"/>
      <c r="H150" s="621"/>
      <c r="I150" s="620" t="s">
        <v>86</v>
      </c>
      <c r="J150" s="616" t="s">
        <v>64</v>
      </c>
      <c r="K150" s="727" t="s">
        <v>215</v>
      </c>
      <c r="L150" s="616" t="s">
        <v>8</v>
      </c>
      <c r="M150" s="622" t="s">
        <v>67</v>
      </c>
      <c r="N150" s="623">
        <v>46174</v>
      </c>
      <c r="O150" s="623">
        <v>46167</v>
      </c>
      <c r="P150" s="623">
        <v>46183</v>
      </c>
      <c r="Q150" s="623">
        <v>46183</v>
      </c>
      <c r="R150" s="623">
        <v>46183</v>
      </c>
      <c r="S150" s="623">
        <v>46188</v>
      </c>
      <c r="T150" s="623">
        <v>46198</v>
      </c>
      <c r="U150" s="623">
        <v>46227</v>
      </c>
      <c r="V150" s="623">
        <v>46254</v>
      </c>
      <c r="W150" s="623">
        <v>46258</v>
      </c>
      <c r="X150" s="620"/>
      <c r="Y150" s="623">
        <v>46258</v>
      </c>
      <c r="Z150" s="623">
        <v>46266</v>
      </c>
      <c r="AA150" s="623">
        <f>Z150+1</f>
        <v>46267</v>
      </c>
      <c r="AB150" s="623"/>
      <c r="AC150" s="623"/>
      <c r="AD150" s="623"/>
      <c r="AE150" s="623"/>
      <c r="AF150" s="623"/>
      <c r="AG150" s="623"/>
      <c r="AH150" s="623"/>
      <c r="AI150" s="623"/>
      <c r="AJ150" s="623"/>
      <c r="AK150" s="624"/>
      <c r="AL150" s="625"/>
      <c r="AM150" s="623"/>
      <c r="AN150" s="626"/>
      <c r="AO150" s="620"/>
      <c r="AP150" s="627"/>
      <c r="AQ150" s="628"/>
      <c r="AR150" s="627" t="s">
        <v>216</v>
      </c>
      <c r="AS150" s="626" t="s">
        <v>217</v>
      </c>
    </row>
    <row r="151" spans="1:45" s="548" customFormat="1" ht="24" hidden="1" customHeight="1">
      <c r="A151" s="595">
        <v>49</v>
      </c>
      <c r="B151" s="263" t="s">
        <v>218</v>
      </c>
      <c r="C151" s="263" t="s">
        <v>219</v>
      </c>
      <c r="D151" s="597"/>
      <c r="E151" s="598"/>
      <c r="F151" s="599"/>
      <c r="G151" s="600"/>
      <c r="H151" s="601"/>
      <c r="I151" s="600" t="s">
        <v>86</v>
      </c>
      <c r="J151" s="263"/>
      <c r="K151" s="602"/>
      <c r="L151" s="263" t="s">
        <v>8</v>
      </c>
      <c r="M151" s="603" t="s">
        <v>60</v>
      </c>
      <c r="N151" s="604"/>
      <c r="O151" s="605">
        <v>46163</v>
      </c>
      <c r="P151" s="605">
        <v>46170</v>
      </c>
      <c r="Q151" s="605">
        <v>46171</v>
      </c>
      <c r="R151" s="605">
        <v>46182</v>
      </c>
      <c r="S151" s="605">
        <v>46183</v>
      </c>
      <c r="T151" s="605">
        <v>46197</v>
      </c>
      <c r="U151" s="605">
        <v>46218</v>
      </c>
      <c r="V151" s="605">
        <v>46234</v>
      </c>
      <c r="W151" s="605"/>
      <c r="X151" s="605">
        <v>46247</v>
      </c>
      <c r="Y151" s="605">
        <v>46251</v>
      </c>
      <c r="Z151" s="605">
        <v>46258</v>
      </c>
      <c r="AA151" s="605">
        <v>46279</v>
      </c>
      <c r="AB151" s="605">
        <v>46293</v>
      </c>
      <c r="AC151" s="605">
        <v>46353</v>
      </c>
      <c r="AD151" s="605">
        <v>46356</v>
      </c>
      <c r="AE151" s="605">
        <v>46357</v>
      </c>
      <c r="AF151" s="605">
        <v>46406</v>
      </c>
      <c r="AG151" s="605">
        <v>46420</v>
      </c>
      <c r="AH151" s="605">
        <v>46427</v>
      </c>
      <c r="AI151" s="605">
        <v>46441</v>
      </c>
      <c r="AJ151" s="605">
        <v>46457</v>
      </c>
      <c r="AK151" s="630">
        <v>25.714285714285701</v>
      </c>
      <c r="AL151" s="607">
        <f>AK151*7</f>
        <v>179.99999999999991</v>
      </c>
      <c r="AM151" s="605">
        <f>X151+AL151</f>
        <v>46427</v>
      </c>
      <c r="AN151" s="608">
        <f>AN152</f>
        <v>46415</v>
      </c>
      <c r="AO151" s="600">
        <f>AN152-AM151</f>
        <v>-12</v>
      </c>
      <c r="AP151" s="609"/>
      <c r="AQ151" s="610" t="s">
        <v>62</v>
      </c>
      <c r="AR151" s="611">
        <v>46422</v>
      </c>
      <c r="AS151" s="608"/>
    </row>
    <row r="152" spans="1:45" s="548" customFormat="1" ht="24" customHeight="1">
      <c r="A152" s="595"/>
      <c r="B152" s="263" t="s">
        <v>218</v>
      </c>
      <c r="C152" s="596" t="s">
        <v>219</v>
      </c>
      <c r="D152" s="597"/>
      <c r="E152" s="598"/>
      <c r="F152" s="629"/>
      <c r="G152" s="600"/>
      <c r="H152" s="601" t="s">
        <v>214</v>
      </c>
      <c r="I152" s="600" t="s">
        <v>86</v>
      </c>
      <c r="J152" s="263" t="s">
        <v>64</v>
      </c>
      <c r="K152" s="263" t="s">
        <v>215</v>
      </c>
      <c r="L152" s="263" t="s">
        <v>8</v>
      </c>
      <c r="M152" s="603" t="s">
        <v>65</v>
      </c>
      <c r="N152" s="605"/>
      <c r="O152" s="605"/>
      <c r="P152" s="605"/>
      <c r="Q152" s="605"/>
      <c r="R152" s="605"/>
      <c r="S152" s="605"/>
      <c r="T152" s="605"/>
      <c r="U152" s="605"/>
      <c r="V152" s="605"/>
      <c r="W152" s="605"/>
      <c r="X152" s="605">
        <v>46255</v>
      </c>
      <c r="Y152" s="605"/>
      <c r="Z152" s="605"/>
      <c r="AA152" s="605"/>
      <c r="AB152" s="612">
        <f>AD152-1</f>
        <v>46329</v>
      </c>
      <c r="AC152" s="612">
        <f>AB152</f>
        <v>46329</v>
      </c>
      <c r="AD152" s="612">
        <f>AE152-1</f>
        <v>46330</v>
      </c>
      <c r="AE152" s="612">
        <v>46331</v>
      </c>
      <c r="AF152" s="612">
        <v>46370</v>
      </c>
      <c r="AG152" s="612">
        <v>46029</v>
      </c>
      <c r="AH152" s="605">
        <v>46398</v>
      </c>
      <c r="AI152" s="605">
        <v>46412</v>
      </c>
      <c r="AJ152" s="605">
        <v>46428</v>
      </c>
      <c r="AK152" s="606">
        <v>20</v>
      </c>
      <c r="AL152" s="607">
        <v>140</v>
      </c>
      <c r="AM152" s="613">
        <v>46398</v>
      </c>
      <c r="AN152" s="608">
        <f>AR151-7</f>
        <v>46415</v>
      </c>
      <c r="AO152" s="600">
        <f>AN152-AM152</f>
        <v>17</v>
      </c>
      <c r="AP152" s="609"/>
      <c r="AQ152" s="610" t="s">
        <v>66</v>
      </c>
      <c r="AR152" s="611">
        <v>46476</v>
      </c>
      <c r="AS152" s="608"/>
    </row>
    <row r="153" spans="1:45" s="548" customFormat="1" ht="24" customHeight="1">
      <c r="A153" s="615"/>
      <c r="B153" s="616" t="s">
        <v>218</v>
      </c>
      <c r="C153" s="649" t="s">
        <v>219</v>
      </c>
      <c r="D153" s="617"/>
      <c r="E153" s="618"/>
      <c r="F153" s="631"/>
      <c r="G153" s="620"/>
      <c r="H153" s="621"/>
      <c r="I153" s="620" t="s">
        <v>86</v>
      </c>
      <c r="J153" s="616" t="s">
        <v>64</v>
      </c>
      <c r="K153" s="727" t="s">
        <v>215</v>
      </c>
      <c r="L153" s="616" t="s">
        <v>8</v>
      </c>
      <c r="M153" s="622" t="s">
        <v>67</v>
      </c>
      <c r="N153" s="623">
        <v>46174</v>
      </c>
      <c r="O153" s="623">
        <v>46167</v>
      </c>
      <c r="P153" s="623">
        <v>46183</v>
      </c>
      <c r="Q153" s="623">
        <v>46183</v>
      </c>
      <c r="R153" s="623">
        <v>46183</v>
      </c>
      <c r="S153" s="623">
        <v>46188</v>
      </c>
      <c r="T153" s="623">
        <v>46198</v>
      </c>
      <c r="U153" s="623">
        <v>46227</v>
      </c>
      <c r="V153" s="623">
        <v>46256</v>
      </c>
      <c r="W153" s="623">
        <v>46258</v>
      </c>
      <c r="X153" s="620"/>
      <c r="Y153" s="623">
        <v>46258</v>
      </c>
      <c r="Z153" s="623">
        <v>46266</v>
      </c>
      <c r="AA153" s="623">
        <f>Z153+1</f>
        <v>46267</v>
      </c>
      <c r="AB153" s="623"/>
      <c r="AC153" s="623"/>
      <c r="AD153" s="623"/>
      <c r="AE153" s="623"/>
      <c r="AF153" s="623"/>
      <c r="AG153" s="623"/>
      <c r="AH153" s="623"/>
      <c r="AI153" s="623"/>
      <c r="AJ153" s="623"/>
      <c r="AK153" s="624"/>
      <c r="AL153" s="625"/>
      <c r="AM153" s="623"/>
      <c r="AN153" s="626"/>
      <c r="AO153" s="620"/>
      <c r="AP153" s="627"/>
      <c r="AQ153" s="628"/>
      <c r="AR153" s="627" t="s">
        <v>216</v>
      </c>
      <c r="AS153" s="626"/>
    </row>
    <row r="154" spans="1:45" s="548" customFormat="1" ht="24" hidden="1" customHeight="1">
      <c r="A154" s="595">
        <v>50</v>
      </c>
      <c r="B154" s="263" t="s">
        <v>220</v>
      </c>
      <c r="C154" s="263" t="s">
        <v>221</v>
      </c>
      <c r="D154" s="597"/>
      <c r="E154" s="598"/>
      <c r="F154" s="599"/>
      <c r="G154" s="600"/>
      <c r="H154" s="601"/>
      <c r="I154" s="600" t="s">
        <v>86</v>
      </c>
      <c r="J154" s="263"/>
      <c r="K154" s="602"/>
      <c r="L154" s="263" t="s">
        <v>8</v>
      </c>
      <c r="M154" s="603" t="s">
        <v>60</v>
      </c>
      <c r="N154" s="604"/>
      <c r="O154" s="605">
        <v>46163</v>
      </c>
      <c r="P154" s="605">
        <v>46170</v>
      </c>
      <c r="Q154" s="605">
        <v>46171</v>
      </c>
      <c r="R154" s="605">
        <v>46182</v>
      </c>
      <c r="S154" s="605">
        <v>46183</v>
      </c>
      <c r="T154" s="605">
        <v>46197</v>
      </c>
      <c r="U154" s="605">
        <v>46225</v>
      </c>
      <c r="V154" s="605">
        <v>46241</v>
      </c>
      <c r="W154" s="605"/>
      <c r="X154" s="605">
        <v>46254</v>
      </c>
      <c r="Y154" s="605">
        <v>46258</v>
      </c>
      <c r="Z154" s="605">
        <v>46265</v>
      </c>
      <c r="AA154" s="605">
        <v>46286</v>
      </c>
      <c r="AB154" s="605">
        <v>46300</v>
      </c>
      <c r="AC154" s="605">
        <v>46360</v>
      </c>
      <c r="AD154" s="605">
        <v>46363</v>
      </c>
      <c r="AE154" s="605">
        <v>46364</v>
      </c>
      <c r="AF154" s="605">
        <v>46413</v>
      </c>
      <c r="AG154" s="605">
        <v>46427</v>
      </c>
      <c r="AH154" s="605">
        <v>46434</v>
      </c>
      <c r="AI154" s="605">
        <v>46448</v>
      </c>
      <c r="AJ154" s="605">
        <v>46464</v>
      </c>
      <c r="AK154" s="630">
        <v>25.714285714285701</v>
      </c>
      <c r="AL154" s="607">
        <f>AK154*7</f>
        <v>179.99999999999991</v>
      </c>
      <c r="AM154" s="605">
        <f>X154+AL154</f>
        <v>46434</v>
      </c>
      <c r="AN154" s="608">
        <f>AN155</f>
        <v>46415</v>
      </c>
      <c r="AO154" s="600">
        <f>AN155-AM154</f>
        <v>-19</v>
      </c>
      <c r="AP154" s="609"/>
      <c r="AQ154" s="610" t="s">
        <v>62</v>
      </c>
      <c r="AR154" s="611">
        <v>46422</v>
      </c>
      <c r="AS154" s="608"/>
    </row>
    <row r="155" spans="1:45" s="548" customFormat="1" ht="24" customHeight="1">
      <c r="A155" s="595"/>
      <c r="B155" s="263" t="s">
        <v>220</v>
      </c>
      <c r="C155" s="596" t="s">
        <v>221</v>
      </c>
      <c r="D155" s="597"/>
      <c r="E155" s="598"/>
      <c r="F155" s="629"/>
      <c r="G155" s="600"/>
      <c r="H155" s="601" t="s">
        <v>214</v>
      </c>
      <c r="I155" s="600" t="s">
        <v>86</v>
      </c>
      <c r="J155" s="263" t="s">
        <v>64</v>
      </c>
      <c r="K155" s="263" t="s">
        <v>215</v>
      </c>
      <c r="L155" s="263" t="s">
        <v>8</v>
      </c>
      <c r="M155" s="603" t="s">
        <v>65</v>
      </c>
      <c r="N155" s="605"/>
      <c r="O155" s="605"/>
      <c r="P155" s="605"/>
      <c r="Q155" s="605"/>
      <c r="R155" s="605"/>
      <c r="S155" s="605"/>
      <c r="T155" s="605"/>
      <c r="U155" s="605"/>
      <c r="V155" s="605"/>
      <c r="W155" s="605"/>
      <c r="X155" s="605">
        <v>46258</v>
      </c>
      <c r="Y155" s="605"/>
      <c r="Z155" s="605"/>
      <c r="AA155" s="605"/>
      <c r="AB155" s="612">
        <f>AD155-1</f>
        <v>46329</v>
      </c>
      <c r="AC155" s="612">
        <f>AB155</f>
        <v>46329</v>
      </c>
      <c r="AD155" s="612">
        <f>AE155-1</f>
        <v>46330</v>
      </c>
      <c r="AE155" s="612">
        <v>46331</v>
      </c>
      <c r="AF155" s="612">
        <v>46370</v>
      </c>
      <c r="AG155" s="612">
        <v>46029</v>
      </c>
      <c r="AH155" s="605">
        <v>46398</v>
      </c>
      <c r="AI155" s="605">
        <v>46412</v>
      </c>
      <c r="AJ155" s="605">
        <v>46428</v>
      </c>
      <c r="AK155" s="606">
        <v>20</v>
      </c>
      <c r="AL155" s="607">
        <v>140</v>
      </c>
      <c r="AM155" s="613">
        <v>46398</v>
      </c>
      <c r="AN155" s="608">
        <f>AR154-7</f>
        <v>46415</v>
      </c>
      <c r="AO155" s="600">
        <f>AN155-AM155</f>
        <v>17</v>
      </c>
      <c r="AP155" s="609"/>
      <c r="AQ155" s="610" t="s">
        <v>66</v>
      </c>
      <c r="AR155" s="611">
        <v>46476</v>
      </c>
      <c r="AS155" s="608"/>
    </row>
    <row r="156" spans="1:45" s="548" customFormat="1" ht="24" customHeight="1">
      <c r="A156" s="615"/>
      <c r="B156" s="616" t="s">
        <v>220</v>
      </c>
      <c r="C156" s="649" t="s">
        <v>221</v>
      </c>
      <c r="D156" s="597"/>
      <c r="E156" s="618"/>
      <c r="F156" s="629"/>
      <c r="G156" s="620"/>
      <c r="H156" s="621"/>
      <c r="I156" s="620" t="s">
        <v>86</v>
      </c>
      <c r="J156" s="616" t="s">
        <v>64</v>
      </c>
      <c r="K156" s="727" t="s">
        <v>215</v>
      </c>
      <c r="L156" s="616" t="s">
        <v>8</v>
      </c>
      <c r="M156" s="622" t="s">
        <v>67</v>
      </c>
      <c r="N156" s="623">
        <v>46174</v>
      </c>
      <c r="O156" s="623">
        <v>46167</v>
      </c>
      <c r="P156" s="623">
        <v>46183</v>
      </c>
      <c r="Q156" s="623">
        <v>46183</v>
      </c>
      <c r="R156" s="623">
        <v>46183</v>
      </c>
      <c r="S156" s="623">
        <v>46188</v>
      </c>
      <c r="T156" s="623">
        <v>46198</v>
      </c>
      <c r="U156" s="623">
        <v>46227</v>
      </c>
      <c r="V156" s="623">
        <v>46248</v>
      </c>
      <c r="W156" s="623">
        <v>46258</v>
      </c>
      <c r="X156" s="620"/>
      <c r="Y156" s="623">
        <v>46258</v>
      </c>
      <c r="Z156" s="623">
        <v>46266</v>
      </c>
      <c r="AA156" s="623">
        <f>Z156+1</f>
        <v>46267</v>
      </c>
      <c r="AB156" s="623"/>
      <c r="AC156" s="623"/>
      <c r="AD156" s="623"/>
      <c r="AE156" s="623"/>
      <c r="AF156" s="623"/>
      <c r="AG156" s="623"/>
      <c r="AH156" s="623"/>
      <c r="AI156" s="623"/>
      <c r="AJ156" s="623"/>
      <c r="AK156" s="624"/>
      <c r="AL156" s="625"/>
      <c r="AM156" s="623"/>
      <c r="AN156" s="626"/>
      <c r="AO156" s="620"/>
      <c r="AP156" s="627"/>
      <c r="AQ156" s="628"/>
      <c r="AR156" s="627" t="s">
        <v>216</v>
      </c>
      <c r="AS156" s="626" t="s">
        <v>217</v>
      </c>
    </row>
    <row r="157" spans="1:45" s="548" customFormat="1" ht="24" hidden="1" customHeight="1">
      <c r="A157" s="595">
        <v>51</v>
      </c>
      <c r="B157" s="263" t="s">
        <v>222</v>
      </c>
      <c r="C157" s="263" t="s">
        <v>223</v>
      </c>
      <c r="D157" s="597"/>
      <c r="E157" s="598"/>
      <c r="F157" s="599"/>
      <c r="G157" s="600"/>
      <c r="H157" s="601"/>
      <c r="I157" s="600" t="s">
        <v>86</v>
      </c>
      <c r="J157" s="263"/>
      <c r="K157" s="602"/>
      <c r="L157" s="263" t="s">
        <v>8</v>
      </c>
      <c r="M157" s="603" t="s">
        <v>60</v>
      </c>
      <c r="N157" s="604"/>
      <c r="O157" s="605">
        <v>46163</v>
      </c>
      <c r="P157" s="605">
        <v>46170</v>
      </c>
      <c r="Q157" s="605">
        <v>46171</v>
      </c>
      <c r="R157" s="605">
        <v>46182</v>
      </c>
      <c r="S157" s="605">
        <v>46183</v>
      </c>
      <c r="T157" s="605">
        <v>46197</v>
      </c>
      <c r="U157" s="605">
        <v>46225</v>
      </c>
      <c r="V157" s="605">
        <v>46241</v>
      </c>
      <c r="W157" s="605"/>
      <c r="X157" s="605">
        <v>46254</v>
      </c>
      <c r="Y157" s="605">
        <v>46258</v>
      </c>
      <c r="Z157" s="605">
        <v>46265</v>
      </c>
      <c r="AA157" s="605">
        <v>46286</v>
      </c>
      <c r="AB157" s="605">
        <v>46300</v>
      </c>
      <c r="AC157" s="605">
        <v>46360</v>
      </c>
      <c r="AD157" s="605">
        <v>46363</v>
      </c>
      <c r="AE157" s="605">
        <v>46364</v>
      </c>
      <c r="AF157" s="605">
        <v>46413</v>
      </c>
      <c r="AG157" s="605">
        <v>46427</v>
      </c>
      <c r="AH157" s="605">
        <v>46434</v>
      </c>
      <c r="AI157" s="605">
        <v>46448</v>
      </c>
      <c r="AJ157" s="605">
        <v>46464</v>
      </c>
      <c r="AK157" s="630">
        <v>25.714285714285701</v>
      </c>
      <c r="AL157" s="607">
        <f>AK157*7</f>
        <v>179.99999999999991</v>
      </c>
      <c r="AM157" s="605">
        <f>X157+AL157</f>
        <v>46434</v>
      </c>
      <c r="AN157" s="608">
        <f>AN158</f>
        <v>46415</v>
      </c>
      <c r="AO157" s="600">
        <f>AN158-AM157</f>
        <v>-19</v>
      </c>
      <c r="AP157" s="609"/>
      <c r="AQ157" s="610" t="s">
        <v>62</v>
      </c>
      <c r="AR157" s="611">
        <v>46422</v>
      </c>
      <c r="AS157" s="608"/>
    </row>
    <row r="158" spans="1:45" s="548" customFormat="1" ht="24" customHeight="1">
      <c r="A158" s="595"/>
      <c r="B158" s="263" t="s">
        <v>222</v>
      </c>
      <c r="C158" s="596" t="s">
        <v>223</v>
      </c>
      <c r="D158" s="597"/>
      <c r="E158" s="598"/>
      <c r="F158" s="629"/>
      <c r="G158" s="600"/>
      <c r="H158" s="601" t="s">
        <v>214</v>
      </c>
      <c r="I158" s="600" t="s">
        <v>86</v>
      </c>
      <c r="J158" s="263" t="s">
        <v>64</v>
      </c>
      <c r="K158" s="263" t="s">
        <v>215</v>
      </c>
      <c r="L158" s="263" t="s">
        <v>8</v>
      </c>
      <c r="M158" s="603" t="s">
        <v>65</v>
      </c>
      <c r="N158" s="605"/>
      <c r="O158" s="605"/>
      <c r="P158" s="605"/>
      <c r="Q158" s="605"/>
      <c r="R158" s="605"/>
      <c r="S158" s="605"/>
      <c r="T158" s="605"/>
      <c r="U158" s="605"/>
      <c r="V158" s="605"/>
      <c r="W158" s="605"/>
      <c r="X158" s="605">
        <v>46258</v>
      </c>
      <c r="Y158" s="605"/>
      <c r="Z158" s="605"/>
      <c r="AA158" s="605"/>
      <c r="AB158" s="612">
        <f>AD158-1</f>
        <v>46329</v>
      </c>
      <c r="AC158" s="612">
        <f>AB158</f>
        <v>46329</v>
      </c>
      <c r="AD158" s="612">
        <f>AE158-1</f>
        <v>46330</v>
      </c>
      <c r="AE158" s="612">
        <v>46331</v>
      </c>
      <c r="AF158" s="612">
        <v>46370</v>
      </c>
      <c r="AG158" s="612">
        <v>46029</v>
      </c>
      <c r="AH158" s="605">
        <v>46398</v>
      </c>
      <c r="AI158" s="605">
        <v>46412</v>
      </c>
      <c r="AJ158" s="605">
        <v>46428</v>
      </c>
      <c r="AK158" s="606">
        <v>20</v>
      </c>
      <c r="AL158" s="607">
        <v>140</v>
      </c>
      <c r="AM158" s="613">
        <v>46398</v>
      </c>
      <c r="AN158" s="608">
        <f>AR157-7</f>
        <v>46415</v>
      </c>
      <c r="AO158" s="600">
        <f>AN158-AM158</f>
        <v>17</v>
      </c>
      <c r="AP158" s="609"/>
      <c r="AQ158" s="610" t="s">
        <v>66</v>
      </c>
      <c r="AR158" s="611">
        <v>46476</v>
      </c>
      <c r="AS158" s="608"/>
    </row>
    <row r="159" spans="1:45" s="548" customFormat="1" ht="24" customHeight="1">
      <c r="A159" s="615"/>
      <c r="B159" s="616" t="s">
        <v>222</v>
      </c>
      <c r="C159" s="649" t="s">
        <v>223</v>
      </c>
      <c r="D159" s="617"/>
      <c r="E159" s="618"/>
      <c r="F159" s="631"/>
      <c r="G159" s="620"/>
      <c r="H159" s="621"/>
      <c r="I159" s="620" t="s">
        <v>86</v>
      </c>
      <c r="J159" s="616" t="s">
        <v>64</v>
      </c>
      <c r="K159" s="727" t="s">
        <v>215</v>
      </c>
      <c r="L159" s="616" t="s">
        <v>8</v>
      </c>
      <c r="M159" s="622" t="s">
        <v>67</v>
      </c>
      <c r="N159" s="623">
        <v>46174</v>
      </c>
      <c r="O159" s="623">
        <v>46167</v>
      </c>
      <c r="P159" s="623">
        <v>46183</v>
      </c>
      <c r="Q159" s="623">
        <v>46183</v>
      </c>
      <c r="R159" s="623">
        <v>46183</v>
      </c>
      <c r="S159" s="623">
        <v>46188</v>
      </c>
      <c r="T159" s="623">
        <v>46198</v>
      </c>
      <c r="U159" s="623">
        <v>46227</v>
      </c>
      <c r="V159" s="623">
        <v>46256</v>
      </c>
      <c r="W159" s="623">
        <v>46258</v>
      </c>
      <c r="X159" s="620"/>
      <c r="Y159" s="623">
        <v>46258</v>
      </c>
      <c r="Z159" s="623">
        <v>46266</v>
      </c>
      <c r="AA159" s="623">
        <f>Z159+1</f>
        <v>46267</v>
      </c>
      <c r="AB159" s="623"/>
      <c r="AC159" s="623"/>
      <c r="AD159" s="623"/>
      <c r="AE159" s="623"/>
      <c r="AF159" s="623"/>
      <c r="AG159" s="623"/>
      <c r="AH159" s="623"/>
      <c r="AI159" s="623"/>
      <c r="AJ159" s="623"/>
      <c r="AK159" s="624"/>
      <c r="AL159" s="625"/>
      <c r="AM159" s="623"/>
      <c r="AN159" s="626"/>
      <c r="AO159" s="620"/>
      <c r="AP159" s="627"/>
      <c r="AQ159" s="628"/>
      <c r="AR159" s="627" t="s">
        <v>216</v>
      </c>
      <c r="AS159" s="626"/>
    </row>
    <row r="160" spans="1:45" s="548" customFormat="1" ht="24" hidden="1" customHeight="1">
      <c r="A160" s="595">
        <v>52</v>
      </c>
      <c r="B160" s="263" t="s">
        <v>224</v>
      </c>
      <c r="C160" s="263" t="s">
        <v>225</v>
      </c>
      <c r="D160" s="597"/>
      <c r="E160" s="598"/>
      <c r="F160" s="599"/>
      <c r="G160" s="600"/>
      <c r="H160" s="601"/>
      <c r="I160" s="600" t="s">
        <v>86</v>
      </c>
      <c r="J160" s="263"/>
      <c r="K160" s="602"/>
      <c r="L160" s="263" t="s">
        <v>8</v>
      </c>
      <c r="M160" s="603" t="s">
        <v>60</v>
      </c>
      <c r="N160" s="604"/>
      <c r="O160" s="605">
        <v>46163</v>
      </c>
      <c r="P160" s="605">
        <v>46170</v>
      </c>
      <c r="Q160" s="605">
        <v>46171</v>
      </c>
      <c r="R160" s="605">
        <v>46182</v>
      </c>
      <c r="S160" s="605">
        <v>46183</v>
      </c>
      <c r="T160" s="605">
        <v>46197</v>
      </c>
      <c r="U160" s="605">
        <v>46225</v>
      </c>
      <c r="V160" s="605">
        <v>46241</v>
      </c>
      <c r="W160" s="605"/>
      <c r="X160" s="605">
        <v>46254</v>
      </c>
      <c r="Y160" s="605">
        <v>46258</v>
      </c>
      <c r="Z160" s="605">
        <v>46265</v>
      </c>
      <c r="AA160" s="605">
        <v>46286</v>
      </c>
      <c r="AB160" s="605">
        <v>46300</v>
      </c>
      <c r="AC160" s="605">
        <v>46360</v>
      </c>
      <c r="AD160" s="605">
        <v>46363</v>
      </c>
      <c r="AE160" s="605">
        <v>46364</v>
      </c>
      <c r="AF160" s="605">
        <v>46429</v>
      </c>
      <c r="AG160" s="605">
        <v>46443</v>
      </c>
      <c r="AH160" s="605">
        <v>46450</v>
      </c>
      <c r="AI160" s="605">
        <v>46464</v>
      </c>
      <c r="AJ160" s="605">
        <v>46480</v>
      </c>
      <c r="AK160" s="630">
        <v>28</v>
      </c>
      <c r="AL160" s="607">
        <f>AK160*7</f>
        <v>196</v>
      </c>
      <c r="AM160" s="605">
        <f>X160+AL160</f>
        <v>46450</v>
      </c>
      <c r="AN160" s="608">
        <f>AN161</f>
        <v>46415</v>
      </c>
      <c r="AO160" s="600">
        <f>AN161-AM160</f>
        <v>-35</v>
      </c>
      <c r="AP160" s="609"/>
      <c r="AQ160" s="610" t="s">
        <v>62</v>
      </c>
      <c r="AR160" s="611">
        <v>46422</v>
      </c>
      <c r="AS160" s="608"/>
    </row>
    <row r="161" spans="1:45" s="548" customFormat="1" ht="24" customHeight="1">
      <c r="A161" s="595"/>
      <c r="B161" s="263" t="s">
        <v>224</v>
      </c>
      <c r="C161" s="596" t="s">
        <v>225</v>
      </c>
      <c r="D161" s="597"/>
      <c r="E161" s="598"/>
      <c r="F161" s="629"/>
      <c r="G161" s="600"/>
      <c r="H161" s="601" t="s">
        <v>214</v>
      </c>
      <c r="I161" s="600" t="s">
        <v>86</v>
      </c>
      <c r="J161" s="263" t="s">
        <v>64</v>
      </c>
      <c r="K161" s="263" t="s">
        <v>215</v>
      </c>
      <c r="L161" s="263" t="s">
        <v>8</v>
      </c>
      <c r="M161" s="603" t="s">
        <v>65</v>
      </c>
      <c r="N161" s="605"/>
      <c r="O161" s="605"/>
      <c r="P161" s="605"/>
      <c r="Q161" s="605"/>
      <c r="R161" s="605"/>
      <c r="S161" s="605"/>
      <c r="T161" s="605"/>
      <c r="U161" s="605"/>
      <c r="V161" s="605"/>
      <c r="W161" s="605"/>
      <c r="X161" s="605">
        <v>46255</v>
      </c>
      <c r="Y161" s="605"/>
      <c r="Z161" s="605"/>
      <c r="AA161" s="612"/>
      <c r="AB161" s="605">
        <f>AC161-1</f>
        <v>46344</v>
      </c>
      <c r="AC161" s="612">
        <f>AD161-1</f>
        <v>46345</v>
      </c>
      <c r="AD161" s="612">
        <f>AE161-1</f>
        <v>46346</v>
      </c>
      <c r="AE161" s="612">
        <v>46347</v>
      </c>
      <c r="AF161" s="612">
        <v>46016</v>
      </c>
      <c r="AG161" s="612">
        <v>46030</v>
      </c>
      <c r="AH161" s="605">
        <v>46400</v>
      </c>
      <c r="AI161" s="605">
        <v>46414</v>
      </c>
      <c r="AJ161" s="605">
        <v>46430</v>
      </c>
      <c r="AK161" s="606">
        <v>20</v>
      </c>
      <c r="AL161" s="607">
        <v>140</v>
      </c>
      <c r="AM161" s="613">
        <v>46400</v>
      </c>
      <c r="AN161" s="608">
        <f>AR160-7</f>
        <v>46415</v>
      </c>
      <c r="AO161" s="600">
        <f>AN161-AM161</f>
        <v>15</v>
      </c>
      <c r="AP161" s="609"/>
      <c r="AQ161" s="610" t="s">
        <v>66</v>
      </c>
      <c r="AR161" s="611">
        <v>46476</v>
      </c>
      <c r="AS161" s="608"/>
    </row>
    <row r="162" spans="1:45" s="548" customFormat="1" ht="24" customHeight="1">
      <c r="A162" s="615"/>
      <c r="B162" s="616" t="s">
        <v>224</v>
      </c>
      <c r="C162" s="649" t="s">
        <v>225</v>
      </c>
      <c r="D162" s="597"/>
      <c r="E162" s="618"/>
      <c r="F162" s="629"/>
      <c r="G162" s="620"/>
      <c r="H162" s="621"/>
      <c r="I162" s="620" t="s">
        <v>86</v>
      </c>
      <c r="J162" s="616" t="s">
        <v>64</v>
      </c>
      <c r="K162" s="727" t="s">
        <v>215</v>
      </c>
      <c r="L162" s="616" t="s">
        <v>8</v>
      </c>
      <c r="M162" s="622" t="s">
        <v>67</v>
      </c>
      <c r="N162" s="623">
        <v>46174</v>
      </c>
      <c r="O162" s="623">
        <v>46167</v>
      </c>
      <c r="P162" s="623">
        <v>46183</v>
      </c>
      <c r="Q162" s="623">
        <v>46183</v>
      </c>
      <c r="R162" s="623">
        <v>46183</v>
      </c>
      <c r="S162" s="623">
        <v>46188</v>
      </c>
      <c r="T162" s="623">
        <v>46198</v>
      </c>
      <c r="U162" s="623">
        <v>46227</v>
      </c>
      <c r="V162" s="623">
        <v>46260</v>
      </c>
      <c r="W162" s="623">
        <v>46260</v>
      </c>
      <c r="X162" s="620"/>
      <c r="Y162" s="623">
        <v>46260</v>
      </c>
      <c r="Z162" s="623">
        <v>46266</v>
      </c>
      <c r="AA162" s="623">
        <f>Z162+1</f>
        <v>46267</v>
      </c>
      <c r="AB162" s="623"/>
      <c r="AC162" s="623"/>
      <c r="AD162" s="623"/>
      <c r="AE162" s="623"/>
      <c r="AF162" s="623"/>
      <c r="AG162" s="623"/>
      <c r="AH162" s="623"/>
      <c r="AI162" s="623"/>
      <c r="AJ162" s="623"/>
      <c r="AK162" s="624"/>
      <c r="AL162" s="625"/>
      <c r="AM162" s="623"/>
      <c r="AN162" s="626"/>
      <c r="AO162" s="620"/>
      <c r="AP162" s="627"/>
      <c r="AQ162" s="628"/>
      <c r="AR162" s="627" t="s">
        <v>226</v>
      </c>
      <c r="AS162" s="626" t="s">
        <v>217</v>
      </c>
    </row>
    <row r="163" spans="1:45" s="548" customFormat="1" ht="24" hidden="1" customHeight="1">
      <c r="A163" s="595">
        <v>53</v>
      </c>
      <c r="B163" s="263" t="s">
        <v>227</v>
      </c>
      <c r="C163" s="263" t="s">
        <v>228</v>
      </c>
      <c r="D163" s="597"/>
      <c r="E163" s="598"/>
      <c r="F163" s="599"/>
      <c r="G163" s="600"/>
      <c r="H163" s="601"/>
      <c r="I163" s="600" t="s">
        <v>86</v>
      </c>
      <c r="J163" s="263"/>
      <c r="K163" s="602"/>
      <c r="L163" s="263" t="s">
        <v>8</v>
      </c>
      <c r="M163" s="603" t="s">
        <v>60</v>
      </c>
      <c r="N163" s="604"/>
      <c r="O163" s="605">
        <v>46163</v>
      </c>
      <c r="P163" s="605">
        <v>46170</v>
      </c>
      <c r="Q163" s="605">
        <v>46171</v>
      </c>
      <c r="R163" s="605">
        <v>46182</v>
      </c>
      <c r="S163" s="605">
        <v>46183</v>
      </c>
      <c r="T163" s="605">
        <v>46197</v>
      </c>
      <c r="U163" s="605">
        <v>46225</v>
      </c>
      <c r="V163" s="605">
        <v>46241</v>
      </c>
      <c r="W163" s="605"/>
      <c r="X163" s="605">
        <v>46254</v>
      </c>
      <c r="Y163" s="605">
        <v>46258</v>
      </c>
      <c r="Z163" s="605">
        <v>46265</v>
      </c>
      <c r="AA163" s="605">
        <v>46286</v>
      </c>
      <c r="AB163" s="605">
        <v>46300</v>
      </c>
      <c r="AC163" s="605">
        <v>46360</v>
      </c>
      <c r="AD163" s="605">
        <v>46363</v>
      </c>
      <c r="AE163" s="605">
        <v>46364</v>
      </c>
      <c r="AF163" s="605">
        <v>46429</v>
      </c>
      <c r="AG163" s="605">
        <v>46443</v>
      </c>
      <c r="AH163" s="605">
        <v>46450</v>
      </c>
      <c r="AI163" s="605">
        <v>46464</v>
      </c>
      <c r="AJ163" s="605">
        <v>46480</v>
      </c>
      <c r="AK163" s="630">
        <v>28</v>
      </c>
      <c r="AL163" s="607">
        <f>AK163*7</f>
        <v>196</v>
      </c>
      <c r="AM163" s="605">
        <f>X163+AL163</f>
        <v>46450</v>
      </c>
      <c r="AN163" s="608">
        <f>AN164</f>
        <v>46415</v>
      </c>
      <c r="AO163" s="600">
        <f>AN164-AM163</f>
        <v>-35</v>
      </c>
      <c r="AP163" s="609"/>
      <c r="AQ163" s="610" t="s">
        <v>62</v>
      </c>
      <c r="AR163" s="611">
        <v>46422</v>
      </c>
      <c r="AS163" s="608"/>
    </row>
    <row r="164" spans="1:45" s="548" customFormat="1" ht="24" customHeight="1">
      <c r="A164" s="595"/>
      <c r="B164" s="263" t="s">
        <v>227</v>
      </c>
      <c r="C164" s="596" t="s">
        <v>228</v>
      </c>
      <c r="D164" s="597"/>
      <c r="E164" s="598"/>
      <c r="F164" s="629"/>
      <c r="G164" s="600"/>
      <c r="H164" s="601" t="s">
        <v>214</v>
      </c>
      <c r="I164" s="600" t="s">
        <v>86</v>
      </c>
      <c r="J164" s="263" t="s">
        <v>64</v>
      </c>
      <c r="K164" s="263" t="s">
        <v>215</v>
      </c>
      <c r="L164" s="263" t="s">
        <v>8</v>
      </c>
      <c r="M164" s="603" t="s">
        <v>65</v>
      </c>
      <c r="N164" s="605"/>
      <c r="O164" s="605"/>
      <c r="P164" s="605"/>
      <c r="Q164" s="605"/>
      <c r="R164" s="605"/>
      <c r="S164" s="605"/>
      <c r="T164" s="605"/>
      <c r="U164" s="605"/>
      <c r="V164" s="605"/>
      <c r="W164" s="605"/>
      <c r="X164" s="605">
        <v>46255</v>
      </c>
      <c r="Y164" s="605"/>
      <c r="Z164" s="605"/>
      <c r="AA164" s="612"/>
      <c r="AB164" s="605">
        <v>46344</v>
      </c>
      <c r="AC164" s="612">
        <v>46345</v>
      </c>
      <c r="AD164" s="612">
        <v>46346</v>
      </c>
      <c r="AE164" s="612">
        <v>46347</v>
      </c>
      <c r="AF164" s="612">
        <v>46030</v>
      </c>
      <c r="AG164" s="612">
        <v>46030</v>
      </c>
      <c r="AH164" s="605">
        <v>46400</v>
      </c>
      <c r="AI164" s="605">
        <v>46414</v>
      </c>
      <c r="AJ164" s="605">
        <v>46430</v>
      </c>
      <c r="AK164" s="606">
        <v>20</v>
      </c>
      <c r="AL164" s="607">
        <v>140</v>
      </c>
      <c r="AM164" s="613">
        <v>46400</v>
      </c>
      <c r="AN164" s="608">
        <f>AR163-7</f>
        <v>46415</v>
      </c>
      <c r="AO164" s="600">
        <f>AN164-AM164</f>
        <v>15</v>
      </c>
      <c r="AP164" s="609"/>
      <c r="AQ164" s="610" t="s">
        <v>66</v>
      </c>
      <c r="AR164" s="611">
        <v>46476</v>
      </c>
      <c r="AS164" s="608"/>
    </row>
    <row r="165" spans="1:45" s="548" customFormat="1" ht="24" customHeight="1">
      <c r="A165" s="615"/>
      <c r="B165" s="616" t="s">
        <v>227</v>
      </c>
      <c r="C165" s="649" t="s">
        <v>228</v>
      </c>
      <c r="D165" s="617"/>
      <c r="E165" s="618"/>
      <c r="F165" s="631"/>
      <c r="G165" s="620"/>
      <c r="H165" s="621"/>
      <c r="I165" s="620" t="s">
        <v>86</v>
      </c>
      <c r="J165" s="616" t="s">
        <v>64</v>
      </c>
      <c r="K165" s="727" t="s">
        <v>215</v>
      </c>
      <c r="L165" s="616" t="s">
        <v>8</v>
      </c>
      <c r="M165" s="622" t="s">
        <v>67</v>
      </c>
      <c r="N165" s="623">
        <v>46174</v>
      </c>
      <c r="O165" s="623">
        <v>46167</v>
      </c>
      <c r="P165" s="623">
        <v>46183</v>
      </c>
      <c r="Q165" s="623">
        <v>46183</v>
      </c>
      <c r="R165" s="623">
        <v>46183</v>
      </c>
      <c r="S165" s="623">
        <v>46188</v>
      </c>
      <c r="T165" s="623">
        <v>46198</v>
      </c>
      <c r="U165" s="623">
        <v>46227</v>
      </c>
      <c r="V165" s="623">
        <v>46256</v>
      </c>
      <c r="W165" s="623">
        <v>46260</v>
      </c>
      <c r="X165" s="620"/>
      <c r="Y165" s="623">
        <v>46260</v>
      </c>
      <c r="Z165" s="623">
        <v>46269</v>
      </c>
      <c r="AA165" s="623">
        <f>Z165+1</f>
        <v>46270</v>
      </c>
      <c r="AB165" s="623"/>
      <c r="AC165" s="623"/>
      <c r="AD165" s="623"/>
      <c r="AE165" s="623"/>
      <c r="AF165" s="623"/>
      <c r="AG165" s="623"/>
      <c r="AH165" s="623"/>
      <c r="AI165" s="623"/>
      <c r="AJ165" s="623"/>
      <c r="AK165" s="624"/>
      <c r="AL165" s="625"/>
      <c r="AM165" s="623"/>
      <c r="AN165" s="626"/>
      <c r="AO165" s="620"/>
      <c r="AP165" s="627"/>
      <c r="AQ165" s="628"/>
      <c r="AR165" s="627" t="s">
        <v>226</v>
      </c>
      <c r="AS165" s="626"/>
    </row>
    <row r="166" spans="1:45" s="548" customFormat="1" ht="24" hidden="1" customHeight="1">
      <c r="A166" s="595">
        <v>54</v>
      </c>
      <c r="B166" s="263" t="s">
        <v>229</v>
      </c>
      <c r="C166" s="263" t="s">
        <v>230</v>
      </c>
      <c r="D166" s="597"/>
      <c r="E166" s="598"/>
      <c r="F166" s="599"/>
      <c r="G166" s="600"/>
      <c r="H166" s="601"/>
      <c r="I166" s="600" t="s">
        <v>86</v>
      </c>
      <c r="J166" s="263"/>
      <c r="K166" s="602"/>
      <c r="L166" s="263" t="s">
        <v>7</v>
      </c>
      <c r="M166" s="603" t="s">
        <v>60</v>
      </c>
      <c r="N166" s="604"/>
      <c r="O166" s="605">
        <v>46163</v>
      </c>
      <c r="P166" s="605">
        <v>46170</v>
      </c>
      <c r="Q166" s="605">
        <v>46171</v>
      </c>
      <c r="R166" s="605">
        <v>46182</v>
      </c>
      <c r="S166" s="605">
        <v>46183</v>
      </c>
      <c r="T166" s="605">
        <v>46197</v>
      </c>
      <c r="U166" s="605">
        <v>46225</v>
      </c>
      <c r="V166" s="605">
        <v>46241</v>
      </c>
      <c r="W166" s="605"/>
      <c r="X166" s="605">
        <v>46254</v>
      </c>
      <c r="Y166" s="605">
        <v>46258</v>
      </c>
      <c r="Z166" s="605">
        <v>46265</v>
      </c>
      <c r="AA166" s="605">
        <v>46286</v>
      </c>
      <c r="AB166" s="605">
        <v>46300</v>
      </c>
      <c r="AC166" s="605">
        <v>46360</v>
      </c>
      <c r="AD166" s="605">
        <v>46363</v>
      </c>
      <c r="AE166" s="605">
        <v>46364</v>
      </c>
      <c r="AF166" s="605">
        <v>46429</v>
      </c>
      <c r="AG166" s="605">
        <v>46443</v>
      </c>
      <c r="AH166" s="605">
        <v>46450</v>
      </c>
      <c r="AI166" s="605">
        <v>46464</v>
      </c>
      <c r="AJ166" s="605">
        <v>46480</v>
      </c>
      <c r="AK166" s="630">
        <v>28</v>
      </c>
      <c r="AL166" s="607">
        <f>AK166*7</f>
        <v>196</v>
      </c>
      <c r="AM166" s="605">
        <f>X166+AL166</f>
        <v>46450</v>
      </c>
      <c r="AN166" s="608">
        <f>AN167</f>
        <v>46452</v>
      </c>
      <c r="AO166" s="600">
        <f>AN167-AM166</f>
        <v>2</v>
      </c>
      <c r="AP166" s="609"/>
      <c r="AQ166" s="610" t="s">
        <v>62</v>
      </c>
      <c r="AR166" s="611">
        <v>46459</v>
      </c>
      <c r="AS166" s="608"/>
    </row>
    <row r="167" spans="1:45" s="548" customFormat="1" ht="24" customHeight="1">
      <c r="A167" s="595"/>
      <c r="B167" s="263" t="s">
        <v>229</v>
      </c>
      <c r="C167" s="596" t="s">
        <v>230</v>
      </c>
      <c r="D167" s="597"/>
      <c r="E167" s="598"/>
      <c r="F167" s="629"/>
      <c r="G167" s="600"/>
      <c r="H167" s="601" t="s">
        <v>214</v>
      </c>
      <c r="I167" s="600" t="s">
        <v>86</v>
      </c>
      <c r="J167" s="263" t="s">
        <v>64</v>
      </c>
      <c r="K167" s="263" t="s">
        <v>215</v>
      </c>
      <c r="L167" s="263" t="s">
        <v>7</v>
      </c>
      <c r="M167" s="603" t="s">
        <v>65</v>
      </c>
      <c r="N167" s="605"/>
      <c r="O167" s="605"/>
      <c r="P167" s="605"/>
      <c r="Q167" s="605"/>
      <c r="R167" s="605"/>
      <c r="S167" s="605"/>
      <c r="T167" s="605"/>
      <c r="U167" s="605"/>
      <c r="V167" s="605"/>
      <c r="W167" s="605"/>
      <c r="X167" s="605">
        <v>46254</v>
      </c>
      <c r="Y167" s="605"/>
      <c r="Z167" s="612"/>
      <c r="AA167" s="612"/>
      <c r="AB167" s="605">
        <v>46321</v>
      </c>
      <c r="AC167" s="612">
        <v>46348</v>
      </c>
      <c r="AD167" s="612">
        <v>46349</v>
      </c>
      <c r="AE167" s="612">
        <v>46351</v>
      </c>
      <c r="AF167" s="612">
        <v>46426</v>
      </c>
      <c r="AG167" s="612">
        <v>46431</v>
      </c>
      <c r="AH167" s="605">
        <v>46436</v>
      </c>
      <c r="AI167" s="605">
        <v>46450</v>
      </c>
      <c r="AJ167" s="605">
        <v>46466</v>
      </c>
      <c r="AK167" s="606">
        <v>27</v>
      </c>
      <c r="AL167" s="607">
        <v>189</v>
      </c>
      <c r="AM167" s="613">
        <v>46436</v>
      </c>
      <c r="AN167" s="608">
        <f>AR166-7</f>
        <v>46452</v>
      </c>
      <c r="AO167" s="600">
        <f>AN167-AM167</f>
        <v>16</v>
      </c>
      <c r="AP167" s="609"/>
      <c r="AQ167" s="610" t="s">
        <v>66</v>
      </c>
      <c r="AR167" s="611">
        <v>46476</v>
      </c>
      <c r="AS167" s="608"/>
    </row>
    <row r="168" spans="1:45" s="548" customFormat="1" ht="24" customHeight="1">
      <c r="A168" s="615"/>
      <c r="B168" s="616" t="s">
        <v>229</v>
      </c>
      <c r="C168" s="649" t="s">
        <v>230</v>
      </c>
      <c r="D168" s="617"/>
      <c r="E168" s="618"/>
      <c r="F168" s="631"/>
      <c r="G168" s="620"/>
      <c r="H168" s="621"/>
      <c r="I168" s="620" t="s">
        <v>86</v>
      </c>
      <c r="J168" s="616" t="s">
        <v>64</v>
      </c>
      <c r="K168" s="727" t="s">
        <v>215</v>
      </c>
      <c r="L168" s="616" t="s">
        <v>7</v>
      </c>
      <c r="M168" s="622" t="s">
        <v>67</v>
      </c>
      <c r="N168" s="623">
        <v>46174</v>
      </c>
      <c r="O168" s="623">
        <v>46167</v>
      </c>
      <c r="P168" s="623">
        <v>46183</v>
      </c>
      <c r="Q168" s="623">
        <v>46183</v>
      </c>
      <c r="R168" s="623">
        <v>46183</v>
      </c>
      <c r="S168" s="623">
        <v>46188</v>
      </c>
      <c r="T168" s="623">
        <v>46198</v>
      </c>
      <c r="U168" s="623">
        <v>46226</v>
      </c>
      <c r="V168" s="623">
        <v>46240</v>
      </c>
      <c r="W168" s="623">
        <v>46247</v>
      </c>
      <c r="X168" s="620"/>
      <c r="Y168" s="623">
        <v>46247</v>
      </c>
      <c r="Z168" s="623">
        <v>46269</v>
      </c>
      <c r="AA168" s="623">
        <f>Z168+1</f>
        <v>46270</v>
      </c>
      <c r="AB168" s="623"/>
      <c r="AC168" s="623"/>
      <c r="AD168" s="623"/>
      <c r="AE168" s="623"/>
      <c r="AF168" s="623"/>
      <c r="AG168" s="623"/>
      <c r="AH168" s="623"/>
      <c r="AI168" s="623"/>
      <c r="AJ168" s="623"/>
      <c r="AK168" s="624"/>
      <c r="AL168" s="625"/>
      <c r="AM168" s="623"/>
      <c r="AN168" s="626"/>
      <c r="AO168" s="620"/>
      <c r="AP168" s="627"/>
      <c r="AQ168" s="628"/>
      <c r="AR168" s="627" t="s">
        <v>231</v>
      </c>
      <c r="AS168" s="626"/>
    </row>
    <row r="169" spans="1:45" s="548" customFormat="1" ht="24" hidden="1" customHeight="1">
      <c r="A169" s="595">
        <v>55</v>
      </c>
      <c r="B169" s="263" t="s">
        <v>232</v>
      </c>
      <c r="C169" s="263" t="s">
        <v>233</v>
      </c>
      <c r="D169" s="650" t="s">
        <v>234</v>
      </c>
      <c r="E169" s="598"/>
      <c r="F169" s="651"/>
      <c r="G169" s="600">
        <v>328.5</v>
      </c>
      <c r="H169" s="601"/>
      <c r="I169" s="600" t="s">
        <v>235</v>
      </c>
      <c r="J169" s="263"/>
      <c r="K169" s="602"/>
      <c r="L169" s="263" t="s">
        <v>6</v>
      </c>
      <c r="M169" s="603" t="s">
        <v>60</v>
      </c>
      <c r="N169" s="604"/>
      <c r="O169" s="605">
        <v>46167</v>
      </c>
      <c r="P169" s="605">
        <v>46167</v>
      </c>
      <c r="Q169" s="605">
        <v>46168</v>
      </c>
      <c r="R169" s="605">
        <v>46171</v>
      </c>
      <c r="S169" s="605">
        <v>46172</v>
      </c>
      <c r="T169" s="605">
        <v>46175</v>
      </c>
      <c r="U169" s="605">
        <v>46178</v>
      </c>
      <c r="V169" s="605">
        <v>46182</v>
      </c>
      <c r="W169" s="605"/>
      <c r="X169" s="605">
        <v>46183</v>
      </c>
      <c r="Y169" s="605">
        <v>46185</v>
      </c>
      <c r="Z169" s="605">
        <v>46190</v>
      </c>
      <c r="AA169" s="605">
        <v>46202</v>
      </c>
      <c r="AB169" s="605">
        <v>46212</v>
      </c>
      <c r="AC169" s="605">
        <v>46219</v>
      </c>
      <c r="AD169" s="605">
        <v>46219</v>
      </c>
      <c r="AE169" s="605">
        <v>46219</v>
      </c>
      <c r="AF169" s="605">
        <v>46233</v>
      </c>
      <c r="AG169" s="605">
        <v>46240</v>
      </c>
      <c r="AH169" s="605">
        <v>46243</v>
      </c>
      <c r="AI169" s="605">
        <v>46257</v>
      </c>
      <c r="AJ169" s="605">
        <v>46273</v>
      </c>
      <c r="AK169" s="630">
        <v>8.5714285714285694</v>
      </c>
      <c r="AL169" s="607">
        <f>AK169*7</f>
        <v>59.999999999999986</v>
      </c>
      <c r="AM169" s="605">
        <f>X169+AL169</f>
        <v>46243</v>
      </c>
      <c r="AN169" s="608">
        <f>AN170</f>
        <v>46245</v>
      </c>
      <c r="AO169" s="600">
        <f>AN170-AM169</f>
        <v>2</v>
      </c>
      <c r="AP169" s="609" t="s">
        <v>61</v>
      </c>
      <c r="AQ169" s="610" t="s">
        <v>62</v>
      </c>
      <c r="AR169" s="611">
        <v>46252</v>
      </c>
      <c r="AS169" s="608"/>
    </row>
    <row r="170" spans="1:45" s="548" customFormat="1" ht="24" customHeight="1">
      <c r="A170" s="595"/>
      <c r="B170" s="263" t="s">
        <v>232</v>
      </c>
      <c r="C170" s="596" t="s">
        <v>233</v>
      </c>
      <c r="D170" s="652" t="s">
        <v>234</v>
      </c>
      <c r="E170" s="598"/>
      <c r="F170" s="652"/>
      <c r="G170" s="600">
        <v>328.5</v>
      </c>
      <c r="H170" s="601" t="s">
        <v>236</v>
      </c>
      <c r="I170" s="600" t="s">
        <v>235</v>
      </c>
      <c r="J170" s="263" t="s">
        <v>64</v>
      </c>
      <c r="K170" s="263">
        <v>2</v>
      </c>
      <c r="L170" s="263" t="s">
        <v>6</v>
      </c>
      <c r="M170" s="603" t="s">
        <v>65</v>
      </c>
      <c r="N170" s="605">
        <v>46120</v>
      </c>
      <c r="O170" s="605"/>
      <c r="P170" s="605"/>
      <c r="Q170" s="605"/>
      <c r="R170" s="605"/>
      <c r="S170" s="605"/>
      <c r="T170" s="605"/>
      <c r="U170" s="605"/>
      <c r="V170" s="605"/>
      <c r="W170" s="605"/>
      <c r="X170" s="605"/>
      <c r="Y170" s="605"/>
      <c r="Z170" s="605"/>
      <c r="AA170" s="605"/>
      <c r="AB170" s="605"/>
      <c r="AC170" s="605"/>
      <c r="AD170" s="605"/>
      <c r="AE170" s="605"/>
      <c r="AF170" s="605"/>
      <c r="AG170" s="605"/>
      <c r="AH170" s="605"/>
      <c r="AI170" s="612">
        <v>46305</v>
      </c>
      <c r="AJ170" s="612">
        <f>AI170+14</f>
        <v>46319</v>
      </c>
      <c r="AK170" s="606">
        <v>8.5714285714285694</v>
      </c>
      <c r="AL170" s="607">
        <v>60</v>
      </c>
      <c r="AM170" s="605">
        <f>IF(X170&lt;&gt;"",X170+AL170,X171+AL170)</f>
        <v>46245</v>
      </c>
      <c r="AN170" s="608">
        <f>AR169-7</f>
        <v>46245</v>
      </c>
      <c r="AO170" s="600">
        <f>AN170-AM170</f>
        <v>0</v>
      </c>
      <c r="AP170" s="614" t="str">
        <f>AP169</f>
        <v>Long Lead</v>
      </c>
      <c r="AQ170" s="610" t="s">
        <v>66</v>
      </c>
      <c r="AR170" s="611">
        <v>46275</v>
      </c>
      <c r="AS170" s="608" t="s">
        <v>237</v>
      </c>
    </row>
    <row r="171" spans="1:45" s="548" customFormat="1" ht="24" customHeight="1">
      <c r="A171" s="615"/>
      <c r="B171" s="616" t="s">
        <v>232</v>
      </c>
      <c r="C171" s="649" t="s">
        <v>233</v>
      </c>
      <c r="D171" s="653" t="s">
        <v>234</v>
      </c>
      <c r="E171" s="618"/>
      <c r="F171" s="653"/>
      <c r="G171" s="620">
        <v>328.5</v>
      </c>
      <c r="H171" s="621"/>
      <c r="I171" s="620" t="s">
        <v>235</v>
      </c>
      <c r="J171" s="616" t="s">
        <v>64</v>
      </c>
      <c r="K171" s="263">
        <v>2</v>
      </c>
      <c r="L171" s="616" t="s">
        <v>6</v>
      </c>
      <c r="M171" s="622" t="s">
        <v>67</v>
      </c>
      <c r="N171" s="623">
        <v>46120</v>
      </c>
      <c r="O171" s="623">
        <v>46162</v>
      </c>
      <c r="P171" s="623">
        <v>46175</v>
      </c>
      <c r="Q171" s="623">
        <v>46175</v>
      </c>
      <c r="R171" s="623">
        <v>46179</v>
      </c>
      <c r="S171" s="623">
        <v>46179</v>
      </c>
      <c r="T171" s="623">
        <v>46179</v>
      </c>
      <c r="U171" s="623">
        <v>46185</v>
      </c>
      <c r="V171" s="623">
        <v>46185</v>
      </c>
      <c r="W171" s="623">
        <v>46185</v>
      </c>
      <c r="X171" s="623">
        <v>46185</v>
      </c>
      <c r="Y171" s="623">
        <v>46185</v>
      </c>
      <c r="Z171" s="623">
        <v>46190</v>
      </c>
      <c r="AA171" s="623">
        <v>46223</v>
      </c>
      <c r="AB171" s="623">
        <v>46276</v>
      </c>
      <c r="AC171" s="623">
        <v>46227</v>
      </c>
      <c r="AD171" s="623">
        <v>46227</v>
      </c>
      <c r="AE171" s="623">
        <v>46227</v>
      </c>
      <c r="AF171" s="623">
        <v>46258</v>
      </c>
      <c r="AG171" s="623">
        <v>46258</v>
      </c>
      <c r="AH171" s="623">
        <v>46258</v>
      </c>
      <c r="AI171" s="623">
        <v>46258</v>
      </c>
      <c r="AJ171" s="623"/>
      <c r="AK171" s="624"/>
      <c r="AL171" s="625"/>
      <c r="AM171" s="623"/>
      <c r="AN171" s="626"/>
      <c r="AO171" s="620"/>
      <c r="AP171" s="627" t="str">
        <f>AP169</f>
        <v>Long Lead</v>
      </c>
      <c r="AQ171" s="628"/>
      <c r="AR171" s="627" t="s">
        <v>238</v>
      </c>
      <c r="AS171" s="626"/>
    </row>
    <row r="172" spans="1:45" s="548" customFormat="1" ht="24" hidden="1" customHeight="1">
      <c r="A172" s="595">
        <v>56</v>
      </c>
      <c r="B172" s="263" t="s">
        <v>239</v>
      </c>
      <c r="C172" s="263" t="s">
        <v>240</v>
      </c>
      <c r="D172" s="650" t="s">
        <v>241</v>
      </c>
      <c r="E172" s="598"/>
      <c r="F172" s="651"/>
      <c r="G172" s="600">
        <v>557.69000000000005</v>
      </c>
      <c r="H172" s="601"/>
      <c r="I172" s="600" t="s">
        <v>235</v>
      </c>
      <c r="J172" s="263"/>
      <c r="K172" s="602"/>
      <c r="L172" s="263" t="s">
        <v>6</v>
      </c>
      <c r="M172" s="603" t="s">
        <v>60</v>
      </c>
      <c r="N172" s="604"/>
      <c r="O172" s="605">
        <v>46186</v>
      </c>
      <c r="P172" s="605">
        <v>46191</v>
      </c>
      <c r="Q172" s="605">
        <v>46191</v>
      </c>
      <c r="R172" s="605">
        <v>46191</v>
      </c>
      <c r="S172" s="605">
        <v>46191</v>
      </c>
      <c r="T172" s="605">
        <v>46199</v>
      </c>
      <c r="U172" s="605">
        <v>46202</v>
      </c>
      <c r="V172" s="605">
        <v>46205</v>
      </c>
      <c r="W172" s="605"/>
      <c r="X172" s="605">
        <v>46209</v>
      </c>
      <c r="Y172" s="605">
        <v>46209</v>
      </c>
      <c r="Z172" s="605">
        <v>46214</v>
      </c>
      <c r="AA172" s="605">
        <v>46224</v>
      </c>
      <c r="AB172" s="605">
        <v>46234</v>
      </c>
      <c r="AC172" s="605">
        <v>46241</v>
      </c>
      <c r="AD172" s="605">
        <v>46239</v>
      </c>
      <c r="AE172" s="605">
        <v>46241</v>
      </c>
      <c r="AF172" s="605">
        <v>46287</v>
      </c>
      <c r="AG172" s="605">
        <v>46294</v>
      </c>
      <c r="AH172" s="605">
        <v>46297</v>
      </c>
      <c r="AI172" s="605">
        <v>46311</v>
      </c>
      <c r="AJ172" s="605">
        <v>46327</v>
      </c>
      <c r="AK172" s="630">
        <v>12.8571428571429</v>
      </c>
      <c r="AL172" s="607">
        <f>AK172*7</f>
        <v>90.000000000000298</v>
      </c>
      <c r="AM172" s="605">
        <f>X172+AL172</f>
        <v>46299</v>
      </c>
      <c r="AN172" s="608">
        <f>AN173</f>
        <v>46317</v>
      </c>
      <c r="AO172" s="600">
        <f>AN173-AM172</f>
        <v>18</v>
      </c>
      <c r="AP172" s="609" t="s">
        <v>61</v>
      </c>
      <c r="AQ172" s="610" t="s">
        <v>62</v>
      </c>
      <c r="AR172" s="611">
        <v>46303</v>
      </c>
      <c r="AS172" s="608"/>
    </row>
    <row r="173" spans="1:45" s="548" customFormat="1" ht="24" customHeight="1">
      <c r="A173" s="595"/>
      <c r="B173" s="263" t="s">
        <v>239</v>
      </c>
      <c r="C173" s="263" t="s">
        <v>240</v>
      </c>
      <c r="D173" s="652" t="s">
        <v>241</v>
      </c>
      <c r="E173" s="598"/>
      <c r="F173" s="652"/>
      <c r="G173" s="600">
        <v>557.69000000000005</v>
      </c>
      <c r="H173" s="601" t="s">
        <v>236</v>
      </c>
      <c r="I173" s="600" t="s">
        <v>235</v>
      </c>
      <c r="J173" s="263" t="s">
        <v>64</v>
      </c>
      <c r="K173" s="263">
        <v>2</v>
      </c>
      <c r="L173" s="263" t="s">
        <v>6</v>
      </c>
      <c r="M173" s="603" t="s">
        <v>65</v>
      </c>
      <c r="N173" s="605">
        <v>46137</v>
      </c>
      <c r="O173" s="605"/>
      <c r="P173" s="605"/>
      <c r="Q173" s="605"/>
      <c r="R173" s="605"/>
      <c r="S173" s="605"/>
      <c r="T173" s="605"/>
      <c r="U173" s="605"/>
      <c r="V173" s="605"/>
      <c r="W173" s="605"/>
      <c r="X173" s="605"/>
      <c r="Y173" s="605"/>
      <c r="Z173" s="605"/>
      <c r="AA173" s="605">
        <v>46224</v>
      </c>
      <c r="AB173" s="612">
        <v>46302</v>
      </c>
      <c r="AC173" s="605">
        <f>AB173+7</f>
        <v>46309</v>
      </c>
      <c r="AD173" s="605">
        <f>AB173+5</f>
        <v>46307</v>
      </c>
      <c r="AE173" s="605">
        <f>AD173+2</f>
        <v>46309</v>
      </c>
      <c r="AF173" s="605">
        <f>AG173-7</f>
        <v>46299</v>
      </c>
      <c r="AG173" s="605">
        <f>AH173-3</f>
        <v>46306</v>
      </c>
      <c r="AH173" s="605">
        <f>AM173</f>
        <v>46309</v>
      </c>
      <c r="AI173" s="605">
        <f>AM173+14</f>
        <v>46323</v>
      </c>
      <c r="AJ173" s="605">
        <f>AM173+30</f>
        <v>46339</v>
      </c>
      <c r="AK173" s="606">
        <v>12.8571428571429</v>
      </c>
      <c r="AL173" s="607">
        <v>90.000000000000298</v>
      </c>
      <c r="AM173" s="605">
        <f>IF(X173&lt;&gt;"",X173+AL173,X174+AL173)</f>
        <v>46309</v>
      </c>
      <c r="AN173" s="608">
        <f>AR173-6</f>
        <v>46317</v>
      </c>
      <c r="AO173" s="600">
        <f>AN173-AM173</f>
        <v>8</v>
      </c>
      <c r="AP173" s="614" t="str">
        <f>AP172</f>
        <v>Long Lead</v>
      </c>
      <c r="AQ173" s="610" t="s">
        <v>66</v>
      </c>
      <c r="AR173" s="611">
        <v>46323</v>
      </c>
      <c r="AS173" s="608" t="s">
        <v>242</v>
      </c>
    </row>
    <row r="174" spans="1:45" s="548" customFormat="1" ht="24" customHeight="1">
      <c r="A174" s="615"/>
      <c r="B174" s="616" t="s">
        <v>239</v>
      </c>
      <c r="C174" s="649" t="s">
        <v>240</v>
      </c>
      <c r="D174" s="653" t="s">
        <v>241</v>
      </c>
      <c r="E174" s="618"/>
      <c r="F174" s="653"/>
      <c r="G174" s="620">
        <v>557.69000000000005</v>
      </c>
      <c r="H174" s="621"/>
      <c r="I174" s="620" t="s">
        <v>235</v>
      </c>
      <c r="J174" s="616" t="s">
        <v>64</v>
      </c>
      <c r="K174" s="263">
        <v>2</v>
      </c>
      <c r="L174" s="616" t="s">
        <v>6</v>
      </c>
      <c r="M174" s="622" t="s">
        <v>67</v>
      </c>
      <c r="N174" s="623">
        <v>46137</v>
      </c>
      <c r="O174" s="623">
        <v>46162</v>
      </c>
      <c r="P174" s="623">
        <v>46175</v>
      </c>
      <c r="Q174" s="623">
        <v>46175</v>
      </c>
      <c r="R174" s="623">
        <v>46179</v>
      </c>
      <c r="S174" s="623">
        <v>46179</v>
      </c>
      <c r="T174" s="623">
        <v>46179</v>
      </c>
      <c r="U174" s="623">
        <v>46213</v>
      </c>
      <c r="V174" s="623">
        <v>46217</v>
      </c>
      <c r="W174" s="623">
        <v>46219</v>
      </c>
      <c r="X174" s="623">
        <v>46219</v>
      </c>
      <c r="Y174" s="623">
        <f>X174</f>
        <v>46219</v>
      </c>
      <c r="Z174" s="623">
        <v>46202</v>
      </c>
      <c r="AA174" s="623">
        <f>Z174+1</f>
        <v>46203</v>
      </c>
      <c r="AB174" s="623">
        <v>46276</v>
      </c>
      <c r="AC174" s="623">
        <v>46275</v>
      </c>
      <c r="AD174" s="623">
        <v>46275</v>
      </c>
      <c r="AE174" s="623">
        <v>46275</v>
      </c>
      <c r="AF174" s="623">
        <v>46283</v>
      </c>
      <c r="AG174" s="623">
        <v>46283</v>
      </c>
      <c r="AH174" s="623"/>
      <c r="AI174" s="623"/>
      <c r="AJ174" s="623"/>
      <c r="AK174" s="624"/>
      <c r="AL174" s="625"/>
      <c r="AM174" s="623"/>
      <c r="AN174" s="626"/>
      <c r="AO174" s="620"/>
      <c r="AP174" s="627" t="str">
        <f>AP172</f>
        <v>Long Lead</v>
      </c>
      <c r="AQ174" s="628"/>
      <c r="AR174" s="627" t="s">
        <v>243</v>
      </c>
      <c r="AS174" s="626"/>
    </row>
    <row r="175" spans="1:45" s="548" customFormat="1" ht="24" hidden="1" customHeight="1">
      <c r="A175" s="595">
        <v>57</v>
      </c>
      <c r="B175" s="263" t="s">
        <v>244</v>
      </c>
      <c r="C175" s="263" t="s">
        <v>245</v>
      </c>
      <c r="D175" s="650" t="s">
        <v>241</v>
      </c>
      <c r="E175" s="598"/>
      <c r="F175" s="651"/>
      <c r="G175" s="600">
        <v>191.8</v>
      </c>
      <c r="H175" s="601">
        <v>3</v>
      </c>
      <c r="I175" s="600" t="s">
        <v>235</v>
      </c>
      <c r="J175" s="263"/>
      <c r="K175" s="602"/>
      <c r="L175" s="263" t="s">
        <v>6</v>
      </c>
      <c r="M175" s="603" t="s">
        <v>60</v>
      </c>
      <c r="N175" s="604"/>
      <c r="O175" s="605">
        <v>46188</v>
      </c>
      <c r="P175" s="605">
        <v>46195</v>
      </c>
      <c r="Q175" s="605">
        <v>46195</v>
      </c>
      <c r="R175" s="605">
        <v>46195</v>
      </c>
      <c r="S175" s="605">
        <v>46193</v>
      </c>
      <c r="T175" s="605">
        <v>46202</v>
      </c>
      <c r="U175" s="605">
        <v>46204</v>
      </c>
      <c r="V175" s="605">
        <v>46207</v>
      </c>
      <c r="W175" s="605"/>
      <c r="X175" s="605">
        <v>46209</v>
      </c>
      <c r="Y175" s="605">
        <v>46211</v>
      </c>
      <c r="Z175" s="605">
        <v>46216</v>
      </c>
      <c r="AA175" s="605">
        <v>46226</v>
      </c>
      <c r="AB175" s="605">
        <v>46237</v>
      </c>
      <c r="AC175" s="605">
        <v>46243</v>
      </c>
      <c r="AD175" s="605">
        <v>46241</v>
      </c>
      <c r="AE175" s="605">
        <v>46243</v>
      </c>
      <c r="AF175" s="605">
        <v>46289</v>
      </c>
      <c r="AG175" s="605">
        <v>46296</v>
      </c>
      <c r="AH175" s="605">
        <v>46299</v>
      </c>
      <c r="AI175" s="605">
        <v>46313</v>
      </c>
      <c r="AJ175" s="605">
        <v>46329</v>
      </c>
      <c r="AK175" s="630">
        <v>12.8571428571429</v>
      </c>
      <c r="AL175" s="607">
        <f>AK175*7</f>
        <v>90.000000000000298</v>
      </c>
      <c r="AM175" s="605">
        <f>X175+AL175</f>
        <v>46299</v>
      </c>
      <c r="AN175" s="608">
        <f>AN176</f>
        <v>46328</v>
      </c>
      <c r="AO175" s="600">
        <f>AN176-AM175</f>
        <v>29</v>
      </c>
      <c r="AP175" s="609"/>
      <c r="AQ175" s="610" t="s">
        <v>62</v>
      </c>
      <c r="AR175" s="611">
        <v>46331</v>
      </c>
      <c r="AS175" s="608"/>
    </row>
    <row r="176" spans="1:45" s="548" customFormat="1" ht="24" customHeight="1">
      <c r="A176" s="595"/>
      <c r="B176" s="263" t="s">
        <v>244</v>
      </c>
      <c r="C176" s="263" t="str">
        <f>C175</f>
        <v>Secondary Steel – Beam for topside (W-Type)</v>
      </c>
      <c r="D176" s="652" t="s">
        <v>241</v>
      </c>
      <c r="E176" s="598"/>
      <c r="F176" s="652"/>
      <c r="G176" s="600">
        <f>G175</f>
        <v>191.8</v>
      </c>
      <c r="H176" s="601" t="s">
        <v>246</v>
      </c>
      <c r="I176" s="600" t="s">
        <v>235</v>
      </c>
      <c r="J176" s="263" t="s">
        <v>64</v>
      </c>
      <c r="K176" s="263">
        <v>2</v>
      </c>
      <c r="L176" s="263" t="s">
        <v>6</v>
      </c>
      <c r="M176" s="603" t="s">
        <v>65</v>
      </c>
      <c r="N176" s="605">
        <v>46137</v>
      </c>
      <c r="O176" s="605"/>
      <c r="P176" s="605"/>
      <c r="Q176" s="605"/>
      <c r="R176" s="605"/>
      <c r="S176" s="605"/>
      <c r="T176" s="605"/>
      <c r="U176" s="605"/>
      <c r="V176" s="605"/>
      <c r="W176" s="605"/>
      <c r="X176" s="605"/>
      <c r="Y176" s="605"/>
      <c r="Z176" s="605"/>
      <c r="AA176" s="605">
        <v>46226</v>
      </c>
      <c r="AB176" s="612">
        <v>46302</v>
      </c>
      <c r="AC176" s="612">
        <v>46309</v>
      </c>
      <c r="AD176" s="612">
        <f>AC176-1</f>
        <v>46308</v>
      </c>
      <c r="AE176" s="612">
        <f>AF176-14</f>
        <v>46301</v>
      </c>
      <c r="AF176" s="612">
        <f>AG176-3</f>
        <v>46315</v>
      </c>
      <c r="AG176" s="612">
        <v>46318</v>
      </c>
      <c r="AH176" s="612">
        <f>AM176</f>
        <v>46325</v>
      </c>
      <c r="AI176" s="612">
        <f>AM176+14</f>
        <v>46339</v>
      </c>
      <c r="AJ176" s="612">
        <f>AM176+30</f>
        <v>46355</v>
      </c>
      <c r="AK176" s="606">
        <v>12.8571428571429</v>
      </c>
      <c r="AL176" s="607">
        <v>90.000000000000298</v>
      </c>
      <c r="AM176" s="612">
        <f>AG176+7</f>
        <v>46325</v>
      </c>
      <c r="AN176" s="608">
        <f>AR175-3</f>
        <v>46328</v>
      </c>
      <c r="AO176" s="600">
        <f>AN176-AM176</f>
        <v>3</v>
      </c>
      <c r="AP176" s="609"/>
      <c r="AQ176" s="610" t="s">
        <v>66</v>
      </c>
      <c r="AR176" s="611">
        <v>46331</v>
      </c>
      <c r="AS176" s="608" t="s">
        <v>242</v>
      </c>
    </row>
    <row r="177" spans="1:45" s="548" customFormat="1" ht="24" customHeight="1">
      <c r="A177" s="615"/>
      <c r="B177" s="616" t="s">
        <v>244</v>
      </c>
      <c r="C177" s="649" t="s">
        <v>245</v>
      </c>
      <c r="D177" s="653" t="s">
        <v>241</v>
      </c>
      <c r="E177" s="618"/>
      <c r="F177" s="653"/>
      <c r="G177" s="620">
        <f>G175</f>
        <v>191.8</v>
      </c>
      <c r="H177" s="621"/>
      <c r="I177" s="620" t="s">
        <v>235</v>
      </c>
      <c r="J177" s="616" t="s">
        <v>64</v>
      </c>
      <c r="K177" s="263">
        <v>2</v>
      </c>
      <c r="L177" s="616" t="s">
        <v>6</v>
      </c>
      <c r="M177" s="622" t="s">
        <v>67</v>
      </c>
      <c r="N177" s="623">
        <v>46137</v>
      </c>
      <c r="O177" s="623">
        <v>46204</v>
      </c>
      <c r="P177" s="623">
        <v>46216</v>
      </c>
      <c r="Q177" s="623">
        <v>46216</v>
      </c>
      <c r="R177" s="623">
        <f>Q177</f>
        <v>46216</v>
      </c>
      <c r="S177" s="623">
        <f>R177</f>
        <v>46216</v>
      </c>
      <c r="T177" s="623">
        <f>S177+2</f>
        <v>46218</v>
      </c>
      <c r="U177" s="623">
        <v>46251</v>
      </c>
      <c r="V177" s="623">
        <v>46262</v>
      </c>
      <c r="W177" s="623">
        <f>V177</f>
        <v>46262</v>
      </c>
      <c r="X177" s="623">
        <v>46262</v>
      </c>
      <c r="Y177" s="623">
        <v>46262</v>
      </c>
      <c r="Z177" s="623">
        <v>46262</v>
      </c>
      <c r="AA177" s="623">
        <f>Z177+1</f>
        <v>46263</v>
      </c>
      <c r="AB177" s="623">
        <v>46276</v>
      </c>
      <c r="AC177" s="623">
        <v>46275</v>
      </c>
      <c r="AD177" s="623">
        <v>46275</v>
      </c>
      <c r="AE177" s="623">
        <v>46275</v>
      </c>
      <c r="AF177" s="623"/>
      <c r="AG177" s="623"/>
      <c r="AH177" s="623"/>
      <c r="AI177" s="623"/>
      <c r="AJ177" s="623"/>
      <c r="AK177" s="624"/>
      <c r="AL177" s="625"/>
      <c r="AM177" s="623"/>
      <c r="AN177" s="626"/>
      <c r="AO177" s="620"/>
      <c r="AP177" s="627"/>
      <c r="AQ177" s="628"/>
      <c r="AR177" s="627" t="s">
        <v>247</v>
      </c>
      <c r="AS177" s="626"/>
    </row>
    <row r="178" spans="1:45" s="548" customFormat="1" ht="24" hidden="1" customHeight="1">
      <c r="A178" s="595">
        <v>102</v>
      </c>
      <c r="B178" s="263" t="s">
        <v>248</v>
      </c>
      <c r="C178" s="263" t="s">
        <v>249</v>
      </c>
      <c r="D178" s="650"/>
      <c r="E178" s="598"/>
      <c r="F178" s="651"/>
      <c r="G178" s="600"/>
      <c r="H178" s="601">
        <v>4</v>
      </c>
      <c r="I178" s="600" t="s">
        <v>235</v>
      </c>
      <c r="J178" s="263"/>
      <c r="K178" s="602"/>
      <c r="L178" s="263" t="s">
        <v>6</v>
      </c>
      <c r="M178" s="603" t="s">
        <v>60</v>
      </c>
      <c r="N178" s="604"/>
      <c r="O178" s="605">
        <v>46188</v>
      </c>
      <c r="P178" s="605">
        <v>46195</v>
      </c>
      <c r="Q178" s="605">
        <v>46195</v>
      </c>
      <c r="R178" s="605">
        <v>46195</v>
      </c>
      <c r="S178" s="605">
        <v>46193</v>
      </c>
      <c r="T178" s="605">
        <v>46202</v>
      </c>
      <c r="U178" s="605">
        <v>46204</v>
      </c>
      <c r="V178" s="605">
        <v>46207</v>
      </c>
      <c r="W178" s="605"/>
      <c r="X178" s="605">
        <v>46209</v>
      </c>
      <c r="Y178" s="605">
        <v>46211</v>
      </c>
      <c r="Z178" s="605">
        <v>46216</v>
      </c>
      <c r="AA178" s="605">
        <v>46226</v>
      </c>
      <c r="AB178" s="605">
        <v>46237</v>
      </c>
      <c r="AC178" s="605">
        <v>46243</v>
      </c>
      <c r="AD178" s="605">
        <v>46241</v>
      </c>
      <c r="AE178" s="605">
        <v>46243</v>
      </c>
      <c r="AF178" s="605">
        <v>46289</v>
      </c>
      <c r="AG178" s="605">
        <v>46296</v>
      </c>
      <c r="AH178" s="605">
        <v>46299</v>
      </c>
      <c r="AI178" s="605">
        <v>46313</v>
      </c>
      <c r="AJ178" s="605">
        <v>46329</v>
      </c>
      <c r="AK178" s="630">
        <v>12.8571428571429</v>
      </c>
      <c r="AL178" s="607">
        <f>AK178*7</f>
        <v>90.000000000000298</v>
      </c>
      <c r="AM178" s="605">
        <f>X178+AL178</f>
        <v>46299</v>
      </c>
      <c r="AN178" s="658">
        <f>AN179</f>
        <v>46329</v>
      </c>
      <c r="AO178" s="600">
        <f>AN179-AM178</f>
        <v>30</v>
      </c>
      <c r="AP178" s="609"/>
      <c r="AQ178" s="610" t="s">
        <v>62</v>
      </c>
      <c r="AR178" s="611">
        <v>46336</v>
      </c>
      <c r="AS178" s="608"/>
    </row>
    <row r="179" spans="1:45" s="548" customFormat="1" ht="24" customHeight="1">
      <c r="A179" s="595"/>
      <c r="B179" s="263" t="s">
        <v>248</v>
      </c>
      <c r="C179" s="263" t="s">
        <v>249</v>
      </c>
      <c r="D179" s="652"/>
      <c r="E179" s="598"/>
      <c r="F179" s="652"/>
      <c r="G179" s="600">
        <f>G178</f>
        <v>0</v>
      </c>
      <c r="H179" s="601" t="s">
        <v>246</v>
      </c>
      <c r="I179" s="600" t="s">
        <v>235</v>
      </c>
      <c r="J179" s="263" t="s">
        <v>64</v>
      </c>
      <c r="K179" s="263">
        <v>2</v>
      </c>
      <c r="L179" s="263" t="s">
        <v>6</v>
      </c>
      <c r="M179" s="603" t="s">
        <v>65</v>
      </c>
      <c r="N179" s="605">
        <v>46137</v>
      </c>
      <c r="O179" s="605"/>
      <c r="P179" s="605"/>
      <c r="Q179" s="605"/>
      <c r="R179" s="605"/>
      <c r="S179" s="605"/>
      <c r="T179" s="605"/>
      <c r="U179" s="605">
        <v>46290</v>
      </c>
      <c r="V179" s="605">
        <f>U179+10</f>
        <v>46300</v>
      </c>
      <c r="W179" s="605"/>
      <c r="X179" s="605">
        <v>46303</v>
      </c>
      <c r="Y179" s="605">
        <v>46303</v>
      </c>
      <c r="Z179" s="605">
        <v>46305</v>
      </c>
      <c r="AA179" s="605">
        <f>Z179+1</f>
        <v>46306</v>
      </c>
      <c r="AB179" s="612">
        <v>46302</v>
      </c>
      <c r="AC179" s="612">
        <v>46309</v>
      </c>
      <c r="AD179" s="612">
        <f>AC179-1</f>
        <v>46308</v>
      </c>
      <c r="AE179" s="612">
        <f>AF179-14</f>
        <v>46305</v>
      </c>
      <c r="AF179" s="612">
        <f>AG179-3</f>
        <v>46319</v>
      </c>
      <c r="AG179" s="612">
        <v>46322</v>
      </c>
      <c r="AH179" s="612">
        <f>AM179</f>
        <v>46329</v>
      </c>
      <c r="AI179" s="612">
        <f>AM179+14</f>
        <v>46343</v>
      </c>
      <c r="AJ179" s="612">
        <f>AM179+30</f>
        <v>46359</v>
      </c>
      <c r="AK179" s="606">
        <v>12.8571428571429</v>
      </c>
      <c r="AL179" s="607">
        <v>90.000000000000298</v>
      </c>
      <c r="AM179" s="612">
        <f>AG179+7</f>
        <v>46329</v>
      </c>
      <c r="AN179" s="608">
        <f>AR178-7</f>
        <v>46329</v>
      </c>
      <c r="AO179" s="600">
        <f>AN179-AM179</f>
        <v>0</v>
      </c>
      <c r="AP179" s="609"/>
      <c r="AQ179" s="610" t="s">
        <v>66</v>
      </c>
      <c r="AR179" s="611">
        <v>46336</v>
      </c>
      <c r="AS179" s="608" t="s">
        <v>242</v>
      </c>
    </row>
    <row r="180" spans="1:45" s="548" customFormat="1" ht="24" customHeight="1">
      <c r="A180" s="615"/>
      <c r="B180" s="616" t="s">
        <v>248</v>
      </c>
      <c r="C180" s="649" t="s">
        <v>249</v>
      </c>
      <c r="D180" s="653"/>
      <c r="E180" s="618"/>
      <c r="F180" s="653"/>
      <c r="G180" s="620">
        <f>G178</f>
        <v>0</v>
      </c>
      <c r="H180" s="621"/>
      <c r="I180" s="620" t="s">
        <v>235</v>
      </c>
      <c r="J180" s="616" t="s">
        <v>64</v>
      </c>
      <c r="K180" s="263">
        <v>2</v>
      </c>
      <c r="L180" s="616" t="s">
        <v>6</v>
      </c>
      <c r="M180" s="622" t="s">
        <v>67</v>
      </c>
      <c r="N180" s="623">
        <v>46137</v>
      </c>
      <c r="O180" s="623">
        <v>46204</v>
      </c>
      <c r="P180" s="623">
        <v>46216</v>
      </c>
      <c r="Q180" s="623">
        <v>46216</v>
      </c>
      <c r="R180" s="623">
        <v>46216</v>
      </c>
      <c r="S180" s="623">
        <v>46216</v>
      </c>
      <c r="T180" s="623">
        <v>46218</v>
      </c>
      <c r="U180" s="623"/>
      <c r="V180" s="623"/>
      <c r="W180" s="623"/>
      <c r="X180" s="654"/>
      <c r="Y180" s="623"/>
      <c r="Z180" s="623"/>
      <c r="AA180" s="623"/>
      <c r="AB180" s="623"/>
      <c r="AC180" s="623"/>
      <c r="AD180" s="623"/>
      <c r="AE180" s="623"/>
      <c r="AF180" s="623"/>
      <c r="AG180" s="623"/>
      <c r="AH180" s="623"/>
      <c r="AI180" s="623"/>
      <c r="AJ180" s="623"/>
      <c r="AK180" s="624"/>
      <c r="AL180" s="625"/>
      <c r="AM180" s="625"/>
      <c r="AN180" s="626"/>
      <c r="AO180" s="620"/>
      <c r="AP180" s="627"/>
      <c r="AQ180" s="628"/>
      <c r="AR180" s="627"/>
      <c r="AS180" s="626"/>
    </row>
    <row r="181" spans="1:45" s="548" customFormat="1" ht="24" hidden="1" customHeight="1">
      <c r="A181" s="595">
        <v>58</v>
      </c>
      <c r="B181" s="263" t="s">
        <v>250</v>
      </c>
      <c r="C181" s="263" t="s">
        <v>251</v>
      </c>
      <c r="D181" s="650"/>
      <c r="E181" s="598"/>
      <c r="F181" s="651"/>
      <c r="G181" s="600"/>
      <c r="H181" s="601"/>
      <c r="I181" s="600" t="s">
        <v>235</v>
      </c>
      <c r="J181" s="263"/>
      <c r="K181" s="602"/>
      <c r="L181" s="263" t="s">
        <v>6</v>
      </c>
      <c r="M181" s="603" t="s">
        <v>60</v>
      </c>
      <c r="N181" s="604"/>
      <c r="O181" s="605">
        <v>46208</v>
      </c>
      <c r="P181" s="605">
        <v>46220</v>
      </c>
      <c r="Q181" s="605">
        <v>46220</v>
      </c>
      <c r="R181" s="605">
        <v>46220</v>
      </c>
      <c r="S181" s="605">
        <v>46220</v>
      </c>
      <c r="T181" s="605">
        <v>46223</v>
      </c>
      <c r="U181" s="605">
        <v>46224</v>
      </c>
      <c r="V181" s="605">
        <v>46227</v>
      </c>
      <c r="W181" s="605"/>
      <c r="X181" s="605">
        <v>46230</v>
      </c>
      <c r="Y181" s="605">
        <v>46231</v>
      </c>
      <c r="Z181" s="605">
        <v>46236</v>
      </c>
      <c r="AA181" s="605">
        <v>46246</v>
      </c>
      <c r="AB181" s="605">
        <v>46258</v>
      </c>
      <c r="AC181" s="605">
        <v>46263</v>
      </c>
      <c r="AD181" s="605">
        <f>AC181+1</f>
        <v>46264</v>
      </c>
      <c r="AE181" s="605">
        <f>AD181+1</f>
        <v>46265</v>
      </c>
      <c r="AF181" s="605">
        <v>46309</v>
      </c>
      <c r="AG181" s="605">
        <v>46316</v>
      </c>
      <c r="AH181" s="605">
        <v>46319</v>
      </c>
      <c r="AI181" s="605">
        <v>46333</v>
      </c>
      <c r="AJ181" s="605">
        <v>46349</v>
      </c>
      <c r="AK181" s="630">
        <v>12.8571428571429</v>
      </c>
      <c r="AL181" s="607">
        <f>AK181*7</f>
        <v>90.000000000000298</v>
      </c>
      <c r="AM181" s="605">
        <f>X181+AL181</f>
        <v>46320</v>
      </c>
      <c r="AN181" s="658">
        <f>AN182</f>
        <v>46387</v>
      </c>
      <c r="AO181" s="600">
        <f>AN182-AM181</f>
        <v>67</v>
      </c>
      <c r="AP181" s="609"/>
      <c r="AQ181" s="610" t="s">
        <v>62</v>
      </c>
      <c r="AR181" s="611">
        <v>46394</v>
      </c>
      <c r="AS181" s="608"/>
    </row>
    <row r="182" spans="1:45" s="548" customFormat="1" ht="24" customHeight="1">
      <c r="A182" s="595"/>
      <c r="B182" s="263" t="s">
        <v>250</v>
      </c>
      <c r="C182" s="641" t="s">
        <v>251</v>
      </c>
      <c r="D182" s="652"/>
      <c r="E182" s="598"/>
      <c r="F182" s="652"/>
      <c r="G182" s="600">
        <f>G181</f>
        <v>0</v>
      </c>
      <c r="H182" s="601" t="s">
        <v>246</v>
      </c>
      <c r="I182" s="600" t="s">
        <v>235</v>
      </c>
      <c r="J182" s="263" t="s">
        <v>64</v>
      </c>
      <c r="K182" s="263">
        <v>3</v>
      </c>
      <c r="L182" s="263" t="s">
        <v>6</v>
      </c>
      <c r="M182" s="603" t="s">
        <v>65</v>
      </c>
      <c r="N182" s="605" t="e">
        <f>#REF!</f>
        <v>#REF!</v>
      </c>
      <c r="O182" s="605">
        <v>46292</v>
      </c>
      <c r="P182" s="605">
        <f>WORKDAY.INTL(O182,INDEX(P$8:P$11,MATCH($L182,$L$8:$L$11,0)),1,IF(P$18="China",'China Holidays'!$A$2:$A$82,'Thai Holidays'!$A$2:$A$63))</f>
        <v>46304</v>
      </c>
      <c r="Q182" s="605">
        <f>WORKDAY.INTL(P182,INDEX(Q$8:Q$11,MATCH($L182,$L$8:$L$11,0)),1,IF(Q$18="China",'China Holidays'!$A$2:$A$82,'Thai Holidays'!$A$2:$A$63))</f>
        <v>46304</v>
      </c>
      <c r="R182" s="605">
        <f>WORKDAY.INTL(Q182,INDEX(R$8:R$11,MATCH($L182,$L$8:$L$11,0)),1,IF(R$18="China",'China Holidays'!$A$2:$A$82,'Thai Holidays'!$A$2:$A$63))</f>
        <v>46304</v>
      </c>
      <c r="S182" s="605">
        <f>WORKDAY.INTL(R182,INDEX(S$8:S$11,MATCH($L182,$L$8:$L$11,0)),1,IF(S$18="China",'China Holidays'!$A$2:$A$82,'Thai Holidays'!$A$2:$A$63))</f>
        <v>46304</v>
      </c>
      <c r="T182" s="605">
        <f>O182+14</f>
        <v>46306</v>
      </c>
      <c r="U182" s="605">
        <f>T182+5</f>
        <v>46311</v>
      </c>
      <c r="V182" s="605">
        <f>U182+10</f>
        <v>46321</v>
      </c>
      <c r="W182" s="605"/>
      <c r="X182" s="605">
        <f>V182+5</f>
        <v>46326</v>
      </c>
      <c r="Y182" s="605">
        <f>X182</f>
        <v>46326</v>
      </c>
      <c r="Z182" s="605">
        <f>X182+7</f>
        <v>46333</v>
      </c>
      <c r="AA182" s="605">
        <f>Z182</f>
        <v>46333</v>
      </c>
      <c r="AB182" s="612">
        <v>46356</v>
      </c>
      <c r="AC182" s="605">
        <f>AB182+7</f>
        <v>46363</v>
      </c>
      <c r="AD182" s="605">
        <f>AB182+5</f>
        <v>46361</v>
      </c>
      <c r="AE182" s="605">
        <f>AD182+2</f>
        <v>46363</v>
      </c>
      <c r="AF182" s="605">
        <f>AG182-7</f>
        <v>46376</v>
      </c>
      <c r="AG182" s="605">
        <f>AH182-3</f>
        <v>46383</v>
      </c>
      <c r="AH182" s="605">
        <f>AM182</f>
        <v>46386</v>
      </c>
      <c r="AI182" s="605">
        <f>AM182+14</f>
        <v>46400</v>
      </c>
      <c r="AJ182" s="605">
        <f>AM182+30</f>
        <v>46416</v>
      </c>
      <c r="AK182" s="606">
        <v>12.8571428571429</v>
      </c>
      <c r="AL182" s="647">
        <v>60</v>
      </c>
      <c r="AM182" s="605">
        <f>IF(X182&lt;&gt;"",X182+AL182,X183+AL182)</f>
        <v>46386</v>
      </c>
      <c r="AN182" s="608">
        <f>AR181-7</f>
        <v>46387</v>
      </c>
      <c r="AO182" s="600">
        <f>AN182-AM182</f>
        <v>1</v>
      </c>
      <c r="AP182" s="609"/>
      <c r="AQ182" s="610" t="s">
        <v>66</v>
      </c>
      <c r="AR182" s="611">
        <v>46416</v>
      </c>
      <c r="AS182" s="608"/>
    </row>
    <row r="183" spans="1:45" s="548" customFormat="1" ht="24" customHeight="1">
      <c r="A183" s="615"/>
      <c r="B183" s="616" t="s">
        <v>250</v>
      </c>
      <c r="C183" s="649" t="s">
        <v>251</v>
      </c>
      <c r="D183" s="653"/>
      <c r="E183" s="618"/>
      <c r="F183" s="653"/>
      <c r="G183" s="620">
        <f>G181</f>
        <v>0</v>
      </c>
      <c r="H183" s="621"/>
      <c r="I183" s="620" t="s">
        <v>235</v>
      </c>
      <c r="J183" s="616" t="s">
        <v>64</v>
      </c>
      <c r="K183" s="263">
        <v>3</v>
      </c>
      <c r="L183" s="616" t="s">
        <v>6</v>
      </c>
      <c r="M183" s="622" t="s">
        <v>67</v>
      </c>
      <c r="N183" s="620"/>
      <c r="O183" s="623"/>
      <c r="P183" s="623"/>
      <c r="Q183" s="623"/>
      <c r="R183" s="623"/>
      <c r="S183" s="623"/>
      <c r="T183" s="623"/>
      <c r="U183" s="623"/>
      <c r="V183" s="623"/>
      <c r="W183" s="623"/>
      <c r="X183" s="620"/>
      <c r="Y183" s="623"/>
      <c r="Z183" s="623"/>
      <c r="AA183" s="623"/>
      <c r="AB183" s="623"/>
      <c r="AC183" s="623"/>
      <c r="AD183" s="623"/>
      <c r="AE183" s="623"/>
      <c r="AF183" s="623"/>
      <c r="AG183" s="623"/>
      <c r="AH183" s="623"/>
      <c r="AI183" s="623"/>
      <c r="AJ183" s="623"/>
      <c r="AK183" s="624"/>
      <c r="AL183" s="625"/>
      <c r="AM183" s="623"/>
      <c r="AN183" s="626"/>
      <c r="AO183" s="620"/>
      <c r="AP183" s="627"/>
      <c r="AQ183" s="628"/>
      <c r="AR183" s="627"/>
      <c r="AS183" s="626"/>
    </row>
    <row r="184" spans="1:45" s="548" customFormat="1" ht="24" hidden="1" customHeight="1">
      <c r="A184" s="595">
        <v>59</v>
      </c>
      <c r="B184" s="263" t="s">
        <v>252</v>
      </c>
      <c r="C184" s="263" t="s">
        <v>253</v>
      </c>
      <c r="D184" s="650"/>
      <c r="E184" s="598"/>
      <c r="F184" s="651"/>
      <c r="G184" s="600">
        <v>20.399999999999999</v>
      </c>
      <c r="H184" s="601"/>
      <c r="I184" s="600" t="s">
        <v>235</v>
      </c>
      <c r="J184" s="263"/>
      <c r="K184" s="602"/>
      <c r="L184" s="263" t="s">
        <v>6</v>
      </c>
      <c r="M184" s="603" t="s">
        <v>60</v>
      </c>
      <c r="N184" s="604"/>
      <c r="O184" s="605">
        <v>46212</v>
      </c>
      <c r="P184" s="605">
        <v>46226</v>
      </c>
      <c r="Q184" s="605">
        <v>46226</v>
      </c>
      <c r="R184" s="605">
        <v>46226</v>
      </c>
      <c r="S184" s="605">
        <v>46226</v>
      </c>
      <c r="T184" s="605">
        <v>46226</v>
      </c>
      <c r="U184" s="605">
        <v>46230</v>
      </c>
      <c r="V184" s="605">
        <v>46231</v>
      </c>
      <c r="W184" s="605"/>
      <c r="X184" s="605">
        <v>46233</v>
      </c>
      <c r="Y184" s="605">
        <v>46234</v>
      </c>
      <c r="Z184" s="605">
        <v>46239</v>
      </c>
      <c r="AA184" s="605">
        <v>46247</v>
      </c>
      <c r="AB184" s="605">
        <v>46258</v>
      </c>
      <c r="AC184" s="605">
        <v>46264</v>
      </c>
      <c r="AD184" s="605">
        <f>AC184+1</f>
        <v>46265</v>
      </c>
      <c r="AE184" s="605">
        <f>AD184+1</f>
        <v>46266</v>
      </c>
      <c r="AF184" s="605">
        <v>46279</v>
      </c>
      <c r="AG184" s="605">
        <v>46286</v>
      </c>
      <c r="AH184" s="605">
        <v>46289</v>
      </c>
      <c r="AI184" s="605">
        <v>46303</v>
      </c>
      <c r="AJ184" s="605">
        <v>46319</v>
      </c>
      <c r="AK184" s="630">
        <v>8</v>
      </c>
      <c r="AL184" s="607">
        <f>AK184*7</f>
        <v>56</v>
      </c>
      <c r="AM184" s="605">
        <f>X184+AL184</f>
        <v>46289</v>
      </c>
      <c r="AN184" s="608">
        <f>AN185</f>
        <v>46300</v>
      </c>
      <c r="AO184" s="600">
        <f>AN185-AM184</f>
        <v>11</v>
      </c>
      <c r="AP184" s="609" t="s">
        <v>61</v>
      </c>
      <c r="AQ184" s="610" t="s">
        <v>62</v>
      </c>
      <c r="AR184" s="611">
        <v>46303</v>
      </c>
      <c r="AS184" s="608"/>
    </row>
    <row r="185" spans="1:45" s="548" customFormat="1" ht="24" customHeight="1">
      <c r="A185" s="595"/>
      <c r="B185" s="263" t="s">
        <v>252</v>
      </c>
      <c r="C185" s="263" t="s">
        <v>253</v>
      </c>
      <c r="D185" s="652"/>
      <c r="E185" s="598"/>
      <c r="F185" s="652"/>
      <c r="G185" s="600">
        <f>G184</f>
        <v>20.399999999999999</v>
      </c>
      <c r="H185" s="601" t="s">
        <v>236</v>
      </c>
      <c r="I185" s="600" t="s">
        <v>235</v>
      </c>
      <c r="J185" s="263" t="s">
        <v>64</v>
      </c>
      <c r="K185" s="263">
        <v>2</v>
      </c>
      <c r="L185" s="263" t="s">
        <v>6</v>
      </c>
      <c r="M185" s="603" t="s">
        <v>65</v>
      </c>
      <c r="N185" s="605"/>
      <c r="O185" s="605"/>
      <c r="P185" s="605"/>
      <c r="Q185" s="605"/>
      <c r="R185" s="605"/>
      <c r="S185" s="605"/>
      <c r="T185" s="605"/>
      <c r="U185" s="605"/>
      <c r="V185" s="605"/>
      <c r="W185" s="605"/>
      <c r="X185" s="605"/>
      <c r="Y185" s="605"/>
      <c r="Z185" s="605"/>
      <c r="AA185" s="605"/>
      <c r="AB185" s="612"/>
      <c r="AC185" s="605"/>
      <c r="AD185" s="659">
        <f>AB186+AB1865</f>
        <v>46276</v>
      </c>
      <c r="AE185" s="605">
        <f>AD185+2</f>
        <v>46278</v>
      </c>
      <c r="AF185" s="605">
        <f>AG185-7</f>
        <v>46287</v>
      </c>
      <c r="AG185" s="605">
        <f>AH185-3</f>
        <v>46294</v>
      </c>
      <c r="AH185" s="605">
        <f>AM185</f>
        <v>46297</v>
      </c>
      <c r="AI185" s="605">
        <f>AM185+14</f>
        <v>46311</v>
      </c>
      <c r="AJ185" s="605">
        <f>AM185+30</f>
        <v>46327</v>
      </c>
      <c r="AK185" s="606">
        <v>8</v>
      </c>
      <c r="AL185" s="607">
        <v>56</v>
      </c>
      <c r="AM185" s="605">
        <f>IF(X185&lt;&gt;"",X185+AL185,X186+AL185)</f>
        <v>46297</v>
      </c>
      <c r="AN185" s="608">
        <f>AR184-3</f>
        <v>46300</v>
      </c>
      <c r="AO185" s="600">
        <f>AN185-AM185</f>
        <v>3</v>
      </c>
      <c r="AP185" s="614" t="str">
        <f>AP184</f>
        <v>Long Lead</v>
      </c>
      <c r="AQ185" s="610" t="s">
        <v>66</v>
      </c>
      <c r="AR185" s="611">
        <v>46333</v>
      </c>
      <c r="AS185" s="608" t="s">
        <v>254</v>
      </c>
    </row>
    <row r="186" spans="1:45" s="548" customFormat="1" ht="24" customHeight="1">
      <c r="A186" s="615"/>
      <c r="B186" s="616" t="s">
        <v>252</v>
      </c>
      <c r="C186" s="616" t="s">
        <v>253</v>
      </c>
      <c r="D186" s="653"/>
      <c r="E186" s="618"/>
      <c r="F186" s="653"/>
      <c r="G186" s="620">
        <f>G184</f>
        <v>20.399999999999999</v>
      </c>
      <c r="H186" s="621"/>
      <c r="I186" s="620" t="s">
        <v>235</v>
      </c>
      <c r="J186" s="616" t="s">
        <v>64</v>
      </c>
      <c r="K186" s="263">
        <v>2</v>
      </c>
      <c r="L186" s="616" t="s">
        <v>6</v>
      </c>
      <c r="M186" s="622" t="s">
        <v>67</v>
      </c>
      <c r="N186" s="623">
        <v>46137</v>
      </c>
      <c r="O186" s="623">
        <v>46163</v>
      </c>
      <c r="P186" s="623">
        <v>46175</v>
      </c>
      <c r="Q186" s="623">
        <v>46175</v>
      </c>
      <c r="R186" s="623">
        <v>46179</v>
      </c>
      <c r="S186" s="623">
        <v>46179</v>
      </c>
      <c r="T186" s="623">
        <v>46179</v>
      </c>
      <c r="U186" s="623">
        <v>46237</v>
      </c>
      <c r="V186" s="623">
        <v>46237</v>
      </c>
      <c r="W186" s="623">
        <v>46237</v>
      </c>
      <c r="X186" s="623">
        <v>46241</v>
      </c>
      <c r="Y186" s="623">
        <v>46241</v>
      </c>
      <c r="Z186" s="623">
        <v>46262</v>
      </c>
      <c r="AA186" s="623">
        <v>46276</v>
      </c>
      <c r="AB186" s="623">
        <v>46276</v>
      </c>
      <c r="AC186" s="623">
        <v>46276</v>
      </c>
      <c r="AD186" s="623">
        <v>46276</v>
      </c>
      <c r="AE186" s="623"/>
      <c r="AF186" s="623"/>
      <c r="AG186" s="623"/>
      <c r="AH186" s="623"/>
      <c r="AI186" s="623"/>
      <c r="AJ186" s="623"/>
      <c r="AK186" s="624"/>
      <c r="AL186" s="625"/>
      <c r="AM186" s="623"/>
      <c r="AN186" s="626"/>
      <c r="AO186" s="620"/>
      <c r="AP186" s="627" t="str">
        <f>AP184</f>
        <v>Long Lead</v>
      </c>
      <c r="AQ186" s="628"/>
      <c r="AR186" s="627" t="s">
        <v>255</v>
      </c>
      <c r="AS186" s="626"/>
    </row>
    <row r="187" spans="1:45" s="548" customFormat="1" ht="24" hidden="1" customHeight="1">
      <c r="A187" s="595">
        <v>60</v>
      </c>
      <c r="B187" s="263" t="s">
        <v>256</v>
      </c>
      <c r="C187" s="263" t="s">
        <v>257</v>
      </c>
      <c r="D187" s="650" t="s">
        <v>234</v>
      </c>
      <c r="E187" s="598"/>
      <c r="F187" s="651"/>
      <c r="G187" s="600">
        <v>560</v>
      </c>
      <c r="H187" s="601"/>
      <c r="I187" s="600" t="s">
        <v>235</v>
      </c>
      <c r="J187" s="263"/>
      <c r="K187" s="602"/>
      <c r="L187" s="263" t="s">
        <v>6</v>
      </c>
      <c r="M187" s="603" t="s">
        <v>60</v>
      </c>
      <c r="N187" s="604"/>
      <c r="O187" s="605">
        <v>46204</v>
      </c>
      <c r="P187" s="605">
        <v>46206</v>
      </c>
      <c r="Q187" s="605">
        <v>46206</v>
      </c>
      <c r="R187" s="605">
        <v>46206</v>
      </c>
      <c r="S187" s="605">
        <v>46206</v>
      </c>
      <c r="T187" s="605">
        <v>46219</v>
      </c>
      <c r="U187" s="605">
        <v>46223</v>
      </c>
      <c r="V187" s="605">
        <v>46231</v>
      </c>
      <c r="W187" s="605"/>
      <c r="X187" s="605">
        <v>46233</v>
      </c>
      <c r="Y187" s="605">
        <v>46235</v>
      </c>
      <c r="Z187" s="605">
        <v>46240</v>
      </c>
      <c r="AA187" s="605">
        <v>46251</v>
      </c>
      <c r="AB187" s="605">
        <v>46260</v>
      </c>
      <c r="AC187" s="605">
        <v>46267</v>
      </c>
      <c r="AD187" s="605">
        <f>AC187+1</f>
        <v>46268</v>
      </c>
      <c r="AE187" s="605">
        <f>AD187+1</f>
        <v>46269</v>
      </c>
      <c r="AF187" s="605">
        <v>46283</v>
      </c>
      <c r="AG187" s="605">
        <v>46290</v>
      </c>
      <c r="AH187" s="605">
        <v>46293</v>
      </c>
      <c r="AI187" s="605">
        <v>46314</v>
      </c>
      <c r="AJ187" s="605">
        <v>46330</v>
      </c>
      <c r="AK187" s="630">
        <v>8.5714285714285694</v>
      </c>
      <c r="AL187" s="607">
        <f>AK187*7</f>
        <v>59.999999999999986</v>
      </c>
      <c r="AM187" s="605">
        <f>X187+AL187</f>
        <v>46293</v>
      </c>
      <c r="AN187" s="608">
        <f>AN188</f>
        <v>46314</v>
      </c>
      <c r="AO187" s="600">
        <f>AN188-AM187</f>
        <v>21</v>
      </c>
      <c r="AP187" s="609" t="s">
        <v>61</v>
      </c>
      <c r="AQ187" s="610" t="s">
        <v>62</v>
      </c>
      <c r="AR187" s="611">
        <v>46291</v>
      </c>
      <c r="AS187" s="608"/>
    </row>
    <row r="188" spans="1:45" s="548" customFormat="1" ht="24" customHeight="1">
      <c r="A188" s="595"/>
      <c r="B188" s="263" t="s">
        <v>256</v>
      </c>
      <c r="C188" s="263" t="s">
        <v>257</v>
      </c>
      <c r="D188" s="652" t="s">
        <v>234</v>
      </c>
      <c r="E188" s="598"/>
      <c r="F188" s="652"/>
      <c r="G188" s="600">
        <f>G187</f>
        <v>560</v>
      </c>
      <c r="H188" s="601" t="s">
        <v>236</v>
      </c>
      <c r="I188" s="600" t="s">
        <v>235</v>
      </c>
      <c r="J188" s="263" t="s">
        <v>64</v>
      </c>
      <c r="K188" s="263">
        <v>2</v>
      </c>
      <c r="L188" s="263" t="s">
        <v>6</v>
      </c>
      <c r="M188" s="603" t="s">
        <v>65</v>
      </c>
      <c r="N188" s="605">
        <v>46120</v>
      </c>
      <c r="O188" s="605"/>
      <c r="P188" s="605"/>
      <c r="Q188" s="605"/>
      <c r="R188" s="605"/>
      <c r="S188" s="605"/>
      <c r="T188" s="605"/>
      <c r="U188" s="605"/>
      <c r="V188" s="605"/>
      <c r="W188" s="605"/>
      <c r="X188" s="605"/>
      <c r="Y188" s="605"/>
      <c r="Z188" s="605"/>
      <c r="AA188" s="605"/>
      <c r="AB188" s="612">
        <v>46310</v>
      </c>
      <c r="AC188" s="605"/>
      <c r="AD188" s="605"/>
      <c r="AE188" s="605"/>
      <c r="AF188" s="605">
        <f>AG188-7</f>
        <v>46280</v>
      </c>
      <c r="AG188" s="605">
        <f>AH188-3</f>
        <v>46287</v>
      </c>
      <c r="AH188" s="605">
        <f>AM188</f>
        <v>46290</v>
      </c>
      <c r="AI188" s="605">
        <f>AM188+14</f>
        <v>46304</v>
      </c>
      <c r="AJ188" s="605">
        <f>AM188+30</f>
        <v>46320</v>
      </c>
      <c r="AK188" s="606">
        <v>8.5714285714285694</v>
      </c>
      <c r="AL188" s="607">
        <v>60</v>
      </c>
      <c r="AM188" s="605">
        <f>IF(X188&lt;&gt;"",X188+AL188,X189+AL188)</f>
        <v>46290</v>
      </c>
      <c r="AN188" s="608">
        <v>46314</v>
      </c>
      <c r="AO188" s="600">
        <f>AN188-AM188</f>
        <v>24</v>
      </c>
      <c r="AP188" s="614" t="str">
        <f>AP187</f>
        <v>Long Lead</v>
      </c>
      <c r="AQ188" s="610" t="s">
        <v>66</v>
      </c>
      <c r="AR188" s="611">
        <v>46332</v>
      </c>
      <c r="AS188" s="608"/>
    </row>
    <row r="189" spans="1:45" s="548" customFormat="1" ht="24" customHeight="1">
      <c r="A189" s="615"/>
      <c r="B189" s="616" t="s">
        <v>256</v>
      </c>
      <c r="C189" s="649" t="s">
        <v>257</v>
      </c>
      <c r="D189" s="653" t="s">
        <v>234</v>
      </c>
      <c r="E189" s="618"/>
      <c r="F189" s="653"/>
      <c r="G189" s="620">
        <f>G187</f>
        <v>560</v>
      </c>
      <c r="H189" s="621"/>
      <c r="I189" s="620" t="s">
        <v>235</v>
      </c>
      <c r="J189" s="616" t="s">
        <v>64</v>
      </c>
      <c r="K189" s="263">
        <v>2</v>
      </c>
      <c r="L189" s="616" t="s">
        <v>6</v>
      </c>
      <c r="M189" s="622" t="s">
        <v>67</v>
      </c>
      <c r="N189" s="623">
        <v>46137</v>
      </c>
      <c r="O189" s="623">
        <v>46162</v>
      </c>
      <c r="P189" s="623">
        <v>46175</v>
      </c>
      <c r="Q189" s="623">
        <v>46175</v>
      </c>
      <c r="R189" s="623">
        <v>46179</v>
      </c>
      <c r="S189" s="623">
        <v>46179</v>
      </c>
      <c r="T189" s="623">
        <v>46179</v>
      </c>
      <c r="U189" s="623">
        <v>46185</v>
      </c>
      <c r="V189" s="623">
        <v>46190</v>
      </c>
      <c r="W189" s="623">
        <v>46223</v>
      </c>
      <c r="X189" s="623">
        <v>46230</v>
      </c>
      <c r="Y189" s="623">
        <v>46230</v>
      </c>
      <c r="Z189" s="623">
        <v>46223</v>
      </c>
      <c r="AA189" s="623">
        <v>46223</v>
      </c>
      <c r="AB189" s="623">
        <v>46276</v>
      </c>
      <c r="AC189" s="623">
        <v>46276</v>
      </c>
      <c r="AD189" s="623">
        <v>46276</v>
      </c>
      <c r="AE189" s="623">
        <v>46276</v>
      </c>
      <c r="AF189" s="623">
        <v>46276</v>
      </c>
      <c r="AG189" s="623">
        <v>46276</v>
      </c>
      <c r="AH189" s="623">
        <v>46276</v>
      </c>
      <c r="AI189" s="623"/>
      <c r="AJ189" s="623"/>
      <c r="AK189" s="624"/>
      <c r="AL189" s="625"/>
      <c r="AM189" s="605"/>
      <c r="AN189" s="626"/>
      <c r="AO189" s="620"/>
      <c r="AP189" s="627" t="str">
        <f>AP187</f>
        <v>Long Lead</v>
      </c>
      <c r="AQ189" s="628"/>
      <c r="AR189" s="627" t="s">
        <v>258</v>
      </c>
      <c r="AS189" s="626"/>
    </row>
    <row r="190" spans="1:45" s="548" customFormat="1" ht="24" hidden="1" customHeight="1">
      <c r="A190" s="595">
        <v>61</v>
      </c>
      <c r="B190" s="263" t="s">
        <v>259</v>
      </c>
      <c r="C190" s="263" t="s">
        <v>260</v>
      </c>
      <c r="D190" s="650" t="s">
        <v>241</v>
      </c>
      <c r="E190" s="598"/>
      <c r="F190" s="651"/>
      <c r="G190" s="600"/>
      <c r="H190" s="601">
        <v>5</v>
      </c>
      <c r="I190" s="600" t="s">
        <v>235</v>
      </c>
      <c r="J190" s="263"/>
      <c r="K190" s="602"/>
      <c r="L190" s="263" t="s">
        <v>6</v>
      </c>
      <c r="M190" s="603" t="s">
        <v>60</v>
      </c>
      <c r="N190" s="604"/>
      <c r="O190" s="605">
        <v>46213</v>
      </c>
      <c r="P190" s="605">
        <v>46218</v>
      </c>
      <c r="Q190" s="605">
        <v>46218</v>
      </c>
      <c r="R190" s="605">
        <v>46218</v>
      </c>
      <c r="S190" s="605">
        <v>46218</v>
      </c>
      <c r="T190" s="605">
        <v>46227</v>
      </c>
      <c r="U190" s="605">
        <v>46230</v>
      </c>
      <c r="V190" s="605">
        <v>46232</v>
      </c>
      <c r="W190" s="605"/>
      <c r="X190" s="605">
        <v>46234</v>
      </c>
      <c r="Y190" s="605">
        <v>46236</v>
      </c>
      <c r="Z190" s="605">
        <v>46241</v>
      </c>
      <c r="AA190" s="605">
        <v>46251</v>
      </c>
      <c r="AB190" s="605">
        <v>46261</v>
      </c>
      <c r="AC190" s="605">
        <v>46268</v>
      </c>
      <c r="AD190" s="605">
        <v>46266</v>
      </c>
      <c r="AE190" s="605">
        <v>46268</v>
      </c>
      <c r="AF190" s="605">
        <v>46324</v>
      </c>
      <c r="AG190" s="605">
        <v>46331</v>
      </c>
      <c r="AH190" s="605">
        <v>46334</v>
      </c>
      <c r="AI190" s="605">
        <v>46348</v>
      </c>
      <c r="AJ190" s="605">
        <v>46364</v>
      </c>
      <c r="AK190" s="630">
        <v>14.285714285714301</v>
      </c>
      <c r="AL190" s="607">
        <f>AK190*7</f>
        <v>100.0000000000001</v>
      </c>
      <c r="AM190" s="605">
        <f>X190+AL190</f>
        <v>46334</v>
      </c>
      <c r="AN190" s="608">
        <f>AN191</f>
        <v>46336</v>
      </c>
      <c r="AO190" s="600">
        <f>AN191-AM190</f>
        <v>2</v>
      </c>
      <c r="AP190" s="609"/>
      <c r="AQ190" s="610" t="s">
        <v>62</v>
      </c>
      <c r="AR190" s="611">
        <v>46339</v>
      </c>
      <c r="AS190" s="608"/>
    </row>
    <row r="191" spans="1:45" s="548" customFormat="1" ht="24" customHeight="1">
      <c r="A191" s="595"/>
      <c r="B191" s="263" t="s">
        <v>259</v>
      </c>
      <c r="C191" s="596" t="s">
        <v>260</v>
      </c>
      <c r="D191" s="652" t="s">
        <v>241</v>
      </c>
      <c r="E191" s="598"/>
      <c r="F191" s="652"/>
      <c r="G191" s="600">
        <f>G190</f>
        <v>0</v>
      </c>
      <c r="H191" s="601" t="s">
        <v>246</v>
      </c>
      <c r="I191" s="600" t="s">
        <v>235</v>
      </c>
      <c r="J191" s="263" t="s">
        <v>64</v>
      </c>
      <c r="K191" s="263">
        <v>3</v>
      </c>
      <c r="L191" s="263" t="s">
        <v>6</v>
      </c>
      <c r="M191" s="603" t="s">
        <v>65</v>
      </c>
      <c r="N191" s="605">
        <v>46137</v>
      </c>
      <c r="O191" s="605"/>
      <c r="P191" s="605"/>
      <c r="Q191" s="605"/>
      <c r="R191" s="605"/>
      <c r="S191" s="605"/>
      <c r="T191" s="605"/>
      <c r="U191" s="605"/>
      <c r="V191" s="605"/>
      <c r="W191" s="605"/>
      <c r="X191" s="605"/>
      <c r="Y191" s="605"/>
      <c r="Z191" s="605"/>
      <c r="AA191" s="605"/>
      <c r="AB191" s="612">
        <v>46310</v>
      </c>
      <c r="AC191" s="605">
        <f>AB191+7</f>
        <v>46317</v>
      </c>
      <c r="AD191" s="605">
        <f>AB191+5</f>
        <v>46315</v>
      </c>
      <c r="AE191" s="605">
        <f>AD191+2</f>
        <v>46317</v>
      </c>
      <c r="AF191" s="605">
        <f>AG191-7</f>
        <v>46324</v>
      </c>
      <c r="AG191" s="605">
        <f>AH191-3</f>
        <v>46331</v>
      </c>
      <c r="AH191" s="605">
        <f>AM191</f>
        <v>46334</v>
      </c>
      <c r="AI191" s="605">
        <f>AM191+14</f>
        <v>46348</v>
      </c>
      <c r="AJ191" s="605">
        <f>AM191+30</f>
        <v>46364</v>
      </c>
      <c r="AK191" s="606">
        <v>14.285714285714301</v>
      </c>
      <c r="AL191" s="607">
        <v>100</v>
      </c>
      <c r="AM191" s="605">
        <v>46334</v>
      </c>
      <c r="AN191" s="608">
        <f>AR190-3</f>
        <v>46336</v>
      </c>
      <c r="AO191" s="600">
        <f>AN191-AM191</f>
        <v>2</v>
      </c>
      <c r="AP191" s="609"/>
      <c r="AQ191" s="610" t="s">
        <v>66</v>
      </c>
      <c r="AR191" s="611">
        <v>46374</v>
      </c>
      <c r="AS191" s="608"/>
    </row>
    <row r="192" spans="1:45" s="550" customFormat="1" ht="24" customHeight="1">
      <c r="A192" s="660"/>
      <c r="B192" s="661" t="s">
        <v>259</v>
      </c>
      <c r="C192" s="661" t="s">
        <v>260</v>
      </c>
      <c r="D192" s="653" t="s">
        <v>241</v>
      </c>
      <c r="E192" s="662"/>
      <c r="F192" s="663"/>
      <c r="G192" s="664">
        <f>G190</f>
        <v>0</v>
      </c>
      <c r="H192" s="665"/>
      <c r="I192" s="664" t="s">
        <v>235</v>
      </c>
      <c r="J192" s="661" t="s">
        <v>64</v>
      </c>
      <c r="K192" s="666">
        <v>3</v>
      </c>
      <c r="L192" s="661" t="s">
        <v>6</v>
      </c>
      <c r="M192" s="667" t="s">
        <v>67</v>
      </c>
      <c r="N192" s="668">
        <v>46137</v>
      </c>
      <c r="O192" s="668">
        <v>46204</v>
      </c>
      <c r="P192" s="668">
        <v>46223</v>
      </c>
      <c r="Q192" s="668">
        <v>46223</v>
      </c>
      <c r="R192" s="668">
        <v>46223</v>
      </c>
      <c r="S192" s="668">
        <v>46223</v>
      </c>
      <c r="T192" s="668">
        <v>46223</v>
      </c>
      <c r="U192" s="668">
        <v>46251</v>
      </c>
      <c r="V192" s="668">
        <f>IF(V177&lt;&gt;"",V177,"")</f>
        <v>46262</v>
      </c>
      <c r="W192" s="668">
        <f t="shared" ref="W192:AJ192" si="1">IF(W177&lt;&gt;"",W177,"")</f>
        <v>46262</v>
      </c>
      <c r="X192" s="668">
        <f t="shared" si="1"/>
        <v>46262</v>
      </c>
      <c r="Y192" s="668">
        <f t="shared" si="1"/>
        <v>46262</v>
      </c>
      <c r="Z192" s="668">
        <f t="shared" si="1"/>
        <v>46262</v>
      </c>
      <c r="AA192" s="668">
        <f t="shared" si="1"/>
        <v>46263</v>
      </c>
      <c r="AB192" s="668">
        <f t="shared" si="1"/>
        <v>46276</v>
      </c>
      <c r="AC192" s="668">
        <f t="shared" si="1"/>
        <v>46275</v>
      </c>
      <c r="AD192" s="668">
        <f t="shared" si="1"/>
        <v>46275</v>
      </c>
      <c r="AE192" s="668">
        <f t="shared" si="1"/>
        <v>46275</v>
      </c>
      <c r="AF192" s="668" t="str">
        <f>IF(AF177&lt;&gt;"",AF177,"")</f>
        <v/>
      </c>
      <c r="AG192" s="668" t="str">
        <f>IF(AG177&lt;&gt;"",AG177,"")</f>
        <v/>
      </c>
      <c r="AH192" s="668" t="str">
        <f t="shared" si="1"/>
        <v/>
      </c>
      <c r="AI192" s="668" t="str">
        <f t="shared" si="1"/>
        <v/>
      </c>
      <c r="AJ192" s="668" t="str">
        <f t="shared" si="1"/>
        <v/>
      </c>
      <c r="AK192" s="624"/>
      <c r="AL192" s="669"/>
      <c r="AM192" s="670"/>
      <c r="AN192" s="671"/>
      <c r="AO192" s="664"/>
      <c r="AP192" s="672"/>
      <c r="AQ192" s="673"/>
      <c r="AR192" s="672" t="s">
        <v>261</v>
      </c>
      <c r="AS192" s="671"/>
    </row>
    <row r="193" spans="1:45" s="548" customFormat="1" ht="24" hidden="1" customHeight="1">
      <c r="A193" s="595">
        <v>62</v>
      </c>
      <c r="B193" s="263" t="s">
        <v>262</v>
      </c>
      <c r="C193" s="596" t="s">
        <v>263</v>
      </c>
      <c r="D193" s="650"/>
      <c r="E193" s="598"/>
      <c r="F193" s="651"/>
      <c r="G193" s="600">
        <v>27.3</v>
      </c>
      <c r="H193" s="601"/>
      <c r="I193" s="600" t="s">
        <v>235</v>
      </c>
      <c r="J193" s="263"/>
      <c r="K193" s="602"/>
      <c r="L193" s="263" t="s">
        <v>6</v>
      </c>
      <c r="M193" s="603" t="s">
        <v>60</v>
      </c>
      <c r="N193" s="604"/>
      <c r="O193" s="605">
        <v>46204</v>
      </c>
      <c r="P193" s="605">
        <v>46206</v>
      </c>
      <c r="Q193" s="605">
        <v>46206</v>
      </c>
      <c r="R193" s="605">
        <v>46206</v>
      </c>
      <c r="S193" s="605">
        <v>46206</v>
      </c>
      <c r="T193" s="605">
        <v>46219</v>
      </c>
      <c r="U193" s="605">
        <v>46223</v>
      </c>
      <c r="V193" s="605">
        <v>46231</v>
      </c>
      <c r="W193" s="605"/>
      <c r="X193" s="605">
        <v>46233</v>
      </c>
      <c r="Y193" s="605">
        <v>46235</v>
      </c>
      <c r="Z193" s="605">
        <v>46240</v>
      </c>
      <c r="AA193" s="605">
        <v>46251</v>
      </c>
      <c r="AB193" s="605">
        <v>46260</v>
      </c>
      <c r="AC193" s="605">
        <v>46267</v>
      </c>
      <c r="AD193" s="605">
        <f>AC193+1</f>
        <v>46268</v>
      </c>
      <c r="AE193" s="605">
        <f>AD193+1</f>
        <v>46269</v>
      </c>
      <c r="AF193" s="605">
        <v>46279</v>
      </c>
      <c r="AG193" s="605">
        <v>46286</v>
      </c>
      <c r="AH193" s="605">
        <v>46289</v>
      </c>
      <c r="AI193" s="605">
        <v>46303</v>
      </c>
      <c r="AJ193" s="605">
        <v>46319</v>
      </c>
      <c r="AK193" s="606">
        <v>8</v>
      </c>
      <c r="AL193" s="607">
        <f>AK193*7</f>
        <v>56</v>
      </c>
      <c r="AM193" s="605">
        <f>X193+AL193</f>
        <v>46289</v>
      </c>
      <c r="AN193" s="608">
        <f>AN194</f>
        <v>46305</v>
      </c>
      <c r="AO193" s="600">
        <f>AN194-AM193</f>
        <v>16</v>
      </c>
      <c r="AP193" s="609" t="s">
        <v>61</v>
      </c>
      <c r="AQ193" s="610" t="s">
        <v>62</v>
      </c>
      <c r="AR193" s="611">
        <v>46322</v>
      </c>
      <c r="AS193" s="608"/>
    </row>
    <row r="194" spans="1:45" s="548" customFormat="1" ht="24" customHeight="1">
      <c r="A194" s="595"/>
      <c r="B194" s="263" t="s">
        <v>262</v>
      </c>
      <c r="C194" s="596" t="s">
        <v>263</v>
      </c>
      <c r="D194" s="652"/>
      <c r="E194" s="598"/>
      <c r="F194" s="652"/>
      <c r="G194" s="600">
        <f>G193</f>
        <v>27.3</v>
      </c>
      <c r="H194" s="601" t="s">
        <v>236</v>
      </c>
      <c r="I194" s="600" t="s">
        <v>235</v>
      </c>
      <c r="J194" s="263" t="s">
        <v>64</v>
      </c>
      <c r="K194" s="263">
        <v>2</v>
      </c>
      <c r="L194" s="263" t="s">
        <v>6</v>
      </c>
      <c r="M194" s="603" t="s">
        <v>65</v>
      </c>
      <c r="N194" s="605"/>
      <c r="O194" s="605"/>
      <c r="P194" s="605"/>
      <c r="Q194" s="605"/>
      <c r="R194" s="605"/>
      <c r="S194" s="605"/>
      <c r="T194" s="605"/>
      <c r="U194" s="605"/>
      <c r="V194" s="605"/>
      <c r="W194" s="605"/>
      <c r="X194" s="605"/>
      <c r="Y194" s="605"/>
      <c r="Z194" s="605"/>
      <c r="AA194" s="605"/>
      <c r="AB194" s="612">
        <v>46310</v>
      </c>
      <c r="AC194" s="605">
        <v>46317</v>
      </c>
      <c r="AD194" s="605">
        <v>46315</v>
      </c>
      <c r="AE194" s="605">
        <v>46317</v>
      </c>
      <c r="AF194" s="605">
        <v>46331</v>
      </c>
      <c r="AG194" s="605">
        <v>46334</v>
      </c>
      <c r="AH194" s="605">
        <v>46348</v>
      </c>
      <c r="AI194" s="605">
        <v>46364</v>
      </c>
      <c r="AJ194" s="605">
        <f>AM194+30</f>
        <v>46327</v>
      </c>
      <c r="AK194" s="606">
        <v>8</v>
      </c>
      <c r="AL194" s="607">
        <v>56</v>
      </c>
      <c r="AM194" s="605">
        <f>IF(X194&lt;&gt;"",X194+AL194,X195+AL194)</f>
        <v>46297</v>
      </c>
      <c r="AN194" s="608">
        <v>46305</v>
      </c>
      <c r="AO194" s="600">
        <f>AN194-AM194</f>
        <v>8</v>
      </c>
      <c r="AP194" s="614" t="str">
        <f>AP193</f>
        <v>Long Lead</v>
      </c>
      <c r="AQ194" s="610" t="s">
        <v>66</v>
      </c>
      <c r="AR194" s="611">
        <v>46367</v>
      </c>
      <c r="AS194" s="608"/>
    </row>
    <row r="195" spans="1:45" s="548" customFormat="1" ht="24" customHeight="1">
      <c r="A195" s="615"/>
      <c r="B195" s="616" t="s">
        <v>262</v>
      </c>
      <c r="C195" s="649" t="s">
        <v>263</v>
      </c>
      <c r="D195" s="653"/>
      <c r="E195" s="618"/>
      <c r="F195" s="653"/>
      <c r="G195" s="620">
        <f>G193</f>
        <v>27.3</v>
      </c>
      <c r="H195" s="621"/>
      <c r="I195" s="620" t="s">
        <v>235</v>
      </c>
      <c r="J195" s="616" t="s">
        <v>64</v>
      </c>
      <c r="K195" s="263">
        <v>2</v>
      </c>
      <c r="L195" s="616" t="s">
        <v>6</v>
      </c>
      <c r="M195" s="622" t="s">
        <v>67</v>
      </c>
      <c r="N195" s="623">
        <v>46137</v>
      </c>
      <c r="O195" s="623">
        <v>46163</v>
      </c>
      <c r="P195" s="623">
        <v>46175</v>
      </c>
      <c r="Q195" s="623">
        <v>46175</v>
      </c>
      <c r="R195" s="623">
        <f>Q195</f>
        <v>46175</v>
      </c>
      <c r="S195" s="623">
        <v>46179</v>
      </c>
      <c r="T195" s="623">
        <v>46179</v>
      </c>
      <c r="U195" s="623">
        <v>46237</v>
      </c>
      <c r="V195" s="623">
        <v>46237</v>
      </c>
      <c r="W195" s="623">
        <v>46237</v>
      </c>
      <c r="X195" s="623">
        <v>46241</v>
      </c>
      <c r="Y195" s="623">
        <v>46241</v>
      </c>
      <c r="Z195" s="623">
        <v>46262</v>
      </c>
      <c r="AA195" s="623">
        <f>Z195+1</f>
        <v>46263</v>
      </c>
      <c r="AB195" s="623"/>
      <c r="AC195" s="623"/>
      <c r="AD195" s="623"/>
      <c r="AE195" s="623"/>
      <c r="AF195" s="623"/>
      <c r="AG195" s="623"/>
      <c r="AH195" s="623"/>
      <c r="AI195" s="623"/>
      <c r="AJ195" s="623"/>
      <c r="AK195" s="624"/>
      <c r="AL195" s="625"/>
      <c r="AM195" s="605"/>
      <c r="AN195" s="626"/>
      <c r="AO195" s="620"/>
      <c r="AP195" s="627" t="str">
        <f>AP193</f>
        <v>Long Lead</v>
      </c>
      <c r="AQ195" s="628"/>
      <c r="AR195" s="627" t="s">
        <v>255</v>
      </c>
      <c r="AS195" s="626"/>
    </row>
    <row r="196" spans="1:45" s="548" customFormat="1" ht="24" hidden="1" customHeight="1">
      <c r="A196" s="595">
        <v>64</v>
      </c>
      <c r="B196" s="263" t="s">
        <v>264</v>
      </c>
      <c r="C196" s="596" t="s">
        <v>265</v>
      </c>
      <c r="D196" s="650" t="s">
        <v>234</v>
      </c>
      <c r="E196" s="598"/>
      <c r="F196" s="651"/>
      <c r="G196" s="600"/>
      <c r="H196" s="601"/>
      <c r="I196" s="600" t="s">
        <v>235</v>
      </c>
      <c r="J196" s="263"/>
      <c r="K196" s="602"/>
      <c r="L196" s="263" t="s">
        <v>6</v>
      </c>
      <c r="M196" s="603" t="s">
        <v>60</v>
      </c>
      <c r="N196" s="604"/>
      <c r="O196" s="605">
        <v>46300</v>
      </c>
      <c r="P196" s="642">
        <v>46304</v>
      </c>
      <c r="Q196" s="642">
        <v>46304</v>
      </c>
      <c r="R196" s="642">
        <v>46304</v>
      </c>
      <c r="S196" s="642">
        <v>46309</v>
      </c>
      <c r="T196" s="642">
        <v>46309</v>
      </c>
      <c r="U196" s="642">
        <v>46316</v>
      </c>
      <c r="V196" s="642">
        <v>46331</v>
      </c>
      <c r="W196" s="642"/>
      <c r="X196" s="642">
        <v>46335</v>
      </c>
      <c r="Y196" s="642">
        <v>46335</v>
      </c>
      <c r="Z196" s="605">
        <v>46340</v>
      </c>
      <c r="AA196" s="605">
        <v>46350</v>
      </c>
      <c r="AB196" s="605">
        <v>46360</v>
      </c>
      <c r="AC196" s="605">
        <v>46367</v>
      </c>
      <c r="AD196" s="605">
        <v>46365</v>
      </c>
      <c r="AE196" s="605">
        <v>46367</v>
      </c>
      <c r="AF196" s="605">
        <v>46383</v>
      </c>
      <c r="AG196" s="605">
        <v>46390</v>
      </c>
      <c r="AH196" s="605">
        <v>46393</v>
      </c>
      <c r="AI196" s="605">
        <v>46407</v>
      </c>
      <c r="AJ196" s="605">
        <v>46423</v>
      </c>
      <c r="AK196" s="606">
        <v>8.5714285714285694</v>
      </c>
      <c r="AL196" s="607">
        <f>AK196*7</f>
        <v>59.999999999999986</v>
      </c>
      <c r="AM196" s="605">
        <f>X196+AL196</f>
        <v>46395</v>
      </c>
      <c r="AN196" s="608">
        <f>AN197</f>
        <v>46415</v>
      </c>
      <c r="AO196" s="600">
        <f>AN197-AM196</f>
        <v>20</v>
      </c>
      <c r="AP196" s="609" t="s">
        <v>61</v>
      </c>
      <c r="AQ196" s="610" t="s">
        <v>62</v>
      </c>
      <c r="AR196" s="611">
        <v>46422</v>
      </c>
      <c r="AS196" s="608"/>
    </row>
    <row r="197" spans="1:45" s="548" customFormat="1" ht="24" customHeight="1">
      <c r="A197" s="595"/>
      <c r="B197" s="263" t="s">
        <v>264</v>
      </c>
      <c r="C197" s="596" t="s">
        <v>265</v>
      </c>
      <c r="D197" s="652" t="s">
        <v>234</v>
      </c>
      <c r="E197" s="598"/>
      <c r="F197" s="652"/>
      <c r="G197" s="600">
        <f>G196</f>
        <v>0</v>
      </c>
      <c r="H197" s="601" t="s">
        <v>266</v>
      </c>
      <c r="I197" s="600" t="s">
        <v>235</v>
      </c>
      <c r="J197" s="263" t="s">
        <v>64</v>
      </c>
      <c r="K197" s="263">
        <v>2</v>
      </c>
      <c r="L197" s="263" t="s">
        <v>6</v>
      </c>
      <c r="M197" s="603" t="s">
        <v>65</v>
      </c>
      <c r="N197" s="605">
        <v>46120</v>
      </c>
      <c r="O197" s="605"/>
      <c r="P197" s="642"/>
      <c r="Q197" s="642"/>
      <c r="R197" s="642"/>
      <c r="S197" s="642"/>
      <c r="T197" s="642"/>
      <c r="U197" s="642"/>
      <c r="V197" s="642"/>
      <c r="W197" s="642"/>
      <c r="X197" s="642"/>
      <c r="Y197" s="642"/>
      <c r="Z197" s="605"/>
      <c r="AA197" s="605"/>
      <c r="AB197" s="605">
        <v>46360</v>
      </c>
      <c r="AC197" s="605">
        <v>46367</v>
      </c>
      <c r="AD197" s="605">
        <v>46365</v>
      </c>
      <c r="AE197" s="605">
        <v>46367</v>
      </c>
      <c r="AF197" s="605">
        <v>50</v>
      </c>
      <c r="AG197" s="605">
        <v>57</v>
      </c>
      <c r="AH197" s="605">
        <v>60</v>
      </c>
      <c r="AI197" s="605">
        <v>74</v>
      </c>
      <c r="AJ197" s="605">
        <v>90</v>
      </c>
      <c r="AK197" s="606">
        <v>8.5714285714285694</v>
      </c>
      <c r="AL197" s="607">
        <v>60</v>
      </c>
      <c r="AM197" s="605">
        <f>IF(X197&lt;&gt;"",X197+AL197,X198+AL197)</f>
        <v>60</v>
      </c>
      <c r="AN197" s="608">
        <f>AR196-7</f>
        <v>46415</v>
      </c>
      <c r="AO197" s="600">
        <f>AN197-AM197</f>
        <v>46355</v>
      </c>
      <c r="AP197" s="614" t="str">
        <f>AP196</f>
        <v>Long Lead</v>
      </c>
      <c r="AQ197" s="610" t="s">
        <v>66</v>
      </c>
      <c r="AR197" s="611">
        <v>46472</v>
      </c>
      <c r="AS197" s="608"/>
    </row>
    <row r="198" spans="1:45" s="548" customFormat="1" ht="24" customHeight="1">
      <c r="A198" s="615"/>
      <c r="B198" s="616" t="s">
        <v>264</v>
      </c>
      <c r="C198" s="649" t="s">
        <v>265</v>
      </c>
      <c r="D198" s="653" t="s">
        <v>234</v>
      </c>
      <c r="E198" s="618"/>
      <c r="F198" s="653"/>
      <c r="G198" s="620">
        <f>G196</f>
        <v>0</v>
      </c>
      <c r="H198" s="621"/>
      <c r="I198" s="620" t="s">
        <v>235</v>
      </c>
      <c r="J198" s="616" t="s">
        <v>64</v>
      </c>
      <c r="K198" s="263">
        <v>2</v>
      </c>
      <c r="L198" s="616" t="s">
        <v>6</v>
      </c>
      <c r="M198" s="622" t="s">
        <v>67</v>
      </c>
      <c r="N198" s="605">
        <v>46120</v>
      </c>
      <c r="O198" s="623">
        <v>46162</v>
      </c>
      <c r="P198" s="623">
        <v>46175</v>
      </c>
      <c r="Q198" s="623">
        <v>46175</v>
      </c>
      <c r="R198" s="623">
        <v>46179</v>
      </c>
      <c r="S198" s="623">
        <v>46179</v>
      </c>
      <c r="T198" s="623">
        <v>46179</v>
      </c>
      <c r="U198" s="623">
        <v>46185</v>
      </c>
      <c r="V198" s="623">
        <v>46190</v>
      </c>
      <c r="W198" s="623"/>
      <c r="X198" s="620"/>
      <c r="Y198" s="623"/>
      <c r="Z198" s="674">
        <v>46223</v>
      </c>
      <c r="AA198" s="674">
        <v>46223</v>
      </c>
      <c r="AB198" s="623"/>
      <c r="AC198" s="623"/>
      <c r="AD198" s="623"/>
      <c r="AE198" s="623"/>
      <c r="AF198" s="623"/>
      <c r="AG198" s="623"/>
      <c r="AH198" s="623"/>
      <c r="AI198" s="623"/>
      <c r="AJ198" s="623"/>
      <c r="AK198" s="624"/>
      <c r="AL198" s="625"/>
      <c r="AM198" s="623"/>
      <c r="AN198" s="626"/>
      <c r="AO198" s="620"/>
      <c r="AP198" s="627" t="str">
        <f>AP196</f>
        <v>Long Lead</v>
      </c>
      <c r="AQ198" s="628"/>
      <c r="AR198" s="627"/>
      <c r="AS198" s="626"/>
    </row>
    <row r="199" spans="1:45" s="548" customFormat="1" ht="24" hidden="1" customHeight="1">
      <c r="A199" s="595">
        <v>65</v>
      </c>
      <c r="B199" s="263" t="s">
        <v>267</v>
      </c>
      <c r="C199" s="596" t="s">
        <v>268</v>
      </c>
      <c r="D199" s="650"/>
      <c r="E199" s="598"/>
      <c r="F199" s="651"/>
      <c r="G199" s="600"/>
      <c r="H199" s="601"/>
      <c r="I199" s="600" t="s">
        <v>235</v>
      </c>
      <c r="J199" s="263"/>
      <c r="K199" s="602"/>
      <c r="L199" s="263" t="s">
        <v>6</v>
      </c>
      <c r="M199" s="603" t="s">
        <v>60</v>
      </c>
      <c r="N199" s="604"/>
      <c r="O199" s="605">
        <v>46302</v>
      </c>
      <c r="P199" s="642">
        <v>46304</v>
      </c>
      <c r="Q199" s="642">
        <v>46304</v>
      </c>
      <c r="R199" s="642">
        <v>46304</v>
      </c>
      <c r="S199" s="642">
        <v>46309</v>
      </c>
      <c r="T199" s="642">
        <v>46309</v>
      </c>
      <c r="U199" s="642">
        <v>46318</v>
      </c>
      <c r="V199" s="642">
        <v>46330</v>
      </c>
      <c r="W199" s="642"/>
      <c r="X199" s="642">
        <v>46332</v>
      </c>
      <c r="Y199" s="642">
        <v>46334</v>
      </c>
      <c r="Z199" s="605">
        <v>46339</v>
      </c>
      <c r="AA199" s="605">
        <v>46349</v>
      </c>
      <c r="AB199" s="605">
        <v>46359</v>
      </c>
      <c r="AC199" s="605">
        <v>46366</v>
      </c>
      <c r="AD199" s="605">
        <f>AC199+1</f>
        <v>46367</v>
      </c>
      <c r="AE199" s="605">
        <f>AD199+1</f>
        <v>46368</v>
      </c>
      <c r="AF199" s="605">
        <v>46412</v>
      </c>
      <c r="AG199" s="605">
        <v>46419</v>
      </c>
      <c r="AH199" s="605">
        <v>46422</v>
      </c>
      <c r="AI199" s="605">
        <v>46436</v>
      </c>
      <c r="AJ199" s="605">
        <v>46452</v>
      </c>
      <c r="AK199" s="606">
        <v>12.8571428571429</v>
      </c>
      <c r="AL199" s="607">
        <f>AK199*7</f>
        <v>90.000000000000298</v>
      </c>
      <c r="AM199" s="605">
        <f>X199+AL199</f>
        <v>46422</v>
      </c>
      <c r="AN199" s="608">
        <f>AN200</f>
        <v>46465</v>
      </c>
      <c r="AO199" s="600">
        <f>AN200-AM199</f>
        <v>43</v>
      </c>
      <c r="AP199" s="609" t="s">
        <v>61</v>
      </c>
      <c r="AQ199" s="610" t="s">
        <v>62</v>
      </c>
      <c r="AR199" s="611">
        <v>46472</v>
      </c>
      <c r="AS199" s="608"/>
    </row>
    <row r="200" spans="1:45" s="548" customFormat="1" ht="24" customHeight="1">
      <c r="A200" s="595"/>
      <c r="B200" s="263" t="s">
        <v>267</v>
      </c>
      <c r="C200" s="596" t="s">
        <v>268</v>
      </c>
      <c r="D200" s="652"/>
      <c r="E200" s="598"/>
      <c r="F200" s="652"/>
      <c r="G200" s="600">
        <f>G199</f>
        <v>0</v>
      </c>
      <c r="H200" s="601" t="s">
        <v>266</v>
      </c>
      <c r="I200" s="600" t="s">
        <v>235</v>
      </c>
      <c r="J200" s="263" t="s">
        <v>64</v>
      </c>
      <c r="K200" s="263">
        <v>2</v>
      </c>
      <c r="L200" s="263" t="s">
        <v>6</v>
      </c>
      <c r="M200" s="603" t="s">
        <v>65</v>
      </c>
      <c r="N200" s="605"/>
      <c r="O200" s="605"/>
      <c r="P200" s="642"/>
      <c r="Q200" s="642"/>
      <c r="R200" s="642"/>
      <c r="S200" s="642"/>
      <c r="T200" s="642"/>
      <c r="U200" s="642"/>
      <c r="V200" s="642"/>
      <c r="W200" s="642"/>
      <c r="X200" s="642"/>
      <c r="Y200" s="642"/>
      <c r="Z200" s="605"/>
      <c r="AA200" s="605">
        <v>46349</v>
      </c>
      <c r="AB200" s="605">
        <v>46359</v>
      </c>
      <c r="AC200" s="605">
        <v>46366</v>
      </c>
      <c r="AD200" s="605">
        <v>46364</v>
      </c>
      <c r="AE200" s="605">
        <v>60</v>
      </c>
      <c r="AF200" s="605">
        <v>46321</v>
      </c>
      <c r="AG200" s="605">
        <v>46328</v>
      </c>
      <c r="AH200" s="605">
        <v>46331</v>
      </c>
      <c r="AI200" s="605">
        <v>46345</v>
      </c>
      <c r="AJ200" s="605">
        <v>46361</v>
      </c>
      <c r="AK200" s="606">
        <v>12.8571428571429</v>
      </c>
      <c r="AL200" s="607">
        <v>90.000000000000298</v>
      </c>
      <c r="AM200" s="605">
        <f>IF(X200&lt;&gt;"",X200+AL200,X201+AL200)</f>
        <v>46331</v>
      </c>
      <c r="AN200" s="608">
        <f>AR199-7</f>
        <v>46465</v>
      </c>
      <c r="AO200" s="600">
        <f>AN200-AM200</f>
        <v>134</v>
      </c>
      <c r="AP200" s="614" t="str">
        <f>AP199</f>
        <v>Long Lead</v>
      </c>
      <c r="AQ200" s="610" t="s">
        <v>66</v>
      </c>
      <c r="AR200" s="611">
        <v>46517</v>
      </c>
      <c r="AS200" s="608"/>
    </row>
    <row r="201" spans="1:45" s="548" customFormat="1" ht="24" customHeight="1">
      <c r="A201" s="615"/>
      <c r="B201" s="616" t="s">
        <v>267</v>
      </c>
      <c r="C201" s="649" t="s">
        <v>268</v>
      </c>
      <c r="D201" s="653"/>
      <c r="E201" s="618"/>
      <c r="F201" s="653"/>
      <c r="G201" s="620">
        <f>G199</f>
        <v>0</v>
      </c>
      <c r="H201" s="621"/>
      <c r="I201" s="620" t="s">
        <v>235</v>
      </c>
      <c r="J201" s="616" t="s">
        <v>64</v>
      </c>
      <c r="K201" s="263">
        <v>2</v>
      </c>
      <c r="L201" s="616" t="s">
        <v>6</v>
      </c>
      <c r="M201" s="622" t="s">
        <v>67</v>
      </c>
      <c r="N201" s="620"/>
      <c r="O201" s="623">
        <v>46163</v>
      </c>
      <c r="P201" s="623">
        <v>46237</v>
      </c>
      <c r="Q201" s="623">
        <v>46237</v>
      </c>
      <c r="R201" s="623">
        <v>46237</v>
      </c>
      <c r="S201" s="623">
        <v>46237</v>
      </c>
      <c r="T201" s="623">
        <v>46237</v>
      </c>
      <c r="U201" s="623">
        <v>46237</v>
      </c>
      <c r="V201" s="623">
        <v>46237</v>
      </c>
      <c r="W201" s="623">
        <v>46237</v>
      </c>
      <c r="X201" s="623">
        <v>46241</v>
      </c>
      <c r="Y201" s="623">
        <v>46241</v>
      </c>
      <c r="Z201" s="623">
        <v>46262</v>
      </c>
      <c r="AA201" s="623">
        <f>Z201+1</f>
        <v>46263</v>
      </c>
      <c r="AB201" s="623"/>
      <c r="AC201" s="623"/>
      <c r="AD201" s="623"/>
      <c r="AE201" s="623"/>
      <c r="AF201" s="623"/>
      <c r="AG201" s="623"/>
      <c r="AH201" s="623"/>
      <c r="AI201" s="623"/>
      <c r="AJ201" s="623"/>
      <c r="AK201" s="624"/>
      <c r="AL201" s="625"/>
      <c r="AM201" s="623"/>
      <c r="AN201" s="626"/>
      <c r="AO201" s="620"/>
      <c r="AP201" s="627" t="str">
        <f>AP199</f>
        <v>Long Lead</v>
      </c>
      <c r="AQ201" s="628"/>
      <c r="AR201" s="627" t="s">
        <v>255</v>
      </c>
      <c r="AS201" s="626"/>
    </row>
    <row r="202" spans="1:45" s="548" customFormat="1" ht="24" hidden="1" customHeight="1">
      <c r="A202" s="595">
        <v>67</v>
      </c>
      <c r="B202" s="263" t="s">
        <v>269</v>
      </c>
      <c r="C202" s="596" t="s">
        <v>270</v>
      </c>
      <c r="D202" s="650"/>
      <c r="E202" s="598"/>
      <c r="F202" s="651"/>
      <c r="G202" s="600"/>
      <c r="H202" s="601"/>
      <c r="I202" s="600" t="s">
        <v>86</v>
      </c>
      <c r="J202" s="263"/>
      <c r="K202" s="602"/>
      <c r="L202" s="263" t="s">
        <v>9</v>
      </c>
      <c r="M202" s="603" t="s">
        <v>60</v>
      </c>
      <c r="N202" s="604"/>
      <c r="O202" s="605">
        <v>46223</v>
      </c>
      <c r="P202" s="605">
        <v>46239</v>
      </c>
      <c r="Q202" s="605">
        <v>46239</v>
      </c>
      <c r="R202" s="605">
        <v>46239</v>
      </c>
      <c r="S202" s="605">
        <v>46239</v>
      </c>
      <c r="T202" s="605">
        <v>46240</v>
      </c>
      <c r="U202" s="605">
        <v>46244</v>
      </c>
      <c r="V202" s="605">
        <v>46258</v>
      </c>
      <c r="W202" s="605"/>
      <c r="X202" s="605">
        <v>46265</v>
      </c>
      <c r="Y202" s="605">
        <v>46267</v>
      </c>
      <c r="Z202" s="605">
        <v>46274</v>
      </c>
      <c r="AA202" s="605">
        <v>46288</v>
      </c>
      <c r="AB202" s="605">
        <v>46302</v>
      </c>
      <c r="AC202" s="605">
        <v>46332</v>
      </c>
      <c r="AD202" s="605">
        <v>46332</v>
      </c>
      <c r="AE202" s="605">
        <v>46334</v>
      </c>
      <c r="AF202" s="605">
        <v>46341</v>
      </c>
      <c r="AG202" s="605">
        <v>46348</v>
      </c>
      <c r="AH202" s="605">
        <v>46355</v>
      </c>
      <c r="AI202" s="605">
        <v>46369</v>
      </c>
      <c r="AJ202" s="605">
        <v>46385</v>
      </c>
      <c r="AK202" s="606">
        <v>12.8571428571429</v>
      </c>
      <c r="AL202" s="607">
        <f>AK202*7</f>
        <v>90.000000000000298</v>
      </c>
      <c r="AM202" s="605">
        <f>X202+AL202</f>
        <v>46355</v>
      </c>
      <c r="AN202" s="608">
        <f>AN203</f>
        <v>46382</v>
      </c>
      <c r="AO202" s="600">
        <f>AN203-AM202</f>
        <v>27</v>
      </c>
      <c r="AP202" s="609"/>
      <c r="AQ202" s="610" t="s">
        <v>62</v>
      </c>
      <c r="AR202" s="611">
        <v>46385</v>
      </c>
      <c r="AS202" s="608"/>
    </row>
    <row r="203" spans="1:45" s="548" customFormat="1" ht="24" customHeight="1">
      <c r="A203" s="595"/>
      <c r="B203" s="263" t="s">
        <v>269</v>
      </c>
      <c r="C203" s="596" t="s">
        <v>270</v>
      </c>
      <c r="D203" s="652"/>
      <c r="E203" s="598"/>
      <c r="F203" s="652"/>
      <c r="G203" s="600"/>
      <c r="H203" s="601" t="s">
        <v>271</v>
      </c>
      <c r="I203" s="600" t="s">
        <v>86</v>
      </c>
      <c r="J203" s="263" t="s">
        <v>64</v>
      </c>
      <c r="K203" s="263">
        <v>3</v>
      </c>
      <c r="L203" s="263" t="s">
        <v>9</v>
      </c>
      <c r="M203" s="603" t="s">
        <v>65</v>
      </c>
      <c r="N203" s="605">
        <v>46208</v>
      </c>
      <c r="O203" s="605"/>
      <c r="P203" s="605"/>
      <c r="Q203" s="605"/>
      <c r="R203" s="605"/>
      <c r="S203" s="605"/>
      <c r="T203" s="605"/>
      <c r="U203" s="605"/>
      <c r="V203" s="605">
        <v>46269</v>
      </c>
      <c r="W203" s="605"/>
      <c r="X203" s="605"/>
      <c r="Y203" s="605">
        <v>46294</v>
      </c>
      <c r="Z203" s="605">
        <v>46308</v>
      </c>
      <c r="AA203" s="605">
        <v>46322</v>
      </c>
      <c r="AB203" s="605">
        <v>46336</v>
      </c>
      <c r="AC203" s="605">
        <v>46366</v>
      </c>
      <c r="AD203" s="605">
        <v>46366</v>
      </c>
      <c r="AE203" s="605">
        <v>46368</v>
      </c>
      <c r="AF203" s="605">
        <v>46365</v>
      </c>
      <c r="AG203" s="605">
        <v>46372</v>
      </c>
      <c r="AH203" s="605">
        <v>46379</v>
      </c>
      <c r="AI203" s="605">
        <v>46393</v>
      </c>
      <c r="AJ203" s="605">
        <v>46409</v>
      </c>
      <c r="AK203" s="606">
        <v>12.8571428571429</v>
      </c>
      <c r="AL203" s="607">
        <v>90.000000000000298</v>
      </c>
      <c r="AM203" s="605">
        <f>IF(X203&lt;&gt;"",X203+AL203,X204+AL203)</f>
        <v>46373</v>
      </c>
      <c r="AN203" s="608">
        <f>AR202-3</f>
        <v>46382</v>
      </c>
      <c r="AO203" s="600">
        <f>AN203-AM203</f>
        <v>9</v>
      </c>
      <c r="AP203" s="609"/>
      <c r="AQ203" s="610" t="s">
        <v>66</v>
      </c>
      <c r="AR203" s="611">
        <v>46410</v>
      </c>
      <c r="AS203" s="608"/>
    </row>
    <row r="204" spans="1:45" s="548" customFormat="1" ht="24" customHeight="1">
      <c r="A204" s="615"/>
      <c r="B204" s="616" t="s">
        <v>269</v>
      </c>
      <c r="C204" s="649" t="s">
        <v>270</v>
      </c>
      <c r="D204" s="653"/>
      <c r="E204" s="618"/>
      <c r="F204" s="653"/>
      <c r="G204" s="620"/>
      <c r="H204" s="621"/>
      <c r="I204" s="620" t="s">
        <v>86</v>
      </c>
      <c r="J204" s="616" t="s">
        <v>64</v>
      </c>
      <c r="K204" s="263">
        <v>3</v>
      </c>
      <c r="L204" s="616" t="s">
        <v>9</v>
      </c>
      <c r="M204" s="622" t="s">
        <v>67</v>
      </c>
      <c r="N204" s="623"/>
      <c r="O204" s="623">
        <v>46227</v>
      </c>
      <c r="P204" s="623">
        <f>IF(P222&lt;&gt;"",P222,"")</f>
        <v>46244</v>
      </c>
      <c r="Q204" s="623">
        <f t="shared" ref="Q204:V204" si="2">IF(Q222&lt;&gt;"",Q222,"")</f>
        <v>46244</v>
      </c>
      <c r="R204" s="623">
        <f t="shared" si="2"/>
        <v>46244</v>
      </c>
      <c r="S204" s="623">
        <f t="shared" si="2"/>
        <v>46244</v>
      </c>
      <c r="T204" s="623">
        <f t="shared" si="2"/>
        <v>46244</v>
      </c>
      <c r="U204" s="623">
        <v>46263</v>
      </c>
      <c r="V204" s="623" t="str">
        <f t="shared" si="2"/>
        <v/>
      </c>
      <c r="W204" s="623"/>
      <c r="X204" s="623">
        <v>46283</v>
      </c>
      <c r="Y204" s="623"/>
      <c r="Z204" s="623"/>
      <c r="AA204" s="623"/>
      <c r="AB204" s="623"/>
      <c r="AC204" s="623"/>
      <c r="AD204" s="623"/>
      <c r="AE204" s="623"/>
      <c r="AF204" s="623"/>
      <c r="AG204" s="623"/>
      <c r="AH204" s="623"/>
      <c r="AI204" s="623"/>
      <c r="AJ204" s="623"/>
      <c r="AK204" s="624"/>
      <c r="AL204" s="625"/>
      <c r="AM204" s="623"/>
      <c r="AN204" s="626"/>
      <c r="AO204" s="620"/>
      <c r="AP204" s="627"/>
      <c r="AQ204" s="628"/>
      <c r="AR204" s="627"/>
      <c r="AS204" s="626"/>
    </row>
    <row r="205" spans="1:45" s="548" customFormat="1" ht="24" hidden="1" customHeight="1">
      <c r="A205" s="595">
        <v>68</v>
      </c>
      <c r="B205" s="263" t="s">
        <v>272</v>
      </c>
      <c r="C205" s="263" t="s">
        <v>273</v>
      </c>
      <c r="D205" s="650"/>
      <c r="E205" s="598"/>
      <c r="F205" s="651"/>
      <c r="G205" s="600"/>
      <c r="H205" s="601"/>
      <c r="I205" s="600" t="s">
        <v>86</v>
      </c>
      <c r="J205" s="263"/>
      <c r="K205" s="602"/>
      <c r="L205" s="263" t="s">
        <v>9</v>
      </c>
      <c r="M205" s="603" t="s">
        <v>60</v>
      </c>
      <c r="N205" s="604"/>
      <c r="O205" s="605">
        <v>46216</v>
      </c>
      <c r="P205" s="605">
        <v>46230</v>
      </c>
      <c r="Q205" s="605">
        <v>46230</v>
      </c>
      <c r="R205" s="605">
        <v>46230</v>
      </c>
      <c r="S205" s="605">
        <v>46230</v>
      </c>
      <c r="T205" s="605">
        <v>46237</v>
      </c>
      <c r="U205" s="605">
        <v>46244</v>
      </c>
      <c r="V205" s="605">
        <v>46258</v>
      </c>
      <c r="W205" s="605"/>
      <c r="X205" s="605">
        <v>46265</v>
      </c>
      <c r="Y205" s="605">
        <v>46267</v>
      </c>
      <c r="Z205" s="605">
        <v>46274</v>
      </c>
      <c r="AA205" s="605">
        <v>46288</v>
      </c>
      <c r="AB205" s="605">
        <v>46302</v>
      </c>
      <c r="AC205" s="605">
        <v>46332</v>
      </c>
      <c r="AD205" s="605">
        <v>46332</v>
      </c>
      <c r="AE205" s="605">
        <v>46334</v>
      </c>
      <c r="AF205" s="605">
        <v>46419</v>
      </c>
      <c r="AG205" s="605">
        <v>46426</v>
      </c>
      <c r="AH205" s="605">
        <v>46433</v>
      </c>
      <c r="AI205" s="605">
        <v>46447</v>
      </c>
      <c r="AJ205" s="605">
        <v>46463</v>
      </c>
      <c r="AK205" s="630">
        <v>24</v>
      </c>
      <c r="AL205" s="607">
        <f>AK205*7</f>
        <v>168</v>
      </c>
      <c r="AM205" s="605">
        <f>X205+AL205</f>
        <v>46433</v>
      </c>
      <c r="AN205" s="608">
        <f>AN206</f>
        <v>46439</v>
      </c>
      <c r="AO205" s="600">
        <f>AN206-AM205</f>
        <v>6</v>
      </c>
      <c r="AP205" s="609"/>
      <c r="AQ205" s="610" t="s">
        <v>62</v>
      </c>
      <c r="AR205" s="611">
        <v>46446</v>
      </c>
      <c r="AS205" s="608"/>
    </row>
    <row r="206" spans="1:45" s="548" customFormat="1" ht="24" customHeight="1">
      <c r="A206" s="595"/>
      <c r="B206" s="263" t="s">
        <v>272</v>
      </c>
      <c r="C206" s="263" t="s">
        <v>273</v>
      </c>
      <c r="D206" s="652"/>
      <c r="E206" s="598"/>
      <c r="F206" s="652"/>
      <c r="G206" s="600"/>
      <c r="H206" s="601" t="s">
        <v>271</v>
      </c>
      <c r="I206" s="600" t="s">
        <v>86</v>
      </c>
      <c r="J206" s="263" t="s">
        <v>64</v>
      </c>
      <c r="K206" s="263">
        <v>3</v>
      </c>
      <c r="L206" s="263" t="s">
        <v>9</v>
      </c>
      <c r="M206" s="603" t="s">
        <v>65</v>
      </c>
      <c r="N206" s="605">
        <v>46208</v>
      </c>
      <c r="O206" s="605"/>
      <c r="P206" s="605"/>
      <c r="Q206" s="605"/>
      <c r="R206" s="605"/>
      <c r="S206" s="605"/>
      <c r="T206" s="605"/>
      <c r="U206" s="605"/>
      <c r="V206" s="605"/>
      <c r="W206" s="605"/>
      <c r="X206" s="605"/>
      <c r="Y206" s="605"/>
      <c r="Z206" s="605">
        <v>46290</v>
      </c>
      <c r="AA206" s="605">
        <v>46293</v>
      </c>
      <c r="AB206" s="605">
        <v>46307</v>
      </c>
      <c r="AC206" s="605">
        <v>46337</v>
      </c>
      <c r="AD206" s="605">
        <v>46337</v>
      </c>
      <c r="AE206" s="605">
        <v>46339</v>
      </c>
      <c r="AF206" s="605">
        <v>46423</v>
      </c>
      <c r="AG206" s="605">
        <v>46430</v>
      </c>
      <c r="AH206" s="605">
        <v>46437</v>
      </c>
      <c r="AI206" s="605">
        <v>46451</v>
      </c>
      <c r="AJ206" s="605">
        <v>46467</v>
      </c>
      <c r="AK206" s="630">
        <v>24</v>
      </c>
      <c r="AL206" s="607">
        <v>168</v>
      </c>
      <c r="AM206" s="605">
        <f>IF(X206&lt;&gt;"",X206+AL206,X207+AL206)</f>
        <v>46437</v>
      </c>
      <c r="AN206" s="608">
        <f>AR205-7</f>
        <v>46439</v>
      </c>
      <c r="AO206" s="600">
        <f>AN206-AM206</f>
        <v>2</v>
      </c>
      <c r="AP206" s="609"/>
      <c r="AQ206" s="610" t="s">
        <v>66</v>
      </c>
      <c r="AR206" s="611">
        <v>46446</v>
      </c>
      <c r="AS206" s="608"/>
    </row>
    <row r="207" spans="1:45" s="548" customFormat="1" ht="24" customHeight="1">
      <c r="A207" s="615"/>
      <c r="B207" s="616" t="s">
        <v>272</v>
      </c>
      <c r="C207" s="616" t="s">
        <v>273</v>
      </c>
      <c r="D207" s="653"/>
      <c r="E207" s="618"/>
      <c r="F207" s="653"/>
      <c r="G207" s="620"/>
      <c r="H207" s="621"/>
      <c r="I207" s="620" t="s">
        <v>86</v>
      </c>
      <c r="J207" s="616" t="s">
        <v>64</v>
      </c>
      <c r="K207" s="263">
        <v>3</v>
      </c>
      <c r="L207" s="616" t="s">
        <v>9</v>
      </c>
      <c r="M207" s="622" t="s">
        <v>67</v>
      </c>
      <c r="N207" s="623"/>
      <c r="O207" s="623">
        <v>46220</v>
      </c>
      <c r="P207" s="623">
        <v>46229</v>
      </c>
      <c r="Q207" s="623">
        <v>46229</v>
      </c>
      <c r="R207" s="623">
        <v>46229</v>
      </c>
      <c r="S207" s="623">
        <f>R207+1</f>
        <v>46230</v>
      </c>
      <c r="T207" s="623">
        <v>46247</v>
      </c>
      <c r="U207" s="623">
        <v>46262</v>
      </c>
      <c r="V207" s="623">
        <v>46266</v>
      </c>
      <c r="W207" s="623">
        <v>46269</v>
      </c>
      <c r="X207" s="623">
        <v>46269</v>
      </c>
      <c r="Y207" s="623">
        <v>46269</v>
      </c>
      <c r="Z207" s="623"/>
      <c r="AA207" s="623"/>
      <c r="AB207" s="623"/>
      <c r="AC207" s="623"/>
      <c r="AD207" s="623"/>
      <c r="AE207" s="623"/>
      <c r="AF207" s="623"/>
      <c r="AG207" s="623"/>
      <c r="AH207" s="623"/>
      <c r="AI207" s="623"/>
      <c r="AJ207" s="623"/>
      <c r="AK207" s="675"/>
      <c r="AL207" s="625"/>
      <c r="AM207" s="623"/>
      <c r="AN207" s="626"/>
      <c r="AO207" s="620"/>
      <c r="AP207" s="627"/>
      <c r="AQ207" s="628"/>
      <c r="AR207" s="627" t="s">
        <v>274</v>
      </c>
      <c r="AS207" s="626"/>
    </row>
    <row r="208" spans="1:45" s="548" customFormat="1" ht="24" hidden="1" customHeight="1">
      <c r="A208" s="595">
        <v>103</v>
      </c>
      <c r="B208" s="263" t="s">
        <v>275</v>
      </c>
      <c r="C208" s="263" t="s">
        <v>276</v>
      </c>
      <c r="D208" s="650"/>
      <c r="E208" s="598"/>
      <c r="F208" s="651"/>
      <c r="G208" s="600"/>
      <c r="H208" s="601"/>
      <c r="I208" s="600" t="s">
        <v>86</v>
      </c>
      <c r="J208" s="263"/>
      <c r="K208" s="602"/>
      <c r="L208" s="263" t="s">
        <v>9</v>
      </c>
      <c r="M208" s="603" t="s">
        <v>60</v>
      </c>
      <c r="N208" s="604"/>
      <c r="O208" s="605">
        <v>46216</v>
      </c>
      <c r="P208" s="605">
        <v>46230</v>
      </c>
      <c r="Q208" s="605">
        <v>46230</v>
      </c>
      <c r="R208" s="605">
        <v>46230</v>
      </c>
      <c r="S208" s="605">
        <v>46230</v>
      </c>
      <c r="T208" s="605">
        <v>46237</v>
      </c>
      <c r="U208" s="605">
        <v>46244</v>
      </c>
      <c r="V208" s="605">
        <v>46258</v>
      </c>
      <c r="W208" s="605"/>
      <c r="X208" s="605">
        <v>46265</v>
      </c>
      <c r="Y208" s="605">
        <v>46267</v>
      </c>
      <c r="Z208" s="605">
        <v>46274</v>
      </c>
      <c r="AA208" s="605">
        <v>46288</v>
      </c>
      <c r="AB208" s="605">
        <v>46302</v>
      </c>
      <c r="AC208" s="605">
        <v>46332</v>
      </c>
      <c r="AD208" s="605">
        <v>46332</v>
      </c>
      <c r="AE208" s="605">
        <v>46334</v>
      </c>
      <c r="AF208" s="605">
        <v>46419</v>
      </c>
      <c r="AG208" s="605">
        <v>46426</v>
      </c>
      <c r="AH208" s="605">
        <v>46433</v>
      </c>
      <c r="AI208" s="605">
        <v>46447</v>
      </c>
      <c r="AJ208" s="605">
        <v>46463</v>
      </c>
      <c r="AK208" s="630">
        <v>24</v>
      </c>
      <c r="AL208" s="607">
        <f>AK208*7</f>
        <v>168</v>
      </c>
      <c r="AM208" s="605">
        <f>X208+AL208</f>
        <v>46433</v>
      </c>
      <c r="AN208" s="608">
        <f>AN209</f>
        <v>46439</v>
      </c>
      <c r="AO208" s="600">
        <f>AN209-AM208</f>
        <v>6</v>
      </c>
      <c r="AP208" s="609"/>
      <c r="AQ208" s="610" t="s">
        <v>62</v>
      </c>
      <c r="AR208" s="611">
        <v>46446</v>
      </c>
      <c r="AS208" s="608"/>
    </row>
    <row r="209" spans="1:45" s="548" customFormat="1" ht="24" customHeight="1">
      <c r="A209" s="595"/>
      <c r="B209" s="263" t="s">
        <v>275</v>
      </c>
      <c r="C209" s="263" t="s">
        <v>276</v>
      </c>
      <c r="D209" s="652"/>
      <c r="E209" s="598"/>
      <c r="F209" s="652"/>
      <c r="G209" s="600"/>
      <c r="H209" s="601" t="s">
        <v>271</v>
      </c>
      <c r="I209" s="600" t="s">
        <v>86</v>
      </c>
      <c r="J209" s="263" t="s">
        <v>64</v>
      </c>
      <c r="K209" s="263">
        <v>3</v>
      </c>
      <c r="L209" s="263" t="s">
        <v>9</v>
      </c>
      <c r="M209" s="603" t="s">
        <v>65</v>
      </c>
      <c r="N209" s="605">
        <v>46208</v>
      </c>
      <c r="O209" s="605"/>
      <c r="P209" s="605"/>
      <c r="Q209" s="605"/>
      <c r="R209" s="605"/>
      <c r="S209" s="605"/>
      <c r="T209" s="605"/>
      <c r="U209" s="605"/>
      <c r="V209" s="605"/>
      <c r="W209" s="605"/>
      <c r="X209" s="605"/>
      <c r="Y209" s="605"/>
      <c r="Z209" s="605">
        <v>46290</v>
      </c>
      <c r="AA209" s="605">
        <v>46293</v>
      </c>
      <c r="AB209" s="605">
        <v>46307</v>
      </c>
      <c r="AC209" s="605">
        <v>46337</v>
      </c>
      <c r="AD209" s="605">
        <v>46337</v>
      </c>
      <c r="AE209" s="605">
        <v>46339</v>
      </c>
      <c r="AF209" s="605">
        <v>46423</v>
      </c>
      <c r="AG209" s="605">
        <v>46430</v>
      </c>
      <c r="AH209" s="605">
        <v>46437</v>
      </c>
      <c r="AI209" s="605">
        <v>46451</v>
      </c>
      <c r="AJ209" s="605">
        <v>46467</v>
      </c>
      <c r="AK209" s="630">
        <v>24</v>
      </c>
      <c r="AL209" s="607">
        <v>168</v>
      </c>
      <c r="AM209" s="605">
        <f>IF(X209&lt;&gt;"",X209+AL209,X210+AL209)</f>
        <v>46437</v>
      </c>
      <c r="AN209" s="608">
        <f>AR208-7</f>
        <v>46439</v>
      </c>
      <c r="AO209" s="600">
        <f>AN209-AM209</f>
        <v>2</v>
      </c>
      <c r="AP209" s="609"/>
      <c r="AQ209" s="610" t="s">
        <v>66</v>
      </c>
      <c r="AR209" s="611">
        <v>46446</v>
      </c>
      <c r="AS209" s="608"/>
    </row>
    <row r="210" spans="1:45" s="548" customFormat="1" ht="24" customHeight="1">
      <c r="A210" s="615"/>
      <c r="B210" s="616" t="s">
        <v>275</v>
      </c>
      <c r="C210" s="616" t="s">
        <v>276</v>
      </c>
      <c r="D210" s="653"/>
      <c r="E210" s="618"/>
      <c r="F210" s="653"/>
      <c r="G210" s="620"/>
      <c r="H210" s="621"/>
      <c r="I210" s="620" t="s">
        <v>86</v>
      </c>
      <c r="J210" s="616" t="s">
        <v>64</v>
      </c>
      <c r="K210" s="263">
        <v>3</v>
      </c>
      <c r="L210" s="616" t="s">
        <v>9</v>
      </c>
      <c r="M210" s="622" t="s">
        <v>67</v>
      </c>
      <c r="N210" s="623"/>
      <c r="O210" s="623">
        <v>46220</v>
      </c>
      <c r="P210" s="623">
        <v>46229</v>
      </c>
      <c r="Q210" s="623">
        <v>46229</v>
      </c>
      <c r="R210" s="623">
        <f t="shared" ref="R210:V210" si="3">IF(R$207&lt;&gt;"",R$207,"")</f>
        <v>46229</v>
      </c>
      <c r="S210" s="623">
        <f t="shared" si="3"/>
        <v>46230</v>
      </c>
      <c r="T210" s="623">
        <v>46247</v>
      </c>
      <c r="U210" s="623">
        <v>46262</v>
      </c>
      <c r="V210" s="623">
        <f t="shared" si="3"/>
        <v>46266</v>
      </c>
      <c r="W210" s="623">
        <v>46269</v>
      </c>
      <c r="X210" s="623">
        <v>46269</v>
      </c>
      <c r="Y210" s="623">
        <v>46269</v>
      </c>
      <c r="Z210" s="623"/>
      <c r="AA210" s="623"/>
      <c r="AB210" s="623"/>
      <c r="AC210" s="623"/>
      <c r="AD210" s="623"/>
      <c r="AE210" s="623"/>
      <c r="AF210" s="623"/>
      <c r="AG210" s="623"/>
      <c r="AH210" s="623"/>
      <c r="AI210" s="623"/>
      <c r="AJ210" s="623"/>
      <c r="AK210" s="675"/>
      <c r="AL210" s="625"/>
      <c r="AM210" s="623"/>
      <c r="AN210" s="626"/>
      <c r="AO210" s="620"/>
      <c r="AP210" s="627"/>
      <c r="AQ210" s="628"/>
      <c r="AR210" s="627" t="s">
        <v>274</v>
      </c>
      <c r="AS210" s="626"/>
    </row>
    <row r="211" spans="1:45" s="548" customFormat="1" ht="24" hidden="1" customHeight="1">
      <c r="A211" s="595">
        <v>69</v>
      </c>
      <c r="B211" s="263" t="s">
        <v>277</v>
      </c>
      <c r="C211" s="263" t="s">
        <v>278</v>
      </c>
      <c r="D211" s="650"/>
      <c r="E211" s="598"/>
      <c r="F211" s="651"/>
      <c r="G211" s="600"/>
      <c r="H211" s="601"/>
      <c r="I211" s="600" t="s">
        <v>86</v>
      </c>
      <c r="J211" s="263"/>
      <c r="K211" s="602"/>
      <c r="L211" s="263" t="s">
        <v>9</v>
      </c>
      <c r="M211" s="603" t="s">
        <v>60</v>
      </c>
      <c r="N211" s="604"/>
      <c r="O211" s="605">
        <v>46223</v>
      </c>
      <c r="P211" s="605">
        <v>46239</v>
      </c>
      <c r="Q211" s="605">
        <v>46239</v>
      </c>
      <c r="R211" s="605">
        <v>46239</v>
      </c>
      <c r="S211" s="605">
        <v>46239</v>
      </c>
      <c r="T211" s="605">
        <v>46240</v>
      </c>
      <c r="U211" s="605">
        <v>46244</v>
      </c>
      <c r="V211" s="605">
        <v>46258</v>
      </c>
      <c r="W211" s="605"/>
      <c r="X211" s="605">
        <v>46265</v>
      </c>
      <c r="Y211" s="605">
        <v>46267</v>
      </c>
      <c r="Z211" s="605">
        <v>46274</v>
      </c>
      <c r="AA211" s="605">
        <v>46288</v>
      </c>
      <c r="AB211" s="605">
        <v>46302</v>
      </c>
      <c r="AC211" s="605">
        <v>46332</v>
      </c>
      <c r="AD211" s="605">
        <v>46332</v>
      </c>
      <c r="AE211" s="605">
        <v>46334</v>
      </c>
      <c r="AF211" s="605">
        <v>46341</v>
      </c>
      <c r="AG211" s="605">
        <v>46348</v>
      </c>
      <c r="AH211" s="605">
        <v>46355</v>
      </c>
      <c r="AI211" s="605">
        <v>46369</v>
      </c>
      <c r="AJ211" s="605">
        <v>46385</v>
      </c>
      <c r="AK211" s="630">
        <v>12.8571428571429</v>
      </c>
      <c r="AL211" s="607">
        <f>AK211*7</f>
        <v>90.000000000000298</v>
      </c>
      <c r="AM211" s="605">
        <f>X211+AL211</f>
        <v>46355</v>
      </c>
      <c r="AN211" s="608">
        <f>AN212</f>
        <v>46382</v>
      </c>
      <c r="AO211" s="600">
        <f>AN212-AM211</f>
        <v>27</v>
      </c>
      <c r="AP211" s="609"/>
      <c r="AQ211" s="610" t="s">
        <v>62</v>
      </c>
      <c r="AR211" s="611">
        <v>46385</v>
      </c>
      <c r="AS211" s="608"/>
    </row>
    <row r="212" spans="1:45" s="548" customFormat="1" ht="24" customHeight="1">
      <c r="A212" s="595"/>
      <c r="B212" s="263" t="s">
        <v>277</v>
      </c>
      <c r="C212" s="263" t="s">
        <v>278</v>
      </c>
      <c r="D212" s="652"/>
      <c r="E212" s="598"/>
      <c r="F212" s="652"/>
      <c r="G212" s="600"/>
      <c r="H212" s="601" t="s">
        <v>271</v>
      </c>
      <c r="I212" s="600" t="s">
        <v>86</v>
      </c>
      <c r="J212" s="263" t="s">
        <v>64</v>
      </c>
      <c r="K212" s="263">
        <v>3</v>
      </c>
      <c r="L212" s="263" t="s">
        <v>9</v>
      </c>
      <c r="M212" s="603" t="s">
        <v>65</v>
      </c>
      <c r="N212" s="605">
        <v>46208</v>
      </c>
      <c r="O212" s="605"/>
      <c r="P212" s="605"/>
      <c r="Q212" s="605"/>
      <c r="R212" s="605"/>
      <c r="S212" s="605"/>
      <c r="T212" s="605"/>
      <c r="U212" s="605"/>
      <c r="V212" s="605">
        <v>46282</v>
      </c>
      <c r="W212" s="605"/>
      <c r="X212" s="605"/>
      <c r="Y212" s="605">
        <v>46294</v>
      </c>
      <c r="Z212" s="605">
        <v>46308</v>
      </c>
      <c r="AA212" s="605">
        <v>46322</v>
      </c>
      <c r="AB212" s="605">
        <v>46336</v>
      </c>
      <c r="AC212" s="605">
        <v>46366</v>
      </c>
      <c r="AD212" s="605">
        <v>46366</v>
      </c>
      <c r="AE212" s="605">
        <v>46368</v>
      </c>
      <c r="AF212" s="605">
        <v>46365</v>
      </c>
      <c r="AG212" s="605">
        <v>46372</v>
      </c>
      <c r="AH212" s="605">
        <v>46379</v>
      </c>
      <c r="AI212" s="605">
        <v>46393</v>
      </c>
      <c r="AJ212" s="605">
        <v>46409</v>
      </c>
      <c r="AK212" s="630">
        <v>12.8571428571429</v>
      </c>
      <c r="AL212" s="607">
        <v>90.000000000000298</v>
      </c>
      <c r="AM212" s="605">
        <f>IF(X212&lt;&gt;"",X212+AL212,X213+AL212)</f>
        <v>46373</v>
      </c>
      <c r="AN212" s="608">
        <f>AR211-3</f>
        <v>46382</v>
      </c>
      <c r="AO212" s="600">
        <f>AN212-AM212</f>
        <v>9</v>
      </c>
      <c r="AP212" s="609"/>
      <c r="AQ212" s="610" t="s">
        <v>66</v>
      </c>
      <c r="AR212" s="611">
        <v>46410</v>
      </c>
      <c r="AS212" s="608"/>
    </row>
    <row r="213" spans="1:45" s="548" customFormat="1" ht="24" customHeight="1">
      <c r="A213" s="615"/>
      <c r="B213" s="616" t="s">
        <v>277</v>
      </c>
      <c r="C213" s="616" t="s">
        <v>278</v>
      </c>
      <c r="D213" s="653"/>
      <c r="E213" s="618"/>
      <c r="F213" s="653"/>
      <c r="G213" s="620"/>
      <c r="H213" s="621"/>
      <c r="I213" s="620" t="s">
        <v>86</v>
      </c>
      <c r="J213" s="616" t="s">
        <v>64</v>
      </c>
      <c r="K213" s="263">
        <v>3</v>
      </c>
      <c r="L213" s="616" t="s">
        <v>9</v>
      </c>
      <c r="M213" s="622" t="s">
        <v>67</v>
      </c>
      <c r="N213" s="623"/>
      <c r="O213" s="623">
        <v>46227</v>
      </c>
      <c r="P213" s="623">
        <f>IF(P222&lt;&gt;"",P222,"")</f>
        <v>46244</v>
      </c>
      <c r="Q213" s="623">
        <f t="shared" ref="Q213:V213" si="4">IF(Q222&lt;&gt;"",Q222,"")</f>
        <v>46244</v>
      </c>
      <c r="R213" s="623">
        <f t="shared" si="4"/>
        <v>46244</v>
      </c>
      <c r="S213" s="623">
        <f t="shared" si="4"/>
        <v>46244</v>
      </c>
      <c r="T213" s="623">
        <f t="shared" si="4"/>
        <v>46244</v>
      </c>
      <c r="U213" s="623">
        <v>46263</v>
      </c>
      <c r="V213" s="623" t="str">
        <f t="shared" si="4"/>
        <v/>
      </c>
      <c r="W213" s="623"/>
      <c r="X213" s="623">
        <v>46283</v>
      </c>
      <c r="Y213" s="623"/>
      <c r="Z213" s="623"/>
      <c r="AA213" s="623"/>
      <c r="AB213" s="623"/>
      <c r="AC213" s="623"/>
      <c r="AD213" s="623"/>
      <c r="AE213" s="623"/>
      <c r="AF213" s="623"/>
      <c r="AG213" s="623"/>
      <c r="AH213" s="623"/>
      <c r="AI213" s="623"/>
      <c r="AJ213" s="623"/>
      <c r="AK213" s="675"/>
      <c r="AL213" s="625"/>
      <c r="AM213" s="623"/>
      <c r="AN213" s="626"/>
      <c r="AO213" s="620"/>
      <c r="AP213" s="627"/>
      <c r="AQ213" s="628"/>
      <c r="AR213" s="627"/>
      <c r="AS213" s="626"/>
    </row>
    <row r="214" spans="1:45" s="548" customFormat="1" ht="24" hidden="1" customHeight="1">
      <c r="A214" s="595">
        <v>70</v>
      </c>
      <c r="B214" s="263" t="s">
        <v>279</v>
      </c>
      <c r="C214" s="263" t="s">
        <v>280</v>
      </c>
      <c r="D214" s="650"/>
      <c r="E214" s="598"/>
      <c r="F214" s="651"/>
      <c r="G214" s="600"/>
      <c r="H214" s="601"/>
      <c r="I214" s="600" t="s">
        <v>86</v>
      </c>
      <c r="J214" s="263"/>
      <c r="K214" s="602"/>
      <c r="L214" s="263" t="s">
        <v>9</v>
      </c>
      <c r="M214" s="603" t="s">
        <v>60</v>
      </c>
      <c r="N214" s="604"/>
      <c r="O214" s="605">
        <v>46216</v>
      </c>
      <c r="P214" s="605">
        <v>46230</v>
      </c>
      <c r="Q214" s="605">
        <v>46230</v>
      </c>
      <c r="R214" s="605">
        <v>46230</v>
      </c>
      <c r="S214" s="605">
        <v>46230</v>
      </c>
      <c r="T214" s="605">
        <v>46237</v>
      </c>
      <c r="U214" s="605">
        <v>46244</v>
      </c>
      <c r="V214" s="605">
        <v>46258</v>
      </c>
      <c r="W214" s="605"/>
      <c r="X214" s="605">
        <v>46265</v>
      </c>
      <c r="Y214" s="605">
        <v>46267</v>
      </c>
      <c r="Z214" s="605">
        <v>46274</v>
      </c>
      <c r="AA214" s="605">
        <v>46288</v>
      </c>
      <c r="AB214" s="605">
        <v>46302</v>
      </c>
      <c r="AC214" s="605">
        <v>46332</v>
      </c>
      <c r="AD214" s="605">
        <v>46332</v>
      </c>
      <c r="AE214" s="605">
        <v>46334</v>
      </c>
      <c r="AF214" s="605">
        <v>46419</v>
      </c>
      <c r="AG214" s="605">
        <v>46426</v>
      </c>
      <c r="AH214" s="605">
        <v>46433</v>
      </c>
      <c r="AI214" s="605">
        <v>46447</v>
      </c>
      <c r="AJ214" s="605">
        <v>46463</v>
      </c>
      <c r="AK214" s="630">
        <v>24</v>
      </c>
      <c r="AL214" s="607">
        <f>AK214*7</f>
        <v>168</v>
      </c>
      <c r="AM214" s="605">
        <f>X214+AL214</f>
        <v>46433</v>
      </c>
      <c r="AN214" s="608">
        <f>AN215</f>
        <v>46439</v>
      </c>
      <c r="AO214" s="600">
        <f>AN215-AM214</f>
        <v>6</v>
      </c>
      <c r="AP214" s="609"/>
      <c r="AQ214" s="610" t="s">
        <v>62</v>
      </c>
      <c r="AR214" s="611">
        <v>46446</v>
      </c>
      <c r="AS214" s="608"/>
    </row>
    <row r="215" spans="1:45" s="548" customFormat="1" ht="24" customHeight="1">
      <c r="A215" s="595"/>
      <c r="B215" s="263" t="s">
        <v>279</v>
      </c>
      <c r="C215" s="263" t="s">
        <v>280</v>
      </c>
      <c r="D215" s="652"/>
      <c r="E215" s="598"/>
      <c r="F215" s="652"/>
      <c r="G215" s="600"/>
      <c r="H215" s="601" t="s">
        <v>271</v>
      </c>
      <c r="I215" s="600" t="s">
        <v>86</v>
      </c>
      <c r="J215" s="263" t="s">
        <v>64</v>
      </c>
      <c r="K215" s="263">
        <v>3</v>
      </c>
      <c r="L215" s="263" t="s">
        <v>9</v>
      </c>
      <c r="M215" s="603" t="s">
        <v>65</v>
      </c>
      <c r="N215" s="605">
        <v>46208</v>
      </c>
      <c r="O215" s="605"/>
      <c r="P215" s="605"/>
      <c r="Q215" s="605"/>
      <c r="R215" s="605"/>
      <c r="S215" s="605"/>
      <c r="T215" s="605"/>
      <c r="U215" s="605"/>
      <c r="V215" s="605"/>
      <c r="W215" s="605"/>
      <c r="X215" s="605"/>
      <c r="Y215" s="605"/>
      <c r="Z215" s="605">
        <v>46290</v>
      </c>
      <c r="AA215" s="605">
        <v>46293</v>
      </c>
      <c r="AB215" s="605">
        <v>46307</v>
      </c>
      <c r="AC215" s="605">
        <v>46337</v>
      </c>
      <c r="AD215" s="605">
        <v>46337</v>
      </c>
      <c r="AE215" s="605">
        <v>46339</v>
      </c>
      <c r="AF215" s="605">
        <v>46423</v>
      </c>
      <c r="AG215" s="605">
        <v>46430</v>
      </c>
      <c r="AH215" s="605">
        <v>46437</v>
      </c>
      <c r="AI215" s="605">
        <v>46451</v>
      </c>
      <c r="AJ215" s="605">
        <v>46467</v>
      </c>
      <c r="AK215" s="630">
        <v>24</v>
      </c>
      <c r="AL215" s="607">
        <v>168</v>
      </c>
      <c r="AM215" s="605">
        <f>IF(X215&lt;&gt;"",X215+AL215,X216+AL215)</f>
        <v>46437</v>
      </c>
      <c r="AN215" s="608">
        <f>AR214-7</f>
        <v>46439</v>
      </c>
      <c r="AO215" s="600">
        <f>AN215-AM215</f>
        <v>2</v>
      </c>
      <c r="AP215" s="609"/>
      <c r="AQ215" s="610" t="s">
        <v>66</v>
      </c>
      <c r="AR215" s="611">
        <v>46446</v>
      </c>
      <c r="AS215" s="608"/>
    </row>
    <row r="216" spans="1:45" s="548" customFormat="1" ht="24" customHeight="1">
      <c r="A216" s="615"/>
      <c r="B216" s="616" t="s">
        <v>279</v>
      </c>
      <c r="C216" s="616" t="s">
        <v>280</v>
      </c>
      <c r="D216" s="653"/>
      <c r="E216" s="618"/>
      <c r="F216" s="653"/>
      <c r="G216" s="620"/>
      <c r="H216" s="621"/>
      <c r="I216" s="620" t="s">
        <v>86</v>
      </c>
      <c r="J216" s="616" t="s">
        <v>64</v>
      </c>
      <c r="K216" s="263">
        <v>3</v>
      </c>
      <c r="L216" s="616" t="s">
        <v>9</v>
      </c>
      <c r="M216" s="622" t="s">
        <v>67</v>
      </c>
      <c r="N216" s="623"/>
      <c r="O216" s="623">
        <v>46220</v>
      </c>
      <c r="P216" s="623">
        <v>46229</v>
      </c>
      <c r="Q216" s="623">
        <v>46229</v>
      </c>
      <c r="R216" s="623">
        <f>IF(R$207&lt;&gt;"",R$207,"")</f>
        <v>46229</v>
      </c>
      <c r="S216" s="623">
        <f>IF(S$207&lt;&gt;"",S$207,"")</f>
        <v>46230</v>
      </c>
      <c r="T216" s="623">
        <v>46247</v>
      </c>
      <c r="U216" s="623">
        <v>46262</v>
      </c>
      <c r="V216" s="623">
        <f t="shared" ref="V216" si="5">IF(V$207&lt;&gt;"",V$207,"")</f>
        <v>46266</v>
      </c>
      <c r="W216" s="623">
        <v>46269</v>
      </c>
      <c r="X216" s="623">
        <v>46269</v>
      </c>
      <c r="Y216" s="623">
        <v>46269</v>
      </c>
      <c r="Z216" s="623"/>
      <c r="AA216" s="623"/>
      <c r="AB216" s="623"/>
      <c r="AC216" s="623"/>
      <c r="AD216" s="623"/>
      <c r="AE216" s="623"/>
      <c r="AF216" s="623"/>
      <c r="AG216" s="623"/>
      <c r="AH216" s="623"/>
      <c r="AI216" s="623"/>
      <c r="AJ216" s="623"/>
      <c r="AK216" s="675"/>
      <c r="AL216" s="625"/>
      <c r="AM216" s="623"/>
      <c r="AN216" s="626"/>
      <c r="AO216" s="620"/>
      <c r="AP216" s="627"/>
      <c r="AQ216" s="628"/>
      <c r="AR216" s="627" t="s">
        <v>274</v>
      </c>
      <c r="AS216" s="626"/>
    </row>
    <row r="217" spans="1:45" s="548" customFormat="1" ht="24" hidden="1" customHeight="1">
      <c r="A217" s="595">
        <v>104</v>
      </c>
      <c r="B217" s="263" t="s">
        <v>281</v>
      </c>
      <c r="C217" s="263" t="s">
        <v>282</v>
      </c>
      <c r="D217" s="650"/>
      <c r="E217" s="598"/>
      <c r="F217" s="651"/>
      <c r="G217" s="600"/>
      <c r="H217" s="601"/>
      <c r="I217" s="600" t="s">
        <v>86</v>
      </c>
      <c r="J217" s="263"/>
      <c r="K217" s="602"/>
      <c r="L217" s="263" t="s">
        <v>9</v>
      </c>
      <c r="M217" s="603" t="s">
        <v>60</v>
      </c>
      <c r="N217" s="604"/>
      <c r="O217" s="605">
        <v>46216</v>
      </c>
      <c r="P217" s="605">
        <v>46230</v>
      </c>
      <c r="Q217" s="605">
        <v>46230</v>
      </c>
      <c r="R217" s="605">
        <v>46230</v>
      </c>
      <c r="S217" s="605">
        <v>46230</v>
      </c>
      <c r="T217" s="605">
        <v>46237</v>
      </c>
      <c r="U217" s="605">
        <v>46244</v>
      </c>
      <c r="V217" s="605">
        <v>46258</v>
      </c>
      <c r="W217" s="605"/>
      <c r="X217" s="605">
        <v>46265</v>
      </c>
      <c r="Y217" s="605">
        <v>46267</v>
      </c>
      <c r="Z217" s="605">
        <v>46274</v>
      </c>
      <c r="AA217" s="605">
        <v>46288</v>
      </c>
      <c r="AB217" s="605">
        <v>46302</v>
      </c>
      <c r="AC217" s="605">
        <v>46332</v>
      </c>
      <c r="AD217" s="605">
        <v>46332</v>
      </c>
      <c r="AE217" s="605">
        <v>46334</v>
      </c>
      <c r="AF217" s="605">
        <v>46419</v>
      </c>
      <c r="AG217" s="605">
        <v>46426</v>
      </c>
      <c r="AH217" s="605">
        <v>46433</v>
      </c>
      <c r="AI217" s="605">
        <v>46447</v>
      </c>
      <c r="AJ217" s="605">
        <v>46463</v>
      </c>
      <c r="AK217" s="630">
        <v>24</v>
      </c>
      <c r="AL217" s="607">
        <f>AK217*7</f>
        <v>168</v>
      </c>
      <c r="AM217" s="605">
        <f>X217+AL217</f>
        <v>46433</v>
      </c>
      <c r="AN217" s="608">
        <f>AN218</f>
        <v>46439</v>
      </c>
      <c r="AO217" s="600">
        <f>AN218-AM217</f>
        <v>6</v>
      </c>
      <c r="AP217" s="609"/>
      <c r="AQ217" s="610" t="s">
        <v>62</v>
      </c>
      <c r="AR217" s="611">
        <v>46446</v>
      </c>
      <c r="AS217" s="608"/>
    </row>
    <row r="218" spans="1:45" s="548" customFormat="1" ht="24" customHeight="1">
      <c r="A218" s="595"/>
      <c r="B218" s="263" t="s">
        <v>281</v>
      </c>
      <c r="C218" s="263" t="s">
        <v>282</v>
      </c>
      <c r="D218" s="652"/>
      <c r="E218" s="598"/>
      <c r="F218" s="652"/>
      <c r="G218" s="600"/>
      <c r="H218" s="601" t="s">
        <v>271</v>
      </c>
      <c r="I218" s="600" t="s">
        <v>86</v>
      </c>
      <c r="J218" s="263" t="s">
        <v>64</v>
      </c>
      <c r="K218" s="263">
        <v>3</v>
      </c>
      <c r="L218" s="263" t="s">
        <v>9</v>
      </c>
      <c r="M218" s="603" t="s">
        <v>65</v>
      </c>
      <c r="N218" s="605">
        <v>46208</v>
      </c>
      <c r="O218" s="605"/>
      <c r="P218" s="605"/>
      <c r="Q218" s="605"/>
      <c r="R218" s="605"/>
      <c r="S218" s="605"/>
      <c r="T218" s="605"/>
      <c r="U218" s="605"/>
      <c r="V218" s="605"/>
      <c r="W218" s="605"/>
      <c r="X218" s="605"/>
      <c r="Y218" s="605"/>
      <c r="Z218" s="605">
        <v>46290</v>
      </c>
      <c r="AA218" s="605">
        <v>46293</v>
      </c>
      <c r="AB218" s="605">
        <v>46307</v>
      </c>
      <c r="AC218" s="605">
        <v>46337</v>
      </c>
      <c r="AD218" s="605">
        <v>46337</v>
      </c>
      <c r="AE218" s="605">
        <v>46339</v>
      </c>
      <c r="AF218" s="605">
        <v>46423</v>
      </c>
      <c r="AG218" s="605">
        <v>46430</v>
      </c>
      <c r="AH218" s="605">
        <v>46437</v>
      </c>
      <c r="AI218" s="605">
        <v>46451</v>
      </c>
      <c r="AJ218" s="605">
        <v>46467</v>
      </c>
      <c r="AK218" s="630">
        <v>24</v>
      </c>
      <c r="AL218" s="607">
        <v>168</v>
      </c>
      <c r="AM218" s="605">
        <f>IF(X218&lt;&gt;"",X218+AL218,X219+AL218)</f>
        <v>46437</v>
      </c>
      <c r="AN218" s="608">
        <f>AR217-7</f>
        <v>46439</v>
      </c>
      <c r="AO218" s="600">
        <f>AN218-AM218</f>
        <v>2</v>
      </c>
      <c r="AP218" s="609"/>
      <c r="AQ218" s="610" t="s">
        <v>66</v>
      </c>
      <c r="AR218" s="611">
        <v>46446</v>
      </c>
      <c r="AS218" s="608"/>
    </row>
    <row r="219" spans="1:45" s="548" customFormat="1" ht="24" customHeight="1">
      <c r="A219" s="615"/>
      <c r="B219" s="616" t="s">
        <v>281</v>
      </c>
      <c r="C219" s="616" t="s">
        <v>282</v>
      </c>
      <c r="D219" s="653"/>
      <c r="E219" s="618"/>
      <c r="F219" s="653"/>
      <c r="G219" s="620"/>
      <c r="H219" s="621"/>
      <c r="I219" s="620" t="s">
        <v>86</v>
      </c>
      <c r="J219" s="616" t="s">
        <v>64</v>
      </c>
      <c r="K219" s="263">
        <v>3</v>
      </c>
      <c r="L219" s="616" t="s">
        <v>9</v>
      </c>
      <c r="M219" s="622" t="s">
        <v>67</v>
      </c>
      <c r="N219" s="623"/>
      <c r="O219" s="623">
        <v>46220</v>
      </c>
      <c r="P219" s="623">
        <v>46229</v>
      </c>
      <c r="Q219" s="623">
        <v>46229</v>
      </c>
      <c r="R219" s="623">
        <f t="shared" ref="R219:V219" si="6">IF(R$207&lt;&gt;"",R$207,"")</f>
        <v>46229</v>
      </c>
      <c r="S219" s="623">
        <f t="shared" si="6"/>
        <v>46230</v>
      </c>
      <c r="T219" s="623">
        <v>46247</v>
      </c>
      <c r="U219" s="623">
        <v>46262</v>
      </c>
      <c r="V219" s="623">
        <f t="shared" si="6"/>
        <v>46266</v>
      </c>
      <c r="W219" s="623">
        <v>46269</v>
      </c>
      <c r="X219" s="623">
        <v>46269</v>
      </c>
      <c r="Y219" s="623">
        <v>46269</v>
      </c>
      <c r="Z219" s="623"/>
      <c r="AA219" s="623"/>
      <c r="AB219" s="623"/>
      <c r="AC219" s="623"/>
      <c r="AD219" s="623"/>
      <c r="AE219" s="623"/>
      <c r="AF219" s="623"/>
      <c r="AG219" s="623"/>
      <c r="AH219" s="623"/>
      <c r="AI219" s="623"/>
      <c r="AJ219" s="623"/>
      <c r="AK219" s="675"/>
      <c r="AL219" s="625"/>
      <c r="AM219" s="623"/>
      <c r="AN219" s="626"/>
      <c r="AO219" s="620"/>
      <c r="AP219" s="627"/>
      <c r="AQ219" s="628"/>
      <c r="AR219" s="627" t="s">
        <v>274</v>
      </c>
      <c r="AS219" s="626"/>
    </row>
    <row r="220" spans="1:45" s="548" customFormat="1" ht="24" hidden="1" customHeight="1">
      <c r="A220" s="595">
        <v>72</v>
      </c>
      <c r="B220" s="263" t="s">
        <v>283</v>
      </c>
      <c r="C220" s="263" t="s">
        <v>284</v>
      </c>
      <c r="D220" s="650"/>
      <c r="E220" s="598"/>
      <c r="F220" s="651"/>
      <c r="G220" s="600"/>
      <c r="H220" s="601"/>
      <c r="I220" s="600" t="s">
        <v>86</v>
      </c>
      <c r="J220" s="263"/>
      <c r="K220" s="602"/>
      <c r="L220" s="263" t="s">
        <v>9</v>
      </c>
      <c r="M220" s="603" t="s">
        <v>60</v>
      </c>
      <c r="N220" s="604"/>
      <c r="O220" s="605">
        <v>46223</v>
      </c>
      <c r="P220" s="605">
        <v>46239</v>
      </c>
      <c r="Q220" s="605">
        <v>46239</v>
      </c>
      <c r="R220" s="605">
        <v>46239</v>
      </c>
      <c r="S220" s="605">
        <v>46239</v>
      </c>
      <c r="T220" s="605">
        <v>46240</v>
      </c>
      <c r="U220" s="605">
        <v>46244</v>
      </c>
      <c r="V220" s="605">
        <v>46258</v>
      </c>
      <c r="W220" s="605"/>
      <c r="X220" s="605">
        <v>46265</v>
      </c>
      <c r="Y220" s="605">
        <v>46267</v>
      </c>
      <c r="Z220" s="605">
        <v>46274</v>
      </c>
      <c r="AA220" s="605">
        <v>46288</v>
      </c>
      <c r="AB220" s="605">
        <v>46302</v>
      </c>
      <c r="AC220" s="605">
        <v>46332</v>
      </c>
      <c r="AD220" s="605">
        <v>46332</v>
      </c>
      <c r="AE220" s="605">
        <v>46334</v>
      </c>
      <c r="AF220" s="605">
        <v>46341</v>
      </c>
      <c r="AG220" s="605">
        <v>46348</v>
      </c>
      <c r="AH220" s="605">
        <v>46355</v>
      </c>
      <c r="AI220" s="605">
        <v>46369</v>
      </c>
      <c r="AJ220" s="605">
        <v>46385</v>
      </c>
      <c r="AK220" s="630">
        <v>12.8571428571429</v>
      </c>
      <c r="AL220" s="607">
        <f>AK220*7</f>
        <v>90.000000000000298</v>
      </c>
      <c r="AM220" s="605">
        <f>X220+AL220</f>
        <v>46355</v>
      </c>
      <c r="AN220" s="608">
        <f>AN221</f>
        <v>46382</v>
      </c>
      <c r="AO220" s="600">
        <f>AN221-AM220</f>
        <v>27</v>
      </c>
      <c r="AP220" s="609"/>
      <c r="AQ220" s="610" t="s">
        <v>62</v>
      </c>
      <c r="AR220" s="611">
        <v>46385</v>
      </c>
      <c r="AS220" s="608"/>
    </row>
    <row r="221" spans="1:45" s="548" customFormat="1" ht="24" customHeight="1">
      <c r="A221" s="595"/>
      <c r="B221" s="263" t="s">
        <v>283</v>
      </c>
      <c r="C221" s="263" t="s">
        <v>284</v>
      </c>
      <c r="D221" s="652"/>
      <c r="E221" s="598"/>
      <c r="F221" s="652"/>
      <c r="G221" s="600"/>
      <c r="H221" s="601" t="s">
        <v>271</v>
      </c>
      <c r="I221" s="600" t="s">
        <v>86</v>
      </c>
      <c r="J221" s="263" t="s">
        <v>64</v>
      </c>
      <c r="K221" s="263">
        <v>3</v>
      </c>
      <c r="L221" s="263" t="s">
        <v>9</v>
      </c>
      <c r="M221" s="603" t="s">
        <v>65</v>
      </c>
      <c r="N221" s="605">
        <v>46208</v>
      </c>
      <c r="O221" s="605"/>
      <c r="P221" s="605"/>
      <c r="Q221" s="605"/>
      <c r="R221" s="605"/>
      <c r="S221" s="605"/>
      <c r="T221" s="605"/>
      <c r="U221" s="605"/>
      <c r="V221" s="605">
        <v>46282</v>
      </c>
      <c r="W221" s="605"/>
      <c r="X221" s="605"/>
      <c r="Y221" s="605">
        <v>46294</v>
      </c>
      <c r="Z221" s="605">
        <v>46308</v>
      </c>
      <c r="AA221" s="605">
        <v>46322</v>
      </c>
      <c r="AB221" s="605">
        <v>46336</v>
      </c>
      <c r="AC221" s="605">
        <v>46366</v>
      </c>
      <c r="AD221" s="605">
        <v>46366</v>
      </c>
      <c r="AE221" s="605">
        <v>46368</v>
      </c>
      <c r="AF221" s="605">
        <v>46365</v>
      </c>
      <c r="AG221" s="605">
        <v>46372</v>
      </c>
      <c r="AH221" s="605">
        <v>46379</v>
      </c>
      <c r="AI221" s="605">
        <v>46393</v>
      </c>
      <c r="AJ221" s="605">
        <v>46409</v>
      </c>
      <c r="AK221" s="630">
        <v>12.8571428571429</v>
      </c>
      <c r="AL221" s="607">
        <v>90.000000000000298</v>
      </c>
      <c r="AM221" s="605">
        <f>IF(X221&lt;&gt;"",X221+AL221,X222+AL221)</f>
        <v>46373</v>
      </c>
      <c r="AN221" s="608">
        <f>AR220-3</f>
        <v>46382</v>
      </c>
      <c r="AO221" s="600">
        <f>AN221-AM221</f>
        <v>9</v>
      </c>
      <c r="AP221" s="609"/>
      <c r="AQ221" s="610" t="s">
        <v>66</v>
      </c>
      <c r="AR221" s="611">
        <v>46410</v>
      </c>
      <c r="AS221" s="608"/>
    </row>
    <row r="222" spans="1:45" s="548" customFormat="1" ht="24" customHeight="1">
      <c r="A222" s="615"/>
      <c r="B222" s="616" t="s">
        <v>283</v>
      </c>
      <c r="C222" s="616" t="s">
        <v>284</v>
      </c>
      <c r="D222" s="653"/>
      <c r="E222" s="618"/>
      <c r="F222" s="653"/>
      <c r="G222" s="620"/>
      <c r="H222" s="621"/>
      <c r="I222" s="620" t="s">
        <v>86</v>
      </c>
      <c r="J222" s="616" t="s">
        <v>64</v>
      </c>
      <c r="K222" s="263">
        <v>3</v>
      </c>
      <c r="L222" s="616" t="s">
        <v>9</v>
      </c>
      <c r="M222" s="622" t="s">
        <v>67</v>
      </c>
      <c r="N222" s="623"/>
      <c r="O222" s="623">
        <v>46227</v>
      </c>
      <c r="P222" s="623">
        <v>46244</v>
      </c>
      <c r="Q222" s="623">
        <v>46244</v>
      </c>
      <c r="R222" s="623">
        <v>46244</v>
      </c>
      <c r="S222" s="623">
        <v>46244</v>
      </c>
      <c r="T222" s="623">
        <v>46244</v>
      </c>
      <c r="U222" s="623">
        <v>46266</v>
      </c>
      <c r="V222" s="623"/>
      <c r="W222" s="623"/>
      <c r="X222" s="623">
        <v>46283</v>
      </c>
      <c r="Y222" s="623"/>
      <c r="Z222" s="623"/>
      <c r="AA222" s="623"/>
      <c r="AB222" s="623"/>
      <c r="AC222" s="623"/>
      <c r="AD222" s="623"/>
      <c r="AE222" s="623"/>
      <c r="AF222" s="623"/>
      <c r="AG222" s="623"/>
      <c r="AH222" s="623"/>
      <c r="AI222" s="623"/>
      <c r="AJ222" s="623"/>
      <c r="AK222" s="675"/>
      <c r="AL222" s="625"/>
      <c r="AM222" s="623"/>
      <c r="AN222" s="626"/>
      <c r="AO222" s="620"/>
      <c r="AP222" s="627"/>
      <c r="AQ222" s="628"/>
      <c r="AR222" s="627"/>
      <c r="AS222" s="626"/>
    </row>
    <row r="223" spans="1:45" s="548" customFormat="1" ht="24" hidden="1" customHeight="1">
      <c r="A223" s="595">
        <v>73</v>
      </c>
      <c r="B223" s="263" t="s">
        <v>285</v>
      </c>
      <c r="C223" s="263" t="s">
        <v>286</v>
      </c>
      <c r="D223" s="650"/>
      <c r="E223" s="598"/>
      <c r="F223" s="651"/>
      <c r="G223" s="600"/>
      <c r="H223" s="601"/>
      <c r="I223" s="600" t="s">
        <v>86</v>
      </c>
      <c r="J223" s="263"/>
      <c r="K223" s="602"/>
      <c r="L223" s="263" t="s">
        <v>9</v>
      </c>
      <c r="M223" s="603" t="s">
        <v>60</v>
      </c>
      <c r="N223" s="604"/>
      <c r="O223" s="605">
        <v>46216</v>
      </c>
      <c r="P223" s="605">
        <v>46230</v>
      </c>
      <c r="Q223" s="605">
        <v>46230</v>
      </c>
      <c r="R223" s="605">
        <v>46230</v>
      </c>
      <c r="S223" s="605">
        <v>46230</v>
      </c>
      <c r="T223" s="605">
        <v>46237</v>
      </c>
      <c r="U223" s="605">
        <v>46244</v>
      </c>
      <c r="V223" s="605">
        <v>46251</v>
      </c>
      <c r="W223" s="605"/>
      <c r="X223" s="605">
        <v>46258</v>
      </c>
      <c r="Y223" s="605">
        <v>46260</v>
      </c>
      <c r="Z223" s="605">
        <v>46267</v>
      </c>
      <c r="AA223" s="605">
        <v>46281</v>
      </c>
      <c r="AB223" s="605">
        <v>46295</v>
      </c>
      <c r="AC223" s="605">
        <v>46325</v>
      </c>
      <c r="AD223" s="605">
        <v>46325</v>
      </c>
      <c r="AE223" s="605">
        <v>46327</v>
      </c>
      <c r="AF223" s="605">
        <v>46412</v>
      </c>
      <c r="AG223" s="605">
        <v>46419</v>
      </c>
      <c r="AH223" s="605">
        <v>46426</v>
      </c>
      <c r="AI223" s="605">
        <v>46440</v>
      </c>
      <c r="AJ223" s="605">
        <v>46456</v>
      </c>
      <c r="AK223" s="630">
        <v>24</v>
      </c>
      <c r="AL223" s="607">
        <f>AK223*7</f>
        <v>168</v>
      </c>
      <c r="AM223" s="605">
        <f>X223+AL223</f>
        <v>46426</v>
      </c>
      <c r="AN223" s="608">
        <f>AN224</f>
        <v>46439</v>
      </c>
      <c r="AO223" s="600">
        <f>AN224-AM223</f>
        <v>13</v>
      </c>
      <c r="AP223" s="609"/>
      <c r="AQ223" s="610" t="s">
        <v>62</v>
      </c>
      <c r="AR223" s="611">
        <v>46446</v>
      </c>
      <c r="AS223" s="608"/>
    </row>
    <row r="224" spans="1:45" s="548" customFormat="1" ht="24" customHeight="1">
      <c r="A224" s="595"/>
      <c r="B224" s="263" t="s">
        <v>285</v>
      </c>
      <c r="C224" s="596" t="s">
        <v>286</v>
      </c>
      <c r="D224" s="676"/>
      <c r="E224" s="677"/>
      <c r="F224" s="676"/>
      <c r="G224" s="600"/>
      <c r="H224" s="601" t="s">
        <v>271</v>
      </c>
      <c r="I224" s="600" t="s">
        <v>86</v>
      </c>
      <c r="J224" s="263" t="s">
        <v>64</v>
      </c>
      <c r="K224" s="263">
        <v>3</v>
      </c>
      <c r="L224" s="263" t="s">
        <v>9</v>
      </c>
      <c r="M224" s="603" t="s">
        <v>65</v>
      </c>
      <c r="N224" s="605">
        <v>46218</v>
      </c>
      <c r="O224" s="605"/>
      <c r="P224" s="605"/>
      <c r="Q224" s="605"/>
      <c r="R224" s="605"/>
      <c r="S224" s="605"/>
      <c r="T224" s="605"/>
      <c r="U224" s="605"/>
      <c r="V224" s="605"/>
      <c r="W224" s="605"/>
      <c r="X224" s="605"/>
      <c r="Y224" s="605"/>
      <c r="Z224" s="605">
        <v>46276</v>
      </c>
      <c r="AA224" s="605">
        <v>46293</v>
      </c>
      <c r="AB224" s="605">
        <v>46307</v>
      </c>
      <c r="AC224" s="605">
        <v>46337</v>
      </c>
      <c r="AD224" s="605">
        <v>46337</v>
      </c>
      <c r="AE224" s="605">
        <v>46339</v>
      </c>
      <c r="AF224" s="605">
        <v>46423</v>
      </c>
      <c r="AG224" s="605">
        <v>46430</v>
      </c>
      <c r="AH224" s="605">
        <v>46437</v>
      </c>
      <c r="AI224" s="605">
        <v>46451</v>
      </c>
      <c r="AJ224" s="605">
        <v>46467</v>
      </c>
      <c r="AK224" s="606">
        <v>24</v>
      </c>
      <c r="AL224" s="607">
        <v>168</v>
      </c>
      <c r="AM224" s="605">
        <f>IF(X224&lt;&gt;"",X224+AL224,X225+AL224)</f>
        <v>46437</v>
      </c>
      <c r="AN224" s="608">
        <f>AR223-7</f>
        <v>46439</v>
      </c>
      <c r="AO224" s="600">
        <f>AN224-AM224</f>
        <v>2</v>
      </c>
      <c r="AP224" s="609"/>
      <c r="AQ224" s="610" t="s">
        <v>66</v>
      </c>
      <c r="AR224" s="611">
        <v>46446</v>
      </c>
      <c r="AS224" s="608"/>
    </row>
    <row r="225" spans="1:45" s="548" customFormat="1" ht="24" customHeight="1">
      <c r="A225" s="615"/>
      <c r="B225" s="678" t="s">
        <v>285</v>
      </c>
      <c r="C225" s="649" t="s">
        <v>286</v>
      </c>
      <c r="D225" s="679"/>
      <c r="E225" s="680"/>
      <c r="F225" s="679"/>
      <c r="G225" s="620"/>
      <c r="H225" s="621"/>
      <c r="I225" s="620" t="s">
        <v>86</v>
      </c>
      <c r="J225" s="616" t="s">
        <v>64</v>
      </c>
      <c r="K225" s="263">
        <v>3</v>
      </c>
      <c r="L225" s="616" t="s">
        <v>9</v>
      </c>
      <c r="M225" s="622" t="s">
        <v>67</v>
      </c>
      <c r="N225" s="620"/>
      <c r="O225" s="623">
        <v>46220</v>
      </c>
      <c r="P225" s="623">
        <v>46229</v>
      </c>
      <c r="Q225" s="623">
        <v>46229</v>
      </c>
      <c r="R225" s="623">
        <f t="shared" ref="R225:S225" si="7">IF(R$207&lt;&gt;"",R$207,"")</f>
        <v>46229</v>
      </c>
      <c r="S225" s="623">
        <f t="shared" si="7"/>
        <v>46230</v>
      </c>
      <c r="T225" s="623">
        <v>46263</v>
      </c>
      <c r="U225" s="623">
        <v>46266</v>
      </c>
      <c r="V225" s="623">
        <v>46267</v>
      </c>
      <c r="W225" s="623">
        <v>46269</v>
      </c>
      <c r="X225" s="623">
        <v>46269</v>
      </c>
      <c r="Y225" s="623">
        <v>46269</v>
      </c>
      <c r="Z225" s="623"/>
      <c r="AA225" s="623"/>
      <c r="AB225" s="623"/>
      <c r="AC225" s="623"/>
      <c r="AD225" s="623"/>
      <c r="AE225" s="623"/>
      <c r="AF225" s="623"/>
      <c r="AG225" s="623"/>
      <c r="AH225" s="623"/>
      <c r="AI225" s="623"/>
      <c r="AJ225" s="623"/>
      <c r="AK225" s="624"/>
      <c r="AL225" s="625"/>
      <c r="AM225" s="623"/>
      <c r="AN225" s="626"/>
      <c r="AO225" s="620"/>
      <c r="AP225" s="627"/>
      <c r="AQ225" s="628"/>
      <c r="AR225" s="627" t="s">
        <v>287</v>
      </c>
      <c r="AS225" s="626"/>
    </row>
    <row r="226" spans="1:45" s="551" customFormat="1" ht="24" hidden="1" customHeight="1">
      <c r="A226" s="681">
        <v>75</v>
      </c>
      <c r="B226" s="682" t="s">
        <v>288</v>
      </c>
      <c r="C226" s="683" t="s">
        <v>289</v>
      </c>
      <c r="D226" s="684"/>
      <c r="E226" s="685"/>
      <c r="F226" s="686"/>
      <c r="G226" s="683"/>
      <c r="H226" s="687"/>
      <c r="I226" s="683" t="s">
        <v>86</v>
      </c>
      <c r="J226" s="682"/>
      <c r="K226" s="688"/>
      <c r="L226" s="682">
        <v>0</v>
      </c>
      <c r="M226" s="689" t="s">
        <v>60</v>
      </c>
      <c r="N226" s="690"/>
      <c r="O226" s="691">
        <v>46223</v>
      </c>
      <c r="P226" s="691">
        <v>46230</v>
      </c>
      <c r="Q226" s="691">
        <v>46231</v>
      </c>
      <c r="R226" s="691">
        <v>46237</v>
      </c>
      <c r="S226" s="691">
        <v>46238</v>
      </c>
      <c r="T226" s="691">
        <v>46244</v>
      </c>
      <c r="U226" s="691">
        <v>46254</v>
      </c>
      <c r="V226" s="691">
        <v>46258</v>
      </c>
      <c r="W226" s="691"/>
      <c r="X226" s="691">
        <v>46265</v>
      </c>
      <c r="Y226" s="691">
        <v>46267</v>
      </c>
      <c r="Z226" s="691">
        <v>46274</v>
      </c>
      <c r="AA226" s="691">
        <v>46288</v>
      </c>
      <c r="AB226" s="691">
        <v>46302</v>
      </c>
      <c r="AC226" s="691">
        <v>46309</v>
      </c>
      <c r="AD226" s="691">
        <v>46309</v>
      </c>
      <c r="AE226" s="691">
        <v>46311</v>
      </c>
      <c r="AF226" s="691">
        <v>46371</v>
      </c>
      <c r="AG226" s="691">
        <v>46378</v>
      </c>
      <c r="AH226" s="691">
        <v>46385</v>
      </c>
      <c r="AI226" s="691">
        <v>46399</v>
      </c>
      <c r="AJ226" s="691">
        <v>46415</v>
      </c>
      <c r="AK226" s="692">
        <v>17.1428571428571</v>
      </c>
      <c r="AL226" s="693">
        <f>AK226*7</f>
        <v>119.9999999999997</v>
      </c>
      <c r="AM226" s="691">
        <f>X226+AL226</f>
        <v>46385</v>
      </c>
      <c r="AN226" s="694">
        <f>AN227</f>
        <v>46452</v>
      </c>
      <c r="AO226" s="683">
        <f>AN227-AM226</f>
        <v>67</v>
      </c>
      <c r="AP226" s="695"/>
      <c r="AQ226" s="696" t="s">
        <v>62</v>
      </c>
      <c r="AR226" s="697">
        <v>46459</v>
      </c>
      <c r="AS226" s="691"/>
    </row>
    <row r="227" spans="1:45" s="551" customFormat="1" ht="24" customHeight="1">
      <c r="A227" s="681"/>
      <c r="B227" s="682" t="s">
        <v>288</v>
      </c>
      <c r="C227" s="683" t="s">
        <v>289</v>
      </c>
      <c r="D227" s="698"/>
      <c r="E227" s="685"/>
      <c r="F227" s="698"/>
      <c r="G227" s="683"/>
      <c r="H227" s="687" t="s">
        <v>271</v>
      </c>
      <c r="I227" s="683" t="s">
        <v>86</v>
      </c>
      <c r="J227" s="682"/>
      <c r="K227" s="682"/>
      <c r="L227" s="682"/>
      <c r="M227" s="689" t="s">
        <v>65</v>
      </c>
      <c r="N227" s="691">
        <v>46208</v>
      </c>
      <c r="O227" s="691"/>
      <c r="P227" s="691"/>
      <c r="Q227" s="691"/>
      <c r="R227" s="691"/>
      <c r="S227" s="691"/>
      <c r="T227" s="691">
        <v>46246</v>
      </c>
      <c r="U227" s="691">
        <v>46255</v>
      </c>
      <c r="V227" s="691">
        <v>46269</v>
      </c>
      <c r="W227" s="691"/>
      <c r="X227" s="691">
        <v>46276</v>
      </c>
      <c r="Y227" s="691">
        <v>46280</v>
      </c>
      <c r="Z227" s="691">
        <v>46287</v>
      </c>
      <c r="AA227" s="691">
        <v>46309</v>
      </c>
      <c r="AB227" s="691">
        <v>46324</v>
      </c>
      <c r="AC227" s="691">
        <v>46331</v>
      </c>
      <c r="AD227" s="691">
        <v>46331</v>
      </c>
      <c r="AE227" s="691">
        <v>46333</v>
      </c>
      <c r="AF227" s="691">
        <v>46382</v>
      </c>
      <c r="AG227" s="691">
        <v>46389</v>
      </c>
      <c r="AH227" s="691">
        <v>46396</v>
      </c>
      <c r="AI227" s="691">
        <v>46410</v>
      </c>
      <c r="AJ227" s="691">
        <v>46426</v>
      </c>
      <c r="AK227" s="699">
        <v>17.1428571428571</v>
      </c>
      <c r="AL227" s="693">
        <v>120</v>
      </c>
      <c r="AM227" s="691">
        <f>IF(X227&lt;&gt;"",X227+AL227,X228+AL227)</f>
        <v>46396</v>
      </c>
      <c r="AN227" s="691">
        <f>AR226-7</f>
        <v>46452</v>
      </c>
      <c r="AO227" s="683">
        <f>AN227-AM227</f>
        <v>56</v>
      </c>
      <c r="AP227" s="695"/>
      <c r="AQ227" s="696" t="s">
        <v>66</v>
      </c>
      <c r="AR227" s="697">
        <v>46476</v>
      </c>
      <c r="AS227" s="691"/>
    </row>
    <row r="228" spans="1:45" s="551" customFormat="1" ht="24" customHeight="1">
      <c r="A228" s="700"/>
      <c r="B228" s="701" t="s">
        <v>288</v>
      </c>
      <c r="C228" s="702" t="s">
        <v>289</v>
      </c>
      <c r="D228" s="703"/>
      <c r="E228" s="704"/>
      <c r="F228" s="703"/>
      <c r="G228" s="702"/>
      <c r="H228" s="705"/>
      <c r="I228" s="702" t="s">
        <v>86</v>
      </c>
      <c r="J228" s="701"/>
      <c r="K228" s="682"/>
      <c r="L228" s="701"/>
      <c r="M228" s="706" t="s">
        <v>67</v>
      </c>
      <c r="N228" s="702"/>
      <c r="O228" s="707">
        <v>46227</v>
      </c>
      <c r="P228" s="707">
        <v>46244</v>
      </c>
      <c r="Q228" s="707">
        <v>46244</v>
      </c>
      <c r="R228" s="707">
        <v>46244</v>
      </c>
      <c r="S228" s="707">
        <v>46244</v>
      </c>
      <c r="T228" s="707">
        <v>46266</v>
      </c>
      <c r="U228" s="707">
        <v>46272</v>
      </c>
      <c r="V228" s="707">
        <v>46283</v>
      </c>
      <c r="W228" s="707"/>
      <c r="X228" s="702"/>
      <c r="Y228" s="707"/>
      <c r="Z228" s="707"/>
      <c r="AA228" s="707"/>
      <c r="AB228" s="707"/>
      <c r="AC228" s="707"/>
      <c r="AD228" s="707"/>
      <c r="AE228" s="707"/>
      <c r="AF228" s="707"/>
      <c r="AG228" s="707"/>
      <c r="AH228" s="707"/>
      <c r="AI228" s="707"/>
      <c r="AJ228" s="707"/>
      <c r="AK228" s="707"/>
      <c r="AL228" s="707"/>
      <c r="AM228" s="707"/>
      <c r="AN228" s="707"/>
      <c r="AO228" s="707"/>
      <c r="AP228" s="708"/>
      <c r="AQ228" s="709"/>
      <c r="AR228" s="708"/>
      <c r="AS228" s="707"/>
    </row>
    <row r="229" spans="1:45" s="551" customFormat="1" ht="24" hidden="1" customHeight="1">
      <c r="A229" s="681">
        <v>76</v>
      </c>
      <c r="B229" s="682" t="s">
        <v>290</v>
      </c>
      <c r="C229" s="683" t="s">
        <v>291</v>
      </c>
      <c r="D229" s="684"/>
      <c r="E229" s="685"/>
      <c r="F229" s="686"/>
      <c r="G229" s="683"/>
      <c r="H229" s="687"/>
      <c r="I229" s="683" t="s">
        <v>86</v>
      </c>
      <c r="J229" s="682"/>
      <c r="K229" s="688"/>
      <c r="L229" s="682">
        <v>0</v>
      </c>
      <c r="M229" s="689" t="s">
        <v>60</v>
      </c>
      <c r="N229" s="690"/>
      <c r="O229" s="691">
        <v>46223</v>
      </c>
      <c r="P229" s="691">
        <v>46230</v>
      </c>
      <c r="Q229" s="691">
        <v>46231</v>
      </c>
      <c r="R229" s="691">
        <v>46237</v>
      </c>
      <c r="S229" s="691">
        <v>46238</v>
      </c>
      <c r="T229" s="691">
        <v>46244</v>
      </c>
      <c r="U229" s="691">
        <v>46254</v>
      </c>
      <c r="V229" s="691">
        <v>46258</v>
      </c>
      <c r="W229" s="691"/>
      <c r="X229" s="691">
        <v>46265</v>
      </c>
      <c r="Y229" s="691">
        <v>46267</v>
      </c>
      <c r="Z229" s="691">
        <v>46274</v>
      </c>
      <c r="AA229" s="691">
        <v>46288</v>
      </c>
      <c r="AB229" s="691">
        <v>46302</v>
      </c>
      <c r="AC229" s="691">
        <v>46309</v>
      </c>
      <c r="AD229" s="691">
        <v>46309</v>
      </c>
      <c r="AE229" s="691">
        <v>46311</v>
      </c>
      <c r="AF229" s="691">
        <v>46371</v>
      </c>
      <c r="AG229" s="691">
        <v>46378</v>
      </c>
      <c r="AH229" s="691">
        <v>46385</v>
      </c>
      <c r="AI229" s="691">
        <v>46399</v>
      </c>
      <c r="AJ229" s="691">
        <v>46415</v>
      </c>
      <c r="AK229" s="692">
        <v>17.1428571428571</v>
      </c>
      <c r="AL229" s="693">
        <f>AK229*7</f>
        <v>119.9999999999997</v>
      </c>
      <c r="AM229" s="691">
        <f>X229+AL229</f>
        <v>46385</v>
      </c>
      <c r="AN229" s="694">
        <f>AN230</f>
        <v>46452</v>
      </c>
      <c r="AO229" s="683">
        <f>AN230-AM229</f>
        <v>67</v>
      </c>
      <c r="AP229" s="695"/>
      <c r="AQ229" s="696" t="s">
        <v>62</v>
      </c>
      <c r="AR229" s="697">
        <v>46459</v>
      </c>
      <c r="AS229" s="691"/>
    </row>
    <row r="230" spans="1:45" s="551" customFormat="1" ht="24" customHeight="1">
      <c r="A230" s="681"/>
      <c r="B230" s="682" t="s">
        <v>290</v>
      </c>
      <c r="C230" s="683" t="s">
        <v>291</v>
      </c>
      <c r="D230" s="698"/>
      <c r="E230" s="685"/>
      <c r="F230" s="698"/>
      <c r="G230" s="683"/>
      <c r="H230" s="687" t="s">
        <v>271</v>
      </c>
      <c r="I230" s="683" t="s">
        <v>86</v>
      </c>
      <c r="J230" s="682"/>
      <c r="K230" s="682"/>
      <c r="L230" s="682"/>
      <c r="M230" s="689" t="s">
        <v>65</v>
      </c>
      <c r="N230" s="691">
        <v>46208</v>
      </c>
      <c r="O230" s="691"/>
      <c r="P230" s="691"/>
      <c r="Q230" s="691"/>
      <c r="R230" s="691"/>
      <c r="S230" s="691"/>
      <c r="T230" s="691">
        <v>46246</v>
      </c>
      <c r="U230" s="691">
        <v>46255</v>
      </c>
      <c r="V230" s="691">
        <v>46269</v>
      </c>
      <c r="W230" s="691"/>
      <c r="X230" s="691">
        <v>46276</v>
      </c>
      <c r="Y230" s="691">
        <v>46280</v>
      </c>
      <c r="Z230" s="691">
        <v>46287</v>
      </c>
      <c r="AA230" s="691">
        <v>46309</v>
      </c>
      <c r="AB230" s="691">
        <v>46324</v>
      </c>
      <c r="AC230" s="691">
        <v>46331</v>
      </c>
      <c r="AD230" s="691">
        <v>46331</v>
      </c>
      <c r="AE230" s="691">
        <v>46333</v>
      </c>
      <c r="AF230" s="691">
        <v>46382</v>
      </c>
      <c r="AG230" s="691">
        <v>46389</v>
      </c>
      <c r="AH230" s="691">
        <v>46396</v>
      </c>
      <c r="AI230" s="691">
        <v>46410</v>
      </c>
      <c r="AJ230" s="691">
        <v>46426</v>
      </c>
      <c r="AK230" s="699">
        <v>17.1428571428571</v>
      </c>
      <c r="AL230" s="693">
        <v>120</v>
      </c>
      <c r="AM230" s="691">
        <f>IF(X230&lt;&gt;"",X230+AL230,X231+AL230)</f>
        <v>46396</v>
      </c>
      <c r="AN230" s="691">
        <f>AR229-7</f>
        <v>46452</v>
      </c>
      <c r="AO230" s="683">
        <f>AN230-AM230</f>
        <v>56</v>
      </c>
      <c r="AP230" s="695"/>
      <c r="AQ230" s="696" t="s">
        <v>66</v>
      </c>
      <c r="AR230" s="697">
        <v>46476</v>
      </c>
      <c r="AS230" s="691"/>
    </row>
    <row r="231" spans="1:45" s="551" customFormat="1" ht="24" customHeight="1">
      <c r="A231" s="700"/>
      <c r="B231" s="701" t="s">
        <v>290</v>
      </c>
      <c r="C231" s="702" t="s">
        <v>291</v>
      </c>
      <c r="D231" s="703"/>
      <c r="E231" s="704"/>
      <c r="F231" s="703"/>
      <c r="G231" s="702"/>
      <c r="H231" s="705"/>
      <c r="I231" s="702" t="s">
        <v>86</v>
      </c>
      <c r="J231" s="701"/>
      <c r="K231" s="682"/>
      <c r="L231" s="701"/>
      <c r="M231" s="706" t="s">
        <v>67</v>
      </c>
      <c r="N231" s="702"/>
      <c r="O231" s="707">
        <v>46227</v>
      </c>
      <c r="P231" s="707">
        <v>46244</v>
      </c>
      <c r="Q231" s="707">
        <v>46244</v>
      </c>
      <c r="R231" s="707">
        <v>46244</v>
      </c>
      <c r="S231" s="707">
        <v>46244</v>
      </c>
      <c r="T231" s="707">
        <v>46266</v>
      </c>
      <c r="U231" s="707"/>
      <c r="V231" s="707"/>
      <c r="W231" s="707"/>
      <c r="X231" s="702"/>
      <c r="Y231" s="707"/>
      <c r="Z231" s="707"/>
      <c r="AA231" s="707"/>
      <c r="AB231" s="707"/>
      <c r="AC231" s="707"/>
      <c r="AD231" s="707"/>
      <c r="AE231" s="707"/>
      <c r="AF231" s="707"/>
      <c r="AG231" s="707"/>
      <c r="AH231" s="707"/>
      <c r="AI231" s="707"/>
      <c r="AJ231" s="707"/>
      <c r="AK231" s="707"/>
      <c r="AL231" s="707"/>
      <c r="AM231" s="707"/>
      <c r="AN231" s="707"/>
      <c r="AO231" s="707"/>
      <c r="AP231" s="708"/>
      <c r="AQ231" s="709"/>
      <c r="AR231" s="708"/>
      <c r="AS231" s="707"/>
    </row>
    <row r="232" spans="1:45" s="548" customFormat="1" ht="24" hidden="1" customHeight="1">
      <c r="A232" s="595">
        <v>77</v>
      </c>
      <c r="B232" s="263" t="s">
        <v>292</v>
      </c>
      <c r="C232" s="263" t="s">
        <v>293</v>
      </c>
      <c r="D232" s="650"/>
      <c r="E232" s="598"/>
      <c r="F232" s="651"/>
      <c r="G232" s="600"/>
      <c r="H232" s="601"/>
      <c r="I232" s="600" t="s">
        <v>124</v>
      </c>
      <c r="J232" s="263"/>
      <c r="K232" s="602"/>
      <c r="L232" s="263" t="s">
        <v>9</v>
      </c>
      <c r="M232" s="603" t="s">
        <v>60</v>
      </c>
      <c r="N232" s="604"/>
      <c r="O232" s="605">
        <v>46237</v>
      </c>
      <c r="P232" s="605">
        <v>46252</v>
      </c>
      <c r="Q232" s="605">
        <v>46252</v>
      </c>
      <c r="R232" s="605">
        <v>46252</v>
      </c>
      <c r="S232" s="605">
        <v>46252</v>
      </c>
      <c r="T232" s="605">
        <v>46259</v>
      </c>
      <c r="U232" s="605">
        <v>46268</v>
      </c>
      <c r="V232" s="605">
        <v>46282</v>
      </c>
      <c r="W232" s="605"/>
      <c r="X232" s="605">
        <v>46289</v>
      </c>
      <c r="Y232" s="605">
        <v>46294</v>
      </c>
      <c r="Z232" s="605">
        <v>46308</v>
      </c>
      <c r="AA232" s="605">
        <v>46322</v>
      </c>
      <c r="AB232" s="605">
        <v>46336</v>
      </c>
      <c r="AC232" s="605">
        <v>46346</v>
      </c>
      <c r="AD232" s="605">
        <v>46346</v>
      </c>
      <c r="AE232" s="605">
        <v>46348</v>
      </c>
      <c r="AF232" s="605">
        <v>46373</v>
      </c>
      <c r="AG232" s="605">
        <v>46380</v>
      </c>
      <c r="AH232" s="605">
        <v>46387</v>
      </c>
      <c r="AI232" s="605">
        <v>46401</v>
      </c>
      <c r="AJ232" s="605">
        <v>46417</v>
      </c>
      <c r="AK232" s="630">
        <v>14</v>
      </c>
      <c r="AL232" s="607">
        <f>AK232*7</f>
        <v>98</v>
      </c>
      <c r="AM232" s="605">
        <f>X232+AL232</f>
        <v>46387</v>
      </c>
      <c r="AN232" s="608">
        <f>AN233</f>
        <v>46483</v>
      </c>
      <c r="AO232" s="600">
        <f>AN233-AM232</f>
        <v>96</v>
      </c>
      <c r="AP232" s="609"/>
      <c r="AQ232" s="610" t="s">
        <v>62</v>
      </c>
      <c r="AR232" s="611">
        <v>46490</v>
      </c>
      <c r="AS232" s="608"/>
    </row>
    <row r="233" spans="1:45" s="548" customFormat="1" ht="24" customHeight="1">
      <c r="A233" s="595"/>
      <c r="B233" s="263" t="s">
        <v>292</v>
      </c>
      <c r="C233" s="596" t="s">
        <v>293</v>
      </c>
      <c r="D233" s="652"/>
      <c r="E233" s="598"/>
      <c r="F233" s="652"/>
      <c r="G233" s="600"/>
      <c r="H233" s="601" t="s">
        <v>294</v>
      </c>
      <c r="I233" s="600" t="s">
        <v>124</v>
      </c>
      <c r="J233" s="263" t="s">
        <v>73</v>
      </c>
      <c r="K233" s="263">
        <v>3</v>
      </c>
      <c r="L233" s="263" t="s">
        <v>9</v>
      </c>
      <c r="M233" s="603" t="s">
        <v>65</v>
      </c>
      <c r="N233" s="605">
        <v>46221</v>
      </c>
      <c r="O233" s="605"/>
      <c r="P233" s="605"/>
      <c r="Q233" s="605"/>
      <c r="R233" s="605"/>
      <c r="S233" s="605"/>
      <c r="T233" s="605"/>
      <c r="U233" s="605">
        <f>WORKDAY.INTL(T234,INDEX(U$8:U$11,MATCH($L233,$L$8:$L$11,0)),1,IF(U$18="China",'China Holidays'!$A$2:$A$82,'Thai Holidays'!$A$2:$A$63))</f>
        <v>46280</v>
      </c>
      <c r="V233" s="605">
        <f>WORKDAY.INTL(U233,INDEX(V$8:V$11,MATCH($L233,$L$8:$L$11,0)),1,IF(V$18="China",'China Holidays'!$A$2:$A$82,'Thai Holidays'!$A$2:$A$63))</f>
        <v>46294</v>
      </c>
      <c r="W233" s="605"/>
      <c r="X233" s="605">
        <v>46308</v>
      </c>
      <c r="Y233" s="605">
        <v>46310</v>
      </c>
      <c r="Z233" s="605">
        <v>46317</v>
      </c>
      <c r="AA233" s="605">
        <v>46331</v>
      </c>
      <c r="AB233" s="605">
        <v>46345</v>
      </c>
      <c r="AC233" s="605">
        <v>46355</v>
      </c>
      <c r="AD233" s="605">
        <v>46355</v>
      </c>
      <c r="AE233" s="605">
        <v>46357</v>
      </c>
      <c r="AF233" s="605">
        <v>46392</v>
      </c>
      <c r="AG233" s="605">
        <v>46399</v>
      </c>
      <c r="AH233" s="605">
        <v>46406</v>
      </c>
      <c r="AI233" s="605">
        <v>46420</v>
      </c>
      <c r="AJ233" s="605">
        <v>46436</v>
      </c>
      <c r="AK233" s="606">
        <v>14</v>
      </c>
      <c r="AL233" s="607">
        <v>98</v>
      </c>
      <c r="AM233" s="605">
        <f>IF(X233&lt;&gt;"",X233+AL233,X234+AL233)</f>
        <v>46406</v>
      </c>
      <c r="AN233" s="608">
        <f>AR232-7</f>
        <v>46483</v>
      </c>
      <c r="AO233" s="600">
        <f>AN233-AM233</f>
        <v>77</v>
      </c>
      <c r="AP233" s="609"/>
      <c r="AQ233" s="610" t="s">
        <v>66</v>
      </c>
      <c r="AR233" s="611">
        <v>46513</v>
      </c>
      <c r="AS233" s="608"/>
    </row>
    <row r="234" spans="1:45" s="548" customFormat="1" ht="24" customHeight="1">
      <c r="A234" s="615"/>
      <c r="B234" s="616" t="s">
        <v>292</v>
      </c>
      <c r="C234" s="649" t="s">
        <v>293</v>
      </c>
      <c r="D234" s="653"/>
      <c r="E234" s="618"/>
      <c r="F234" s="653"/>
      <c r="G234" s="620"/>
      <c r="H234" s="621"/>
      <c r="I234" s="620" t="s">
        <v>124</v>
      </c>
      <c r="J234" s="616" t="s">
        <v>73</v>
      </c>
      <c r="K234" s="263">
        <v>3</v>
      </c>
      <c r="L234" s="616" t="s">
        <v>9</v>
      </c>
      <c r="M234" s="622" t="s">
        <v>67</v>
      </c>
      <c r="N234" s="623"/>
      <c r="O234" s="623">
        <v>46241</v>
      </c>
      <c r="P234" s="623">
        <v>46255</v>
      </c>
      <c r="Q234" s="623">
        <v>46255</v>
      </c>
      <c r="R234" s="623">
        <v>46255</v>
      </c>
      <c r="S234" s="623">
        <v>46255</v>
      </c>
      <c r="T234" s="605">
        <v>46269</v>
      </c>
      <c r="U234" s="623"/>
      <c r="V234" s="623"/>
      <c r="W234" s="623"/>
      <c r="X234" s="620"/>
      <c r="Y234" s="623"/>
      <c r="Z234" s="623"/>
      <c r="AA234" s="623"/>
      <c r="AB234" s="623"/>
      <c r="AC234" s="623"/>
      <c r="AD234" s="623"/>
      <c r="AE234" s="623"/>
      <c r="AF234" s="623"/>
      <c r="AG234" s="623"/>
      <c r="AH234" s="623"/>
      <c r="AI234" s="623"/>
      <c r="AJ234" s="623"/>
      <c r="AK234" s="624"/>
      <c r="AL234" s="625"/>
      <c r="AM234" s="623"/>
      <c r="AN234" s="626"/>
      <c r="AO234" s="620"/>
      <c r="AP234" s="627"/>
      <c r="AQ234" s="628"/>
      <c r="AR234" s="627"/>
      <c r="AS234" s="626"/>
    </row>
    <row r="235" spans="1:45" s="548" customFormat="1" ht="24" hidden="1" customHeight="1">
      <c r="A235" s="595">
        <v>78</v>
      </c>
      <c r="B235" s="263" t="s">
        <v>295</v>
      </c>
      <c r="C235" s="263" t="s">
        <v>296</v>
      </c>
      <c r="D235" s="650"/>
      <c r="E235" s="598"/>
      <c r="F235" s="651"/>
      <c r="G235" s="600"/>
      <c r="H235" s="601"/>
      <c r="I235" s="600" t="s">
        <v>124</v>
      </c>
      <c r="J235" s="263"/>
      <c r="K235" s="602"/>
      <c r="L235" s="263" t="s">
        <v>9</v>
      </c>
      <c r="M235" s="603" t="s">
        <v>60</v>
      </c>
      <c r="N235" s="604"/>
      <c r="O235" s="605">
        <v>46269</v>
      </c>
      <c r="P235" s="605">
        <v>46283</v>
      </c>
      <c r="Q235" s="605">
        <v>46283</v>
      </c>
      <c r="R235" s="605">
        <v>46283</v>
      </c>
      <c r="S235" s="605">
        <v>46283</v>
      </c>
      <c r="T235" s="605">
        <v>46293</v>
      </c>
      <c r="U235" s="605">
        <v>46302</v>
      </c>
      <c r="V235" s="605">
        <v>46317</v>
      </c>
      <c r="W235" s="605"/>
      <c r="X235" s="605">
        <v>46324</v>
      </c>
      <c r="Y235" s="605">
        <v>46328</v>
      </c>
      <c r="Z235" s="605">
        <v>46335</v>
      </c>
      <c r="AA235" s="605">
        <v>46349</v>
      </c>
      <c r="AB235" s="605">
        <v>46364</v>
      </c>
      <c r="AC235" s="605">
        <v>46374</v>
      </c>
      <c r="AD235" s="605">
        <v>46374</v>
      </c>
      <c r="AE235" s="605">
        <v>46376</v>
      </c>
      <c r="AF235" s="605">
        <v>46415</v>
      </c>
      <c r="AG235" s="605">
        <v>46422</v>
      </c>
      <c r="AH235" s="605">
        <v>46429</v>
      </c>
      <c r="AI235" s="605">
        <v>46443</v>
      </c>
      <c r="AJ235" s="605">
        <v>46459</v>
      </c>
      <c r="AK235" s="630">
        <v>15</v>
      </c>
      <c r="AL235" s="607">
        <f>AK235*7</f>
        <v>105</v>
      </c>
      <c r="AM235" s="605">
        <f>X235+AL235</f>
        <v>46429</v>
      </c>
      <c r="AN235" s="608">
        <f>AN236</f>
        <v>46430</v>
      </c>
      <c r="AO235" s="600">
        <f>AN236-AM235</f>
        <v>1</v>
      </c>
      <c r="AP235" s="609"/>
      <c r="AQ235" s="610" t="s">
        <v>62</v>
      </c>
      <c r="AR235" s="611">
        <v>46433</v>
      </c>
      <c r="AS235" s="608"/>
    </row>
    <row r="236" spans="1:45" s="548" customFormat="1" ht="24" customHeight="1">
      <c r="A236" s="595"/>
      <c r="B236" s="263" t="s">
        <v>295</v>
      </c>
      <c r="C236" s="596" t="s">
        <v>296</v>
      </c>
      <c r="D236" s="652"/>
      <c r="E236" s="598"/>
      <c r="F236" s="652"/>
      <c r="G236" s="600"/>
      <c r="H236" s="601" t="s">
        <v>294</v>
      </c>
      <c r="I236" s="600" t="s">
        <v>124</v>
      </c>
      <c r="J236" s="263" t="s">
        <v>64</v>
      </c>
      <c r="K236" s="263">
        <v>3</v>
      </c>
      <c r="L236" s="263" t="s">
        <v>9</v>
      </c>
      <c r="M236" s="603" t="s">
        <v>65</v>
      </c>
      <c r="N236" s="605">
        <v>46254</v>
      </c>
      <c r="O236" s="605"/>
      <c r="P236" s="605"/>
      <c r="Q236" s="605"/>
      <c r="R236" s="605"/>
      <c r="S236" s="605"/>
      <c r="T236" s="605">
        <f>WORKDAY.INTL(S237,INDEX(T$8:T$11,MATCH($L236,$L$8:$L$11,0)),1,IF(T$18="China",'China Holidays'!$A$2:$A$82,'Thai Holidays'!$A$2:$A$63))</f>
        <v>46289</v>
      </c>
      <c r="U236" s="605">
        <f>WORKDAY.INTL(T236,INDEX(U$8:U$11,MATCH($L236,$L$8:$L$11,0)),1,IF(U$18="China",'China Holidays'!$A$2:$A$82,'Thai Holidays'!$A$2:$A$63))</f>
        <v>46300</v>
      </c>
      <c r="V236" s="605">
        <f>WORKDAY.INTL(U236,INDEX(V$8:V$11,MATCH($L236,$L$8:$L$11,0)),1,IF(V$18="China",'China Holidays'!$A$2:$A$82,'Thai Holidays'!$A$2:$A$63))</f>
        <v>46315</v>
      </c>
      <c r="W236" s="605"/>
      <c r="X236" s="605">
        <v>46324</v>
      </c>
      <c r="Y236" s="605">
        <v>46328</v>
      </c>
      <c r="Z236" s="605">
        <v>46335</v>
      </c>
      <c r="AA236" s="605">
        <v>46349</v>
      </c>
      <c r="AB236" s="605">
        <v>46364</v>
      </c>
      <c r="AC236" s="605">
        <v>46374</v>
      </c>
      <c r="AD236" s="605">
        <v>46374</v>
      </c>
      <c r="AE236" s="605">
        <v>46376</v>
      </c>
      <c r="AF236" s="605">
        <v>46415</v>
      </c>
      <c r="AG236" s="605">
        <v>46422</v>
      </c>
      <c r="AH236" s="605">
        <v>46429</v>
      </c>
      <c r="AI236" s="605">
        <v>46443</v>
      </c>
      <c r="AJ236" s="605">
        <v>46459</v>
      </c>
      <c r="AK236" s="606">
        <v>15</v>
      </c>
      <c r="AL236" s="607">
        <v>105</v>
      </c>
      <c r="AM236" s="605">
        <f>IF(X236&lt;&gt;"",X236+AL236,X237+AL236)</f>
        <v>46429</v>
      </c>
      <c r="AN236" s="608">
        <f>AR235-3</f>
        <v>46430</v>
      </c>
      <c r="AO236" s="600">
        <f>AN236-AM236</f>
        <v>1</v>
      </c>
      <c r="AP236" s="609"/>
      <c r="AQ236" s="610" t="s">
        <v>66</v>
      </c>
      <c r="AR236" s="611">
        <v>46433</v>
      </c>
      <c r="AS236" s="608" t="s">
        <v>297</v>
      </c>
    </row>
    <row r="237" spans="1:45" s="548" customFormat="1" ht="24" customHeight="1">
      <c r="A237" s="615"/>
      <c r="B237" s="616" t="s">
        <v>295</v>
      </c>
      <c r="C237" s="649" t="s">
        <v>296</v>
      </c>
      <c r="D237" s="653"/>
      <c r="E237" s="618"/>
      <c r="F237" s="653"/>
      <c r="G237" s="620"/>
      <c r="H237" s="621"/>
      <c r="I237" s="620" t="s">
        <v>124</v>
      </c>
      <c r="J237" s="616" t="s">
        <v>64</v>
      </c>
      <c r="K237" s="263">
        <v>3</v>
      </c>
      <c r="L237" s="616" t="s">
        <v>9</v>
      </c>
      <c r="M237" s="622" t="s">
        <v>67</v>
      </c>
      <c r="N237" s="623"/>
      <c r="O237" s="623">
        <v>46269</v>
      </c>
      <c r="P237" s="623">
        <v>46282</v>
      </c>
      <c r="Q237" s="623">
        <v>46282</v>
      </c>
      <c r="R237" s="623">
        <v>46282</v>
      </c>
      <c r="S237" s="623">
        <v>46282</v>
      </c>
      <c r="T237" s="623"/>
      <c r="U237" s="623"/>
      <c r="V237" s="623"/>
      <c r="W237" s="623"/>
      <c r="X237" s="620"/>
      <c r="Y237" s="623"/>
      <c r="Z237" s="623"/>
      <c r="AA237" s="623"/>
      <c r="AB237" s="623"/>
      <c r="AC237" s="623"/>
      <c r="AD237" s="623"/>
      <c r="AE237" s="623"/>
      <c r="AF237" s="623"/>
      <c r="AG237" s="623"/>
      <c r="AH237" s="623"/>
      <c r="AI237" s="623"/>
      <c r="AJ237" s="623"/>
      <c r="AK237" s="624"/>
      <c r="AL237" s="625"/>
      <c r="AM237" s="623"/>
      <c r="AN237" s="626"/>
      <c r="AO237" s="620"/>
      <c r="AP237" s="627"/>
      <c r="AQ237" s="628"/>
      <c r="AR237" s="627"/>
      <c r="AS237" s="626"/>
    </row>
    <row r="238" spans="1:45" s="548" customFormat="1" ht="24" hidden="1" customHeight="1">
      <c r="A238" s="595">
        <v>79</v>
      </c>
      <c r="B238" s="263" t="s">
        <v>298</v>
      </c>
      <c r="C238" s="263" t="s">
        <v>299</v>
      </c>
      <c r="D238" s="650"/>
      <c r="E238" s="598"/>
      <c r="F238" s="651"/>
      <c r="G238" s="600"/>
      <c r="H238" s="601"/>
      <c r="I238" s="600" t="s">
        <v>124</v>
      </c>
      <c r="J238" s="263"/>
      <c r="K238" s="602"/>
      <c r="L238" s="263" t="s">
        <v>9</v>
      </c>
      <c r="M238" s="603" t="s">
        <v>60</v>
      </c>
      <c r="N238" s="604"/>
      <c r="O238" s="605">
        <v>46269</v>
      </c>
      <c r="P238" s="605">
        <v>46283</v>
      </c>
      <c r="Q238" s="605">
        <v>46283</v>
      </c>
      <c r="R238" s="605">
        <v>46302</v>
      </c>
      <c r="S238" s="605">
        <v>46317</v>
      </c>
      <c r="T238" s="605">
        <v>46324</v>
      </c>
      <c r="U238" s="605">
        <v>46302</v>
      </c>
      <c r="V238" s="605">
        <v>46317</v>
      </c>
      <c r="W238" s="605"/>
      <c r="X238" s="605">
        <v>46324</v>
      </c>
      <c r="Y238" s="605">
        <v>46400</v>
      </c>
      <c r="Z238" s="605">
        <v>46407</v>
      </c>
      <c r="AA238" s="605">
        <v>46349</v>
      </c>
      <c r="AB238" s="605">
        <v>46364</v>
      </c>
      <c r="AC238" s="605">
        <v>46374</v>
      </c>
      <c r="AD238" s="605">
        <f>AC238+1</f>
        <v>46375</v>
      </c>
      <c r="AE238" s="605">
        <f>AD238+1</f>
        <v>46376</v>
      </c>
      <c r="AF238" s="605">
        <v>46400</v>
      </c>
      <c r="AG238" s="605">
        <v>46407</v>
      </c>
      <c r="AH238" s="605">
        <v>46414</v>
      </c>
      <c r="AI238" s="605">
        <v>46428</v>
      </c>
      <c r="AJ238" s="605">
        <v>46444</v>
      </c>
      <c r="AK238" s="630">
        <v>12.8571428571429</v>
      </c>
      <c r="AL238" s="607">
        <f>AK238*7</f>
        <v>90.000000000000298</v>
      </c>
      <c r="AM238" s="605">
        <f>X238+AL238</f>
        <v>46414</v>
      </c>
      <c r="AN238" s="608">
        <f>AN239</f>
        <v>46463</v>
      </c>
      <c r="AO238" s="600">
        <f>AN239-AM238</f>
        <v>49</v>
      </c>
      <c r="AP238" s="609"/>
      <c r="AQ238" s="610" t="s">
        <v>62</v>
      </c>
      <c r="AR238" s="611">
        <v>46470</v>
      </c>
      <c r="AS238" s="608"/>
    </row>
    <row r="239" spans="1:45" s="548" customFormat="1" ht="24" customHeight="1">
      <c r="A239" s="595"/>
      <c r="B239" s="263" t="s">
        <v>298</v>
      </c>
      <c r="C239" s="596" t="s">
        <v>299</v>
      </c>
      <c r="D239" s="652"/>
      <c r="E239" s="598"/>
      <c r="F239" s="652"/>
      <c r="G239" s="600"/>
      <c r="H239" s="601" t="s">
        <v>132</v>
      </c>
      <c r="I239" s="600" t="s">
        <v>124</v>
      </c>
      <c r="J239" s="263" t="s">
        <v>73</v>
      </c>
      <c r="K239" s="263">
        <v>3</v>
      </c>
      <c r="L239" s="263" t="s">
        <v>9</v>
      </c>
      <c r="M239" s="603" t="s">
        <v>65</v>
      </c>
      <c r="N239" s="605">
        <v>46208</v>
      </c>
      <c r="O239" s="605"/>
      <c r="P239" s="605"/>
      <c r="Q239" s="605"/>
      <c r="R239" s="605"/>
      <c r="S239" s="605"/>
      <c r="T239" s="605">
        <v>46269</v>
      </c>
      <c r="U239" s="605">
        <f>WORKDAY.INTL(T239,INDEX(U$8:U$11,MATCH($L239,$L$8:$L$11,0)),1,IF(U$18="China",'China Holidays'!$A$2:$A$82,'Thai Holidays'!$A$2:$A$63))</f>
        <v>46280</v>
      </c>
      <c r="V239" s="605">
        <f>WORKDAY.INTL(U239,INDEX(V$8:V$11,MATCH($L239,$L$8:$L$11,0)),1,IF(V$18="China",'China Holidays'!$A$2:$A$82,'Thai Holidays'!$A$2:$A$63))</f>
        <v>46294</v>
      </c>
      <c r="W239" s="605"/>
      <c r="X239" s="605">
        <v>46308</v>
      </c>
      <c r="Y239" s="605">
        <v>46310</v>
      </c>
      <c r="Z239" s="605">
        <v>46317</v>
      </c>
      <c r="AA239" s="605">
        <v>46331</v>
      </c>
      <c r="AB239" s="605">
        <v>46345</v>
      </c>
      <c r="AC239" s="605">
        <v>46355</v>
      </c>
      <c r="AD239" s="605">
        <v>46355</v>
      </c>
      <c r="AE239" s="605">
        <v>46357</v>
      </c>
      <c r="AF239" s="605">
        <v>46384</v>
      </c>
      <c r="AG239" s="605">
        <v>46391</v>
      </c>
      <c r="AH239" s="605">
        <v>46398</v>
      </c>
      <c r="AI239" s="605">
        <v>46412</v>
      </c>
      <c r="AJ239" s="605">
        <v>46428</v>
      </c>
      <c r="AK239" s="606">
        <v>12.8571428571429</v>
      </c>
      <c r="AL239" s="607">
        <v>90.000000000000298</v>
      </c>
      <c r="AM239" s="605">
        <f>IF(X239&lt;&gt;"",X239+AL239,X240+AL239)</f>
        <v>46398</v>
      </c>
      <c r="AN239" s="608">
        <f>AR238-7</f>
        <v>46463</v>
      </c>
      <c r="AO239" s="600">
        <f>AN239-AM239</f>
        <v>65</v>
      </c>
      <c r="AP239" s="609"/>
      <c r="AQ239" s="610" t="s">
        <v>66</v>
      </c>
      <c r="AR239" s="611">
        <v>46479</v>
      </c>
      <c r="AS239" s="608"/>
    </row>
    <row r="240" spans="1:45" s="548" customFormat="1" ht="24" customHeight="1">
      <c r="A240" s="615"/>
      <c r="B240" s="616" t="s">
        <v>298</v>
      </c>
      <c r="C240" s="649" t="s">
        <v>299</v>
      </c>
      <c r="D240" s="653"/>
      <c r="E240" s="618"/>
      <c r="F240" s="653"/>
      <c r="G240" s="620"/>
      <c r="H240" s="621"/>
      <c r="I240" s="620" t="s">
        <v>124</v>
      </c>
      <c r="J240" s="616" t="s">
        <v>73</v>
      </c>
      <c r="K240" s="263">
        <v>3</v>
      </c>
      <c r="L240" s="616" t="s">
        <v>9</v>
      </c>
      <c r="M240" s="622" t="s">
        <v>67</v>
      </c>
      <c r="N240" s="623"/>
      <c r="O240" s="623">
        <v>46227</v>
      </c>
      <c r="P240" s="623">
        <v>46244</v>
      </c>
      <c r="Q240" s="623">
        <f>P240</f>
        <v>46244</v>
      </c>
      <c r="R240" s="623">
        <f>Q240</f>
        <v>46244</v>
      </c>
      <c r="S240" s="623">
        <f>R240</f>
        <v>46244</v>
      </c>
      <c r="T240" s="623"/>
      <c r="U240" s="623"/>
      <c r="V240" s="623"/>
      <c r="W240" s="623"/>
      <c r="X240" s="620"/>
      <c r="Y240" s="623"/>
      <c r="Z240" s="623"/>
      <c r="AA240" s="623"/>
      <c r="AB240" s="623"/>
      <c r="AC240" s="623"/>
      <c r="AD240" s="623"/>
      <c r="AE240" s="623"/>
      <c r="AF240" s="623"/>
      <c r="AG240" s="623"/>
      <c r="AH240" s="623"/>
      <c r="AI240" s="623"/>
      <c r="AJ240" s="623"/>
      <c r="AK240" s="624"/>
      <c r="AL240" s="625"/>
      <c r="AM240" s="623"/>
      <c r="AN240" s="626"/>
      <c r="AO240" s="620"/>
      <c r="AP240" s="627"/>
      <c r="AQ240" s="628"/>
      <c r="AR240" s="627"/>
      <c r="AS240" s="626"/>
    </row>
    <row r="241" spans="1:45" s="548" customFormat="1" ht="24" hidden="1" customHeight="1">
      <c r="A241" s="595">
        <v>80</v>
      </c>
      <c r="B241" s="263" t="s">
        <v>300</v>
      </c>
      <c r="C241" s="263" t="s">
        <v>301</v>
      </c>
      <c r="D241" s="650"/>
      <c r="E241" s="598"/>
      <c r="F241" s="651"/>
      <c r="G241" s="600"/>
      <c r="H241" s="601"/>
      <c r="I241" s="600" t="s">
        <v>137</v>
      </c>
      <c r="J241" s="263"/>
      <c r="K241" s="602"/>
      <c r="L241" s="263" t="s">
        <v>9</v>
      </c>
      <c r="M241" s="603" t="s">
        <v>60</v>
      </c>
      <c r="N241" s="604"/>
      <c r="O241" s="605">
        <v>46295</v>
      </c>
      <c r="P241" s="605">
        <v>46310</v>
      </c>
      <c r="Q241" s="605">
        <v>46310</v>
      </c>
      <c r="R241" s="605">
        <v>46310</v>
      </c>
      <c r="S241" s="605">
        <v>46310</v>
      </c>
      <c r="T241" s="605">
        <v>46316</v>
      </c>
      <c r="U241" s="605">
        <v>46329</v>
      </c>
      <c r="V241" s="605">
        <v>46343</v>
      </c>
      <c r="W241" s="605"/>
      <c r="X241" s="605">
        <v>46350</v>
      </c>
      <c r="Y241" s="605">
        <v>46339</v>
      </c>
      <c r="Z241" s="605">
        <v>46346</v>
      </c>
      <c r="AA241" s="605">
        <v>46373</v>
      </c>
      <c r="AB241" s="605">
        <v>46391</v>
      </c>
      <c r="AC241" s="605">
        <f>X241+50</f>
        <v>46400</v>
      </c>
      <c r="AD241" s="605">
        <f>AC241+1</f>
        <v>46401</v>
      </c>
      <c r="AE241" s="605">
        <f>AD241+1</f>
        <v>46402</v>
      </c>
      <c r="AF241" s="605">
        <v>46426</v>
      </c>
      <c r="AG241" s="605">
        <v>46433</v>
      </c>
      <c r="AH241" s="605">
        <v>46440</v>
      </c>
      <c r="AI241" s="605">
        <v>46454</v>
      </c>
      <c r="AJ241" s="605">
        <v>46470</v>
      </c>
      <c r="AK241" s="630">
        <v>12.8571428571429</v>
      </c>
      <c r="AL241" s="607">
        <f>AK241*7</f>
        <v>90.000000000000298</v>
      </c>
      <c r="AM241" s="605">
        <f>X241+AL241</f>
        <v>46440</v>
      </c>
      <c r="AN241" s="608">
        <f>AN242</f>
        <v>46438</v>
      </c>
      <c r="AO241" s="600">
        <f>AN242-AM241</f>
        <v>-2</v>
      </c>
      <c r="AP241" s="609"/>
      <c r="AQ241" s="610" t="s">
        <v>62</v>
      </c>
      <c r="AR241" s="611">
        <v>46441</v>
      </c>
      <c r="AS241" s="608"/>
    </row>
    <row r="242" spans="1:45" s="548" customFormat="1" ht="24" customHeight="1">
      <c r="A242" s="595"/>
      <c r="B242" s="263" t="s">
        <v>300</v>
      </c>
      <c r="C242" s="263" t="s">
        <v>301</v>
      </c>
      <c r="D242" s="652"/>
      <c r="E242" s="598"/>
      <c r="F242" s="652"/>
      <c r="G242" s="600"/>
      <c r="H242" s="601" t="s">
        <v>302</v>
      </c>
      <c r="I242" s="600" t="s">
        <v>137</v>
      </c>
      <c r="J242" s="263" t="s">
        <v>73</v>
      </c>
      <c r="K242" s="263">
        <v>4</v>
      </c>
      <c r="L242" s="263" t="s">
        <v>9</v>
      </c>
      <c r="M242" s="603" t="s">
        <v>65</v>
      </c>
      <c r="N242" s="605">
        <v>46273</v>
      </c>
      <c r="O242" s="605">
        <v>46295</v>
      </c>
      <c r="P242" s="605">
        <f>WORKDAY.INTL(O242,INDEX(P$8:P$11,MATCH($L242,$L$8:$L$11,0)),1,IF(P$18="China",'China Holidays'!$A$2:$A$82,'Thai Holidays'!$A$2:$A$63))</f>
        <v>46310</v>
      </c>
      <c r="Q242" s="605">
        <f>WORKDAY.INTL(P242,INDEX(Q$8:Q$11,MATCH($L242,$L$8:$L$11,0)),1,IF(Q$18="China",'China Holidays'!$A$2:$A$82,'Thai Holidays'!$A$2:$A$63))</f>
        <v>46310</v>
      </c>
      <c r="R242" s="605">
        <f>WORKDAY.INTL(Q242,INDEX(R$8:R$11,MATCH($L242,$L$8:$L$11,0)),1,IF(R$18="China",'China Holidays'!$A$2:$A$82,'Thai Holidays'!$A$2:$A$63))</f>
        <v>46310</v>
      </c>
      <c r="S242" s="605">
        <f>WORKDAY.INTL(R242,INDEX(S$8:S$11,MATCH($L242,$L$8:$L$11,0)),1,IF(S$18="China",'China Holidays'!$A$2:$A$82,'Thai Holidays'!$A$2:$A$63))</f>
        <v>46310</v>
      </c>
      <c r="T242" s="605">
        <f>WORKDAY.INTL(S242,INDEX(T$8:T$11,MATCH($L242,$L$8:$L$11,0)),1,IF(T$18="China",'China Holidays'!$A$2:$A$82,'Thai Holidays'!$A$2:$A$63))</f>
        <v>46317</v>
      </c>
      <c r="U242" s="605">
        <f>WORKDAY.INTL(T242,INDEX(U$8:U$11,MATCH($L242,$L$8:$L$11,0)),1,IF(U$18="China",'China Holidays'!$A$2:$A$82,'Thai Holidays'!$A$2:$A$63))</f>
        <v>46329</v>
      </c>
      <c r="V242" s="605">
        <f>WORKDAY.INTL(U242,INDEX(V$8:V$11,MATCH($L242,$L$8:$L$11,0)),1,IF(V$18="China",'China Holidays'!$A$2:$A$82,'Thai Holidays'!$A$2:$A$63))</f>
        <v>46343</v>
      </c>
      <c r="W242" s="605"/>
      <c r="X242" s="605">
        <v>46350</v>
      </c>
      <c r="Y242" s="605">
        <v>46352</v>
      </c>
      <c r="Z242" s="605">
        <v>46359</v>
      </c>
      <c r="AA242" s="605">
        <v>46373</v>
      </c>
      <c r="AB242" s="605">
        <v>46391</v>
      </c>
      <c r="AC242" s="605">
        <v>46401</v>
      </c>
      <c r="AD242" s="605">
        <v>46401</v>
      </c>
      <c r="AE242" s="605">
        <v>46403</v>
      </c>
      <c r="AF242" s="605">
        <v>46426</v>
      </c>
      <c r="AG242" s="605">
        <v>46433</v>
      </c>
      <c r="AH242" s="605">
        <v>46440</v>
      </c>
      <c r="AI242" s="605">
        <v>46454</v>
      </c>
      <c r="AJ242" s="605">
        <v>46470</v>
      </c>
      <c r="AK242" s="606">
        <v>12.8571428571429</v>
      </c>
      <c r="AL242" s="607">
        <v>90.000000000000298</v>
      </c>
      <c r="AM242" s="605">
        <f>IF(X242&lt;&gt;"",X242+AL242,X243+AL242)</f>
        <v>46440</v>
      </c>
      <c r="AN242" s="608">
        <f>AR241-3</f>
        <v>46438</v>
      </c>
      <c r="AO242" s="600">
        <f>AN242-AM242</f>
        <v>-2</v>
      </c>
      <c r="AP242" s="609"/>
      <c r="AQ242" s="610" t="s">
        <v>66</v>
      </c>
      <c r="AR242" s="611">
        <v>46443</v>
      </c>
      <c r="AS242" s="608"/>
    </row>
    <row r="243" spans="1:45" s="548" customFormat="1" ht="24" customHeight="1">
      <c r="A243" s="615"/>
      <c r="B243" s="616" t="s">
        <v>300</v>
      </c>
      <c r="C243" s="649" t="s">
        <v>301</v>
      </c>
      <c r="D243" s="653"/>
      <c r="E243" s="618"/>
      <c r="F243" s="653"/>
      <c r="G243" s="620"/>
      <c r="H243" s="621"/>
      <c r="I243" s="620" t="s">
        <v>137</v>
      </c>
      <c r="J243" s="616" t="s">
        <v>73</v>
      </c>
      <c r="K243" s="263">
        <v>4</v>
      </c>
      <c r="L243" s="616" t="s">
        <v>9</v>
      </c>
      <c r="M243" s="622" t="s">
        <v>67</v>
      </c>
      <c r="N243" s="623"/>
      <c r="O243" s="623"/>
      <c r="P243" s="623"/>
      <c r="Q243" s="623"/>
      <c r="R243" s="623"/>
      <c r="S243" s="623"/>
      <c r="T243" s="623"/>
      <c r="U243" s="623"/>
      <c r="V243" s="623"/>
      <c r="W243" s="623"/>
      <c r="X243" s="620"/>
      <c r="Y243" s="623"/>
      <c r="Z243" s="623"/>
      <c r="AA243" s="623"/>
      <c r="AB243" s="623"/>
      <c r="AC243" s="623"/>
      <c r="AD243" s="623"/>
      <c r="AE243" s="623"/>
      <c r="AF243" s="623"/>
      <c r="AG243" s="623"/>
      <c r="AH243" s="623"/>
      <c r="AI243" s="623"/>
      <c r="AJ243" s="623"/>
      <c r="AK243" s="624"/>
      <c r="AL243" s="625"/>
      <c r="AM243" s="623"/>
      <c r="AN243" s="626"/>
      <c r="AO243" s="620"/>
      <c r="AP243" s="627"/>
      <c r="AQ243" s="628"/>
      <c r="AR243" s="627"/>
      <c r="AS243" s="626"/>
    </row>
    <row r="244" spans="1:45" s="548" customFormat="1" ht="24" hidden="1" customHeight="1">
      <c r="A244" s="595">
        <v>81</v>
      </c>
      <c r="B244" s="263" t="s">
        <v>303</v>
      </c>
      <c r="C244" s="263" t="s">
        <v>304</v>
      </c>
      <c r="D244" s="650"/>
      <c r="E244" s="598"/>
      <c r="F244" s="651"/>
      <c r="G244" s="600"/>
      <c r="H244" s="601"/>
      <c r="I244" s="600" t="s">
        <v>137</v>
      </c>
      <c r="J244" s="263"/>
      <c r="K244" s="602"/>
      <c r="L244" s="263" t="s">
        <v>9</v>
      </c>
      <c r="M244" s="603" t="s">
        <v>60</v>
      </c>
      <c r="N244" s="604"/>
      <c r="O244" s="605">
        <v>46255</v>
      </c>
      <c r="P244" s="605">
        <v>46269</v>
      </c>
      <c r="Q244" s="605">
        <v>46269</v>
      </c>
      <c r="R244" s="605">
        <v>46269</v>
      </c>
      <c r="S244" s="605">
        <v>46269</v>
      </c>
      <c r="T244" s="605">
        <v>46275</v>
      </c>
      <c r="U244" s="605">
        <v>46287</v>
      </c>
      <c r="V244" s="605">
        <v>46301</v>
      </c>
      <c r="W244" s="605"/>
      <c r="X244" s="605">
        <v>46309</v>
      </c>
      <c r="Y244" s="605">
        <v>46307</v>
      </c>
      <c r="Z244" s="605">
        <v>46314</v>
      </c>
      <c r="AA244" s="605">
        <v>46332</v>
      </c>
      <c r="AB244" s="605">
        <v>46346</v>
      </c>
      <c r="AC244" s="605">
        <v>46356</v>
      </c>
      <c r="AD244" s="605">
        <f>AC244+1</f>
        <v>46357</v>
      </c>
      <c r="AE244" s="605">
        <f>AD244+1</f>
        <v>46358</v>
      </c>
      <c r="AF244" s="605">
        <v>46385</v>
      </c>
      <c r="AG244" s="605">
        <v>46392</v>
      </c>
      <c r="AH244" s="605">
        <v>46399</v>
      </c>
      <c r="AI244" s="605">
        <v>46413</v>
      </c>
      <c r="AJ244" s="605">
        <v>46429</v>
      </c>
      <c r="AK244" s="630">
        <v>12.8571428571429</v>
      </c>
      <c r="AL244" s="607">
        <f>AK244*7</f>
        <v>90.000000000000298</v>
      </c>
      <c r="AM244" s="605">
        <f>X244+AL244</f>
        <v>46399</v>
      </c>
      <c r="AN244" s="608">
        <f>AN245</f>
        <v>46497</v>
      </c>
      <c r="AO244" s="600">
        <f>AN245-AM244</f>
        <v>98</v>
      </c>
      <c r="AP244" s="609"/>
      <c r="AQ244" s="610" t="s">
        <v>62</v>
      </c>
      <c r="AR244" s="611">
        <v>46504</v>
      </c>
      <c r="AS244" s="608"/>
    </row>
    <row r="245" spans="1:45" s="548" customFormat="1" ht="24" customHeight="1">
      <c r="A245" s="595"/>
      <c r="B245" s="263" t="s">
        <v>303</v>
      </c>
      <c r="C245" s="596" t="s">
        <v>304</v>
      </c>
      <c r="D245" s="652"/>
      <c r="E245" s="598"/>
      <c r="F245" s="652"/>
      <c r="G245" s="600"/>
      <c r="H245" s="601" t="s">
        <v>302</v>
      </c>
      <c r="I245" s="600" t="s">
        <v>137</v>
      </c>
      <c r="J245" s="263" t="s">
        <v>73</v>
      </c>
      <c r="K245" s="263">
        <v>4</v>
      </c>
      <c r="L245" s="263" t="s">
        <v>9</v>
      </c>
      <c r="M245" s="603" t="s">
        <v>65</v>
      </c>
      <c r="N245" s="605">
        <v>46240</v>
      </c>
      <c r="O245" s="605"/>
      <c r="P245" s="605"/>
      <c r="Q245" s="605"/>
      <c r="R245" s="605"/>
      <c r="S245" s="605"/>
      <c r="T245" s="605"/>
      <c r="U245" s="605">
        <f>WORKDAY.INTL(T246,INDEX(U$8:U$11,MATCH($L245,$L$8:$L$11,0)),1,IF(U$18="China",'China Holidays'!$A$2:$A$82,'Thai Holidays'!$A$2:$A$63))</f>
        <v>46286</v>
      </c>
      <c r="V245" s="605">
        <f>WORKDAY.INTL(U245,INDEX(V$8:V$11,MATCH($L245,$L$8:$L$11,0)),1,IF(V$18="China",'China Holidays'!$A$2:$A$82,'Thai Holidays'!$A$2:$A$63))</f>
        <v>46300</v>
      </c>
      <c r="W245" s="605"/>
      <c r="X245" s="605">
        <v>46309</v>
      </c>
      <c r="Y245" s="605">
        <v>46311</v>
      </c>
      <c r="Z245" s="605">
        <v>46318</v>
      </c>
      <c r="AA245" s="605">
        <v>46332</v>
      </c>
      <c r="AB245" s="605">
        <v>46346</v>
      </c>
      <c r="AC245" s="605">
        <v>46356</v>
      </c>
      <c r="AD245" s="605">
        <v>46356</v>
      </c>
      <c r="AE245" s="605">
        <v>46358</v>
      </c>
      <c r="AF245" s="605">
        <v>46385</v>
      </c>
      <c r="AG245" s="605">
        <v>46392</v>
      </c>
      <c r="AH245" s="605">
        <v>46399</v>
      </c>
      <c r="AI245" s="605">
        <v>46413</v>
      </c>
      <c r="AJ245" s="605">
        <v>46429</v>
      </c>
      <c r="AK245" s="606">
        <v>12.8571428571429</v>
      </c>
      <c r="AL245" s="607">
        <v>90.000000000000298</v>
      </c>
      <c r="AM245" s="605">
        <f>IF(X245&lt;&gt;"",X245+AL245,X246+AL245)</f>
        <v>46399</v>
      </c>
      <c r="AN245" s="608">
        <f>AR244-7</f>
        <v>46497</v>
      </c>
      <c r="AO245" s="600">
        <f>AN245-AM245</f>
        <v>98</v>
      </c>
      <c r="AP245" s="609"/>
      <c r="AQ245" s="610" t="s">
        <v>66</v>
      </c>
      <c r="AR245" s="611">
        <v>46526</v>
      </c>
      <c r="AS245" s="608"/>
    </row>
    <row r="246" spans="1:45" s="548" customFormat="1" ht="24" customHeight="1">
      <c r="A246" s="615"/>
      <c r="B246" s="616" t="s">
        <v>303</v>
      </c>
      <c r="C246" s="649" t="s">
        <v>304</v>
      </c>
      <c r="D246" s="653"/>
      <c r="E246" s="618"/>
      <c r="F246" s="653"/>
      <c r="G246" s="620"/>
      <c r="H246" s="621"/>
      <c r="I246" s="620" t="s">
        <v>137</v>
      </c>
      <c r="J246" s="616" t="s">
        <v>73</v>
      </c>
      <c r="K246" s="263">
        <v>4</v>
      </c>
      <c r="L246" s="616" t="s">
        <v>9</v>
      </c>
      <c r="M246" s="622" t="s">
        <v>67</v>
      </c>
      <c r="N246" s="623"/>
      <c r="O246" s="623">
        <v>46255</v>
      </c>
      <c r="P246" s="623">
        <v>46264</v>
      </c>
      <c r="Q246" s="623">
        <v>46264</v>
      </c>
      <c r="R246" s="623">
        <v>46264</v>
      </c>
      <c r="S246" s="623">
        <v>46264</v>
      </c>
      <c r="T246" s="605">
        <v>46275</v>
      </c>
      <c r="U246" s="623"/>
      <c r="V246" s="623"/>
      <c r="W246" s="623"/>
      <c r="X246" s="620"/>
      <c r="Y246" s="623"/>
      <c r="Z246" s="623"/>
      <c r="AA246" s="623"/>
      <c r="AB246" s="623"/>
      <c r="AC246" s="623"/>
      <c r="AD246" s="623"/>
      <c r="AE246" s="623"/>
      <c r="AF246" s="623"/>
      <c r="AG246" s="623"/>
      <c r="AH246" s="623"/>
      <c r="AI246" s="623"/>
      <c r="AJ246" s="623"/>
      <c r="AK246" s="624"/>
      <c r="AL246" s="625"/>
      <c r="AM246" s="623"/>
      <c r="AN246" s="626"/>
      <c r="AO246" s="620"/>
      <c r="AP246" s="627"/>
      <c r="AQ246" s="628"/>
      <c r="AR246" s="627"/>
      <c r="AS246" s="626"/>
    </row>
    <row r="247" spans="1:45" s="548" customFormat="1" ht="24" hidden="1" customHeight="1">
      <c r="A247" s="595">
        <v>82</v>
      </c>
      <c r="B247" s="263" t="s">
        <v>305</v>
      </c>
      <c r="C247" s="263" t="s">
        <v>306</v>
      </c>
      <c r="D247" s="650"/>
      <c r="E247" s="598"/>
      <c r="F247" s="651"/>
      <c r="G247" s="600"/>
      <c r="H247" s="601"/>
      <c r="I247" s="600" t="s">
        <v>307</v>
      </c>
      <c r="J247" s="263"/>
      <c r="K247" s="602"/>
      <c r="L247" s="263" t="s">
        <v>9</v>
      </c>
      <c r="M247" s="603" t="s">
        <v>60</v>
      </c>
      <c r="N247" s="604"/>
      <c r="O247" s="605">
        <v>46233</v>
      </c>
      <c r="P247" s="605">
        <v>46248</v>
      </c>
      <c r="Q247" s="605">
        <v>46248</v>
      </c>
      <c r="R247" s="605">
        <v>46248</v>
      </c>
      <c r="S247" s="605">
        <v>46248</v>
      </c>
      <c r="T247" s="605">
        <v>46255</v>
      </c>
      <c r="U247" s="605">
        <v>46266</v>
      </c>
      <c r="V247" s="605">
        <v>46280</v>
      </c>
      <c r="W247" s="605"/>
      <c r="X247" s="605">
        <v>46287</v>
      </c>
      <c r="Y247" s="605">
        <v>46289</v>
      </c>
      <c r="Z247" s="605">
        <v>46304</v>
      </c>
      <c r="AA247" s="605">
        <v>46318</v>
      </c>
      <c r="AB247" s="605">
        <v>46332</v>
      </c>
      <c r="AC247" s="605">
        <v>46392</v>
      </c>
      <c r="AD247" s="605">
        <v>46392</v>
      </c>
      <c r="AE247" s="605">
        <v>46395</v>
      </c>
      <c r="AF247" s="605">
        <v>46483</v>
      </c>
      <c r="AG247" s="605">
        <v>46490</v>
      </c>
      <c r="AH247" s="605">
        <v>46497</v>
      </c>
      <c r="AI247" s="605">
        <v>46511</v>
      </c>
      <c r="AJ247" s="605">
        <v>46527</v>
      </c>
      <c r="AK247" s="630">
        <v>30</v>
      </c>
      <c r="AL247" s="607">
        <f>AK247*7</f>
        <v>210</v>
      </c>
      <c r="AM247" s="605">
        <f>X247+AL247</f>
        <v>46497</v>
      </c>
      <c r="AN247" s="608">
        <f>AN248</f>
        <v>46536</v>
      </c>
      <c r="AO247" s="600">
        <f>AN248-AM247</f>
        <v>39</v>
      </c>
      <c r="AP247" s="609"/>
      <c r="AQ247" s="610" t="s">
        <v>62</v>
      </c>
      <c r="AR247" s="611">
        <v>46543</v>
      </c>
      <c r="AS247" s="608"/>
    </row>
    <row r="248" spans="1:45" s="548" customFormat="1" ht="24" customHeight="1">
      <c r="A248" s="595"/>
      <c r="B248" s="263" t="s">
        <v>305</v>
      </c>
      <c r="C248" s="596" t="s">
        <v>306</v>
      </c>
      <c r="D248" s="652"/>
      <c r="E248" s="598"/>
      <c r="F248" s="652"/>
      <c r="G248" s="600"/>
      <c r="H248" s="601" t="s">
        <v>308</v>
      </c>
      <c r="I248" s="600" t="s">
        <v>307</v>
      </c>
      <c r="J248" s="263" t="s">
        <v>73</v>
      </c>
      <c r="K248" s="263">
        <v>3</v>
      </c>
      <c r="L248" s="263" t="s">
        <v>9</v>
      </c>
      <c r="M248" s="603" t="s">
        <v>65</v>
      </c>
      <c r="N248" s="605">
        <v>46195</v>
      </c>
      <c r="O248" s="605"/>
      <c r="P248" s="605"/>
      <c r="Q248" s="605"/>
      <c r="R248" s="605"/>
      <c r="S248" s="605"/>
      <c r="T248" s="605"/>
      <c r="U248" s="605">
        <v>46297</v>
      </c>
      <c r="V248" s="605">
        <f>WORKDAY.INTL(U248,INDEX(V$8:V$11,MATCH($L248,$L$8:$L$11,0)),1,IF(V$18="China",'China Holidays'!$A$2:$A$82,'Thai Holidays'!$A$2:$A$63))</f>
        <v>46314</v>
      </c>
      <c r="W248" s="605"/>
      <c r="X248" s="605">
        <v>46311</v>
      </c>
      <c r="Y248" s="605">
        <v>46315</v>
      </c>
      <c r="Z248" s="605">
        <v>46322</v>
      </c>
      <c r="AA248" s="605">
        <v>46336</v>
      </c>
      <c r="AB248" s="605">
        <v>46350</v>
      </c>
      <c r="AC248" s="605">
        <v>46410</v>
      </c>
      <c r="AD248" s="605">
        <v>46410</v>
      </c>
      <c r="AE248" s="605">
        <v>46413</v>
      </c>
      <c r="AF248" s="605">
        <v>46507</v>
      </c>
      <c r="AG248" s="605">
        <v>46514</v>
      </c>
      <c r="AH248" s="605">
        <v>46521</v>
      </c>
      <c r="AI248" s="605">
        <v>46535</v>
      </c>
      <c r="AJ248" s="605">
        <v>46551</v>
      </c>
      <c r="AK248" s="606">
        <v>30</v>
      </c>
      <c r="AL248" s="607">
        <v>210</v>
      </c>
      <c r="AM248" s="605">
        <f>IF(X248&lt;&gt;"",X248+AL248,X249+AL248)</f>
        <v>46521</v>
      </c>
      <c r="AN248" s="608">
        <f>AR247-7</f>
        <v>46536</v>
      </c>
      <c r="AO248" s="600">
        <f>AN248-AM248</f>
        <v>15</v>
      </c>
      <c r="AP248" s="609"/>
      <c r="AQ248" s="610" t="s">
        <v>66</v>
      </c>
      <c r="AR248" s="611">
        <v>46548</v>
      </c>
      <c r="AS248" s="608"/>
    </row>
    <row r="249" spans="1:45" s="548" customFormat="1" ht="24" customHeight="1">
      <c r="A249" s="615"/>
      <c r="B249" s="616" t="s">
        <v>305</v>
      </c>
      <c r="C249" s="649" t="s">
        <v>306</v>
      </c>
      <c r="D249" s="653"/>
      <c r="E249" s="618"/>
      <c r="F249" s="653"/>
      <c r="G249" s="620"/>
      <c r="H249" s="621"/>
      <c r="I249" s="620" t="s">
        <v>307</v>
      </c>
      <c r="J249" s="616" t="s">
        <v>73</v>
      </c>
      <c r="K249" s="263">
        <v>3</v>
      </c>
      <c r="L249" s="616" t="s">
        <v>9</v>
      </c>
      <c r="M249" s="622" t="s">
        <v>67</v>
      </c>
      <c r="N249" s="623"/>
      <c r="O249" s="623">
        <v>46218</v>
      </c>
      <c r="P249" s="623">
        <v>46248</v>
      </c>
      <c r="Q249" s="623">
        <v>46248</v>
      </c>
      <c r="R249" s="623">
        <f>Q249</f>
        <v>46248</v>
      </c>
      <c r="S249" s="623">
        <f>R249</f>
        <v>46248</v>
      </c>
      <c r="T249" s="623">
        <v>46261</v>
      </c>
      <c r="U249" s="623"/>
      <c r="V249" s="623"/>
      <c r="W249" s="623"/>
      <c r="X249" s="620"/>
      <c r="Y249" s="623"/>
      <c r="Z249" s="623"/>
      <c r="AA249" s="623"/>
      <c r="AB249" s="623"/>
      <c r="AC249" s="623"/>
      <c r="AD249" s="623"/>
      <c r="AE249" s="623"/>
      <c r="AF249" s="623"/>
      <c r="AG249" s="623"/>
      <c r="AH249" s="623"/>
      <c r="AI249" s="623"/>
      <c r="AJ249" s="623"/>
      <c r="AK249" s="624"/>
      <c r="AL249" s="625"/>
      <c r="AM249" s="623"/>
      <c r="AN249" s="626"/>
      <c r="AO249" s="620"/>
      <c r="AP249" s="627"/>
      <c r="AQ249" s="628"/>
      <c r="AR249" s="627"/>
      <c r="AS249" s="626"/>
    </row>
    <row r="250" spans="1:45" s="548" customFormat="1" ht="24" hidden="1" customHeight="1">
      <c r="A250" s="595">
        <v>83</v>
      </c>
      <c r="B250" s="263" t="s">
        <v>309</v>
      </c>
      <c r="C250" s="263" t="s">
        <v>310</v>
      </c>
      <c r="D250" s="650"/>
      <c r="E250" s="598"/>
      <c r="F250" s="651"/>
      <c r="G250" s="600"/>
      <c r="H250" s="601"/>
      <c r="I250" s="600" t="s">
        <v>307</v>
      </c>
      <c r="J250" s="263"/>
      <c r="K250" s="602"/>
      <c r="L250" s="263" t="s">
        <v>9</v>
      </c>
      <c r="M250" s="603" t="s">
        <v>60</v>
      </c>
      <c r="N250" s="604"/>
      <c r="O250" s="605">
        <v>46233</v>
      </c>
      <c r="P250" s="605">
        <v>46248</v>
      </c>
      <c r="Q250" s="605">
        <v>46248</v>
      </c>
      <c r="R250" s="605">
        <v>46248</v>
      </c>
      <c r="S250" s="605">
        <v>46248</v>
      </c>
      <c r="T250" s="605">
        <v>46255</v>
      </c>
      <c r="U250" s="605">
        <v>46266</v>
      </c>
      <c r="V250" s="605">
        <v>46280</v>
      </c>
      <c r="W250" s="605"/>
      <c r="X250" s="605">
        <v>46287</v>
      </c>
      <c r="Y250" s="605">
        <v>46289</v>
      </c>
      <c r="Z250" s="605">
        <v>46304</v>
      </c>
      <c r="AA250" s="605">
        <v>46318</v>
      </c>
      <c r="AB250" s="605">
        <v>46332</v>
      </c>
      <c r="AC250" s="605">
        <v>46392</v>
      </c>
      <c r="AD250" s="605">
        <v>46392</v>
      </c>
      <c r="AE250" s="605">
        <v>46395</v>
      </c>
      <c r="AF250" s="605">
        <v>46483</v>
      </c>
      <c r="AG250" s="605">
        <v>46490</v>
      </c>
      <c r="AH250" s="605">
        <v>46497</v>
      </c>
      <c r="AI250" s="605">
        <v>46511</v>
      </c>
      <c r="AJ250" s="605">
        <v>46527</v>
      </c>
      <c r="AK250" s="630">
        <v>30</v>
      </c>
      <c r="AL250" s="607">
        <f>AK250*7</f>
        <v>210</v>
      </c>
      <c r="AM250" s="605">
        <f>X250+AL250</f>
        <v>46497</v>
      </c>
      <c r="AN250" s="608">
        <f>AN251</f>
        <v>46536</v>
      </c>
      <c r="AO250" s="600">
        <f>AN251-AM250</f>
        <v>39</v>
      </c>
      <c r="AP250" s="609"/>
      <c r="AQ250" s="610" t="s">
        <v>62</v>
      </c>
      <c r="AR250" s="611">
        <v>46543</v>
      </c>
      <c r="AS250" s="608"/>
    </row>
    <row r="251" spans="1:45" s="548" customFormat="1" ht="24" customHeight="1">
      <c r="A251" s="595"/>
      <c r="B251" s="263" t="s">
        <v>309</v>
      </c>
      <c r="C251" s="596" t="s">
        <v>310</v>
      </c>
      <c r="D251" s="652"/>
      <c r="E251" s="598"/>
      <c r="F251" s="652"/>
      <c r="G251" s="600"/>
      <c r="H251" s="601" t="s">
        <v>308</v>
      </c>
      <c r="I251" s="600" t="s">
        <v>307</v>
      </c>
      <c r="J251" s="263" t="s">
        <v>73</v>
      </c>
      <c r="K251" s="263">
        <v>4</v>
      </c>
      <c r="L251" s="263" t="s">
        <v>9</v>
      </c>
      <c r="M251" s="603" t="s">
        <v>65</v>
      </c>
      <c r="N251" s="605">
        <v>46195</v>
      </c>
      <c r="O251" s="605"/>
      <c r="P251" s="605"/>
      <c r="Q251" s="605"/>
      <c r="R251" s="605"/>
      <c r="S251" s="605"/>
      <c r="T251" s="605"/>
      <c r="U251" s="605">
        <v>46297</v>
      </c>
      <c r="V251" s="605">
        <f>WORKDAY.INTL(U251,INDEX(V$8:V$11,MATCH($L251,$L$8:$L$11,0)),1,IF(V$18="China",'China Holidays'!$A$2:$A$82,'Thai Holidays'!$A$2:$A$63))</f>
        <v>46314</v>
      </c>
      <c r="W251" s="605"/>
      <c r="X251" s="605">
        <v>46311</v>
      </c>
      <c r="Y251" s="605">
        <v>46315</v>
      </c>
      <c r="Z251" s="605">
        <v>46322</v>
      </c>
      <c r="AA251" s="605">
        <v>46336</v>
      </c>
      <c r="AB251" s="605">
        <v>46350</v>
      </c>
      <c r="AC251" s="605">
        <v>46410</v>
      </c>
      <c r="AD251" s="605">
        <v>46410</v>
      </c>
      <c r="AE251" s="605">
        <v>46413</v>
      </c>
      <c r="AF251" s="605">
        <v>46507</v>
      </c>
      <c r="AG251" s="605">
        <v>46514</v>
      </c>
      <c r="AH251" s="605">
        <v>46521</v>
      </c>
      <c r="AI251" s="605">
        <v>46535</v>
      </c>
      <c r="AJ251" s="605">
        <v>46551</v>
      </c>
      <c r="AK251" s="606">
        <v>30</v>
      </c>
      <c r="AL251" s="607">
        <v>210</v>
      </c>
      <c r="AM251" s="605">
        <f>IF(X251&lt;&gt;"",X251+AL251,X252+AL251)</f>
        <v>46521</v>
      </c>
      <c r="AN251" s="608">
        <f>AR250-7</f>
        <v>46536</v>
      </c>
      <c r="AO251" s="600">
        <f>AN251-AM251</f>
        <v>15</v>
      </c>
      <c r="AP251" s="609"/>
      <c r="AQ251" s="610" t="s">
        <v>66</v>
      </c>
      <c r="AR251" s="611">
        <v>46548</v>
      </c>
      <c r="AS251" s="608"/>
    </row>
    <row r="252" spans="1:45" s="548" customFormat="1" ht="24" customHeight="1">
      <c r="A252" s="615"/>
      <c r="B252" s="616" t="s">
        <v>309</v>
      </c>
      <c r="C252" s="649" t="s">
        <v>310</v>
      </c>
      <c r="D252" s="653"/>
      <c r="E252" s="618"/>
      <c r="F252" s="653"/>
      <c r="G252" s="620"/>
      <c r="H252" s="621"/>
      <c r="I252" s="620" t="s">
        <v>307</v>
      </c>
      <c r="J252" s="616" t="s">
        <v>73</v>
      </c>
      <c r="K252" s="263">
        <v>4</v>
      </c>
      <c r="L252" s="616" t="s">
        <v>9</v>
      </c>
      <c r="M252" s="622" t="s">
        <v>67</v>
      </c>
      <c r="N252" s="623"/>
      <c r="O252" s="623">
        <v>46218</v>
      </c>
      <c r="P252" s="623">
        <v>46248</v>
      </c>
      <c r="Q252" s="623">
        <v>46248</v>
      </c>
      <c r="R252" s="623">
        <f>Q252</f>
        <v>46248</v>
      </c>
      <c r="S252" s="623">
        <f>R252</f>
        <v>46248</v>
      </c>
      <c r="T252" s="623">
        <v>46261</v>
      </c>
      <c r="U252" s="623"/>
      <c r="V252" s="623"/>
      <c r="W252" s="623"/>
      <c r="X252" s="620"/>
      <c r="Y252" s="623"/>
      <c r="Z252" s="623"/>
      <c r="AA252" s="623"/>
      <c r="AB252" s="623"/>
      <c r="AC252" s="623"/>
      <c r="AD252" s="623"/>
      <c r="AE252" s="623"/>
      <c r="AF252" s="623"/>
      <c r="AG252" s="623"/>
      <c r="AH252" s="623"/>
      <c r="AI252" s="623"/>
      <c r="AJ252" s="623"/>
      <c r="AK252" s="624"/>
      <c r="AL252" s="625"/>
      <c r="AM252" s="623"/>
      <c r="AN252" s="626"/>
      <c r="AO252" s="620"/>
      <c r="AP252" s="627"/>
      <c r="AQ252" s="628"/>
      <c r="AR252" s="627"/>
      <c r="AS252" s="626"/>
    </row>
    <row r="253" spans="1:45" s="548" customFormat="1" ht="24" hidden="1" customHeight="1">
      <c r="A253" s="595">
        <v>84</v>
      </c>
      <c r="B253" s="263" t="s">
        <v>311</v>
      </c>
      <c r="C253" s="263" t="s">
        <v>312</v>
      </c>
      <c r="D253" s="650"/>
      <c r="E253" s="598"/>
      <c r="F253" s="651"/>
      <c r="G253" s="600"/>
      <c r="H253" s="601"/>
      <c r="I253" s="600" t="s">
        <v>307</v>
      </c>
      <c r="J253" s="263"/>
      <c r="K253" s="602"/>
      <c r="L253" s="263" t="s">
        <v>9</v>
      </c>
      <c r="M253" s="603" t="s">
        <v>60</v>
      </c>
      <c r="N253" s="604"/>
      <c r="O253" s="605">
        <v>46233</v>
      </c>
      <c r="P253" s="605">
        <v>46248</v>
      </c>
      <c r="Q253" s="605">
        <v>46248</v>
      </c>
      <c r="R253" s="605">
        <v>46248</v>
      </c>
      <c r="S253" s="605">
        <v>46248</v>
      </c>
      <c r="T253" s="605">
        <v>46255</v>
      </c>
      <c r="U253" s="605">
        <v>46266</v>
      </c>
      <c r="V253" s="605">
        <v>46280</v>
      </c>
      <c r="W253" s="605"/>
      <c r="X253" s="605">
        <v>46287</v>
      </c>
      <c r="Y253" s="605">
        <v>46289</v>
      </c>
      <c r="Z253" s="605">
        <v>46304</v>
      </c>
      <c r="AA253" s="605">
        <v>46318</v>
      </c>
      <c r="AB253" s="605">
        <v>46332</v>
      </c>
      <c r="AC253" s="605">
        <f>X253+45</f>
        <v>46332</v>
      </c>
      <c r="AD253" s="605">
        <f>AC253+1</f>
        <v>46333</v>
      </c>
      <c r="AE253" s="605">
        <f>AD253+1</f>
        <v>46334</v>
      </c>
      <c r="AF253" s="605">
        <v>46333</v>
      </c>
      <c r="AG253" s="605">
        <v>46340</v>
      </c>
      <c r="AH253" s="605">
        <v>46347</v>
      </c>
      <c r="AI253" s="605">
        <v>46361</v>
      </c>
      <c r="AJ253" s="605">
        <v>46377</v>
      </c>
      <c r="AK253" s="630">
        <v>8.5714285714285694</v>
      </c>
      <c r="AL253" s="607">
        <f>AK253*7</f>
        <v>59.999999999999986</v>
      </c>
      <c r="AM253" s="605">
        <f>X253+AL253</f>
        <v>46347</v>
      </c>
      <c r="AN253" s="608">
        <f>AN254</f>
        <v>46561</v>
      </c>
      <c r="AO253" s="600">
        <f>AN254-AM253</f>
        <v>214</v>
      </c>
      <c r="AP253" s="609"/>
      <c r="AQ253" s="610" t="s">
        <v>62</v>
      </c>
      <c r="AR253" s="611">
        <v>46568</v>
      </c>
      <c r="AS253" s="608"/>
    </row>
    <row r="254" spans="1:45" s="548" customFormat="1" ht="24" customHeight="1">
      <c r="A254" s="595"/>
      <c r="B254" s="263" t="s">
        <v>311</v>
      </c>
      <c r="C254" s="596" t="s">
        <v>312</v>
      </c>
      <c r="D254" s="652"/>
      <c r="E254" s="598"/>
      <c r="F254" s="652"/>
      <c r="G254" s="600"/>
      <c r="H254" s="601" t="s">
        <v>308</v>
      </c>
      <c r="I254" s="600" t="s">
        <v>307</v>
      </c>
      <c r="J254" s="263" t="s">
        <v>73</v>
      </c>
      <c r="K254" s="263">
        <v>4</v>
      </c>
      <c r="L254" s="263" t="s">
        <v>9</v>
      </c>
      <c r="M254" s="603" t="s">
        <v>65</v>
      </c>
      <c r="N254" s="605">
        <v>46195</v>
      </c>
      <c r="O254" s="605"/>
      <c r="P254" s="605"/>
      <c r="Q254" s="605"/>
      <c r="R254" s="605"/>
      <c r="S254" s="605"/>
      <c r="T254" s="605"/>
      <c r="U254" s="605">
        <v>46290</v>
      </c>
      <c r="V254" s="605">
        <f>WORKDAY.INTL(U254,INDEX(V$8:V$11,MATCH($L254,$L$8:$L$11,0)),1,IF(V$18="China",'China Holidays'!$A$2:$A$82,'Thai Holidays'!$A$2:$A$63))</f>
        <v>46304</v>
      </c>
      <c r="W254" s="605"/>
      <c r="X254" s="605">
        <v>46311</v>
      </c>
      <c r="Y254" s="605">
        <v>46315</v>
      </c>
      <c r="Z254" s="605">
        <v>46322</v>
      </c>
      <c r="AA254" s="605">
        <v>46336</v>
      </c>
      <c r="AB254" s="605">
        <v>46350</v>
      </c>
      <c r="AC254" s="605">
        <v>46350</v>
      </c>
      <c r="AD254" s="605">
        <v>46350</v>
      </c>
      <c r="AE254" s="605">
        <v>46353</v>
      </c>
      <c r="AF254" s="605">
        <v>46357</v>
      </c>
      <c r="AG254" s="605">
        <v>46364</v>
      </c>
      <c r="AH254" s="605">
        <v>46371</v>
      </c>
      <c r="AI254" s="605">
        <v>46385</v>
      </c>
      <c r="AJ254" s="605">
        <v>46401</v>
      </c>
      <c r="AK254" s="606">
        <v>8.5714285714285694</v>
      </c>
      <c r="AL254" s="607">
        <v>60</v>
      </c>
      <c r="AM254" s="605">
        <f>IF(X254&lt;&gt;"",X254+AL254,X255+AL254)</f>
        <v>46371</v>
      </c>
      <c r="AN254" s="608">
        <f>AR253-7</f>
        <v>46561</v>
      </c>
      <c r="AO254" s="600">
        <f>AN254-AM254</f>
        <v>190</v>
      </c>
      <c r="AP254" s="609"/>
      <c r="AQ254" s="610" t="s">
        <v>66</v>
      </c>
      <c r="AR254" s="611">
        <v>46570</v>
      </c>
      <c r="AS254" s="608"/>
    </row>
    <row r="255" spans="1:45" s="548" customFormat="1" ht="24" customHeight="1">
      <c r="A255" s="615"/>
      <c r="B255" s="616" t="s">
        <v>311</v>
      </c>
      <c r="C255" s="649" t="s">
        <v>312</v>
      </c>
      <c r="D255" s="653"/>
      <c r="E255" s="618"/>
      <c r="F255" s="653"/>
      <c r="G255" s="620"/>
      <c r="H255" s="621"/>
      <c r="I255" s="620" t="s">
        <v>307</v>
      </c>
      <c r="J255" s="616" t="s">
        <v>73</v>
      </c>
      <c r="K255" s="263">
        <v>4</v>
      </c>
      <c r="L255" s="616" t="s">
        <v>9</v>
      </c>
      <c r="M255" s="622" t="s">
        <v>67</v>
      </c>
      <c r="N255" s="623"/>
      <c r="O255" s="623">
        <v>46218</v>
      </c>
      <c r="P255" s="623">
        <v>46248</v>
      </c>
      <c r="Q255" s="623">
        <v>46248</v>
      </c>
      <c r="R255" s="623">
        <f>Q255</f>
        <v>46248</v>
      </c>
      <c r="S255" s="623">
        <f>R255</f>
        <v>46248</v>
      </c>
      <c r="T255" s="623">
        <v>46269</v>
      </c>
      <c r="U255" s="623"/>
      <c r="V255" s="623"/>
      <c r="W255" s="623"/>
      <c r="X255" s="620"/>
      <c r="Y255" s="623"/>
      <c r="Z255" s="623"/>
      <c r="AA255" s="623"/>
      <c r="AB255" s="623"/>
      <c r="AC255" s="623"/>
      <c r="AD255" s="623"/>
      <c r="AE255" s="623"/>
      <c r="AF255" s="623"/>
      <c r="AG255" s="623"/>
      <c r="AH255" s="623"/>
      <c r="AI255" s="623"/>
      <c r="AJ255" s="623"/>
      <c r="AK255" s="624"/>
      <c r="AL255" s="625"/>
      <c r="AM255" s="623"/>
      <c r="AN255" s="626"/>
      <c r="AO255" s="620"/>
      <c r="AP255" s="627"/>
      <c r="AQ255" s="628"/>
      <c r="AR255" s="627"/>
      <c r="AS255" s="626"/>
    </row>
    <row r="256" spans="1:45" s="548" customFormat="1" ht="24" hidden="1" customHeight="1">
      <c r="A256" s="595">
        <v>85</v>
      </c>
      <c r="B256" s="263" t="s">
        <v>313</v>
      </c>
      <c r="C256" s="600" t="s">
        <v>314</v>
      </c>
      <c r="D256" s="650"/>
      <c r="E256" s="598"/>
      <c r="F256" s="651"/>
      <c r="G256" s="600"/>
      <c r="H256" s="601"/>
      <c r="I256" s="600" t="s">
        <v>315</v>
      </c>
      <c r="J256" s="263"/>
      <c r="K256" s="602"/>
      <c r="L256" s="263" t="s">
        <v>9</v>
      </c>
      <c r="M256" s="603" t="s">
        <v>60</v>
      </c>
      <c r="N256" s="604"/>
      <c r="O256" s="605">
        <v>46216</v>
      </c>
      <c r="P256" s="605">
        <v>46230</v>
      </c>
      <c r="Q256" s="605">
        <v>46230</v>
      </c>
      <c r="R256" s="605">
        <v>46230</v>
      </c>
      <c r="S256" s="605">
        <v>46230</v>
      </c>
      <c r="T256" s="605">
        <v>46237</v>
      </c>
      <c r="U256" s="605">
        <v>46247</v>
      </c>
      <c r="V256" s="605">
        <v>46261</v>
      </c>
      <c r="W256" s="605"/>
      <c r="X256" s="605">
        <v>46268</v>
      </c>
      <c r="Y256" s="605">
        <v>46272</v>
      </c>
      <c r="Z256" s="605">
        <v>46279</v>
      </c>
      <c r="AA256" s="605">
        <v>46294</v>
      </c>
      <c r="AB256" s="605">
        <v>46309</v>
      </c>
      <c r="AC256" s="605">
        <v>46339</v>
      </c>
      <c r="AD256" s="605">
        <v>46339</v>
      </c>
      <c r="AE256" s="605">
        <v>46341</v>
      </c>
      <c r="AF256" s="605">
        <v>46344</v>
      </c>
      <c r="AG256" s="605">
        <v>46351</v>
      </c>
      <c r="AH256" s="605">
        <v>46358</v>
      </c>
      <c r="AI256" s="605">
        <v>46372</v>
      </c>
      <c r="AJ256" s="605">
        <v>46388</v>
      </c>
      <c r="AK256" s="630">
        <v>12.8571428571429</v>
      </c>
      <c r="AL256" s="607">
        <f>AK256*7</f>
        <v>90.000000000000298</v>
      </c>
      <c r="AM256" s="605">
        <f>X256+AL256</f>
        <v>46358</v>
      </c>
      <c r="AN256" s="608">
        <f>AN257</f>
        <v>46426</v>
      </c>
      <c r="AO256" s="600">
        <f>AN257-AM256</f>
        <v>68</v>
      </c>
      <c r="AP256" s="609"/>
      <c r="AQ256" s="610" t="s">
        <v>62</v>
      </c>
      <c r="AR256" s="611">
        <v>46433</v>
      </c>
      <c r="AS256" s="608"/>
    </row>
    <row r="257" spans="1:45" s="548" customFormat="1" ht="24" customHeight="1">
      <c r="A257" s="595"/>
      <c r="B257" s="263" t="s">
        <v>313</v>
      </c>
      <c r="C257" s="596" t="s">
        <v>314</v>
      </c>
      <c r="D257" s="652"/>
      <c r="E257" s="598"/>
      <c r="F257" s="652"/>
      <c r="G257" s="600"/>
      <c r="H257" s="601" t="s">
        <v>316</v>
      </c>
      <c r="I257" s="600" t="s">
        <v>315</v>
      </c>
      <c r="J257" s="263" t="s">
        <v>73</v>
      </c>
      <c r="K257" s="263">
        <v>3</v>
      </c>
      <c r="L257" s="263" t="s">
        <v>9</v>
      </c>
      <c r="M257" s="603" t="s">
        <v>65</v>
      </c>
      <c r="N257" s="605">
        <v>46188</v>
      </c>
      <c r="O257" s="605"/>
      <c r="P257" s="605"/>
      <c r="Q257" s="605"/>
      <c r="R257" s="605"/>
      <c r="S257" s="605"/>
      <c r="T257" s="605"/>
      <c r="U257" s="605"/>
      <c r="V257" s="605">
        <f>WORKDAY.INTL(U258,INDEX(V$8:V$11,MATCH($L257,$L$8:$L$11,0)),1,IF(V$18="China",'China Holidays'!$A$2:$A$82,'Thai Holidays'!$A$2:$A$63))</f>
        <v>46295</v>
      </c>
      <c r="W257" s="605"/>
      <c r="X257" s="605">
        <v>46311</v>
      </c>
      <c r="Y257" s="605">
        <v>46315</v>
      </c>
      <c r="Z257" s="605">
        <v>46322</v>
      </c>
      <c r="AA257" s="605">
        <v>46336</v>
      </c>
      <c r="AB257" s="605">
        <v>46350</v>
      </c>
      <c r="AC257" s="605">
        <v>46380</v>
      </c>
      <c r="AD257" s="605">
        <v>46380</v>
      </c>
      <c r="AE257" s="605">
        <v>46382</v>
      </c>
      <c r="AF257" s="605">
        <v>46387</v>
      </c>
      <c r="AG257" s="605">
        <v>46394</v>
      </c>
      <c r="AH257" s="605">
        <v>46401</v>
      </c>
      <c r="AI257" s="605">
        <v>46415</v>
      </c>
      <c r="AJ257" s="605">
        <v>46431</v>
      </c>
      <c r="AK257" s="606">
        <v>12.8571428571429</v>
      </c>
      <c r="AL257" s="607">
        <v>90.000000000000298</v>
      </c>
      <c r="AM257" s="605">
        <f>IF(X257&lt;&gt;"",X257+AL257,X258+AL257)</f>
        <v>46401</v>
      </c>
      <c r="AN257" s="608">
        <f>AR256-7</f>
        <v>46426</v>
      </c>
      <c r="AO257" s="600">
        <f>AN257-AM257</f>
        <v>25</v>
      </c>
      <c r="AP257" s="609"/>
      <c r="AQ257" s="610" t="s">
        <v>66</v>
      </c>
      <c r="AR257" s="611">
        <v>46451</v>
      </c>
      <c r="AS257" s="608"/>
    </row>
    <row r="258" spans="1:45" s="548" customFormat="1" ht="24" customHeight="1">
      <c r="A258" s="615"/>
      <c r="B258" s="616" t="s">
        <v>313</v>
      </c>
      <c r="C258" s="649" t="s">
        <v>314</v>
      </c>
      <c r="D258" s="653"/>
      <c r="E258" s="618"/>
      <c r="F258" s="653"/>
      <c r="G258" s="620"/>
      <c r="H258" s="621"/>
      <c r="I258" s="620" t="s">
        <v>315</v>
      </c>
      <c r="J258" s="616" t="s">
        <v>73</v>
      </c>
      <c r="K258" s="263">
        <v>3</v>
      </c>
      <c r="L258" s="616" t="s">
        <v>9</v>
      </c>
      <c r="M258" s="622" t="s">
        <v>67</v>
      </c>
      <c r="N258" s="623"/>
      <c r="O258" s="623">
        <v>46210</v>
      </c>
      <c r="P258" s="623">
        <v>46220</v>
      </c>
      <c r="Q258" s="623">
        <v>46220</v>
      </c>
      <c r="R258" s="623">
        <f>Q258</f>
        <v>46220</v>
      </c>
      <c r="S258" s="623">
        <f t="shared" ref="S258" si="8">IF(S$207&lt;&gt;"",S$207,"")</f>
        <v>46230</v>
      </c>
      <c r="T258" s="623">
        <v>46277</v>
      </c>
      <c r="U258" s="623">
        <v>46281</v>
      </c>
      <c r="V258" s="623"/>
      <c r="W258" s="623"/>
      <c r="X258" s="620"/>
      <c r="Y258" s="623"/>
      <c r="Z258" s="623"/>
      <c r="AA258" s="623"/>
      <c r="AB258" s="623"/>
      <c r="AC258" s="623"/>
      <c r="AD258" s="623"/>
      <c r="AE258" s="623"/>
      <c r="AF258" s="623"/>
      <c r="AG258" s="623"/>
      <c r="AH258" s="623"/>
      <c r="AI258" s="623"/>
      <c r="AJ258" s="623"/>
      <c r="AK258" s="624"/>
      <c r="AL258" s="625"/>
      <c r="AM258" s="623"/>
      <c r="AN258" s="626"/>
      <c r="AO258" s="620"/>
      <c r="AP258" s="627"/>
      <c r="AQ258" s="628"/>
      <c r="AR258" s="627"/>
      <c r="AS258" s="626"/>
    </row>
    <row r="259" spans="1:45" s="548" customFormat="1" ht="24" hidden="1" customHeight="1">
      <c r="A259" s="595">
        <v>86</v>
      </c>
      <c r="B259" s="263" t="s">
        <v>317</v>
      </c>
      <c r="C259" s="263" t="s">
        <v>318</v>
      </c>
      <c r="D259" s="650"/>
      <c r="E259" s="598"/>
      <c r="F259" s="651"/>
      <c r="G259" s="600"/>
      <c r="H259" s="601"/>
      <c r="I259" s="600" t="s">
        <v>315</v>
      </c>
      <c r="J259" s="263"/>
      <c r="K259" s="602"/>
      <c r="L259" s="263" t="s">
        <v>9</v>
      </c>
      <c r="M259" s="603" t="s">
        <v>60</v>
      </c>
      <c r="N259" s="604"/>
      <c r="O259" s="605">
        <v>46216</v>
      </c>
      <c r="P259" s="605">
        <v>46230</v>
      </c>
      <c r="Q259" s="605">
        <v>46230</v>
      </c>
      <c r="R259" s="605">
        <v>46230</v>
      </c>
      <c r="S259" s="605">
        <v>46230</v>
      </c>
      <c r="T259" s="605">
        <v>46237</v>
      </c>
      <c r="U259" s="605">
        <v>46247</v>
      </c>
      <c r="V259" s="605">
        <v>46261</v>
      </c>
      <c r="W259" s="605"/>
      <c r="X259" s="605">
        <v>46268</v>
      </c>
      <c r="Y259" s="605">
        <v>46272</v>
      </c>
      <c r="Z259" s="605">
        <v>46279</v>
      </c>
      <c r="AA259" s="605">
        <v>46294</v>
      </c>
      <c r="AB259" s="605">
        <v>46309</v>
      </c>
      <c r="AC259" s="605">
        <v>46339</v>
      </c>
      <c r="AD259" s="605">
        <v>46339</v>
      </c>
      <c r="AE259" s="605">
        <v>46341</v>
      </c>
      <c r="AF259" s="605">
        <v>46344</v>
      </c>
      <c r="AG259" s="605">
        <v>46351</v>
      </c>
      <c r="AH259" s="605">
        <v>46358</v>
      </c>
      <c r="AI259" s="605">
        <v>46372</v>
      </c>
      <c r="AJ259" s="605">
        <v>46388</v>
      </c>
      <c r="AK259" s="630">
        <v>12.8571428571429</v>
      </c>
      <c r="AL259" s="607">
        <f>AK259*7</f>
        <v>90.000000000000298</v>
      </c>
      <c r="AM259" s="605">
        <f>X259+AL259</f>
        <v>46358</v>
      </c>
      <c r="AN259" s="608">
        <f>AN260</f>
        <v>46426</v>
      </c>
      <c r="AO259" s="600">
        <f>AN260-AM259</f>
        <v>68</v>
      </c>
      <c r="AP259" s="609"/>
      <c r="AQ259" s="610" t="s">
        <v>62</v>
      </c>
      <c r="AR259" s="611">
        <v>46433</v>
      </c>
      <c r="AS259" s="608"/>
    </row>
    <row r="260" spans="1:45" s="548" customFormat="1" ht="24" customHeight="1">
      <c r="A260" s="595"/>
      <c r="B260" s="263" t="s">
        <v>317</v>
      </c>
      <c r="C260" s="596" t="s">
        <v>318</v>
      </c>
      <c r="D260" s="652"/>
      <c r="E260" s="598"/>
      <c r="F260" s="652"/>
      <c r="G260" s="600"/>
      <c r="H260" s="601" t="s">
        <v>316</v>
      </c>
      <c r="I260" s="600" t="s">
        <v>315</v>
      </c>
      <c r="J260" s="263" t="s">
        <v>64</v>
      </c>
      <c r="K260" s="263">
        <v>2</v>
      </c>
      <c r="L260" s="263" t="s">
        <v>9</v>
      </c>
      <c r="M260" s="603" t="s">
        <v>65</v>
      </c>
      <c r="N260" s="605">
        <v>46198</v>
      </c>
      <c r="O260" s="605"/>
      <c r="P260" s="605"/>
      <c r="Q260" s="605"/>
      <c r="R260" s="605"/>
      <c r="S260" s="605"/>
      <c r="T260" s="605"/>
      <c r="U260" s="605">
        <v>46290</v>
      </c>
      <c r="V260" s="605">
        <f>WORKDAY.INTL(U260,INDEX(V$8:V$11,MATCH($L260,$L$8:$L$11,0)),1,IF(V$18="China",'China Holidays'!$A$2:$A$82,'Thai Holidays'!$A$2:$A$63))</f>
        <v>46304</v>
      </c>
      <c r="W260" s="605"/>
      <c r="X260" s="605">
        <v>46308</v>
      </c>
      <c r="Y260" s="605">
        <v>46310</v>
      </c>
      <c r="Z260" s="605">
        <v>46317</v>
      </c>
      <c r="AA260" s="605">
        <v>46331</v>
      </c>
      <c r="AB260" s="605">
        <v>46345</v>
      </c>
      <c r="AC260" s="605">
        <v>46375</v>
      </c>
      <c r="AD260" s="605">
        <v>46375</v>
      </c>
      <c r="AE260" s="605">
        <v>46377</v>
      </c>
      <c r="AF260" s="605">
        <v>46384</v>
      </c>
      <c r="AG260" s="605">
        <v>46391</v>
      </c>
      <c r="AH260" s="605">
        <v>46398</v>
      </c>
      <c r="AI260" s="605">
        <v>46412</v>
      </c>
      <c r="AJ260" s="605">
        <v>46428</v>
      </c>
      <c r="AK260" s="606">
        <v>26</v>
      </c>
      <c r="AL260" s="607">
        <v>90.000000000000298</v>
      </c>
      <c r="AM260" s="605">
        <f>IF(X260&lt;&gt;"",X260+AL260,X261+AL260)</f>
        <v>46398</v>
      </c>
      <c r="AN260" s="608">
        <f>AR259-7</f>
        <v>46426</v>
      </c>
      <c r="AO260" s="600">
        <f>AN260-AM260</f>
        <v>28</v>
      </c>
      <c r="AP260" s="609"/>
      <c r="AQ260" s="610" t="s">
        <v>66</v>
      </c>
      <c r="AR260" s="611">
        <v>46451</v>
      </c>
      <c r="AS260" s="608"/>
    </row>
    <row r="261" spans="1:45" s="548" customFormat="1" ht="24" customHeight="1">
      <c r="A261" s="615"/>
      <c r="B261" s="616" t="s">
        <v>317</v>
      </c>
      <c r="C261" s="649" t="s">
        <v>318</v>
      </c>
      <c r="D261" s="653"/>
      <c r="E261" s="618"/>
      <c r="F261" s="653"/>
      <c r="G261" s="620"/>
      <c r="H261" s="621"/>
      <c r="I261" s="620" t="s">
        <v>315</v>
      </c>
      <c r="J261" s="616" t="s">
        <v>64</v>
      </c>
      <c r="K261" s="263">
        <v>2</v>
      </c>
      <c r="L261" s="616" t="s">
        <v>9</v>
      </c>
      <c r="M261" s="622" t="s">
        <v>67</v>
      </c>
      <c r="N261" s="623"/>
      <c r="O261" s="623">
        <v>46210</v>
      </c>
      <c r="P261" s="623">
        <v>46222</v>
      </c>
      <c r="Q261" s="623">
        <v>46222</v>
      </c>
      <c r="R261" s="623">
        <f>Q261</f>
        <v>46222</v>
      </c>
      <c r="S261" s="623">
        <f t="shared" ref="S261" si="9">IF(S$207&lt;&gt;"",S$207,"")</f>
        <v>46230</v>
      </c>
      <c r="T261" s="623">
        <v>46244</v>
      </c>
      <c r="U261" s="655"/>
      <c r="V261" s="623"/>
      <c r="W261" s="623"/>
      <c r="X261" s="620"/>
      <c r="Y261" s="623"/>
      <c r="Z261" s="623"/>
      <c r="AA261" s="623"/>
      <c r="AB261" s="623"/>
      <c r="AC261" s="623"/>
      <c r="AD261" s="623"/>
      <c r="AE261" s="623"/>
      <c r="AF261" s="623"/>
      <c r="AG261" s="623"/>
      <c r="AH261" s="623"/>
      <c r="AI261" s="623"/>
      <c r="AJ261" s="623"/>
      <c r="AK261" s="624"/>
      <c r="AL261" s="625"/>
      <c r="AM261" s="623"/>
      <c r="AN261" s="626"/>
      <c r="AO261" s="620"/>
      <c r="AP261" s="627"/>
      <c r="AQ261" s="628"/>
      <c r="AR261" s="627"/>
      <c r="AS261" s="626"/>
    </row>
    <row r="262" spans="1:45" s="548" customFormat="1" ht="24" hidden="1" customHeight="1">
      <c r="A262" s="595">
        <v>87</v>
      </c>
      <c r="B262" s="263" t="s">
        <v>319</v>
      </c>
      <c r="C262" s="263" t="s">
        <v>320</v>
      </c>
      <c r="D262" s="650"/>
      <c r="E262" s="598"/>
      <c r="F262" s="651"/>
      <c r="G262" s="600"/>
      <c r="H262" s="601"/>
      <c r="I262" s="600" t="s">
        <v>315</v>
      </c>
      <c r="J262" s="263"/>
      <c r="K262" s="602"/>
      <c r="L262" s="263" t="s">
        <v>9</v>
      </c>
      <c r="M262" s="603" t="s">
        <v>60</v>
      </c>
      <c r="N262" s="604"/>
      <c r="O262" s="605">
        <v>46216</v>
      </c>
      <c r="P262" s="605">
        <v>46230</v>
      </c>
      <c r="Q262" s="605">
        <v>46230</v>
      </c>
      <c r="R262" s="605">
        <v>46230</v>
      </c>
      <c r="S262" s="605">
        <v>46230</v>
      </c>
      <c r="T262" s="605">
        <v>46237</v>
      </c>
      <c r="U262" s="605">
        <v>46247</v>
      </c>
      <c r="V262" s="605">
        <v>46261</v>
      </c>
      <c r="W262" s="605"/>
      <c r="X262" s="605">
        <v>46268</v>
      </c>
      <c r="Y262" s="605">
        <v>46272</v>
      </c>
      <c r="Z262" s="605">
        <v>46279</v>
      </c>
      <c r="AA262" s="605">
        <v>46294</v>
      </c>
      <c r="AB262" s="605">
        <v>46309</v>
      </c>
      <c r="AC262" s="605">
        <v>46339</v>
      </c>
      <c r="AD262" s="605">
        <v>46339</v>
      </c>
      <c r="AE262" s="605">
        <v>46341</v>
      </c>
      <c r="AF262" s="605">
        <v>46344</v>
      </c>
      <c r="AG262" s="605">
        <v>46351</v>
      </c>
      <c r="AH262" s="605">
        <v>46358</v>
      </c>
      <c r="AI262" s="605">
        <v>46372</v>
      </c>
      <c r="AJ262" s="605">
        <v>46388</v>
      </c>
      <c r="AK262" s="630">
        <v>12.8571428571429</v>
      </c>
      <c r="AL262" s="607">
        <f>AK262*7</f>
        <v>90.000000000000298</v>
      </c>
      <c r="AM262" s="605">
        <f>X262+AL262</f>
        <v>46358</v>
      </c>
      <c r="AN262" s="608">
        <f>AN263</f>
        <v>46426</v>
      </c>
      <c r="AO262" s="600">
        <f>AN263-AM262</f>
        <v>68</v>
      </c>
      <c r="AP262" s="609"/>
      <c r="AQ262" s="610" t="s">
        <v>62</v>
      </c>
      <c r="AR262" s="611">
        <v>46433</v>
      </c>
      <c r="AS262" s="608"/>
    </row>
    <row r="263" spans="1:45" s="548" customFormat="1" ht="24" customHeight="1">
      <c r="A263" s="595"/>
      <c r="B263" s="263" t="s">
        <v>319</v>
      </c>
      <c r="C263" s="596" t="s">
        <v>320</v>
      </c>
      <c r="D263" s="652"/>
      <c r="E263" s="598"/>
      <c r="F263" s="652"/>
      <c r="G263" s="600"/>
      <c r="H263" s="601" t="s">
        <v>316</v>
      </c>
      <c r="I263" s="600" t="s">
        <v>315</v>
      </c>
      <c r="J263" s="263" t="s">
        <v>73</v>
      </c>
      <c r="K263" s="263">
        <v>2</v>
      </c>
      <c r="L263" s="263" t="s">
        <v>9</v>
      </c>
      <c r="M263" s="603" t="s">
        <v>65</v>
      </c>
      <c r="N263" s="605">
        <v>46198</v>
      </c>
      <c r="O263" s="605"/>
      <c r="P263" s="605"/>
      <c r="Q263" s="605"/>
      <c r="R263" s="605"/>
      <c r="S263" s="605"/>
      <c r="T263" s="605"/>
      <c r="U263" s="605"/>
      <c r="V263" s="605">
        <f>WORKDAY.INTL(U264,INDEX(V$8:V$11,MATCH($L263,$L$8:$L$11,0)),1,IF(V$18="China",'China Holidays'!$A$2:$A$82,'Thai Holidays'!$A$2:$A$63))</f>
        <v>46295</v>
      </c>
      <c r="W263" s="605"/>
      <c r="X263" s="605">
        <v>46308</v>
      </c>
      <c r="Y263" s="605">
        <v>46310</v>
      </c>
      <c r="Z263" s="605">
        <v>46317</v>
      </c>
      <c r="AA263" s="605">
        <v>46331</v>
      </c>
      <c r="AB263" s="605">
        <v>46345</v>
      </c>
      <c r="AC263" s="605">
        <v>46375</v>
      </c>
      <c r="AD263" s="605">
        <v>46375</v>
      </c>
      <c r="AE263" s="605">
        <v>46377</v>
      </c>
      <c r="AF263" s="605">
        <v>46384</v>
      </c>
      <c r="AG263" s="605">
        <v>46391</v>
      </c>
      <c r="AH263" s="605">
        <v>46398</v>
      </c>
      <c r="AI263" s="605">
        <v>46412</v>
      </c>
      <c r="AJ263" s="605">
        <v>46428</v>
      </c>
      <c r="AK263" s="606">
        <v>26</v>
      </c>
      <c r="AL263" s="607">
        <v>90.000000000000298</v>
      </c>
      <c r="AM263" s="605">
        <f>IF(X263&lt;&gt;"",X263+AL263,X264+AL263)</f>
        <v>46398</v>
      </c>
      <c r="AN263" s="608">
        <f>AR262-7</f>
        <v>46426</v>
      </c>
      <c r="AO263" s="600">
        <f>AN263-AM263</f>
        <v>28</v>
      </c>
      <c r="AP263" s="609"/>
      <c r="AQ263" s="610" t="s">
        <v>66</v>
      </c>
      <c r="AR263" s="611">
        <v>46451</v>
      </c>
      <c r="AS263" s="608"/>
    </row>
    <row r="264" spans="1:45" s="548" customFormat="1" ht="24" customHeight="1">
      <c r="A264" s="615"/>
      <c r="B264" s="616" t="s">
        <v>319</v>
      </c>
      <c r="C264" s="649" t="s">
        <v>320</v>
      </c>
      <c r="D264" s="653"/>
      <c r="E264" s="618"/>
      <c r="F264" s="653"/>
      <c r="G264" s="620"/>
      <c r="H264" s="710"/>
      <c r="I264" s="620" t="s">
        <v>315</v>
      </c>
      <c r="J264" s="616" t="s">
        <v>73</v>
      </c>
      <c r="K264" s="263">
        <v>2</v>
      </c>
      <c r="L264" s="616" t="s">
        <v>9</v>
      </c>
      <c r="M264" s="622" t="s">
        <v>67</v>
      </c>
      <c r="N264" s="623"/>
      <c r="O264" s="623">
        <v>46210</v>
      </c>
      <c r="P264" s="623">
        <v>46222</v>
      </c>
      <c r="Q264" s="623">
        <v>46222</v>
      </c>
      <c r="R264" s="623">
        <f>Q264</f>
        <v>46222</v>
      </c>
      <c r="S264" s="623">
        <f t="shared" ref="S264" si="10">IF(S$207&lt;&gt;"",S$207,"")</f>
        <v>46230</v>
      </c>
      <c r="T264" s="623">
        <v>46244</v>
      </c>
      <c r="U264" s="623">
        <v>46281</v>
      </c>
      <c r="V264" s="623"/>
      <c r="W264" s="623"/>
      <c r="X264" s="620"/>
      <c r="Y264" s="623"/>
      <c r="Z264" s="623"/>
      <c r="AA264" s="623"/>
      <c r="AB264" s="623"/>
      <c r="AC264" s="623"/>
      <c r="AD264" s="623"/>
      <c r="AE264" s="623"/>
      <c r="AF264" s="623"/>
      <c r="AG264" s="623"/>
      <c r="AH264" s="623"/>
      <c r="AI264" s="623"/>
      <c r="AJ264" s="623"/>
      <c r="AK264" s="624"/>
      <c r="AL264" s="625"/>
      <c r="AM264" s="623"/>
      <c r="AN264" s="626"/>
      <c r="AO264" s="620"/>
      <c r="AP264" s="627"/>
      <c r="AQ264" s="628"/>
      <c r="AR264" s="627"/>
      <c r="AS264" s="626"/>
    </row>
    <row r="265" spans="1:45" s="548" customFormat="1" ht="24" hidden="1" customHeight="1">
      <c r="A265" s="595">
        <v>88</v>
      </c>
      <c r="B265" s="263" t="s">
        <v>321</v>
      </c>
      <c r="C265" s="263" t="s">
        <v>322</v>
      </c>
      <c r="D265" s="650"/>
      <c r="E265" s="598"/>
      <c r="F265" s="651"/>
      <c r="G265" s="600"/>
      <c r="H265" s="601"/>
      <c r="I265" s="600" t="s">
        <v>315</v>
      </c>
      <c r="J265" s="263"/>
      <c r="K265" s="602"/>
      <c r="L265" s="263" t="s">
        <v>9</v>
      </c>
      <c r="M265" s="603" t="s">
        <v>60</v>
      </c>
      <c r="N265" s="604"/>
      <c r="O265" s="605">
        <v>46216</v>
      </c>
      <c r="P265" s="605">
        <v>46230</v>
      </c>
      <c r="Q265" s="605">
        <v>46230</v>
      </c>
      <c r="R265" s="605">
        <v>46230</v>
      </c>
      <c r="S265" s="605">
        <v>46230</v>
      </c>
      <c r="T265" s="605">
        <v>46237</v>
      </c>
      <c r="U265" s="605">
        <v>46247</v>
      </c>
      <c r="V265" s="605">
        <v>46261</v>
      </c>
      <c r="W265" s="605"/>
      <c r="X265" s="605">
        <v>46268</v>
      </c>
      <c r="Y265" s="605">
        <v>46272</v>
      </c>
      <c r="Z265" s="605">
        <v>46279</v>
      </c>
      <c r="AA265" s="605">
        <v>46294</v>
      </c>
      <c r="AB265" s="605">
        <v>46309</v>
      </c>
      <c r="AC265" s="605">
        <v>46339</v>
      </c>
      <c r="AD265" s="605">
        <v>46339</v>
      </c>
      <c r="AE265" s="605">
        <v>46341</v>
      </c>
      <c r="AF265" s="605">
        <v>46344</v>
      </c>
      <c r="AG265" s="605">
        <v>46351</v>
      </c>
      <c r="AH265" s="605">
        <v>46388</v>
      </c>
      <c r="AI265" s="605">
        <v>46402</v>
      </c>
      <c r="AJ265" s="605">
        <v>46418</v>
      </c>
      <c r="AK265" s="630">
        <v>17.1428571428571</v>
      </c>
      <c r="AL265" s="607">
        <f>AK265*7</f>
        <v>119.9999999999997</v>
      </c>
      <c r="AM265" s="605">
        <f>X265+AL265</f>
        <v>46388</v>
      </c>
      <c r="AN265" s="608">
        <f>AN266</f>
        <v>46430</v>
      </c>
      <c r="AO265" s="600">
        <f>AN266-AM265</f>
        <v>42</v>
      </c>
      <c r="AP265" s="609"/>
      <c r="AQ265" s="610" t="s">
        <v>62</v>
      </c>
      <c r="AR265" s="611">
        <v>46433</v>
      </c>
      <c r="AS265" s="608"/>
    </row>
    <row r="266" spans="1:45" s="548" customFormat="1" ht="24" customHeight="1">
      <c r="A266" s="595"/>
      <c r="B266" s="263" t="s">
        <v>321</v>
      </c>
      <c r="C266" s="596" t="s">
        <v>322</v>
      </c>
      <c r="D266" s="652"/>
      <c r="E266" s="598"/>
      <c r="F266" s="652"/>
      <c r="G266" s="600"/>
      <c r="H266" s="601" t="s">
        <v>316</v>
      </c>
      <c r="I266" s="600" t="s">
        <v>315</v>
      </c>
      <c r="J266" s="263" t="s">
        <v>73</v>
      </c>
      <c r="K266" s="263">
        <v>2</v>
      </c>
      <c r="L266" s="263" t="s">
        <v>9</v>
      </c>
      <c r="M266" s="603" t="s">
        <v>65</v>
      </c>
      <c r="N266" s="605">
        <v>46198</v>
      </c>
      <c r="O266" s="605"/>
      <c r="P266" s="605"/>
      <c r="Q266" s="605"/>
      <c r="R266" s="605"/>
      <c r="S266" s="605"/>
      <c r="T266" s="605"/>
      <c r="U266" s="605">
        <v>46290</v>
      </c>
      <c r="V266" s="605">
        <f>WORKDAY.INTL(U266,INDEX(V$8:V$11,MATCH($L266,$L$8:$L$11,0)),1,IF(V$18="China",'China Holidays'!$A$2:$A$82,'Thai Holidays'!$A$2:$A$63))</f>
        <v>46304</v>
      </c>
      <c r="W266" s="605"/>
      <c r="X266" s="605">
        <v>46308</v>
      </c>
      <c r="Y266" s="605">
        <v>46310</v>
      </c>
      <c r="Z266" s="605">
        <v>46317</v>
      </c>
      <c r="AA266" s="605">
        <v>46331</v>
      </c>
      <c r="AB266" s="605">
        <v>46345</v>
      </c>
      <c r="AC266" s="605">
        <v>46375</v>
      </c>
      <c r="AD266" s="605">
        <v>46375</v>
      </c>
      <c r="AE266" s="605">
        <v>46377</v>
      </c>
      <c r="AF266" s="605">
        <v>46414</v>
      </c>
      <c r="AG266" s="605">
        <v>46421</v>
      </c>
      <c r="AH266" s="605">
        <v>46428</v>
      </c>
      <c r="AI266" s="605">
        <v>46442</v>
      </c>
      <c r="AJ266" s="605">
        <v>46458</v>
      </c>
      <c r="AK266" s="606">
        <v>26</v>
      </c>
      <c r="AL266" s="607">
        <v>120</v>
      </c>
      <c r="AM266" s="605">
        <f>IF(X266&lt;&gt;"",X266+AL266,X267+AL266)</f>
        <v>46428</v>
      </c>
      <c r="AN266" s="608">
        <f>AR265-3</f>
        <v>46430</v>
      </c>
      <c r="AO266" s="600">
        <f>AN266-AM266</f>
        <v>2</v>
      </c>
      <c r="AP266" s="609"/>
      <c r="AQ266" s="610" t="s">
        <v>66</v>
      </c>
      <c r="AR266" s="611">
        <v>46451</v>
      </c>
      <c r="AS266" s="608"/>
    </row>
    <row r="267" spans="1:45" s="548" customFormat="1" ht="24" customHeight="1">
      <c r="A267" s="615"/>
      <c r="B267" s="616" t="s">
        <v>321</v>
      </c>
      <c r="C267" s="649" t="s">
        <v>322</v>
      </c>
      <c r="D267" s="653"/>
      <c r="E267" s="618"/>
      <c r="F267" s="653"/>
      <c r="G267" s="620"/>
      <c r="H267" s="621"/>
      <c r="I267" s="620" t="s">
        <v>315</v>
      </c>
      <c r="J267" s="616" t="s">
        <v>73</v>
      </c>
      <c r="K267" s="263">
        <v>2</v>
      </c>
      <c r="L267" s="616" t="s">
        <v>9</v>
      </c>
      <c r="M267" s="622" t="s">
        <v>67</v>
      </c>
      <c r="N267" s="623"/>
      <c r="O267" s="623">
        <v>46210</v>
      </c>
      <c r="P267" s="623">
        <v>46222</v>
      </c>
      <c r="Q267" s="623">
        <v>46222</v>
      </c>
      <c r="R267" s="623">
        <f>Q267</f>
        <v>46222</v>
      </c>
      <c r="S267" s="623">
        <f t="shared" ref="S267" si="11">IF(S$207&lt;&gt;"",S$207,"")</f>
        <v>46230</v>
      </c>
      <c r="T267" s="623">
        <v>46244</v>
      </c>
      <c r="U267" s="623"/>
      <c r="V267" s="623"/>
      <c r="W267" s="623"/>
      <c r="X267" s="620"/>
      <c r="Y267" s="623"/>
      <c r="Z267" s="623"/>
      <c r="AA267" s="623"/>
      <c r="AB267" s="623"/>
      <c r="AC267" s="623"/>
      <c r="AD267" s="623"/>
      <c r="AE267" s="623"/>
      <c r="AF267" s="623"/>
      <c r="AG267" s="623"/>
      <c r="AH267" s="623"/>
      <c r="AI267" s="623"/>
      <c r="AJ267" s="623"/>
      <c r="AK267" s="624"/>
      <c r="AL267" s="625"/>
      <c r="AM267" s="623"/>
      <c r="AN267" s="626"/>
      <c r="AO267" s="620"/>
      <c r="AP267" s="627"/>
      <c r="AQ267" s="628"/>
      <c r="AR267" s="621"/>
      <c r="AS267" s="626"/>
    </row>
    <row r="268" spans="1:45" s="548" customFormat="1" ht="24" hidden="1" customHeight="1">
      <c r="A268" s="595">
        <v>89</v>
      </c>
      <c r="B268" s="263" t="s">
        <v>323</v>
      </c>
      <c r="C268" s="263" t="s">
        <v>324</v>
      </c>
      <c r="D268" s="650"/>
      <c r="E268" s="598"/>
      <c r="F268" s="651"/>
      <c r="G268" s="600"/>
      <c r="H268" s="601"/>
      <c r="I268" s="600" t="s">
        <v>207</v>
      </c>
      <c r="J268" s="263"/>
      <c r="K268" s="602"/>
      <c r="L268" s="263" t="s">
        <v>9</v>
      </c>
      <c r="M268" s="603" t="s">
        <v>60</v>
      </c>
      <c r="N268" s="604"/>
      <c r="O268" s="605">
        <v>46274</v>
      </c>
      <c r="P268" s="605">
        <v>46288</v>
      </c>
      <c r="Q268" s="605">
        <v>46288</v>
      </c>
      <c r="R268" s="605">
        <v>46288</v>
      </c>
      <c r="S268" s="605">
        <v>46288</v>
      </c>
      <c r="T268" s="605">
        <v>46303</v>
      </c>
      <c r="U268" s="605">
        <v>46315</v>
      </c>
      <c r="V268" s="605">
        <v>46330</v>
      </c>
      <c r="W268" s="605"/>
      <c r="X268" s="605">
        <v>46337</v>
      </c>
      <c r="Y268" s="605">
        <v>46339</v>
      </c>
      <c r="Z268" s="605">
        <v>46346</v>
      </c>
      <c r="AA268" s="605">
        <v>46360</v>
      </c>
      <c r="AB268" s="605">
        <v>46377</v>
      </c>
      <c r="AC268" s="605">
        <v>46387</v>
      </c>
      <c r="AD268" s="605">
        <v>46387</v>
      </c>
      <c r="AE268" s="605">
        <v>46389</v>
      </c>
      <c r="AF268" s="605">
        <v>46423</v>
      </c>
      <c r="AG268" s="605">
        <v>46430</v>
      </c>
      <c r="AH268" s="605">
        <v>46437</v>
      </c>
      <c r="AI268" s="605">
        <v>46451</v>
      </c>
      <c r="AJ268" s="605">
        <v>46467</v>
      </c>
      <c r="AK268" s="630">
        <v>14.285714285714301</v>
      </c>
      <c r="AL268" s="607">
        <f>AK268*7</f>
        <v>100.0000000000001</v>
      </c>
      <c r="AM268" s="605">
        <f>X268+AL268</f>
        <v>46437</v>
      </c>
      <c r="AN268" s="608">
        <f>AN269</f>
        <v>46434</v>
      </c>
      <c r="AO268" s="600">
        <f>AN269-AM268</f>
        <v>-3</v>
      </c>
      <c r="AP268" s="609"/>
      <c r="AQ268" s="610" t="s">
        <v>62</v>
      </c>
      <c r="AR268" s="611">
        <v>46441</v>
      </c>
      <c r="AS268" s="608"/>
    </row>
    <row r="269" spans="1:45" s="548" customFormat="1" ht="24" customHeight="1">
      <c r="A269" s="595"/>
      <c r="B269" s="263" t="s">
        <v>323</v>
      </c>
      <c r="C269" s="596" t="s">
        <v>324</v>
      </c>
      <c r="D269" s="652"/>
      <c r="E269" s="598"/>
      <c r="F269" s="652"/>
      <c r="G269" s="600"/>
      <c r="H269" s="601" t="s">
        <v>325</v>
      </c>
      <c r="I269" s="600" t="s">
        <v>207</v>
      </c>
      <c r="J269" s="263" t="s">
        <v>73</v>
      </c>
      <c r="K269" s="263">
        <v>3</v>
      </c>
      <c r="L269" s="263" t="s">
        <v>9</v>
      </c>
      <c r="M269" s="603" t="s">
        <v>65</v>
      </c>
      <c r="N269" s="605">
        <v>46261</v>
      </c>
      <c r="O269" s="605"/>
      <c r="P269" s="605"/>
      <c r="Q269" s="605"/>
      <c r="R269" s="605"/>
      <c r="S269" s="605"/>
      <c r="T269" s="605">
        <f>S270+3</f>
        <v>46233</v>
      </c>
      <c r="U269" s="605">
        <v>46295</v>
      </c>
      <c r="V269" s="605">
        <f>WORKDAY.INTL(U269,INDEX(V$8:V$11,MATCH($L269,$L$8:$L$11,0)),1,IF(V$18="China",'China Holidays'!$A$2:$A$82,'Thai Holidays'!$A$2:$A$63))</f>
        <v>46310</v>
      </c>
      <c r="W269" s="605"/>
      <c r="X269" s="605">
        <v>46317</v>
      </c>
      <c r="Y269" s="605">
        <v>46321</v>
      </c>
      <c r="Z269" s="605">
        <v>46328</v>
      </c>
      <c r="AA269" s="605">
        <v>46342</v>
      </c>
      <c r="AB269" s="605">
        <v>46356</v>
      </c>
      <c r="AC269" s="605">
        <v>46366</v>
      </c>
      <c r="AD269" s="605">
        <v>46366</v>
      </c>
      <c r="AE269" s="605">
        <v>46368</v>
      </c>
      <c r="AF269" s="605">
        <v>46403</v>
      </c>
      <c r="AG269" s="605">
        <v>46410</v>
      </c>
      <c r="AH269" s="605">
        <v>46417</v>
      </c>
      <c r="AI269" s="605">
        <v>46431</v>
      </c>
      <c r="AJ269" s="605">
        <v>46447</v>
      </c>
      <c r="AK269" s="606">
        <v>14.285714285714301</v>
      </c>
      <c r="AL269" s="607">
        <v>100</v>
      </c>
      <c r="AM269" s="605">
        <f>IF(X269&lt;&gt;"",X269+AL269,X270+AL269)</f>
        <v>46417</v>
      </c>
      <c r="AN269" s="608">
        <f>AR268-7</f>
        <v>46434</v>
      </c>
      <c r="AO269" s="600">
        <f>AN269-AM269</f>
        <v>17</v>
      </c>
      <c r="AP269" s="609"/>
      <c r="AQ269" s="610" t="s">
        <v>66</v>
      </c>
      <c r="AR269" s="611">
        <v>46441</v>
      </c>
      <c r="AS269" s="608"/>
    </row>
    <row r="270" spans="1:45" s="548" customFormat="1" ht="24" customHeight="1">
      <c r="A270" s="615"/>
      <c r="B270" s="616" t="s">
        <v>323</v>
      </c>
      <c r="C270" s="649" t="s">
        <v>324</v>
      </c>
      <c r="D270" s="653"/>
      <c r="E270" s="618"/>
      <c r="F270" s="653"/>
      <c r="G270" s="620"/>
      <c r="H270" s="621"/>
      <c r="I270" s="620" t="s">
        <v>207</v>
      </c>
      <c r="J270" s="616" t="s">
        <v>73</v>
      </c>
      <c r="K270" s="263">
        <v>3</v>
      </c>
      <c r="L270" s="616" t="s">
        <v>9</v>
      </c>
      <c r="M270" s="622" t="s">
        <v>67</v>
      </c>
      <c r="N270" s="623"/>
      <c r="O270" s="623">
        <v>46171</v>
      </c>
      <c r="P270" s="623">
        <v>46188</v>
      </c>
      <c r="Q270" s="623">
        <v>46188</v>
      </c>
      <c r="R270" s="623">
        <v>46188</v>
      </c>
      <c r="S270" s="623">
        <f t="shared" ref="S270" si="12">IF(S$207&lt;&gt;"",S$207,"")</f>
        <v>46230</v>
      </c>
      <c r="T270" s="623"/>
      <c r="U270" s="623"/>
      <c r="V270" s="623"/>
      <c r="W270" s="623"/>
      <c r="X270" s="620"/>
      <c r="Y270" s="623"/>
      <c r="Z270" s="623"/>
      <c r="AA270" s="623"/>
      <c r="AB270" s="623"/>
      <c r="AC270" s="623"/>
      <c r="AD270" s="623"/>
      <c r="AE270" s="623"/>
      <c r="AF270" s="623"/>
      <c r="AG270" s="623"/>
      <c r="AH270" s="623"/>
      <c r="AI270" s="623"/>
      <c r="AJ270" s="623"/>
      <c r="AK270" s="624"/>
      <c r="AL270" s="625"/>
      <c r="AM270" s="623"/>
      <c r="AN270" s="626"/>
      <c r="AO270" s="620"/>
      <c r="AP270" s="627"/>
      <c r="AQ270" s="628"/>
      <c r="AR270" s="627"/>
      <c r="AS270" s="626"/>
    </row>
    <row r="271" spans="1:45" s="548" customFormat="1" ht="24" hidden="1" customHeight="1">
      <c r="A271" s="595">
        <v>90</v>
      </c>
      <c r="B271" s="263" t="s">
        <v>326</v>
      </c>
      <c r="C271" s="263" t="s">
        <v>327</v>
      </c>
      <c r="D271" s="650"/>
      <c r="E271" s="598"/>
      <c r="F271" s="651"/>
      <c r="G271" s="600"/>
      <c r="H271" s="601"/>
      <c r="I271" s="600" t="s">
        <v>235</v>
      </c>
      <c r="J271" s="263"/>
      <c r="K271" s="602"/>
      <c r="L271" s="263" t="s">
        <v>9</v>
      </c>
      <c r="M271" s="603" t="s">
        <v>60</v>
      </c>
      <c r="N271" s="604"/>
      <c r="O271" s="605">
        <v>46258</v>
      </c>
      <c r="P271" s="605">
        <v>46272</v>
      </c>
      <c r="Q271" s="605">
        <v>46272</v>
      </c>
      <c r="R271" s="605">
        <v>46272</v>
      </c>
      <c r="S271" s="605">
        <v>46272</v>
      </c>
      <c r="T271" s="605">
        <v>46279</v>
      </c>
      <c r="U271" s="605">
        <v>46288</v>
      </c>
      <c r="V271" s="605">
        <v>46302</v>
      </c>
      <c r="W271" s="605"/>
      <c r="X271" s="605">
        <v>46309</v>
      </c>
      <c r="Y271" s="605">
        <v>46311</v>
      </c>
      <c r="Z271" s="605">
        <v>46318</v>
      </c>
      <c r="AA271" s="711">
        <v>46332</v>
      </c>
      <c r="AB271" s="605">
        <v>46346</v>
      </c>
      <c r="AC271" s="605">
        <v>46356</v>
      </c>
      <c r="AD271" s="605">
        <v>46356</v>
      </c>
      <c r="AE271" s="605">
        <v>46357</v>
      </c>
      <c r="AF271" s="605">
        <v>46362</v>
      </c>
      <c r="AG271" s="605">
        <v>46365</v>
      </c>
      <c r="AH271" s="605">
        <v>46369</v>
      </c>
      <c r="AI271" s="605">
        <v>46379</v>
      </c>
      <c r="AJ271" s="605">
        <v>46389</v>
      </c>
      <c r="AK271" s="630">
        <v>8.5714285714285694</v>
      </c>
      <c r="AL271" s="607">
        <f>AK271*7</f>
        <v>59.999999999999986</v>
      </c>
      <c r="AM271" s="605">
        <f>X271+AL271</f>
        <v>46369</v>
      </c>
      <c r="AN271" s="608">
        <f>AN272</f>
        <v>46356</v>
      </c>
      <c r="AO271" s="600">
        <f>AN272-AM271</f>
        <v>-13</v>
      </c>
      <c r="AP271" s="609"/>
      <c r="AQ271" s="610" t="s">
        <v>62</v>
      </c>
      <c r="AR271" s="611">
        <v>46363</v>
      </c>
      <c r="AS271" s="608"/>
    </row>
    <row r="272" spans="1:45" s="548" customFormat="1" ht="24" customHeight="1">
      <c r="A272" s="595"/>
      <c r="B272" s="263" t="s">
        <v>326</v>
      </c>
      <c r="C272" s="596" t="s">
        <v>327</v>
      </c>
      <c r="D272" s="652"/>
      <c r="E272" s="598"/>
      <c r="F272" s="652"/>
      <c r="G272" s="600"/>
      <c r="H272" s="601" t="s">
        <v>328</v>
      </c>
      <c r="I272" s="600" t="s">
        <v>235</v>
      </c>
      <c r="J272" s="263" t="s">
        <v>64</v>
      </c>
      <c r="K272" s="263">
        <v>4</v>
      </c>
      <c r="L272" s="263" t="s">
        <v>9</v>
      </c>
      <c r="M272" s="603" t="s">
        <v>65</v>
      </c>
      <c r="N272" s="605">
        <v>46244</v>
      </c>
      <c r="O272" s="605"/>
      <c r="P272" s="605"/>
      <c r="Q272" s="605"/>
      <c r="R272" s="605"/>
      <c r="S272" s="605"/>
      <c r="T272" s="605"/>
      <c r="U272" s="605"/>
      <c r="V272" s="605"/>
      <c r="W272" s="605"/>
      <c r="X272" s="605">
        <v>46287</v>
      </c>
      <c r="Y272" s="605"/>
      <c r="Z272" s="605">
        <v>46290</v>
      </c>
      <c r="AA272" s="605">
        <v>46318</v>
      </c>
      <c r="AB272" s="605">
        <v>46332</v>
      </c>
      <c r="AC272" s="605">
        <v>46342</v>
      </c>
      <c r="AD272" s="605">
        <v>46342</v>
      </c>
      <c r="AE272" s="605">
        <v>46343</v>
      </c>
      <c r="AF272" s="605">
        <v>46340</v>
      </c>
      <c r="AG272" s="605">
        <v>46343</v>
      </c>
      <c r="AH272" s="605">
        <v>46347</v>
      </c>
      <c r="AI272" s="605">
        <v>46357</v>
      </c>
      <c r="AJ272" s="605">
        <v>46367</v>
      </c>
      <c r="AK272" s="606">
        <v>8.5714285714285694</v>
      </c>
      <c r="AL272" s="607">
        <v>60</v>
      </c>
      <c r="AM272" s="605">
        <f>IF(X272&lt;&gt;"",X272+AL272,X273+AL272)</f>
        <v>46347</v>
      </c>
      <c r="AN272" s="608">
        <f>AR271-7</f>
        <v>46356</v>
      </c>
      <c r="AO272" s="600">
        <f>AN272-AM272</f>
        <v>9</v>
      </c>
      <c r="AP272" s="712"/>
      <c r="AQ272" s="610" t="s">
        <v>66</v>
      </c>
      <c r="AR272" s="611">
        <v>46402</v>
      </c>
      <c r="AS272" s="608"/>
    </row>
    <row r="273" spans="1:45" s="548" customFormat="1" ht="24" customHeight="1">
      <c r="A273" s="615"/>
      <c r="B273" s="616" t="s">
        <v>326</v>
      </c>
      <c r="C273" s="649" t="s">
        <v>327</v>
      </c>
      <c r="D273" s="653"/>
      <c r="E273" s="618"/>
      <c r="F273" s="653"/>
      <c r="G273" s="620"/>
      <c r="H273" s="621"/>
      <c r="I273" s="620" t="s">
        <v>235</v>
      </c>
      <c r="J273" s="616" t="s">
        <v>64</v>
      </c>
      <c r="K273" s="616">
        <v>4</v>
      </c>
      <c r="L273" s="616" t="s">
        <v>9</v>
      </c>
      <c r="M273" s="622" t="s">
        <v>67</v>
      </c>
      <c r="N273" s="623"/>
      <c r="O273" s="623">
        <v>46210</v>
      </c>
      <c r="P273" s="623">
        <v>46222</v>
      </c>
      <c r="Q273" s="623">
        <v>46222</v>
      </c>
      <c r="R273" s="623">
        <f>Q273</f>
        <v>46222</v>
      </c>
      <c r="S273" s="623">
        <f t="shared" ref="S273" si="13">IF(S$207&lt;&gt;"",S$207,"")</f>
        <v>46230</v>
      </c>
      <c r="T273" s="623">
        <v>46263</v>
      </c>
      <c r="U273" s="623">
        <v>46276</v>
      </c>
      <c r="V273" s="623">
        <v>46279</v>
      </c>
      <c r="W273" s="623">
        <v>46283</v>
      </c>
      <c r="X273" s="623">
        <v>46283</v>
      </c>
      <c r="Y273" s="623">
        <v>46283</v>
      </c>
      <c r="Z273" s="623"/>
      <c r="AA273" s="623"/>
      <c r="AB273" s="623"/>
      <c r="AC273" s="623"/>
      <c r="AD273" s="623"/>
      <c r="AE273" s="623"/>
      <c r="AF273" s="623"/>
      <c r="AG273" s="623"/>
      <c r="AH273" s="623"/>
      <c r="AI273" s="623"/>
      <c r="AJ273" s="623"/>
      <c r="AK273" s="624"/>
      <c r="AL273" s="625"/>
      <c r="AM273" s="623"/>
      <c r="AN273" s="626"/>
      <c r="AO273" s="620"/>
      <c r="AP273" s="627"/>
      <c r="AQ273" s="628"/>
      <c r="AR273" s="621"/>
      <c r="AS273" s="626"/>
    </row>
    <row r="274" spans="1:45" s="548" customFormat="1" ht="24" hidden="1" customHeight="1">
      <c r="A274" s="595">
        <v>93</v>
      </c>
      <c r="B274" s="263" t="s">
        <v>329</v>
      </c>
      <c r="C274" s="263" t="s">
        <v>330</v>
      </c>
      <c r="D274" s="650"/>
      <c r="E274" s="598"/>
      <c r="F274" s="651"/>
      <c r="G274" s="600"/>
      <c r="H274" s="713"/>
      <c r="I274" s="600" t="s">
        <v>331</v>
      </c>
      <c r="J274" s="263"/>
      <c r="K274" s="602"/>
      <c r="L274" s="263" t="s">
        <v>9</v>
      </c>
      <c r="M274" s="603" t="s">
        <v>60</v>
      </c>
      <c r="N274" s="604"/>
      <c r="O274" s="605">
        <v>46223</v>
      </c>
      <c r="P274" s="605">
        <v>46239</v>
      </c>
      <c r="Q274" s="605">
        <v>46239</v>
      </c>
      <c r="R274" s="605">
        <v>46237</v>
      </c>
      <c r="S274" s="605">
        <v>46238</v>
      </c>
      <c r="T274" s="605">
        <v>46244</v>
      </c>
      <c r="U274" s="605">
        <v>46254</v>
      </c>
      <c r="V274" s="605">
        <v>46258</v>
      </c>
      <c r="W274" s="605"/>
      <c r="X274" s="605">
        <v>46265</v>
      </c>
      <c r="Y274" s="605">
        <v>46267</v>
      </c>
      <c r="Z274" s="605">
        <v>46274</v>
      </c>
      <c r="AA274" s="605">
        <v>46288</v>
      </c>
      <c r="AB274" s="605">
        <v>46302</v>
      </c>
      <c r="AC274" s="605">
        <v>46303</v>
      </c>
      <c r="AD274" s="605">
        <f>AC274+1</f>
        <v>46304</v>
      </c>
      <c r="AE274" s="605">
        <f>AD274+1</f>
        <v>46305</v>
      </c>
      <c r="AF274" s="605">
        <v>46315</v>
      </c>
      <c r="AG274" s="605">
        <v>46318</v>
      </c>
      <c r="AH274" s="605">
        <v>46321</v>
      </c>
      <c r="AI274" s="605">
        <v>46331</v>
      </c>
      <c r="AJ274" s="605">
        <v>46341</v>
      </c>
      <c r="AK274" s="630">
        <v>8</v>
      </c>
      <c r="AL274" s="607">
        <f>AK274*7</f>
        <v>56</v>
      </c>
      <c r="AM274" s="605">
        <f>X274+AL274</f>
        <v>46321</v>
      </c>
      <c r="AN274" s="608">
        <f>AN275</f>
        <v>46349</v>
      </c>
      <c r="AO274" s="600">
        <f>AN275-AM274</f>
        <v>28</v>
      </c>
      <c r="AP274" s="609"/>
      <c r="AQ274" s="610" t="s">
        <v>62</v>
      </c>
      <c r="AR274" s="611">
        <v>46356</v>
      </c>
      <c r="AS274" s="608"/>
    </row>
    <row r="275" spans="1:45" s="548" customFormat="1" ht="24" customHeight="1">
      <c r="A275" s="714"/>
      <c r="B275" s="263" t="s">
        <v>329</v>
      </c>
      <c r="C275" s="263" t="s">
        <v>330</v>
      </c>
      <c r="D275" s="652"/>
      <c r="E275" s="598"/>
      <c r="F275" s="652"/>
      <c r="G275" s="600"/>
      <c r="H275" s="715"/>
      <c r="I275" s="600" t="s">
        <v>331</v>
      </c>
      <c r="J275" s="263" t="s">
        <v>73</v>
      </c>
      <c r="K275" s="263">
        <v>0</v>
      </c>
      <c r="L275" s="263" t="s">
        <v>9</v>
      </c>
      <c r="M275" s="603" t="s">
        <v>65</v>
      </c>
      <c r="N275" s="605">
        <v>46256</v>
      </c>
      <c r="O275" s="605"/>
      <c r="P275" s="605"/>
      <c r="Q275" s="605"/>
      <c r="R275" s="605"/>
      <c r="S275" s="605"/>
      <c r="T275" s="605"/>
      <c r="U275" s="605"/>
      <c r="V275" s="605"/>
      <c r="W275" s="605"/>
      <c r="X275" s="605"/>
      <c r="Y275" s="605"/>
      <c r="Z275" s="605">
        <v>46290</v>
      </c>
      <c r="AA275" s="605">
        <f>WORKDAY.INTL(Z275,INDEX(AA$12:AA$15,MATCH($L275,$L$12:$L$15,0)),1,IF(AA$18="China",'China Holidays'!$A$2:$A$82,'Thai Holidays'!$A$2:$A$63))</f>
        <v>46311</v>
      </c>
      <c r="AB275" s="605">
        <f>WORKDAY.INTL(AA275,INDEX(AB$12:AB$15,MATCH($L275,$L$12:$L$15,0)),1,IF(AB$18="China",'China Holidays'!$A$2:$A$82,'Thai Holidays'!$A$2:$A$63))</f>
        <v>46328</v>
      </c>
      <c r="AC275" s="605">
        <f>AB275+60</f>
        <v>46388</v>
      </c>
      <c r="AD275" s="605">
        <f>AC275+3</f>
        <v>46391</v>
      </c>
      <c r="AE275" s="605">
        <f>AD275+1</f>
        <v>46392</v>
      </c>
      <c r="AF275" s="605">
        <f>AG275-14</f>
        <v>46318</v>
      </c>
      <c r="AG275" s="605">
        <f>AH275-7</f>
        <v>46332</v>
      </c>
      <c r="AH275" s="605">
        <f>AM275</f>
        <v>46339</v>
      </c>
      <c r="AI275" s="605">
        <f>AM275+14</f>
        <v>46353</v>
      </c>
      <c r="AJ275" s="605">
        <f>AM275+30</f>
        <v>46369</v>
      </c>
      <c r="AK275" s="630">
        <v>8</v>
      </c>
      <c r="AL275" s="607">
        <v>56</v>
      </c>
      <c r="AM275" s="605">
        <f>IF(X275&lt;&gt;"",X275+AL275,X276+AL275)</f>
        <v>46339</v>
      </c>
      <c r="AN275" s="608">
        <f>AR274-7</f>
        <v>46349</v>
      </c>
      <c r="AO275" s="600">
        <f>AN275-AM275</f>
        <v>10</v>
      </c>
      <c r="AP275" s="609"/>
      <c r="AQ275" s="610" t="s">
        <v>66</v>
      </c>
      <c r="AR275" s="611">
        <v>46386</v>
      </c>
      <c r="AS275" s="608" t="s">
        <v>332</v>
      </c>
    </row>
    <row r="276" spans="1:45" s="548" customFormat="1" ht="24" customHeight="1">
      <c r="A276" s="716"/>
      <c r="B276" s="616" t="s">
        <v>329</v>
      </c>
      <c r="C276" s="649" t="s">
        <v>330</v>
      </c>
      <c r="D276" s="653"/>
      <c r="E276" s="618"/>
      <c r="F276" s="653"/>
      <c r="G276" s="620"/>
      <c r="H276" s="717"/>
      <c r="I276" s="600" t="s">
        <v>331</v>
      </c>
      <c r="J276" s="616" t="s">
        <v>73</v>
      </c>
      <c r="K276" s="616"/>
      <c r="L276" s="616" t="s">
        <v>9</v>
      </c>
      <c r="M276" s="622" t="s">
        <v>67</v>
      </c>
      <c r="N276" s="623"/>
      <c r="O276" s="623">
        <v>46263</v>
      </c>
      <c r="P276" s="623">
        <v>46266</v>
      </c>
      <c r="Q276" s="623">
        <v>46266</v>
      </c>
      <c r="R276" s="623">
        <v>46266</v>
      </c>
      <c r="S276" s="623">
        <v>46266</v>
      </c>
      <c r="T276" s="623">
        <v>46266</v>
      </c>
      <c r="U276" s="623">
        <v>46269</v>
      </c>
      <c r="V276" s="623">
        <v>46269</v>
      </c>
      <c r="W276" s="623">
        <v>46274</v>
      </c>
      <c r="X276" s="623">
        <v>46283</v>
      </c>
      <c r="Y276" s="623">
        <v>46279</v>
      </c>
      <c r="Z276" s="623"/>
      <c r="AA276" s="620"/>
      <c r="AB276" s="620"/>
      <c r="AC276" s="623"/>
      <c r="AD276" s="620"/>
      <c r="AE276" s="623"/>
      <c r="AF276" s="623"/>
      <c r="AG276" s="623"/>
      <c r="AH276" s="623"/>
      <c r="AI276" s="623"/>
      <c r="AJ276" s="623"/>
      <c r="AK276" s="624"/>
      <c r="AL276" s="718"/>
      <c r="AM276" s="623"/>
      <c r="AN276" s="719"/>
      <c r="AO276" s="620"/>
      <c r="AP276" s="627"/>
      <c r="AQ276" s="628"/>
      <c r="AR276" s="627" t="s">
        <v>333</v>
      </c>
      <c r="AS276" s="719"/>
    </row>
    <row r="277" spans="1:45" s="548" customFormat="1" ht="24" hidden="1" customHeight="1">
      <c r="A277" s="595">
        <v>92</v>
      </c>
      <c r="B277" s="263" t="s">
        <v>334</v>
      </c>
      <c r="C277" s="263" t="s">
        <v>335</v>
      </c>
      <c r="D277" s="597"/>
      <c r="E277" s="598"/>
      <c r="F277" s="599"/>
      <c r="G277" s="600"/>
      <c r="H277" s="601"/>
      <c r="I277" s="600" t="s">
        <v>86</v>
      </c>
      <c r="J277" s="263"/>
      <c r="K277" s="602"/>
      <c r="L277" s="263" t="s">
        <v>6</v>
      </c>
      <c r="M277" s="603" t="s">
        <v>60</v>
      </c>
      <c r="N277" s="604"/>
      <c r="O277" s="605">
        <v>46167</v>
      </c>
      <c r="P277" s="605">
        <v>46177</v>
      </c>
      <c r="Q277" s="605">
        <v>46177</v>
      </c>
      <c r="R277" s="605">
        <v>46184</v>
      </c>
      <c r="S277" s="605">
        <v>46184</v>
      </c>
      <c r="T277" s="605">
        <v>46226</v>
      </c>
      <c r="U277" s="605">
        <v>46254</v>
      </c>
      <c r="V277" s="605">
        <v>46268</v>
      </c>
      <c r="W277" s="605"/>
      <c r="X277" s="605">
        <v>46281</v>
      </c>
      <c r="Y277" s="605">
        <v>46283</v>
      </c>
      <c r="Z277" s="605">
        <v>46293</v>
      </c>
      <c r="AA277" s="605">
        <v>46328</v>
      </c>
      <c r="AB277" s="605">
        <v>46342</v>
      </c>
      <c r="AC277" s="605">
        <v>46372</v>
      </c>
      <c r="AD277" s="605">
        <v>46372</v>
      </c>
      <c r="AE277" s="605">
        <v>46374</v>
      </c>
      <c r="AF277" s="605">
        <v>46435</v>
      </c>
      <c r="AG277" s="605">
        <v>46442</v>
      </c>
      <c r="AH277" s="605">
        <v>46449</v>
      </c>
      <c r="AI277" s="605">
        <v>46463</v>
      </c>
      <c r="AJ277" s="605">
        <v>46479</v>
      </c>
      <c r="AK277" s="630">
        <v>24</v>
      </c>
      <c r="AL277" s="607">
        <f>AK277*7</f>
        <v>168</v>
      </c>
      <c r="AM277" s="605">
        <f>X277+AL277</f>
        <v>46449</v>
      </c>
      <c r="AN277" s="608">
        <f>AN278</f>
        <v>46485</v>
      </c>
      <c r="AO277" s="600">
        <f>AN278-AM277</f>
        <v>36</v>
      </c>
      <c r="AP277" s="609"/>
      <c r="AQ277" s="610" t="s">
        <v>62</v>
      </c>
      <c r="AR277" s="611">
        <v>46492</v>
      </c>
      <c r="AS277" s="608"/>
    </row>
    <row r="278" spans="1:45" s="548" customFormat="1" ht="24" customHeight="1">
      <c r="A278" s="595"/>
      <c r="B278" s="263" t="s">
        <v>334</v>
      </c>
      <c r="C278" s="596" t="s">
        <v>335</v>
      </c>
      <c r="D278" s="597"/>
      <c r="E278" s="598"/>
      <c r="F278" s="629"/>
      <c r="G278" s="600"/>
      <c r="H278" s="601" t="s">
        <v>271</v>
      </c>
      <c r="I278" s="600" t="s">
        <v>86</v>
      </c>
      <c r="J278" s="263" t="s">
        <v>64</v>
      </c>
      <c r="K278" s="263">
        <v>3</v>
      </c>
      <c r="L278" s="263" t="s">
        <v>6</v>
      </c>
      <c r="M278" s="603" t="s">
        <v>65</v>
      </c>
      <c r="N278" s="605">
        <v>46161</v>
      </c>
      <c r="O278" s="605"/>
      <c r="P278" s="605"/>
      <c r="Q278" s="605"/>
      <c r="R278" s="605"/>
      <c r="S278" s="605"/>
      <c r="T278" s="605"/>
      <c r="U278" s="605">
        <v>46290</v>
      </c>
      <c r="V278" s="605">
        <f>WORKDAY.INTL(U278,INDEX(V$8:V$11,MATCH($L278,$L$8:$L$11,0)),1,IF(V$18="China",'China Holidays'!$A$2:$A$82,'Thai Holidays'!$A$2:$A$63))</f>
        <v>46304</v>
      </c>
      <c r="W278" s="605"/>
      <c r="X278" s="605">
        <v>46315</v>
      </c>
      <c r="Y278" s="605">
        <v>46317</v>
      </c>
      <c r="Z278" s="605">
        <v>46324</v>
      </c>
      <c r="AA278" s="605">
        <v>46352</v>
      </c>
      <c r="AB278" s="605">
        <v>46367</v>
      </c>
      <c r="AC278" s="605">
        <v>46397</v>
      </c>
      <c r="AD278" s="605">
        <v>46397</v>
      </c>
      <c r="AE278" s="605">
        <v>46399</v>
      </c>
      <c r="AF278" s="605">
        <v>46469</v>
      </c>
      <c r="AG278" s="605">
        <v>46476</v>
      </c>
      <c r="AH278" s="605">
        <v>46483</v>
      </c>
      <c r="AI278" s="605">
        <v>46497</v>
      </c>
      <c r="AJ278" s="605">
        <v>46513</v>
      </c>
      <c r="AK278" s="606">
        <v>24</v>
      </c>
      <c r="AL278" s="607">
        <v>168</v>
      </c>
      <c r="AM278" s="605">
        <f>IF(X278&lt;&gt;"",X278+AL278,X279+AL278)</f>
        <v>46483</v>
      </c>
      <c r="AN278" s="608">
        <f>AR277-7</f>
        <v>46485</v>
      </c>
      <c r="AO278" s="600">
        <f>AN278-AM278</f>
        <v>2</v>
      </c>
      <c r="AP278" s="609"/>
      <c r="AQ278" s="610" t="s">
        <v>66</v>
      </c>
      <c r="AR278" s="611">
        <v>46492</v>
      </c>
      <c r="AS278" s="608"/>
    </row>
    <row r="279" spans="1:45" s="548" customFormat="1" ht="24" customHeight="1">
      <c r="A279" s="615"/>
      <c r="B279" s="616" t="s">
        <v>334</v>
      </c>
      <c r="C279" s="649" t="s">
        <v>335</v>
      </c>
      <c r="D279" s="617"/>
      <c r="E279" s="618"/>
      <c r="F279" s="631"/>
      <c r="G279" s="620"/>
      <c r="H279" s="621"/>
      <c r="I279" s="620" t="s">
        <v>86</v>
      </c>
      <c r="J279" s="616" t="s">
        <v>64</v>
      </c>
      <c r="K279" s="263">
        <v>3</v>
      </c>
      <c r="L279" s="616" t="s">
        <v>6</v>
      </c>
      <c r="M279" s="622" t="s">
        <v>67</v>
      </c>
      <c r="N279" s="623"/>
      <c r="O279" s="623">
        <v>46169</v>
      </c>
      <c r="P279" s="623">
        <v>46184</v>
      </c>
      <c r="Q279" s="623">
        <v>46184</v>
      </c>
      <c r="R279" s="623">
        <v>46184</v>
      </c>
      <c r="S279" s="623">
        <v>46188</v>
      </c>
      <c r="T279" s="623">
        <v>46234</v>
      </c>
      <c r="U279" s="623"/>
      <c r="V279" s="623"/>
      <c r="W279" s="623"/>
      <c r="X279" s="623"/>
      <c r="Y279" s="623"/>
      <c r="Z279" s="623"/>
      <c r="AA279" s="623"/>
      <c r="AB279" s="623"/>
      <c r="AC279" s="623"/>
      <c r="AD279" s="623"/>
      <c r="AE279" s="623"/>
      <c r="AF279" s="623"/>
      <c r="AG279" s="623"/>
      <c r="AH279" s="623"/>
      <c r="AI279" s="623"/>
      <c r="AJ279" s="623"/>
      <c r="AK279" s="624"/>
      <c r="AL279" s="625"/>
      <c r="AM279" s="605"/>
      <c r="AN279" s="626"/>
      <c r="AO279" s="620"/>
      <c r="AP279" s="627"/>
      <c r="AQ279" s="628"/>
      <c r="AR279" s="621"/>
      <c r="AS279" s="626"/>
    </row>
    <row r="280" spans="1:45" s="548" customFormat="1" ht="24" hidden="1" customHeight="1">
      <c r="A280" s="595">
        <v>94</v>
      </c>
      <c r="B280" s="263" t="s">
        <v>336</v>
      </c>
      <c r="C280" s="263" t="s">
        <v>337</v>
      </c>
      <c r="D280" s="597"/>
      <c r="E280" s="598"/>
      <c r="F280" s="599"/>
      <c r="G280" s="600"/>
      <c r="H280" s="601"/>
      <c r="I280" s="600" t="s">
        <v>86</v>
      </c>
      <c r="J280" s="263"/>
      <c r="K280" s="602"/>
      <c r="L280" s="263" t="s">
        <v>6</v>
      </c>
      <c r="M280" s="603" t="s">
        <v>60</v>
      </c>
      <c r="N280" s="604"/>
      <c r="O280" s="605">
        <v>46167</v>
      </c>
      <c r="P280" s="605">
        <v>46177</v>
      </c>
      <c r="Q280" s="605">
        <v>46177</v>
      </c>
      <c r="R280" s="605">
        <v>46184</v>
      </c>
      <c r="S280" s="605">
        <v>46184</v>
      </c>
      <c r="T280" s="605">
        <v>46226</v>
      </c>
      <c r="U280" s="605">
        <v>46254</v>
      </c>
      <c r="V280" s="605">
        <v>46268</v>
      </c>
      <c r="W280" s="605"/>
      <c r="X280" s="605">
        <v>46281</v>
      </c>
      <c r="Y280" s="605">
        <v>46283</v>
      </c>
      <c r="Z280" s="605">
        <v>46293</v>
      </c>
      <c r="AA280" s="605">
        <v>46328</v>
      </c>
      <c r="AB280" s="605">
        <v>46342</v>
      </c>
      <c r="AC280" s="605">
        <v>46372</v>
      </c>
      <c r="AD280" s="605">
        <v>46372</v>
      </c>
      <c r="AE280" s="605">
        <v>46374</v>
      </c>
      <c r="AF280" s="605">
        <v>46435</v>
      </c>
      <c r="AG280" s="605">
        <v>46442</v>
      </c>
      <c r="AH280" s="605">
        <v>46449</v>
      </c>
      <c r="AI280" s="605">
        <v>46463</v>
      </c>
      <c r="AJ280" s="605">
        <v>46479</v>
      </c>
      <c r="AK280" s="630">
        <v>24</v>
      </c>
      <c r="AL280" s="607">
        <f>AK280*7</f>
        <v>168</v>
      </c>
      <c r="AM280" s="605">
        <f>X280+AL280</f>
        <v>46449</v>
      </c>
      <c r="AN280" s="608">
        <f>AN281</f>
        <v>46485</v>
      </c>
      <c r="AO280" s="600">
        <f>AN281-AM280</f>
        <v>36</v>
      </c>
      <c r="AP280" s="609"/>
      <c r="AQ280" s="610" t="s">
        <v>62</v>
      </c>
      <c r="AR280" s="611">
        <v>46492</v>
      </c>
      <c r="AS280" s="608"/>
    </row>
    <row r="281" spans="1:45" s="548" customFormat="1" ht="24" customHeight="1">
      <c r="A281" s="595"/>
      <c r="B281" s="263" t="s">
        <v>336</v>
      </c>
      <c r="C281" s="596" t="s">
        <v>337</v>
      </c>
      <c r="D281" s="632"/>
      <c r="E281" s="598"/>
      <c r="F281" s="720"/>
      <c r="G281" s="600"/>
      <c r="H281" s="601" t="s">
        <v>271</v>
      </c>
      <c r="I281" s="600" t="s">
        <v>86</v>
      </c>
      <c r="J281" s="263" t="s">
        <v>64</v>
      </c>
      <c r="K281" s="263">
        <v>3</v>
      </c>
      <c r="L281" s="263" t="s">
        <v>6</v>
      </c>
      <c r="M281" s="603" t="s">
        <v>65</v>
      </c>
      <c r="N281" s="605">
        <v>46161</v>
      </c>
      <c r="O281" s="605"/>
      <c r="P281" s="605"/>
      <c r="Q281" s="605"/>
      <c r="R281" s="605"/>
      <c r="S281" s="605"/>
      <c r="T281" s="605"/>
      <c r="U281" s="605">
        <v>46297</v>
      </c>
      <c r="V281" s="605">
        <f>WORKDAY.INTL(U281,INDEX(V$8:V$11,MATCH($L281,$L$8:$L$11,0)),1,IF(V$18="China",'China Holidays'!$A$2:$A$82,'Thai Holidays'!$A$2:$A$63))</f>
        <v>46314</v>
      </c>
      <c r="W281" s="605"/>
      <c r="X281" s="605">
        <v>46315</v>
      </c>
      <c r="Y281" s="605">
        <v>46317</v>
      </c>
      <c r="Z281" s="605">
        <v>46324</v>
      </c>
      <c r="AA281" s="605">
        <v>46352</v>
      </c>
      <c r="AB281" s="605">
        <v>46367</v>
      </c>
      <c r="AC281" s="605">
        <v>46397</v>
      </c>
      <c r="AD281" s="605">
        <v>46397</v>
      </c>
      <c r="AE281" s="605">
        <v>46399</v>
      </c>
      <c r="AF281" s="605">
        <v>46469</v>
      </c>
      <c r="AG281" s="605">
        <v>46476</v>
      </c>
      <c r="AH281" s="605">
        <v>46483</v>
      </c>
      <c r="AI281" s="605">
        <v>46497</v>
      </c>
      <c r="AJ281" s="605">
        <v>46513</v>
      </c>
      <c r="AK281" s="606">
        <v>24</v>
      </c>
      <c r="AL281" s="607">
        <v>168</v>
      </c>
      <c r="AM281" s="605">
        <f>IF(X281&lt;&gt;"",X281+AL281,X282+AL281)</f>
        <v>46483</v>
      </c>
      <c r="AN281" s="608">
        <f>AR280-7</f>
        <v>46485</v>
      </c>
      <c r="AO281" s="600">
        <f>AN281-AM281</f>
        <v>2</v>
      </c>
      <c r="AP281" s="609"/>
      <c r="AQ281" s="610" t="s">
        <v>66</v>
      </c>
      <c r="AR281" s="611">
        <v>46492</v>
      </c>
      <c r="AS281" s="608"/>
    </row>
    <row r="282" spans="1:45" s="548" customFormat="1" ht="24" customHeight="1">
      <c r="A282" s="615"/>
      <c r="B282" s="616" t="s">
        <v>336</v>
      </c>
      <c r="C282" s="649" t="s">
        <v>337</v>
      </c>
      <c r="D282" s="633"/>
      <c r="E282" s="618"/>
      <c r="F282" s="721"/>
      <c r="G282" s="620"/>
      <c r="H282" s="621"/>
      <c r="I282" s="620" t="s">
        <v>86</v>
      </c>
      <c r="J282" s="616" t="s">
        <v>64</v>
      </c>
      <c r="K282" s="263">
        <v>3</v>
      </c>
      <c r="L282" s="616" t="s">
        <v>6</v>
      </c>
      <c r="M282" s="622" t="s">
        <v>67</v>
      </c>
      <c r="N282" s="623"/>
      <c r="O282" s="623">
        <v>46169</v>
      </c>
      <c r="P282" s="623">
        <v>46184</v>
      </c>
      <c r="Q282" s="623">
        <v>46184</v>
      </c>
      <c r="R282" s="623">
        <v>46184</v>
      </c>
      <c r="S282" s="623">
        <v>46188</v>
      </c>
      <c r="T282" s="623">
        <v>46245</v>
      </c>
      <c r="U282" s="623"/>
      <c r="V282" s="623"/>
      <c r="W282" s="623"/>
      <c r="X282" s="623"/>
      <c r="Y282" s="623"/>
      <c r="Z282" s="623"/>
      <c r="AA282" s="623"/>
      <c r="AB282" s="623"/>
      <c r="AC282" s="623"/>
      <c r="AD282" s="623"/>
      <c r="AE282" s="623"/>
      <c r="AF282" s="623"/>
      <c r="AG282" s="623"/>
      <c r="AH282" s="623"/>
      <c r="AI282" s="623"/>
      <c r="AJ282" s="623"/>
      <c r="AK282" s="624"/>
      <c r="AL282" s="625"/>
      <c r="AM282" s="623"/>
      <c r="AN282" s="626"/>
      <c r="AO282" s="620"/>
      <c r="AP282" s="627"/>
      <c r="AQ282" s="628"/>
      <c r="AR282" s="621"/>
      <c r="AS282" s="626"/>
    </row>
    <row r="283" spans="1:45" s="548" customFormat="1" ht="24" hidden="1" customHeight="1">
      <c r="A283" s="595">
        <v>95</v>
      </c>
      <c r="B283" s="263" t="s">
        <v>338</v>
      </c>
      <c r="C283" s="263" t="s">
        <v>339</v>
      </c>
      <c r="D283" s="597"/>
      <c r="E283" s="598"/>
      <c r="F283" s="599"/>
      <c r="G283" s="600"/>
      <c r="H283" s="601"/>
      <c r="I283" s="600" t="s">
        <v>86</v>
      </c>
      <c r="J283" s="263"/>
      <c r="K283" s="602"/>
      <c r="L283" s="263" t="s">
        <v>6</v>
      </c>
      <c r="M283" s="603" t="s">
        <v>60</v>
      </c>
      <c r="N283" s="604"/>
      <c r="O283" s="605">
        <v>46167</v>
      </c>
      <c r="P283" s="605">
        <v>46177</v>
      </c>
      <c r="Q283" s="605">
        <v>46177</v>
      </c>
      <c r="R283" s="605">
        <v>46184</v>
      </c>
      <c r="S283" s="605">
        <v>46184</v>
      </c>
      <c r="T283" s="605">
        <v>46226</v>
      </c>
      <c r="U283" s="605">
        <v>46254</v>
      </c>
      <c r="V283" s="605">
        <v>46268</v>
      </c>
      <c r="W283" s="605"/>
      <c r="X283" s="605">
        <v>46281</v>
      </c>
      <c r="Y283" s="605">
        <v>46283</v>
      </c>
      <c r="Z283" s="605">
        <v>46293</v>
      </c>
      <c r="AA283" s="605">
        <v>46328</v>
      </c>
      <c r="AB283" s="605">
        <v>46342</v>
      </c>
      <c r="AC283" s="605">
        <v>46372</v>
      </c>
      <c r="AD283" s="605">
        <v>46372</v>
      </c>
      <c r="AE283" s="605">
        <v>46374</v>
      </c>
      <c r="AF283" s="605">
        <v>46435</v>
      </c>
      <c r="AG283" s="605">
        <v>46442</v>
      </c>
      <c r="AH283" s="605">
        <v>46449</v>
      </c>
      <c r="AI283" s="605">
        <v>46463</v>
      </c>
      <c r="AJ283" s="605">
        <v>46479</v>
      </c>
      <c r="AK283" s="630">
        <v>24</v>
      </c>
      <c r="AL283" s="607">
        <f>AK283*7</f>
        <v>168</v>
      </c>
      <c r="AM283" s="605">
        <f>X283+AL283</f>
        <v>46449</v>
      </c>
      <c r="AN283" s="608">
        <f>AN284</f>
        <v>46485</v>
      </c>
      <c r="AO283" s="600">
        <f>AN284-AM283</f>
        <v>36</v>
      </c>
      <c r="AP283" s="609"/>
      <c r="AQ283" s="610" t="s">
        <v>62</v>
      </c>
      <c r="AR283" s="611">
        <v>46492</v>
      </c>
      <c r="AS283" s="608"/>
    </row>
    <row r="284" spans="1:45" s="548" customFormat="1" ht="24" customHeight="1">
      <c r="A284" s="595"/>
      <c r="B284" s="263" t="s">
        <v>338</v>
      </c>
      <c r="C284" s="596" t="s">
        <v>339</v>
      </c>
      <c r="D284" s="632"/>
      <c r="E284" s="598"/>
      <c r="F284" s="720"/>
      <c r="G284" s="600"/>
      <c r="H284" s="601" t="s">
        <v>271</v>
      </c>
      <c r="I284" s="600" t="s">
        <v>86</v>
      </c>
      <c r="J284" s="263" t="s">
        <v>64</v>
      </c>
      <c r="K284" s="263">
        <v>3</v>
      </c>
      <c r="L284" s="263" t="s">
        <v>6</v>
      </c>
      <c r="M284" s="603" t="s">
        <v>65</v>
      </c>
      <c r="N284" s="605">
        <v>46161</v>
      </c>
      <c r="O284" s="605"/>
      <c r="P284" s="605"/>
      <c r="Q284" s="605"/>
      <c r="R284" s="605"/>
      <c r="S284" s="605"/>
      <c r="T284" s="605"/>
      <c r="U284" s="605">
        <v>46297</v>
      </c>
      <c r="V284" s="605">
        <f>WORKDAY.INTL(U284,INDEX(V$8:V$11,MATCH($L284,$L$8:$L$11,0)),1,IF(V$18="China",'China Holidays'!$A$2:$A$82,'Thai Holidays'!$A$2:$A$63))</f>
        <v>46314</v>
      </c>
      <c r="W284" s="605"/>
      <c r="X284" s="605">
        <v>46315</v>
      </c>
      <c r="Y284" s="605">
        <v>46317</v>
      </c>
      <c r="Z284" s="605">
        <v>46324</v>
      </c>
      <c r="AA284" s="605">
        <v>46352</v>
      </c>
      <c r="AB284" s="605">
        <v>46367</v>
      </c>
      <c r="AC284" s="605">
        <v>46397</v>
      </c>
      <c r="AD284" s="605">
        <v>46397</v>
      </c>
      <c r="AE284" s="605">
        <v>46399</v>
      </c>
      <c r="AF284" s="605">
        <v>46469</v>
      </c>
      <c r="AG284" s="605">
        <v>46476</v>
      </c>
      <c r="AH284" s="605">
        <v>46483</v>
      </c>
      <c r="AI284" s="605">
        <v>46497</v>
      </c>
      <c r="AJ284" s="605">
        <v>46513</v>
      </c>
      <c r="AK284" s="606">
        <v>24</v>
      </c>
      <c r="AL284" s="607">
        <v>168</v>
      </c>
      <c r="AM284" s="605">
        <f>IF(X284&lt;&gt;"",X284+AL284,X285+AL284)</f>
        <v>46483</v>
      </c>
      <c r="AN284" s="608">
        <f>AR283-7</f>
        <v>46485</v>
      </c>
      <c r="AO284" s="600">
        <f>AN284-AM284</f>
        <v>2</v>
      </c>
      <c r="AP284" s="609"/>
      <c r="AQ284" s="610" t="s">
        <v>66</v>
      </c>
      <c r="AR284" s="611">
        <v>46492</v>
      </c>
      <c r="AS284" s="608"/>
    </row>
    <row r="285" spans="1:45" s="548" customFormat="1" ht="24" customHeight="1">
      <c r="A285" s="615"/>
      <c r="B285" s="616" t="s">
        <v>338</v>
      </c>
      <c r="C285" s="649" t="s">
        <v>339</v>
      </c>
      <c r="D285" s="633"/>
      <c r="E285" s="618"/>
      <c r="F285" s="721"/>
      <c r="G285" s="620"/>
      <c r="H285" s="621"/>
      <c r="I285" s="620" t="s">
        <v>86</v>
      </c>
      <c r="J285" s="616" t="s">
        <v>64</v>
      </c>
      <c r="K285" s="263">
        <v>3</v>
      </c>
      <c r="L285" s="616" t="s">
        <v>6</v>
      </c>
      <c r="M285" s="622" t="s">
        <v>67</v>
      </c>
      <c r="N285" s="623"/>
      <c r="O285" s="623">
        <v>46169</v>
      </c>
      <c r="P285" s="623">
        <v>46184</v>
      </c>
      <c r="Q285" s="623">
        <v>46184</v>
      </c>
      <c r="R285" s="623">
        <v>46184</v>
      </c>
      <c r="S285" s="623">
        <v>46188</v>
      </c>
      <c r="T285" s="623">
        <v>46234</v>
      </c>
      <c r="U285" s="623"/>
      <c r="V285" s="623"/>
      <c r="W285" s="623"/>
      <c r="X285" s="623"/>
      <c r="Y285" s="623"/>
      <c r="Z285" s="623"/>
      <c r="AA285" s="623"/>
      <c r="AB285" s="623"/>
      <c r="AC285" s="623"/>
      <c r="AD285" s="623"/>
      <c r="AE285" s="623"/>
      <c r="AF285" s="623"/>
      <c r="AG285" s="623"/>
      <c r="AH285" s="623"/>
      <c r="AI285" s="623"/>
      <c r="AJ285" s="623"/>
      <c r="AK285" s="624"/>
      <c r="AL285" s="625"/>
      <c r="AM285" s="623"/>
      <c r="AN285" s="626"/>
      <c r="AO285" s="620"/>
      <c r="AP285" s="627"/>
      <c r="AQ285" s="628"/>
      <c r="AR285" s="621"/>
      <c r="AS285" s="626" t="s">
        <v>217</v>
      </c>
    </row>
    <row r="286" spans="1:45" s="548" customFormat="1" ht="24" hidden="1" customHeight="1">
      <c r="A286" s="595">
        <v>96</v>
      </c>
      <c r="B286" s="263" t="s">
        <v>340</v>
      </c>
      <c r="C286" s="263" t="s">
        <v>341</v>
      </c>
      <c r="D286" s="597"/>
      <c r="E286" s="598"/>
      <c r="F286" s="599"/>
      <c r="G286" s="600"/>
      <c r="H286" s="601"/>
      <c r="I286" s="600" t="s">
        <v>86</v>
      </c>
      <c r="J286" s="263"/>
      <c r="K286" s="602"/>
      <c r="L286" s="263" t="s">
        <v>6</v>
      </c>
      <c r="M286" s="603" t="s">
        <v>60</v>
      </c>
      <c r="N286" s="604"/>
      <c r="O286" s="605">
        <v>46167</v>
      </c>
      <c r="P286" s="605">
        <v>46177</v>
      </c>
      <c r="Q286" s="605">
        <v>46177</v>
      </c>
      <c r="R286" s="605">
        <v>46184</v>
      </c>
      <c r="S286" s="605">
        <v>46184</v>
      </c>
      <c r="T286" s="605">
        <v>46226</v>
      </c>
      <c r="U286" s="605">
        <v>46254</v>
      </c>
      <c r="V286" s="605">
        <v>46268</v>
      </c>
      <c r="W286" s="605"/>
      <c r="X286" s="605">
        <v>46281</v>
      </c>
      <c r="Y286" s="605">
        <v>46283</v>
      </c>
      <c r="Z286" s="605">
        <v>46293</v>
      </c>
      <c r="AA286" s="605">
        <v>46328</v>
      </c>
      <c r="AB286" s="605">
        <v>46342</v>
      </c>
      <c r="AC286" s="605">
        <v>46372</v>
      </c>
      <c r="AD286" s="605">
        <v>46372</v>
      </c>
      <c r="AE286" s="605">
        <v>46374</v>
      </c>
      <c r="AF286" s="605">
        <v>46435</v>
      </c>
      <c r="AG286" s="605">
        <v>46442</v>
      </c>
      <c r="AH286" s="605">
        <v>46449</v>
      </c>
      <c r="AI286" s="605">
        <v>46463</v>
      </c>
      <c r="AJ286" s="605">
        <v>46479</v>
      </c>
      <c r="AK286" s="630">
        <v>24</v>
      </c>
      <c r="AL286" s="607">
        <f>AK286*7</f>
        <v>168</v>
      </c>
      <c r="AM286" s="605">
        <f>X286+AL286</f>
        <v>46449</v>
      </c>
      <c r="AN286" s="608">
        <f>AN287</f>
        <v>46485</v>
      </c>
      <c r="AO286" s="600">
        <f>AN287-AM286</f>
        <v>36</v>
      </c>
      <c r="AP286" s="609"/>
      <c r="AQ286" s="610" t="s">
        <v>62</v>
      </c>
      <c r="AR286" s="611">
        <v>46492</v>
      </c>
      <c r="AS286" s="608"/>
    </row>
    <row r="287" spans="1:45" s="548" customFormat="1" ht="24" customHeight="1">
      <c r="A287" s="595"/>
      <c r="B287" s="263" t="s">
        <v>340</v>
      </c>
      <c r="C287" s="596" t="s">
        <v>341</v>
      </c>
      <c r="D287" s="632"/>
      <c r="E287" s="598"/>
      <c r="F287" s="720"/>
      <c r="G287" s="600"/>
      <c r="H287" s="601" t="s">
        <v>271</v>
      </c>
      <c r="I287" s="600" t="s">
        <v>86</v>
      </c>
      <c r="J287" s="263" t="s">
        <v>64</v>
      </c>
      <c r="K287" s="263">
        <v>3</v>
      </c>
      <c r="L287" s="263" t="s">
        <v>6</v>
      </c>
      <c r="M287" s="603" t="s">
        <v>65</v>
      </c>
      <c r="N287" s="605">
        <v>46161</v>
      </c>
      <c r="O287" s="605"/>
      <c r="P287" s="605"/>
      <c r="Q287" s="605"/>
      <c r="R287" s="605"/>
      <c r="S287" s="605"/>
      <c r="T287" s="605"/>
      <c r="U287" s="605"/>
      <c r="V287" s="605">
        <v>46296</v>
      </c>
      <c r="W287" s="605"/>
      <c r="X287" s="605">
        <v>46315</v>
      </c>
      <c r="Y287" s="605">
        <v>46317</v>
      </c>
      <c r="Z287" s="605">
        <v>46324</v>
      </c>
      <c r="AA287" s="605">
        <v>46352</v>
      </c>
      <c r="AB287" s="605">
        <v>46367</v>
      </c>
      <c r="AC287" s="605">
        <v>46397</v>
      </c>
      <c r="AD287" s="605">
        <v>46397</v>
      </c>
      <c r="AE287" s="605">
        <v>46399</v>
      </c>
      <c r="AF287" s="605">
        <v>46469</v>
      </c>
      <c r="AG287" s="605">
        <v>46476</v>
      </c>
      <c r="AH287" s="605">
        <v>46483</v>
      </c>
      <c r="AI287" s="605">
        <v>46497</v>
      </c>
      <c r="AJ287" s="605">
        <v>46513</v>
      </c>
      <c r="AK287" s="606">
        <v>24</v>
      </c>
      <c r="AL287" s="607">
        <v>168</v>
      </c>
      <c r="AM287" s="605">
        <f>IF(X287&lt;&gt;"",X287+AL287,X288+AL287)</f>
        <v>46483</v>
      </c>
      <c r="AN287" s="608">
        <f>AR286-7</f>
        <v>46485</v>
      </c>
      <c r="AO287" s="600">
        <f>AN287-AM287</f>
        <v>2</v>
      </c>
      <c r="AP287" s="609"/>
      <c r="AQ287" s="610" t="s">
        <v>66</v>
      </c>
      <c r="AR287" s="611">
        <v>46492</v>
      </c>
      <c r="AS287" s="608"/>
    </row>
    <row r="288" spans="1:45" s="548" customFormat="1" ht="24" customHeight="1">
      <c r="A288" s="615"/>
      <c r="B288" s="616" t="s">
        <v>340</v>
      </c>
      <c r="C288" s="649" t="s">
        <v>341</v>
      </c>
      <c r="D288" s="633"/>
      <c r="E288" s="618"/>
      <c r="F288" s="721"/>
      <c r="G288" s="620"/>
      <c r="H288" s="621"/>
      <c r="I288" s="620" t="s">
        <v>86</v>
      </c>
      <c r="J288" s="616" t="s">
        <v>64</v>
      </c>
      <c r="K288" s="263">
        <v>3</v>
      </c>
      <c r="L288" s="616" t="s">
        <v>6</v>
      </c>
      <c r="M288" s="622" t="s">
        <v>67</v>
      </c>
      <c r="N288" s="623"/>
      <c r="O288" s="623">
        <v>46169</v>
      </c>
      <c r="P288" s="623">
        <v>46184</v>
      </c>
      <c r="Q288" s="623">
        <v>46184</v>
      </c>
      <c r="R288" s="623">
        <v>46184</v>
      </c>
      <c r="S288" s="623">
        <v>46188</v>
      </c>
      <c r="T288" s="623">
        <v>46239</v>
      </c>
      <c r="U288" s="623">
        <v>46283</v>
      </c>
      <c r="V288" s="623"/>
      <c r="W288" s="623"/>
      <c r="X288" s="623"/>
      <c r="Y288" s="623"/>
      <c r="Z288" s="623"/>
      <c r="AA288" s="623"/>
      <c r="AB288" s="623"/>
      <c r="AC288" s="623"/>
      <c r="AD288" s="623"/>
      <c r="AE288" s="623"/>
      <c r="AF288" s="623"/>
      <c r="AG288" s="623"/>
      <c r="AH288" s="623"/>
      <c r="AI288" s="623"/>
      <c r="AJ288" s="623"/>
      <c r="AK288" s="624"/>
      <c r="AL288" s="625"/>
      <c r="AM288" s="623"/>
      <c r="AN288" s="626"/>
      <c r="AO288" s="620"/>
      <c r="AP288" s="627"/>
      <c r="AQ288" s="628"/>
      <c r="AR288" s="621"/>
      <c r="AS288" s="626" t="s">
        <v>217</v>
      </c>
    </row>
    <row r="289" spans="1:45" s="548" customFormat="1" ht="24" hidden="1" customHeight="1">
      <c r="A289" s="595">
        <v>97</v>
      </c>
      <c r="B289" s="263" t="s">
        <v>342</v>
      </c>
      <c r="C289" s="263" t="s">
        <v>343</v>
      </c>
      <c r="D289" s="650"/>
      <c r="E289" s="598"/>
      <c r="F289" s="651"/>
      <c r="G289" s="600"/>
      <c r="H289" s="601"/>
      <c r="I289" s="600" t="s">
        <v>86</v>
      </c>
      <c r="J289" s="263"/>
      <c r="K289" s="602"/>
      <c r="L289" s="263" t="s">
        <v>6</v>
      </c>
      <c r="M289" s="603" t="s">
        <v>60</v>
      </c>
      <c r="N289" s="604"/>
      <c r="O289" s="605">
        <v>46167</v>
      </c>
      <c r="P289" s="605">
        <v>46177</v>
      </c>
      <c r="Q289" s="605">
        <v>46177</v>
      </c>
      <c r="R289" s="605">
        <v>46184</v>
      </c>
      <c r="S289" s="605">
        <v>46184</v>
      </c>
      <c r="T289" s="605">
        <v>46226</v>
      </c>
      <c r="U289" s="605">
        <v>46254</v>
      </c>
      <c r="V289" s="605">
        <v>46268</v>
      </c>
      <c r="W289" s="605"/>
      <c r="X289" s="605">
        <v>46281</v>
      </c>
      <c r="Y289" s="605">
        <v>46283</v>
      </c>
      <c r="Z289" s="605">
        <v>46293</v>
      </c>
      <c r="AA289" s="605">
        <v>46328</v>
      </c>
      <c r="AB289" s="605">
        <v>46342</v>
      </c>
      <c r="AC289" s="605">
        <v>46372</v>
      </c>
      <c r="AD289" s="605">
        <v>46372</v>
      </c>
      <c r="AE289" s="605">
        <v>46374</v>
      </c>
      <c r="AF289" s="605">
        <v>46435</v>
      </c>
      <c r="AG289" s="605">
        <v>46442</v>
      </c>
      <c r="AH289" s="605">
        <v>46449</v>
      </c>
      <c r="AI289" s="605">
        <v>46463</v>
      </c>
      <c r="AJ289" s="605">
        <v>46479</v>
      </c>
      <c r="AK289" s="630">
        <v>24</v>
      </c>
      <c r="AL289" s="607">
        <f>AK289*7</f>
        <v>168</v>
      </c>
      <c r="AM289" s="605">
        <f>X289+AL289</f>
        <v>46449</v>
      </c>
      <c r="AN289" s="608">
        <f>AN290</f>
        <v>46485</v>
      </c>
      <c r="AO289" s="600">
        <f>AN290-AM289</f>
        <v>36</v>
      </c>
      <c r="AP289" s="609"/>
      <c r="AQ289" s="610" t="s">
        <v>62</v>
      </c>
      <c r="AR289" s="611">
        <v>46492</v>
      </c>
      <c r="AS289" s="608"/>
    </row>
    <row r="290" spans="1:45" s="548" customFormat="1" ht="24" customHeight="1">
      <c r="A290" s="595"/>
      <c r="B290" s="263" t="s">
        <v>342</v>
      </c>
      <c r="C290" s="596" t="s">
        <v>343</v>
      </c>
      <c r="D290" s="652"/>
      <c r="E290" s="598"/>
      <c r="F290" s="652"/>
      <c r="G290" s="600"/>
      <c r="H290" s="601" t="s">
        <v>271</v>
      </c>
      <c r="I290" s="600" t="s">
        <v>86</v>
      </c>
      <c r="J290" s="263" t="s">
        <v>64</v>
      </c>
      <c r="K290" s="263">
        <v>3</v>
      </c>
      <c r="L290" s="263" t="s">
        <v>6</v>
      </c>
      <c r="M290" s="603" t="s">
        <v>65</v>
      </c>
      <c r="N290" s="605">
        <v>46161</v>
      </c>
      <c r="O290" s="605"/>
      <c r="P290" s="605"/>
      <c r="Q290" s="605"/>
      <c r="R290" s="605"/>
      <c r="S290" s="605"/>
      <c r="T290" s="605"/>
      <c r="U290" s="605">
        <v>46311</v>
      </c>
      <c r="V290" s="605">
        <f>WORKDAY.INTL(U290,INDEX(V$8:V$11,MATCH($L290,$L$8:$L$11,0)),1,IF(V$18="China",'China Holidays'!$A$2:$A$82,'Thai Holidays'!$A$2:$A$63))</f>
        <v>46328</v>
      </c>
      <c r="W290" s="605"/>
      <c r="X290" s="605">
        <v>46315</v>
      </c>
      <c r="Y290" s="605">
        <v>46317</v>
      </c>
      <c r="Z290" s="605">
        <v>46324</v>
      </c>
      <c r="AA290" s="605">
        <v>46352</v>
      </c>
      <c r="AB290" s="605">
        <v>46367</v>
      </c>
      <c r="AC290" s="605">
        <v>46397</v>
      </c>
      <c r="AD290" s="605">
        <v>46397</v>
      </c>
      <c r="AE290" s="605">
        <v>46399</v>
      </c>
      <c r="AF290" s="605">
        <v>46469</v>
      </c>
      <c r="AG290" s="605">
        <v>46476</v>
      </c>
      <c r="AH290" s="605">
        <v>46483</v>
      </c>
      <c r="AI290" s="605">
        <v>46497</v>
      </c>
      <c r="AJ290" s="605">
        <v>46513</v>
      </c>
      <c r="AK290" s="606">
        <v>24</v>
      </c>
      <c r="AL290" s="607">
        <v>168</v>
      </c>
      <c r="AM290" s="605">
        <f>IF(X290&lt;&gt;"",X290+AL290,X291+AL290)</f>
        <v>46483</v>
      </c>
      <c r="AN290" s="608">
        <f>AR289-7</f>
        <v>46485</v>
      </c>
      <c r="AO290" s="600">
        <f>AN290-AM290</f>
        <v>2</v>
      </c>
      <c r="AP290" s="609"/>
      <c r="AQ290" s="610" t="s">
        <v>66</v>
      </c>
      <c r="AR290" s="611">
        <v>46492</v>
      </c>
      <c r="AS290" s="608"/>
    </row>
    <row r="291" spans="1:45" s="548" customFormat="1" ht="24" customHeight="1">
      <c r="A291" s="615"/>
      <c r="B291" s="616" t="s">
        <v>342</v>
      </c>
      <c r="C291" s="649" t="s">
        <v>343</v>
      </c>
      <c r="D291" s="653"/>
      <c r="E291" s="618"/>
      <c r="F291" s="653"/>
      <c r="G291" s="620"/>
      <c r="H291" s="621"/>
      <c r="I291" s="620" t="s">
        <v>86</v>
      </c>
      <c r="J291" s="616" t="s">
        <v>64</v>
      </c>
      <c r="K291" s="263">
        <v>3</v>
      </c>
      <c r="L291" s="616" t="s">
        <v>6</v>
      </c>
      <c r="M291" s="622" t="s">
        <v>67</v>
      </c>
      <c r="N291" s="623"/>
      <c r="O291" s="623">
        <v>46169</v>
      </c>
      <c r="P291" s="623">
        <v>46184</v>
      </c>
      <c r="Q291" s="623">
        <v>46184</v>
      </c>
      <c r="R291" s="623">
        <v>46184</v>
      </c>
      <c r="S291" s="623">
        <v>46188</v>
      </c>
      <c r="T291" s="623">
        <v>46232</v>
      </c>
      <c r="U291" s="623"/>
      <c r="V291" s="623"/>
      <c r="W291" s="623"/>
      <c r="X291" s="623"/>
      <c r="Y291" s="623"/>
      <c r="Z291" s="623"/>
      <c r="AA291" s="623"/>
      <c r="AB291" s="623"/>
      <c r="AC291" s="623"/>
      <c r="AD291" s="623"/>
      <c r="AE291" s="623"/>
      <c r="AF291" s="623"/>
      <c r="AG291" s="623"/>
      <c r="AH291" s="623"/>
      <c r="AI291" s="623"/>
      <c r="AJ291" s="623"/>
      <c r="AK291" s="624"/>
      <c r="AL291" s="625"/>
      <c r="AM291" s="623"/>
      <c r="AN291" s="626"/>
      <c r="AO291" s="620"/>
      <c r="AP291" s="627"/>
      <c r="AQ291" s="628"/>
      <c r="AR291" s="621"/>
      <c r="AS291" s="626"/>
    </row>
    <row r="292" spans="1:45" s="548" customFormat="1" ht="24" hidden="1" customHeight="1">
      <c r="A292" s="595">
        <v>98</v>
      </c>
      <c r="B292" s="263" t="s">
        <v>344</v>
      </c>
      <c r="C292" s="263" t="s">
        <v>345</v>
      </c>
      <c r="D292" s="650"/>
      <c r="E292" s="598"/>
      <c r="F292" s="651"/>
      <c r="G292" s="600"/>
      <c r="H292" s="601"/>
      <c r="I292" s="600" t="s">
        <v>86</v>
      </c>
      <c r="J292" s="263"/>
      <c r="K292" s="602"/>
      <c r="L292" s="263" t="s">
        <v>6</v>
      </c>
      <c r="M292" s="603" t="s">
        <v>60</v>
      </c>
      <c r="N292" s="604"/>
      <c r="O292" s="605">
        <v>46167</v>
      </c>
      <c r="P292" s="605">
        <v>46177</v>
      </c>
      <c r="Q292" s="605">
        <v>46177</v>
      </c>
      <c r="R292" s="605">
        <v>46184</v>
      </c>
      <c r="S292" s="605">
        <v>46184</v>
      </c>
      <c r="T292" s="605">
        <v>46226</v>
      </c>
      <c r="U292" s="605">
        <v>46254</v>
      </c>
      <c r="V292" s="605">
        <v>46268</v>
      </c>
      <c r="W292" s="605"/>
      <c r="X292" s="605">
        <v>46281</v>
      </c>
      <c r="Y292" s="605">
        <v>46283</v>
      </c>
      <c r="Z292" s="605">
        <v>46293</v>
      </c>
      <c r="AA292" s="605">
        <v>46328</v>
      </c>
      <c r="AB292" s="605">
        <v>46342</v>
      </c>
      <c r="AC292" s="605">
        <v>46372</v>
      </c>
      <c r="AD292" s="605">
        <v>46372</v>
      </c>
      <c r="AE292" s="605">
        <v>46374</v>
      </c>
      <c r="AF292" s="605">
        <v>46435</v>
      </c>
      <c r="AG292" s="605">
        <v>46442</v>
      </c>
      <c r="AH292" s="605">
        <v>46449</v>
      </c>
      <c r="AI292" s="605">
        <v>46463</v>
      </c>
      <c r="AJ292" s="605">
        <v>46479</v>
      </c>
      <c r="AK292" s="630">
        <v>24</v>
      </c>
      <c r="AL292" s="607">
        <f>AK292*7</f>
        <v>168</v>
      </c>
      <c r="AM292" s="605">
        <f>X292+AL292</f>
        <v>46449</v>
      </c>
      <c r="AN292" s="608">
        <f>AN293</f>
        <v>46485</v>
      </c>
      <c r="AO292" s="600">
        <f>AN293-AM292</f>
        <v>36</v>
      </c>
      <c r="AP292" s="609"/>
      <c r="AQ292" s="610" t="s">
        <v>62</v>
      </c>
      <c r="AR292" s="611">
        <v>46492</v>
      </c>
      <c r="AS292" s="608"/>
    </row>
    <row r="293" spans="1:45" s="548" customFormat="1" ht="24" customHeight="1">
      <c r="A293" s="595"/>
      <c r="B293" s="263" t="s">
        <v>344</v>
      </c>
      <c r="C293" s="596" t="s">
        <v>345</v>
      </c>
      <c r="D293" s="652"/>
      <c r="E293" s="598"/>
      <c r="F293" s="652"/>
      <c r="G293" s="600"/>
      <c r="H293" s="601" t="s">
        <v>271</v>
      </c>
      <c r="I293" s="600" t="s">
        <v>86</v>
      </c>
      <c r="J293" s="263" t="s">
        <v>64</v>
      </c>
      <c r="K293" s="263">
        <v>3</v>
      </c>
      <c r="L293" s="263" t="s">
        <v>6</v>
      </c>
      <c r="M293" s="603" t="s">
        <v>65</v>
      </c>
      <c r="N293" s="605">
        <v>46161</v>
      </c>
      <c r="O293" s="605"/>
      <c r="P293" s="605"/>
      <c r="Q293" s="605"/>
      <c r="R293" s="605"/>
      <c r="S293" s="605"/>
      <c r="T293" s="605"/>
      <c r="U293" s="605">
        <v>46290</v>
      </c>
      <c r="V293" s="605">
        <f>WORKDAY.INTL(U293,INDEX(V$8:V$11,MATCH($L293,$L$8:$L$11,0)),1,IF(V$18="China",'China Holidays'!$A$2:$A$82,'Thai Holidays'!$A$2:$A$63))</f>
        <v>46304</v>
      </c>
      <c r="W293" s="605"/>
      <c r="X293" s="605">
        <v>46315</v>
      </c>
      <c r="Y293" s="605">
        <v>46317</v>
      </c>
      <c r="Z293" s="605">
        <v>46324</v>
      </c>
      <c r="AA293" s="605">
        <v>46352</v>
      </c>
      <c r="AB293" s="605">
        <v>46367</v>
      </c>
      <c r="AC293" s="605">
        <v>46397</v>
      </c>
      <c r="AD293" s="605">
        <v>46397</v>
      </c>
      <c r="AE293" s="605">
        <v>46399</v>
      </c>
      <c r="AF293" s="605">
        <v>46469</v>
      </c>
      <c r="AG293" s="605">
        <v>46476</v>
      </c>
      <c r="AH293" s="605">
        <v>46483</v>
      </c>
      <c r="AI293" s="605">
        <v>46497</v>
      </c>
      <c r="AJ293" s="605">
        <v>46513</v>
      </c>
      <c r="AK293" s="606">
        <v>24</v>
      </c>
      <c r="AL293" s="607">
        <v>168</v>
      </c>
      <c r="AM293" s="605">
        <f>IF(X293&lt;&gt;"",X293+AL293,X294+AL293)</f>
        <v>46483</v>
      </c>
      <c r="AN293" s="608">
        <f>AR292-7</f>
        <v>46485</v>
      </c>
      <c r="AO293" s="600">
        <f>AN293-AM293</f>
        <v>2</v>
      </c>
      <c r="AP293" s="609"/>
      <c r="AQ293" s="610" t="s">
        <v>66</v>
      </c>
      <c r="AR293" s="611">
        <v>46492</v>
      </c>
      <c r="AS293" s="608"/>
    </row>
    <row r="294" spans="1:45" s="548" customFormat="1" ht="24" customHeight="1">
      <c r="A294" s="615"/>
      <c r="B294" s="616" t="s">
        <v>344</v>
      </c>
      <c r="C294" s="649" t="s">
        <v>345</v>
      </c>
      <c r="D294" s="653"/>
      <c r="E294" s="618"/>
      <c r="F294" s="653"/>
      <c r="G294" s="620"/>
      <c r="H294" s="621"/>
      <c r="I294" s="620" t="s">
        <v>86</v>
      </c>
      <c r="J294" s="616" t="s">
        <v>64</v>
      </c>
      <c r="K294" s="263">
        <v>3</v>
      </c>
      <c r="L294" s="616" t="s">
        <v>6</v>
      </c>
      <c r="M294" s="622" t="s">
        <v>67</v>
      </c>
      <c r="N294" s="623"/>
      <c r="O294" s="623">
        <v>46169</v>
      </c>
      <c r="P294" s="623">
        <v>46184</v>
      </c>
      <c r="Q294" s="623">
        <v>46184</v>
      </c>
      <c r="R294" s="623">
        <v>46184</v>
      </c>
      <c r="S294" s="623">
        <v>46188</v>
      </c>
      <c r="T294" s="623">
        <v>46239</v>
      </c>
      <c r="U294" s="623"/>
      <c r="V294" s="623"/>
      <c r="W294" s="623"/>
      <c r="X294" s="623"/>
      <c r="Y294" s="623"/>
      <c r="Z294" s="623"/>
      <c r="AA294" s="623"/>
      <c r="AB294" s="623"/>
      <c r="AC294" s="623"/>
      <c r="AD294" s="623"/>
      <c r="AE294" s="623"/>
      <c r="AF294" s="623"/>
      <c r="AG294" s="623"/>
      <c r="AH294" s="623"/>
      <c r="AI294" s="623"/>
      <c r="AJ294" s="623"/>
      <c r="AK294" s="624"/>
      <c r="AL294" s="625"/>
      <c r="AM294" s="623"/>
      <c r="AN294" s="626"/>
      <c r="AO294" s="620"/>
      <c r="AP294" s="627"/>
      <c r="AQ294" s="628"/>
      <c r="AR294" s="621"/>
      <c r="AS294" s="626" t="s">
        <v>217</v>
      </c>
    </row>
    <row r="295" spans="1:45" s="548" customFormat="1" ht="24" hidden="1" customHeight="1">
      <c r="A295" s="595">
        <v>99</v>
      </c>
      <c r="B295" s="263" t="s">
        <v>346</v>
      </c>
      <c r="C295" s="263" t="s">
        <v>347</v>
      </c>
      <c r="D295" s="650"/>
      <c r="E295" s="598"/>
      <c r="F295" s="651"/>
      <c r="G295" s="600"/>
      <c r="H295" s="601"/>
      <c r="I295" s="600" t="s">
        <v>86</v>
      </c>
      <c r="J295" s="263"/>
      <c r="K295" s="602"/>
      <c r="L295" s="263" t="s">
        <v>6</v>
      </c>
      <c r="M295" s="603" t="s">
        <v>60</v>
      </c>
      <c r="N295" s="604"/>
      <c r="O295" s="605">
        <v>46167</v>
      </c>
      <c r="P295" s="605">
        <v>46177</v>
      </c>
      <c r="Q295" s="605">
        <v>46177</v>
      </c>
      <c r="R295" s="605">
        <v>46184</v>
      </c>
      <c r="S295" s="605">
        <v>46184</v>
      </c>
      <c r="T295" s="605">
        <v>46226</v>
      </c>
      <c r="U295" s="605">
        <v>46254</v>
      </c>
      <c r="V295" s="605">
        <v>46268</v>
      </c>
      <c r="W295" s="605"/>
      <c r="X295" s="605">
        <v>46281</v>
      </c>
      <c r="Y295" s="605">
        <v>46283</v>
      </c>
      <c r="Z295" s="605">
        <v>46293</v>
      </c>
      <c r="AA295" s="605">
        <v>46328</v>
      </c>
      <c r="AB295" s="605">
        <v>46342</v>
      </c>
      <c r="AC295" s="605">
        <v>46372</v>
      </c>
      <c r="AD295" s="605">
        <v>46372</v>
      </c>
      <c r="AE295" s="605">
        <v>46374</v>
      </c>
      <c r="AF295" s="605">
        <v>46435</v>
      </c>
      <c r="AG295" s="605">
        <v>46442</v>
      </c>
      <c r="AH295" s="605">
        <v>46449</v>
      </c>
      <c r="AI295" s="605">
        <v>46463</v>
      </c>
      <c r="AJ295" s="605">
        <v>46479</v>
      </c>
      <c r="AK295" s="630">
        <v>24</v>
      </c>
      <c r="AL295" s="607">
        <f>AK295*7</f>
        <v>168</v>
      </c>
      <c r="AM295" s="605">
        <f>X295+AL295</f>
        <v>46449</v>
      </c>
      <c r="AN295" s="608">
        <f>AN296</f>
        <v>46485</v>
      </c>
      <c r="AO295" s="600">
        <f>AN296-AM295</f>
        <v>36</v>
      </c>
      <c r="AP295" s="609"/>
      <c r="AQ295" s="610" t="s">
        <v>62</v>
      </c>
      <c r="AR295" s="611">
        <v>46492</v>
      </c>
      <c r="AS295" s="608"/>
    </row>
    <row r="296" spans="1:45" s="548" customFormat="1" ht="24" customHeight="1">
      <c r="A296" s="595"/>
      <c r="B296" s="263" t="s">
        <v>346</v>
      </c>
      <c r="C296" s="596" t="s">
        <v>348</v>
      </c>
      <c r="D296" s="652"/>
      <c r="E296" s="598"/>
      <c r="F296" s="652"/>
      <c r="G296" s="600"/>
      <c r="H296" s="601" t="s">
        <v>271</v>
      </c>
      <c r="I296" s="600" t="s">
        <v>86</v>
      </c>
      <c r="J296" s="263" t="s">
        <v>64</v>
      </c>
      <c r="K296" s="263">
        <v>3</v>
      </c>
      <c r="L296" s="263" t="s">
        <v>6</v>
      </c>
      <c r="M296" s="603" t="s">
        <v>65</v>
      </c>
      <c r="N296" s="605">
        <v>46161</v>
      </c>
      <c r="O296" s="605"/>
      <c r="P296" s="605"/>
      <c r="Q296" s="605"/>
      <c r="R296" s="605"/>
      <c r="S296" s="605"/>
      <c r="T296" s="605"/>
      <c r="U296" s="605">
        <v>46311</v>
      </c>
      <c r="V296" s="605">
        <f>WORKDAY.INTL(U296,INDEX(V$8:V$11,MATCH($L296,$L$8:$L$11,0)),1,IF(V$18="China",'China Holidays'!$A$2:$A$82,'Thai Holidays'!$A$2:$A$63))</f>
        <v>46328</v>
      </c>
      <c r="W296" s="605"/>
      <c r="X296" s="605">
        <v>46315</v>
      </c>
      <c r="Y296" s="605">
        <v>46317</v>
      </c>
      <c r="Z296" s="605">
        <v>46324</v>
      </c>
      <c r="AA296" s="605">
        <v>46352</v>
      </c>
      <c r="AB296" s="605">
        <v>46367</v>
      </c>
      <c r="AC296" s="605">
        <v>46397</v>
      </c>
      <c r="AD296" s="605">
        <v>46397</v>
      </c>
      <c r="AE296" s="605">
        <v>46399</v>
      </c>
      <c r="AF296" s="605">
        <v>46469</v>
      </c>
      <c r="AG296" s="605">
        <v>46476</v>
      </c>
      <c r="AH296" s="605">
        <v>46483</v>
      </c>
      <c r="AI296" s="605">
        <v>46497</v>
      </c>
      <c r="AJ296" s="605">
        <v>46513</v>
      </c>
      <c r="AK296" s="606">
        <v>24</v>
      </c>
      <c r="AL296" s="607">
        <v>168</v>
      </c>
      <c r="AM296" s="605">
        <f>IF(X296&lt;&gt;"",X296+AL296,X297+AL296)</f>
        <v>46483</v>
      </c>
      <c r="AN296" s="608">
        <f>AR295-7</f>
        <v>46485</v>
      </c>
      <c r="AO296" s="600">
        <f>AN296-AM296</f>
        <v>2</v>
      </c>
      <c r="AP296" s="609"/>
      <c r="AQ296" s="610" t="s">
        <v>66</v>
      </c>
      <c r="AR296" s="611">
        <v>46492</v>
      </c>
      <c r="AS296" s="608"/>
    </row>
    <row r="297" spans="1:45" s="548" customFormat="1" ht="24" customHeight="1">
      <c r="A297" s="615"/>
      <c r="B297" s="616" t="s">
        <v>346</v>
      </c>
      <c r="C297" s="649" t="s">
        <v>348</v>
      </c>
      <c r="D297" s="653"/>
      <c r="E297" s="618"/>
      <c r="F297" s="653"/>
      <c r="G297" s="620"/>
      <c r="H297" s="621"/>
      <c r="I297" s="620" t="s">
        <v>86</v>
      </c>
      <c r="J297" s="616" t="s">
        <v>64</v>
      </c>
      <c r="K297" s="616">
        <v>3</v>
      </c>
      <c r="L297" s="616" t="s">
        <v>6</v>
      </c>
      <c r="M297" s="622" t="s">
        <v>67</v>
      </c>
      <c r="N297" s="623"/>
      <c r="O297" s="623">
        <v>46169</v>
      </c>
      <c r="P297" s="623">
        <v>46184</v>
      </c>
      <c r="Q297" s="623">
        <v>46184</v>
      </c>
      <c r="R297" s="623">
        <v>46184</v>
      </c>
      <c r="S297" s="623">
        <v>46188</v>
      </c>
      <c r="T297" s="623">
        <v>46232</v>
      </c>
      <c r="U297" s="623"/>
      <c r="V297" s="623"/>
      <c r="W297" s="623"/>
      <c r="X297" s="623"/>
      <c r="Y297" s="623"/>
      <c r="Z297" s="623"/>
      <c r="AA297" s="623"/>
      <c r="AB297" s="623"/>
      <c r="AC297" s="623"/>
      <c r="AD297" s="623"/>
      <c r="AE297" s="623"/>
      <c r="AF297" s="623"/>
      <c r="AG297" s="623"/>
      <c r="AH297" s="623"/>
      <c r="AI297" s="623"/>
      <c r="AJ297" s="623"/>
      <c r="AK297" s="624"/>
      <c r="AL297" s="625"/>
      <c r="AM297" s="623"/>
      <c r="AN297" s="626"/>
      <c r="AO297" s="620"/>
      <c r="AP297" s="627"/>
      <c r="AQ297" s="628"/>
      <c r="AR297" s="621"/>
      <c r="AS297" s="626" t="s">
        <v>217</v>
      </c>
    </row>
    <row r="298" spans="1:45" s="548" customFormat="1" ht="24" hidden="1" customHeight="1">
      <c r="A298" s="595">
        <v>100</v>
      </c>
      <c r="B298" s="263" t="s">
        <v>349</v>
      </c>
      <c r="C298" s="263" t="s">
        <v>350</v>
      </c>
      <c r="D298" s="650"/>
      <c r="E298" s="598"/>
      <c r="F298" s="651"/>
      <c r="G298" s="600"/>
      <c r="H298" s="601"/>
      <c r="I298" s="600" t="s">
        <v>86</v>
      </c>
      <c r="J298" s="263"/>
      <c r="K298" s="602"/>
      <c r="L298" s="263" t="s">
        <v>9</v>
      </c>
      <c r="M298" s="603" t="s">
        <v>60</v>
      </c>
      <c r="N298" s="604"/>
      <c r="O298" s="605">
        <v>46169</v>
      </c>
      <c r="P298" s="605">
        <v>46184</v>
      </c>
      <c r="Q298" s="605">
        <v>46184</v>
      </c>
      <c r="R298" s="605">
        <v>46184</v>
      </c>
      <c r="S298" s="605">
        <v>46184</v>
      </c>
      <c r="T298" s="605">
        <v>46233</v>
      </c>
      <c r="U298" s="605">
        <v>46261</v>
      </c>
      <c r="V298" s="605">
        <v>46275</v>
      </c>
      <c r="W298" s="605"/>
      <c r="X298" s="605">
        <v>46282</v>
      </c>
      <c r="Y298" s="605">
        <v>46284</v>
      </c>
      <c r="Z298" s="605">
        <v>46289</v>
      </c>
      <c r="AA298" s="605">
        <v>46303</v>
      </c>
      <c r="AB298" s="605">
        <v>46317</v>
      </c>
      <c r="AC298" s="605">
        <v>46303</v>
      </c>
      <c r="AD298" s="605">
        <v>46303</v>
      </c>
      <c r="AE298" s="605">
        <v>46305</v>
      </c>
      <c r="AF298" s="605">
        <v>46324</v>
      </c>
      <c r="AG298" s="605">
        <v>46327</v>
      </c>
      <c r="AH298" s="605">
        <v>46342</v>
      </c>
      <c r="AI298" s="605">
        <v>46356</v>
      </c>
      <c r="AJ298" s="605">
        <v>46372</v>
      </c>
      <c r="AK298" s="630">
        <v>8.5714285714285694</v>
      </c>
      <c r="AL298" s="607">
        <f>AK298*7</f>
        <v>59.999999999999986</v>
      </c>
      <c r="AM298" s="605">
        <f>X298+AL298</f>
        <v>46342</v>
      </c>
      <c r="AN298" s="608">
        <f>AN299</f>
        <v>46356</v>
      </c>
      <c r="AO298" s="600">
        <f>AN299-AM298</f>
        <v>14</v>
      </c>
      <c r="AP298" s="609"/>
      <c r="AQ298" s="610" t="s">
        <v>62</v>
      </c>
      <c r="AR298" s="611">
        <v>46359</v>
      </c>
      <c r="AS298" s="608"/>
    </row>
    <row r="299" spans="1:45" s="546" customFormat="1" ht="24" customHeight="1">
      <c r="A299" s="595"/>
      <c r="B299" s="263" t="s">
        <v>349</v>
      </c>
      <c r="C299" s="263" t="s">
        <v>350</v>
      </c>
      <c r="D299" s="652"/>
      <c r="E299" s="598"/>
      <c r="F299" s="652"/>
      <c r="G299" s="600"/>
      <c r="H299" s="722" t="s">
        <v>271</v>
      </c>
      <c r="I299" s="600" t="s">
        <v>86</v>
      </c>
      <c r="J299" s="263" t="s">
        <v>73</v>
      </c>
      <c r="K299" s="263">
        <v>0</v>
      </c>
      <c r="L299" s="263" t="s">
        <v>9</v>
      </c>
      <c r="M299" s="603" t="s">
        <v>65</v>
      </c>
      <c r="N299" s="605">
        <v>46162</v>
      </c>
      <c r="O299" s="605"/>
      <c r="P299" s="605"/>
      <c r="Q299" s="605"/>
      <c r="R299" s="605"/>
      <c r="S299" s="612">
        <v>46288</v>
      </c>
      <c r="T299" s="612">
        <v>46290</v>
      </c>
      <c r="U299" s="612">
        <f>WORKDAY.INTL(T299,INDEX(U$8:U$11,MATCH($L299,$L$8:$L$11,0)),1,IF(U$18="China",'[35]China Holidays'!$A$2:$A$82,'[35]Thai Holidays'!$A$2:$A$63))</f>
        <v>46301</v>
      </c>
      <c r="V299" s="612">
        <f>WORKDAY.INTL(U299,INDEX(V$8:V$11,MATCH($L299,$L$8:$L$11,0)),1,IF(V$18="China",'[35]China Holidays'!$A$2:$A$82,'[35]Thai Holidays'!$A$2:$A$63))</f>
        <v>46316</v>
      </c>
      <c r="W299" s="612"/>
      <c r="X299" s="612">
        <f>WORKDAY.INTL(V299,INDEX(X$8:X$11,MATCH($L299,$L$8:$L$11,0)),1,IF(X$18="China",'China Holidays'!$A$2:$A$82,'Thai Holidays'!$A$2:$A$63))</f>
        <v>46323</v>
      </c>
      <c r="Y299" s="612">
        <f>WORKDAY.INTL(X299,INDEX(Y$12:Y$15,MATCH($L299,$L$12:$L$15,0)),1,IF(Y$18="China",'China Holidays'!$A$2:$A$82,'Thai Holidays'!$A$2:$A$63))</f>
        <v>46325</v>
      </c>
      <c r="Z299" s="612">
        <f>WORKDAY.INTL(Y299,INDEX(Z$12:Z$15,MATCH($L299,$L$12:$L$15,0)),1,IF(Z$18="China",'China Holidays'!$A$2:$A$82,'Thai Holidays'!$A$2:$A$63))</f>
        <v>46332</v>
      </c>
      <c r="AA299" s="612">
        <f>WORKDAY.INTL(Z299,INDEX(AA$12:AA$15,MATCH($L299,$L$12:$L$15,0)),1,IF(AA$18="China",'China Holidays'!$A$2:$A$82,'Thai Holidays'!$A$2:$A$63))</f>
        <v>46346</v>
      </c>
      <c r="AB299" s="612">
        <f>WORKDAY.INTL(AA299,INDEX(AB$12:AB$15,MATCH($L299,$L$12:$L$15,0)),1,IF(AB$18="China",'China Holidays'!$A$2:$A$82,'Thai Holidays'!$A$2:$A$63))</f>
        <v>46360</v>
      </c>
      <c r="AC299" s="605">
        <f>AB299+10</f>
        <v>46370</v>
      </c>
      <c r="AD299" s="605">
        <f>AC299</f>
        <v>46370</v>
      </c>
      <c r="AE299" s="605">
        <f>AD299+2</f>
        <v>46372</v>
      </c>
      <c r="AF299" s="605">
        <f>AG299-7</f>
        <v>46339</v>
      </c>
      <c r="AG299" s="605">
        <f>AH299-7</f>
        <v>46346</v>
      </c>
      <c r="AH299" s="605">
        <f>AM299</f>
        <v>46353</v>
      </c>
      <c r="AI299" s="605">
        <f>AM299+14</f>
        <v>46367</v>
      </c>
      <c r="AJ299" s="605">
        <f>AM299+30</f>
        <v>46383</v>
      </c>
      <c r="AK299" s="606">
        <v>8.5714285714285694</v>
      </c>
      <c r="AL299" s="647">
        <v>30</v>
      </c>
      <c r="AM299" s="605">
        <f>IF(X299&lt;&gt;"",X299+AL299,X300+AL299)</f>
        <v>46353</v>
      </c>
      <c r="AN299" s="608">
        <f>AR298-3</f>
        <v>46356</v>
      </c>
      <c r="AO299" s="600">
        <f>AN299-AM299</f>
        <v>3</v>
      </c>
      <c r="AP299" s="609"/>
      <c r="AQ299" s="610" t="s">
        <v>66</v>
      </c>
      <c r="AR299" s="611">
        <v>46379</v>
      </c>
      <c r="AS299" s="626" t="s">
        <v>351</v>
      </c>
    </row>
    <row r="300" spans="1:45" s="546" customFormat="1" ht="24" customHeight="1">
      <c r="A300" s="615"/>
      <c r="B300" s="616" t="s">
        <v>349</v>
      </c>
      <c r="C300" s="649" t="s">
        <v>350</v>
      </c>
      <c r="D300" s="653"/>
      <c r="E300" s="618"/>
      <c r="F300" s="653"/>
      <c r="G300" s="620"/>
      <c r="H300" s="710"/>
      <c r="I300" s="620" t="s">
        <v>86</v>
      </c>
      <c r="J300" s="616" t="s">
        <v>73</v>
      </c>
      <c r="K300" s="616"/>
      <c r="L300" s="616" t="s">
        <v>9</v>
      </c>
      <c r="M300" s="622" t="s">
        <v>67</v>
      </c>
      <c r="N300" s="623"/>
      <c r="O300" s="623">
        <v>46169</v>
      </c>
      <c r="P300" s="623">
        <v>46184</v>
      </c>
      <c r="Q300" s="623">
        <v>46184</v>
      </c>
      <c r="R300" s="623">
        <v>46184</v>
      </c>
      <c r="S300" s="623"/>
      <c r="T300" s="623"/>
      <c r="U300" s="623"/>
      <c r="V300" s="623"/>
      <c r="W300" s="623"/>
      <c r="X300" s="620"/>
      <c r="Y300" s="623"/>
      <c r="Z300" s="623"/>
      <c r="AA300" s="623"/>
      <c r="AB300" s="623"/>
      <c r="AC300" s="623"/>
      <c r="AD300" s="623"/>
      <c r="AE300" s="623"/>
      <c r="AF300" s="623"/>
      <c r="AG300" s="623"/>
      <c r="AH300" s="623"/>
      <c r="AI300" s="623"/>
      <c r="AJ300" s="623"/>
      <c r="AK300" s="624"/>
      <c r="AL300" s="625"/>
      <c r="AM300" s="623"/>
      <c r="AN300" s="723"/>
      <c r="AO300" s="620"/>
      <c r="AP300" s="627"/>
      <c r="AQ300" s="628"/>
      <c r="AR300" s="627"/>
      <c r="AS300" s="723"/>
    </row>
    <row r="301" spans="1:45" s="548" customFormat="1" ht="24" hidden="1" customHeight="1">
      <c r="A301" s="595">
        <v>101</v>
      </c>
      <c r="B301" s="263" t="s">
        <v>352</v>
      </c>
      <c r="C301" s="263" t="s">
        <v>353</v>
      </c>
      <c r="D301" s="650"/>
      <c r="E301" s="598"/>
      <c r="F301" s="651"/>
      <c r="G301" s="600"/>
      <c r="H301" s="601"/>
      <c r="I301" s="600" t="s">
        <v>137</v>
      </c>
      <c r="J301" s="263"/>
      <c r="K301" s="602"/>
      <c r="L301" s="263" t="s">
        <v>8</v>
      </c>
      <c r="M301" s="603" t="s">
        <v>60</v>
      </c>
      <c r="N301" s="604"/>
      <c r="O301" s="605">
        <v>46245</v>
      </c>
      <c r="P301" s="605">
        <v>46260</v>
      </c>
      <c r="Q301" s="605">
        <v>46260</v>
      </c>
      <c r="R301" s="605">
        <v>46261</v>
      </c>
      <c r="S301" s="605">
        <v>46261</v>
      </c>
      <c r="T301" s="605">
        <v>46275</v>
      </c>
      <c r="U301" s="605">
        <v>46293</v>
      </c>
      <c r="V301" s="605">
        <v>46307</v>
      </c>
      <c r="W301" s="605"/>
      <c r="X301" s="605">
        <v>46316</v>
      </c>
      <c r="Y301" s="605">
        <v>46318</v>
      </c>
      <c r="Z301" s="605">
        <v>46325</v>
      </c>
      <c r="AA301" s="605">
        <v>46346</v>
      </c>
      <c r="AB301" s="605">
        <v>46360</v>
      </c>
      <c r="AC301" s="605">
        <v>46375</v>
      </c>
      <c r="AD301" s="605">
        <v>46375</v>
      </c>
      <c r="AE301" s="605">
        <v>46377</v>
      </c>
      <c r="AF301" s="605">
        <v>46421</v>
      </c>
      <c r="AG301" s="605">
        <v>46435</v>
      </c>
      <c r="AH301" s="605">
        <v>46442</v>
      </c>
      <c r="AI301" s="605">
        <v>46456</v>
      </c>
      <c r="AJ301" s="605">
        <v>46472</v>
      </c>
      <c r="AK301" s="630">
        <v>18</v>
      </c>
      <c r="AL301" s="607">
        <f>AK301*7</f>
        <v>126</v>
      </c>
      <c r="AM301" s="605">
        <f>X301+AL301</f>
        <v>46442</v>
      </c>
      <c r="AN301" s="608">
        <f>AN302</f>
        <v>46484</v>
      </c>
      <c r="AO301" s="600">
        <f>AN302-AM301</f>
        <v>42</v>
      </c>
      <c r="AP301" s="609"/>
      <c r="AQ301" s="610" t="s">
        <v>62</v>
      </c>
      <c r="AR301" s="611">
        <v>46491</v>
      </c>
      <c r="AS301" s="608"/>
    </row>
    <row r="302" spans="1:45" s="548" customFormat="1" ht="24" customHeight="1">
      <c r="A302" s="595"/>
      <c r="B302" s="263" t="s">
        <v>352</v>
      </c>
      <c r="C302" s="596" t="s">
        <v>354</v>
      </c>
      <c r="D302" s="652"/>
      <c r="E302" s="598"/>
      <c r="F302" s="652"/>
      <c r="G302" s="600"/>
      <c r="H302" s="601" t="s">
        <v>167</v>
      </c>
      <c r="I302" s="600" t="s">
        <v>137</v>
      </c>
      <c r="J302" s="263" t="s">
        <v>73</v>
      </c>
      <c r="K302" s="263">
        <v>4</v>
      </c>
      <c r="L302" s="263" t="s">
        <v>8</v>
      </c>
      <c r="M302" s="603" t="s">
        <v>65</v>
      </c>
      <c r="N302" s="605"/>
      <c r="O302" s="605"/>
      <c r="P302" s="605"/>
      <c r="Q302" s="605"/>
      <c r="R302" s="605"/>
      <c r="S302" s="605"/>
      <c r="T302" s="605"/>
      <c r="U302" s="605">
        <v>46295</v>
      </c>
      <c r="V302" s="605">
        <f>WORKDAY.INTL(U302,INDEX(V$8:V$11,MATCH($L302,$L$8:$L$11,0)),1,IF(V$18="China",'China Holidays'!$A$2:$A$82,'Thai Holidays'!$A$2:$A$63))</f>
        <v>46310</v>
      </c>
      <c r="W302" s="605"/>
      <c r="X302" s="605">
        <v>46323</v>
      </c>
      <c r="Y302" s="605">
        <v>46325</v>
      </c>
      <c r="Z302" s="605">
        <v>46332</v>
      </c>
      <c r="AA302" s="605">
        <v>46353</v>
      </c>
      <c r="AB302" s="605">
        <v>46370</v>
      </c>
      <c r="AC302" s="605">
        <v>46385</v>
      </c>
      <c r="AD302" s="605">
        <v>46385</v>
      </c>
      <c r="AE302" s="605">
        <v>46387</v>
      </c>
      <c r="AF302" s="605">
        <v>46428</v>
      </c>
      <c r="AG302" s="605">
        <v>46442</v>
      </c>
      <c r="AH302" s="605">
        <v>46449</v>
      </c>
      <c r="AI302" s="605">
        <v>46463</v>
      </c>
      <c r="AJ302" s="605">
        <v>46479</v>
      </c>
      <c r="AK302" s="606">
        <v>18</v>
      </c>
      <c r="AL302" s="607">
        <v>126</v>
      </c>
      <c r="AM302" s="605">
        <f>IF(X302&lt;&gt;"",X302+AL302,X303+AL302)</f>
        <v>46449</v>
      </c>
      <c r="AN302" s="608">
        <f>AR301-7</f>
        <v>46484</v>
      </c>
      <c r="AO302" s="600">
        <f>AN302-AM302</f>
        <v>35</v>
      </c>
      <c r="AP302" s="609"/>
      <c r="AQ302" s="610" t="s">
        <v>66</v>
      </c>
      <c r="AR302" s="611">
        <v>46491</v>
      </c>
      <c r="AS302" s="608"/>
    </row>
    <row r="303" spans="1:45" s="548" customFormat="1" ht="24" customHeight="1">
      <c r="A303" s="615"/>
      <c r="B303" s="616" t="s">
        <v>352</v>
      </c>
      <c r="C303" s="649" t="s">
        <v>353</v>
      </c>
      <c r="D303" s="653"/>
      <c r="E303" s="618"/>
      <c r="F303" s="653"/>
      <c r="G303" s="620"/>
      <c r="H303" s="621"/>
      <c r="I303" s="620" t="s">
        <v>137</v>
      </c>
      <c r="J303" s="616" t="s">
        <v>73</v>
      </c>
      <c r="K303" s="263">
        <v>4</v>
      </c>
      <c r="L303" s="616" t="s">
        <v>8</v>
      </c>
      <c r="M303" s="622" t="s">
        <v>67</v>
      </c>
      <c r="N303" s="620"/>
      <c r="O303" s="623">
        <v>46248</v>
      </c>
      <c r="P303" s="623">
        <v>46261</v>
      </c>
      <c r="Q303" s="623">
        <v>46261</v>
      </c>
      <c r="R303" s="623">
        <v>46261</v>
      </c>
      <c r="S303" s="623">
        <f>R303</f>
        <v>46261</v>
      </c>
      <c r="T303" s="623">
        <v>46267</v>
      </c>
      <c r="U303" s="623"/>
      <c r="V303" s="623"/>
      <c r="W303" s="623"/>
      <c r="X303" s="620"/>
      <c r="Y303" s="623"/>
      <c r="Z303" s="623"/>
      <c r="AA303" s="623"/>
      <c r="AB303" s="623"/>
      <c r="AC303" s="623"/>
      <c r="AD303" s="623"/>
      <c r="AE303" s="623"/>
      <c r="AF303" s="623"/>
      <c r="AG303" s="623"/>
      <c r="AH303" s="623"/>
      <c r="AI303" s="623"/>
      <c r="AJ303" s="623"/>
      <c r="AK303" s="624"/>
      <c r="AL303" s="625"/>
      <c r="AM303" s="623"/>
      <c r="AN303" s="626"/>
      <c r="AO303" s="620"/>
      <c r="AP303" s="627"/>
      <c r="AQ303" s="628"/>
      <c r="AR303" s="627"/>
      <c r="AS303" s="626"/>
    </row>
    <row r="304" spans="1:45" s="548" customFormat="1" ht="24" hidden="1" customHeight="1">
      <c r="A304" s="595">
        <v>105</v>
      </c>
      <c r="B304" s="263" t="s">
        <v>355</v>
      </c>
      <c r="C304" s="263" t="s">
        <v>356</v>
      </c>
      <c r="D304" s="650" t="s">
        <v>357</v>
      </c>
      <c r="E304" s="598"/>
      <c r="F304" s="651"/>
      <c r="G304" s="600"/>
      <c r="H304" s="601"/>
      <c r="I304" s="600" t="s">
        <v>235</v>
      </c>
      <c r="J304" s="263"/>
      <c r="K304" s="602"/>
      <c r="L304" s="263" t="s">
        <v>6</v>
      </c>
      <c r="M304" s="603" t="s">
        <v>60</v>
      </c>
      <c r="N304" s="604"/>
      <c r="O304" s="605">
        <v>46208</v>
      </c>
      <c r="P304" s="605">
        <v>46213</v>
      </c>
      <c r="Q304" s="605">
        <v>46213</v>
      </c>
      <c r="R304" s="605">
        <v>46213</v>
      </c>
      <c r="S304" s="605">
        <v>46213</v>
      </c>
      <c r="T304" s="605">
        <v>46220</v>
      </c>
      <c r="U304" s="605">
        <v>46223</v>
      </c>
      <c r="V304" s="605">
        <v>46227</v>
      </c>
      <c r="W304" s="605"/>
      <c r="X304" s="605">
        <v>46230</v>
      </c>
      <c r="Y304" s="605">
        <v>46231</v>
      </c>
      <c r="Z304" s="605">
        <v>46236</v>
      </c>
      <c r="AA304" s="605">
        <v>46246</v>
      </c>
      <c r="AB304" s="605">
        <v>46258</v>
      </c>
      <c r="AC304" s="605">
        <v>46263</v>
      </c>
      <c r="AD304" s="605">
        <f>AC304+1</f>
        <v>46264</v>
      </c>
      <c r="AE304" s="605">
        <f>AD304+1</f>
        <v>46265</v>
      </c>
      <c r="AF304" s="605">
        <v>46309</v>
      </c>
      <c r="AG304" s="605">
        <v>46316</v>
      </c>
      <c r="AH304" s="605">
        <v>46319</v>
      </c>
      <c r="AI304" s="605">
        <v>46333</v>
      </c>
      <c r="AJ304" s="605">
        <v>46349</v>
      </c>
      <c r="AK304" s="630">
        <v>12.8571428571429</v>
      </c>
      <c r="AL304" s="607">
        <f>AK304*7</f>
        <v>90.000000000000298</v>
      </c>
      <c r="AM304" s="605">
        <f>X304+AL304</f>
        <v>46320</v>
      </c>
      <c r="AN304" s="608">
        <f>AN305</f>
        <v>46327</v>
      </c>
      <c r="AO304" s="600">
        <f>AN305-AM304</f>
        <v>7</v>
      </c>
      <c r="AP304" s="609" t="s">
        <v>61</v>
      </c>
      <c r="AQ304" s="610" t="s">
        <v>62</v>
      </c>
      <c r="AR304" s="611">
        <v>46331</v>
      </c>
      <c r="AS304" s="608"/>
    </row>
    <row r="305" spans="1:45" s="548" customFormat="1" ht="24" customHeight="1">
      <c r="A305" s="595"/>
      <c r="B305" s="263" t="s">
        <v>355</v>
      </c>
      <c r="C305" s="263" t="s">
        <v>356</v>
      </c>
      <c r="D305" s="652" t="s">
        <v>357</v>
      </c>
      <c r="E305" s="598"/>
      <c r="F305" s="652"/>
      <c r="G305" s="600"/>
      <c r="H305" s="601" t="s">
        <v>246</v>
      </c>
      <c r="I305" s="600" t="s">
        <v>235</v>
      </c>
      <c r="J305" s="263" t="s">
        <v>64</v>
      </c>
      <c r="K305" s="263">
        <v>2</v>
      </c>
      <c r="L305" s="263" t="s">
        <v>6</v>
      </c>
      <c r="M305" s="603" t="s">
        <v>65</v>
      </c>
      <c r="N305" s="605">
        <v>46137</v>
      </c>
      <c r="O305" s="605"/>
      <c r="P305" s="605"/>
      <c r="Q305" s="605"/>
      <c r="R305" s="605"/>
      <c r="S305" s="605"/>
      <c r="T305" s="605"/>
      <c r="U305" s="605"/>
      <c r="V305" s="605"/>
      <c r="W305" s="605"/>
      <c r="X305" s="605"/>
      <c r="Y305" s="605"/>
      <c r="Z305" s="605"/>
      <c r="AA305" s="605"/>
      <c r="AB305" s="605">
        <v>46311</v>
      </c>
      <c r="AC305" s="605"/>
      <c r="AD305" s="605"/>
      <c r="AE305" s="605"/>
      <c r="AF305" s="605">
        <v>46331</v>
      </c>
      <c r="AG305" s="605">
        <v>46338</v>
      </c>
      <c r="AH305" s="605">
        <v>46341</v>
      </c>
      <c r="AI305" s="605">
        <f>AM305+14</f>
        <v>46323</v>
      </c>
      <c r="AJ305" s="605">
        <f>AM305+30</f>
        <v>46339</v>
      </c>
      <c r="AK305" s="606">
        <v>12.8571428571429</v>
      </c>
      <c r="AL305" s="607">
        <v>90.000000000000298</v>
      </c>
      <c r="AM305" s="605">
        <f>IF(X305&lt;&gt;"",X305+AL305,X306+AL305)</f>
        <v>46309</v>
      </c>
      <c r="AN305" s="608">
        <v>46327</v>
      </c>
      <c r="AO305" s="600">
        <f>AN305-AM305</f>
        <v>18</v>
      </c>
      <c r="AP305" s="614" t="str">
        <f>AP304</f>
        <v>Long Lead</v>
      </c>
      <c r="AQ305" s="610" t="s">
        <v>66</v>
      </c>
      <c r="AR305" s="611">
        <v>46352</v>
      </c>
      <c r="AS305" s="608" t="s">
        <v>242</v>
      </c>
    </row>
    <row r="306" spans="1:45" s="548" customFormat="1" ht="24" customHeight="1">
      <c r="A306" s="615"/>
      <c r="B306" s="616" t="s">
        <v>355</v>
      </c>
      <c r="C306" s="616" t="s">
        <v>356</v>
      </c>
      <c r="D306" s="653" t="s">
        <v>357</v>
      </c>
      <c r="E306" s="618"/>
      <c r="F306" s="653"/>
      <c r="G306" s="620"/>
      <c r="H306" s="621"/>
      <c r="I306" s="620" t="s">
        <v>235</v>
      </c>
      <c r="J306" s="616" t="s">
        <v>64</v>
      </c>
      <c r="K306" s="263">
        <v>2</v>
      </c>
      <c r="L306" s="616" t="s">
        <v>6</v>
      </c>
      <c r="M306" s="622" t="s">
        <v>67</v>
      </c>
      <c r="N306" s="623">
        <v>46137</v>
      </c>
      <c r="O306" s="623">
        <v>46162</v>
      </c>
      <c r="P306" s="623">
        <v>46175</v>
      </c>
      <c r="Q306" s="623">
        <v>46175</v>
      </c>
      <c r="R306" s="623">
        <f>Q306</f>
        <v>46175</v>
      </c>
      <c r="S306" s="623">
        <f>R306</f>
        <v>46175</v>
      </c>
      <c r="T306" s="623">
        <f>S306+2</f>
        <v>46177</v>
      </c>
      <c r="U306" s="623">
        <v>46211</v>
      </c>
      <c r="V306" s="623">
        <v>46216</v>
      </c>
      <c r="W306" s="623">
        <v>46219</v>
      </c>
      <c r="X306" s="623">
        <v>46219</v>
      </c>
      <c r="Y306" s="623">
        <v>46219</v>
      </c>
      <c r="Z306" s="623">
        <v>46220</v>
      </c>
      <c r="AA306" s="623">
        <v>46282</v>
      </c>
      <c r="AB306" s="623">
        <v>46283</v>
      </c>
      <c r="AC306" s="623">
        <v>46282</v>
      </c>
      <c r="AD306" s="623">
        <v>46282</v>
      </c>
      <c r="AE306" s="623">
        <v>46283</v>
      </c>
      <c r="AF306" s="623"/>
      <c r="AG306" s="623"/>
      <c r="AH306" s="623"/>
      <c r="AI306" s="623"/>
      <c r="AJ306" s="623"/>
      <c r="AK306" s="624"/>
      <c r="AL306" s="625"/>
      <c r="AM306" s="623"/>
      <c r="AN306" s="626"/>
      <c r="AO306" s="620"/>
      <c r="AP306" s="627" t="str">
        <f>AP304</f>
        <v>Long Lead</v>
      </c>
      <c r="AQ306" s="628"/>
      <c r="AR306" s="627" t="s">
        <v>358</v>
      </c>
      <c r="AS306" s="626"/>
    </row>
    <row r="307" spans="1:45" s="548" customFormat="1" ht="24" hidden="1" customHeight="1">
      <c r="A307" s="595">
        <v>106</v>
      </c>
      <c r="B307" s="263" t="s">
        <v>359</v>
      </c>
      <c r="C307" s="263" t="s">
        <v>360</v>
      </c>
      <c r="D307" s="650" t="s">
        <v>357</v>
      </c>
      <c r="E307" s="598"/>
      <c r="F307" s="651"/>
      <c r="G307" s="600">
        <v>25.3</v>
      </c>
      <c r="H307" s="601">
        <v>2</v>
      </c>
      <c r="I307" s="600" t="s">
        <v>235</v>
      </c>
      <c r="J307" s="263"/>
      <c r="K307" s="602"/>
      <c r="L307" s="263" t="s">
        <v>6</v>
      </c>
      <c r="M307" s="603" t="s">
        <v>60</v>
      </c>
      <c r="N307" s="604"/>
      <c r="O307" s="605">
        <v>46207</v>
      </c>
      <c r="P307" s="605">
        <v>46212</v>
      </c>
      <c r="Q307" s="605">
        <v>46212</v>
      </c>
      <c r="R307" s="605">
        <v>46212</v>
      </c>
      <c r="S307" s="605">
        <v>46212</v>
      </c>
      <c r="T307" s="605">
        <v>46218</v>
      </c>
      <c r="U307" s="605">
        <v>46223</v>
      </c>
      <c r="V307" s="605">
        <v>46226</v>
      </c>
      <c r="W307" s="605"/>
      <c r="X307" s="605">
        <v>46230</v>
      </c>
      <c r="Y307" s="605">
        <v>46230</v>
      </c>
      <c r="Z307" s="605">
        <v>46235</v>
      </c>
      <c r="AA307" s="605">
        <v>46245</v>
      </c>
      <c r="AB307" s="605">
        <v>46255</v>
      </c>
      <c r="AC307" s="605">
        <v>46262</v>
      </c>
      <c r="AD307" s="605">
        <f>AC307+1</f>
        <v>46263</v>
      </c>
      <c r="AE307" s="605">
        <f>AD307+1</f>
        <v>46264</v>
      </c>
      <c r="AF307" s="605">
        <v>46308</v>
      </c>
      <c r="AG307" s="605">
        <v>46315</v>
      </c>
      <c r="AH307" s="605">
        <v>46318</v>
      </c>
      <c r="AI307" s="605">
        <v>46332</v>
      </c>
      <c r="AJ307" s="605">
        <v>46348</v>
      </c>
      <c r="AK307" s="630">
        <v>12.8571428571429</v>
      </c>
      <c r="AL307" s="607">
        <f>AK307*7</f>
        <v>90.000000000000298</v>
      </c>
      <c r="AM307" s="605">
        <f>X307+AL307</f>
        <v>46320</v>
      </c>
      <c r="AN307" s="608">
        <f>AN308</f>
        <v>46328</v>
      </c>
      <c r="AO307" s="600">
        <f>AN308-AM307</f>
        <v>8</v>
      </c>
      <c r="AP307" s="609"/>
      <c r="AQ307" s="610" t="s">
        <v>62</v>
      </c>
      <c r="AR307" s="611">
        <v>46331</v>
      </c>
      <c r="AS307" s="608"/>
    </row>
    <row r="308" spans="1:45" s="548" customFormat="1" ht="24" customHeight="1">
      <c r="A308" s="595"/>
      <c r="B308" s="263" t="s">
        <v>359</v>
      </c>
      <c r="C308" s="263" t="s">
        <v>361</v>
      </c>
      <c r="D308" s="652" t="s">
        <v>357</v>
      </c>
      <c r="E308" s="598"/>
      <c r="F308" s="652"/>
      <c r="G308" s="600">
        <f>G307</f>
        <v>25.3</v>
      </c>
      <c r="H308" s="601" t="s">
        <v>246</v>
      </c>
      <c r="I308" s="600" t="s">
        <v>235</v>
      </c>
      <c r="J308" s="263" t="s">
        <v>64</v>
      </c>
      <c r="K308" s="263">
        <v>2</v>
      </c>
      <c r="L308" s="263" t="s">
        <v>6</v>
      </c>
      <c r="M308" s="603" t="s">
        <v>65</v>
      </c>
      <c r="N308" s="605">
        <v>46137</v>
      </c>
      <c r="O308" s="605"/>
      <c r="P308" s="605"/>
      <c r="Q308" s="605"/>
      <c r="R308" s="605"/>
      <c r="S308" s="605"/>
      <c r="T308" s="605"/>
      <c r="U308" s="605"/>
      <c r="V308" s="605"/>
      <c r="W308" s="605"/>
      <c r="X308" s="605"/>
      <c r="Y308" s="605"/>
      <c r="Z308" s="605"/>
      <c r="AA308" s="605"/>
      <c r="AB308" s="605">
        <v>46311</v>
      </c>
      <c r="AC308" s="605"/>
      <c r="AD308" s="605"/>
      <c r="AE308" s="605"/>
      <c r="AF308" s="612">
        <f>AG308-3</f>
        <v>46315</v>
      </c>
      <c r="AG308" s="612">
        <v>46318</v>
      </c>
      <c r="AH308" s="612">
        <f>AM308</f>
        <v>46325</v>
      </c>
      <c r="AI308" s="612">
        <f>AM308+14</f>
        <v>46339</v>
      </c>
      <c r="AJ308" s="612">
        <f>AM308+30</f>
        <v>46355</v>
      </c>
      <c r="AK308" s="606">
        <v>12.8571428571429</v>
      </c>
      <c r="AL308" s="607">
        <v>90.000000000000298</v>
      </c>
      <c r="AM308" s="605">
        <v>46325</v>
      </c>
      <c r="AN308" s="608">
        <f>AR307-3</f>
        <v>46328</v>
      </c>
      <c r="AO308" s="600">
        <f>AN308-AM308</f>
        <v>3</v>
      </c>
      <c r="AP308" s="609"/>
      <c r="AQ308" s="610" t="s">
        <v>66</v>
      </c>
      <c r="AR308" s="611">
        <v>46352</v>
      </c>
      <c r="AS308" s="608" t="s">
        <v>242</v>
      </c>
    </row>
    <row r="309" spans="1:45" s="548" customFormat="1" ht="24" customHeight="1">
      <c r="A309" s="615"/>
      <c r="B309" s="616" t="s">
        <v>359</v>
      </c>
      <c r="C309" s="616" t="s">
        <v>361</v>
      </c>
      <c r="D309" s="653" t="s">
        <v>357</v>
      </c>
      <c r="E309" s="618"/>
      <c r="F309" s="653"/>
      <c r="G309" s="620">
        <f>G307</f>
        <v>25.3</v>
      </c>
      <c r="H309" s="621"/>
      <c r="I309" s="620" t="s">
        <v>235</v>
      </c>
      <c r="J309" s="616" t="s">
        <v>64</v>
      </c>
      <c r="K309" s="263">
        <v>2</v>
      </c>
      <c r="L309" s="616" t="s">
        <v>6</v>
      </c>
      <c r="M309" s="622" t="s">
        <v>67</v>
      </c>
      <c r="N309" s="623">
        <v>46137</v>
      </c>
      <c r="O309" s="623">
        <v>46210</v>
      </c>
      <c r="P309" s="623">
        <v>46216</v>
      </c>
      <c r="Q309" s="623">
        <v>46216</v>
      </c>
      <c r="R309" s="623">
        <v>46216</v>
      </c>
      <c r="S309" s="623">
        <v>46216</v>
      </c>
      <c r="T309" s="623">
        <v>46218</v>
      </c>
      <c r="U309" s="623">
        <v>46245</v>
      </c>
      <c r="V309" s="623">
        <v>46255</v>
      </c>
      <c r="W309" s="623">
        <v>46255</v>
      </c>
      <c r="X309" s="623">
        <v>46255</v>
      </c>
      <c r="Y309" s="623">
        <v>46255</v>
      </c>
      <c r="Z309" s="623">
        <f>Y309+5</f>
        <v>46260</v>
      </c>
      <c r="AA309" s="623">
        <v>46260</v>
      </c>
      <c r="AB309" s="623">
        <v>46283</v>
      </c>
      <c r="AC309" s="623">
        <v>46282</v>
      </c>
      <c r="AD309" s="623">
        <v>46282</v>
      </c>
      <c r="AE309" s="623">
        <v>46283</v>
      </c>
      <c r="AF309" s="623"/>
      <c r="AG309" s="623"/>
      <c r="AH309" s="623"/>
      <c r="AI309" s="623"/>
      <c r="AJ309" s="623"/>
      <c r="AK309" s="624"/>
      <c r="AL309" s="625"/>
      <c r="AM309" s="623"/>
      <c r="AN309" s="626"/>
      <c r="AO309" s="620"/>
      <c r="AP309" s="627"/>
      <c r="AQ309" s="628"/>
      <c r="AR309" s="627" t="s">
        <v>362</v>
      </c>
      <c r="AS309" s="626"/>
    </row>
    <row r="310" spans="1:45" s="548" customFormat="1" ht="24" hidden="1" customHeight="1">
      <c r="A310" s="595">
        <v>107</v>
      </c>
      <c r="B310" s="263" t="s">
        <v>363</v>
      </c>
      <c r="C310" s="263" t="s">
        <v>364</v>
      </c>
      <c r="D310" s="650" t="s">
        <v>234</v>
      </c>
      <c r="E310" s="598"/>
      <c r="F310" s="651"/>
      <c r="G310" s="600">
        <v>24.7</v>
      </c>
      <c r="H310" s="601">
        <v>1</v>
      </c>
      <c r="I310" s="600" t="s">
        <v>235</v>
      </c>
      <c r="J310" s="263"/>
      <c r="K310" s="602"/>
      <c r="L310" s="263" t="s">
        <v>6</v>
      </c>
      <c r="M310" s="603" t="s">
        <v>60</v>
      </c>
      <c r="N310" s="604"/>
      <c r="O310" s="605">
        <v>46207</v>
      </c>
      <c r="P310" s="605">
        <v>46212</v>
      </c>
      <c r="Q310" s="605">
        <v>46212</v>
      </c>
      <c r="R310" s="605">
        <v>46212</v>
      </c>
      <c r="S310" s="605">
        <v>46212</v>
      </c>
      <c r="T310" s="605">
        <v>46218</v>
      </c>
      <c r="U310" s="605">
        <v>46223</v>
      </c>
      <c r="V310" s="605">
        <v>46226</v>
      </c>
      <c r="W310" s="605"/>
      <c r="X310" s="605">
        <v>46230</v>
      </c>
      <c r="Y310" s="605">
        <v>46230</v>
      </c>
      <c r="Z310" s="605">
        <v>46235</v>
      </c>
      <c r="AA310" s="605">
        <v>46245</v>
      </c>
      <c r="AB310" s="605">
        <v>46255</v>
      </c>
      <c r="AC310" s="605">
        <v>46262</v>
      </c>
      <c r="AD310" s="605">
        <f>AC310+1</f>
        <v>46263</v>
      </c>
      <c r="AE310" s="605">
        <f>AD310+1</f>
        <v>46264</v>
      </c>
      <c r="AF310" s="605">
        <v>46278</v>
      </c>
      <c r="AG310" s="605">
        <v>46283</v>
      </c>
      <c r="AH310" s="605">
        <v>46288</v>
      </c>
      <c r="AI310" s="605">
        <v>46332</v>
      </c>
      <c r="AJ310" s="605">
        <v>46348</v>
      </c>
      <c r="AK310" s="630">
        <v>8.5714285714285694</v>
      </c>
      <c r="AL310" s="607">
        <f>AK310*7</f>
        <v>59.999999999999986</v>
      </c>
      <c r="AM310" s="605">
        <f>X310+AL310</f>
        <v>46290</v>
      </c>
      <c r="AN310" s="608">
        <f>AN311</f>
        <v>46328</v>
      </c>
      <c r="AO310" s="600">
        <f>AN311-AM310</f>
        <v>38</v>
      </c>
      <c r="AP310" s="609"/>
      <c r="AQ310" s="610" t="s">
        <v>62</v>
      </c>
      <c r="AR310" s="611">
        <v>46331</v>
      </c>
      <c r="AS310" s="608"/>
    </row>
    <row r="311" spans="1:45" s="548" customFormat="1" ht="24" customHeight="1">
      <c r="A311" s="595"/>
      <c r="B311" s="263" t="s">
        <v>363</v>
      </c>
      <c r="C311" s="263" t="s">
        <v>364</v>
      </c>
      <c r="D311" s="652" t="s">
        <v>234</v>
      </c>
      <c r="E311" s="598"/>
      <c r="F311" s="652"/>
      <c r="G311" s="600">
        <f>G310</f>
        <v>24.7</v>
      </c>
      <c r="H311" s="601" t="s">
        <v>246</v>
      </c>
      <c r="I311" s="600" t="s">
        <v>235</v>
      </c>
      <c r="J311" s="263" t="s">
        <v>64</v>
      </c>
      <c r="K311" s="263">
        <v>2</v>
      </c>
      <c r="L311" s="263" t="s">
        <v>6</v>
      </c>
      <c r="M311" s="603" t="s">
        <v>65</v>
      </c>
      <c r="N311" s="605">
        <v>46137</v>
      </c>
      <c r="O311" s="605"/>
      <c r="P311" s="605"/>
      <c r="Q311" s="605"/>
      <c r="R311" s="605"/>
      <c r="S311" s="605"/>
      <c r="T311" s="605"/>
      <c r="U311" s="605"/>
      <c r="V311" s="605">
        <f>U312+3</f>
        <v>46279</v>
      </c>
      <c r="W311" s="605"/>
      <c r="X311" s="605">
        <v>46281</v>
      </c>
      <c r="Y311" s="605"/>
      <c r="Z311" s="605"/>
      <c r="AA311" s="605"/>
      <c r="AB311" s="612"/>
      <c r="AC311" s="612"/>
      <c r="AD311" s="612"/>
      <c r="AE311" s="612"/>
      <c r="AF311" s="612">
        <f>AG311-3</f>
        <v>46315</v>
      </c>
      <c r="AG311" s="612">
        <v>46318</v>
      </c>
      <c r="AH311" s="612">
        <f>AM311</f>
        <v>46325</v>
      </c>
      <c r="AI311" s="612">
        <f>AM311+14</f>
        <v>46339</v>
      </c>
      <c r="AJ311" s="612">
        <f>AM311+30</f>
        <v>46355</v>
      </c>
      <c r="AK311" s="606">
        <v>8.5714285714285694</v>
      </c>
      <c r="AL311" s="607">
        <v>60</v>
      </c>
      <c r="AM311" s="605">
        <v>46325</v>
      </c>
      <c r="AN311" s="608">
        <f>AR310-3</f>
        <v>46328</v>
      </c>
      <c r="AO311" s="600">
        <f>AN311-AM311</f>
        <v>3</v>
      </c>
      <c r="AP311" s="609"/>
      <c r="AQ311" s="610" t="s">
        <v>66</v>
      </c>
      <c r="AR311" s="611">
        <v>46352</v>
      </c>
      <c r="AS311" s="608" t="s">
        <v>242</v>
      </c>
    </row>
    <row r="312" spans="1:45" s="548" customFormat="1" ht="24" customHeight="1">
      <c r="A312" s="615"/>
      <c r="B312" s="616" t="s">
        <v>363</v>
      </c>
      <c r="C312" s="616" t="s">
        <v>364</v>
      </c>
      <c r="D312" s="653" t="s">
        <v>234</v>
      </c>
      <c r="E312" s="618"/>
      <c r="F312" s="653"/>
      <c r="G312" s="620">
        <f>G310</f>
        <v>24.7</v>
      </c>
      <c r="H312" s="621"/>
      <c r="I312" s="620" t="s">
        <v>235</v>
      </c>
      <c r="J312" s="616" t="s">
        <v>64</v>
      </c>
      <c r="K312" s="263">
        <v>2</v>
      </c>
      <c r="L312" s="616" t="s">
        <v>6</v>
      </c>
      <c r="M312" s="622" t="s">
        <v>67</v>
      </c>
      <c r="N312" s="623">
        <v>46137</v>
      </c>
      <c r="O312" s="623">
        <v>46210</v>
      </c>
      <c r="P312" s="623">
        <v>46222</v>
      </c>
      <c r="Q312" s="623">
        <v>46222</v>
      </c>
      <c r="R312" s="623">
        <f>Q312</f>
        <v>46222</v>
      </c>
      <c r="S312" s="623">
        <f>Q312</f>
        <v>46222</v>
      </c>
      <c r="T312" s="623">
        <f>S312+2</f>
        <v>46224</v>
      </c>
      <c r="U312" s="623">
        <v>46276</v>
      </c>
      <c r="V312" s="623"/>
      <c r="W312" s="623"/>
      <c r="X312" s="623">
        <v>46276</v>
      </c>
      <c r="Y312" s="623">
        <v>46276</v>
      </c>
      <c r="Z312" s="623">
        <v>46276</v>
      </c>
      <c r="AA312" s="623">
        <v>46276</v>
      </c>
      <c r="AB312" s="623">
        <v>46276</v>
      </c>
      <c r="AC312" s="623">
        <v>46276</v>
      </c>
      <c r="AD312" s="623">
        <f>AC312+1</f>
        <v>46277</v>
      </c>
      <c r="AE312" s="623">
        <v>46283</v>
      </c>
      <c r="AF312" s="623"/>
      <c r="AG312" s="623"/>
      <c r="AH312" s="623"/>
      <c r="AI312" s="623"/>
      <c r="AJ312" s="623"/>
      <c r="AK312" s="624"/>
      <c r="AL312" s="625"/>
      <c r="AM312" s="623"/>
      <c r="AN312" s="626"/>
      <c r="AO312" s="620"/>
      <c r="AP312" s="627"/>
      <c r="AQ312" s="628"/>
      <c r="AR312" s="627"/>
      <c r="AS312" s="626"/>
    </row>
    <row r="314" spans="1:45">
      <c r="B314" s="724"/>
      <c r="C314" s="554" t="s">
        <v>365</v>
      </c>
    </row>
    <row r="315" spans="1:45">
      <c r="B315" s="725"/>
      <c r="C315" s="554" t="s">
        <v>366</v>
      </c>
    </row>
    <row r="316" spans="1:45">
      <c r="B316" s="726"/>
      <c r="C316" s="554" t="s">
        <v>367</v>
      </c>
    </row>
  </sheetData>
  <autoFilter ref="A16:AR312" xr:uid="{00000000-0009-0000-0000-000000000000}">
    <filterColumn colId="12">
      <filters>
        <filter val="Actual"/>
        <filter val="Forecast"/>
      </filters>
    </filterColumn>
  </autoFilter>
  <conditionalFormatting sqref="O125:O126 S126:AJ126">
    <cfRule type="expression" dxfId="214" priority="273" stopIfTrue="1">
      <formula>AND(MOD(ROW()-19,3)=0,O125&lt;&gt;"",O125&gt;TODAY(),O125&lt;=TODAY()+7,#REF!="")</formula>
    </cfRule>
    <cfRule type="expression" dxfId="213" priority="274" stopIfTrue="1">
      <formula>AND(MOD(ROW()-19,3)=0,O125&lt;&gt;"",O125&lt;=TODAY(),#REF!="")</formula>
    </cfRule>
  </conditionalFormatting>
  <conditionalFormatting sqref="O137">
    <cfRule type="expression" dxfId="212" priority="180" stopIfTrue="1">
      <formula>AND(MOD(ROW()-19,3)=0,O137&lt;&gt;"",O137&gt;TODAY(),O137&lt;=TODAY()+7,#REF!="")</formula>
    </cfRule>
    <cfRule type="expression" dxfId="211" priority="181" stopIfTrue="1">
      <formula>AND(MOD(ROW()-19,3)=0,O137&lt;&gt;"",O137&lt;=TODAY(),#REF!="")</formula>
    </cfRule>
  </conditionalFormatting>
  <conditionalFormatting sqref="O137:T137 O138:AJ138 V137:W137">
    <cfRule type="expression" dxfId="210" priority="277" stopIfTrue="1">
      <formula>AND(MOD(ROW()-19,3)=0,O137&lt;&gt;"",O137&lt;=TODAY(),#REF!="")</formula>
    </cfRule>
    <cfRule type="expression" dxfId="209" priority="276" stopIfTrue="1">
      <formula>AND(MOD(ROW()-19,3)=0,O137&lt;&gt;"",O137&gt;TODAY(),O137&lt;=TODAY()+7,#REF!="")</formula>
    </cfRule>
  </conditionalFormatting>
  <conditionalFormatting sqref="O137:T137 V137:W137">
    <cfRule type="expression" dxfId="208" priority="182" stopIfTrue="1">
      <formula>AND(MOD(ROW()-19,3)=0,OFFSET(O137,2,0)&lt;&gt;"")</formula>
    </cfRule>
  </conditionalFormatting>
  <conditionalFormatting sqref="O275:Z275">
    <cfRule type="expression" dxfId="207" priority="20" stopIfTrue="1">
      <formula>AND(MOD(ROW()-19,3)=0,OFFSET(O275,2,0)&lt;&gt;"")</formula>
    </cfRule>
  </conditionalFormatting>
  <conditionalFormatting sqref="X128:AJ128 X131:AJ131 X134:AJ134 X140:AJ140 X143:AJ143 X146:AJ146 X149:AJ149 X152:AJ152 X155:AJ155 X158:AJ158 X161:AJ161 X164:AJ164 X167:AJ167 X170:AJ170 X197:AJ197 X200:AJ200 X203:AJ203 X206:AJ206 X209:AJ209 X212:AJ212 X215:AJ215 X218:AJ218 X221:AJ221 X224:AJ224 X227:AJ227 X230:AJ230 X233:AJ233 X236:AJ236 X239:AJ239 X242:AJ242 X245:AJ245 X248:AJ248 X251:AJ251 X254:AJ254 X257:AJ257 X260:AJ260 X263:AJ263 X266:AJ266 X269:AJ269 X272:AJ272 X278:AJ278 X281:AJ281 X284:AJ284 X287:AJ287 X290:AJ290 X293:AJ293 X296:AJ296 X302:AJ302 O19:AJ125">
    <cfRule type="expression" dxfId="19" priority="171" stopIfTrue="1">
      <formula>AND(MOD(ROW()-19,3)=0,O19&lt;&gt;"",O19&lt;=TODAY(),O21="")</formula>
    </cfRule>
    <cfRule type="expression" dxfId="18" priority="170" stopIfTrue="1">
      <formula>AND(MOD(ROW()-19,3)=0,O19&lt;&gt;"",O19&gt;TODAY(),O19&lt;=TODAY()+7,O21="")</formula>
    </cfRule>
  </conditionalFormatting>
  <conditionalFormatting sqref="O139:AJ160 O161:AA161 AC161:AJ161 O164:AA164 AC164:AJ164 O167:AA167 AC167:AJ167 O168:AJ172 O173:AB173 O174:AJ175 O176:AB176 AJ176 O177:AJ178 O179:AA179 O180:AJ181 O182:AB182 O183:AJ184 O185:AB185 O186:AJ187 O188:AB188 O189:AJ190 O191:AB191 O193:AJ193 O194:AB194 O195:AJ206 X209:AJ209 O275:Y275 O300:AJ304 O305:AB305 O306:AJ307 O308:AB308 O309:AJ310 O311:AA311 O312:AJ312 O126:AJ136 O210:AJ274 O276:AJ298">
    <cfRule type="expression" dxfId="206" priority="173" stopIfTrue="1">
      <formula>AND(MOD(ROW()-19,3)=0,O126&lt;&gt;"",O126&lt;=TODAY(),O128="")</formula>
    </cfRule>
  </conditionalFormatting>
  <conditionalFormatting sqref="O139:AJ160 O161:AA161 AC161:AJ161 O164:AA164 AC164:AJ164 O167:AA167 AC167:AJ167 O168:AJ172 O195:AJ206 X209:AJ209 O300:AJ304 O174:AJ175 O177:AJ178 O173:AB173 O176:AB176 AJ176 O182:AB182 O185:AB185 O188:AB188 O191:AB191 O194:AB194 O305:AB305 O179:AA179 O180:AJ181 O183:AJ184 O186:AJ187 O189:AJ190 O193:AJ193 O311:AA311 O308:AB308 O306:AJ307 O309:AJ310 O312:AJ312 O275:Y275 O126:AJ136 O210:AJ274 O276:AJ298">
    <cfRule type="expression" dxfId="205" priority="172" stopIfTrue="1">
      <formula>AND(MOD(ROW()-19,3)=0,O126&lt;&gt;"",O126&gt;TODAY(),O126&lt;=TODAY()+7,O128="")</formula>
    </cfRule>
  </conditionalFormatting>
  <conditionalFormatting sqref="O127:AJ127 O128 U128:W128 O129:AJ130 O131:W131 O132:AJ133 O134:W134 O135:AJ136">
    <cfRule type="expression" dxfId="204" priority="191" stopIfTrue="1">
      <formula>AND(MOD(ROW()-19,3)=0,O127&lt;&gt;"",O127&lt;=TODAY(),O129="")</formula>
    </cfRule>
    <cfRule type="expression" dxfId="203" priority="190" stopIfTrue="1">
      <formula>AND(MOD(ROW()-19,3)=0,O127&lt;&gt;"",O127&gt;TODAY(),O127&lt;=TODAY()+7,O129="")</formula>
    </cfRule>
  </conditionalFormatting>
  <conditionalFormatting sqref="O138:AJ172 O174:AJ175 O177:AJ178 X137:AJ137 O19:AJ136 O195:AJ274">
    <cfRule type="expression" dxfId="17" priority="169" stopIfTrue="1">
      <formula>AND(MOD(ROW()-19,3)=0,OFFSET(O19,2,0)&lt;&gt;"")</formula>
    </cfRule>
  </conditionalFormatting>
  <conditionalFormatting sqref="O162:AJ163 O165:AJ166 N192:AJ192 O207:V207 X207 Z207:AJ207 O208:AJ208 O209:V209">
    <cfRule type="expression" dxfId="202" priority="187" stopIfTrue="1">
      <formula>AND(MOD(ROW()-19,3)=0,N162&lt;&gt;"",N162&lt;=TODAY(),N164="")</formula>
    </cfRule>
  </conditionalFormatting>
  <conditionalFormatting sqref="O162:AJ163 O165:AJ166 O207:V207 X207 Z207:AJ207 O208:AJ208 O209:V209 N192:AJ192">
    <cfRule type="expression" dxfId="201" priority="186" stopIfTrue="1">
      <formula>AND(MOD(ROW()-19,3)=0,N162&lt;&gt;"",N162&gt;TODAY(),N162&lt;=TODAY()+7,N164="")</formula>
    </cfRule>
  </conditionalFormatting>
  <conditionalFormatting sqref="O173:AJ173">
    <cfRule type="expression" dxfId="200" priority="134" stopIfTrue="1">
      <formula>AND(MOD(ROW()-19,3)=0,OFFSET(O173,2,0)&lt;&gt;"")</formula>
    </cfRule>
  </conditionalFormatting>
  <conditionalFormatting sqref="O176:AJ176">
    <cfRule type="expression" dxfId="199" priority="129" stopIfTrue="1">
      <formula>AND(MOD(ROW()-19,3)=0,OFFSET(O176,2,0)&lt;&gt;"")</formula>
    </cfRule>
  </conditionalFormatting>
  <conditionalFormatting sqref="O179:AJ194">
    <cfRule type="expression" dxfId="198" priority="41" stopIfTrue="1">
      <formula>AND(MOD(ROW()-19,3)=0,OFFSET(O179,2,0)&lt;&gt;"")</formula>
    </cfRule>
  </conditionalFormatting>
  <conditionalFormatting sqref="O276:AJ312">
    <cfRule type="expression" dxfId="197" priority="25" stopIfTrue="1">
      <formula>AND(MOD(ROW()-19,3)=0,OFFSET(O276,2,0)&lt;&gt;"")</formula>
    </cfRule>
  </conditionalFormatting>
  <conditionalFormatting sqref="O299:AJ299">
    <cfRule type="expression" dxfId="196" priority="90" stopIfTrue="1">
      <formula>AND(MOD(ROW()-19,3)=0,O299&lt;&gt;"",O299&gt;TODAY(),O299&lt;=TODAY()+7,O301="")</formula>
    </cfRule>
    <cfRule type="expression" dxfId="195" priority="91" stopIfTrue="1">
      <formula>AND(MOD(ROW()-19,3)=0,O299&lt;&gt;"",O299&lt;=TODAY(),O301="")</formula>
    </cfRule>
  </conditionalFormatting>
  <conditionalFormatting sqref="V137:W137 O138:AJ138">
    <cfRule type="expression" dxfId="194" priority="279" stopIfTrue="1">
      <formula>AND(MOD(ROW()-19,3)=0,O137&lt;&gt;"",O137&lt;=TODAY(),#REF!="")</formula>
    </cfRule>
    <cfRule type="expression" dxfId="193" priority="278" stopIfTrue="1">
      <formula>AND(MOD(ROW()-19,3)=0,O137&lt;&gt;"",O137&gt;TODAY(),O137&lt;=TODAY()+7,#REF!="")</formula>
    </cfRule>
  </conditionalFormatting>
  <conditionalFormatting sqref="U125:AJ125">
    <cfRule type="expression" dxfId="192" priority="174" stopIfTrue="1">
      <formula>AND(MOD(ROW()-19,3)=0,U125&lt;&gt;"",U125&gt;TODAY(),U125&lt;=TODAY()+7,#REF!="")</formula>
    </cfRule>
    <cfRule type="expression" dxfId="191" priority="175" stopIfTrue="1">
      <formula>AND(MOD(ROW()-19,3)=0,U125&lt;&gt;"",U125&lt;=TODAY(),#REF!="")</formula>
    </cfRule>
  </conditionalFormatting>
  <conditionalFormatting sqref="W207">
    <cfRule type="expression" dxfId="190" priority="287" stopIfTrue="1">
      <formula>AND(MOD(ROW()-19,3)=0,W207&lt;&gt;"",W207&lt;=TODAY(),#REF!="")</formula>
    </cfRule>
    <cfRule type="expression" dxfId="189" priority="286" stopIfTrue="1">
      <formula>AND(MOD(ROW()-19,3)=0,W207&lt;&gt;"",W207&gt;TODAY(),W207&lt;=TODAY()+7,#REF!="")</formula>
    </cfRule>
  </conditionalFormatting>
  <conditionalFormatting sqref="W209">
    <cfRule type="expression" dxfId="188" priority="282" stopIfTrue="1">
      <formula>AND(MOD(ROW()-19,3)=0,W209&lt;&gt;"",W209&gt;TODAY(),W209&lt;=TODAY()+7,Y211="")</formula>
    </cfRule>
    <cfRule type="expression" dxfId="187" priority="283" stopIfTrue="1">
      <formula>AND(MOD(ROW()-19,3)=0,W209&lt;&gt;"",W209&lt;=TODAY(),Y211="")</formula>
    </cfRule>
  </conditionalFormatting>
  <conditionalFormatting sqref="X275:Z275">
    <cfRule type="expression" dxfId="186" priority="22" stopIfTrue="1">
      <formula>AND(MOD(ROW()-19,3)=0,X275&lt;&gt;"",X275&lt;=TODAY(),X277="")</formula>
    </cfRule>
    <cfRule type="expression" dxfId="185" priority="21" stopIfTrue="1">
      <formula>AND(MOD(ROW()-19,3)=0,X275&lt;&gt;"",X275&gt;TODAY(),X275&lt;=TODAY()+7,X277="")</formula>
    </cfRule>
  </conditionalFormatting>
  <conditionalFormatting sqref="X179:AB179 AJ179">
    <cfRule type="expression" dxfId="184" priority="47" stopIfTrue="1">
      <formula>AND(MOD(ROW()-19,3)=0,X179&lt;&gt;"",X179&gt;TODAY(),X179&lt;=TODAY()+7,X181="")</formula>
    </cfRule>
    <cfRule type="expression" dxfId="183" priority="48" stopIfTrue="1">
      <formula>AND(MOD(ROW()-19,3)=0,X179&lt;&gt;"",X179&lt;=TODAY(),X181="")</formula>
    </cfRule>
  </conditionalFormatting>
  <conditionalFormatting sqref="X311:AB311 AJ311">
    <cfRule type="expression" dxfId="182" priority="40" stopIfTrue="1">
      <formula>AND(MOD(ROW()-19,3)=0,X311&lt;&gt;"",X311&lt;=TODAY(),X313="")</formula>
    </cfRule>
    <cfRule type="expression" dxfId="181" priority="39" stopIfTrue="1">
      <formula>AND(MOD(ROW()-19,3)=0,X311&lt;&gt;"",X311&gt;TODAY(),X311&lt;=TODAY()+7,X313="")</formula>
    </cfRule>
  </conditionalFormatting>
  <conditionalFormatting sqref="X137:AJ137">
    <cfRule type="expression" dxfId="180" priority="177" stopIfTrue="1">
      <formula>AND(MOD(ROW()-19,3)=0,X137&lt;&gt;"",X137&lt;=TODAY(),#REF!="")</formula>
    </cfRule>
    <cfRule type="expression" dxfId="179" priority="176" stopIfTrue="1">
      <formula>AND(MOD(ROW()-19,3)=0,X137&lt;&gt;"",X137&gt;TODAY(),X137&lt;=TODAY()+7,#REF!="")</formula>
    </cfRule>
  </conditionalFormatting>
  <conditionalFormatting sqref="X173:AJ173">
    <cfRule type="expression" dxfId="178" priority="136" stopIfTrue="1">
      <formula>AND(MOD(ROW()-19,3)=0,X173&lt;&gt;"",X173&lt;=TODAY(),X175="")</formula>
    </cfRule>
    <cfRule type="expression" dxfId="177" priority="135" stopIfTrue="1">
      <formula>AND(MOD(ROW()-19,3)=0,X173&lt;&gt;"",X173&gt;TODAY(),X173&lt;=TODAY()+7,X175="")</formula>
    </cfRule>
  </conditionalFormatting>
  <conditionalFormatting sqref="X176:AJ176">
    <cfRule type="expression" dxfId="176" priority="131" stopIfTrue="1">
      <formula>AND(MOD(ROW()-19,3)=0,X176&lt;&gt;"",X176&lt;=TODAY(),X178="")</formula>
    </cfRule>
    <cfRule type="expression" dxfId="175" priority="130" stopIfTrue="1">
      <formula>AND(MOD(ROW()-19,3)=0,X176&lt;&gt;"",X176&gt;TODAY(),X176&lt;=TODAY()+7,X178="")</formula>
    </cfRule>
  </conditionalFormatting>
  <conditionalFormatting sqref="X182:AJ182">
    <cfRule type="expression" dxfId="174" priority="121" stopIfTrue="1">
      <formula>AND(MOD(ROW()-19,3)=0,X182&lt;&gt;"",X182&lt;=TODAY(),X184="")</formula>
    </cfRule>
    <cfRule type="expression" dxfId="173" priority="120" stopIfTrue="1">
      <formula>AND(MOD(ROW()-19,3)=0,X182&lt;&gt;"",X182&gt;TODAY(),X182&lt;=TODAY()+7,X184="")</formula>
    </cfRule>
  </conditionalFormatting>
  <conditionalFormatting sqref="X185:AJ185">
    <cfRule type="expression" dxfId="172" priority="115" stopIfTrue="1">
      <formula>AND(MOD(ROW()-19,3)=0,X185&lt;&gt;"",X185&gt;TODAY(),X185&lt;=TODAY()+7,X187="")</formula>
    </cfRule>
    <cfRule type="expression" dxfId="171" priority="116" stopIfTrue="1">
      <formula>AND(MOD(ROW()-19,3)=0,X185&lt;&gt;"",X185&lt;=TODAY(),X187="")</formula>
    </cfRule>
  </conditionalFormatting>
  <conditionalFormatting sqref="X188:AJ188">
    <cfRule type="expression" dxfId="170" priority="111" stopIfTrue="1">
      <formula>AND(MOD(ROW()-19,3)=0,X188&lt;&gt;"",X188&lt;=TODAY(),X190="")</formula>
    </cfRule>
    <cfRule type="expression" dxfId="169" priority="110" stopIfTrue="1">
      <formula>AND(MOD(ROW()-19,3)=0,X188&lt;&gt;"",X188&gt;TODAY(),X188&lt;=TODAY()+7,X190="")</formula>
    </cfRule>
  </conditionalFormatting>
  <conditionalFormatting sqref="X191:AJ191">
    <cfRule type="expression" dxfId="168" priority="105" stopIfTrue="1">
      <formula>AND(MOD(ROW()-19,3)=0,X191&lt;&gt;"",X191&gt;TODAY(),X191&lt;=TODAY()+7,X193="")</formula>
    </cfRule>
    <cfRule type="expression" dxfId="167" priority="106" stopIfTrue="1">
      <formula>AND(MOD(ROW()-19,3)=0,X191&lt;&gt;"",X191&lt;=TODAY(),X193="")</formula>
    </cfRule>
  </conditionalFormatting>
  <conditionalFormatting sqref="X194:AJ194">
    <cfRule type="expression" dxfId="166" priority="96" stopIfTrue="1">
      <formula>AND(MOD(ROW()-19,3)=0,X194&lt;&gt;"",X194&lt;=TODAY(),X196="")</formula>
    </cfRule>
    <cfRule type="expression" dxfId="165" priority="95" stopIfTrue="1">
      <formula>AND(MOD(ROW()-19,3)=0,X194&lt;&gt;"",X194&gt;TODAY(),X194&lt;=TODAY()+7,X196="")</formula>
    </cfRule>
  </conditionalFormatting>
  <conditionalFormatting sqref="X305:AJ305">
    <cfRule type="expression" dxfId="164" priority="50" stopIfTrue="1">
      <formula>AND(MOD(ROW()-19,3)=0,X305&lt;&gt;"",X305&gt;TODAY(),X305&lt;=TODAY()+7,X307="")</formula>
    </cfRule>
    <cfRule type="expression" dxfId="163" priority="51" stopIfTrue="1">
      <formula>AND(MOD(ROW()-19,3)=0,X305&lt;&gt;"",X305&lt;=TODAY(),X307="")</formula>
    </cfRule>
  </conditionalFormatting>
  <conditionalFormatting sqref="X308:AJ308">
    <cfRule type="expression" dxfId="162" priority="27" stopIfTrue="1">
      <formula>AND(MOD(ROW()-19,3)=0,X308&lt;&gt;"",X308&lt;=TODAY(),X310="")</formula>
    </cfRule>
    <cfRule type="expression" dxfId="161" priority="26" stopIfTrue="1">
      <formula>AND(MOD(ROW()-19,3)=0,X308&lt;&gt;"",X308&gt;TODAY(),X308&lt;=TODAY()+7,X310="")</formula>
    </cfRule>
  </conditionalFormatting>
  <conditionalFormatting sqref="Y207">
    <cfRule type="expression" dxfId="160" priority="284" stopIfTrue="1">
      <formula>AND(MOD(ROW()-19,3)=0,Y207&lt;&gt;"",Y207&gt;TODAY(),Y207&lt;=TODAY()+7,W209="")</formula>
    </cfRule>
    <cfRule type="expression" dxfId="159" priority="285" stopIfTrue="1">
      <formula>AND(MOD(ROW()-19,3)=0,Y207&lt;&gt;"",Y207&lt;=TODAY(),W209="")</formula>
    </cfRule>
  </conditionalFormatting>
  <conditionalFormatting sqref="Z273">
    <cfRule type="expression" dxfId="158" priority="142" stopIfTrue="1">
      <formula>AND(MOD(ROW()-19,3)=0,Z273&lt;&gt;"",Z273&lt;=TODAY(),Z275="")</formula>
    </cfRule>
    <cfRule type="expression" dxfId="157" priority="141" stopIfTrue="1">
      <formula>AND(MOD(ROW()-19,3)=0,Z273&lt;&gt;"",Z273&gt;TODAY(),Z273&lt;=TODAY()+7,Z275="")</formula>
    </cfRule>
  </conditionalFormatting>
  <conditionalFormatting sqref="Z275:Z276">
    <cfRule type="expression" dxfId="156" priority="24" stopIfTrue="1">
      <formula>AND(MOD(ROW()-19,3)=0,Z275&lt;&gt;"",Z275&lt;=TODAY(),Z277="")</formula>
    </cfRule>
    <cfRule type="expression" dxfId="155" priority="23" stopIfTrue="1">
      <formula>AND(MOD(ROW()-19,3)=0,Z275&lt;&gt;"",Z275&gt;TODAY(),Z275&lt;=TODAY()+7,Z277="")</formula>
    </cfRule>
  </conditionalFormatting>
  <conditionalFormatting sqref="AA150 AA153">
    <cfRule type="expression" dxfId="154" priority="161" stopIfTrue="1">
      <formula>AND(MOD(ROW()-19,3)=0,AA150&lt;&gt;"",AA150&gt;TODAY(),AA150&lt;=TODAY()+7,AA152="")</formula>
    </cfRule>
    <cfRule type="expression" dxfId="153" priority="162" stopIfTrue="1">
      <formula>AND(MOD(ROW()-19,3)=0,AA150&lt;&gt;"",AA150&lt;=TODAY(),AA152="")</formula>
    </cfRule>
  </conditionalFormatting>
  <conditionalFormatting sqref="AA150">
    <cfRule type="expression" dxfId="152" priority="167" stopIfTrue="1">
      <formula>AND(MOD(ROW()-19,3)=0,AA150&lt;&gt;"",AA150&gt;TODAY(),AA150&lt;=TODAY()+7,AA152="")</formula>
    </cfRule>
    <cfRule type="expression" dxfId="151" priority="168" stopIfTrue="1">
      <formula>AND(MOD(ROW()-19,3)=0,AA150&lt;&gt;"",AA150&lt;=TODAY(),AA152="")</formula>
    </cfRule>
  </conditionalFormatting>
  <conditionalFormatting sqref="AA153">
    <cfRule type="expression" dxfId="150" priority="165" stopIfTrue="1">
      <formula>AND(MOD(ROW()-19,3)=0,AA153&lt;&gt;"",AA153&gt;TODAY(),AA153&lt;=TODAY()+7,AA155="")</formula>
    </cfRule>
    <cfRule type="expression" dxfId="149" priority="166" stopIfTrue="1">
      <formula>AND(MOD(ROW()-19,3)=0,AA153&lt;&gt;"",AA153&lt;=TODAY(),AA155="")</formula>
    </cfRule>
  </conditionalFormatting>
  <conditionalFormatting sqref="AA156">
    <cfRule type="expression" dxfId="148" priority="159" stopIfTrue="1">
      <formula>AND(MOD(ROW()-19,3)=0,AA156&lt;&gt;"",AA156&gt;TODAY(),AA156&lt;=TODAY()+7,AA158="")</formula>
    </cfRule>
    <cfRule type="expression" dxfId="147" priority="160" stopIfTrue="1">
      <formula>AND(MOD(ROW()-19,3)=0,AA156&lt;&gt;"",AA156&lt;=TODAY(),AA158="")</formula>
    </cfRule>
  </conditionalFormatting>
  <conditionalFormatting sqref="AA159">
    <cfRule type="expression" dxfId="146" priority="158" stopIfTrue="1">
      <formula>AND(MOD(ROW()-19,3)=0,AA159&lt;&gt;"",AA159&lt;=TODAY(),AA161="")</formula>
    </cfRule>
    <cfRule type="expression" dxfId="145" priority="157" stopIfTrue="1">
      <formula>AND(MOD(ROW()-19,3)=0,AA159&lt;&gt;"",AA159&gt;TODAY(),AA159&lt;=TODAY()+7,AA161="")</formula>
    </cfRule>
  </conditionalFormatting>
  <conditionalFormatting sqref="AA162">
    <cfRule type="expression" dxfId="144" priority="155" stopIfTrue="1">
      <formula>AND(MOD(ROW()-19,3)=0,AA162&lt;&gt;"",AA162&gt;TODAY(),AA162&lt;=TODAY()+7,AA164="")</formula>
    </cfRule>
    <cfRule type="expression" dxfId="143" priority="156" stopIfTrue="1">
      <formula>AND(MOD(ROW()-19,3)=0,AA162&lt;&gt;"",AA162&lt;=TODAY(),AA164="")</formula>
    </cfRule>
  </conditionalFormatting>
  <conditionalFormatting sqref="AA165">
    <cfRule type="expression" dxfId="142" priority="153" stopIfTrue="1">
      <formula>AND(MOD(ROW()-19,3)=0,AA165&lt;&gt;"",AA165&gt;TODAY(),AA165&lt;=TODAY()+7,AA167="")</formula>
    </cfRule>
    <cfRule type="expression" dxfId="141" priority="154" stopIfTrue="1">
      <formula>AND(MOD(ROW()-19,3)=0,AA165&lt;&gt;"",AA165&lt;=TODAY(),AA167="")</formula>
    </cfRule>
  </conditionalFormatting>
  <conditionalFormatting sqref="AA168">
    <cfRule type="expression" dxfId="140" priority="151" stopIfTrue="1">
      <formula>AND(MOD(ROW()-19,3)=0,AA168&lt;&gt;"",AA168&gt;TODAY(),AA168&lt;=TODAY()+7,AA170="")</formula>
    </cfRule>
    <cfRule type="expression" dxfId="139" priority="152" stopIfTrue="1">
      <formula>AND(MOD(ROW()-19,3)=0,AA168&lt;&gt;"",AA168&lt;=TODAY(),AA170="")</formula>
    </cfRule>
  </conditionalFormatting>
  <conditionalFormatting sqref="AA174">
    <cfRule type="expression" dxfId="138" priority="150" stopIfTrue="1">
      <formula>AND(MOD(ROW()-19,3)=0,AA174&lt;&gt;"",AA174&lt;=TODAY(),AA176="")</formula>
    </cfRule>
    <cfRule type="expression" dxfId="137" priority="149" stopIfTrue="1">
      <formula>AND(MOD(ROW()-19,3)=0,AA174&lt;&gt;"",AA174&gt;TODAY(),AA174&lt;=TODAY()+7,AA176="")</formula>
    </cfRule>
  </conditionalFormatting>
  <conditionalFormatting sqref="AA177">
    <cfRule type="expression" dxfId="136" priority="148" stopIfTrue="1">
      <formula>AND(MOD(ROW()-19,3)=0,AA177&lt;&gt;"",AA177&lt;=TODAY(),AA179="")</formula>
    </cfRule>
    <cfRule type="expression" dxfId="135" priority="147" stopIfTrue="1">
      <formula>AND(MOD(ROW()-19,3)=0,AA177&lt;&gt;"",AA177&gt;TODAY(),AA177&lt;=TODAY()+7,AA179="")</formula>
    </cfRule>
  </conditionalFormatting>
  <conditionalFormatting sqref="AA195">
    <cfRule type="expression" dxfId="134" priority="145" stopIfTrue="1">
      <formula>AND(MOD(ROW()-19,3)=0,AA195&lt;&gt;"",AA195&gt;TODAY(),AA195&lt;=TODAY()+7,AA197="")</formula>
    </cfRule>
    <cfRule type="expression" dxfId="133" priority="146" stopIfTrue="1">
      <formula>AND(MOD(ROW()-19,3)=0,AA195&lt;&gt;"",AA195&lt;=TODAY(),AA197="")</formula>
    </cfRule>
  </conditionalFormatting>
  <conditionalFormatting sqref="AA201">
    <cfRule type="expression" dxfId="132" priority="143" stopIfTrue="1">
      <formula>AND(MOD(ROW()-19,3)=0,AA201&lt;&gt;"",AA201&gt;TODAY(),AA201&lt;=TODAY()+7,AA203="")</formula>
    </cfRule>
    <cfRule type="expression" dxfId="131" priority="144" stopIfTrue="1">
      <formula>AND(MOD(ROW()-19,3)=0,AA201&lt;&gt;"",AA201&lt;=TODAY(),AA203="")</formula>
    </cfRule>
  </conditionalFormatting>
  <conditionalFormatting sqref="AA275:AJ275">
    <cfRule type="expression" dxfId="130" priority="18" stopIfTrue="1">
      <formula>AND(MOD(ROW()-19,3)=0,AA275&lt;&gt;"",AA275&gt;TODAY(),AA275&lt;=TODAY()+7,AA277="")</formula>
    </cfRule>
    <cfRule type="expression" dxfId="129" priority="19" stopIfTrue="1">
      <formula>AND(MOD(ROW()-19,3)=0,AA275&lt;&gt;"",AA275&lt;=TODAY(),AA277="")</formula>
    </cfRule>
  </conditionalFormatting>
  <conditionalFormatting sqref="AB179:AJ179">
    <cfRule type="expression" dxfId="128" priority="43" stopIfTrue="1">
      <formula>AND(MOD(ROW()-19,3)=0,AB179&lt;&gt;"",AB179&lt;=TODAY(),AB181="")</formula>
    </cfRule>
    <cfRule type="expression" dxfId="127" priority="42" stopIfTrue="1">
      <formula>AND(MOD(ROW()-19,3)=0,AB179&lt;&gt;"",AB179&gt;TODAY(),AB179&lt;=TODAY()+7,AB181="")</formula>
    </cfRule>
  </conditionalFormatting>
  <conditionalFormatting sqref="AB311:AJ311">
    <cfRule type="expression" dxfId="126" priority="35" stopIfTrue="1">
      <formula>AND(MOD(ROW()-19,3)=0,AB311&lt;&gt;"",AB311&lt;=TODAY(),AB313="")</formula>
    </cfRule>
    <cfRule type="expression" dxfId="125" priority="34" stopIfTrue="1">
      <formula>AND(MOD(ROW()-19,3)=0,AB311&lt;&gt;"",AB311&gt;TODAY(),AB311&lt;=TODAY()+7,AB313="")</formula>
    </cfRule>
  </conditionalFormatting>
  <conditionalFormatting sqref="AJ308">
    <cfRule type="expression" dxfId="124" priority="32" stopIfTrue="1">
      <formula>AND(MOD(ROW()-19,3)=0,AJ308&lt;&gt;"",AJ308&lt;=TODAY(),AJ310="")</formula>
    </cfRule>
    <cfRule type="expression" dxfId="123" priority="31" stopIfTrue="1">
      <formula>AND(MOD(ROW()-19,3)=0,AJ308&lt;&gt;"",AJ308&gt;TODAY(),AJ308&lt;=TODAY()+7,AJ310="")</formula>
    </cfRule>
  </conditionalFormatting>
  <conditionalFormatting sqref="U131">
    <cfRule type="expression" dxfId="15" priority="14" stopIfTrue="1">
      <formula>AND(MOD(ROW()-19,3)=0,U131&lt;&gt;"",U131&gt;TODAY(),U131&lt;=TODAY()+7,U133="")</formula>
    </cfRule>
    <cfRule type="expression" dxfId="16" priority="15" stopIfTrue="1">
      <formula>AND(MOD(ROW()-19,3)=0,U131&lt;&gt;"",U131&lt;=TODAY(),U133="")</formula>
    </cfRule>
  </conditionalFormatting>
  <conditionalFormatting sqref="U131">
    <cfRule type="expression" dxfId="14" priority="16" stopIfTrue="1">
      <formula>AND(MOD(ROW()-19,3)=0,U131&lt;&gt;"",U131&gt;TODAY(),U131&lt;=TODAY()+7,#REF!="")</formula>
    </cfRule>
    <cfRule type="expression" dxfId="13" priority="17" stopIfTrue="1">
      <formula>AND(MOD(ROW()-19,3)=0,U131&lt;&gt;"",U131&lt;=TODAY(),#REF!="")</formula>
    </cfRule>
  </conditionalFormatting>
  <conditionalFormatting sqref="U134">
    <cfRule type="expression" dxfId="12" priority="10" stopIfTrue="1">
      <formula>AND(MOD(ROW()-19,3)=0,U134&lt;&gt;"",U134&gt;TODAY(),U134&lt;=TODAY()+7,U136="")</formula>
    </cfRule>
    <cfRule type="expression" dxfId="11" priority="11" stopIfTrue="1">
      <formula>AND(MOD(ROW()-19,3)=0,U134&lt;&gt;"",U134&lt;=TODAY(),U136="")</formula>
    </cfRule>
  </conditionalFormatting>
  <conditionalFormatting sqref="U134">
    <cfRule type="expression" dxfId="10" priority="12" stopIfTrue="1">
      <formula>AND(MOD(ROW()-19,3)=0,U134&lt;&gt;"",U134&gt;TODAY(),U134&lt;=TODAY()+7,#REF!="")</formula>
    </cfRule>
    <cfRule type="expression" dxfId="9" priority="13" stopIfTrue="1">
      <formula>AND(MOD(ROW()-19,3)=0,U134&lt;&gt;"",U134&lt;=TODAY(),#REF!="")</formula>
    </cfRule>
  </conditionalFormatting>
  <conditionalFormatting sqref="U137">
    <cfRule type="expression" dxfId="8" priority="7" stopIfTrue="1">
      <formula>AND(MOD(ROW()-19,3)=0,U137&lt;&gt;"",U137&lt;=TODAY(),U139="")</formula>
    </cfRule>
  </conditionalFormatting>
  <conditionalFormatting sqref="U137">
    <cfRule type="expression" dxfId="7" priority="6" stopIfTrue="1">
      <formula>AND(MOD(ROW()-19,3)=0,U137&lt;&gt;"",U137&gt;TODAY(),U137&lt;=TODAY()+7,U139="")</formula>
    </cfRule>
  </conditionalFormatting>
  <conditionalFormatting sqref="U137">
    <cfRule type="expression" dxfId="5" priority="8" stopIfTrue="1">
      <formula>AND(MOD(ROW()-19,3)=0,U137&lt;&gt;"",U137&gt;TODAY(),U137&lt;=TODAY()+7,U139="")</formula>
    </cfRule>
    <cfRule type="expression" dxfId="6" priority="9" stopIfTrue="1">
      <formula>AND(MOD(ROW()-19,3)=0,U137&lt;&gt;"",U137&lt;=TODAY(),U139="")</formula>
    </cfRule>
  </conditionalFormatting>
  <conditionalFormatting sqref="U137">
    <cfRule type="expression" dxfId="4" priority="5" stopIfTrue="1">
      <formula>AND(MOD(ROW()-19,3)=0,OFFSET(U137,2,0)&lt;&gt;"")</formula>
    </cfRule>
  </conditionalFormatting>
  <conditionalFormatting sqref="U137">
    <cfRule type="expression" dxfId="3" priority="1" stopIfTrue="1">
      <formula>AND(MOD(ROW()-19,3)=0,U137&lt;&gt;"",U137&gt;TODAY(),U137&lt;=TODAY()+7,U139="")</formula>
    </cfRule>
    <cfRule type="expression" dxfId="2" priority="2" stopIfTrue="1">
      <formula>AND(MOD(ROW()-19,3)=0,U137&lt;&gt;"",U137&lt;=TODAY(),U139="")</formula>
    </cfRule>
  </conditionalFormatting>
  <conditionalFormatting sqref="U137">
    <cfRule type="expression" dxfId="1" priority="3" stopIfTrue="1">
      <formula>AND(MOD(ROW()-19,3)=0,U137&lt;&gt;"",U137&gt;TODAY(),U137&lt;=TODAY()+7,#REF!="")</formula>
    </cfRule>
    <cfRule type="expression" dxfId="0" priority="4" stopIfTrue="1">
      <formula>AND(MOD(ROW()-19,3)=0,U137&lt;&gt;"",U137&lt;=TODAY(),#REF!="")</formula>
    </cfRule>
  </conditionalFormatting>
  <dataValidations count="1">
    <dataValidation type="list" allowBlank="1" showInputMessage="1" showErrorMessage="1" sqref="E18:G18 N18:AR18" xr:uid="{00000000-0002-0000-0000-000000000000}">
      <formula1>"Thai,China"</formula1>
    </dataValidation>
  </dataValidations>
  <pageMargins left="0.70069444444444495" right="0.70069444444444495" top="0.75138888888888899" bottom="0.75138888888888899" header="0.29861111111111099" footer="0.29861111111111099"/>
  <pageSetup paperSize="9" scale="20" fitToHeight="0" orientation="portrait" horizontalDpi="1200" verticalDpi="1200"/>
  <colBreaks count="1" manualBreakCount="1">
    <brk id="21" max="320" man="1"/>
  </colBreaks>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1:BF290"/>
  <sheetViews>
    <sheetView topLeftCell="A125" zoomScale="70" zoomScaleNormal="70" workbookViewId="0">
      <selection activeCell="K142" sqref="K142"/>
    </sheetView>
  </sheetViews>
  <sheetFormatPr defaultColWidth="10" defaultRowHeight="18" outlineLevelCol="1"/>
  <cols>
    <col min="1" max="1" width="2.1328125" style="270" customWidth="1" outlineLevel="1"/>
    <col min="2" max="2" width="8" style="271" customWidth="1" outlineLevel="1"/>
    <col min="3" max="3" width="18.1328125" style="271" customWidth="1" outlineLevel="1"/>
    <col min="4" max="5" width="10.796875" style="271" customWidth="1" outlineLevel="1"/>
    <col min="6" max="6" width="8" style="271" customWidth="1" outlineLevel="1"/>
    <col min="7" max="7" width="15.86328125" style="271" customWidth="1" outlineLevel="1"/>
    <col min="8" max="8" width="8" style="271" customWidth="1"/>
    <col min="9" max="9" width="45.86328125" style="270" customWidth="1"/>
    <col min="10" max="10" width="8.796875" style="270" customWidth="1"/>
    <col min="11" max="11" width="24.19921875" style="272" customWidth="1"/>
    <col min="12" max="12" width="17.19921875" style="270" customWidth="1"/>
    <col min="13" max="13" width="19.46484375" style="270" customWidth="1"/>
    <col min="14" max="14" width="10.1328125" style="270" customWidth="1"/>
    <col min="15" max="16" width="12.46484375" style="273" hidden="1" customWidth="1" outlineLevel="1"/>
    <col min="17" max="21" width="16.1328125" style="273" hidden="1" customWidth="1" outlineLevel="1"/>
    <col min="22" max="22" width="20.19921875" style="273" hidden="1" customWidth="1" outlineLevel="1"/>
    <col min="23" max="23" width="20.46484375" style="273" hidden="1" customWidth="1" outlineLevel="1"/>
    <col min="24" max="24" width="14.86328125" style="270" customWidth="1" collapsed="1"/>
    <col min="25" max="25" width="16" style="270" customWidth="1"/>
    <col min="26" max="26" width="9.46484375" style="270" customWidth="1"/>
    <col min="27" max="27" width="14.46484375" style="270" customWidth="1"/>
    <col min="28" max="28" width="17.1328125" style="270" customWidth="1"/>
    <col min="29" max="29" width="11.53125" style="270" customWidth="1"/>
    <col min="30" max="30" width="11.53125" style="274" customWidth="1" outlineLevel="1"/>
    <col min="31" max="31" width="15.19921875" style="273" customWidth="1" outlineLevel="1"/>
    <col min="32" max="32" width="14.19921875" style="273" customWidth="1" outlineLevel="1"/>
    <col min="33" max="33" width="14.53125" style="270" customWidth="1"/>
    <col min="34" max="34" width="17.1328125" style="270" customWidth="1"/>
    <col min="35" max="35" width="12.53125" style="270" customWidth="1"/>
    <col min="36" max="38" width="12.53125" style="273" customWidth="1" outlineLevel="1"/>
    <col min="39" max="39" width="14.46484375" style="270" customWidth="1"/>
    <col min="40" max="40" width="17.1328125" style="270" customWidth="1"/>
    <col min="41" max="41" width="10" style="270"/>
    <col min="42" max="42" width="12.53125" style="273" customWidth="1" outlineLevel="1"/>
    <col min="43" max="43" width="16.86328125" style="273" customWidth="1" outlineLevel="1"/>
    <col min="44" max="44" width="10" style="270"/>
    <col min="45" max="45" width="26.6640625" style="270" customWidth="1"/>
    <col min="46" max="46" width="14.1328125" style="270" customWidth="1"/>
    <col min="47" max="47" width="15.86328125" style="270" customWidth="1"/>
    <col min="48" max="49" width="14.19921875" style="270" customWidth="1"/>
    <col min="50" max="50" width="16" style="270" customWidth="1"/>
    <col min="51" max="51" width="15.796875" style="275" customWidth="1"/>
    <col min="52" max="52" width="21.796875" style="270" customWidth="1"/>
    <col min="53" max="53" width="45.19921875" style="276" customWidth="1"/>
    <col min="54" max="54" width="1.46484375" style="270" customWidth="1"/>
    <col min="55" max="56" width="14.53125" style="270" customWidth="1"/>
    <col min="57" max="57" width="17.46484375" style="277" customWidth="1"/>
    <col min="58" max="58" width="21.86328125" style="278" customWidth="1"/>
    <col min="59" max="263" width="10" style="270"/>
    <col min="264" max="264" width="4.86328125" style="270" customWidth="1"/>
    <col min="265" max="265" width="23.46484375" style="270" customWidth="1"/>
    <col min="266" max="266" width="6.19921875" style="270" customWidth="1"/>
    <col min="267" max="267" width="11" style="270" customWidth="1"/>
    <col min="268" max="268" width="10" style="270"/>
    <col min="269" max="269" width="5.46484375" style="270" customWidth="1"/>
    <col min="270" max="270" width="8.46484375" style="270" customWidth="1"/>
    <col min="271" max="271" width="9.46484375" style="270" customWidth="1"/>
    <col min="272" max="272" width="8.46484375" style="270" customWidth="1"/>
    <col min="273" max="273" width="11.19921875" style="270" customWidth="1"/>
    <col min="274" max="274" width="10" style="270"/>
    <col min="275" max="275" width="6.1328125" style="270" customWidth="1"/>
    <col min="276" max="276" width="11.53125" style="270" customWidth="1"/>
    <col min="277" max="277" width="10" style="270"/>
    <col min="278" max="278" width="7.46484375" style="270" customWidth="1"/>
    <col min="279" max="279" width="10" style="270"/>
    <col min="280" max="280" width="12.1328125" style="270" customWidth="1"/>
    <col min="281" max="281" width="6.796875" style="270" customWidth="1"/>
    <col min="282" max="283" width="10" style="270"/>
    <col min="284" max="284" width="10.796875" style="270" customWidth="1"/>
    <col min="285" max="285" width="10.46484375" style="270" customWidth="1"/>
    <col min="286" max="286" width="11" style="270" customWidth="1"/>
    <col min="287" max="288" width="10" style="270"/>
    <col min="289" max="289" width="20.46484375" style="270" customWidth="1"/>
    <col min="290" max="290" width="21.86328125" style="270" customWidth="1"/>
    <col min="291" max="291" width="12.53125" style="270" customWidth="1"/>
    <col min="292" max="519" width="10" style="270"/>
    <col min="520" max="520" width="4.86328125" style="270" customWidth="1"/>
    <col min="521" max="521" width="23.46484375" style="270" customWidth="1"/>
    <col min="522" max="522" width="6.19921875" style="270" customWidth="1"/>
    <col min="523" max="523" width="11" style="270" customWidth="1"/>
    <col min="524" max="524" width="10" style="270"/>
    <col min="525" max="525" width="5.46484375" style="270" customWidth="1"/>
    <col min="526" max="526" width="8.46484375" style="270" customWidth="1"/>
    <col min="527" max="527" width="9.46484375" style="270" customWidth="1"/>
    <col min="528" max="528" width="8.46484375" style="270" customWidth="1"/>
    <col min="529" max="529" width="11.19921875" style="270" customWidth="1"/>
    <col min="530" max="530" width="10" style="270"/>
    <col min="531" max="531" width="6.1328125" style="270" customWidth="1"/>
    <col min="532" max="532" width="11.53125" style="270" customWidth="1"/>
    <col min="533" max="533" width="10" style="270"/>
    <col min="534" max="534" width="7.46484375" style="270" customWidth="1"/>
    <col min="535" max="535" width="10" style="270"/>
    <col min="536" max="536" width="12.1328125" style="270" customWidth="1"/>
    <col min="537" max="537" width="6.796875" style="270" customWidth="1"/>
    <col min="538" max="539" width="10" style="270"/>
    <col min="540" max="540" width="10.796875" style="270" customWidth="1"/>
    <col min="541" max="541" width="10.46484375" style="270" customWidth="1"/>
    <col min="542" max="542" width="11" style="270" customWidth="1"/>
    <col min="543" max="544" width="10" style="270"/>
    <col min="545" max="545" width="20.46484375" style="270" customWidth="1"/>
    <col min="546" max="546" width="21.86328125" style="270" customWidth="1"/>
    <col min="547" max="547" width="12.53125" style="270" customWidth="1"/>
    <col min="548" max="775" width="10" style="270"/>
    <col min="776" max="776" width="4.86328125" style="270" customWidth="1"/>
    <col min="777" max="777" width="23.46484375" style="270" customWidth="1"/>
    <col min="778" max="778" width="6.19921875" style="270" customWidth="1"/>
    <col min="779" max="779" width="11" style="270" customWidth="1"/>
    <col min="780" max="780" width="10" style="270"/>
    <col min="781" max="781" width="5.46484375" style="270" customWidth="1"/>
    <col min="782" max="782" width="8.46484375" style="270" customWidth="1"/>
    <col min="783" max="783" width="9.46484375" style="270" customWidth="1"/>
    <col min="784" max="784" width="8.46484375" style="270" customWidth="1"/>
    <col min="785" max="785" width="11.19921875" style="270" customWidth="1"/>
    <col min="786" max="786" width="10" style="270"/>
    <col min="787" max="787" width="6.1328125" style="270" customWidth="1"/>
    <col min="788" max="788" width="11.53125" style="270" customWidth="1"/>
    <col min="789" max="789" width="10" style="270"/>
    <col min="790" max="790" width="7.46484375" style="270" customWidth="1"/>
    <col min="791" max="791" width="10" style="270"/>
    <col min="792" max="792" width="12.1328125" style="270" customWidth="1"/>
    <col min="793" max="793" width="6.796875" style="270" customWidth="1"/>
    <col min="794" max="795" width="10" style="270"/>
    <col min="796" max="796" width="10.796875" style="270" customWidth="1"/>
    <col min="797" max="797" width="10.46484375" style="270" customWidth="1"/>
    <col min="798" max="798" width="11" style="270" customWidth="1"/>
    <col min="799" max="800" width="10" style="270"/>
    <col min="801" max="801" width="20.46484375" style="270" customWidth="1"/>
    <col min="802" max="802" width="21.86328125" style="270" customWidth="1"/>
    <col min="803" max="803" width="12.53125" style="270" customWidth="1"/>
    <col min="804" max="1031" width="10" style="270"/>
    <col min="1032" max="1032" width="4.86328125" style="270" customWidth="1"/>
    <col min="1033" max="1033" width="23.46484375" style="270" customWidth="1"/>
    <col min="1034" max="1034" width="6.19921875" style="270" customWidth="1"/>
    <col min="1035" max="1035" width="11" style="270" customWidth="1"/>
    <col min="1036" max="1036" width="10" style="270"/>
    <col min="1037" max="1037" width="5.46484375" style="270" customWidth="1"/>
    <col min="1038" max="1038" width="8.46484375" style="270" customWidth="1"/>
    <col min="1039" max="1039" width="9.46484375" style="270" customWidth="1"/>
    <col min="1040" max="1040" width="8.46484375" style="270" customWidth="1"/>
    <col min="1041" max="1041" width="11.19921875" style="270" customWidth="1"/>
    <col min="1042" max="1042" width="10" style="270"/>
    <col min="1043" max="1043" width="6.1328125" style="270" customWidth="1"/>
    <col min="1044" max="1044" width="11.53125" style="270" customWidth="1"/>
    <col min="1045" max="1045" width="10" style="270"/>
    <col min="1046" max="1046" width="7.46484375" style="270" customWidth="1"/>
    <col min="1047" max="1047" width="10" style="270"/>
    <col min="1048" max="1048" width="12.1328125" style="270" customWidth="1"/>
    <col min="1049" max="1049" width="6.796875" style="270" customWidth="1"/>
    <col min="1050" max="1051" width="10" style="270"/>
    <col min="1052" max="1052" width="10.796875" style="270" customWidth="1"/>
    <col min="1053" max="1053" width="10.46484375" style="270" customWidth="1"/>
    <col min="1054" max="1054" width="11" style="270" customWidth="1"/>
    <col min="1055" max="1056" width="10" style="270"/>
    <col min="1057" max="1057" width="20.46484375" style="270" customWidth="1"/>
    <col min="1058" max="1058" width="21.86328125" style="270" customWidth="1"/>
    <col min="1059" max="1059" width="12.53125" style="270" customWidth="1"/>
    <col min="1060" max="1287" width="10" style="270"/>
    <col min="1288" max="1288" width="4.86328125" style="270" customWidth="1"/>
    <col min="1289" max="1289" width="23.46484375" style="270" customWidth="1"/>
    <col min="1290" max="1290" width="6.19921875" style="270" customWidth="1"/>
    <col min="1291" max="1291" width="11" style="270" customWidth="1"/>
    <col min="1292" max="1292" width="10" style="270"/>
    <col min="1293" max="1293" width="5.46484375" style="270" customWidth="1"/>
    <col min="1294" max="1294" width="8.46484375" style="270" customWidth="1"/>
    <col min="1295" max="1295" width="9.46484375" style="270" customWidth="1"/>
    <col min="1296" max="1296" width="8.46484375" style="270" customWidth="1"/>
    <col min="1297" max="1297" width="11.19921875" style="270" customWidth="1"/>
    <col min="1298" max="1298" width="10" style="270"/>
    <col min="1299" max="1299" width="6.1328125" style="270" customWidth="1"/>
    <col min="1300" max="1300" width="11.53125" style="270" customWidth="1"/>
    <col min="1301" max="1301" width="10" style="270"/>
    <col min="1302" max="1302" width="7.46484375" style="270" customWidth="1"/>
    <col min="1303" max="1303" width="10" style="270"/>
    <col min="1304" max="1304" width="12.1328125" style="270" customWidth="1"/>
    <col min="1305" max="1305" width="6.796875" style="270" customWidth="1"/>
    <col min="1306" max="1307" width="10" style="270"/>
    <col min="1308" max="1308" width="10.796875" style="270" customWidth="1"/>
    <col min="1309" max="1309" width="10.46484375" style="270" customWidth="1"/>
    <col min="1310" max="1310" width="11" style="270" customWidth="1"/>
    <col min="1311" max="1312" width="10" style="270"/>
    <col min="1313" max="1313" width="20.46484375" style="270" customWidth="1"/>
    <col min="1314" max="1314" width="21.86328125" style="270" customWidth="1"/>
    <col min="1315" max="1315" width="12.53125" style="270" customWidth="1"/>
    <col min="1316" max="1543" width="10" style="270"/>
    <col min="1544" max="1544" width="4.86328125" style="270" customWidth="1"/>
    <col min="1545" max="1545" width="23.46484375" style="270" customWidth="1"/>
    <col min="1546" max="1546" width="6.19921875" style="270" customWidth="1"/>
    <col min="1547" max="1547" width="11" style="270" customWidth="1"/>
    <col min="1548" max="1548" width="10" style="270"/>
    <col min="1549" max="1549" width="5.46484375" style="270" customWidth="1"/>
    <col min="1550" max="1550" width="8.46484375" style="270" customWidth="1"/>
    <col min="1551" max="1551" width="9.46484375" style="270" customWidth="1"/>
    <col min="1552" max="1552" width="8.46484375" style="270" customWidth="1"/>
    <col min="1553" max="1553" width="11.19921875" style="270" customWidth="1"/>
    <col min="1554" max="1554" width="10" style="270"/>
    <col min="1555" max="1555" width="6.1328125" style="270" customWidth="1"/>
    <col min="1556" max="1556" width="11.53125" style="270" customWidth="1"/>
    <col min="1557" max="1557" width="10" style="270"/>
    <col min="1558" max="1558" width="7.46484375" style="270" customWidth="1"/>
    <col min="1559" max="1559" width="10" style="270"/>
    <col min="1560" max="1560" width="12.1328125" style="270" customWidth="1"/>
    <col min="1561" max="1561" width="6.796875" style="270" customWidth="1"/>
    <col min="1562" max="1563" width="10" style="270"/>
    <col min="1564" max="1564" width="10.796875" style="270" customWidth="1"/>
    <col min="1565" max="1565" width="10.46484375" style="270" customWidth="1"/>
    <col min="1566" max="1566" width="11" style="270" customWidth="1"/>
    <col min="1567" max="1568" width="10" style="270"/>
    <col min="1569" max="1569" width="20.46484375" style="270" customWidth="1"/>
    <col min="1570" max="1570" width="21.86328125" style="270" customWidth="1"/>
    <col min="1571" max="1571" width="12.53125" style="270" customWidth="1"/>
    <col min="1572" max="1799" width="10" style="270"/>
    <col min="1800" max="1800" width="4.86328125" style="270" customWidth="1"/>
    <col min="1801" max="1801" width="23.46484375" style="270" customWidth="1"/>
    <col min="1802" max="1802" width="6.19921875" style="270" customWidth="1"/>
    <col min="1803" max="1803" width="11" style="270" customWidth="1"/>
    <col min="1804" max="1804" width="10" style="270"/>
    <col min="1805" max="1805" width="5.46484375" style="270" customWidth="1"/>
    <col min="1806" max="1806" width="8.46484375" style="270" customWidth="1"/>
    <col min="1807" max="1807" width="9.46484375" style="270" customWidth="1"/>
    <col min="1808" max="1808" width="8.46484375" style="270" customWidth="1"/>
    <col min="1809" max="1809" width="11.19921875" style="270" customWidth="1"/>
    <col min="1810" max="1810" width="10" style="270"/>
    <col min="1811" max="1811" width="6.1328125" style="270" customWidth="1"/>
    <col min="1812" max="1812" width="11.53125" style="270" customWidth="1"/>
    <col min="1813" max="1813" width="10" style="270"/>
    <col min="1814" max="1814" width="7.46484375" style="270" customWidth="1"/>
    <col min="1815" max="1815" width="10" style="270"/>
    <col min="1816" max="1816" width="12.1328125" style="270" customWidth="1"/>
    <col min="1817" max="1817" width="6.796875" style="270" customWidth="1"/>
    <col min="1818" max="1819" width="10" style="270"/>
    <col min="1820" max="1820" width="10.796875" style="270" customWidth="1"/>
    <col min="1821" max="1821" width="10.46484375" style="270" customWidth="1"/>
    <col min="1822" max="1822" width="11" style="270" customWidth="1"/>
    <col min="1823" max="1824" width="10" style="270"/>
    <col min="1825" max="1825" width="20.46484375" style="270" customWidth="1"/>
    <col min="1826" max="1826" width="21.86328125" style="270" customWidth="1"/>
    <col min="1827" max="1827" width="12.53125" style="270" customWidth="1"/>
    <col min="1828" max="2055" width="10" style="270"/>
    <col min="2056" max="2056" width="4.86328125" style="270" customWidth="1"/>
    <col min="2057" max="2057" width="23.46484375" style="270" customWidth="1"/>
    <col min="2058" max="2058" width="6.19921875" style="270" customWidth="1"/>
    <col min="2059" max="2059" width="11" style="270" customWidth="1"/>
    <col min="2060" max="2060" width="10" style="270"/>
    <col min="2061" max="2061" width="5.46484375" style="270" customWidth="1"/>
    <col min="2062" max="2062" width="8.46484375" style="270" customWidth="1"/>
    <col min="2063" max="2063" width="9.46484375" style="270" customWidth="1"/>
    <col min="2064" max="2064" width="8.46484375" style="270" customWidth="1"/>
    <col min="2065" max="2065" width="11.19921875" style="270" customWidth="1"/>
    <col min="2066" max="2066" width="10" style="270"/>
    <col min="2067" max="2067" width="6.1328125" style="270" customWidth="1"/>
    <col min="2068" max="2068" width="11.53125" style="270" customWidth="1"/>
    <col min="2069" max="2069" width="10" style="270"/>
    <col min="2070" max="2070" width="7.46484375" style="270" customWidth="1"/>
    <col min="2071" max="2071" width="10" style="270"/>
    <col min="2072" max="2072" width="12.1328125" style="270" customWidth="1"/>
    <col min="2073" max="2073" width="6.796875" style="270" customWidth="1"/>
    <col min="2074" max="2075" width="10" style="270"/>
    <col min="2076" max="2076" width="10.796875" style="270" customWidth="1"/>
    <col min="2077" max="2077" width="10.46484375" style="270" customWidth="1"/>
    <col min="2078" max="2078" width="11" style="270" customWidth="1"/>
    <col min="2079" max="2080" width="10" style="270"/>
    <col min="2081" max="2081" width="20.46484375" style="270" customWidth="1"/>
    <col min="2082" max="2082" width="21.86328125" style="270" customWidth="1"/>
    <col min="2083" max="2083" width="12.53125" style="270" customWidth="1"/>
    <col min="2084" max="2311" width="10" style="270"/>
    <col min="2312" max="2312" width="4.86328125" style="270" customWidth="1"/>
    <col min="2313" max="2313" width="23.46484375" style="270" customWidth="1"/>
    <col min="2314" max="2314" width="6.19921875" style="270" customWidth="1"/>
    <col min="2315" max="2315" width="11" style="270" customWidth="1"/>
    <col min="2316" max="2316" width="10" style="270"/>
    <col min="2317" max="2317" width="5.46484375" style="270" customWidth="1"/>
    <col min="2318" max="2318" width="8.46484375" style="270" customWidth="1"/>
    <col min="2319" max="2319" width="9.46484375" style="270" customWidth="1"/>
    <col min="2320" max="2320" width="8.46484375" style="270" customWidth="1"/>
    <col min="2321" max="2321" width="11.19921875" style="270" customWidth="1"/>
    <col min="2322" max="2322" width="10" style="270"/>
    <col min="2323" max="2323" width="6.1328125" style="270" customWidth="1"/>
    <col min="2324" max="2324" width="11.53125" style="270" customWidth="1"/>
    <col min="2325" max="2325" width="10" style="270"/>
    <col min="2326" max="2326" width="7.46484375" style="270" customWidth="1"/>
    <col min="2327" max="2327" width="10" style="270"/>
    <col min="2328" max="2328" width="12.1328125" style="270" customWidth="1"/>
    <col min="2329" max="2329" width="6.796875" style="270" customWidth="1"/>
    <col min="2330" max="2331" width="10" style="270"/>
    <col min="2332" max="2332" width="10.796875" style="270" customWidth="1"/>
    <col min="2333" max="2333" width="10.46484375" style="270" customWidth="1"/>
    <col min="2334" max="2334" width="11" style="270" customWidth="1"/>
    <col min="2335" max="2336" width="10" style="270"/>
    <col min="2337" max="2337" width="20.46484375" style="270" customWidth="1"/>
    <col min="2338" max="2338" width="21.86328125" style="270" customWidth="1"/>
    <col min="2339" max="2339" width="12.53125" style="270" customWidth="1"/>
    <col min="2340" max="2567" width="10" style="270"/>
    <col min="2568" max="2568" width="4.86328125" style="270" customWidth="1"/>
    <col min="2569" max="2569" width="23.46484375" style="270" customWidth="1"/>
    <col min="2570" max="2570" width="6.19921875" style="270" customWidth="1"/>
    <col min="2571" max="2571" width="11" style="270" customWidth="1"/>
    <col min="2572" max="2572" width="10" style="270"/>
    <col min="2573" max="2573" width="5.46484375" style="270" customWidth="1"/>
    <col min="2574" max="2574" width="8.46484375" style="270" customWidth="1"/>
    <col min="2575" max="2575" width="9.46484375" style="270" customWidth="1"/>
    <col min="2576" max="2576" width="8.46484375" style="270" customWidth="1"/>
    <col min="2577" max="2577" width="11.19921875" style="270" customWidth="1"/>
    <col min="2578" max="2578" width="10" style="270"/>
    <col min="2579" max="2579" width="6.1328125" style="270" customWidth="1"/>
    <col min="2580" max="2580" width="11.53125" style="270" customWidth="1"/>
    <col min="2581" max="2581" width="10" style="270"/>
    <col min="2582" max="2582" width="7.46484375" style="270" customWidth="1"/>
    <col min="2583" max="2583" width="10" style="270"/>
    <col min="2584" max="2584" width="12.1328125" style="270" customWidth="1"/>
    <col min="2585" max="2585" width="6.796875" style="270" customWidth="1"/>
    <col min="2586" max="2587" width="10" style="270"/>
    <col min="2588" max="2588" width="10.796875" style="270" customWidth="1"/>
    <col min="2589" max="2589" width="10.46484375" style="270" customWidth="1"/>
    <col min="2590" max="2590" width="11" style="270" customWidth="1"/>
    <col min="2591" max="2592" width="10" style="270"/>
    <col min="2593" max="2593" width="20.46484375" style="270" customWidth="1"/>
    <col min="2594" max="2594" width="21.86328125" style="270" customWidth="1"/>
    <col min="2595" max="2595" width="12.53125" style="270" customWidth="1"/>
    <col min="2596" max="2823" width="10" style="270"/>
    <col min="2824" max="2824" width="4.86328125" style="270" customWidth="1"/>
    <col min="2825" max="2825" width="23.46484375" style="270" customWidth="1"/>
    <col min="2826" max="2826" width="6.19921875" style="270" customWidth="1"/>
    <col min="2827" max="2827" width="11" style="270" customWidth="1"/>
    <col min="2828" max="2828" width="10" style="270"/>
    <col min="2829" max="2829" width="5.46484375" style="270" customWidth="1"/>
    <col min="2830" max="2830" width="8.46484375" style="270" customWidth="1"/>
    <col min="2831" max="2831" width="9.46484375" style="270" customWidth="1"/>
    <col min="2832" max="2832" width="8.46484375" style="270" customWidth="1"/>
    <col min="2833" max="2833" width="11.19921875" style="270" customWidth="1"/>
    <col min="2834" max="2834" width="10" style="270"/>
    <col min="2835" max="2835" width="6.1328125" style="270" customWidth="1"/>
    <col min="2836" max="2836" width="11.53125" style="270" customWidth="1"/>
    <col min="2837" max="2837" width="10" style="270"/>
    <col min="2838" max="2838" width="7.46484375" style="270" customWidth="1"/>
    <col min="2839" max="2839" width="10" style="270"/>
    <col min="2840" max="2840" width="12.1328125" style="270" customWidth="1"/>
    <col min="2841" max="2841" width="6.796875" style="270" customWidth="1"/>
    <col min="2842" max="2843" width="10" style="270"/>
    <col min="2844" max="2844" width="10.796875" style="270" customWidth="1"/>
    <col min="2845" max="2845" width="10.46484375" style="270" customWidth="1"/>
    <col min="2846" max="2846" width="11" style="270" customWidth="1"/>
    <col min="2847" max="2848" width="10" style="270"/>
    <col min="2849" max="2849" width="20.46484375" style="270" customWidth="1"/>
    <col min="2850" max="2850" width="21.86328125" style="270" customWidth="1"/>
    <col min="2851" max="2851" width="12.53125" style="270" customWidth="1"/>
    <col min="2852" max="3079" width="10" style="270"/>
    <col min="3080" max="3080" width="4.86328125" style="270" customWidth="1"/>
    <col min="3081" max="3081" width="23.46484375" style="270" customWidth="1"/>
    <col min="3082" max="3082" width="6.19921875" style="270" customWidth="1"/>
    <col min="3083" max="3083" width="11" style="270" customWidth="1"/>
    <col min="3084" max="3084" width="10" style="270"/>
    <col min="3085" max="3085" width="5.46484375" style="270" customWidth="1"/>
    <col min="3086" max="3086" width="8.46484375" style="270" customWidth="1"/>
    <col min="3087" max="3087" width="9.46484375" style="270" customWidth="1"/>
    <col min="3088" max="3088" width="8.46484375" style="270" customWidth="1"/>
    <col min="3089" max="3089" width="11.19921875" style="270" customWidth="1"/>
    <col min="3090" max="3090" width="10" style="270"/>
    <col min="3091" max="3091" width="6.1328125" style="270" customWidth="1"/>
    <col min="3092" max="3092" width="11.53125" style="270" customWidth="1"/>
    <col min="3093" max="3093" width="10" style="270"/>
    <col min="3094" max="3094" width="7.46484375" style="270" customWidth="1"/>
    <col min="3095" max="3095" width="10" style="270"/>
    <col min="3096" max="3096" width="12.1328125" style="270" customWidth="1"/>
    <col min="3097" max="3097" width="6.796875" style="270" customWidth="1"/>
    <col min="3098" max="3099" width="10" style="270"/>
    <col min="3100" max="3100" width="10.796875" style="270" customWidth="1"/>
    <col min="3101" max="3101" width="10.46484375" style="270" customWidth="1"/>
    <col min="3102" max="3102" width="11" style="270" customWidth="1"/>
    <col min="3103" max="3104" width="10" style="270"/>
    <col min="3105" max="3105" width="20.46484375" style="270" customWidth="1"/>
    <col min="3106" max="3106" width="21.86328125" style="270" customWidth="1"/>
    <col min="3107" max="3107" width="12.53125" style="270" customWidth="1"/>
    <col min="3108" max="3335" width="10" style="270"/>
    <col min="3336" max="3336" width="4.86328125" style="270" customWidth="1"/>
    <col min="3337" max="3337" width="23.46484375" style="270" customWidth="1"/>
    <col min="3338" max="3338" width="6.19921875" style="270" customWidth="1"/>
    <col min="3339" max="3339" width="11" style="270" customWidth="1"/>
    <col min="3340" max="3340" width="10" style="270"/>
    <col min="3341" max="3341" width="5.46484375" style="270" customWidth="1"/>
    <col min="3342" max="3342" width="8.46484375" style="270" customWidth="1"/>
    <col min="3343" max="3343" width="9.46484375" style="270" customWidth="1"/>
    <col min="3344" max="3344" width="8.46484375" style="270" customWidth="1"/>
    <col min="3345" max="3345" width="11.19921875" style="270" customWidth="1"/>
    <col min="3346" max="3346" width="10" style="270"/>
    <col min="3347" max="3347" width="6.1328125" style="270" customWidth="1"/>
    <col min="3348" max="3348" width="11.53125" style="270" customWidth="1"/>
    <col min="3349" max="3349" width="10" style="270"/>
    <col min="3350" max="3350" width="7.46484375" style="270" customWidth="1"/>
    <col min="3351" max="3351" width="10" style="270"/>
    <col min="3352" max="3352" width="12.1328125" style="270" customWidth="1"/>
    <col min="3353" max="3353" width="6.796875" style="270" customWidth="1"/>
    <col min="3354" max="3355" width="10" style="270"/>
    <col min="3356" max="3356" width="10.796875" style="270" customWidth="1"/>
    <col min="3357" max="3357" width="10.46484375" style="270" customWidth="1"/>
    <col min="3358" max="3358" width="11" style="270" customWidth="1"/>
    <col min="3359" max="3360" width="10" style="270"/>
    <col min="3361" max="3361" width="20.46484375" style="270" customWidth="1"/>
    <col min="3362" max="3362" width="21.86328125" style="270" customWidth="1"/>
    <col min="3363" max="3363" width="12.53125" style="270" customWidth="1"/>
    <col min="3364" max="3591" width="10" style="270"/>
    <col min="3592" max="3592" width="4.86328125" style="270" customWidth="1"/>
    <col min="3593" max="3593" width="23.46484375" style="270" customWidth="1"/>
    <col min="3594" max="3594" width="6.19921875" style="270" customWidth="1"/>
    <col min="3595" max="3595" width="11" style="270" customWidth="1"/>
    <col min="3596" max="3596" width="10" style="270"/>
    <col min="3597" max="3597" width="5.46484375" style="270" customWidth="1"/>
    <col min="3598" max="3598" width="8.46484375" style="270" customWidth="1"/>
    <col min="3599" max="3599" width="9.46484375" style="270" customWidth="1"/>
    <col min="3600" max="3600" width="8.46484375" style="270" customWidth="1"/>
    <col min="3601" max="3601" width="11.19921875" style="270" customWidth="1"/>
    <col min="3602" max="3602" width="10" style="270"/>
    <col min="3603" max="3603" width="6.1328125" style="270" customWidth="1"/>
    <col min="3604" max="3604" width="11.53125" style="270" customWidth="1"/>
    <col min="3605" max="3605" width="10" style="270"/>
    <col min="3606" max="3606" width="7.46484375" style="270" customWidth="1"/>
    <col min="3607" max="3607" width="10" style="270"/>
    <col min="3608" max="3608" width="12.1328125" style="270" customWidth="1"/>
    <col min="3609" max="3609" width="6.796875" style="270" customWidth="1"/>
    <col min="3610" max="3611" width="10" style="270"/>
    <col min="3612" max="3612" width="10.796875" style="270" customWidth="1"/>
    <col min="3613" max="3613" width="10.46484375" style="270" customWidth="1"/>
    <col min="3614" max="3614" width="11" style="270" customWidth="1"/>
    <col min="3615" max="3616" width="10" style="270"/>
    <col min="3617" max="3617" width="20.46484375" style="270" customWidth="1"/>
    <col min="3618" max="3618" width="21.86328125" style="270" customWidth="1"/>
    <col min="3619" max="3619" width="12.53125" style="270" customWidth="1"/>
    <col min="3620" max="3847" width="10" style="270"/>
    <col min="3848" max="3848" width="4.86328125" style="270" customWidth="1"/>
    <col min="3849" max="3849" width="23.46484375" style="270" customWidth="1"/>
    <col min="3850" max="3850" width="6.19921875" style="270" customWidth="1"/>
    <col min="3851" max="3851" width="11" style="270" customWidth="1"/>
    <col min="3852" max="3852" width="10" style="270"/>
    <col min="3853" max="3853" width="5.46484375" style="270" customWidth="1"/>
    <col min="3854" max="3854" width="8.46484375" style="270" customWidth="1"/>
    <col min="3855" max="3855" width="9.46484375" style="270" customWidth="1"/>
    <col min="3856" max="3856" width="8.46484375" style="270" customWidth="1"/>
    <col min="3857" max="3857" width="11.19921875" style="270" customWidth="1"/>
    <col min="3858" max="3858" width="10" style="270"/>
    <col min="3859" max="3859" width="6.1328125" style="270" customWidth="1"/>
    <col min="3860" max="3860" width="11.53125" style="270" customWidth="1"/>
    <col min="3861" max="3861" width="10" style="270"/>
    <col min="3862" max="3862" width="7.46484375" style="270" customWidth="1"/>
    <col min="3863" max="3863" width="10" style="270"/>
    <col min="3864" max="3864" width="12.1328125" style="270" customWidth="1"/>
    <col min="3865" max="3865" width="6.796875" style="270" customWidth="1"/>
    <col min="3866" max="3867" width="10" style="270"/>
    <col min="3868" max="3868" width="10.796875" style="270" customWidth="1"/>
    <col min="3869" max="3869" width="10.46484375" style="270" customWidth="1"/>
    <col min="3870" max="3870" width="11" style="270" customWidth="1"/>
    <col min="3871" max="3872" width="10" style="270"/>
    <col min="3873" max="3873" width="20.46484375" style="270" customWidth="1"/>
    <col min="3874" max="3874" width="21.86328125" style="270" customWidth="1"/>
    <col min="3875" max="3875" width="12.53125" style="270" customWidth="1"/>
    <col min="3876" max="4103" width="10" style="270"/>
    <col min="4104" max="4104" width="4.86328125" style="270" customWidth="1"/>
    <col min="4105" max="4105" width="23.46484375" style="270" customWidth="1"/>
    <col min="4106" max="4106" width="6.19921875" style="270" customWidth="1"/>
    <col min="4107" max="4107" width="11" style="270" customWidth="1"/>
    <col min="4108" max="4108" width="10" style="270"/>
    <col min="4109" max="4109" width="5.46484375" style="270" customWidth="1"/>
    <col min="4110" max="4110" width="8.46484375" style="270" customWidth="1"/>
    <col min="4111" max="4111" width="9.46484375" style="270" customWidth="1"/>
    <col min="4112" max="4112" width="8.46484375" style="270" customWidth="1"/>
    <col min="4113" max="4113" width="11.19921875" style="270" customWidth="1"/>
    <col min="4114" max="4114" width="10" style="270"/>
    <col min="4115" max="4115" width="6.1328125" style="270" customWidth="1"/>
    <col min="4116" max="4116" width="11.53125" style="270" customWidth="1"/>
    <col min="4117" max="4117" width="10" style="270"/>
    <col min="4118" max="4118" width="7.46484375" style="270" customWidth="1"/>
    <col min="4119" max="4119" width="10" style="270"/>
    <col min="4120" max="4120" width="12.1328125" style="270" customWidth="1"/>
    <col min="4121" max="4121" width="6.796875" style="270" customWidth="1"/>
    <col min="4122" max="4123" width="10" style="270"/>
    <col min="4124" max="4124" width="10.796875" style="270" customWidth="1"/>
    <col min="4125" max="4125" width="10.46484375" style="270" customWidth="1"/>
    <col min="4126" max="4126" width="11" style="270" customWidth="1"/>
    <col min="4127" max="4128" width="10" style="270"/>
    <col min="4129" max="4129" width="20.46484375" style="270" customWidth="1"/>
    <col min="4130" max="4130" width="21.86328125" style="270" customWidth="1"/>
    <col min="4131" max="4131" width="12.53125" style="270" customWidth="1"/>
    <col min="4132" max="4359" width="10" style="270"/>
    <col min="4360" max="4360" width="4.86328125" style="270" customWidth="1"/>
    <col min="4361" max="4361" width="23.46484375" style="270" customWidth="1"/>
    <col min="4362" max="4362" width="6.19921875" style="270" customWidth="1"/>
    <col min="4363" max="4363" width="11" style="270" customWidth="1"/>
    <col min="4364" max="4364" width="10" style="270"/>
    <col min="4365" max="4365" width="5.46484375" style="270" customWidth="1"/>
    <col min="4366" max="4366" width="8.46484375" style="270" customWidth="1"/>
    <col min="4367" max="4367" width="9.46484375" style="270" customWidth="1"/>
    <col min="4368" max="4368" width="8.46484375" style="270" customWidth="1"/>
    <col min="4369" max="4369" width="11.19921875" style="270" customWidth="1"/>
    <col min="4370" max="4370" width="10" style="270"/>
    <col min="4371" max="4371" width="6.1328125" style="270" customWidth="1"/>
    <col min="4372" max="4372" width="11.53125" style="270" customWidth="1"/>
    <col min="4373" max="4373" width="10" style="270"/>
    <col min="4374" max="4374" width="7.46484375" style="270" customWidth="1"/>
    <col min="4375" max="4375" width="10" style="270"/>
    <col min="4376" max="4376" width="12.1328125" style="270" customWidth="1"/>
    <col min="4377" max="4377" width="6.796875" style="270" customWidth="1"/>
    <col min="4378" max="4379" width="10" style="270"/>
    <col min="4380" max="4380" width="10.796875" style="270" customWidth="1"/>
    <col min="4381" max="4381" width="10.46484375" style="270" customWidth="1"/>
    <col min="4382" max="4382" width="11" style="270" customWidth="1"/>
    <col min="4383" max="4384" width="10" style="270"/>
    <col min="4385" max="4385" width="20.46484375" style="270" customWidth="1"/>
    <col min="4386" max="4386" width="21.86328125" style="270" customWidth="1"/>
    <col min="4387" max="4387" width="12.53125" style="270" customWidth="1"/>
    <col min="4388" max="4615" width="10" style="270"/>
    <col min="4616" max="4616" width="4.86328125" style="270" customWidth="1"/>
    <col min="4617" max="4617" width="23.46484375" style="270" customWidth="1"/>
    <col min="4618" max="4618" width="6.19921875" style="270" customWidth="1"/>
    <col min="4619" max="4619" width="11" style="270" customWidth="1"/>
    <col min="4620" max="4620" width="10" style="270"/>
    <col min="4621" max="4621" width="5.46484375" style="270" customWidth="1"/>
    <col min="4622" max="4622" width="8.46484375" style="270" customWidth="1"/>
    <col min="4623" max="4623" width="9.46484375" style="270" customWidth="1"/>
    <col min="4624" max="4624" width="8.46484375" style="270" customWidth="1"/>
    <col min="4625" max="4625" width="11.19921875" style="270" customWidth="1"/>
    <col min="4626" max="4626" width="10" style="270"/>
    <col min="4627" max="4627" width="6.1328125" style="270" customWidth="1"/>
    <col min="4628" max="4628" width="11.53125" style="270" customWidth="1"/>
    <col min="4629" max="4629" width="10" style="270"/>
    <col min="4630" max="4630" width="7.46484375" style="270" customWidth="1"/>
    <col min="4631" max="4631" width="10" style="270"/>
    <col min="4632" max="4632" width="12.1328125" style="270" customWidth="1"/>
    <col min="4633" max="4633" width="6.796875" style="270" customWidth="1"/>
    <col min="4634" max="4635" width="10" style="270"/>
    <col min="4636" max="4636" width="10.796875" style="270" customWidth="1"/>
    <col min="4637" max="4637" width="10.46484375" style="270" customWidth="1"/>
    <col min="4638" max="4638" width="11" style="270" customWidth="1"/>
    <col min="4639" max="4640" width="10" style="270"/>
    <col min="4641" max="4641" width="20.46484375" style="270" customWidth="1"/>
    <col min="4642" max="4642" width="21.86328125" style="270" customWidth="1"/>
    <col min="4643" max="4643" width="12.53125" style="270" customWidth="1"/>
    <col min="4644" max="4871" width="10" style="270"/>
    <col min="4872" max="4872" width="4.86328125" style="270" customWidth="1"/>
    <col min="4873" max="4873" width="23.46484375" style="270" customWidth="1"/>
    <col min="4874" max="4874" width="6.19921875" style="270" customWidth="1"/>
    <col min="4875" max="4875" width="11" style="270" customWidth="1"/>
    <col min="4876" max="4876" width="10" style="270"/>
    <col min="4877" max="4877" width="5.46484375" style="270" customWidth="1"/>
    <col min="4878" max="4878" width="8.46484375" style="270" customWidth="1"/>
    <col min="4879" max="4879" width="9.46484375" style="270" customWidth="1"/>
    <col min="4880" max="4880" width="8.46484375" style="270" customWidth="1"/>
    <col min="4881" max="4881" width="11.19921875" style="270" customWidth="1"/>
    <col min="4882" max="4882" width="10" style="270"/>
    <col min="4883" max="4883" width="6.1328125" style="270" customWidth="1"/>
    <col min="4884" max="4884" width="11.53125" style="270" customWidth="1"/>
    <col min="4885" max="4885" width="10" style="270"/>
    <col min="4886" max="4886" width="7.46484375" style="270" customWidth="1"/>
    <col min="4887" max="4887" width="10" style="270"/>
    <col min="4888" max="4888" width="12.1328125" style="270" customWidth="1"/>
    <col min="4889" max="4889" width="6.796875" style="270" customWidth="1"/>
    <col min="4890" max="4891" width="10" style="270"/>
    <col min="4892" max="4892" width="10.796875" style="270" customWidth="1"/>
    <col min="4893" max="4893" width="10.46484375" style="270" customWidth="1"/>
    <col min="4894" max="4894" width="11" style="270" customWidth="1"/>
    <col min="4895" max="4896" width="10" style="270"/>
    <col min="4897" max="4897" width="20.46484375" style="270" customWidth="1"/>
    <col min="4898" max="4898" width="21.86328125" style="270" customWidth="1"/>
    <col min="4899" max="4899" width="12.53125" style="270" customWidth="1"/>
    <col min="4900" max="5127" width="10" style="270"/>
    <col min="5128" max="5128" width="4.86328125" style="270" customWidth="1"/>
    <col min="5129" max="5129" width="23.46484375" style="270" customWidth="1"/>
    <col min="5130" max="5130" width="6.19921875" style="270" customWidth="1"/>
    <col min="5131" max="5131" width="11" style="270" customWidth="1"/>
    <col min="5132" max="5132" width="10" style="270"/>
    <col min="5133" max="5133" width="5.46484375" style="270" customWidth="1"/>
    <col min="5134" max="5134" width="8.46484375" style="270" customWidth="1"/>
    <col min="5135" max="5135" width="9.46484375" style="270" customWidth="1"/>
    <col min="5136" max="5136" width="8.46484375" style="270" customWidth="1"/>
    <col min="5137" max="5137" width="11.19921875" style="270" customWidth="1"/>
    <col min="5138" max="5138" width="10" style="270"/>
    <col min="5139" max="5139" width="6.1328125" style="270" customWidth="1"/>
    <col min="5140" max="5140" width="11.53125" style="270" customWidth="1"/>
    <col min="5141" max="5141" width="10" style="270"/>
    <col min="5142" max="5142" width="7.46484375" style="270" customWidth="1"/>
    <col min="5143" max="5143" width="10" style="270"/>
    <col min="5144" max="5144" width="12.1328125" style="270" customWidth="1"/>
    <col min="5145" max="5145" width="6.796875" style="270" customWidth="1"/>
    <col min="5146" max="5147" width="10" style="270"/>
    <col min="5148" max="5148" width="10.796875" style="270" customWidth="1"/>
    <col min="5149" max="5149" width="10.46484375" style="270" customWidth="1"/>
    <col min="5150" max="5150" width="11" style="270" customWidth="1"/>
    <col min="5151" max="5152" width="10" style="270"/>
    <col min="5153" max="5153" width="20.46484375" style="270" customWidth="1"/>
    <col min="5154" max="5154" width="21.86328125" style="270" customWidth="1"/>
    <col min="5155" max="5155" width="12.53125" style="270" customWidth="1"/>
    <col min="5156" max="5383" width="10" style="270"/>
    <col min="5384" max="5384" width="4.86328125" style="270" customWidth="1"/>
    <col min="5385" max="5385" width="23.46484375" style="270" customWidth="1"/>
    <col min="5386" max="5386" width="6.19921875" style="270" customWidth="1"/>
    <col min="5387" max="5387" width="11" style="270" customWidth="1"/>
    <col min="5388" max="5388" width="10" style="270"/>
    <col min="5389" max="5389" width="5.46484375" style="270" customWidth="1"/>
    <col min="5390" max="5390" width="8.46484375" style="270" customWidth="1"/>
    <col min="5391" max="5391" width="9.46484375" style="270" customWidth="1"/>
    <col min="5392" max="5392" width="8.46484375" style="270" customWidth="1"/>
    <col min="5393" max="5393" width="11.19921875" style="270" customWidth="1"/>
    <col min="5394" max="5394" width="10" style="270"/>
    <col min="5395" max="5395" width="6.1328125" style="270" customWidth="1"/>
    <col min="5396" max="5396" width="11.53125" style="270" customWidth="1"/>
    <col min="5397" max="5397" width="10" style="270"/>
    <col min="5398" max="5398" width="7.46484375" style="270" customWidth="1"/>
    <col min="5399" max="5399" width="10" style="270"/>
    <col min="5400" max="5400" width="12.1328125" style="270" customWidth="1"/>
    <col min="5401" max="5401" width="6.796875" style="270" customWidth="1"/>
    <col min="5402" max="5403" width="10" style="270"/>
    <col min="5404" max="5404" width="10.796875" style="270" customWidth="1"/>
    <col min="5405" max="5405" width="10.46484375" style="270" customWidth="1"/>
    <col min="5406" max="5406" width="11" style="270" customWidth="1"/>
    <col min="5407" max="5408" width="10" style="270"/>
    <col min="5409" max="5409" width="20.46484375" style="270" customWidth="1"/>
    <col min="5410" max="5410" width="21.86328125" style="270" customWidth="1"/>
    <col min="5411" max="5411" width="12.53125" style="270" customWidth="1"/>
    <col min="5412" max="5639" width="10" style="270"/>
    <col min="5640" max="5640" width="4.86328125" style="270" customWidth="1"/>
    <col min="5641" max="5641" width="23.46484375" style="270" customWidth="1"/>
    <col min="5642" max="5642" width="6.19921875" style="270" customWidth="1"/>
    <col min="5643" max="5643" width="11" style="270" customWidth="1"/>
    <col min="5644" max="5644" width="10" style="270"/>
    <col min="5645" max="5645" width="5.46484375" style="270" customWidth="1"/>
    <col min="5646" max="5646" width="8.46484375" style="270" customWidth="1"/>
    <col min="5647" max="5647" width="9.46484375" style="270" customWidth="1"/>
    <col min="5648" max="5648" width="8.46484375" style="270" customWidth="1"/>
    <col min="5649" max="5649" width="11.19921875" style="270" customWidth="1"/>
    <col min="5650" max="5650" width="10" style="270"/>
    <col min="5651" max="5651" width="6.1328125" style="270" customWidth="1"/>
    <col min="5652" max="5652" width="11.53125" style="270" customWidth="1"/>
    <col min="5653" max="5653" width="10" style="270"/>
    <col min="5654" max="5654" width="7.46484375" style="270" customWidth="1"/>
    <col min="5655" max="5655" width="10" style="270"/>
    <col min="5656" max="5656" width="12.1328125" style="270" customWidth="1"/>
    <col min="5657" max="5657" width="6.796875" style="270" customWidth="1"/>
    <col min="5658" max="5659" width="10" style="270"/>
    <col min="5660" max="5660" width="10.796875" style="270" customWidth="1"/>
    <col min="5661" max="5661" width="10.46484375" style="270" customWidth="1"/>
    <col min="5662" max="5662" width="11" style="270" customWidth="1"/>
    <col min="5663" max="5664" width="10" style="270"/>
    <col min="5665" max="5665" width="20.46484375" style="270" customWidth="1"/>
    <col min="5666" max="5666" width="21.86328125" style="270" customWidth="1"/>
    <col min="5667" max="5667" width="12.53125" style="270" customWidth="1"/>
    <col min="5668" max="5895" width="10" style="270"/>
    <col min="5896" max="5896" width="4.86328125" style="270" customWidth="1"/>
    <col min="5897" max="5897" width="23.46484375" style="270" customWidth="1"/>
    <col min="5898" max="5898" width="6.19921875" style="270" customWidth="1"/>
    <col min="5899" max="5899" width="11" style="270" customWidth="1"/>
    <col min="5900" max="5900" width="10" style="270"/>
    <col min="5901" max="5901" width="5.46484375" style="270" customWidth="1"/>
    <col min="5902" max="5902" width="8.46484375" style="270" customWidth="1"/>
    <col min="5903" max="5903" width="9.46484375" style="270" customWidth="1"/>
    <col min="5904" max="5904" width="8.46484375" style="270" customWidth="1"/>
    <col min="5905" max="5905" width="11.19921875" style="270" customWidth="1"/>
    <col min="5906" max="5906" width="10" style="270"/>
    <col min="5907" max="5907" width="6.1328125" style="270" customWidth="1"/>
    <col min="5908" max="5908" width="11.53125" style="270" customWidth="1"/>
    <col min="5909" max="5909" width="10" style="270"/>
    <col min="5910" max="5910" width="7.46484375" style="270" customWidth="1"/>
    <col min="5911" max="5911" width="10" style="270"/>
    <col min="5912" max="5912" width="12.1328125" style="270" customWidth="1"/>
    <col min="5913" max="5913" width="6.796875" style="270" customWidth="1"/>
    <col min="5914" max="5915" width="10" style="270"/>
    <col min="5916" max="5916" width="10.796875" style="270" customWidth="1"/>
    <col min="5917" max="5917" width="10.46484375" style="270" customWidth="1"/>
    <col min="5918" max="5918" width="11" style="270" customWidth="1"/>
    <col min="5919" max="5920" width="10" style="270"/>
    <col min="5921" max="5921" width="20.46484375" style="270" customWidth="1"/>
    <col min="5922" max="5922" width="21.86328125" style="270" customWidth="1"/>
    <col min="5923" max="5923" width="12.53125" style="270" customWidth="1"/>
    <col min="5924" max="6151" width="10" style="270"/>
    <col min="6152" max="6152" width="4.86328125" style="270" customWidth="1"/>
    <col min="6153" max="6153" width="23.46484375" style="270" customWidth="1"/>
    <col min="6154" max="6154" width="6.19921875" style="270" customWidth="1"/>
    <col min="6155" max="6155" width="11" style="270" customWidth="1"/>
    <col min="6156" max="6156" width="10" style="270"/>
    <col min="6157" max="6157" width="5.46484375" style="270" customWidth="1"/>
    <col min="6158" max="6158" width="8.46484375" style="270" customWidth="1"/>
    <col min="6159" max="6159" width="9.46484375" style="270" customWidth="1"/>
    <col min="6160" max="6160" width="8.46484375" style="270" customWidth="1"/>
    <col min="6161" max="6161" width="11.19921875" style="270" customWidth="1"/>
    <col min="6162" max="6162" width="10" style="270"/>
    <col min="6163" max="6163" width="6.1328125" style="270" customWidth="1"/>
    <col min="6164" max="6164" width="11.53125" style="270" customWidth="1"/>
    <col min="6165" max="6165" width="10" style="270"/>
    <col min="6166" max="6166" width="7.46484375" style="270" customWidth="1"/>
    <col min="6167" max="6167" width="10" style="270"/>
    <col min="6168" max="6168" width="12.1328125" style="270" customWidth="1"/>
    <col min="6169" max="6169" width="6.796875" style="270" customWidth="1"/>
    <col min="6170" max="6171" width="10" style="270"/>
    <col min="6172" max="6172" width="10.796875" style="270" customWidth="1"/>
    <col min="6173" max="6173" width="10.46484375" style="270" customWidth="1"/>
    <col min="6174" max="6174" width="11" style="270" customWidth="1"/>
    <col min="6175" max="6176" width="10" style="270"/>
    <col min="6177" max="6177" width="20.46484375" style="270" customWidth="1"/>
    <col min="6178" max="6178" width="21.86328125" style="270" customWidth="1"/>
    <col min="6179" max="6179" width="12.53125" style="270" customWidth="1"/>
    <col min="6180" max="6407" width="10" style="270"/>
    <col min="6408" max="6408" width="4.86328125" style="270" customWidth="1"/>
    <col min="6409" max="6409" width="23.46484375" style="270" customWidth="1"/>
    <col min="6410" max="6410" width="6.19921875" style="270" customWidth="1"/>
    <col min="6411" max="6411" width="11" style="270" customWidth="1"/>
    <col min="6412" max="6412" width="10" style="270"/>
    <col min="6413" max="6413" width="5.46484375" style="270" customWidth="1"/>
    <col min="6414" max="6414" width="8.46484375" style="270" customWidth="1"/>
    <col min="6415" max="6415" width="9.46484375" style="270" customWidth="1"/>
    <col min="6416" max="6416" width="8.46484375" style="270" customWidth="1"/>
    <col min="6417" max="6417" width="11.19921875" style="270" customWidth="1"/>
    <col min="6418" max="6418" width="10" style="270"/>
    <col min="6419" max="6419" width="6.1328125" style="270" customWidth="1"/>
    <col min="6420" max="6420" width="11.53125" style="270" customWidth="1"/>
    <col min="6421" max="6421" width="10" style="270"/>
    <col min="6422" max="6422" width="7.46484375" style="270" customWidth="1"/>
    <col min="6423" max="6423" width="10" style="270"/>
    <col min="6424" max="6424" width="12.1328125" style="270" customWidth="1"/>
    <col min="6425" max="6425" width="6.796875" style="270" customWidth="1"/>
    <col min="6426" max="6427" width="10" style="270"/>
    <col min="6428" max="6428" width="10.796875" style="270" customWidth="1"/>
    <col min="6429" max="6429" width="10.46484375" style="270" customWidth="1"/>
    <col min="6430" max="6430" width="11" style="270" customWidth="1"/>
    <col min="6431" max="6432" width="10" style="270"/>
    <col min="6433" max="6433" width="20.46484375" style="270" customWidth="1"/>
    <col min="6434" max="6434" width="21.86328125" style="270" customWidth="1"/>
    <col min="6435" max="6435" width="12.53125" style="270" customWidth="1"/>
    <col min="6436" max="6663" width="10" style="270"/>
    <col min="6664" max="6664" width="4.86328125" style="270" customWidth="1"/>
    <col min="6665" max="6665" width="23.46484375" style="270" customWidth="1"/>
    <col min="6666" max="6666" width="6.19921875" style="270" customWidth="1"/>
    <col min="6667" max="6667" width="11" style="270" customWidth="1"/>
    <col min="6668" max="6668" width="10" style="270"/>
    <col min="6669" max="6669" width="5.46484375" style="270" customWidth="1"/>
    <col min="6670" max="6670" width="8.46484375" style="270" customWidth="1"/>
    <col min="6671" max="6671" width="9.46484375" style="270" customWidth="1"/>
    <col min="6672" max="6672" width="8.46484375" style="270" customWidth="1"/>
    <col min="6673" max="6673" width="11.19921875" style="270" customWidth="1"/>
    <col min="6674" max="6674" width="10" style="270"/>
    <col min="6675" max="6675" width="6.1328125" style="270" customWidth="1"/>
    <col min="6676" max="6676" width="11.53125" style="270" customWidth="1"/>
    <col min="6677" max="6677" width="10" style="270"/>
    <col min="6678" max="6678" width="7.46484375" style="270" customWidth="1"/>
    <col min="6679" max="6679" width="10" style="270"/>
    <col min="6680" max="6680" width="12.1328125" style="270" customWidth="1"/>
    <col min="6681" max="6681" width="6.796875" style="270" customWidth="1"/>
    <col min="6682" max="6683" width="10" style="270"/>
    <col min="6684" max="6684" width="10.796875" style="270" customWidth="1"/>
    <col min="6685" max="6685" width="10.46484375" style="270" customWidth="1"/>
    <col min="6686" max="6686" width="11" style="270" customWidth="1"/>
    <col min="6687" max="6688" width="10" style="270"/>
    <col min="6689" max="6689" width="20.46484375" style="270" customWidth="1"/>
    <col min="6690" max="6690" width="21.86328125" style="270" customWidth="1"/>
    <col min="6691" max="6691" width="12.53125" style="270" customWidth="1"/>
    <col min="6692" max="6919" width="10" style="270"/>
    <col min="6920" max="6920" width="4.86328125" style="270" customWidth="1"/>
    <col min="6921" max="6921" width="23.46484375" style="270" customWidth="1"/>
    <col min="6922" max="6922" width="6.19921875" style="270" customWidth="1"/>
    <col min="6923" max="6923" width="11" style="270" customWidth="1"/>
    <col min="6924" max="6924" width="10" style="270"/>
    <col min="6925" max="6925" width="5.46484375" style="270" customWidth="1"/>
    <col min="6926" max="6926" width="8.46484375" style="270" customWidth="1"/>
    <col min="6927" max="6927" width="9.46484375" style="270" customWidth="1"/>
    <col min="6928" max="6928" width="8.46484375" style="270" customWidth="1"/>
    <col min="6929" max="6929" width="11.19921875" style="270" customWidth="1"/>
    <col min="6930" max="6930" width="10" style="270"/>
    <col min="6931" max="6931" width="6.1328125" style="270" customWidth="1"/>
    <col min="6932" max="6932" width="11.53125" style="270" customWidth="1"/>
    <col min="6933" max="6933" width="10" style="270"/>
    <col min="6934" max="6934" width="7.46484375" style="270" customWidth="1"/>
    <col min="6935" max="6935" width="10" style="270"/>
    <col min="6936" max="6936" width="12.1328125" style="270" customWidth="1"/>
    <col min="6937" max="6937" width="6.796875" style="270" customWidth="1"/>
    <col min="6938" max="6939" width="10" style="270"/>
    <col min="6940" max="6940" width="10.796875" style="270" customWidth="1"/>
    <col min="6941" max="6941" width="10.46484375" style="270" customWidth="1"/>
    <col min="6942" max="6942" width="11" style="270" customWidth="1"/>
    <col min="6943" max="6944" width="10" style="270"/>
    <col min="6945" max="6945" width="20.46484375" style="270" customWidth="1"/>
    <col min="6946" max="6946" width="21.86328125" style="270" customWidth="1"/>
    <col min="6947" max="6947" width="12.53125" style="270" customWidth="1"/>
    <col min="6948" max="7175" width="10" style="270"/>
    <col min="7176" max="7176" width="4.86328125" style="270" customWidth="1"/>
    <col min="7177" max="7177" width="23.46484375" style="270" customWidth="1"/>
    <col min="7178" max="7178" width="6.19921875" style="270" customWidth="1"/>
    <col min="7179" max="7179" width="11" style="270" customWidth="1"/>
    <col min="7180" max="7180" width="10" style="270"/>
    <col min="7181" max="7181" width="5.46484375" style="270" customWidth="1"/>
    <col min="7182" max="7182" width="8.46484375" style="270" customWidth="1"/>
    <col min="7183" max="7183" width="9.46484375" style="270" customWidth="1"/>
    <col min="7184" max="7184" width="8.46484375" style="270" customWidth="1"/>
    <col min="7185" max="7185" width="11.19921875" style="270" customWidth="1"/>
    <col min="7186" max="7186" width="10" style="270"/>
    <col min="7187" max="7187" width="6.1328125" style="270" customWidth="1"/>
    <col min="7188" max="7188" width="11.53125" style="270" customWidth="1"/>
    <col min="7189" max="7189" width="10" style="270"/>
    <col min="7190" max="7190" width="7.46484375" style="270" customWidth="1"/>
    <col min="7191" max="7191" width="10" style="270"/>
    <col min="7192" max="7192" width="12.1328125" style="270" customWidth="1"/>
    <col min="7193" max="7193" width="6.796875" style="270" customWidth="1"/>
    <col min="7194" max="7195" width="10" style="270"/>
    <col min="7196" max="7196" width="10.796875" style="270" customWidth="1"/>
    <col min="7197" max="7197" width="10.46484375" style="270" customWidth="1"/>
    <col min="7198" max="7198" width="11" style="270" customWidth="1"/>
    <col min="7199" max="7200" width="10" style="270"/>
    <col min="7201" max="7201" width="20.46484375" style="270" customWidth="1"/>
    <col min="7202" max="7202" width="21.86328125" style="270" customWidth="1"/>
    <col min="7203" max="7203" width="12.53125" style="270" customWidth="1"/>
    <col min="7204" max="7431" width="10" style="270"/>
    <col min="7432" max="7432" width="4.86328125" style="270" customWidth="1"/>
    <col min="7433" max="7433" width="23.46484375" style="270" customWidth="1"/>
    <col min="7434" max="7434" width="6.19921875" style="270" customWidth="1"/>
    <col min="7435" max="7435" width="11" style="270" customWidth="1"/>
    <col min="7436" max="7436" width="10" style="270"/>
    <col min="7437" max="7437" width="5.46484375" style="270" customWidth="1"/>
    <col min="7438" max="7438" width="8.46484375" style="270" customWidth="1"/>
    <col min="7439" max="7439" width="9.46484375" style="270" customWidth="1"/>
    <col min="7440" max="7440" width="8.46484375" style="270" customWidth="1"/>
    <col min="7441" max="7441" width="11.19921875" style="270" customWidth="1"/>
    <col min="7442" max="7442" width="10" style="270"/>
    <col min="7443" max="7443" width="6.1328125" style="270" customWidth="1"/>
    <col min="7444" max="7444" width="11.53125" style="270" customWidth="1"/>
    <col min="7445" max="7445" width="10" style="270"/>
    <col min="7446" max="7446" width="7.46484375" style="270" customWidth="1"/>
    <col min="7447" max="7447" width="10" style="270"/>
    <col min="7448" max="7448" width="12.1328125" style="270" customWidth="1"/>
    <col min="7449" max="7449" width="6.796875" style="270" customWidth="1"/>
    <col min="7450" max="7451" width="10" style="270"/>
    <col min="7452" max="7452" width="10.796875" style="270" customWidth="1"/>
    <col min="7453" max="7453" width="10.46484375" style="270" customWidth="1"/>
    <col min="7454" max="7454" width="11" style="270" customWidth="1"/>
    <col min="7455" max="7456" width="10" style="270"/>
    <col min="7457" max="7457" width="20.46484375" style="270" customWidth="1"/>
    <col min="7458" max="7458" width="21.86328125" style="270" customWidth="1"/>
    <col min="7459" max="7459" width="12.53125" style="270" customWidth="1"/>
    <col min="7460" max="7687" width="10" style="270"/>
    <col min="7688" max="7688" width="4.86328125" style="270" customWidth="1"/>
    <col min="7689" max="7689" width="23.46484375" style="270" customWidth="1"/>
    <col min="7690" max="7690" width="6.19921875" style="270" customWidth="1"/>
    <col min="7691" max="7691" width="11" style="270" customWidth="1"/>
    <col min="7692" max="7692" width="10" style="270"/>
    <col min="7693" max="7693" width="5.46484375" style="270" customWidth="1"/>
    <col min="7694" max="7694" width="8.46484375" style="270" customWidth="1"/>
    <col min="7695" max="7695" width="9.46484375" style="270" customWidth="1"/>
    <col min="7696" max="7696" width="8.46484375" style="270" customWidth="1"/>
    <col min="7697" max="7697" width="11.19921875" style="270" customWidth="1"/>
    <col min="7698" max="7698" width="10" style="270"/>
    <col min="7699" max="7699" width="6.1328125" style="270" customWidth="1"/>
    <col min="7700" max="7700" width="11.53125" style="270" customWidth="1"/>
    <col min="7701" max="7701" width="10" style="270"/>
    <col min="7702" max="7702" width="7.46484375" style="270" customWidth="1"/>
    <col min="7703" max="7703" width="10" style="270"/>
    <col min="7704" max="7704" width="12.1328125" style="270" customWidth="1"/>
    <col min="7705" max="7705" width="6.796875" style="270" customWidth="1"/>
    <col min="7706" max="7707" width="10" style="270"/>
    <col min="7708" max="7708" width="10.796875" style="270" customWidth="1"/>
    <col min="7709" max="7709" width="10.46484375" style="270" customWidth="1"/>
    <col min="7710" max="7710" width="11" style="270" customWidth="1"/>
    <col min="7711" max="7712" width="10" style="270"/>
    <col min="7713" max="7713" width="20.46484375" style="270" customWidth="1"/>
    <col min="7714" max="7714" width="21.86328125" style="270" customWidth="1"/>
    <col min="7715" max="7715" width="12.53125" style="270" customWidth="1"/>
    <col min="7716" max="7943" width="10" style="270"/>
    <col min="7944" max="7944" width="4.86328125" style="270" customWidth="1"/>
    <col min="7945" max="7945" width="23.46484375" style="270" customWidth="1"/>
    <col min="7946" max="7946" width="6.19921875" style="270" customWidth="1"/>
    <col min="7947" max="7947" width="11" style="270" customWidth="1"/>
    <col min="7948" max="7948" width="10" style="270"/>
    <col min="7949" max="7949" width="5.46484375" style="270" customWidth="1"/>
    <col min="7950" max="7950" width="8.46484375" style="270" customWidth="1"/>
    <col min="7951" max="7951" width="9.46484375" style="270" customWidth="1"/>
    <col min="7952" max="7952" width="8.46484375" style="270" customWidth="1"/>
    <col min="7953" max="7953" width="11.19921875" style="270" customWidth="1"/>
    <col min="7954" max="7954" width="10" style="270"/>
    <col min="7955" max="7955" width="6.1328125" style="270" customWidth="1"/>
    <col min="7956" max="7956" width="11.53125" style="270" customWidth="1"/>
    <col min="7957" max="7957" width="10" style="270"/>
    <col min="7958" max="7958" width="7.46484375" style="270" customWidth="1"/>
    <col min="7959" max="7959" width="10" style="270"/>
    <col min="7960" max="7960" width="12.1328125" style="270" customWidth="1"/>
    <col min="7961" max="7961" width="6.796875" style="270" customWidth="1"/>
    <col min="7962" max="7963" width="10" style="270"/>
    <col min="7964" max="7964" width="10.796875" style="270" customWidth="1"/>
    <col min="7965" max="7965" width="10.46484375" style="270" customWidth="1"/>
    <col min="7966" max="7966" width="11" style="270" customWidth="1"/>
    <col min="7967" max="7968" width="10" style="270"/>
    <col min="7969" max="7969" width="20.46484375" style="270" customWidth="1"/>
    <col min="7970" max="7970" width="21.86328125" style="270" customWidth="1"/>
    <col min="7971" max="7971" width="12.53125" style="270" customWidth="1"/>
    <col min="7972" max="8199" width="10" style="270"/>
    <col min="8200" max="8200" width="4.86328125" style="270" customWidth="1"/>
    <col min="8201" max="8201" width="23.46484375" style="270" customWidth="1"/>
    <col min="8202" max="8202" width="6.19921875" style="270" customWidth="1"/>
    <col min="8203" max="8203" width="11" style="270" customWidth="1"/>
    <col min="8204" max="8204" width="10" style="270"/>
    <col min="8205" max="8205" width="5.46484375" style="270" customWidth="1"/>
    <col min="8206" max="8206" width="8.46484375" style="270" customWidth="1"/>
    <col min="8207" max="8207" width="9.46484375" style="270" customWidth="1"/>
    <col min="8208" max="8208" width="8.46484375" style="270" customWidth="1"/>
    <col min="8209" max="8209" width="11.19921875" style="270" customWidth="1"/>
    <col min="8210" max="8210" width="10" style="270"/>
    <col min="8211" max="8211" width="6.1328125" style="270" customWidth="1"/>
    <col min="8212" max="8212" width="11.53125" style="270" customWidth="1"/>
    <col min="8213" max="8213" width="10" style="270"/>
    <col min="8214" max="8214" width="7.46484375" style="270" customWidth="1"/>
    <col min="8215" max="8215" width="10" style="270"/>
    <col min="8216" max="8216" width="12.1328125" style="270" customWidth="1"/>
    <col min="8217" max="8217" width="6.796875" style="270" customWidth="1"/>
    <col min="8218" max="8219" width="10" style="270"/>
    <col min="8220" max="8220" width="10.796875" style="270" customWidth="1"/>
    <col min="8221" max="8221" width="10.46484375" style="270" customWidth="1"/>
    <col min="8222" max="8222" width="11" style="270" customWidth="1"/>
    <col min="8223" max="8224" width="10" style="270"/>
    <col min="8225" max="8225" width="20.46484375" style="270" customWidth="1"/>
    <col min="8226" max="8226" width="21.86328125" style="270" customWidth="1"/>
    <col min="8227" max="8227" width="12.53125" style="270" customWidth="1"/>
    <col min="8228" max="8455" width="10" style="270"/>
    <col min="8456" max="8456" width="4.86328125" style="270" customWidth="1"/>
    <col min="8457" max="8457" width="23.46484375" style="270" customWidth="1"/>
    <col min="8458" max="8458" width="6.19921875" style="270" customWidth="1"/>
    <col min="8459" max="8459" width="11" style="270" customWidth="1"/>
    <col min="8460" max="8460" width="10" style="270"/>
    <col min="8461" max="8461" width="5.46484375" style="270" customWidth="1"/>
    <col min="8462" max="8462" width="8.46484375" style="270" customWidth="1"/>
    <col min="8463" max="8463" width="9.46484375" style="270" customWidth="1"/>
    <col min="8464" max="8464" width="8.46484375" style="270" customWidth="1"/>
    <col min="8465" max="8465" width="11.19921875" style="270" customWidth="1"/>
    <col min="8466" max="8466" width="10" style="270"/>
    <col min="8467" max="8467" width="6.1328125" style="270" customWidth="1"/>
    <col min="8468" max="8468" width="11.53125" style="270" customWidth="1"/>
    <col min="8469" max="8469" width="10" style="270"/>
    <col min="8470" max="8470" width="7.46484375" style="270" customWidth="1"/>
    <col min="8471" max="8471" width="10" style="270"/>
    <col min="8472" max="8472" width="12.1328125" style="270" customWidth="1"/>
    <col min="8473" max="8473" width="6.796875" style="270" customWidth="1"/>
    <col min="8474" max="8475" width="10" style="270"/>
    <col min="8476" max="8476" width="10.796875" style="270" customWidth="1"/>
    <col min="8477" max="8477" width="10.46484375" style="270" customWidth="1"/>
    <col min="8478" max="8478" width="11" style="270" customWidth="1"/>
    <col min="8479" max="8480" width="10" style="270"/>
    <col min="8481" max="8481" width="20.46484375" style="270" customWidth="1"/>
    <col min="8482" max="8482" width="21.86328125" style="270" customWidth="1"/>
    <col min="8483" max="8483" width="12.53125" style="270" customWidth="1"/>
    <col min="8484" max="8711" width="10" style="270"/>
    <col min="8712" max="8712" width="4.86328125" style="270" customWidth="1"/>
    <col min="8713" max="8713" width="23.46484375" style="270" customWidth="1"/>
    <col min="8714" max="8714" width="6.19921875" style="270" customWidth="1"/>
    <col min="8715" max="8715" width="11" style="270" customWidth="1"/>
    <col min="8716" max="8716" width="10" style="270"/>
    <col min="8717" max="8717" width="5.46484375" style="270" customWidth="1"/>
    <col min="8718" max="8718" width="8.46484375" style="270" customWidth="1"/>
    <col min="8719" max="8719" width="9.46484375" style="270" customWidth="1"/>
    <col min="8720" max="8720" width="8.46484375" style="270" customWidth="1"/>
    <col min="8721" max="8721" width="11.19921875" style="270" customWidth="1"/>
    <col min="8722" max="8722" width="10" style="270"/>
    <col min="8723" max="8723" width="6.1328125" style="270" customWidth="1"/>
    <col min="8724" max="8724" width="11.53125" style="270" customWidth="1"/>
    <col min="8725" max="8725" width="10" style="270"/>
    <col min="8726" max="8726" width="7.46484375" style="270" customWidth="1"/>
    <col min="8727" max="8727" width="10" style="270"/>
    <col min="8728" max="8728" width="12.1328125" style="270" customWidth="1"/>
    <col min="8729" max="8729" width="6.796875" style="270" customWidth="1"/>
    <col min="8730" max="8731" width="10" style="270"/>
    <col min="8732" max="8732" width="10.796875" style="270" customWidth="1"/>
    <col min="8733" max="8733" width="10.46484375" style="270" customWidth="1"/>
    <col min="8734" max="8734" width="11" style="270" customWidth="1"/>
    <col min="8735" max="8736" width="10" style="270"/>
    <col min="8737" max="8737" width="20.46484375" style="270" customWidth="1"/>
    <col min="8738" max="8738" width="21.86328125" style="270" customWidth="1"/>
    <col min="8739" max="8739" width="12.53125" style="270" customWidth="1"/>
    <col min="8740" max="8967" width="10" style="270"/>
    <col min="8968" max="8968" width="4.86328125" style="270" customWidth="1"/>
    <col min="8969" max="8969" width="23.46484375" style="270" customWidth="1"/>
    <col min="8970" max="8970" width="6.19921875" style="270" customWidth="1"/>
    <col min="8971" max="8971" width="11" style="270" customWidth="1"/>
    <col min="8972" max="8972" width="10" style="270"/>
    <col min="8973" max="8973" width="5.46484375" style="270" customWidth="1"/>
    <col min="8974" max="8974" width="8.46484375" style="270" customWidth="1"/>
    <col min="8975" max="8975" width="9.46484375" style="270" customWidth="1"/>
    <col min="8976" max="8976" width="8.46484375" style="270" customWidth="1"/>
    <col min="8977" max="8977" width="11.19921875" style="270" customWidth="1"/>
    <col min="8978" max="8978" width="10" style="270"/>
    <col min="8979" max="8979" width="6.1328125" style="270" customWidth="1"/>
    <col min="8980" max="8980" width="11.53125" style="270" customWidth="1"/>
    <col min="8981" max="8981" width="10" style="270"/>
    <col min="8982" max="8982" width="7.46484375" style="270" customWidth="1"/>
    <col min="8983" max="8983" width="10" style="270"/>
    <col min="8984" max="8984" width="12.1328125" style="270" customWidth="1"/>
    <col min="8985" max="8985" width="6.796875" style="270" customWidth="1"/>
    <col min="8986" max="8987" width="10" style="270"/>
    <col min="8988" max="8988" width="10.796875" style="270" customWidth="1"/>
    <col min="8989" max="8989" width="10.46484375" style="270" customWidth="1"/>
    <col min="8990" max="8990" width="11" style="270" customWidth="1"/>
    <col min="8991" max="8992" width="10" style="270"/>
    <col min="8993" max="8993" width="20.46484375" style="270" customWidth="1"/>
    <col min="8994" max="8994" width="21.86328125" style="270" customWidth="1"/>
    <col min="8995" max="8995" width="12.53125" style="270" customWidth="1"/>
    <col min="8996" max="9223" width="10" style="270"/>
    <col min="9224" max="9224" width="4.86328125" style="270" customWidth="1"/>
    <col min="9225" max="9225" width="23.46484375" style="270" customWidth="1"/>
    <col min="9226" max="9226" width="6.19921875" style="270" customWidth="1"/>
    <col min="9227" max="9227" width="11" style="270" customWidth="1"/>
    <col min="9228" max="9228" width="10" style="270"/>
    <col min="9229" max="9229" width="5.46484375" style="270" customWidth="1"/>
    <col min="9230" max="9230" width="8.46484375" style="270" customWidth="1"/>
    <col min="9231" max="9231" width="9.46484375" style="270" customWidth="1"/>
    <col min="9232" max="9232" width="8.46484375" style="270" customWidth="1"/>
    <col min="9233" max="9233" width="11.19921875" style="270" customWidth="1"/>
    <col min="9234" max="9234" width="10" style="270"/>
    <col min="9235" max="9235" width="6.1328125" style="270" customWidth="1"/>
    <col min="9236" max="9236" width="11.53125" style="270" customWidth="1"/>
    <col min="9237" max="9237" width="10" style="270"/>
    <col min="9238" max="9238" width="7.46484375" style="270" customWidth="1"/>
    <col min="9239" max="9239" width="10" style="270"/>
    <col min="9240" max="9240" width="12.1328125" style="270" customWidth="1"/>
    <col min="9241" max="9241" width="6.796875" style="270" customWidth="1"/>
    <col min="9242" max="9243" width="10" style="270"/>
    <col min="9244" max="9244" width="10.796875" style="270" customWidth="1"/>
    <col min="9245" max="9245" width="10.46484375" style="270" customWidth="1"/>
    <col min="9246" max="9246" width="11" style="270" customWidth="1"/>
    <col min="9247" max="9248" width="10" style="270"/>
    <col min="9249" max="9249" width="20.46484375" style="270" customWidth="1"/>
    <col min="9250" max="9250" width="21.86328125" style="270" customWidth="1"/>
    <col min="9251" max="9251" width="12.53125" style="270" customWidth="1"/>
    <col min="9252" max="9479" width="10" style="270"/>
    <col min="9480" max="9480" width="4.86328125" style="270" customWidth="1"/>
    <col min="9481" max="9481" width="23.46484375" style="270" customWidth="1"/>
    <col min="9482" max="9482" width="6.19921875" style="270" customWidth="1"/>
    <col min="9483" max="9483" width="11" style="270" customWidth="1"/>
    <col min="9484" max="9484" width="10" style="270"/>
    <col min="9485" max="9485" width="5.46484375" style="270" customWidth="1"/>
    <col min="9486" max="9486" width="8.46484375" style="270" customWidth="1"/>
    <col min="9487" max="9487" width="9.46484375" style="270" customWidth="1"/>
    <col min="9488" max="9488" width="8.46484375" style="270" customWidth="1"/>
    <col min="9489" max="9489" width="11.19921875" style="270" customWidth="1"/>
    <col min="9490" max="9490" width="10" style="270"/>
    <col min="9491" max="9491" width="6.1328125" style="270" customWidth="1"/>
    <col min="9492" max="9492" width="11.53125" style="270" customWidth="1"/>
    <col min="9493" max="9493" width="10" style="270"/>
    <col min="9494" max="9494" width="7.46484375" style="270" customWidth="1"/>
    <col min="9495" max="9495" width="10" style="270"/>
    <col min="9496" max="9496" width="12.1328125" style="270" customWidth="1"/>
    <col min="9497" max="9497" width="6.796875" style="270" customWidth="1"/>
    <col min="9498" max="9499" width="10" style="270"/>
    <col min="9500" max="9500" width="10.796875" style="270" customWidth="1"/>
    <col min="9501" max="9501" width="10.46484375" style="270" customWidth="1"/>
    <col min="9502" max="9502" width="11" style="270" customWidth="1"/>
    <col min="9503" max="9504" width="10" style="270"/>
    <col min="9505" max="9505" width="20.46484375" style="270" customWidth="1"/>
    <col min="9506" max="9506" width="21.86328125" style="270" customWidth="1"/>
    <col min="9507" max="9507" width="12.53125" style="270" customWidth="1"/>
    <col min="9508" max="9735" width="10" style="270"/>
    <col min="9736" max="9736" width="4.86328125" style="270" customWidth="1"/>
    <col min="9737" max="9737" width="23.46484375" style="270" customWidth="1"/>
    <col min="9738" max="9738" width="6.19921875" style="270" customWidth="1"/>
    <col min="9739" max="9739" width="11" style="270" customWidth="1"/>
    <col min="9740" max="9740" width="10" style="270"/>
    <col min="9741" max="9741" width="5.46484375" style="270" customWidth="1"/>
    <col min="9742" max="9742" width="8.46484375" style="270" customWidth="1"/>
    <col min="9743" max="9743" width="9.46484375" style="270" customWidth="1"/>
    <col min="9744" max="9744" width="8.46484375" style="270" customWidth="1"/>
    <col min="9745" max="9745" width="11.19921875" style="270" customWidth="1"/>
    <col min="9746" max="9746" width="10" style="270"/>
    <col min="9747" max="9747" width="6.1328125" style="270" customWidth="1"/>
    <col min="9748" max="9748" width="11.53125" style="270" customWidth="1"/>
    <col min="9749" max="9749" width="10" style="270"/>
    <col min="9750" max="9750" width="7.46484375" style="270" customWidth="1"/>
    <col min="9751" max="9751" width="10" style="270"/>
    <col min="9752" max="9752" width="12.1328125" style="270" customWidth="1"/>
    <col min="9753" max="9753" width="6.796875" style="270" customWidth="1"/>
    <col min="9754" max="9755" width="10" style="270"/>
    <col min="9756" max="9756" width="10.796875" style="270" customWidth="1"/>
    <col min="9757" max="9757" width="10.46484375" style="270" customWidth="1"/>
    <col min="9758" max="9758" width="11" style="270" customWidth="1"/>
    <col min="9759" max="9760" width="10" style="270"/>
    <col min="9761" max="9761" width="20.46484375" style="270" customWidth="1"/>
    <col min="9762" max="9762" width="21.86328125" style="270" customWidth="1"/>
    <col min="9763" max="9763" width="12.53125" style="270" customWidth="1"/>
    <col min="9764" max="9991" width="10" style="270"/>
    <col min="9992" max="9992" width="4.86328125" style="270" customWidth="1"/>
    <col min="9993" max="9993" width="23.46484375" style="270" customWidth="1"/>
    <col min="9994" max="9994" width="6.19921875" style="270" customWidth="1"/>
    <col min="9995" max="9995" width="11" style="270" customWidth="1"/>
    <col min="9996" max="9996" width="10" style="270"/>
    <col min="9997" max="9997" width="5.46484375" style="270" customWidth="1"/>
    <col min="9998" max="9998" width="8.46484375" style="270" customWidth="1"/>
    <col min="9999" max="9999" width="9.46484375" style="270" customWidth="1"/>
    <col min="10000" max="10000" width="8.46484375" style="270" customWidth="1"/>
    <col min="10001" max="10001" width="11.19921875" style="270" customWidth="1"/>
    <col min="10002" max="10002" width="10" style="270"/>
    <col min="10003" max="10003" width="6.1328125" style="270" customWidth="1"/>
    <col min="10004" max="10004" width="11.53125" style="270" customWidth="1"/>
    <col min="10005" max="10005" width="10" style="270"/>
    <col min="10006" max="10006" width="7.46484375" style="270" customWidth="1"/>
    <col min="10007" max="10007" width="10" style="270"/>
    <col min="10008" max="10008" width="12.1328125" style="270" customWidth="1"/>
    <col min="10009" max="10009" width="6.796875" style="270" customWidth="1"/>
    <col min="10010" max="10011" width="10" style="270"/>
    <col min="10012" max="10012" width="10.796875" style="270" customWidth="1"/>
    <col min="10013" max="10013" width="10.46484375" style="270" customWidth="1"/>
    <col min="10014" max="10014" width="11" style="270" customWidth="1"/>
    <col min="10015" max="10016" width="10" style="270"/>
    <col min="10017" max="10017" width="20.46484375" style="270" customWidth="1"/>
    <col min="10018" max="10018" width="21.86328125" style="270" customWidth="1"/>
    <col min="10019" max="10019" width="12.53125" style="270" customWidth="1"/>
    <col min="10020" max="10247" width="10" style="270"/>
    <col min="10248" max="10248" width="4.86328125" style="270" customWidth="1"/>
    <col min="10249" max="10249" width="23.46484375" style="270" customWidth="1"/>
    <col min="10250" max="10250" width="6.19921875" style="270" customWidth="1"/>
    <col min="10251" max="10251" width="11" style="270" customWidth="1"/>
    <col min="10252" max="10252" width="10" style="270"/>
    <col min="10253" max="10253" width="5.46484375" style="270" customWidth="1"/>
    <col min="10254" max="10254" width="8.46484375" style="270" customWidth="1"/>
    <col min="10255" max="10255" width="9.46484375" style="270" customWidth="1"/>
    <col min="10256" max="10256" width="8.46484375" style="270" customWidth="1"/>
    <col min="10257" max="10257" width="11.19921875" style="270" customWidth="1"/>
    <col min="10258" max="10258" width="10" style="270"/>
    <col min="10259" max="10259" width="6.1328125" style="270" customWidth="1"/>
    <col min="10260" max="10260" width="11.53125" style="270" customWidth="1"/>
    <col min="10261" max="10261" width="10" style="270"/>
    <col min="10262" max="10262" width="7.46484375" style="270" customWidth="1"/>
    <col min="10263" max="10263" width="10" style="270"/>
    <col min="10264" max="10264" width="12.1328125" style="270" customWidth="1"/>
    <col min="10265" max="10265" width="6.796875" style="270" customWidth="1"/>
    <col min="10266" max="10267" width="10" style="270"/>
    <col min="10268" max="10268" width="10.796875" style="270" customWidth="1"/>
    <col min="10269" max="10269" width="10.46484375" style="270" customWidth="1"/>
    <col min="10270" max="10270" width="11" style="270" customWidth="1"/>
    <col min="10271" max="10272" width="10" style="270"/>
    <col min="10273" max="10273" width="20.46484375" style="270" customWidth="1"/>
    <col min="10274" max="10274" width="21.86328125" style="270" customWidth="1"/>
    <col min="10275" max="10275" width="12.53125" style="270" customWidth="1"/>
    <col min="10276" max="10503" width="10" style="270"/>
    <col min="10504" max="10504" width="4.86328125" style="270" customWidth="1"/>
    <col min="10505" max="10505" width="23.46484375" style="270" customWidth="1"/>
    <col min="10506" max="10506" width="6.19921875" style="270" customWidth="1"/>
    <col min="10507" max="10507" width="11" style="270" customWidth="1"/>
    <col min="10508" max="10508" width="10" style="270"/>
    <col min="10509" max="10509" width="5.46484375" style="270" customWidth="1"/>
    <col min="10510" max="10510" width="8.46484375" style="270" customWidth="1"/>
    <col min="10511" max="10511" width="9.46484375" style="270" customWidth="1"/>
    <col min="10512" max="10512" width="8.46484375" style="270" customWidth="1"/>
    <col min="10513" max="10513" width="11.19921875" style="270" customWidth="1"/>
    <col min="10514" max="10514" width="10" style="270"/>
    <col min="10515" max="10515" width="6.1328125" style="270" customWidth="1"/>
    <col min="10516" max="10516" width="11.53125" style="270" customWidth="1"/>
    <col min="10517" max="10517" width="10" style="270"/>
    <col min="10518" max="10518" width="7.46484375" style="270" customWidth="1"/>
    <col min="10519" max="10519" width="10" style="270"/>
    <col min="10520" max="10520" width="12.1328125" style="270" customWidth="1"/>
    <col min="10521" max="10521" width="6.796875" style="270" customWidth="1"/>
    <col min="10522" max="10523" width="10" style="270"/>
    <col min="10524" max="10524" width="10.796875" style="270" customWidth="1"/>
    <col min="10525" max="10525" width="10.46484375" style="270" customWidth="1"/>
    <col min="10526" max="10526" width="11" style="270" customWidth="1"/>
    <col min="10527" max="10528" width="10" style="270"/>
    <col min="10529" max="10529" width="20.46484375" style="270" customWidth="1"/>
    <col min="10530" max="10530" width="21.86328125" style="270" customWidth="1"/>
    <col min="10531" max="10531" width="12.53125" style="270" customWidth="1"/>
    <col min="10532" max="10759" width="10" style="270"/>
    <col min="10760" max="10760" width="4.86328125" style="270" customWidth="1"/>
    <col min="10761" max="10761" width="23.46484375" style="270" customWidth="1"/>
    <col min="10762" max="10762" width="6.19921875" style="270" customWidth="1"/>
    <col min="10763" max="10763" width="11" style="270" customWidth="1"/>
    <col min="10764" max="10764" width="10" style="270"/>
    <col min="10765" max="10765" width="5.46484375" style="270" customWidth="1"/>
    <col min="10766" max="10766" width="8.46484375" style="270" customWidth="1"/>
    <col min="10767" max="10767" width="9.46484375" style="270" customWidth="1"/>
    <col min="10768" max="10768" width="8.46484375" style="270" customWidth="1"/>
    <col min="10769" max="10769" width="11.19921875" style="270" customWidth="1"/>
    <col min="10770" max="10770" width="10" style="270"/>
    <col min="10771" max="10771" width="6.1328125" style="270" customWidth="1"/>
    <col min="10772" max="10772" width="11.53125" style="270" customWidth="1"/>
    <col min="10773" max="10773" width="10" style="270"/>
    <col min="10774" max="10774" width="7.46484375" style="270" customWidth="1"/>
    <col min="10775" max="10775" width="10" style="270"/>
    <col min="10776" max="10776" width="12.1328125" style="270" customWidth="1"/>
    <col min="10777" max="10777" width="6.796875" style="270" customWidth="1"/>
    <col min="10778" max="10779" width="10" style="270"/>
    <col min="10780" max="10780" width="10.796875" style="270" customWidth="1"/>
    <col min="10781" max="10781" width="10.46484375" style="270" customWidth="1"/>
    <col min="10782" max="10782" width="11" style="270" customWidth="1"/>
    <col min="10783" max="10784" width="10" style="270"/>
    <col min="10785" max="10785" width="20.46484375" style="270" customWidth="1"/>
    <col min="10786" max="10786" width="21.86328125" style="270" customWidth="1"/>
    <col min="10787" max="10787" width="12.53125" style="270" customWidth="1"/>
    <col min="10788" max="11015" width="10" style="270"/>
    <col min="11016" max="11016" width="4.86328125" style="270" customWidth="1"/>
    <col min="11017" max="11017" width="23.46484375" style="270" customWidth="1"/>
    <col min="11018" max="11018" width="6.19921875" style="270" customWidth="1"/>
    <col min="11019" max="11019" width="11" style="270" customWidth="1"/>
    <col min="11020" max="11020" width="10" style="270"/>
    <col min="11021" max="11021" width="5.46484375" style="270" customWidth="1"/>
    <col min="11022" max="11022" width="8.46484375" style="270" customWidth="1"/>
    <col min="11023" max="11023" width="9.46484375" style="270" customWidth="1"/>
    <col min="11024" max="11024" width="8.46484375" style="270" customWidth="1"/>
    <col min="11025" max="11025" width="11.19921875" style="270" customWidth="1"/>
    <col min="11026" max="11026" width="10" style="270"/>
    <col min="11027" max="11027" width="6.1328125" style="270" customWidth="1"/>
    <col min="11028" max="11028" width="11.53125" style="270" customWidth="1"/>
    <col min="11029" max="11029" width="10" style="270"/>
    <col min="11030" max="11030" width="7.46484375" style="270" customWidth="1"/>
    <col min="11031" max="11031" width="10" style="270"/>
    <col min="11032" max="11032" width="12.1328125" style="270" customWidth="1"/>
    <col min="11033" max="11033" width="6.796875" style="270" customWidth="1"/>
    <col min="11034" max="11035" width="10" style="270"/>
    <col min="11036" max="11036" width="10.796875" style="270" customWidth="1"/>
    <col min="11037" max="11037" width="10.46484375" style="270" customWidth="1"/>
    <col min="11038" max="11038" width="11" style="270" customWidth="1"/>
    <col min="11039" max="11040" width="10" style="270"/>
    <col min="11041" max="11041" width="20.46484375" style="270" customWidth="1"/>
    <col min="11042" max="11042" width="21.86328125" style="270" customWidth="1"/>
    <col min="11043" max="11043" width="12.53125" style="270" customWidth="1"/>
    <col min="11044" max="11271" width="10" style="270"/>
    <col min="11272" max="11272" width="4.86328125" style="270" customWidth="1"/>
    <col min="11273" max="11273" width="23.46484375" style="270" customWidth="1"/>
    <col min="11274" max="11274" width="6.19921875" style="270" customWidth="1"/>
    <col min="11275" max="11275" width="11" style="270" customWidth="1"/>
    <col min="11276" max="11276" width="10" style="270"/>
    <col min="11277" max="11277" width="5.46484375" style="270" customWidth="1"/>
    <col min="11278" max="11278" width="8.46484375" style="270" customWidth="1"/>
    <col min="11279" max="11279" width="9.46484375" style="270" customWidth="1"/>
    <col min="11280" max="11280" width="8.46484375" style="270" customWidth="1"/>
    <col min="11281" max="11281" width="11.19921875" style="270" customWidth="1"/>
    <col min="11282" max="11282" width="10" style="270"/>
    <col min="11283" max="11283" width="6.1328125" style="270" customWidth="1"/>
    <col min="11284" max="11284" width="11.53125" style="270" customWidth="1"/>
    <col min="11285" max="11285" width="10" style="270"/>
    <col min="11286" max="11286" width="7.46484375" style="270" customWidth="1"/>
    <col min="11287" max="11287" width="10" style="270"/>
    <col min="11288" max="11288" width="12.1328125" style="270" customWidth="1"/>
    <col min="11289" max="11289" width="6.796875" style="270" customWidth="1"/>
    <col min="11290" max="11291" width="10" style="270"/>
    <col min="11292" max="11292" width="10.796875" style="270" customWidth="1"/>
    <col min="11293" max="11293" width="10.46484375" style="270" customWidth="1"/>
    <col min="11294" max="11294" width="11" style="270" customWidth="1"/>
    <col min="11295" max="11296" width="10" style="270"/>
    <col min="11297" max="11297" width="20.46484375" style="270" customWidth="1"/>
    <col min="11298" max="11298" width="21.86328125" style="270" customWidth="1"/>
    <col min="11299" max="11299" width="12.53125" style="270" customWidth="1"/>
    <col min="11300" max="11527" width="10" style="270"/>
    <col min="11528" max="11528" width="4.86328125" style="270" customWidth="1"/>
    <col min="11529" max="11529" width="23.46484375" style="270" customWidth="1"/>
    <col min="11530" max="11530" width="6.19921875" style="270" customWidth="1"/>
    <col min="11531" max="11531" width="11" style="270" customWidth="1"/>
    <col min="11532" max="11532" width="10" style="270"/>
    <col min="11533" max="11533" width="5.46484375" style="270" customWidth="1"/>
    <col min="11534" max="11534" width="8.46484375" style="270" customWidth="1"/>
    <col min="11535" max="11535" width="9.46484375" style="270" customWidth="1"/>
    <col min="11536" max="11536" width="8.46484375" style="270" customWidth="1"/>
    <col min="11537" max="11537" width="11.19921875" style="270" customWidth="1"/>
    <col min="11538" max="11538" width="10" style="270"/>
    <col min="11539" max="11539" width="6.1328125" style="270" customWidth="1"/>
    <col min="11540" max="11540" width="11.53125" style="270" customWidth="1"/>
    <col min="11541" max="11541" width="10" style="270"/>
    <col min="11542" max="11542" width="7.46484375" style="270" customWidth="1"/>
    <col min="11543" max="11543" width="10" style="270"/>
    <col min="11544" max="11544" width="12.1328125" style="270" customWidth="1"/>
    <col min="11545" max="11545" width="6.796875" style="270" customWidth="1"/>
    <col min="11546" max="11547" width="10" style="270"/>
    <col min="11548" max="11548" width="10.796875" style="270" customWidth="1"/>
    <col min="11549" max="11549" width="10.46484375" style="270" customWidth="1"/>
    <col min="11550" max="11550" width="11" style="270" customWidth="1"/>
    <col min="11551" max="11552" width="10" style="270"/>
    <col min="11553" max="11553" width="20.46484375" style="270" customWidth="1"/>
    <col min="11554" max="11554" width="21.86328125" style="270" customWidth="1"/>
    <col min="11555" max="11555" width="12.53125" style="270" customWidth="1"/>
    <col min="11556" max="11783" width="10" style="270"/>
    <col min="11784" max="11784" width="4.86328125" style="270" customWidth="1"/>
    <col min="11785" max="11785" width="23.46484375" style="270" customWidth="1"/>
    <col min="11786" max="11786" width="6.19921875" style="270" customWidth="1"/>
    <col min="11787" max="11787" width="11" style="270" customWidth="1"/>
    <col min="11788" max="11788" width="10" style="270"/>
    <col min="11789" max="11789" width="5.46484375" style="270" customWidth="1"/>
    <col min="11790" max="11790" width="8.46484375" style="270" customWidth="1"/>
    <col min="11791" max="11791" width="9.46484375" style="270" customWidth="1"/>
    <col min="11792" max="11792" width="8.46484375" style="270" customWidth="1"/>
    <col min="11793" max="11793" width="11.19921875" style="270" customWidth="1"/>
    <col min="11794" max="11794" width="10" style="270"/>
    <col min="11795" max="11795" width="6.1328125" style="270" customWidth="1"/>
    <col min="11796" max="11796" width="11.53125" style="270" customWidth="1"/>
    <col min="11797" max="11797" width="10" style="270"/>
    <col min="11798" max="11798" width="7.46484375" style="270" customWidth="1"/>
    <col min="11799" max="11799" width="10" style="270"/>
    <col min="11800" max="11800" width="12.1328125" style="270" customWidth="1"/>
    <col min="11801" max="11801" width="6.796875" style="270" customWidth="1"/>
    <col min="11802" max="11803" width="10" style="270"/>
    <col min="11804" max="11804" width="10.796875" style="270" customWidth="1"/>
    <col min="11805" max="11805" width="10.46484375" style="270" customWidth="1"/>
    <col min="11806" max="11806" width="11" style="270" customWidth="1"/>
    <col min="11807" max="11808" width="10" style="270"/>
    <col min="11809" max="11809" width="20.46484375" style="270" customWidth="1"/>
    <col min="11810" max="11810" width="21.86328125" style="270" customWidth="1"/>
    <col min="11811" max="11811" width="12.53125" style="270" customWidth="1"/>
    <col min="11812" max="12039" width="10" style="270"/>
    <col min="12040" max="12040" width="4.86328125" style="270" customWidth="1"/>
    <col min="12041" max="12041" width="23.46484375" style="270" customWidth="1"/>
    <col min="12042" max="12042" width="6.19921875" style="270" customWidth="1"/>
    <col min="12043" max="12043" width="11" style="270" customWidth="1"/>
    <col min="12044" max="12044" width="10" style="270"/>
    <col min="12045" max="12045" width="5.46484375" style="270" customWidth="1"/>
    <col min="12046" max="12046" width="8.46484375" style="270" customWidth="1"/>
    <col min="12047" max="12047" width="9.46484375" style="270" customWidth="1"/>
    <col min="12048" max="12048" width="8.46484375" style="270" customWidth="1"/>
    <col min="12049" max="12049" width="11.19921875" style="270" customWidth="1"/>
    <col min="12050" max="12050" width="10" style="270"/>
    <col min="12051" max="12051" width="6.1328125" style="270" customWidth="1"/>
    <col min="12052" max="12052" width="11.53125" style="270" customWidth="1"/>
    <col min="12053" max="12053" width="10" style="270"/>
    <col min="12054" max="12054" width="7.46484375" style="270" customWidth="1"/>
    <col min="12055" max="12055" width="10" style="270"/>
    <col min="12056" max="12056" width="12.1328125" style="270" customWidth="1"/>
    <col min="12057" max="12057" width="6.796875" style="270" customWidth="1"/>
    <col min="12058" max="12059" width="10" style="270"/>
    <col min="12060" max="12060" width="10.796875" style="270" customWidth="1"/>
    <col min="12061" max="12061" width="10.46484375" style="270" customWidth="1"/>
    <col min="12062" max="12062" width="11" style="270" customWidth="1"/>
    <col min="12063" max="12064" width="10" style="270"/>
    <col min="12065" max="12065" width="20.46484375" style="270" customWidth="1"/>
    <col min="12066" max="12066" width="21.86328125" style="270" customWidth="1"/>
    <col min="12067" max="12067" width="12.53125" style="270" customWidth="1"/>
    <col min="12068" max="12295" width="10" style="270"/>
    <col min="12296" max="12296" width="4.86328125" style="270" customWidth="1"/>
    <col min="12297" max="12297" width="23.46484375" style="270" customWidth="1"/>
    <col min="12298" max="12298" width="6.19921875" style="270" customWidth="1"/>
    <col min="12299" max="12299" width="11" style="270" customWidth="1"/>
    <col min="12300" max="12300" width="10" style="270"/>
    <col min="12301" max="12301" width="5.46484375" style="270" customWidth="1"/>
    <col min="12302" max="12302" width="8.46484375" style="270" customWidth="1"/>
    <col min="12303" max="12303" width="9.46484375" style="270" customWidth="1"/>
    <col min="12304" max="12304" width="8.46484375" style="270" customWidth="1"/>
    <col min="12305" max="12305" width="11.19921875" style="270" customWidth="1"/>
    <col min="12306" max="12306" width="10" style="270"/>
    <col min="12307" max="12307" width="6.1328125" style="270" customWidth="1"/>
    <col min="12308" max="12308" width="11.53125" style="270" customWidth="1"/>
    <col min="12309" max="12309" width="10" style="270"/>
    <col min="12310" max="12310" width="7.46484375" style="270" customWidth="1"/>
    <col min="12311" max="12311" width="10" style="270"/>
    <col min="12312" max="12312" width="12.1328125" style="270" customWidth="1"/>
    <col min="12313" max="12313" width="6.796875" style="270" customWidth="1"/>
    <col min="12314" max="12315" width="10" style="270"/>
    <col min="12316" max="12316" width="10.796875" style="270" customWidth="1"/>
    <col min="12317" max="12317" width="10.46484375" style="270" customWidth="1"/>
    <col min="12318" max="12318" width="11" style="270" customWidth="1"/>
    <col min="12319" max="12320" width="10" style="270"/>
    <col min="12321" max="12321" width="20.46484375" style="270" customWidth="1"/>
    <col min="12322" max="12322" width="21.86328125" style="270" customWidth="1"/>
    <col min="12323" max="12323" width="12.53125" style="270" customWidth="1"/>
    <col min="12324" max="12551" width="10" style="270"/>
    <col min="12552" max="12552" width="4.86328125" style="270" customWidth="1"/>
    <col min="12553" max="12553" width="23.46484375" style="270" customWidth="1"/>
    <col min="12554" max="12554" width="6.19921875" style="270" customWidth="1"/>
    <col min="12555" max="12555" width="11" style="270" customWidth="1"/>
    <col min="12556" max="12556" width="10" style="270"/>
    <col min="12557" max="12557" width="5.46484375" style="270" customWidth="1"/>
    <col min="12558" max="12558" width="8.46484375" style="270" customWidth="1"/>
    <col min="12559" max="12559" width="9.46484375" style="270" customWidth="1"/>
    <col min="12560" max="12560" width="8.46484375" style="270" customWidth="1"/>
    <col min="12561" max="12561" width="11.19921875" style="270" customWidth="1"/>
    <col min="12562" max="12562" width="10" style="270"/>
    <col min="12563" max="12563" width="6.1328125" style="270" customWidth="1"/>
    <col min="12564" max="12564" width="11.53125" style="270" customWidth="1"/>
    <col min="12565" max="12565" width="10" style="270"/>
    <col min="12566" max="12566" width="7.46484375" style="270" customWidth="1"/>
    <col min="12567" max="12567" width="10" style="270"/>
    <col min="12568" max="12568" width="12.1328125" style="270" customWidth="1"/>
    <col min="12569" max="12569" width="6.796875" style="270" customWidth="1"/>
    <col min="12570" max="12571" width="10" style="270"/>
    <col min="12572" max="12572" width="10.796875" style="270" customWidth="1"/>
    <col min="12573" max="12573" width="10.46484375" style="270" customWidth="1"/>
    <col min="12574" max="12574" width="11" style="270" customWidth="1"/>
    <col min="12575" max="12576" width="10" style="270"/>
    <col min="12577" max="12577" width="20.46484375" style="270" customWidth="1"/>
    <col min="12578" max="12578" width="21.86328125" style="270" customWidth="1"/>
    <col min="12579" max="12579" width="12.53125" style="270" customWidth="1"/>
    <col min="12580" max="12807" width="10" style="270"/>
    <col min="12808" max="12808" width="4.86328125" style="270" customWidth="1"/>
    <col min="12809" max="12809" width="23.46484375" style="270" customWidth="1"/>
    <col min="12810" max="12810" width="6.19921875" style="270" customWidth="1"/>
    <col min="12811" max="12811" width="11" style="270" customWidth="1"/>
    <col min="12812" max="12812" width="10" style="270"/>
    <col min="12813" max="12813" width="5.46484375" style="270" customWidth="1"/>
    <col min="12814" max="12814" width="8.46484375" style="270" customWidth="1"/>
    <col min="12815" max="12815" width="9.46484375" style="270" customWidth="1"/>
    <col min="12816" max="12816" width="8.46484375" style="270" customWidth="1"/>
    <col min="12817" max="12817" width="11.19921875" style="270" customWidth="1"/>
    <col min="12818" max="12818" width="10" style="270"/>
    <col min="12819" max="12819" width="6.1328125" style="270" customWidth="1"/>
    <col min="12820" max="12820" width="11.53125" style="270" customWidth="1"/>
    <col min="12821" max="12821" width="10" style="270"/>
    <col min="12822" max="12822" width="7.46484375" style="270" customWidth="1"/>
    <col min="12823" max="12823" width="10" style="270"/>
    <col min="12824" max="12824" width="12.1328125" style="270" customWidth="1"/>
    <col min="12825" max="12825" width="6.796875" style="270" customWidth="1"/>
    <col min="12826" max="12827" width="10" style="270"/>
    <col min="12828" max="12828" width="10.796875" style="270" customWidth="1"/>
    <col min="12829" max="12829" width="10.46484375" style="270" customWidth="1"/>
    <col min="12830" max="12830" width="11" style="270" customWidth="1"/>
    <col min="12831" max="12832" width="10" style="270"/>
    <col min="12833" max="12833" width="20.46484375" style="270" customWidth="1"/>
    <col min="12834" max="12834" width="21.86328125" style="270" customWidth="1"/>
    <col min="12835" max="12835" width="12.53125" style="270" customWidth="1"/>
    <col min="12836" max="13063" width="10" style="270"/>
    <col min="13064" max="13064" width="4.86328125" style="270" customWidth="1"/>
    <col min="13065" max="13065" width="23.46484375" style="270" customWidth="1"/>
    <col min="13066" max="13066" width="6.19921875" style="270" customWidth="1"/>
    <col min="13067" max="13067" width="11" style="270" customWidth="1"/>
    <col min="13068" max="13068" width="10" style="270"/>
    <col min="13069" max="13069" width="5.46484375" style="270" customWidth="1"/>
    <col min="13070" max="13070" width="8.46484375" style="270" customWidth="1"/>
    <col min="13071" max="13071" width="9.46484375" style="270" customWidth="1"/>
    <col min="13072" max="13072" width="8.46484375" style="270" customWidth="1"/>
    <col min="13073" max="13073" width="11.19921875" style="270" customWidth="1"/>
    <col min="13074" max="13074" width="10" style="270"/>
    <col min="13075" max="13075" width="6.1328125" style="270" customWidth="1"/>
    <col min="13076" max="13076" width="11.53125" style="270" customWidth="1"/>
    <col min="13077" max="13077" width="10" style="270"/>
    <col min="13078" max="13078" width="7.46484375" style="270" customWidth="1"/>
    <col min="13079" max="13079" width="10" style="270"/>
    <col min="13080" max="13080" width="12.1328125" style="270" customWidth="1"/>
    <col min="13081" max="13081" width="6.796875" style="270" customWidth="1"/>
    <col min="13082" max="13083" width="10" style="270"/>
    <col min="13084" max="13084" width="10.796875" style="270" customWidth="1"/>
    <col min="13085" max="13085" width="10.46484375" style="270" customWidth="1"/>
    <col min="13086" max="13086" width="11" style="270" customWidth="1"/>
    <col min="13087" max="13088" width="10" style="270"/>
    <col min="13089" max="13089" width="20.46484375" style="270" customWidth="1"/>
    <col min="13090" max="13090" width="21.86328125" style="270" customWidth="1"/>
    <col min="13091" max="13091" width="12.53125" style="270" customWidth="1"/>
    <col min="13092" max="13319" width="10" style="270"/>
    <col min="13320" max="13320" width="4.86328125" style="270" customWidth="1"/>
    <col min="13321" max="13321" width="23.46484375" style="270" customWidth="1"/>
    <col min="13322" max="13322" width="6.19921875" style="270" customWidth="1"/>
    <col min="13323" max="13323" width="11" style="270" customWidth="1"/>
    <col min="13324" max="13324" width="10" style="270"/>
    <col min="13325" max="13325" width="5.46484375" style="270" customWidth="1"/>
    <col min="13326" max="13326" width="8.46484375" style="270" customWidth="1"/>
    <col min="13327" max="13327" width="9.46484375" style="270" customWidth="1"/>
    <col min="13328" max="13328" width="8.46484375" style="270" customWidth="1"/>
    <col min="13329" max="13329" width="11.19921875" style="270" customWidth="1"/>
    <col min="13330" max="13330" width="10" style="270"/>
    <col min="13331" max="13331" width="6.1328125" style="270" customWidth="1"/>
    <col min="13332" max="13332" width="11.53125" style="270" customWidth="1"/>
    <col min="13333" max="13333" width="10" style="270"/>
    <col min="13334" max="13334" width="7.46484375" style="270" customWidth="1"/>
    <col min="13335" max="13335" width="10" style="270"/>
    <col min="13336" max="13336" width="12.1328125" style="270" customWidth="1"/>
    <col min="13337" max="13337" width="6.796875" style="270" customWidth="1"/>
    <col min="13338" max="13339" width="10" style="270"/>
    <col min="13340" max="13340" width="10.796875" style="270" customWidth="1"/>
    <col min="13341" max="13341" width="10.46484375" style="270" customWidth="1"/>
    <col min="13342" max="13342" width="11" style="270" customWidth="1"/>
    <col min="13343" max="13344" width="10" style="270"/>
    <col min="13345" max="13345" width="20.46484375" style="270" customWidth="1"/>
    <col min="13346" max="13346" width="21.86328125" style="270" customWidth="1"/>
    <col min="13347" max="13347" width="12.53125" style="270" customWidth="1"/>
    <col min="13348" max="13575" width="10" style="270"/>
    <col min="13576" max="13576" width="4.86328125" style="270" customWidth="1"/>
    <col min="13577" max="13577" width="23.46484375" style="270" customWidth="1"/>
    <col min="13578" max="13578" width="6.19921875" style="270" customWidth="1"/>
    <col min="13579" max="13579" width="11" style="270" customWidth="1"/>
    <col min="13580" max="13580" width="10" style="270"/>
    <col min="13581" max="13581" width="5.46484375" style="270" customWidth="1"/>
    <col min="13582" max="13582" width="8.46484375" style="270" customWidth="1"/>
    <col min="13583" max="13583" width="9.46484375" style="270" customWidth="1"/>
    <col min="13584" max="13584" width="8.46484375" style="270" customWidth="1"/>
    <col min="13585" max="13585" width="11.19921875" style="270" customWidth="1"/>
    <col min="13586" max="13586" width="10" style="270"/>
    <col min="13587" max="13587" width="6.1328125" style="270" customWidth="1"/>
    <col min="13588" max="13588" width="11.53125" style="270" customWidth="1"/>
    <col min="13589" max="13589" width="10" style="270"/>
    <col min="13590" max="13590" width="7.46484375" style="270" customWidth="1"/>
    <col min="13591" max="13591" width="10" style="270"/>
    <col min="13592" max="13592" width="12.1328125" style="270" customWidth="1"/>
    <col min="13593" max="13593" width="6.796875" style="270" customWidth="1"/>
    <col min="13594" max="13595" width="10" style="270"/>
    <col min="13596" max="13596" width="10.796875" style="270" customWidth="1"/>
    <col min="13597" max="13597" width="10.46484375" style="270" customWidth="1"/>
    <col min="13598" max="13598" width="11" style="270" customWidth="1"/>
    <col min="13599" max="13600" width="10" style="270"/>
    <col min="13601" max="13601" width="20.46484375" style="270" customWidth="1"/>
    <col min="13602" max="13602" width="21.86328125" style="270" customWidth="1"/>
    <col min="13603" max="13603" width="12.53125" style="270" customWidth="1"/>
    <col min="13604" max="13831" width="10" style="270"/>
    <col min="13832" max="13832" width="4.86328125" style="270" customWidth="1"/>
    <col min="13833" max="13833" width="23.46484375" style="270" customWidth="1"/>
    <col min="13834" max="13834" width="6.19921875" style="270" customWidth="1"/>
    <col min="13835" max="13835" width="11" style="270" customWidth="1"/>
    <col min="13836" max="13836" width="10" style="270"/>
    <col min="13837" max="13837" width="5.46484375" style="270" customWidth="1"/>
    <col min="13838" max="13838" width="8.46484375" style="270" customWidth="1"/>
    <col min="13839" max="13839" width="9.46484375" style="270" customWidth="1"/>
    <col min="13840" max="13840" width="8.46484375" style="270" customWidth="1"/>
    <col min="13841" max="13841" width="11.19921875" style="270" customWidth="1"/>
    <col min="13842" max="13842" width="10" style="270"/>
    <col min="13843" max="13843" width="6.1328125" style="270" customWidth="1"/>
    <col min="13844" max="13844" width="11.53125" style="270" customWidth="1"/>
    <col min="13845" max="13845" width="10" style="270"/>
    <col min="13846" max="13846" width="7.46484375" style="270" customWidth="1"/>
    <col min="13847" max="13847" width="10" style="270"/>
    <col min="13848" max="13848" width="12.1328125" style="270" customWidth="1"/>
    <col min="13849" max="13849" width="6.796875" style="270" customWidth="1"/>
    <col min="13850" max="13851" width="10" style="270"/>
    <col min="13852" max="13852" width="10.796875" style="270" customWidth="1"/>
    <col min="13853" max="13853" width="10.46484375" style="270" customWidth="1"/>
    <col min="13854" max="13854" width="11" style="270" customWidth="1"/>
    <col min="13855" max="13856" width="10" style="270"/>
    <col min="13857" max="13857" width="20.46484375" style="270" customWidth="1"/>
    <col min="13858" max="13858" width="21.86328125" style="270" customWidth="1"/>
    <col min="13859" max="13859" width="12.53125" style="270" customWidth="1"/>
    <col min="13860" max="14087" width="10" style="270"/>
    <col min="14088" max="14088" width="4.86328125" style="270" customWidth="1"/>
    <col min="14089" max="14089" width="23.46484375" style="270" customWidth="1"/>
    <col min="14090" max="14090" width="6.19921875" style="270" customWidth="1"/>
    <col min="14091" max="14091" width="11" style="270" customWidth="1"/>
    <col min="14092" max="14092" width="10" style="270"/>
    <col min="14093" max="14093" width="5.46484375" style="270" customWidth="1"/>
    <col min="14094" max="14094" width="8.46484375" style="270" customWidth="1"/>
    <col min="14095" max="14095" width="9.46484375" style="270" customWidth="1"/>
    <col min="14096" max="14096" width="8.46484375" style="270" customWidth="1"/>
    <col min="14097" max="14097" width="11.19921875" style="270" customWidth="1"/>
    <col min="14098" max="14098" width="10" style="270"/>
    <col min="14099" max="14099" width="6.1328125" style="270" customWidth="1"/>
    <col min="14100" max="14100" width="11.53125" style="270" customWidth="1"/>
    <col min="14101" max="14101" width="10" style="270"/>
    <col min="14102" max="14102" width="7.46484375" style="270" customWidth="1"/>
    <col min="14103" max="14103" width="10" style="270"/>
    <col min="14104" max="14104" width="12.1328125" style="270" customWidth="1"/>
    <col min="14105" max="14105" width="6.796875" style="270" customWidth="1"/>
    <col min="14106" max="14107" width="10" style="270"/>
    <col min="14108" max="14108" width="10.796875" style="270" customWidth="1"/>
    <col min="14109" max="14109" width="10.46484375" style="270" customWidth="1"/>
    <col min="14110" max="14110" width="11" style="270" customWidth="1"/>
    <col min="14111" max="14112" width="10" style="270"/>
    <col min="14113" max="14113" width="20.46484375" style="270" customWidth="1"/>
    <col min="14114" max="14114" width="21.86328125" style="270" customWidth="1"/>
    <col min="14115" max="14115" width="12.53125" style="270" customWidth="1"/>
    <col min="14116" max="14343" width="10" style="270"/>
    <col min="14344" max="14344" width="4.86328125" style="270" customWidth="1"/>
    <col min="14345" max="14345" width="23.46484375" style="270" customWidth="1"/>
    <col min="14346" max="14346" width="6.19921875" style="270" customWidth="1"/>
    <col min="14347" max="14347" width="11" style="270" customWidth="1"/>
    <col min="14348" max="14348" width="10" style="270"/>
    <col min="14349" max="14349" width="5.46484375" style="270" customWidth="1"/>
    <col min="14350" max="14350" width="8.46484375" style="270" customWidth="1"/>
    <col min="14351" max="14351" width="9.46484375" style="270" customWidth="1"/>
    <col min="14352" max="14352" width="8.46484375" style="270" customWidth="1"/>
    <col min="14353" max="14353" width="11.19921875" style="270" customWidth="1"/>
    <col min="14354" max="14354" width="10" style="270"/>
    <col min="14355" max="14355" width="6.1328125" style="270" customWidth="1"/>
    <col min="14356" max="14356" width="11.53125" style="270" customWidth="1"/>
    <col min="14357" max="14357" width="10" style="270"/>
    <col min="14358" max="14358" width="7.46484375" style="270" customWidth="1"/>
    <col min="14359" max="14359" width="10" style="270"/>
    <col min="14360" max="14360" width="12.1328125" style="270" customWidth="1"/>
    <col min="14361" max="14361" width="6.796875" style="270" customWidth="1"/>
    <col min="14362" max="14363" width="10" style="270"/>
    <col min="14364" max="14364" width="10.796875" style="270" customWidth="1"/>
    <col min="14365" max="14365" width="10.46484375" style="270" customWidth="1"/>
    <col min="14366" max="14366" width="11" style="270" customWidth="1"/>
    <col min="14367" max="14368" width="10" style="270"/>
    <col min="14369" max="14369" width="20.46484375" style="270" customWidth="1"/>
    <col min="14370" max="14370" width="21.86328125" style="270" customWidth="1"/>
    <col min="14371" max="14371" width="12.53125" style="270" customWidth="1"/>
    <col min="14372" max="14599" width="10" style="270"/>
    <col min="14600" max="14600" width="4.86328125" style="270" customWidth="1"/>
    <col min="14601" max="14601" width="23.46484375" style="270" customWidth="1"/>
    <col min="14602" max="14602" width="6.19921875" style="270" customWidth="1"/>
    <col min="14603" max="14603" width="11" style="270" customWidth="1"/>
    <col min="14604" max="14604" width="10" style="270"/>
    <col min="14605" max="14605" width="5.46484375" style="270" customWidth="1"/>
    <col min="14606" max="14606" width="8.46484375" style="270" customWidth="1"/>
    <col min="14607" max="14607" width="9.46484375" style="270" customWidth="1"/>
    <col min="14608" max="14608" width="8.46484375" style="270" customWidth="1"/>
    <col min="14609" max="14609" width="11.19921875" style="270" customWidth="1"/>
    <col min="14610" max="14610" width="10" style="270"/>
    <col min="14611" max="14611" width="6.1328125" style="270" customWidth="1"/>
    <col min="14612" max="14612" width="11.53125" style="270" customWidth="1"/>
    <col min="14613" max="14613" width="10" style="270"/>
    <col min="14614" max="14614" width="7.46484375" style="270" customWidth="1"/>
    <col min="14615" max="14615" width="10" style="270"/>
    <col min="14616" max="14616" width="12.1328125" style="270" customWidth="1"/>
    <col min="14617" max="14617" width="6.796875" style="270" customWidth="1"/>
    <col min="14618" max="14619" width="10" style="270"/>
    <col min="14620" max="14620" width="10.796875" style="270" customWidth="1"/>
    <col min="14621" max="14621" width="10.46484375" style="270" customWidth="1"/>
    <col min="14622" max="14622" width="11" style="270" customWidth="1"/>
    <col min="14623" max="14624" width="10" style="270"/>
    <col min="14625" max="14625" width="20.46484375" style="270" customWidth="1"/>
    <col min="14626" max="14626" width="21.86328125" style="270" customWidth="1"/>
    <col min="14627" max="14627" width="12.53125" style="270" customWidth="1"/>
    <col min="14628" max="14855" width="10" style="270"/>
    <col min="14856" max="14856" width="4.86328125" style="270" customWidth="1"/>
    <col min="14857" max="14857" width="23.46484375" style="270" customWidth="1"/>
    <col min="14858" max="14858" width="6.19921875" style="270" customWidth="1"/>
    <col min="14859" max="14859" width="11" style="270" customWidth="1"/>
    <col min="14860" max="14860" width="10" style="270"/>
    <col min="14861" max="14861" width="5.46484375" style="270" customWidth="1"/>
    <col min="14862" max="14862" width="8.46484375" style="270" customWidth="1"/>
    <col min="14863" max="14863" width="9.46484375" style="270" customWidth="1"/>
    <col min="14864" max="14864" width="8.46484375" style="270" customWidth="1"/>
    <col min="14865" max="14865" width="11.19921875" style="270" customWidth="1"/>
    <col min="14866" max="14866" width="10" style="270"/>
    <col min="14867" max="14867" width="6.1328125" style="270" customWidth="1"/>
    <col min="14868" max="14868" width="11.53125" style="270" customWidth="1"/>
    <col min="14869" max="14869" width="10" style="270"/>
    <col min="14870" max="14870" width="7.46484375" style="270" customWidth="1"/>
    <col min="14871" max="14871" width="10" style="270"/>
    <col min="14872" max="14872" width="12.1328125" style="270" customWidth="1"/>
    <col min="14873" max="14873" width="6.796875" style="270" customWidth="1"/>
    <col min="14874" max="14875" width="10" style="270"/>
    <col min="14876" max="14876" width="10.796875" style="270" customWidth="1"/>
    <col min="14877" max="14877" width="10.46484375" style="270" customWidth="1"/>
    <col min="14878" max="14878" width="11" style="270" customWidth="1"/>
    <col min="14879" max="14880" width="10" style="270"/>
    <col min="14881" max="14881" width="20.46484375" style="270" customWidth="1"/>
    <col min="14882" max="14882" width="21.86328125" style="270" customWidth="1"/>
    <col min="14883" max="14883" width="12.53125" style="270" customWidth="1"/>
    <col min="14884" max="15111" width="10" style="270"/>
    <col min="15112" max="15112" width="4.86328125" style="270" customWidth="1"/>
    <col min="15113" max="15113" width="23.46484375" style="270" customWidth="1"/>
    <col min="15114" max="15114" width="6.19921875" style="270" customWidth="1"/>
    <col min="15115" max="15115" width="11" style="270" customWidth="1"/>
    <col min="15116" max="15116" width="10" style="270"/>
    <col min="15117" max="15117" width="5.46484375" style="270" customWidth="1"/>
    <col min="15118" max="15118" width="8.46484375" style="270" customWidth="1"/>
    <col min="15119" max="15119" width="9.46484375" style="270" customWidth="1"/>
    <col min="15120" max="15120" width="8.46484375" style="270" customWidth="1"/>
    <col min="15121" max="15121" width="11.19921875" style="270" customWidth="1"/>
    <col min="15122" max="15122" width="10" style="270"/>
    <col min="15123" max="15123" width="6.1328125" style="270" customWidth="1"/>
    <col min="15124" max="15124" width="11.53125" style="270" customWidth="1"/>
    <col min="15125" max="15125" width="10" style="270"/>
    <col min="15126" max="15126" width="7.46484375" style="270" customWidth="1"/>
    <col min="15127" max="15127" width="10" style="270"/>
    <col min="15128" max="15128" width="12.1328125" style="270" customWidth="1"/>
    <col min="15129" max="15129" width="6.796875" style="270" customWidth="1"/>
    <col min="15130" max="15131" width="10" style="270"/>
    <col min="15132" max="15132" width="10.796875" style="270" customWidth="1"/>
    <col min="15133" max="15133" width="10.46484375" style="270" customWidth="1"/>
    <col min="15134" max="15134" width="11" style="270" customWidth="1"/>
    <col min="15135" max="15136" width="10" style="270"/>
    <col min="15137" max="15137" width="20.46484375" style="270" customWidth="1"/>
    <col min="15138" max="15138" width="21.86328125" style="270" customWidth="1"/>
    <col min="15139" max="15139" width="12.53125" style="270" customWidth="1"/>
    <col min="15140" max="15367" width="10" style="270"/>
    <col min="15368" max="15368" width="4.86328125" style="270" customWidth="1"/>
    <col min="15369" max="15369" width="23.46484375" style="270" customWidth="1"/>
    <col min="15370" max="15370" width="6.19921875" style="270" customWidth="1"/>
    <col min="15371" max="15371" width="11" style="270" customWidth="1"/>
    <col min="15372" max="15372" width="10" style="270"/>
    <col min="15373" max="15373" width="5.46484375" style="270" customWidth="1"/>
    <col min="15374" max="15374" width="8.46484375" style="270" customWidth="1"/>
    <col min="15375" max="15375" width="9.46484375" style="270" customWidth="1"/>
    <col min="15376" max="15376" width="8.46484375" style="270" customWidth="1"/>
    <col min="15377" max="15377" width="11.19921875" style="270" customWidth="1"/>
    <col min="15378" max="15378" width="10" style="270"/>
    <col min="15379" max="15379" width="6.1328125" style="270" customWidth="1"/>
    <col min="15380" max="15380" width="11.53125" style="270" customWidth="1"/>
    <col min="15381" max="15381" width="10" style="270"/>
    <col min="15382" max="15382" width="7.46484375" style="270" customWidth="1"/>
    <col min="15383" max="15383" width="10" style="270"/>
    <col min="15384" max="15384" width="12.1328125" style="270" customWidth="1"/>
    <col min="15385" max="15385" width="6.796875" style="270" customWidth="1"/>
    <col min="15386" max="15387" width="10" style="270"/>
    <col min="15388" max="15388" width="10.796875" style="270" customWidth="1"/>
    <col min="15389" max="15389" width="10.46484375" style="270" customWidth="1"/>
    <col min="15390" max="15390" width="11" style="270" customWidth="1"/>
    <col min="15391" max="15392" width="10" style="270"/>
    <col min="15393" max="15393" width="20.46484375" style="270" customWidth="1"/>
    <col min="15394" max="15394" width="21.86328125" style="270" customWidth="1"/>
    <col min="15395" max="15395" width="12.53125" style="270" customWidth="1"/>
    <col min="15396" max="15623" width="10" style="270"/>
    <col min="15624" max="15624" width="4.86328125" style="270" customWidth="1"/>
    <col min="15625" max="15625" width="23.46484375" style="270" customWidth="1"/>
    <col min="15626" max="15626" width="6.19921875" style="270" customWidth="1"/>
    <col min="15627" max="15627" width="11" style="270" customWidth="1"/>
    <col min="15628" max="15628" width="10" style="270"/>
    <col min="15629" max="15629" width="5.46484375" style="270" customWidth="1"/>
    <col min="15630" max="15630" width="8.46484375" style="270" customWidth="1"/>
    <col min="15631" max="15631" width="9.46484375" style="270" customWidth="1"/>
    <col min="15632" max="15632" width="8.46484375" style="270" customWidth="1"/>
    <col min="15633" max="15633" width="11.19921875" style="270" customWidth="1"/>
    <col min="15634" max="15634" width="10" style="270"/>
    <col min="15635" max="15635" width="6.1328125" style="270" customWidth="1"/>
    <col min="15636" max="15636" width="11.53125" style="270" customWidth="1"/>
    <col min="15637" max="15637" width="10" style="270"/>
    <col min="15638" max="15638" width="7.46484375" style="270" customWidth="1"/>
    <col min="15639" max="15639" width="10" style="270"/>
    <col min="15640" max="15640" width="12.1328125" style="270" customWidth="1"/>
    <col min="15641" max="15641" width="6.796875" style="270" customWidth="1"/>
    <col min="15642" max="15643" width="10" style="270"/>
    <col min="15644" max="15644" width="10.796875" style="270" customWidth="1"/>
    <col min="15645" max="15645" width="10.46484375" style="270" customWidth="1"/>
    <col min="15646" max="15646" width="11" style="270" customWidth="1"/>
    <col min="15647" max="15648" width="10" style="270"/>
    <col min="15649" max="15649" width="20.46484375" style="270" customWidth="1"/>
    <col min="15650" max="15650" width="21.86328125" style="270" customWidth="1"/>
    <col min="15651" max="15651" width="12.53125" style="270" customWidth="1"/>
    <col min="15652" max="15879" width="10" style="270"/>
    <col min="15880" max="15880" width="4.86328125" style="270" customWidth="1"/>
    <col min="15881" max="15881" width="23.46484375" style="270" customWidth="1"/>
    <col min="15882" max="15882" width="6.19921875" style="270" customWidth="1"/>
    <col min="15883" max="15883" width="11" style="270" customWidth="1"/>
    <col min="15884" max="15884" width="10" style="270"/>
    <col min="15885" max="15885" width="5.46484375" style="270" customWidth="1"/>
    <col min="15886" max="15886" width="8.46484375" style="270" customWidth="1"/>
    <col min="15887" max="15887" width="9.46484375" style="270" customWidth="1"/>
    <col min="15888" max="15888" width="8.46484375" style="270" customWidth="1"/>
    <col min="15889" max="15889" width="11.19921875" style="270" customWidth="1"/>
    <col min="15890" max="15890" width="10" style="270"/>
    <col min="15891" max="15891" width="6.1328125" style="270" customWidth="1"/>
    <col min="15892" max="15892" width="11.53125" style="270" customWidth="1"/>
    <col min="15893" max="15893" width="10" style="270"/>
    <col min="15894" max="15894" width="7.46484375" style="270" customWidth="1"/>
    <col min="15895" max="15895" width="10" style="270"/>
    <col min="15896" max="15896" width="12.1328125" style="270" customWidth="1"/>
    <col min="15897" max="15897" width="6.796875" style="270" customWidth="1"/>
    <col min="15898" max="15899" width="10" style="270"/>
    <col min="15900" max="15900" width="10.796875" style="270" customWidth="1"/>
    <col min="15901" max="15901" width="10.46484375" style="270" customWidth="1"/>
    <col min="15902" max="15902" width="11" style="270" customWidth="1"/>
    <col min="15903" max="15904" width="10" style="270"/>
    <col min="15905" max="15905" width="20.46484375" style="270" customWidth="1"/>
    <col min="15906" max="15906" width="21.86328125" style="270" customWidth="1"/>
    <col min="15907" max="15907" width="12.53125" style="270" customWidth="1"/>
    <col min="15908" max="16135" width="10" style="270"/>
    <col min="16136" max="16136" width="4.86328125" style="270" customWidth="1"/>
    <col min="16137" max="16137" width="23.46484375" style="270" customWidth="1"/>
    <col min="16138" max="16138" width="6.19921875" style="270" customWidth="1"/>
    <col min="16139" max="16139" width="11" style="270" customWidth="1"/>
    <col min="16140" max="16140" width="10" style="270"/>
    <col min="16141" max="16141" width="5.46484375" style="270" customWidth="1"/>
    <col min="16142" max="16142" width="8.46484375" style="270" customWidth="1"/>
    <col min="16143" max="16143" width="9.46484375" style="270" customWidth="1"/>
    <col min="16144" max="16144" width="8.46484375" style="270" customWidth="1"/>
    <col min="16145" max="16145" width="11.19921875" style="270" customWidth="1"/>
    <col min="16146" max="16146" width="10" style="270"/>
    <col min="16147" max="16147" width="6.1328125" style="270" customWidth="1"/>
    <col min="16148" max="16148" width="11.53125" style="270" customWidth="1"/>
    <col min="16149" max="16149" width="10" style="270"/>
    <col min="16150" max="16150" width="7.46484375" style="270" customWidth="1"/>
    <col min="16151" max="16151" width="10" style="270"/>
    <col min="16152" max="16152" width="12.1328125" style="270" customWidth="1"/>
    <col min="16153" max="16153" width="6.796875" style="270" customWidth="1"/>
    <col min="16154" max="16155" width="10" style="270"/>
    <col min="16156" max="16156" width="10.796875" style="270" customWidth="1"/>
    <col min="16157" max="16157" width="10.46484375" style="270" customWidth="1"/>
    <col min="16158" max="16158" width="11" style="270" customWidth="1"/>
    <col min="16159" max="16160" width="10" style="270"/>
    <col min="16161" max="16161" width="20.46484375" style="270" customWidth="1"/>
    <col min="16162" max="16162" width="21.86328125" style="270" customWidth="1"/>
    <col min="16163" max="16163" width="12.53125" style="270" customWidth="1"/>
    <col min="16164" max="16384" width="10" style="270"/>
  </cols>
  <sheetData>
    <row r="1" spans="2:58" ht="27" customHeight="1">
      <c r="AM1" s="270" t="s">
        <v>368</v>
      </c>
      <c r="AV1" s="270" t="s">
        <v>369</v>
      </c>
      <c r="AW1" s="270" t="s">
        <v>370</v>
      </c>
      <c r="AX1" s="270" t="s">
        <v>371</v>
      </c>
      <c r="AY1" s="270" t="s">
        <v>372</v>
      </c>
    </row>
    <row r="2" spans="2:58" ht="54" customHeight="1">
      <c r="B2" s="279"/>
      <c r="C2" s="279"/>
      <c r="D2" s="279"/>
      <c r="E2" s="279"/>
      <c r="F2" s="279"/>
      <c r="G2" s="279"/>
      <c r="H2" s="279"/>
      <c r="I2" s="280"/>
      <c r="J2" s="280"/>
      <c r="L2" s="280"/>
      <c r="M2" s="280"/>
      <c r="N2" s="280"/>
      <c r="O2" s="281"/>
      <c r="P2" s="281"/>
      <c r="Q2" s="281"/>
      <c r="R2" s="281"/>
      <c r="S2" s="281"/>
      <c r="T2" s="281"/>
      <c r="U2" s="281"/>
      <c r="V2" s="281"/>
      <c r="W2" s="281"/>
      <c r="X2" s="280"/>
      <c r="Y2" s="280"/>
      <c r="Z2" s="280"/>
      <c r="AA2" s="280"/>
      <c r="AB2" s="280"/>
      <c r="AC2" s="280"/>
      <c r="AD2" s="282"/>
      <c r="AE2" s="281"/>
      <c r="AF2" s="281"/>
      <c r="AG2" s="280"/>
      <c r="AH2" s="280"/>
      <c r="AI2" s="280"/>
      <c r="AJ2" s="281"/>
      <c r="AK2" s="281"/>
      <c r="AL2" s="281"/>
      <c r="AM2" s="280"/>
      <c r="AN2" s="280"/>
      <c r="AO2" s="280"/>
      <c r="AP2" s="281"/>
      <c r="AQ2" s="281"/>
      <c r="AR2" s="280"/>
      <c r="AS2" s="280"/>
      <c r="AT2" s="280"/>
      <c r="AU2" s="280"/>
      <c r="AV2" s="280"/>
      <c r="AW2" s="283"/>
      <c r="AX2" s="283"/>
      <c r="AY2" s="283"/>
      <c r="AZ2" s="283"/>
      <c r="BA2" s="284"/>
      <c r="BB2" s="283"/>
    </row>
    <row r="3" spans="2:58" s="268" customFormat="1" ht="27" customHeight="1">
      <c r="B3" s="285" t="s">
        <v>373</v>
      </c>
      <c r="C3" s="271"/>
      <c r="D3" s="271"/>
      <c r="E3" s="271"/>
      <c r="F3" s="271"/>
      <c r="G3" s="271"/>
      <c r="H3" s="286" t="s">
        <v>374</v>
      </c>
      <c r="I3" s="287"/>
      <c r="J3" s="288"/>
      <c r="K3" s="289"/>
      <c r="L3" s="290" t="s">
        <v>375</v>
      </c>
      <c r="M3" s="291" t="s">
        <v>376</v>
      </c>
      <c r="N3" s="292"/>
      <c r="O3" s="293"/>
      <c r="P3" s="293" t="s">
        <v>377</v>
      </c>
      <c r="Q3" s="293"/>
      <c r="R3" s="728" t="s">
        <v>378</v>
      </c>
      <c r="S3" s="728" t="s">
        <v>379</v>
      </c>
      <c r="T3" s="730" t="s">
        <v>380</v>
      </c>
      <c r="U3" s="732" t="s">
        <v>378</v>
      </c>
      <c r="V3" s="732" t="s">
        <v>379</v>
      </c>
      <c r="W3" s="734" t="s">
        <v>380</v>
      </c>
      <c r="X3" s="294" t="s">
        <v>381</v>
      </c>
      <c r="Y3" s="295" t="s">
        <v>382</v>
      </c>
      <c r="Z3" s="296"/>
      <c r="AA3" s="297" t="s">
        <v>383</v>
      </c>
      <c r="AB3" s="298" t="s">
        <v>384</v>
      </c>
      <c r="AC3" s="297"/>
      <c r="AD3" s="299"/>
      <c r="AE3" s="293" t="s">
        <v>377</v>
      </c>
      <c r="AF3" s="293"/>
      <c r="AG3" s="300" t="s">
        <v>385</v>
      </c>
      <c r="AH3" s="298" t="s">
        <v>386</v>
      </c>
      <c r="AI3" s="297"/>
      <c r="AJ3" s="293"/>
      <c r="AK3" s="293" t="s">
        <v>377</v>
      </c>
      <c r="AL3" s="301"/>
      <c r="AM3" s="294" t="s">
        <v>387</v>
      </c>
      <c r="AN3" s="298" t="s">
        <v>388</v>
      </c>
      <c r="AO3" s="297"/>
      <c r="AP3" s="302" t="s">
        <v>377</v>
      </c>
      <c r="AQ3" s="293"/>
      <c r="AR3" s="303"/>
      <c r="AS3" s="294">
        <v>3</v>
      </c>
      <c r="AT3" s="298">
        <v>60</v>
      </c>
      <c r="AU3" s="304">
        <v>15</v>
      </c>
      <c r="AV3" s="294">
        <v>4</v>
      </c>
      <c r="AW3" s="294">
        <v>10</v>
      </c>
      <c r="AX3" s="305" t="s">
        <v>389</v>
      </c>
      <c r="AY3" s="306" t="s">
        <v>390</v>
      </c>
      <c r="AZ3" s="307"/>
      <c r="BA3" s="308"/>
      <c r="BB3" s="309"/>
      <c r="BC3" s="310"/>
      <c r="BD3" s="310"/>
      <c r="BE3" s="311"/>
      <c r="BF3" s="312"/>
    </row>
    <row r="4" spans="2:58" s="268" customFormat="1" ht="27" customHeight="1">
      <c r="B4" s="313" t="s">
        <v>391</v>
      </c>
      <c r="C4" s="313" t="s">
        <v>392</v>
      </c>
      <c r="D4" s="313" t="s">
        <v>393</v>
      </c>
      <c r="E4" s="313" t="s">
        <v>394</v>
      </c>
      <c r="F4" s="313" t="s">
        <v>395</v>
      </c>
      <c r="G4" s="313"/>
      <c r="H4" s="314" t="s">
        <v>396</v>
      </c>
      <c r="I4" s="315" t="s">
        <v>397</v>
      </c>
      <c r="J4" s="316" t="s">
        <v>398</v>
      </c>
      <c r="K4" s="317"/>
      <c r="L4" s="315" t="s">
        <v>399</v>
      </c>
      <c r="M4" s="315" t="s">
        <v>400</v>
      </c>
      <c r="N4" s="315" t="s">
        <v>401</v>
      </c>
      <c r="O4" s="318" t="s">
        <v>402</v>
      </c>
      <c r="P4" s="318" t="s">
        <v>403</v>
      </c>
      <c r="Q4" s="318" t="s">
        <v>404</v>
      </c>
      <c r="R4" s="729"/>
      <c r="S4" s="729"/>
      <c r="T4" s="731"/>
      <c r="U4" s="733"/>
      <c r="V4" s="733"/>
      <c r="W4" s="735"/>
      <c r="X4" s="319" t="s">
        <v>399</v>
      </c>
      <c r="Y4" s="319" t="s">
        <v>400</v>
      </c>
      <c r="Z4" s="320" t="s">
        <v>401</v>
      </c>
      <c r="AA4" s="319" t="s">
        <v>399</v>
      </c>
      <c r="AB4" s="319" t="s">
        <v>400</v>
      </c>
      <c r="AC4" s="319" t="s">
        <v>401</v>
      </c>
      <c r="AD4" s="321" t="s">
        <v>402</v>
      </c>
      <c r="AE4" s="322" t="s">
        <v>405</v>
      </c>
      <c r="AF4" s="322" t="s">
        <v>406</v>
      </c>
      <c r="AG4" s="323" t="s">
        <v>399</v>
      </c>
      <c r="AH4" s="319" t="s">
        <v>400</v>
      </c>
      <c r="AI4" s="319" t="s">
        <v>401</v>
      </c>
      <c r="AJ4" s="318" t="s">
        <v>402</v>
      </c>
      <c r="AK4" s="322" t="s">
        <v>405</v>
      </c>
      <c r="AL4" s="324" t="s">
        <v>406</v>
      </c>
      <c r="AM4" s="319" t="s">
        <v>399</v>
      </c>
      <c r="AN4" s="319" t="s">
        <v>400</v>
      </c>
      <c r="AO4" s="319" t="s">
        <v>401</v>
      </c>
      <c r="AP4" s="325" t="s">
        <v>407</v>
      </c>
      <c r="AQ4" s="325" t="s">
        <v>406</v>
      </c>
      <c r="AR4" s="326" t="s">
        <v>408</v>
      </c>
      <c r="AS4" s="319" t="s">
        <v>409</v>
      </c>
      <c r="AT4" s="319" t="s">
        <v>410</v>
      </c>
      <c r="AU4" s="327" t="s">
        <v>411</v>
      </c>
      <c r="AV4" s="328" t="s">
        <v>393</v>
      </c>
      <c r="AW4" s="328" t="s">
        <v>412</v>
      </c>
      <c r="AX4" s="329" t="s">
        <v>413</v>
      </c>
      <c r="AY4" s="330" t="s">
        <v>414</v>
      </c>
      <c r="AZ4" s="328" t="s">
        <v>415</v>
      </c>
      <c r="BA4" s="328" t="s">
        <v>416</v>
      </c>
      <c r="BB4" s="331"/>
      <c r="BE4" s="332"/>
      <c r="BF4" s="333"/>
    </row>
    <row r="5" spans="2:58" ht="27" customHeight="1">
      <c r="B5" s="334" t="s">
        <v>417</v>
      </c>
      <c r="C5" s="335"/>
      <c r="D5" s="335"/>
      <c r="E5" s="335"/>
      <c r="F5" s="335"/>
      <c r="G5" s="335"/>
      <c r="H5" s="336" t="s">
        <v>418</v>
      </c>
      <c r="I5" s="337"/>
      <c r="J5" s="338"/>
      <c r="K5" s="339"/>
      <c r="L5" s="340">
        <f>MIN(L6:L18)</f>
        <v>46393</v>
      </c>
      <c r="M5" s="340">
        <f>MAX(M6:M18)</f>
        <v>46524</v>
      </c>
      <c r="N5" s="337">
        <f t="shared" ref="N5:N32" si="0">M5-L5+1</f>
        <v>132</v>
      </c>
      <c r="O5" s="341"/>
      <c r="P5" s="341"/>
      <c r="Q5" s="341"/>
      <c r="R5" s="342"/>
      <c r="S5" s="343"/>
      <c r="T5" s="344"/>
      <c r="U5" s="345"/>
      <c r="V5" s="345"/>
      <c r="W5" s="346"/>
      <c r="X5" s="340">
        <f>MIN(X6:X18)</f>
        <v>46401</v>
      </c>
      <c r="Y5" s="340">
        <f>MAX(Y6:Y18)</f>
        <v>46503</v>
      </c>
      <c r="Z5" s="347">
        <f t="shared" ref="Z5:Z19" si="1">Y5-X5+1</f>
        <v>103</v>
      </c>
      <c r="AA5" s="340">
        <f>MIN(AA6:AA18)</f>
        <v>46357</v>
      </c>
      <c r="AB5" s="340">
        <f>MAX(AB6:AB18)</f>
        <v>46478</v>
      </c>
      <c r="AC5" s="337">
        <f t="shared" ref="AC5:AC19" si="2">AB5-AA5+1</f>
        <v>122</v>
      </c>
      <c r="AD5" s="348"/>
      <c r="AE5" s="341"/>
      <c r="AF5" s="341"/>
      <c r="AG5" s="349">
        <f>MIN(AG6:AG18)</f>
        <v>46322</v>
      </c>
      <c r="AH5" s="340">
        <f>MAX(AH6:AH18)</f>
        <v>46422</v>
      </c>
      <c r="AI5" s="337">
        <f t="shared" ref="AI5:AI19" si="3">AH5-AG5+1</f>
        <v>101</v>
      </c>
      <c r="AJ5" s="341"/>
      <c r="AK5" s="341"/>
      <c r="AL5" s="350"/>
      <c r="AM5" s="340">
        <f>MIN(AM6:AM18)</f>
        <v>46291</v>
      </c>
      <c r="AN5" s="340">
        <f>MAX(AN6:AN18)</f>
        <v>46403</v>
      </c>
      <c r="AO5" s="337">
        <f t="shared" ref="AO5:AO32" si="4">AN5-AM5+1</f>
        <v>113</v>
      </c>
      <c r="AP5" s="341"/>
      <c r="AQ5" s="341"/>
      <c r="AR5" s="351"/>
      <c r="AS5" s="340">
        <f>MIN(AS6:AS18)</f>
        <v>46288</v>
      </c>
      <c r="AT5" s="340">
        <f>MIN(AT6:AT18)</f>
        <v>46228</v>
      </c>
      <c r="AU5" s="352">
        <f>MIN(AU6:AU18)</f>
        <v>46213</v>
      </c>
      <c r="AV5" s="353">
        <f>MIN(AV6:AV18)</f>
        <v>46287</v>
      </c>
      <c r="AW5" s="353">
        <f>MIN(AW6:AW18)</f>
        <v>46277</v>
      </c>
      <c r="AX5" s="354"/>
      <c r="AY5" s="340">
        <f>MIN(AY6:AY18)</f>
        <v>46269</v>
      </c>
      <c r="AZ5" s="355"/>
      <c r="BA5" s="355"/>
      <c r="BB5" s="356"/>
    </row>
    <row r="6" spans="2:58" s="269" customFormat="1">
      <c r="B6" s="357" t="s">
        <v>419</v>
      </c>
      <c r="C6" s="357" t="s">
        <v>420</v>
      </c>
      <c r="D6" s="357" t="s">
        <v>421</v>
      </c>
      <c r="E6" s="357"/>
      <c r="F6" s="357" t="s">
        <v>422</v>
      </c>
      <c r="G6" s="357" t="str">
        <f>F6&amp;C6</f>
        <v>01JS01</v>
      </c>
      <c r="H6" s="358">
        <v>1</v>
      </c>
      <c r="I6" s="271" t="s">
        <v>423</v>
      </c>
      <c r="J6" s="359"/>
      <c r="K6" s="360"/>
      <c r="L6" s="361">
        <f>SUMIFS('[36]frm P6'!$J:$J,'[36]frm P6'!D:D,[36]Schedule!B6,'[36]frm P6'!E:E,[36]Schedule!C6,'[36]frm P6'!F:F,[36]Schedule!D6,'[36]frm P6'!G:G,[36]Schedule!$K$3,'[36]frm P6'!H:H,[36]Schedule!F6)</f>
        <v>46393</v>
      </c>
      <c r="M6" s="361">
        <f>SUMIFS('[36]frm P6'!$K:$K,'[36]frm P6'!D:D,[36]Schedule!B6,'[36]frm P6'!E:E,[36]Schedule!C6,'[36]frm P6'!F:F,[36]Schedule!D6,'[36]frm P6'!G:G,[36]Schedule!$K$3,'[36]frm P6'!H:H,[36]Schedule!F6)</f>
        <v>46396</v>
      </c>
      <c r="N6" s="362">
        <f t="shared" si="0"/>
        <v>4</v>
      </c>
      <c r="O6" s="273"/>
      <c r="P6" s="273"/>
      <c r="Q6" s="273"/>
      <c r="R6" s="363"/>
      <c r="S6" s="364"/>
      <c r="T6" s="365"/>
      <c r="U6" s="366"/>
      <c r="V6" s="366"/>
      <c r="W6" s="367"/>
      <c r="X6" s="368" t="s">
        <v>424</v>
      </c>
      <c r="Y6" s="368" t="s">
        <v>424</v>
      </c>
      <c r="Z6" s="369" t="s">
        <v>424</v>
      </c>
      <c r="AA6" s="368" t="s">
        <v>424</v>
      </c>
      <c r="AB6" s="368" t="s">
        <v>424</v>
      </c>
      <c r="AC6" s="362" t="s">
        <v>424</v>
      </c>
      <c r="AD6" s="274" t="s">
        <v>424</v>
      </c>
      <c r="AE6" s="273" t="s">
        <v>424</v>
      </c>
      <c r="AF6" s="273" t="s">
        <v>424</v>
      </c>
      <c r="AG6" s="370">
        <f>SUMIFS('[36]frm P6'!$J:$J,'[36]frm P6'!D:D,[36]Schedule!B6,'[36]frm P6'!E:E,[36]Schedule!C6,'[36]frm P6'!F:F,[36]Schedule!D6,'[36]frm P6'!G:G,[36]Schedule!$AF$3,'[36]frm P6'!H:H,[36]Schedule!F6)</f>
        <v>46322</v>
      </c>
      <c r="AH6" s="361">
        <f>SUMIFS('[36]frm P6'!$K:$K,'[36]frm P6'!D:D,[36]Schedule!B6,'[36]frm P6'!E:E,[36]Schedule!C6,'[36]frm P6'!F:F,[36]Schedule!D6,'[36]frm P6'!G:G,[36]Schedule!$AF$3,'[36]frm P6'!H:H,[36]Schedule!F6)</f>
        <v>46358</v>
      </c>
      <c r="AI6" s="362">
        <f t="shared" si="3"/>
        <v>37</v>
      </c>
      <c r="AJ6" s="273"/>
      <c r="AK6" s="273"/>
      <c r="AL6" s="371"/>
      <c r="AM6" s="368" t="s">
        <v>424</v>
      </c>
      <c r="AN6" s="368" t="s">
        <v>424</v>
      </c>
      <c r="AO6" s="362" t="s">
        <v>424</v>
      </c>
      <c r="AP6" s="273"/>
      <c r="AQ6" s="273"/>
      <c r="AR6" s="372" t="s">
        <v>424</v>
      </c>
      <c r="AS6" s="368" t="s">
        <v>424</v>
      </c>
      <c r="AT6" s="368" t="s">
        <v>424</v>
      </c>
      <c r="AU6" s="373" t="s">
        <v>424</v>
      </c>
      <c r="AV6" s="368" t="s">
        <v>424</v>
      </c>
      <c r="AW6" s="368" t="s">
        <v>424</v>
      </c>
      <c r="AX6" s="374" t="s">
        <v>424</v>
      </c>
      <c r="AY6" s="368" t="s">
        <v>424</v>
      </c>
      <c r="AZ6" s="362" t="s">
        <v>424</v>
      </c>
      <c r="BA6" s="375" t="s">
        <v>424</v>
      </c>
      <c r="BB6" s="376"/>
      <c r="BE6" s="277"/>
      <c r="BF6" s="278"/>
    </row>
    <row r="7" spans="2:58" s="269" customFormat="1">
      <c r="B7" s="357" t="s">
        <v>419</v>
      </c>
      <c r="C7" s="357" t="s">
        <v>425</v>
      </c>
      <c r="D7" s="357" t="s">
        <v>421</v>
      </c>
      <c r="E7" s="357"/>
      <c r="F7" s="357" t="s">
        <v>422</v>
      </c>
      <c r="G7" s="357" t="str">
        <f>F7&amp;C7</f>
        <v>01JS02A</v>
      </c>
      <c r="H7" s="358">
        <v>2</v>
      </c>
      <c r="I7" s="271" t="s">
        <v>426</v>
      </c>
      <c r="J7" s="359">
        <v>16.2</v>
      </c>
      <c r="K7" s="360">
        <f>L7-AB7</f>
        <v>3</v>
      </c>
      <c r="L7" s="361">
        <f>SUMIFS('[36]frm P6'!$J:$J,'[36]frm P6'!D:D,[36]Schedule!B7,'[36]frm P6'!E:E,[36]Schedule!C7,'[36]frm P6'!F:F,[36]Schedule!D7,'[36]frm P6'!G:G,[36]Schedule!$K$3,'[36]frm P6'!H:H,[36]Schedule!F7)</f>
        <v>46396</v>
      </c>
      <c r="M7" s="361">
        <f>SUMIFS('[36]frm P6'!$K:$K,'[36]frm P6'!D:D,[36]Schedule!B7,'[36]frm P6'!E:E,[36]Schedule!C7,'[36]frm P6'!F:F,[36]Schedule!D7,'[36]frm P6'!G:G,[36]Schedule!$K$3,'[36]frm P6'!H:H,[36]Schedule!F7)</f>
        <v>46407</v>
      </c>
      <c r="N7" s="362">
        <f t="shared" si="0"/>
        <v>12</v>
      </c>
      <c r="O7" s="273">
        <v>4</v>
      </c>
      <c r="P7" s="273"/>
      <c r="Q7" s="273" t="s">
        <v>427</v>
      </c>
      <c r="R7" s="363">
        <f>VLOOKUP(Q7,[37]导管架!N$2:Q$9,2,0)</f>
        <v>1.2968665897850999</v>
      </c>
      <c r="S7" s="364">
        <f>VLOOKUP(Q7,[37]导管架!N$2:Q$9,3,0)</f>
        <v>2.47322624313425</v>
      </c>
      <c r="T7" s="365">
        <f>VLOOKUP(Q7,[37]导管架!N$2:Q$9,4,0)</f>
        <v>4.6220437385570801</v>
      </c>
      <c r="U7" s="366">
        <f>R7*AJ7*8</f>
        <v>124.499192619369</v>
      </c>
      <c r="V7" s="366">
        <f>S7*AD7*8</f>
        <v>79.1432397802959</v>
      </c>
      <c r="W7" s="367">
        <f>T7*O7*8</f>
        <v>147.90539963382699</v>
      </c>
      <c r="X7" s="368" t="s">
        <v>424</v>
      </c>
      <c r="Y7" s="368" t="s">
        <v>424</v>
      </c>
      <c r="Z7" s="369" t="s">
        <v>424</v>
      </c>
      <c r="AA7" s="361">
        <f>SUMIFS('[36]frm P6'!$J:$J,'[36]frm P6'!D:D,[36]Schedule!B7,'[36]frm P6'!E:E,[36]Schedule!C7,'[36]frm P6'!F:F,[36]Schedule!D7,'[36]frm P6'!G:G,[36]Schedule!$Z$3,'[36]frm P6'!H:H,[36]Schedule!F7)</f>
        <v>46364</v>
      </c>
      <c r="AB7" s="361">
        <f>SUMIFS('[36]frm P6'!$K:$K,'[36]frm P6'!D:D,[36]Schedule!B7,'[36]frm P6'!E:E,[36]Schedule!C7,'[36]frm P6'!F:F,[36]Schedule!D7,'[36]frm P6'!G:G,[36]Schedule!$Z$3,'[36]frm P6'!H:H,[36]Schedule!F7)</f>
        <v>46393</v>
      </c>
      <c r="AC7" s="362">
        <f t="shared" si="2"/>
        <v>30</v>
      </c>
      <c r="AD7" s="274">
        <v>4</v>
      </c>
      <c r="AE7" s="273">
        <v>16.78</v>
      </c>
      <c r="AF7" s="273">
        <v>406.4</v>
      </c>
      <c r="AG7" s="370">
        <f>SUMIFS('[36]frm P6'!$J:$J,'[36]frm P6'!D:D,[36]Schedule!B7,'[36]frm P6'!E:E,[36]Schedule!C7,'[36]frm P6'!F:F,[36]Schedule!D7,'[36]frm P6'!G:G,[36]Schedule!$AF$3,'[36]frm P6'!H:H,[36]Schedule!F7)</f>
        <v>46335</v>
      </c>
      <c r="AH7" s="361">
        <f>SUMIFS('[36]frm P6'!$K:$K,'[36]frm P6'!D:D,[36]Schedule!B7,'[36]frm P6'!E:E,[36]Schedule!C7,'[36]frm P6'!F:F,[36]Schedule!D7,'[36]frm P6'!G:G,[36]Schedule!$AF$3,'[36]frm P6'!H:H,[36]Schedule!F7)</f>
        <v>46358</v>
      </c>
      <c r="AI7" s="362">
        <f t="shared" si="3"/>
        <v>24</v>
      </c>
      <c r="AJ7" s="273">
        <v>12</v>
      </c>
      <c r="AK7" s="273">
        <v>52.15</v>
      </c>
      <c r="AL7" s="371" t="s">
        <v>428</v>
      </c>
      <c r="AM7" s="361">
        <f>SUMIFS('[36]frm P6'!$J:$J,'[36]frm P6'!D:D,[36]Schedule!B7,'[36]frm P6'!E:E,[36]Schedule!C7,'[36]frm P6'!F:F,[36]Schedule!D7,'[36]frm P6'!G:G,[36]Schedule!$AL$3,'[36]frm P6'!H:H,[36]Schedule!F7)</f>
        <v>46295</v>
      </c>
      <c r="AN7" s="361">
        <f>SUMIFS('[36]frm P6'!$K:$K,'[36]frm P6'!D:D,[36]Schedule!B7,'[36]frm P6'!E:E,[36]Schedule!C7,'[36]frm P6'!F:F,[36]Schedule!D7,'[36]frm P6'!G:G,[36]Schedule!$AL$3,'[36]frm P6'!H:H,[36]Schedule!F7)</f>
        <v>46331</v>
      </c>
      <c r="AO7" s="362">
        <f t="shared" si="4"/>
        <v>37</v>
      </c>
      <c r="AP7" s="273">
        <v>6</v>
      </c>
      <c r="AQ7" s="273">
        <v>500</v>
      </c>
      <c r="AR7" s="372">
        <v>62</v>
      </c>
      <c r="AS7" s="368">
        <f>AM7-$AS$3</f>
        <v>46292</v>
      </c>
      <c r="AT7" s="368">
        <f>AS7-$AT$3</f>
        <v>46232</v>
      </c>
      <c r="AU7" s="377">
        <f>AT7-$AU$3</f>
        <v>46217</v>
      </c>
      <c r="AV7" s="368">
        <f t="shared" ref="AV7:AV18" si="5">AM7-$AV$3</f>
        <v>46291</v>
      </c>
      <c r="AW7" s="368">
        <f>AV7-$AW$3</f>
        <v>46281</v>
      </c>
      <c r="AX7" s="378">
        <f t="shared" ref="AX7:AX18" si="6">AW7-AY7</f>
        <v>7</v>
      </c>
      <c r="AY7" s="368">
        <v>46274</v>
      </c>
      <c r="AZ7" s="362" t="s">
        <v>429</v>
      </c>
      <c r="BA7" s="375" t="s">
        <v>430</v>
      </c>
      <c r="BB7" s="376"/>
      <c r="BE7" s="277"/>
      <c r="BF7" s="278"/>
    </row>
    <row r="8" spans="2:58" s="269" customFormat="1">
      <c r="B8" s="357" t="s">
        <v>419</v>
      </c>
      <c r="C8" s="357" t="s">
        <v>431</v>
      </c>
      <c r="D8" s="357" t="s">
        <v>421</v>
      </c>
      <c r="E8" s="357"/>
      <c r="F8" s="357" t="s">
        <v>422</v>
      </c>
      <c r="G8" s="357" t="str">
        <f>F8&amp;C8</f>
        <v>01JS04A</v>
      </c>
      <c r="H8" s="358">
        <v>4</v>
      </c>
      <c r="I8" s="271" t="s">
        <v>432</v>
      </c>
      <c r="J8" s="359">
        <v>105</v>
      </c>
      <c r="K8" s="360">
        <f>L8-Y8</f>
        <v>6</v>
      </c>
      <c r="L8" s="361">
        <f>SUMIFS('[36]frm P6'!$J:$J,'[36]frm P6'!D:D,[36]Schedule!B8,'[36]frm P6'!E:E,[36]Schedule!C8,'[36]frm P6'!F:F,[36]Schedule!D8,'[36]frm P6'!G:G,[36]Schedule!$K$3,'[36]frm P6'!H:H,[36]Schedule!F8)</f>
        <v>46422</v>
      </c>
      <c r="M8" s="361">
        <f>SUMIFS('[36]frm P6'!$K:$K,'[36]frm P6'!D:D,[36]Schedule!B8,'[36]frm P6'!E:E,[36]Schedule!C8,'[36]frm P6'!F:F,[36]Schedule!D8,'[36]frm P6'!G:G,[36]Schedule!$K$3,'[36]frm P6'!H:H,[36]Schedule!F8)</f>
        <v>46441</v>
      </c>
      <c r="N8" s="362">
        <f t="shared" si="0"/>
        <v>20</v>
      </c>
      <c r="O8" s="273">
        <v>8</v>
      </c>
      <c r="P8" s="273">
        <v>35.369999999999997</v>
      </c>
      <c r="Q8" s="273" t="s">
        <v>428</v>
      </c>
      <c r="R8" s="363">
        <f>VLOOKUP(Q8,[37]导管架!N$2:Q$9,2,0)</f>
        <v>1.2968665897850999</v>
      </c>
      <c r="S8" s="364">
        <f>VLOOKUP(Q8,[37]导管架!N$2:Q$9,3,0)</f>
        <v>2.47322624313425</v>
      </c>
      <c r="T8" s="365">
        <f>VLOOKUP(Q8,[37]导管架!N$2:Q$9,4,0)</f>
        <v>4.6220437385570801</v>
      </c>
      <c r="U8" s="366">
        <f>R8*AJ8*8</f>
        <v>248.99838523873899</v>
      </c>
      <c r="V8" s="366">
        <f>S8*AD8*8</f>
        <v>672.71753813251496</v>
      </c>
      <c r="W8" s="367">
        <f>T8*O8*8</f>
        <v>295.81079926765301</v>
      </c>
      <c r="X8" s="361">
        <f>SUMIFS('[36]frm P6'!$J:$J,'[36]frm P6'!D:D,[36]Schedule!B8,'[36]frm P6'!E:E,[36]Schedule!C8,'[36]frm P6'!G:G,[36]Schedule!$W$3,'[36]frm P6'!H:H,[36]Schedule!F8)</f>
        <v>46401</v>
      </c>
      <c r="Y8" s="361">
        <f>SUMIFS('[36]frm P6'!$K:$K,'[36]frm P6'!D:D,[36]Schedule!B8,'[36]frm P6'!E:E,[36]Schedule!C8,'[36]frm P6'!G:G,[36]Schedule!$W$3,'[36]frm P6'!H:H,[36]Schedule!F8)</f>
        <v>46416</v>
      </c>
      <c r="Z8" s="369">
        <f t="shared" si="1"/>
        <v>16</v>
      </c>
      <c r="AA8" s="361">
        <f>SUMIFS('[36]frm P6'!$J:$J,'[36]frm P6'!D:D,[36]Schedule!B8,'[36]frm P6'!E:E,[36]Schedule!C8,'[36]frm P6'!F:F,[36]Schedule!D8,'[36]frm P6'!G:G,[36]Schedule!$Z$3,'[36]frm P6'!H:H,[36]Schedule!F8)</f>
        <v>46357</v>
      </c>
      <c r="AB8" s="361">
        <f>SUMIFS('[36]frm P6'!$K:$K,'[36]frm P6'!D:D,[36]Schedule!B8,'[36]frm P6'!E:E,[36]Schedule!C8,'[36]frm P6'!F:F,[36]Schedule!D8,'[36]frm P6'!G:G,[36]Schedule!$Z$3,'[36]frm P6'!H:H,[36]Schedule!F8)</f>
        <v>46398</v>
      </c>
      <c r="AC8" s="362">
        <f t="shared" si="2"/>
        <v>42</v>
      </c>
      <c r="AD8" s="274">
        <v>34</v>
      </c>
      <c r="AE8" s="273">
        <v>359.28</v>
      </c>
      <c r="AF8" s="273" t="s">
        <v>433</v>
      </c>
      <c r="AG8" s="370">
        <f>SUMIFS('[36]frm P6'!$J:$J,'[36]frm P6'!D:D,[36]Schedule!B8,'[36]frm P6'!E:E,[36]Schedule!C8,'[36]frm P6'!F:F,[36]Schedule!D8,'[36]frm P6'!G:G,[36]Schedule!$AF$3,'[36]frm P6'!H:H,[36]Schedule!F8)</f>
        <v>46322</v>
      </c>
      <c r="AH8" s="361">
        <f>SUMIFS('[36]frm P6'!$K:$K,'[36]frm P6'!D:D,[36]Schedule!B8,'[36]frm P6'!E:E,[36]Schedule!C8,'[36]frm P6'!F:F,[36]Schedule!D8,'[36]frm P6'!G:G,[36]Schedule!$AF$3,'[36]frm P6'!H:H,[36]Schedule!F8)</f>
        <v>46353</v>
      </c>
      <c r="AI8" s="362">
        <f t="shared" si="3"/>
        <v>32</v>
      </c>
      <c r="AJ8" s="273">
        <v>24</v>
      </c>
      <c r="AK8" s="273">
        <v>1101.48</v>
      </c>
      <c r="AL8" s="371" t="s">
        <v>433</v>
      </c>
      <c r="AM8" s="361">
        <f>SUMIFS('[36]frm P6'!$J:$J,'[36]frm P6'!D:D,[36]Schedule!B8,'[36]frm P6'!E:E,[36]Schedule!C8,'[36]frm P6'!F:F,[36]Schedule!D8,'[36]frm P6'!G:G,[36]Schedule!$AL$3,'[36]frm P6'!H:H,[36]Schedule!F8)</f>
        <v>46291</v>
      </c>
      <c r="AN8" s="361">
        <f>SUMIFS('[36]frm P6'!$K:$K,'[36]frm P6'!D:D,[36]Schedule!B8,'[36]frm P6'!E:E,[36]Schedule!C8,'[36]frm P6'!F:F,[36]Schedule!D8,'[36]frm P6'!G:G,[36]Schedule!$AL$3,'[36]frm P6'!H:H,[36]Schedule!F8)</f>
        <v>46335</v>
      </c>
      <c r="AO8" s="362">
        <f t="shared" si="4"/>
        <v>45</v>
      </c>
      <c r="AP8" s="273">
        <v>41</v>
      </c>
      <c r="AQ8" s="273" t="s">
        <v>434</v>
      </c>
      <c r="AR8" s="372">
        <v>62</v>
      </c>
      <c r="AS8" s="368">
        <f t="shared" ref="AS8:AS18" si="7">AM8-$AS$3</f>
        <v>46288</v>
      </c>
      <c r="AT8" s="368">
        <f t="shared" ref="AT8:AT32" si="8">AS8-$AT$3</f>
        <v>46228</v>
      </c>
      <c r="AU8" s="377">
        <f t="shared" ref="AU8:AU18" si="9">AT8-$AU$3</f>
        <v>46213</v>
      </c>
      <c r="AV8" s="368">
        <f t="shared" si="5"/>
        <v>46287</v>
      </c>
      <c r="AW8" s="368">
        <f t="shared" ref="AW8:AW18" si="10">AV8-$AW$3</f>
        <v>46277</v>
      </c>
      <c r="AX8" s="378">
        <f t="shared" si="6"/>
        <v>8</v>
      </c>
      <c r="AY8" s="368">
        <v>46269</v>
      </c>
      <c r="AZ8" s="362" t="s">
        <v>435</v>
      </c>
      <c r="BA8" s="375" t="s">
        <v>436</v>
      </c>
      <c r="BB8" s="376"/>
      <c r="BE8" s="277"/>
      <c r="BF8" s="278"/>
    </row>
    <row r="9" spans="2:58" s="269" customFormat="1">
      <c r="B9" s="357" t="s">
        <v>419</v>
      </c>
      <c r="C9" s="357" t="s">
        <v>437</v>
      </c>
      <c r="D9" s="357" t="s">
        <v>421</v>
      </c>
      <c r="E9" s="357"/>
      <c r="F9" s="357" t="s">
        <v>422</v>
      </c>
      <c r="G9" s="357" t="str">
        <f>F9&amp;C9</f>
        <v>01JS04B</v>
      </c>
      <c r="H9" s="358">
        <v>5</v>
      </c>
      <c r="I9" s="271" t="s">
        <v>438</v>
      </c>
      <c r="J9" s="359">
        <v>5.5</v>
      </c>
      <c r="K9" s="360">
        <f>L9-AB9</f>
        <v>30</v>
      </c>
      <c r="L9" s="361">
        <f>SUMIFS('[36]frm P6'!$J:$J,'[36]frm P6'!D:D,[36]Schedule!B9,'[36]frm P6'!E:E,[36]Schedule!C9,'[36]frm P6'!F:F,[36]Schedule!D9,'[36]frm P6'!G:G,[36]Schedule!$K$3,'[36]frm P6'!H:H,[36]Schedule!F9)</f>
        <v>46445</v>
      </c>
      <c r="M9" s="361">
        <f>SUMIFS('[36]frm P6'!$K:$K,'[36]frm P6'!D:D,[36]Schedule!B9,'[36]frm P6'!E:E,[36]Schedule!C9,'[36]frm P6'!F:F,[36]Schedule!D9,'[36]frm P6'!G:G,[36]Schedule!$K$3,'[36]frm P6'!H:H,[36]Schedule!F9)</f>
        <v>46449</v>
      </c>
      <c r="N9" s="362">
        <f t="shared" si="0"/>
        <v>5</v>
      </c>
      <c r="O9" s="273">
        <v>2</v>
      </c>
      <c r="P9" s="379">
        <v>21.085908478927401</v>
      </c>
      <c r="Q9" s="273">
        <v>750</v>
      </c>
      <c r="R9" s="363">
        <f>VLOOKUP(Q9,[37]导管架!N$2:Q$9,2,0)</f>
        <v>2.1138766322071101</v>
      </c>
      <c r="S9" s="364">
        <f>VLOOKUP(Q9,[37]导管架!N$2:Q$9,3,0)</f>
        <v>4.0638077818926401</v>
      </c>
      <c r="T9" s="365">
        <f>VLOOKUP(Q9,[37]导管架!N$2:Q$9,4,0)</f>
        <v>6.43967963648773</v>
      </c>
      <c r="U9" s="366">
        <f t="shared" ref="U9:U18" si="11">R9*AJ9*8</f>
        <v>33.822026115313697</v>
      </c>
      <c r="V9" s="366">
        <f t="shared" ref="V9:V18" si="12">S9*AD9*8</f>
        <v>65.0209245102822</v>
      </c>
      <c r="W9" s="367">
        <f t="shared" ref="W9:W18" si="13">T9*O9*8</f>
        <v>103.03487418380401</v>
      </c>
      <c r="X9" s="368" t="s">
        <v>424</v>
      </c>
      <c r="Y9" s="368" t="s">
        <v>424</v>
      </c>
      <c r="Z9" s="369" t="s">
        <v>424</v>
      </c>
      <c r="AA9" s="361">
        <f>SUMIFS('[36]frm P6'!$J:$J,'[36]frm P6'!D:D,[36]Schedule!B9,'[36]frm P6'!E:E,[36]Schedule!C9,'[36]frm P6'!F:F,[36]Schedule!D9,'[36]frm P6'!G:G,[36]Schedule!$Z$3,'[36]frm P6'!H:H,[36]Schedule!F9)</f>
        <v>46399</v>
      </c>
      <c r="AB9" s="361">
        <f>SUMIFS('[36]frm P6'!$K:$K,'[36]frm P6'!D:D,[36]Schedule!B9,'[36]frm P6'!E:E,[36]Schedule!C9,'[36]frm P6'!F:F,[36]Schedule!D9,'[36]frm P6'!G:G,[36]Schedule!$Z$3,'[36]frm P6'!H:H,[36]Schedule!F9)</f>
        <v>46415</v>
      </c>
      <c r="AC9" s="362">
        <f t="shared" si="2"/>
        <v>17</v>
      </c>
      <c r="AD9" s="274">
        <v>2</v>
      </c>
      <c r="AE9" s="273">
        <v>21.09</v>
      </c>
      <c r="AF9" s="273">
        <v>750</v>
      </c>
      <c r="AG9" s="370">
        <f>SUMIFS('[36]frm P6'!$J:$J,'[36]frm P6'!D:D,[36]Schedule!B9,'[36]frm P6'!E:E,[36]Schedule!C9,'[36]frm P6'!F:F,[36]Schedule!D9,'[36]frm P6'!G:G,[36]Schedule!$AF$3,'[36]frm P6'!H:H,[36]Schedule!F9)</f>
        <v>46368</v>
      </c>
      <c r="AH9" s="361">
        <f>SUMIFS('[36]frm P6'!$K:$K,'[36]frm P6'!D:D,[36]Schedule!B9,'[36]frm P6'!E:E,[36]Schedule!C9,'[36]frm P6'!F:F,[36]Schedule!D9,'[36]frm P6'!G:G,[36]Schedule!$AF$3,'[36]frm P6'!H:H,[36]Schedule!F9)</f>
        <v>46391</v>
      </c>
      <c r="AI9" s="362">
        <f t="shared" si="3"/>
        <v>24</v>
      </c>
      <c r="AJ9" s="273">
        <v>2</v>
      </c>
      <c r="AK9" s="273">
        <v>21.085000000000001</v>
      </c>
      <c r="AL9" s="371">
        <v>750</v>
      </c>
      <c r="AM9" s="361">
        <f>SUMIFS('[36]frm P6'!$J:$J,'[36]frm P6'!D:D,[36]Schedule!B9,'[36]frm P6'!E:E,[36]Schedule!C9,'[36]frm P6'!F:F,[36]Schedule!D9,'[36]frm P6'!G:G,[36]Schedule!$AL$3,'[36]frm P6'!H:H,[36]Schedule!F9)</f>
        <v>46314</v>
      </c>
      <c r="AN9" s="361">
        <f>SUMIFS('[36]frm P6'!$K:$K,'[36]frm P6'!D:D,[36]Schedule!B9,'[36]frm P6'!E:E,[36]Schedule!C9,'[36]frm P6'!F:F,[36]Schedule!D9,'[36]frm P6'!G:G,[36]Schedule!$AL$3,'[36]frm P6'!H:H,[36]Schedule!F9)</f>
        <v>46343</v>
      </c>
      <c r="AO9" s="362">
        <f t="shared" si="4"/>
        <v>30</v>
      </c>
      <c r="AP9" s="273">
        <v>5</v>
      </c>
      <c r="AQ9" s="273">
        <v>750</v>
      </c>
      <c r="AR9" s="372">
        <v>62</v>
      </c>
      <c r="AS9" s="368">
        <f t="shared" si="7"/>
        <v>46311</v>
      </c>
      <c r="AT9" s="368">
        <f t="shared" si="8"/>
        <v>46251</v>
      </c>
      <c r="AU9" s="377">
        <f t="shared" si="9"/>
        <v>46236</v>
      </c>
      <c r="AV9" s="368">
        <f t="shared" si="5"/>
        <v>46310</v>
      </c>
      <c r="AW9" s="368">
        <f t="shared" si="10"/>
        <v>46300</v>
      </c>
      <c r="AX9" s="378">
        <f t="shared" si="6"/>
        <v>31</v>
      </c>
      <c r="AY9" s="368">
        <v>46269</v>
      </c>
      <c r="AZ9" s="362" t="s">
        <v>435</v>
      </c>
      <c r="BA9" s="375" t="s">
        <v>436</v>
      </c>
      <c r="BB9" s="376"/>
      <c r="BE9" s="277"/>
      <c r="BF9" s="278"/>
    </row>
    <row r="10" spans="2:58" s="269" customFormat="1">
      <c r="B10" s="357" t="s">
        <v>419</v>
      </c>
      <c r="C10" s="357" t="s">
        <v>439</v>
      </c>
      <c r="D10" s="357" t="s">
        <v>421</v>
      </c>
      <c r="E10" s="357"/>
      <c r="F10" s="357" t="s">
        <v>422</v>
      </c>
      <c r="G10" s="357"/>
      <c r="H10" s="358">
        <v>6</v>
      </c>
      <c r="I10" s="271" t="s">
        <v>440</v>
      </c>
      <c r="J10" s="359">
        <v>5.5</v>
      </c>
      <c r="K10" s="360">
        <f>L10-AB10</f>
        <v>14</v>
      </c>
      <c r="L10" s="361">
        <f>SUMIFS('[36]frm P6'!$J:$J,'[36]frm P6'!D:D,[36]Schedule!B10,'[36]frm P6'!E:E,[36]Schedule!C10,'[36]frm P6'!F:F,[36]Schedule!D10,'[36]frm P6'!G:G,[36]Schedule!$K$3,'[36]frm P6'!H:H,[36]Schedule!F10)</f>
        <v>46449</v>
      </c>
      <c r="M10" s="361">
        <f>SUMIFS('[36]frm P6'!$K:$K,'[36]frm P6'!D:D,[36]Schedule!B10,'[36]frm P6'!E:E,[36]Schedule!C10,'[36]frm P6'!F:F,[36]Schedule!D10,'[36]frm P6'!G:G,[36]Schedule!$K$3,'[36]frm P6'!H:H,[36]Schedule!F10)</f>
        <v>46454</v>
      </c>
      <c r="N10" s="362">
        <f t="shared" si="0"/>
        <v>6</v>
      </c>
      <c r="O10" s="273">
        <v>2</v>
      </c>
      <c r="P10" s="379">
        <v>21.085908478927401</v>
      </c>
      <c r="Q10" s="273">
        <v>750</v>
      </c>
      <c r="R10" s="363">
        <f>VLOOKUP(Q10,[37]导管架!N$2:Q$9,2,0)</f>
        <v>2.1138766322071101</v>
      </c>
      <c r="S10" s="364">
        <f>VLOOKUP(Q10,[37]导管架!N$2:Q$9,3,0)</f>
        <v>4.0638077818926401</v>
      </c>
      <c r="T10" s="365">
        <f>VLOOKUP(Q10,[37]导管架!N$2:Q$9,4,0)</f>
        <v>6.43967963648773</v>
      </c>
      <c r="U10" s="366">
        <f t="shared" si="11"/>
        <v>33.822026115313697</v>
      </c>
      <c r="V10" s="366">
        <f t="shared" si="12"/>
        <v>65.0209245102822</v>
      </c>
      <c r="W10" s="367">
        <f t="shared" si="13"/>
        <v>103.03487418380401</v>
      </c>
      <c r="X10" s="368" t="s">
        <v>424</v>
      </c>
      <c r="Y10" s="368" t="s">
        <v>424</v>
      </c>
      <c r="Z10" s="369" t="s">
        <v>424</v>
      </c>
      <c r="AA10" s="361">
        <f>SUMIFS('[36]frm P6'!$J:$J,'[36]frm P6'!D:D,[36]Schedule!B10,'[36]frm P6'!E:E,[36]Schedule!C10,'[36]frm P6'!F:F,[36]Schedule!D10,'[36]frm P6'!G:G,[36]Schedule!$Z$3,'[36]frm P6'!H:H,[36]Schedule!F10)</f>
        <v>46409</v>
      </c>
      <c r="AB10" s="361">
        <f>SUMIFS('[36]frm P6'!$K:$K,'[36]frm P6'!D:D,[36]Schedule!B10,'[36]frm P6'!E:E,[36]Schedule!C10,'[36]frm P6'!F:F,[36]Schedule!D10,'[36]frm P6'!G:G,[36]Schedule!$Z$3,'[36]frm P6'!H:H,[36]Schedule!F10)</f>
        <v>46435</v>
      </c>
      <c r="AC10" s="362">
        <f t="shared" si="2"/>
        <v>27</v>
      </c>
      <c r="AD10" s="274">
        <v>2</v>
      </c>
      <c r="AE10" s="273">
        <v>21.09</v>
      </c>
      <c r="AF10" s="273">
        <v>750</v>
      </c>
      <c r="AG10" s="370">
        <f>SUMIFS('[36]frm P6'!$J:$J,'[36]frm P6'!D:D,[36]Schedule!B10,'[36]frm P6'!E:E,[36]Schedule!C10,'[36]frm P6'!F:F,[36]Schedule!D10,'[36]frm P6'!G:G,[36]Schedule!$AF$3,'[36]frm P6'!H:H,[36]Schedule!F10)</f>
        <v>46368</v>
      </c>
      <c r="AH10" s="361">
        <f>SUMIFS('[36]frm P6'!$K:$K,'[36]frm P6'!D:D,[36]Schedule!B10,'[36]frm P6'!E:E,[36]Schedule!C10,'[36]frm P6'!F:F,[36]Schedule!D10,'[36]frm P6'!G:G,[36]Schedule!$AF$3,'[36]frm P6'!H:H,[36]Schedule!F10)</f>
        <v>46391</v>
      </c>
      <c r="AI10" s="362">
        <f t="shared" si="3"/>
        <v>24</v>
      </c>
      <c r="AJ10" s="273">
        <v>2</v>
      </c>
      <c r="AK10" s="273">
        <v>21.085000000000001</v>
      </c>
      <c r="AL10" s="371">
        <v>750</v>
      </c>
      <c r="AM10" s="361">
        <f>SUMIFS('[36]frm P6'!$J:$J,'[36]frm P6'!D:D,[36]Schedule!B10,'[36]frm P6'!E:E,[36]Schedule!C10,'[36]frm P6'!F:F,[36]Schedule!D10,'[36]frm P6'!G:G,[36]Schedule!$AL$3,'[36]frm P6'!H:H,[36]Schedule!F10)</f>
        <v>46325</v>
      </c>
      <c r="AN10" s="361">
        <f>SUMIFS('[36]frm P6'!$K:$K,'[36]frm P6'!D:D,[36]Schedule!B10,'[36]frm P6'!E:E,[36]Schedule!C10,'[36]frm P6'!F:F,[36]Schedule!D10,'[36]frm P6'!G:G,[36]Schedule!$AL$3,'[36]frm P6'!H:H,[36]Schedule!F10)</f>
        <v>46354</v>
      </c>
      <c r="AO10" s="362">
        <f t="shared" si="4"/>
        <v>30</v>
      </c>
      <c r="AP10" s="273">
        <v>5</v>
      </c>
      <c r="AQ10" s="273">
        <v>750</v>
      </c>
      <c r="AR10" s="372">
        <v>62</v>
      </c>
      <c r="AS10" s="368">
        <f t="shared" si="7"/>
        <v>46322</v>
      </c>
      <c r="AT10" s="368">
        <f t="shared" si="8"/>
        <v>46262</v>
      </c>
      <c r="AU10" s="377">
        <f t="shared" si="9"/>
        <v>46247</v>
      </c>
      <c r="AV10" s="368">
        <f t="shared" si="5"/>
        <v>46321</v>
      </c>
      <c r="AW10" s="368">
        <f t="shared" si="10"/>
        <v>46311</v>
      </c>
      <c r="AX10" s="378">
        <f t="shared" si="6"/>
        <v>42</v>
      </c>
      <c r="AY10" s="368">
        <v>46269</v>
      </c>
      <c r="AZ10" s="362" t="s">
        <v>435</v>
      </c>
      <c r="BA10" s="375" t="s">
        <v>436</v>
      </c>
      <c r="BB10" s="376"/>
      <c r="BE10" s="277"/>
      <c r="BF10" s="278"/>
    </row>
    <row r="11" spans="2:58" s="269" customFormat="1">
      <c r="B11" s="357" t="s">
        <v>419</v>
      </c>
      <c r="C11" s="357" t="s">
        <v>441</v>
      </c>
      <c r="D11" s="357" t="s">
        <v>421</v>
      </c>
      <c r="E11" s="357"/>
      <c r="F11" s="357" t="s">
        <v>422</v>
      </c>
      <c r="G11" s="357"/>
      <c r="H11" s="358">
        <v>7</v>
      </c>
      <c r="I11" s="271" t="s">
        <v>442</v>
      </c>
      <c r="J11" s="359">
        <v>18</v>
      </c>
      <c r="K11" s="360">
        <f>L11-AB11</f>
        <v>13</v>
      </c>
      <c r="L11" s="361">
        <f>SUMIFS('[36]frm P6'!$J:$J,'[36]frm P6'!D:D,[36]Schedule!B11,'[36]frm P6'!E:E,[36]Schedule!C11,'[36]frm P6'!F:F,[36]Schedule!D11,'[36]frm P6'!G:G,[36]Schedule!$K$3,'[36]frm P6'!H:H,[36]Schedule!F11)</f>
        <v>46456</v>
      </c>
      <c r="M11" s="361">
        <f>SUMIFS('[36]frm P6'!$K:$K,'[36]frm P6'!D:D,[36]Schedule!B11,'[36]frm P6'!E:E,[36]Schedule!C11,'[36]frm P6'!F:F,[36]Schedule!D11,'[36]frm P6'!G:G,[36]Schedule!$K$3,'[36]frm P6'!H:H,[36]Schedule!F11)</f>
        <v>46466</v>
      </c>
      <c r="N11" s="362">
        <f t="shared" si="0"/>
        <v>11</v>
      </c>
      <c r="O11" s="273">
        <v>4</v>
      </c>
      <c r="P11" s="273">
        <v>20.09</v>
      </c>
      <c r="Q11" s="273" t="s">
        <v>443</v>
      </c>
      <c r="R11" s="363">
        <f>VLOOKUP(Q11,[37]导管架!N$2:Q$9,2,0)</f>
        <v>1.2794120795068</v>
      </c>
      <c r="S11" s="364">
        <f>VLOOKUP(Q11,[37]导管架!N$2:Q$9,3,0)</f>
        <v>2.44013540073164</v>
      </c>
      <c r="T11" s="365">
        <f>VLOOKUP(Q11,[37]导管架!N$2:Q$9,4,0)</f>
        <v>4.5668923345527404</v>
      </c>
      <c r="U11" s="366">
        <f t="shared" si="11"/>
        <v>20.4705932721088</v>
      </c>
      <c r="V11" s="366">
        <f t="shared" si="12"/>
        <v>429.46383052876899</v>
      </c>
      <c r="W11" s="367">
        <f t="shared" si="13"/>
        <v>146.140554705688</v>
      </c>
      <c r="X11" s="368" t="s">
        <v>424</v>
      </c>
      <c r="Y11" s="368" t="s">
        <v>424</v>
      </c>
      <c r="Z11" s="369" t="s">
        <v>424</v>
      </c>
      <c r="AA11" s="361">
        <f>SUMIFS('[36]frm P6'!$J:$J,'[36]frm P6'!D:D,[36]Schedule!B11,'[36]frm P6'!E:E,[36]Schedule!C11,'[36]frm P6'!F:F,[36]Schedule!D11,'[36]frm P6'!G:G,[36]Schedule!$Z$3,'[36]frm P6'!H:H,[36]Schedule!F11)</f>
        <v>46401</v>
      </c>
      <c r="AB11" s="361">
        <f>SUMIFS('[36]frm P6'!$K:$K,'[36]frm P6'!D:D,[36]Schedule!B11,'[36]frm P6'!E:E,[36]Schedule!C11,'[36]frm P6'!F:F,[36]Schedule!D11,'[36]frm P6'!G:G,[36]Schedule!$Z$3,'[36]frm P6'!H:H,[36]Schedule!F11)</f>
        <v>46443</v>
      </c>
      <c r="AC11" s="362">
        <f t="shared" si="2"/>
        <v>43</v>
      </c>
      <c r="AD11" s="274">
        <v>22</v>
      </c>
      <c r="AE11" s="273">
        <v>58.93</v>
      </c>
      <c r="AF11" s="273" t="s">
        <v>444</v>
      </c>
      <c r="AG11" s="370">
        <f>SUMIFS('[36]frm P6'!$J:$J,'[36]frm P6'!D:D,[36]Schedule!B11,'[36]frm P6'!E:E,[36]Schedule!C11,'[36]frm P6'!F:F,[36]Schedule!D11,'[36]frm P6'!G:G,[36]Schedule!$AF$3,'[36]frm P6'!H:H,[36]Schedule!F11)</f>
        <v>46360</v>
      </c>
      <c r="AH11" s="361">
        <f>SUMIFS('[36]frm P6'!$K:$K,'[36]frm P6'!D:D,[36]Schedule!B11,'[36]frm P6'!E:E,[36]Schedule!C11,'[36]frm P6'!F:F,[36]Schedule!D11,'[36]frm P6'!G:G,[36]Schedule!$AF$3,'[36]frm P6'!H:H,[36]Schedule!F11)</f>
        <v>46389</v>
      </c>
      <c r="AI11" s="362">
        <f t="shared" si="3"/>
        <v>30</v>
      </c>
      <c r="AJ11" s="273">
        <v>2</v>
      </c>
      <c r="AK11" s="273">
        <v>12.65</v>
      </c>
      <c r="AL11" s="371">
        <v>450</v>
      </c>
      <c r="AM11" s="361">
        <f>SUMIFS('[36]frm P6'!$J:$J,'[36]frm P6'!D:D,[36]Schedule!B11,'[36]frm P6'!E:E,[36]Schedule!C11,'[36]frm P6'!F:F,[36]Schedule!D11,'[36]frm P6'!G:G,[36]Schedule!$AL$3,'[36]frm P6'!H:H,[36]Schedule!F11)</f>
        <v>46331</v>
      </c>
      <c r="AN11" s="361">
        <f>SUMIFS('[36]frm P6'!$K:$K,'[36]frm P6'!D:D,[36]Schedule!B11,'[36]frm P6'!E:E,[36]Schedule!C11,'[36]frm P6'!F:F,[36]Schedule!D11,'[36]frm P6'!G:G,[36]Schedule!$AL$3,'[36]frm P6'!H:H,[36]Schedule!F11)</f>
        <v>46354</v>
      </c>
      <c r="AO11" s="362">
        <f t="shared" si="4"/>
        <v>24</v>
      </c>
      <c r="AP11" s="273">
        <v>7</v>
      </c>
      <c r="AQ11" s="273" t="s">
        <v>427</v>
      </c>
      <c r="AR11" s="372">
        <v>62</v>
      </c>
      <c r="AS11" s="368">
        <f t="shared" si="7"/>
        <v>46328</v>
      </c>
      <c r="AT11" s="368">
        <f t="shared" si="8"/>
        <v>46268</v>
      </c>
      <c r="AU11" s="377">
        <f t="shared" si="9"/>
        <v>46253</v>
      </c>
      <c r="AV11" s="368">
        <f t="shared" si="5"/>
        <v>46327</v>
      </c>
      <c r="AW11" s="368">
        <f t="shared" si="10"/>
        <v>46317</v>
      </c>
      <c r="AX11" s="378">
        <f t="shared" si="6"/>
        <v>43</v>
      </c>
      <c r="AY11" s="368">
        <v>46274</v>
      </c>
      <c r="AZ11" s="362" t="s">
        <v>429</v>
      </c>
      <c r="BA11" s="375" t="s">
        <v>430</v>
      </c>
      <c r="BB11" s="376"/>
      <c r="BE11" s="277"/>
      <c r="BF11" s="278"/>
    </row>
    <row r="12" spans="2:58" s="269" customFormat="1">
      <c r="B12" s="357" t="s">
        <v>419</v>
      </c>
      <c r="C12" s="357" t="s">
        <v>445</v>
      </c>
      <c r="D12" s="357" t="s">
        <v>421</v>
      </c>
      <c r="E12" s="357"/>
      <c r="F12" s="357" t="s">
        <v>422</v>
      </c>
      <c r="G12" s="357"/>
      <c r="H12" s="358">
        <v>8</v>
      </c>
      <c r="I12" s="271" t="s">
        <v>446</v>
      </c>
      <c r="J12" s="359">
        <v>2.75</v>
      </c>
      <c r="K12" s="360">
        <f t="shared" ref="K12:K18" si="14">L12-Y12</f>
        <v>0</v>
      </c>
      <c r="L12" s="361">
        <f>SUMIFS('[36]frm P6'!$J:$J,'[36]frm P6'!D:D,[36]Schedule!B12,'[36]frm P6'!E:E,[36]Schedule!C12,'[36]frm P6'!F:F,[36]Schedule!D12,'[36]frm P6'!G:G,[36]Schedule!$K$3,'[36]frm P6'!H:H,[36]Schedule!F12)</f>
        <v>46468</v>
      </c>
      <c r="M12" s="361">
        <f>SUMIFS('[36]frm P6'!$K:$K,'[36]frm P6'!D:D,[36]Schedule!B12,'[36]frm P6'!E:E,[36]Schedule!C12,'[36]frm P6'!F:F,[36]Schedule!D12,'[36]frm P6'!G:G,[36]Schedule!$K$3,'[36]frm P6'!H:H,[36]Schedule!F12)</f>
        <v>46471</v>
      </c>
      <c r="N12" s="362">
        <f t="shared" si="0"/>
        <v>4</v>
      </c>
      <c r="O12" s="273">
        <v>2</v>
      </c>
      <c r="P12" s="273">
        <v>10.23</v>
      </c>
      <c r="Q12" s="273">
        <v>550</v>
      </c>
      <c r="R12" s="363">
        <f>VLOOKUP(Q12,[37]导管架!N$2:Q$9,2,0)</f>
        <v>1.3143211000633901</v>
      </c>
      <c r="S12" s="364">
        <f>VLOOKUP(Q12,[37]导管架!N$2:Q$9,3,0)</f>
        <v>2.5063170855368502</v>
      </c>
      <c r="T12" s="365">
        <f>VLOOKUP(Q12,[37]导管架!N$2:Q$9,4,0)</f>
        <v>4.6771951425614198</v>
      </c>
      <c r="U12" s="366">
        <f t="shared" si="11"/>
        <v>31.543706401521501</v>
      </c>
      <c r="V12" s="366">
        <f t="shared" si="12"/>
        <v>40.101073368589603</v>
      </c>
      <c r="W12" s="367">
        <f t="shared" si="13"/>
        <v>74.835122280982702</v>
      </c>
      <c r="X12" s="361">
        <f>SUMIFS('[36]frm P6'!$J:$J,'[36]frm P6'!D:D,[36]Schedule!B12,'[36]frm P6'!E:E,[36]Schedule!C12,'[36]frm P6'!G:G,[36]Schedule!$W$3,'[36]frm P6'!H:H,[36]Schedule!F12)</f>
        <v>46451</v>
      </c>
      <c r="Y12" s="361">
        <f>SUMIFS('[36]frm P6'!$K:$K,'[36]frm P6'!D:D,[36]Schedule!B12,'[36]frm P6'!E:E,[36]Schedule!C12,'[36]frm P6'!G:G,[36]Schedule!$W$3,'[36]frm P6'!H:H,[36]Schedule!F12)</f>
        <v>46468</v>
      </c>
      <c r="Z12" s="369">
        <f t="shared" si="1"/>
        <v>18</v>
      </c>
      <c r="AA12" s="361">
        <f>SUMIFS('[36]frm P6'!$J:$J,'[36]frm P6'!D:D,[36]Schedule!B12,'[36]frm P6'!E:E,[36]Schedule!C12,'[36]frm P6'!F:F,[36]Schedule!D12,'[36]frm P6'!G:G,[36]Schedule!$Z$3,'[36]frm P6'!H:H,[36]Schedule!F12)</f>
        <v>46402</v>
      </c>
      <c r="AB12" s="361">
        <f>SUMIFS('[36]frm P6'!$K:$K,'[36]frm P6'!D:D,[36]Schedule!B12,'[36]frm P6'!E:E,[36]Schedule!C12,'[36]frm P6'!F:F,[36]Schedule!D12,'[36]frm P6'!G:G,[36]Schedule!$Z$3,'[36]frm P6'!H:H,[36]Schedule!F12)</f>
        <v>46419</v>
      </c>
      <c r="AC12" s="362">
        <f t="shared" si="2"/>
        <v>18</v>
      </c>
      <c r="AD12" s="274">
        <v>2</v>
      </c>
      <c r="AE12" s="273">
        <v>10.23</v>
      </c>
      <c r="AF12" s="273">
        <v>550</v>
      </c>
      <c r="AG12" s="370">
        <f>SUMIFS('[36]frm P6'!$J:$J,'[36]frm P6'!D:D,[36]Schedule!B12,'[36]frm P6'!E:E,[36]Schedule!C12,'[36]frm P6'!F:F,[36]Schedule!D12,'[36]frm P6'!G:G,[36]Schedule!$AF$3,'[36]frm P6'!H:H,[36]Schedule!F12)</f>
        <v>46373</v>
      </c>
      <c r="AH12" s="361">
        <f>SUMIFS('[36]frm P6'!$K:$K,'[36]frm P6'!D:D,[36]Schedule!B12,'[36]frm P6'!E:E,[36]Schedule!C12,'[36]frm P6'!F:F,[36]Schedule!D12,'[36]frm P6'!G:G,[36]Schedule!$AF$3,'[36]frm P6'!H:H,[36]Schedule!F12)</f>
        <v>46395</v>
      </c>
      <c r="AI12" s="362">
        <f t="shared" si="3"/>
        <v>23</v>
      </c>
      <c r="AJ12" s="273">
        <v>3</v>
      </c>
      <c r="AK12" s="273">
        <v>15.34</v>
      </c>
      <c r="AL12" s="371">
        <v>550</v>
      </c>
      <c r="AM12" s="361">
        <f>SUMIFS('[36]frm P6'!$J:$J,'[36]frm P6'!D:D,[36]Schedule!B12,'[36]frm P6'!E:E,[36]Schedule!C12,'[36]frm P6'!F:F,[36]Schedule!D12,'[36]frm P6'!G:G,[36]Schedule!$AL$3,'[36]frm P6'!H:H,[36]Schedule!F12)</f>
        <v>46339</v>
      </c>
      <c r="AN12" s="361">
        <f>SUMIFS('[36]frm P6'!$K:$K,'[36]frm P6'!D:D,[36]Schedule!B12,'[36]frm P6'!E:E,[36]Schedule!C12,'[36]frm P6'!F:F,[36]Schedule!D12,'[36]frm P6'!G:G,[36]Schedule!$AL$3,'[36]frm P6'!H:H,[36]Schedule!F12)</f>
        <v>46365</v>
      </c>
      <c r="AO12" s="362">
        <f t="shared" si="4"/>
        <v>27</v>
      </c>
      <c r="AP12" s="273">
        <v>6</v>
      </c>
      <c r="AQ12" s="273">
        <v>550</v>
      </c>
      <c r="AR12" s="372">
        <v>62</v>
      </c>
      <c r="AS12" s="368">
        <f t="shared" si="7"/>
        <v>46336</v>
      </c>
      <c r="AT12" s="368">
        <f t="shared" si="8"/>
        <v>46276</v>
      </c>
      <c r="AU12" s="377">
        <f t="shared" si="9"/>
        <v>46261</v>
      </c>
      <c r="AV12" s="368">
        <f t="shared" si="5"/>
        <v>46335</v>
      </c>
      <c r="AW12" s="368">
        <f t="shared" si="10"/>
        <v>46325</v>
      </c>
      <c r="AX12" s="378">
        <f t="shared" si="6"/>
        <v>56</v>
      </c>
      <c r="AY12" s="368">
        <v>46269</v>
      </c>
      <c r="AZ12" s="362" t="s">
        <v>435</v>
      </c>
      <c r="BA12" s="375" t="s">
        <v>436</v>
      </c>
      <c r="BB12" s="376"/>
      <c r="BE12" s="277"/>
      <c r="BF12" s="278"/>
    </row>
    <row r="13" spans="2:58" s="269" customFormat="1">
      <c r="B13" s="357" t="s">
        <v>419</v>
      </c>
      <c r="C13" s="357" t="s">
        <v>447</v>
      </c>
      <c r="D13" s="357" t="s">
        <v>421</v>
      </c>
      <c r="E13" s="357"/>
      <c r="F13" s="357" t="s">
        <v>422</v>
      </c>
      <c r="G13" s="357"/>
      <c r="H13" s="358">
        <v>9</v>
      </c>
      <c r="I13" s="271" t="s">
        <v>448</v>
      </c>
      <c r="J13" s="359">
        <v>2.75</v>
      </c>
      <c r="K13" s="360">
        <f t="shared" si="14"/>
        <v>0</v>
      </c>
      <c r="L13" s="361">
        <f>SUMIFS('[36]frm P6'!$J:$J,'[36]frm P6'!D:D,[36]Schedule!B13,'[36]frm P6'!E:E,[36]Schedule!C13,'[36]frm P6'!F:F,[36]Schedule!D13,'[36]frm P6'!G:G,[36]Schedule!$K$3,'[36]frm P6'!H:H,[36]Schedule!F13)</f>
        <v>46471</v>
      </c>
      <c r="M13" s="361">
        <f>SUMIFS('[36]frm P6'!$K:$K,'[36]frm P6'!D:D,[36]Schedule!B13,'[36]frm P6'!E:E,[36]Schedule!C13,'[36]frm P6'!F:F,[36]Schedule!D13,'[36]frm P6'!G:G,[36]Schedule!$K$3,'[36]frm P6'!H:H,[36]Schedule!F13)</f>
        <v>46476</v>
      </c>
      <c r="N13" s="362">
        <f t="shared" si="0"/>
        <v>6</v>
      </c>
      <c r="O13" s="273">
        <v>2</v>
      </c>
      <c r="P13" s="273">
        <v>10.23</v>
      </c>
      <c r="Q13" s="273">
        <v>550</v>
      </c>
      <c r="R13" s="363">
        <f>VLOOKUP(Q13,[37]导管架!N$2:Q$9,2,0)</f>
        <v>1.3143211000633901</v>
      </c>
      <c r="S13" s="364">
        <f>VLOOKUP(Q13,[37]导管架!N$2:Q$9,3,0)</f>
        <v>2.5063170855368502</v>
      </c>
      <c r="T13" s="365">
        <f>VLOOKUP(Q13,[37]导管架!N$2:Q$9,4,0)</f>
        <v>4.6771951425614198</v>
      </c>
      <c r="U13" s="366">
        <f t="shared" si="11"/>
        <v>31.543706401521501</v>
      </c>
      <c r="V13" s="366">
        <f t="shared" si="12"/>
        <v>40.101073368589603</v>
      </c>
      <c r="W13" s="367">
        <f t="shared" si="13"/>
        <v>74.835122280982702</v>
      </c>
      <c r="X13" s="361">
        <f>SUMIFS('[36]frm P6'!$J:$J,'[36]frm P6'!D:D,[36]Schedule!B13,'[36]frm P6'!E:E,[36]Schedule!C13,'[36]frm P6'!G:G,[36]Schedule!$W$3,'[36]frm P6'!H:H,[36]Schedule!F13)</f>
        <v>46455</v>
      </c>
      <c r="Y13" s="361">
        <f>SUMIFS('[36]frm P6'!$K:$K,'[36]frm P6'!D:D,[36]Schedule!B13,'[36]frm P6'!E:E,[36]Schedule!C13,'[36]frm P6'!G:G,[36]Schedule!$W$3,'[36]frm P6'!H:H,[36]Schedule!F13)</f>
        <v>46471</v>
      </c>
      <c r="Z13" s="369">
        <f t="shared" si="1"/>
        <v>17</v>
      </c>
      <c r="AA13" s="361">
        <f>SUMIFS('[36]frm P6'!$J:$J,'[36]frm P6'!D:D,[36]Schedule!B13,'[36]frm P6'!E:E,[36]Schedule!C13,'[36]frm P6'!F:F,[36]Schedule!D13,'[36]frm P6'!G:G,[36]Schedule!$Z$3,'[36]frm P6'!H:H,[36]Schedule!F13)</f>
        <v>46409</v>
      </c>
      <c r="AB13" s="361">
        <f>SUMIFS('[36]frm P6'!$K:$K,'[36]frm P6'!D:D,[36]Schedule!B13,'[36]frm P6'!E:E,[36]Schedule!C13,'[36]frm P6'!F:F,[36]Schedule!D13,'[36]frm P6'!G:G,[36]Schedule!$Z$3,'[36]frm P6'!H:H,[36]Schedule!F13)</f>
        <v>46437</v>
      </c>
      <c r="AC13" s="362">
        <f t="shared" si="2"/>
        <v>29</v>
      </c>
      <c r="AD13" s="274">
        <v>2</v>
      </c>
      <c r="AE13" s="273">
        <v>10.23</v>
      </c>
      <c r="AF13" s="273">
        <v>550</v>
      </c>
      <c r="AG13" s="370">
        <f>SUMIFS('[36]frm P6'!$J:$J,'[36]frm P6'!D:D,[36]Schedule!B13,'[36]frm P6'!E:E,[36]Schedule!C13,'[36]frm P6'!F:F,[36]Schedule!D13,'[36]frm P6'!G:G,[36]Schedule!$AF$3,'[36]frm P6'!H:H,[36]Schedule!F13)</f>
        <v>46381</v>
      </c>
      <c r="AH13" s="361">
        <f>SUMIFS('[36]frm P6'!$K:$K,'[36]frm P6'!D:D,[36]Schedule!B13,'[36]frm P6'!E:E,[36]Schedule!C13,'[36]frm P6'!F:F,[36]Schedule!D13,'[36]frm P6'!G:G,[36]Schedule!$AF$3,'[36]frm P6'!H:H,[36]Schedule!F13)</f>
        <v>46403</v>
      </c>
      <c r="AI13" s="362">
        <f t="shared" si="3"/>
        <v>23</v>
      </c>
      <c r="AJ13" s="273">
        <v>3</v>
      </c>
      <c r="AK13" s="273">
        <v>15.34</v>
      </c>
      <c r="AL13" s="371">
        <v>550</v>
      </c>
      <c r="AM13" s="361">
        <f>SUMIFS('[36]frm P6'!$J:$J,'[36]frm P6'!D:D,[36]Schedule!B13,'[36]frm P6'!E:E,[36]Schedule!C13,'[36]frm P6'!F:F,[36]Schedule!D13,'[36]frm P6'!G:G,[36]Schedule!$AL$3,'[36]frm P6'!H:H,[36]Schedule!F13)</f>
        <v>46347</v>
      </c>
      <c r="AN13" s="361">
        <f>SUMIFS('[36]frm P6'!$K:$K,'[36]frm P6'!D:D,[36]Schedule!B13,'[36]frm P6'!E:E,[36]Schedule!C13,'[36]frm P6'!F:F,[36]Schedule!D13,'[36]frm P6'!G:G,[36]Schedule!$AL$3,'[36]frm P6'!H:H,[36]Schedule!F13)</f>
        <v>46373</v>
      </c>
      <c r="AO13" s="362">
        <f t="shared" si="4"/>
        <v>27</v>
      </c>
      <c r="AP13" s="273">
        <v>6</v>
      </c>
      <c r="AQ13" s="273">
        <v>550</v>
      </c>
      <c r="AR13" s="372">
        <v>62</v>
      </c>
      <c r="AS13" s="368">
        <f t="shared" si="7"/>
        <v>46344</v>
      </c>
      <c r="AT13" s="368">
        <f t="shared" si="8"/>
        <v>46284</v>
      </c>
      <c r="AU13" s="377">
        <f t="shared" si="9"/>
        <v>46269</v>
      </c>
      <c r="AV13" s="368">
        <f t="shared" si="5"/>
        <v>46343</v>
      </c>
      <c r="AW13" s="368">
        <f t="shared" si="10"/>
        <v>46333</v>
      </c>
      <c r="AX13" s="378">
        <f t="shared" si="6"/>
        <v>64</v>
      </c>
      <c r="AY13" s="368">
        <v>46269</v>
      </c>
      <c r="AZ13" s="362" t="s">
        <v>435</v>
      </c>
      <c r="BA13" s="375" t="s">
        <v>436</v>
      </c>
      <c r="BB13" s="376"/>
      <c r="BE13" s="277"/>
      <c r="BF13" s="278"/>
    </row>
    <row r="14" spans="2:58" s="269" customFormat="1">
      <c r="B14" s="357" t="s">
        <v>419</v>
      </c>
      <c r="C14" s="357" t="s">
        <v>449</v>
      </c>
      <c r="D14" s="357" t="s">
        <v>421</v>
      </c>
      <c r="E14" s="357"/>
      <c r="F14" s="357" t="s">
        <v>422</v>
      </c>
      <c r="G14" s="357"/>
      <c r="H14" s="358">
        <v>10</v>
      </c>
      <c r="I14" s="271" t="s">
        <v>450</v>
      </c>
      <c r="J14" s="359">
        <v>15</v>
      </c>
      <c r="K14" s="360">
        <f t="shared" si="14"/>
        <v>7</v>
      </c>
      <c r="L14" s="361">
        <f>SUMIFS('[36]frm P6'!$J:$J,'[36]frm P6'!D:D,[36]Schedule!B14,'[36]frm P6'!E:E,[36]Schedule!C14,'[36]frm P6'!F:F,[36]Schedule!D14,'[36]frm P6'!G:G,[36]Schedule!$K$3,'[36]frm P6'!H:H,[36]Schedule!F14)</f>
        <v>46476</v>
      </c>
      <c r="M14" s="361">
        <f>SUMIFS('[36]frm P6'!$K:$K,'[36]frm P6'!D:D,[36]Schedule!B14,'[36]frm P6'!E:E,[36]Schedule!C14,'[36]frm P6'!F:F,[36]Schedule!D14,'[36]frm P6'!G:G,[36]Schedule!$K$3,'[36]frm P6'!H:H,[36]Schedule!F14)</f>
        <v>46486</v>
      </c>
      <c r="N14" s="362">
        <f t="shared" si="0"/>
        <v>11</v>
      </c>
      <c r="O14" s="273">
        <v>4</v>
      </c>
      <c r="P14" s="273">
        <v>31.04</v>
      </c>
      <c r="Q14" s="273" t="s">
        <v>427</v>
      </c>
      <c r="R14" s="363">
        <f>VLOOKUP(Q14,[37]导管架!N$2:Q$9,2,0)</f>
        <v>1.2968665897850999</v>
      </c>
      <c r="S14" s="364">
        <f>VLOOKUP(Q14,[37]导管架!N$2:Q$9,3,0)</f>
        <v>2.47322624313425</v>
      </c>
      <c r="T14" s="365">
        <f>VLOOKUP(Q14,[37]导管架!N$2:Q$9,4,0)</f>
        <v>4.6220437385570801</v>
      </c>
      <c r="U14" s="366">
        <f t="shared" si="11"/>
        <v>41.499730873123099</v>
      </c>
      <c r="V14" s="366">
        <f t="shared" si="12"/>
        <v>435.28781879162801</v>
      </c>
      <c r="W14" s="367">
        <f t="shared" si="13"/>
        <v>147.90539963382699</v>
      </c>
      <c r="X14" s="361">
        <f>SUMIFS('[36]frm P6'!$J:$J,'[36]frm P6'!D:D,[36]Schedule!B14,'[36]frm P6'!E:E,[36]Schedule!C14,'[36]frm P6'!G:G,[36]Schedule!$W$3,'[36]frm P6'!H:H,[36]Schedule!F14)</f>
        <v>46452</v>
      </c>
      <c r="Y14" s="361">
        <f>SUMIFS('[36]frm P6'!$K:$K,'[36]frm P6'!D:D,[36]Schedule!B14,'[36]frm P6'!E:E,[36]Schedule!C14,'[36]frm P6'!G:G,[36]Schedule!$W$3,'[36]frm P6'!H:H,[36]Schedule!F14)</f>
        <v>46469</v>
      </c>
      <c r="Z14" s="369">
        <f t="shared" si="1"/>
        <v>18</v>
      </c>
      <c r="AA14" s="361">
        <f>SUMIFS('[36]frm P6'!$J:$J,'[36]frm P6'!D:D,[36]Schedule!B14,'[36]frm P6'!E:E,[36]Schedule!C14,'[36]frm P6'!F:F,[36]Schedule!D14,'[36]frm P6'!G:G,[36]Schedule!$Z$3,'[36]frm P6'!H:H,[36]Schedule!F14)</f>
        <v>46406</v>
      </c>
      <c r="AB14" s="361">
        <f>SUMIFS('[36]frm P6'!$K:$K,'[36]frm P6'!D:D,[36]Schedule!B14,'[36]frm P6'!E:E,[36]Schedule!C14,'[36]frm P6'!F:F,[36]Schedule!D14,'[36]frm P6'!G:G,[36]Schedule!$Z$3,'[36]frm P6'!H:H,[36]Schedule!F14)</f>
        <v>46448</v>
      </c>
      <c r="AC14" s="362">
        <f t="shared" si="2"/>
        <v>43</v>
      </c>
      <c r="AD14" s="274">
        <v>22</v>
      </c>
      <c r="AE14" s="273">
        <v>70.12</v>
      </c>
      <c r="AF14" s="273" t="s">
        <v>444</v>
      </c>
      <c r="AG14" s="370">
        <f>SUMIFS('[36]frm P6'!$J:$J,'[36]frm P6'!D:D,[36]Schedule!B14,'[36]frm P6'!E:E,[36]Schedule!C14,'[36]frm P6'!F:F,[36]Schedule!D14,'[36]frm P6'!G:G,[36]Schedule!$AF$3,'[36]frm P6'!H:H,[36]Schedule!F14)</f>
        <v>46365</v>
      </c>
      <c r="AH14" s="361">
        <f>SUMIFS('[36]frm P6'!$K:$K,'[36]frm P6'!D:D,[36]Schedule!B14,'[36]frm P6'!E:E,[36]Schedule!C14,'[36]frm P6'!F:F,[36]Schedule!D14,'[36]frm P6'!G:G,[36]Schedule!$AF$3,'[36]frm P6'!H:H,[36]Schedule!F14)</f>
        <v>46394</v>
      </c>
      <c r="AI14" s="362">
        <f t="shared" si="3"/>
        <v>30</v>
      </c>
      <c r="AJ14" s="273">
        <v>4</v>
      </c>
      <c r="AK14" s="273">
        <v>31.04</v>
      </c>
      <c r="AL14" s="371" t="s">
        <v>427</v>
      </c>
      <c r="AM14" s="361">
        <f>SUMIFS('[36]frm P6'!$J:$J,'[36]frm P6'!D:D,[36]Schedule!B14,'[36]frm P6'!E:E,[36]Schedule!C14,'[36]frm P6'!F:F,[36]Schedule!D14,'[36]frm P6'!G:G,[36]Schedule!$AL$3,'[36]frm P6'!H:H,[36]Schedule!F14)</f>
        <v>46339</v>
      </c>
      <c r="AN14" s="361">
        <f>SUMIFS('[36]frm P6'!$K:$K,'[36]frm P6'!D:D,[36]Schedule!B14,'[36]frm P6'!E:E,[36]Schedule!C14,'[36]frm P6'!F:F,[36]Schedule!D14,'[36]frm P6'!G:G,[36]Schedule!$AL$3,'[36]frm P6'!H:H,[36]Schedule!F14)</f>
        <v>46365</v>
      </c>
      <c r="AO14" s="362">
        <f t="shared" si="4"/>
        <v>27</v>
      </c>
      <c r="AP14" s="273">
        <v>9</v>
      </c>
      <c r="AQ14" s="273" t="s">
        <v>427</v>
      </c>
      <c r="AR14" s="372">
        <v>62</v>
      </c>
      <c r="AS14" s="368">
        <f t="shared" si="7"/>
        <v>46336</v>
      </c>
      <c r="AT14" s="368">
        <f t="shared" si="8"/>
        <v>46276</v>
      </c>
      <c r="AU14" s="377">
        <f t="shared" si="9"/>
        <v>46261</v>
      </c>
      <c r="AV14" s="368">
        <f t="shared" si="5"/>
        <v>46335</v>
      </c>
      <c r="AW14" s="368">
        <f t="shared" si="10"/>
        <v>46325</v>
      </c>
      <c r="AX14" s="378">
        <f t="shared" si="6"/>
        <v>51</v>
      </c>
      <c r="AY14" s="368">
        <v>46274</v>
      </c>
      <c r="AZ14" s="362" t="s">
        <v>429</v>
      </c>
      <c r="BA14" s="375" t="s">
        <v>430</v>
      </c>
      <c r="BB14" s="376"/>
      <c r="BE14" s="277"/>
      <c r="BF14" s="278"/>
    </row>
    <row r="15" spans="2:58" s="269" customFormat="1">
      <c r="B15" s="357" t="s">
        <v>419</v>
      </c>
      <c r="C15" s="357" t="s">
        <v>451</v>
      </c>
      <c r="D15" s="357" t="s">
        <v>421</v>
      </c>
      <c r="E15" s="357"/>
      <c r="F15" s="357" t="s">
        <v>422</v>
      </c>
      <c r="G15" s="357"/>
      <c r="H15" s="358">
        <v>11</v>
      </c>
      <c r="I15" s="271" t="s">
        <v>452</v>
      </c>
      <c r="J15" s="359">
        <v>2</v>
      </c>
      <c r="K15" s="360">
        <f t="shared" si="14"/>
        <v>17</v>
      </c>
      <c r="L15" s="361">
        <f>SUMIFS('[36]frm P6'!$J:$J,'[36]frm P6'!D:D,[36]Schedule!B15,'[36]frm P6'!E:E,[36]Schedule!C15,'[36]frm P6'!F:F,[36]Schedule!D15,'[36]frm P6'!G:G,[36]Schedule!$K$3,'[36]frm P6'!H:H,[36]Schedule!F15)</f>
        <v>46486</v>
      </c>
      <c r="M15" s="361">
        <f>SUMIFS('[36]frm P6'!$K:$K,'[36]frm P6'!D:D,[36]Schedule!B15,'[36]frm P6'!E:E,[36]Schedule!C15,'[36]frm P6'!F:F,[36]Schedule!D15,'[36]frm P6'!G:G,[36]Schedule!$K$3,'[36]frm P6'!H:H,[36]Schedule!F15)</f>
        <v>46490</v>
      </c>
      <c r="N15" s="362">
        <f t="shared" si="0"/>
        <v>5</v>
      </c>
      <c r="O15" s="273">
        <v>2</v>
      </c>
      <c r="P15" s="273">
        <v>7.33</v>
      </c>
      <c r="Q15" s="273">
        <v>550</v>
      </c>
      <c r="R15" s="363">
        <f>VLOOKUP(Q15,[37]导管架!N$2:Q$9,2,0)</f>
        <v>1.3143211000633901</v>
      </c>
      <c r="S15" s="364">
        <f>VLOOKUP(Q15,[37]导管架!N$2:Q$9,3,0)</f>
        <v>2.5063170855368502</v>
      </c>
      <c r="T15" s="365">
        <f>VLOOKUP(Q15,[37]导管架!N$2:Q$9,4,0)</f>
        <v>4.6771951425614198</v>
      </c>
      <c r="U15" s="366">
        <f t="shared" si="11"/>
        <v>21.029137601014298</v>
      </c>
      <c r="V15" s="366">
        <f t="shared" si="12"/>
        <v>40.101073368589603</v>
      </c>
      <c r="W15" s="367">
        <f t="shared" si="13"/>
        <v>74.835122280982702</v>
      </c>
      <c r="X15" s="361">
        <f>SUMIFS('[36]frm P6'!$J:$J,'[36]frm P6'!D:D,[36]Schedule!B15,'[36]frm P6'!E:E,[36]Schedule!C15,'[36]frm P6'!G:G,[36]Schedule!$W$3,'[36]frm P6'!H:H,[36]Schedule!F15)</f>
        <v>46452</v>
      </c>
      <c r="Y15" s="361">
        <f>SUMIFS('[36]frm P6'!$K:$K,'[36]frm P6'!D:D,[36]Schedule!B15,'[36]frm P6'!E:E,[36]Schedule!C15,'[36]frm P6'!G:G,[36]Schedule!$W$3,'[36]frm P6'!H:H,[36]Schedule!F15)</f>
        <v>46469</v>
      </c>
      <c r="Z15" s="369">
        <f t="shared" si="1"/>
        <v>18</v>
      </c>
      <c r="AA15" s="361">
        <f>SUMIFS('[36]frm P6'!$J:$J,'[36]frm P6'!D:D,[36]Schedule!B15,'[36]frm P6'!E:E,[36]Schedule!C15,'[36]frm P6'!F:F,[36]Schedule!D15,'[36]frm P6'!G:G,[36]Schedule!$Z$3,'[36]frm P6'!H:H,[36]Schedule!F15)</f>
        <v>46419</v>
      </c>
      <c r="AB15" s="361">
        <f>SUMIFS('[36]frm P6'!$K:$K,'[36]frm P6'!D:D,[36]Schedule!B15,'[36]frm P6'!E:E,[36]Schedule!C15,'[36]frm P6'!F:F,[36]Schedule!D15,'[36]frm P6'!G:G,[36]Schedule!$Z$3,'[36]frm P6'!H:H,[36]Schedule!F15)</f>
        <v>46444</v>
      </c>
      <c r="AC15" s="362">
        <f t="shared" si="2"/>
        <v>26</v>
      </c>
      <c r="AD15" s="274">
        <v>2</v>
      </c>
      <c r="AE15" s="273">
        <v>7.33</v>
      </c>
      <c r="AF15" s="273">
        <v>550</v>
      </c>
      <c r="AG15" s="370">
        <f>SUMIFS('[36]frm P6'!$J:$J,'[36]frm P6'!D:D,[36]Schedule!B15,'[36]frm P6'!E:E,[36]Schedule!C15,'[36]frm P6'!F:F,[36]Schedule!D15,'[36]frm P6'!G:G,[36]Schedule!$AF$3,'[36]frm P6'!H:H,[36]Schedule!F15)</f>
        <v>46385</v>
      </c>
      <c r="AH15" s="361">
        <f>SUMIFS('[36]frm P6'!$K:$K,'[36]frm P6'!D:D,[36]Schedule!B15,'[36]frm P6'!E:E,[36]Schedule!C15,'[36]frm P6'!F:F,[36]Schedule!D15,'[36]frm P6'!G:G,[36]Schedule!$AF$3,'[36]frm P6'!H:H,[36]Schedule!F15)</f>
        <v>46407</v>
      </c>
      <c r="AI15" s="362">
        <f t="shared" si="3"/>
        <v>23</v>
      </c>
      <c r="AJ15" s="273">
        <v>2</v>
      </c>
      <c r="AK15" s="273">
        <v>7.33</v>
      </c>
      <c r="AL15" s="371">
        <v>550</v>
      </c>
      <c r="AM15" s="361">
        <f>SUMIFS('[36]frm P6'!$J:$J,'[36]frm P6'!D:D,[36]Schedule!B15,'[36]frm P6'!E:E,[36]Schedule!C15,'[36]frm P6'!F:F,[36]Schedule!D15,'[36]frm P6'!G:G,[36]Schedule!$AL$3,'[36]frm P6'!H:H,[36]Schedule!F15)</f>
        <v>46347</v>
      </c>
      <c r="AN15" s="361">
        <f>SUMIFS('[36]frm P6'!$K:$K,'[36]frm P6'!D:D,[36]Schedule!B15,'[36]frm P6'!E:E,[36]Schedule!C15,'[36]frm P6'!F:F,[36]Schedule!D15,'[36]frm P6'!G:G,[36]Schedule!$AL$3,'[36]frm P6'!H:H,[36]Schedule!F15)</f>
        <v>46377</v>
      </c>
      <c r="AO15" s="362">
        <f t="shared" si="4"/>
        <v>31</v>
      </c>
      <c r="AP15" s="273">
        <v>5</v>
      </c>
      <c r="AQ15" s="273">
        <v>550</v>
      </c>
      <c r="AR15" s="372">
        <v>62</v>
      </c>
      <c r="AS15" s="368">
        <f t="shared" si="7"/>
        <v>46344</v>
      </c>
      <c r="AT15" s="368">
        <f t="shared" si="8"/>
        <v>46284</v>
      </c>
      <c r="AU15" s="377">
        <f t="shared" si="9"/>
        <v>46269</v>
      </c>
      <c r="AV15" s="368">
        <f t="shared" si="5"/>
        <v>46343</v>
      </c>
      <c r="AW15" s="368">
        <f t="shared" si="10"/>
        <v>46333</v>
      </c>
      <c r="AX15" s="378">
        <f t="shared" si="6"/>
        <v>64</v>
      </c>
      <c r="AY15" s="368">
        <v>46269</v>
      </c>
      <c r="AZ15" s="362" t="s">
        <v>435</v>
      </c>
      <c r="BA15" s="375" t="s">
        <v>436</v>
      </c>
      <c r="BB15" s="376"/>
      <c r="BE15" s="277"/>
      <c r="BF15" s="278"/>
    </row>
    <row r="16" spans="2:58" s="269" customFormat="1">
      <c r="B16" s="357" t="s">
        <v>419</v>
      </c>
      <c r="C16" s="357" t="s">
        <v>453</v>
      </c>
      <c r="D16" s="357" t="s">
        <v>421</v>
      </c>
      <c r="E16" s="357"/>
      <c r="F16" s="357" t="s">
        <v>422</v>
      </c>
      <c r="G16" s="357"/>
      <c r="H16" s="358">
        <v>12</v>
      </c>
      <c r="I16" s="271" t="s">
        <v>454</v>
      </c>
      <c r="J16" s="359">
        <v>2</v>
      </c>
      <c r="K16" s="360">
        <f t="shared" si="14"/>
        <v>6</v>
      </c>
      <c r="L16" s="361">
        <f>SUMIFS('[36]frm P6'!$J:$J,'[36]frm P6'!D:D,[36]Schedule!B16,'[36]frm P6'!E:E,[36]Schedule!C16,'[36]frm P6'!F:F,[36]Schedule!D16,'[36]frm P6'!G:G,[36]Schedule!$K$3,'[36]frm P6'!H:H,[36]Schedule!F16)</f>
        <v>46490</v>
      </c>
      <c r="M16" s="361">
        <f>SUMIFS('[36]frm P6'!$K:$K,'[36]frm P6'!D:D,[36]Schedule!B16,'[36]frm P6'!E:E,[36]Schedule!C16,'[36]frm P6'!F:F,[36]Schedule!D16,'[36]frm P6'!G:G,[36]Schedule!$K$3,'[36]frm P6'!H:H,[36]Schedule!F16)</f>
        <v>46494</v>
      </c>
      <c r="N16" s="362">
        <f t="shared" si="0"/>
        <v>5</v>
      </c>
      <c r="O16" s="273">
        <v>2</v>
      </c>
      <c r="P16" s="273">
        <v>7.33</v>
      </c>
      <c r="Q16" s="273">
        <v>550</v>
      </c>
      <c r="R16" s="363">
        <f>VLOOKUP(Q16,[37]导管架!N$2:Q$9,2,0)</f>
        <v>1.3143211000633901</v>
      </c>
      <c r="S16" s="364">
        <f>VLOOKUP(Q16,[37]导管架!N$2:Q$9,3,0)</f>
        <v>2.5063170855368502</v>
      </c>
      <c r="T16" s="365">
        <f>VLOOKUP(Q16,[37]导管架!N$2:Q$9,4,0)</f>
        <v>4.6771951425614198</v>
      </c>
      <c r="U16" s="366">
        <f t="shared" si="11"/>
        <v>21.029137601014298</v>
      </c>
      <c r="V16" s="366">
        <f t="shared" si="12"/>
        <v>40.101073368589603</v>
      </c>
      <c r="W16" s="367">
        <f t="shared" si="13"/>
        <v>74.835122280982702</v>
      </c>
      <c r="X16" s="361">
        <f>SUMIFS('[36]frm P6'!$J:$J,'[36]frm P6'!D:D,[36]Schedule!B16,'[36]frm P6'!E:E,[36]Schedule!C16,'[36]frm P6'!G:G,[36]Schedule!$W$3,'[36]frm P6'!H:H,[36]Schedule!F16)</f>
        <v>46466</v>
      </c>
      <c r="Y16" s="361">
        <f>SUMIFS('[36]frm P6'!$K:$K,'[36]frm P6'!D:D,[36]Schedule!B16,'[36]frm P6'!E:E,[36]Schedule!C16,'[36]frm P6'!G:G,[36]Schedule!$W$3,'[36]frm P6'!H:H,[36]Schedule!F16)</f>
        <v>46484</v>
      </c>
      <c r="Z16" s="369">
        <f t="shared" si="1"/>
        <v>19</v>
      </c>
      <c r="AA16" s="361">
        <f>SUMIFS('[36]frm P6'!$J:$J,'[36]frm P6'!D:D,[36]Schedule!B16,'[36]frm P6'!E:E,[36]Schedule!C16,'[36]frm P6'!F:F,[36]Schedule!D16,'[36]frm P6'!G:G,[36]Schedule!$Z$3,'[36]frm P6'!H:H,[36]Schedule!F16)</f>
        <v>46437</v>
      </c>
      <c r="AB16" s="361">
        <f>SUMIFS('[36]frm P6'!$K:$K,'[36]frm P6'!D:D,[36]Schedule!B16,'[36]frm P6'!E:E,[36]Schedule!C16,'[36]frm P6'!F:F,[36]Schedule!D16,'[36]frm P6'!G:G,[36]Schedule!$Z$3,'[36]frm P6'!H:H,[36]Schedule!F16)</f>
        <v>46458</v>
      </c>
      <c r="AC16" s="362">
        <f t="shared" si="2"/>
        <v>22</v>
      </c>
      <c r="AD16" s="274">
        <v>2</v>
      </c>
      <c r="AE16" s="273">
        <v>7.33</v>
      </c>
      <c r="AF16" s="273">
        <v>550</v>
      </c>
      <c r="AG16" s="370">
        <f>SUMIFS('[36]frm P6'!$J:$J,'[36]frm P6'!D:D,[36]Schedule!B16,'[36]frm P6'!E:E,[36]Schedule!C16,'[36]frm P6'!F:F,[36]Schedule!D16,'[36]frm P6'!G:G,[36]Schedule!$AF$3,'[36]frm P6'!H:H,[36]Schedule!F16)</f>
        <v>46399</v>
      </c>
      <c r="AH16" s="361">
        <f>SUMIFS('[36]frm P6'!$K:$K,'[36]frm P6'!D:D,[36]Schedule!B16,'[36]frm P6'!E:E,[36]Schedule!C16,'[36]frm P6'!F:F,[36]Schedule!D16,'[36]frm P6'!G:G,[36]Schedule!$AF$3,'[36]frm P6'!H:H,[36]Schedule!F16)</f>
        <v>46422</v>
      </c>
      <c r="AI16" s="362">
        <f t="shared" si="3"/>
        <v>24</v>
      </c>
      <c r="AJ16" s="273">
        <v>2</v>
      </c>
      <c r="AK16" s="273">
        <v>7.33</v>
      </c>
      <c r="AL16" s="371">
        <v>550</v>
      </c>
      <c r="AM16" s="361">
        <f>SUMIFS('[36]frm P6'!$J:$J,'[36]frm P6'!D:D,[36]Schedule!B16,'[36]frm P6'!E:E,[36]Schedule!C16,'[36]frm P6'!F:F,[36]Schedule!D16,'[36]frm P6'!G:G,[36]Schedule!$AL$3,'[36]frm P6'!H:H,[36]Schedule!F16)</f>
        <v>46356</v>
      </c>
      <c r="AN16" s="361">
        <f>SUMIFS('[36]frm P6'!$K:$K,'[36]frm P6'!D:D,[36]Schedule!B16,'[36]frm P6'!E:E,[36]Schedule!C16,'[36]frm P6'!F:F,[36]Schedule!D16,'[36]frm P6'!G:G,[36]Schedule!$AL$3,'[36]frm P6'!H:H,[36]Schedule!F16)</f>
        <v>46385</v>
      </c>
      <c r="AO16" s="362">
        <f t="shared" si="4"/>
        <v>30</v>
      </c>
      <c r="AP16" s="273">
        <v>5</v>
      </c>
      <c r="AQ16" s="273">
        <v>550</v>
      </c>
      <c r="AR16" s="372">
        <v>62</v>
      </c>
      <c r="AS16" s="368">
        <f t="shared" si="7"/>
        <v>46353</v>
      </c>
      <c r="AT16" s="368">
        <f t="shared" si="8"/>
        <v>46293</v>
      </c>
      <c r="AU16" s="377">
        <f t="shared" si="9"/>
        <v>46278</v>
      </c>
      <c r="AV16" s="368">
        <f t="shared" si="5"/>
        <v>46352</v>
      </c>
      <c r="AW16" s="368">
        <f t="shared" si="10"/>
        <v>46342</v>
      </c>
      <c r="AX16" s="378">
        <f t="shared" si="6"/>
        <v>73</v>
      </c>
      <c r="AY16" s="368">
        <v>46269</v>
      </c>
      <c r="AZ16" s="362" t="s">
        <v>435</v>
      </c>
      <c r="BA16" s="375" t="s">
        <v>436</v>
      </c>
      <c r="BB16" s="376"/>
      <c r="BE16" s="277"/>
      <c r="BF16" s="278"/>
    </row>
    <row r="17" spans="2:58" s="269" customFormat="1">
      <c r="B17" s="357" t="s">
        <v>419</v>
      </c>
      <c r="C17" s="357" t="s">
        <v>455</v>
      </c>
      <c r="D17" s="357" t="s">
        <v>421</v>
      </c>
      <c r="E17" s="357"/>
      <c r="F17" s="357" t="s">
        <v>422</v>
      </c>
      <c r="G17" s="357"/>
      <c r="H17" s="358">
        <v>13</v>
      </c>
      <c r="I17" s="271" t="s">
        <v>456</v>
      </c>
      <c r="J17" s="359">
        <v>14.7</v>
      </c>
      <c r="K17" s="360">
        <f t="shared" si="14"/>
        <v>9</v>
      </c>
      <c r="L17" s="361">
        <f>SUMIFS('[36]frm P6'!$J:$J,'[36]frm P6'!D:D,[36]Schedule!B17,'[36]frm P6'!E:E,[36]Schedule!C17,'[36]frm P6'!F:F,[36]Schedule!D17,'[36]frm P6'!G:G,[36]Schedule!$K$3,'[36]frm P6'!H:H,[36]Schedule!F17)</f>
        <v>46494</v>
      </c>
      <c r="M17" s="361">
        <f>SUMIFS('[36]frm P6'!$K:$K,'[36]frm P6'!D:D,[36]Schedule!B17,'[36]frm P6'!E:E,[36]Schedule!C17,'[36]frm P6'!F:F,[36]Schedule!D17,'[36]frm P6'!G:G,[36]Schedule!$K$3,'[36]frm P6'!H:H,[36]Schedule!F17)</f>
        <v>46504</v>
      </c>
      <c r="N17" s="362">
        <f t="shared" si="0"/>
        <v>11</v>
      </c>
      <c r="O17" s="273">
        <v>4</v>
      </c>
      <c r="P17" s="273">
        <v>17.690000000000001</v>
      </c>
      <c r="Q17" s="273" t="s">
        <v>428</v>
      </c>
      <c r="R17" s="363">
        <f>VLOOKUP(Q17,[37]导管架!N$2:Q$9,2,0)</f>
        <v>1.2968665897850999</v>
      </c>
      <c r="S17" s="364">
        <f>VLOOKUP(Q17,[37]导管架!N$2:Q$9,3,0)</f>
        <v>2.47322624313425</v>
      </c>
      <c r="T17" s="365">
        <f>VLOOKUP(Q17,[37]导管架!N$2:Q$9,4,0)</f>
        <v>4.6220437385570801</v>
      </c>
      <c r="U17" s="366">
        <f t="shared" si="11"/>
        <v>41.499730873123099</v>
      </c>
      <c r="V17" s="366">
        <f t="shared" si="12"/>
        <v>435.28781879162801</v>
      </c>
      <c r="W17" s="367">
        <f t="shared" si="13"/>
        <v>147.90539963382699</v>
      </c>
      <c r="X17" s="361">
        <f>SUMIFS('[36]frm P6'!$J:$J,'[36]frm P6'!D:D,[36]Schedule!B17,'[36]frm P6'!E:E,[36]Schedule!C17,'[36]frm P6'!G:G,[36]Schedule!$W$3,'[36]frm P6'!H:H,[36]Schedule!F17)</f>
        <v>46468</v>
      </c>
      <c r="Y17" s="361">
        <f>SUMIFS('[36]frm P6'!$K:$K,'[36]frm P6'!D:D,[36]Schedule!B17,'[36]frm P6'!E:E,[36]Schedule!C17,'[36]frm P6'!G:G,[36]Schedule!$W$3,'[36]frm P6'!H:H,[36]Schedule!F17)</f>
        <v>46485</v>
      </c>
      <c r="Z17" s="369">
        <f t="shared" si="1"/>
        <v>18</v>
      </c>
      <c r="AA17" s="361">
        <f>SUMIFS('[36]frm P6'!$J:$J,'[36]frm P6'!D:D,[36]Schedule!B17,'[36]frm P6'!E:E,[36]Schedule!C17,'[36]frm P6'!F:F,[36]Schedule!D17,'[36]frm P6'!G:G,[36]Schedule!$Z$3,'[36]frm P6'!H:H,[36]Schedule!F17)</f>
        <v>46421</v>
      </c>
      <c r="AB17" s="361">
        <f>SUMIFS('[36]frm P6'!$K:$K,'[36]frm P6'!D:D,[36]Schedule!B17,'[36]frm P6'!E:E,[36]Schedule!C17,'[36]frm P6'!F:F,[36]Schedule!D17,'[36]frm P6'!G:G,[36]Schedule!$Z$3,'[36]frm P6'!H:H,[36]Schedule!F17)</f>
        <v>46463</v>
      </c>
      <c r="AC17" s="362">
        <f t="shared" si="2"/>
        <v>43</v>
      </c>
      <c r="AD17" s="274">
        <v>22</v>
      </c>
      <c r="AE17" s="273">
        <v>54.67</v>
      </c>
      <c r="AF17" s="273" t="s">
        <v>457</v>
      </c>
      <c r="AG17" s="370">
        <f>SUMIFS('[36]frm P6'!$J:$J,'[36]frm P6'!D:D,[36]Schedule!B17,'[36]frm P6'!E:E,[36]Schedule!C17,'[36]frm P6'!F:F,[36]Schedule!D17,'[36]frm P6'!G:G,[36]Schedule!$AF$3,'[36]frm P6'!H:H,[36]Schedule!F17)</f>
        <v>46385</v>
      </c>
      <c r="AH17" s="361">
        <f>SUMIFS('[36]frm P6'!$K:$K,'[36]frm P6'!D:D,[36]Schedule!B17,'[36]frm P6'!E:E,[36]Schedule!C17,'[36]frm P6'!F:F,[36]Schedule!D17,'[36]frm P6'!G:G,[36]Schedule!$AF$3,'[36]frm P6'!H:H,[36]Schedule!F17)</f>
        <v>46414</v>
      </c>
      <c r="AI17" s="362">
        <f t="shared" si="3"/>
        <v>30</v>
      </c>
      <c r="AJ17" s="273">
        <v>4</v>
      </c>
      <c r="AK17" s="273">
        <v>17.690000000000001</v>
      </c>
      <c r="AL17" s="371" t="s">
        <v>428</v>
      </c>
      <c r="AM17" s="361">
        <f>SUMIFS('[36]frm P6'!$J:$J,'[36]frm P6'!D:D,[36]Schedule!B17,'[36]frm P6'!E:E,[36]Schedule!C17,'[36]frm P6'!F:F,[36]Schedule!D17,'[36]frm P6'!G:G,[36]Schedule!$AL$3,'[36]frm P6'!H:H,[36]Schedule!F17)</f>
        <v>46344</v>
      </c>
      <c r="AN17" s="361">
        <f>SUMIFS('[36]frm P6'!$K:$K,'[36]frm P6'!D:D,[36]Schedule!B17,'[36]frm P6'!E:E,[36]Schedule!C17,'[36]frm P6'!F:F,[36]Schedule!D17,'[36]frm P6'!G:G,[36]Schedule!$AL$3,'[36]frm P6'!H:H,[36]Schedule!F17)</f>
        <v>46367</v>
      </c>
      <c r="AO17" s="362">
        <f t="shared" si="4"/>
        <v>24</v>
      </c>
      <c r="AP17" s="273">
        <v>4</v>
      </c>
      <c r="AQ17" s="273">
        <v>500</v>
      </c>
      <c r="AR17" s="372">
        <v>62</v>
      </c>
      <c r="AS17" s="368">
        <f t="shared" si="7"/>
        <v>46341</v>
      </c>
      <c r="AT17" s="368">
        <f t="shared" si="8"/>
        <v>46281</v>
      </c>
      <c r="AU17" s="377">
        <f t="shared" si="9"/>
        <v>46266</v>
      </c>
      <c r="AV17" s="368">
        <f t="shared" si="5"/>
        <v>46340</v>
      </c>
      <c r="AW17" s="368">
        <f t="shared" si="10"/>
        <v>46330</v>
      </c>
      <c r="AX17" s="378">
        <f t="shared" si="6"/>
        <v>56</v>
      </c>
      <c r="AY17" s="368">
        <v>46274</v>
      </c>
      <c r="AZ17" s="362" t="s">
        <v>429</v>
      </c>
      <c r="BA17" s="375" t="s">
        <v>430</v>
      </c>
      <c r="BB17" s="376"/>
      <c r="BE17" s="277"/>
      <c r="BF17" s="278"/>
    </row>
    <row r="18" spans="2:58" s="269" customFormat="1">
      <c r="B18" s="357" t="s">
        <v>419</v>
      </c>
      <c r="C18" s="357" t="s">
        <v>458</v>
      </c>
      <c r="D18" s="357" t="s">
        <v>421</v>
      </c>
      <c r="E18" s="357"/>
      <c r="F18" s="357" t="s">
        <v>422</v>
      </c>
      <c r="G18" s="357"/>
      <c r="H18" s="358">
        <v>14</v>
      </c>
      <c r="I18" s="271" t="s">
        <v>459</v>
      </c>
      <c r="J18" s="359">
        <v>115</v>
      </c>
      <c r="K18" s="360">
        <f t="shared" si="14"/>
        <v>1</v>
      </c>
      <c r="L18" s="361">
        <f>SUMIFS('[36]frm P6'!$J:$J,'[36]frm P6'!D:D,[36]Schedule!B18,'[36]frm P6'!E:E,[36]Schedule!C18,'[36]frm P6'!F:F,[36]Schedule!D18,'[36]frm P6'!G:G,[36]Schedule!$K$3,'[36]frm P6'!H:H,[36]Schedule!F18)</f>
        <v>46504</v>
      </c>
      <c r="M18" s="361">
        <f>SUMIFS('[36]frm P6'!$K:$K,'[36]frm P6'!D:D,[36]Schedule!B18,'[36]frm P6'!E:E,[36]Schedule!C18,'[36]frm P6'!F:F,[36]Schedule!D18,'[36]frm P6'!G:G,[36]Schedule!$K$3,'[36]frm P6'!H:H,[36]Schedule!F18)</f>
        <v>46524</v>
      </c>
      <c r="N18" s="362">
        <f t="shared" si="0"/>
        <v>21</v>
      </c>
      <c r="O18" s="273">
        <v>32</v>
      </c>
      <c r="P18" s="273">
        <v>181.47</v>
      </c>
      <c r="Q18" s="273" t="s">
        <v>460</v>
      </c>
      <c r="R18" s="363">
        <f>VLOOKUP(Q18,[37]导管架!N$2:Q$9,2,0)</f>
        <v>1.6966443558569499</v>
      </c>
      <c r="S18" s="364">
        <f>VLOOKUP(Q18,[37]导管架!N$2:Q$9,3,0)</f>
        <v>3.2519715913121399</v>
      </c>
      <c r="T18" s="365">
        <f>VLOOKUP(Q18,[37]导管架!N$2:Q$9,4,0)</f>
        <v>5.5032859855202396</v>
      </c>
      <c r="U18" s="366">
        <f t="shared" si="11"/>
        <v>407.19464540566901</v>
      </c>
      <c r="V18" s="366">
        <f t="shared" si="12"/>
        <v>884.53627283690196</v>
      </c>
      <c r="W18" s="367">
        <f t="shared" si="13"/>
        <v>1408.84121229318</v>
      </c>
      <c r="X18" s="361">
        <f>SUMIFS('[36]frm P6'!$J:$J,'[36]frm P6'!D:D,[36]Schedule!B18,'[36]frm P6'!E:E,[36]Schedule!C18,'[36]frm P6'!G:G,[36]Schedule!$W$3,'[36]frm P6'!H:H,[36]Schedule!F18)</f>
        <v>46486</v>
      </c>
      <c r="Y18" s="361">
        <f>SUMIFS('[36]frm P6'!$K:$K,'[36]frm P6'!D:D,[36]Schedule!B18,'[36]frm P6'!E:E,[36]Schedule!C18,'[36]frm P6'!G:G,[36]Schedule!$W$3,'[36]frm P6'!H:H,[36]Schedule!F18)</f>
        <v>46503</v>
      </c>
      <c r="Z18" s="369">
        <f t="shared" si="1"/>
        <v>18</v>
      </c>
      <c r="AA18" s="361">
        <f>SUMIFS('[36]frm P6'!$J:$J,'[36]frm P6'!D:D,[36]Schedule!B18,'[36]frm P6'!E:E,[36]Schedule!C18,'[36]frm P6'!F:F,[36]Schedule!D18,'[36]frm P6'!G:G,[36]Schedule!$Z$3,'[36]frm P6'!H:H,[36]Schedule!F18)</f>
        <v>46437</v>
      </c>
      <c r="AB18" s="361">
        <f>SUMIFS('[36]frm P6'!$K:$K,'[36]frm P6'!D:D,[36]Schedule!B18,'[36]frm P6'!E:E,[36]Schedule!C18,'[36]frm P6'!F:F,[36]Schedule!D18,'[36]frm P6'!G:G,[36]Schedule!$Z$3,'[36]frm P6'!H:H,[36]Schedule!F18)</f>
        <v>46478</v>
      </c>
      <c r="AC18" s="362">
        <f t="shared" si="2"/>
        <v>42</v>
      </c>
      <c r="AD18" s="274">
        <v>34</v>
      </c>
      <c r="AE18" s="273">
        <v>359.28</v>
      </c>
      <c r="AF18" s="273" t="s">
        <v>461</v>
      </c>
      <c r="AG18" s="370">
        <f>SUMIFS('[36]frm P6'!$J:$J,'[36]frm P6'!D:D,[36]Schedule!B18,'[36]frm P6'!E:E,[36]Schedule!C18,'[36]frm P6'!F:F,[36]Schedule!D18,'[36]frm P6'!G:G,[36]Schedule!$AF$3,'[36]frm P6'!H:H,[36]Schedule!F18)</f>
        <v>46393</v>
      </c>
      <c r="AH18" s="361">
        <f>SUMIFS('[36]frm P6'!$K:$K,'[36]frm P6'!D:D,[36]Schedule!B18,'[36]frm P6'!E:E,[36]Schedule!C18,'[36]frm P6'!F:F,[36]Schedule!D18,'[36]frm P6'!G:G,[36]Schedule!$AF$3,'[36]frm P6'!H:H,[36]Schedule!F18)</f>
        <v>46422</v>
      </c>
      <c r="AI18" s="362">
        <f t="shared" si="3"/>
        <v>30</v>
      </c>
      <c r="AJ18" s="273">
        <v>30</v>
      </c>
      <c r="AK18" s="273">
        <v>1130.3</v>
      </c>
      <c r="AL18" s="371" t="s">
        <v>433</v>
      </c>
      <c r="AM18" s="361">
        <f>SUMIFS('[36]frm P6'!$J:$J,'[36]frm P6'!D:D,[36]Schedule!B18,'[36]frm P6'!E:E,[36]Schedule!C18,'[36]frm P6'!F:F,[36]Schedule!D18,'[36]frm P6'!G:G,[36]Schedule!$AL$3,'[36]frm P6'!H:H,[36]Schedule!F18)</f>
        <v>46365</v>
      </c>
      <c r="AN18" s="361">
        <f>SUMIFS('[36]frm P6'!$K:$K,'[36]frm P6'!D:D,[36]Schedule!B18,'[36]frm P6'!E:E,[36]Schedule!C18,'[36]frm P6'!F:F,[36]Schedule!D18,'[36]frm P6'!G:G,[36]Schedule!$AL$3,'[36]frm P6'!H:H,[36]Schedule!F18)</f>
        <v>46403</v>
      </c>
      <c r="AO18" s="362">
        <f t="shared" si="4"/>
        <v>39</v>
      </c>
      <c r="AP18" s="273">
        <v>47</v>
      </c>
      <c r="AQ18" s="273" t="s">
        <v>434</v>
      </c>
      <c r="AR18" s="372">
        <v>62</v>
      </c>
      <c r="AS18" s="368">
        <f t="shared" si="7"/>
        <v>46362</v>
      </c>
      <c r="AT18" s="368">
        <f t="shared" si="8"/>
        <v>46302</v>
      </c>
      <c r="AU18" s="377">
        <f t="shared" si="9"/>
        <v>46287</v>
      </c>
      <c r="AV18" s="368">
        <f t="shared" si="5"/>
        <v>46361</v>
      </c>
      <c r="AW18" s="368">
        <f t="shared" si="10"/>
        <v>46351</v>
      </c>
      <c r="AX18" s="378">
        <f t="shared" si="6"/>
        <v>82</v>
      </c>
      <c r="AY18" s="368">
        <v>46269</v>
      </c>
      <c r="AZ18" s="362" t="s">
        <v>435</v>
      </c>
      <c r="BA18" s="375" t="s">
        <v>436</v>
      </c>
      <c r="BB18" s="376"/>
      <c r="BE18" s="277"/>
      <c r="BF18" s="278"/>
    </row>
    <row r="19" spans="2:58" ht="27.6" customHeight="1">
      <c r="B19" s="334" t="s">
        <v>462</v>
      </c>
      <c r="C19" s="335"/>
      <c r="D19" s="335"/>
      <c r="E19" s="335"/>
      <c r="F19" s="335"/>
      <c r="G19" s="335"/>
      <c r="H19" s="336" t="s">
        <v>463</v>
      </c>
      <c r="I19" s="337"/>
      <c r="J19" s="338"/>
      <c r="K19" s="339"/>
      <c r="L19" s="340">
        <f>MIN(L20:L33)</f>
        <v>46442</v>
      </c>
      <c r="M19" s="340">
        <f>MAX(M20:M33)</f>
        <v>46563</v>
      </c>
      <c r="N19" s="337">
        <f t="shared" si="0"/>
        <v>122</v>
      </c>
      <c r="O19" s="341"/>
      <c r="P19" s="341"/>
      <c r="Q19" s="341"/>
      <c r="R19" s="380"/>
      <c r="S19" s="381"/>
      <c r="T19" s="382"/>
      <c r="U19" s="383"/>
      <c r="V19" s="383"/>
      <c r="W19" s="384"/>
      <c r="X19" s="340">
        <f>MIN(X20:X32)</f>
        <v>46452</v>
      </c>
      <c r="Y19" s="340">
        <f>MAX(Y20:Y33)</f>
        <v>46528</v>
      </c>
      <c r="Z19" s="347">
        <f t="shared" si="1"/>
        <v>77</v>
      </c>
      <c r="AA19" s="340">
        <f>MIN(AA20:AA33)</f>
        <v>46401</v>
      </c>
      <c r="AB19" s="340">
        <f>MAX(AB20:AB33)</f>
        <v>46506</v>
      </c>
      <c r="AC19" s="337">
        <f t="shared" si="2"/>
        <v>106</v>
      </c>
      <c r="AD19" s="348"/>
      <c r="AE19" s="341"/>
      <c r="AF19" s="341"/>
      <c r="AG19" s="349">
        <f>MIN(AG20:AG33)</f>
        <v>46367</v>
      </c>
      <c r="AH19" s="340">
        <f>MAX(AH20:AH33)</f>
        <v>46476</v>
      </c>
      <c r="AI19" s="337">
        <f t="shared" si="3"/>
        <v>110</v>
      </c>
      <c r="AJ19" s="341"/>
      <c r="AK19" s="341"/>
      <c r="AL19" s="350"/>
      <c r="AM19" s="340">
        <f>MIN(AM20:AM33)</f>
        <v>46332</v>
      </c>
      <c r="AN19" s="340">
        <f>MAX(AN20:AN33)</f>
        <v>46417</v>
      </c>
      <c r="AO19" s="337">
        <f t="shared" si="4"/>
        <v>86</v>
      </c>
      <c r="AP19" s="341"/>
      <c r="AQ19" s="341"/>
      <c r="AR19" s="351"/>
      <c r="AS19" s="340">
        <f>MIN(AS20:AS32)</f>
        <v>46329</v>
      </c>
      <c r="AT19" s="340">
        <f>MIN(AT20:AT32)</f>
        <v>46269</v>
      </c>
      <c r="AU19" s="352">
        <f>MIN(AU20:AU32)</f>
        <v>46254</v>
      </c>
      <c r="AV19" s="353">
        <f>MIN(AV20:AV32)</f>
        <v>46328</v>
      </c>
      <c r="AW19" s="353">
        <f>MIN(AW20:AW32)</f>
        <v>46318</v>
      </c>
      <c r="AX19" s="354"/>
      <c r="AY19" s="340"/>
      <c r="AZ19" s="355"/>
      <c r="BA19" s="385"/>
      <c r="BB19" s="386"/>
    </row>
    <row r="20" spans="2:58" s="269" customFormat="1">
      <c r="B20" s="357" t="s">
        <v>419</v>
      </c>
      <c r="C20" s="357" t="s">
        <v>420</v>
      </c>
      <c r="D20" s="357" t="s">
        <v>421</v>
      </c>
      <c r="E20" s="357"/>
      <c r="F20" s="357" t="s">
        <v>464</v>
      </c>
      <c r="G20" s="357"/>
      <c r="H20" s="358">
        <v>1</v>
      </c>
      <c r="I20" s="271" t="s">
        <v>423</v>
      </c>
      <c r="J20" s="359"/>
      <c r="K20" s="360"/>
      <c r="L20" s="361">
        <f>SUMIFS('[36]frm P6'!$J:$J,'[36]frm P6'!D:D,[36]Schedule!B20,'[36]frm P6'!E:E,[36]Schedule!C20,'[36]frm P6'!F:F,[36]Schedule!D20,'[36]frm P6'!G:G,$L$3,'[36]frm P6'!H:H,[36]Schedule!F20)</f>
        <v>46442</v>
      </c>
      <c r="M20" s="361">
        <f>SUMIFS('[36]frm P6'!$K:$K,'[36]frm P6'!D:D,[36]Schedule!B20,'[36]frm P6'!E:E,[36]Schedule!C20,'[36]frm P6'!F:F,[36]Schedule!D20,'[36]frm P6'!G:G,$L$3,'[36]frm P6'!H:H,[36]Schedule!F20)</f>
        <v>46445</v>
      </c>
      <c r="N20" s="362">
        <f t="shared" si="0"/>
        <v>4</v>
      </c>
      <c r="O20" s="273"/>
      <c r="P20" s="273"/>
      <c r="Q20" s="273"/>
      <c r="R20" s="363"/>
      <c r="S20" s="364"/>
      <c r="T20" s="365"/>
      <c r="U20" s="366"/>
      <c r="V20" s="366"/>
      <c r="W20" s="367"/>
      <c r="X20" s="368" t="s">
        <v>424</v>
      </c>
      <c r="Y20" s="368" t="s">
        <v>424</v>
      </c>
      <c r="Z20" s="369" t="s">
        <v>424</v>
      </c>
      <c r="AA20" s="368" t="s">
        <v>424</v>
      </c>
      <c r="AB20" s="368" t="s">
        <v>424</v>
      </c>
      <c r="AC20" s="362" t="s">
        <v>424</v>
      </c>
      <c r="AD20" s="274" t="s">
        <v>424</v>
      </c>
      <c r="AE20" s="273" t="s">
        <v>424</v>
      </c>
      <c r="AF20" s="273" t="s">
        <v>424</v>
      </c>
      <c r="AG20" s="370">
        <f>SUMIFS('[36]frm P6'!$J:$J,'[36]frm P6'!D:D,[36]Schedule!B20,'[36]frm P6'!E:E,[36]Schedule!C20,'[36]frm P6'!F:F,[36]Schedule!D20,'[36]frm P6'!G:G,[36]Schedule!$AF$3,'[36]frm P6'!H:H,[36]Schedule!F20)</f>
        <v>46384</v>
      </c>
      <c r="AH20" s="361">
        <f>SUMIFS('[36]frm P6'!$K:$K,'[36]frm P6'!D:D,[36]Schedule!B20,'[36]frm P6'!E:E,[36]Schedule!C20,'[36]frm P6'!F:F,[36]Schedule!D20,'[36]frm P6'!G:G,[36]Schedule!$AF$3,'[36]frm P6'!H:H,[36]Schedule!F20)</f>
        <v>46421</v>
      </c>
      <c r="AI20" s="362" t="s">
        <v>424</v>
      </c>
      <c r="AJ20" s="273"/>
      <c r="AK20" s="273"/>
      <c r="AL20" s="371"/>
      <c r="AM20" s="368" t="s">
        <v>424</v>
      </c>
      <c r="AN20" s="368" t="s">
        <v>424</v>
      </c>
      <c r="AO20" s="362" t="s">
        <v>424</v>
      </c>
      <c r="AP20" s="273"/>
      <c r="AQ20" s="273"/>
      <c r="AR20" s="372" t="s">
        <v>424</v>
      </c>
      <c r="AS20" s="368" t="s">
        <v>424</v>
      </c>
      <c r="AT20" s="368" t="s">
        <v>424</v>
      </c>
      <c r="AU20" s="373" t="s">
        <v>424</v>
      </c>
      <c r="AV20" s="368" t="s">
        <v>424</v>
      </c>
      <c r="AW20" s="368" t="s">
        <v>424</v>
      </c>
      <c r="AX20" s="374" t="s">
        <v>424</v>
      </c>
      <c r="AY20" s="368"/>
      <c r="AZ20" s="362" t="s">
        <v>424</v>
      </c>
      <c r="BA20" s="375" t="s">
        <v>424</v>
      </c>
      <c r="BB20" s="376"/>
      <c r="BE20" s="277"/>
      <c r="BF20" s="278"/>
    </row>
    <row r="21" spans="2:58" s="269" customFormat="1">
      <c r="B21" s="357" t="s">
        <v>419</v>
      </c>
      <c r="C21" s="357" t="s">
        <v>425</v>
      </c>
      <c r="D21" s="357" t="s">
        <v>421</v>
      </c>
      <c r="E21" s="357"/>
      <c r="F21" s="357" t="s">
        <v>464</v>
      </c>
      <c r="G21" s="357"/>
      <c r="H21" s="358">
        <v>2</v>
      </c>
      <c r="I21" s="271" t="s">
        <v>426</v>
      </c>
      <c r="J21" s="359">
        <v>16.2</v>
      </c>
      <c r="K21" s="360">
        <f>L21-AB21</f>
        <v>3</v>
      </c>
      <c r="L21" s="361">
        <f>SUMIFS('[36]frm P6'!$J:$J,'[36]frm P6'!D:D,[36]Schedule!B21,'[36]frm P6'!E:E,[36]Schedule!C21,'[36]frm P6'!F:F,[36]Schedule!D21,'[36]frm P6'!G:G,$L$3,'[36]frm P6'!H:H,[36]Schedule!F21)</f>
        <v>46445</v>
      </c>
      <c r="M21" s="361">
        <f>SUMIFS('[36]frm P6'!$K:$K,'[36]frm P6'!D:D,[36]Schedule!B21,'[36]frm P6'!E:E,[36]Schedule!C21,'[36]frm P6'!F:F,[36]Schedule!D21,'[36]frm P6'!G:G,$L$3,'[36]frm P6'!H:H,[36]Schedule!F21)</f>
        <v>46456</v>
      </c>
      <c r="N21" s="362">
        <f t="shared" si="0"/>
        <v>12</v>
      </c>
      <c r="O21" s="273">
        <v>4</v>
      </c>
      <c r="P21" s="273"/>
      <c r="Q21" s="273" t="s">
        <v>427</v>
      </c>
      <c r="R21" s="363">
        <f>VLOOKUP(Q21,[37]导管架!N$2:Q$9,2,0)</f>
        <v>1.2968665897850999</v>
      </c>
      <c r="S21" s="364">
        <f>VLOOKUP(Q21,[37]导管架!N$2:Q$9,3,0)</f>
        <v>2.47322624313425</v>
      </c>
      <c r="T21" s="365">
        <f>VLOOKUP(Q21,[37]导管架!N$2:Q$9,4,0)</f>
        <v>4.6220437385570801</v>
      </c>
      <c r="U21" s="366">
        <f>R21*AJ21*8</f>
        <v>124.499192619369</v>
      </c>
      <c r="V21" s="366">
        <f>S21*8*AD21</f>
        <v>79.1432397802959</v>
      </c>
      <c r="W21" s="367">
        <f>T21*O21*8</f>
        <v>147.90539963382699</v>
      </c>
      <c r="X21" s="368" t="s">
        <v>424</v>
      </c>
      <c r="Y21" s="368" t="s">
        <v>424</v>
      </c>
      <c r="Z21" s="369" t="s">
        <v>424</v>
      </c>
      <c r="AA21" s="361">
        <f>SUMIFS('[36]frm P6'!$J:$J,'[36]frm P6'!D:D,[36]Schedule!B21,'[36]frm P6'!E:E,[36]Schedule!C21,'[36]frm P6'!F:F,[36]Schedule!D21,'[36]frm P6'!G:G,[36]Schedule!$Z$3,'[36]frm P6'!H:H,[36]Schedule!F21)</f>
        <v>46405</v>
      </c>
      <c r="AB21" s="361">
        <f>SUMIFS('[36]frm P6'!$K:$K,'[36]frm P6'!D:D,[36]Schedule!B21,'[36]frm P6'!E:E,[36]Schedule!C21,'[36]frm P6'!F:F,[36]Schedule!D21,'[36]frm P6'!G:G,[36]Schedule!$Z$3,'[36]frm P6'!H:H,[36]Schedule!F21)</f>
        <v>46442</v>
      </c>
      <c r="AC21" s="362">
        <f t="shared" ref="AC21:AC32" si="15">AB21-AA21+1</f>
        <v>38</v>
      </c>
      <c r="AD21" s="274">
        <v>4</v>
      </c>
      <c r="AE21" s="273">
        <v>16.78</v>
      </c>
      <c r="AF21" s="273">
        <v>406.4</v>
      </c>
      <c r="AG21" s="370">
        <f>SUMIFS('[36]frm P6'!$J:$J,'[36]frm P6'!D:D,[36]Schedule!B21,'[36]frm P6'!E:E,[36]Schedule!C21,'[36]frm P6'!F:F,[36]Schedule!D21,'[36]frm P6'!G:G,[36]Schedule!$AF$3,'[36]frm P6'!H:H,[36]Schedule!F21)</f>
        <v>46373</v>
      </c>
      <c r="AH21" s="361">
        <f>SUMIFS('[36]frm P6'!$K:$K,'[36]frm P6'!D:D,[36]Schedule!B21,'[36]frm P6'!E:E,[36]Schedule!C21,'[36]frm P6'!F:F,[36]Schedule!D21,'[36]frm P6'!G:G,[36]Schedule!$AF$3,'[36]frm P6'!H:H,[36]Schedule!F21)</f>
        <v>46400</v>
      </c>
      <c r="AI21" s="362">
        <f t="shared" ref="AI21:AI32" si="16">AH21-AG21+1</f>
        <v>28</v>
      </c>
      <c r="AJ21" s="273">
        <v>12</v>
      </c>
      <c r="AK21" s="273">
        <v>52.15</v>
      </c>
      <c r="AL21" s="371" t="s">
        <v>428</v>
      </c>
      <c r="AM21" s="361">
        <f>SUMIFS('[36]frm P6'!$J:$J,'[36]frm P6'!D:D,[36]Schedule!B21,'[36]frm P6'!E:E,[36]Schedule!C21,'[36]frm P6'!F:F,[36]Schedule!D21,'[36]frm P6'!G:G,[36]Schedule!$AL$3,'[36]frm P6'!H:H,[36]Schedule!F21)</f>
        <v>46336</v>
      </c>
      <c r="AN21" s="361">
        <f>SUMIFS('[36]frm P6'!$K:$K,'[36]frm P6'!D:D,[36]Schedule!B21,'[36]frm P6'!E:E,[36]Schedule!C21,'[36]frm P6'!F:F,[36]Schedule!D21,'[36]frm P6'!G:G,[36]Schedule!$AL$3,'[36]frm P6'!H:H,[36]Schedule!F21)</f>
        <v>46365</v>
      </c>
      <c r="AO21" s="362">
        <f t="shared" si="4"/>
        <v>30</v>
      </c>
      <c r="AP21" s="273">
        <v>6</v>
      </c>
      <c r="AQ21" s="273">
        <v>500</v>
      </c>
      <c r="AR21" s="372">
        <v>62</v>
      </c>
      <c r="AS21" s="368">
        <f t="shared" ref="AS21:AS32" si="17">AM21-$AS$3</f>
        <v>46333</v>
      </c>
      <c r="AT21" s="368">
        <f t="shared" si="8"/>
        <v>46273</v>
      </c>
      <c r="AU21" s="377">
        <f t="shared" ref="AU21:AU32" si="18">AT21-$AU$3</f>
        <v>46258</v>
      </c>
      <c r="AV21" s="368">
        <f t="shared" ref="AV21:AV32" si="19">AM21-$AV$3</f>
        <v>46332</v>
      </c>
      <c r="AW21" s="368">
        <f t="shared" ref="AW21:AW32" si="20">AV21-$AW$3</f>
        <v>46322</v>
      </c>
      <c r="AX21" s="378">
        <f t="shared" ref="AX21:AX32" si="21">AW21-AY21</f>
        <v>48</v>
      </c>
      <c r="AY21" s="368">
        <v>46274</v>
      </c>
      <c r="AZ21" s="362" t="s">
        <v>465</v>
      </c>
      <c r="BA21" s="375" t="s">
        <v>430</v>
      </c>
      <c r="BB21" s="376"/>
      <c r="BE21" s="277"/>
      <c r="BF21" s="278"/>
    </row>
    <row r="22" spans="2:58" s="269" customFormat="1">
      <c r="B22" s="357" t="s">
        <v>419</v>
      </c>
      <c r="C22" s="357" t="s">
        <v>431</v>
      </c>
      <c r="D22" s="357" t="s">
        <v>421</v>
      </c>
      <c r="E22" s="357"/>
      <c r="F22" s="357" t="s">
        <v>464</v>
      </c>
      <c r="G22" s="357"/>
      <c r="H22" s="358">
        <v>4</v>
      </c>
      <c r="I22" s="271" t="s">
        <v>432</v>
      </c>
      <c r="J22" s="359">
        <v>105</v>
      </c>
      <c r="K22" s="360">
        <f>L22-Y22</f>
        <v>3</v>
      </c>
      <c r="L22" s="361">
        <f>SUMIFS('[36]frm P6'!$J:$J,'[36]frm P6'!D:D,[36]Schedule!B22,'[36]frm P6'!E:E,[36]Schedule!C22,'[36]frm P6'!F:F,[36]Schedule!D22,'[36]frm P6'!G:G,$L$3,'[36]frm P6'!H:H,[36]Schedule!F22)</f>
        <v>46471</v>
      </c>
      <c r="M22" s="361">
        <f>SUMIFS('[36]frm P6'!$K:$K,'[36]frm P6'!D:D,[36]Schedule!B22,'[36]frm P6'!E:E,[36]Schedule!C22,'[36]frm P6'!F:F,[36]Schedule!D22,'[36]frm P6'!G:G,$L$3,'[36]frm P6'!H:H,[36]Schedule!F22)</f>
        <v>46480</v>
      </c>
      <c r="N22" s="362">
        <f t="shared" si="0"/>
        <v>10</v>
      </c>
      <c r="O22" s="273">
        <v>8</v>
      </c>
      <c r="P22" s="273">
        <v>35.369999999999997</v>
      </c>
      <c r="Q22" s="273" t="s">
        <v>428</v>
      </c>
      <c r="R22" s="363">
        <f>VLOOKUP(Q22,[37]导管架!N$2:Q$9,2,0)</f>
        <v>1.2968665897850999</v>
      </c>
      <c r="S22" s="364">
        <f>VLOOKUP(Q22,[37]导管架!N$2:Q$9,3,0)</f>
        <v>2.47322624313425</v>
      </c>
      <c r="T22" s="365">
        <f>VLOOKUP(Q22,[37]导管架!N$2:Q$9,4,0)</f>
        <v>4.6220437385570801</v>
      </c>
      <c r="U22" s="366">
        <f>R22*AJ22*8</f>
        <v>248.99838523873899</v>
      </c>
      <c r="V22" s="366">
        <f>S22*8*AD22</f>
        <v>672.71753813251496</v>
      </c>
      <c r="W22" s="367">
        <f>T22*O22*8</f>
        <v>295.81079926765301</v>
      </c>
      <c r="X22" s="361">
        <f>SUMIFS('[36]frm P6'!$J:$J,'[36]frm P6'!D:D,[36]Schedule!B22,'[36]frm P6'!E:E,[36]Schedule!C22,'[36]frm P6'!G:G,[36]Schedule!$W$3,'[36]frm P6'!H:H,[36]Schedule!F22)</f>
        <v>46452</v>
      </c>
      <c r="Y22" s="361">
        <f>SUMIFS('[36]frm P6'!$K:$K,'[36]frm P6'!D:D,[36]Schedule!B22,'[36]frm P6'!E:E,[36]Schedule!C22,'[36]frm P6'!G:G,[36]Schedule!$W$3,'[36]frm P6'!H:H,[36]Schedule!F22)</f>
        <v>46468</v>
      </c>
      <c r="Z22" s="369">
        <f t="shared" ref="Z22" si="22">Y22-X22+1</f>
        <v>17</v>
      </c>
      <c r="AA22" s="361">
        <f>SUMIFS('[36]frm P6'!$J:$J,'[36]frm P6'!D:D,[36]Schedule!B22,'[36]frm P6'!E:E,[36]Schedule!C22,'[36]frm P6'!F:F,[36]Schedule!D22,'[36]frm P6'!G:G,[36]Schedule!$Z$3,'[36]frm P6'!H:H,[36]Schedule!F22)</f>
        <v>46401</v>
      </c>
      <c r="AB22" s="361">
        <f>SUMIFS('[36]frm P6'!$K:$K,'[36]frm P6'!D:D,[36]Schedule!B22,'[36]frm P6'!E:E,[36]Schedule!C22,'[36]frm P6'!F:F,[36]Schedule!D22,'[36]frm P6'!G:G,[36]Schedule!$Z$3,'[36]frm P6'!H:H,[36]Schedule!F22)</f>
        <v>46450</v>
      </c>
      <c r="AC22" s="362">
        <f t="shared" si="15"/>
        <v>50</v>
      </c>
      <c r="AD22" s="274">
        <v>34</v>
      </c>
      <c r="AE22" s="273">
        <v>359.28</v>
      </c>
      <c r="AF22" s="273" t="s">
        <v>433</v>
      </c>
      <c r="AG22" s="370">
        <f>SUMIFS('[36]frm P6'!$J:$J,'[36]frm P6'!D:D,[36]Schedule!B22,'[36]frm P6'!E:E,[36]Schedule!C22,'[36]frm P6'!F:F,[36]Schedule!D22,'[36]frm P6'!G:G,[36]Schedule!$AF$3,'[36]frm P6'!H:H,[36]Schedule!F22)</f>
        <v>46367</v>
      </c>
      <c r="AH22" s="361">
        <f>SUMIFS('[36]frm P6'!$K:$K,'[36]frm P6'!D:D,[36]Schedule!B22,'[36]frm P6'!E:E,[36]Schedule!C22,'[36]frm P6'!F:F,[36]Schedule!D22,'[36]frm P6'!G:G,[36]Schedule!$AF$3,'[36]frm P6'!H:H,[36]Schedule!F22)</f>
        <v>46400</v>
      </c>
      <c r="AI22" s="362">
        <f t="shared" si="16"/>
        <v>34</v>
      </c>
      <c r="AJ22" s="273">
        <v>24</v>
      </c>
      <c r="AK22" s="273">
        <v>1101.48</v>
      </c>
      <c r="AL22" s="371" t="s">
        <v>433</v>
      </c>
      <c r="AM22" s="361">
        <f>SUMIFS('[36]frm P6'!$J:$J,'[36]frm P6'!D:D,[36]Schedule!B22,'[36]frm P6'!E:E,[36]Schedule!C22,'[36]frm P6'!F:F,[36]Schedule!D22,'[36]frm P6'!G:G,[36]Schedule!$AL$3,'[36]frm P6'!H:H,[36]Schedule!F22)</f>
        <v>46332</v>
      </c>
      <c r="AN22" s="361">
        <f>SUMIFS('[36]frm P6'!$K:$K,'[36]frm P6'!D:D,[36]Schedule!B22,'[36]frm P6'!E:E,[36]Schedule!C22,'[36]frm P6'!F:F,[36]Schedule!D22,'[36]frm P6'!G:G,[36]Schedule!$AL$3,'[36]frm P6'!H:H,[36]Schedule!F22)</f>
        <v>46366</v>
      </c>
      <c r="AO22" s="362">
        <f t="shared" si="4"/>
        <v>35</v>
      </c>
      <c r="AP22" s="273">
        <v>41</v>
      </c>
      <c r="AQ22" s="273" t="s">
        <v>434</v>
      </c>
      <c r="AR22" s="372">
        <v>62</v>
      </c>
      <c r="AS22" s="368">
        <f t="shared" si="17"/>
        <v>46329</v>
      </c>
      <c r="AT22" s="368">
        <f t="shared" si="8"/>
        <v>46269</v>
      </c>
      <c r="AU22" s="377">
        <f t="shared" si="18"/>
        <v>46254</v>
      </c>
      <c r="AV22" s="368">
        <f t="shared" si="19"/>
        <v>46328</v>
      </c>
      <c r="AW22" s="368">
        <f t="shared" si="20"/>
        <v>46318</v>
      </c>
      <c r="AX22" s="378">
        <f t="shared" si="21"/>
        <v>49</v>
      </c>
      <c r="AY22" s="368">
        <v>46269</v>
      </c>
      <c r="AZ22" s="362" t="s">
        <v>466</v>
      </c>
      <c r="BA22" s="375" t="s">
        <v>436</v>
      </c>
      <c r="BB22" s="376"/>
      <c r="BE22" s="277"/>
      <c r="BF22" s="278"/>
    </row>
    <row r="23" spans="2:58" s="269" customFormat="1">
      <c r="B23" s="357" t="s">
        <v>419</v>
      </c>
      <c r="C23" s="357" t="s">
        <v>437</v>
      </c>
      <c r="D23" s="357" t="s">
        <v>421</v>
      </c>
      <c r="E23" s="357"/>
      <c r="F23" s="357" t="s">
        <v>464</v>
      </c>
      <c r="G23" s="357"/>
      <c r="H23" s="358">
        <v>5</v>
      </c>
      <c r="I23" s="271" t="s">
        <v>438</v>
      </c>
      <c r="J23" s="359">
        <v>5.5</v>
      </c>
      <c r="K23" s="360">
        <f>L23-AB23</f>
        <v>7</v>
      </c>
      <c r="L23" s="361">
        <f>SUMIFS('[36]frm P6'!$J:$J,'[36]frm P6'!D:D,[36]Schedule!B23,'[36]frm P6'!E:E,[36]Schedule!C23,'[36]frm P6'!F:F,[36]Schedule!D23,'[36]frm P6'!G:G,$L$3,'[36]frm P6'!H:H,[36]Schedule!F23)</f>
        <v>46486</v>
      </c>
      <c r="M23" s="361">
        <f>SUMIFS('[36]frm P6'!$K:$K,'[36]frm P6'!D:D,[36]Schedule!B23,'[36]frm P6'!E:E,[36]Schedule!C23,'[36]frm P6'!F:F,[36]Schedule!D23,'[36]frm P6'!G:G,$L$3,'[36]frm P6'!H:H,[36]Schedule!F23)</f>
        <v>46490</v>
      </c>
      <c r="N23" s="362">
        <f t="shared" si="0"/>
        <v>5</v>
      </c>
      <c r="O23" s="273">
        <v>2</v>
      </c>
      <c r="P23" s="379">
        <v>21.085908478927401</v>
      </c>
      <c r="Q23" s="273">
        <v>750</v>
      </c>
      <c r="R23" s="363">
        <f>VLOOKUP(Q23,[37]导管架!N$2:Q$9,2,0)</f>
        <v>2.1138766322071101</v>
      </c>
      <c r="S23" s="364">
        <f>VLOOKUP(Q23,[37]导管架!N$2:Q$9,3,0)</f>
        <v>4.0638077818926401</v>
      </c>
      <c r="T23" s="365">
        <f>VLOOKUP(Q23,[37]导管架!N$2:Q$9,4,0)</f>
        <v>6.43967963648773</v>
      </c>
      <c r="U23" s="366">
        <f t="shared" ref="U23:U32" si="23">R23*AJ23*8</f>
        <v>33.822026115313697</v>
      </c>
      <c r="V23" s="366">
        <f t="shared" ref="V23:V32" si="24">S23*8*AD23</f>
        <v>65.0209245102822</v>
      </c>
      <c r="W23" s="367">
        <f t="shared" ref="W23:W32" si="25">T23*O23*8</f>
        <v>103.03487418380401</v>
      </c>
      <c r="X23" s="368" t="s">
        <v>424</v>
      </c>
      <c r="Y23" s="368" t="s">
        <v>424</v>
      </c>
      <c r="Z23" s="369" t="s">
        <v>424</v>
      </c>
      <c r="AA23" s="361">
        <f>SUMIFS('[36]frm P6'!$J:$J,'[36]frm P6'!D:D,[36]Schedule!B23,'[36]frm P6'!E:E,[36]Schedule!C23,'[36]frm P6'!F:F,[36]Schedule!D23,'[36]frm P6'!G:G,[36]Schedule!$Z$3,'[36]frm P6'!H:H,[36]Schedule!F23)</f>
        <v>46463</v>
      </c>
      <c r="AB23" s="361">
        <f>SUMIFS('[36]frm P6'!$K:$K,'[36]frm P6'!D:D,[36]Schedule!B23,'[36]frm P6'!E:E,[36]Schedule!C23,'[36]frm P6'!F:F,[36]Schedule!D23,'[36]frm P6'!G:G,[36]Schedule!$Z$3,'[36]frm P6'!H:H,[36]Schedule!F23)</f>
        <v>46479</v>
      </c>
      <c r="AC23" s="362">
        <f t="shared" si="15"/>
        <v>17</v>
      </c>
      <c r="AD23" s="274">
        <v>2</v>
      </c>
      <c r="AE23" s="273">
        <v>21.09</v>
      </c>
      <c r="AF23" s="273">
        <v>750</v>
      </c>
      <c r="AG23" s="370">
        <f>SUMIFS('[36]frm P6'!$J:$J,'[36]frm P6'!D:D,[36]Schedule!B23,'[36]frm P6'!E:E,[36]Schedule!C23,'[36]frm P6'!F:F,[36]Schedule!D23,'[36]frm P6'!G:G,[36]Schedule!$AF$3,'[36]frm P6'!H:H,[36]Schedule!F23)</f>
        <v>46403</v>
      </c>
      <c r="AH23" s="361">
        <f>SUMIFS('[36]frm P6'!$K:$K,'[36]frm P6'!D:D,[36]Schedule!B23,'[36]frm P6'!E:E,[36]Schedule!C23,'[36]frm P6'!F:F,[36]Schedule!D23,'[36]frm P6'!G:G,[36]Schedule!$AF$3,'[36]frm P6'!H:H,[36]Schedule!F23)</f>
        <v>46434</v>
      </c>
      <c r="AI23" s="362">
        <f t="shared" si="16"/>
        <v>32</v>
      </c>
      <c r="AJ23" s="273">
        <v>2</v>
      </c>
      <c r="AK23" s="273">
        <v>21.084</v>
      </c>
      <c r="AL23" s="371">
        <v>750</v>
      </c>
      <c r="AM23" s="361">
        <f>SUMIFS('[36]frm P6'!$J:$J,'[36]frm P6'!D:D,[36]Schedule!B23,'[36]frm P6'!E:E,[36]Schedule!C23,'[36]frm P6'!F:F,[36]Schedule!D23,'[36]frm P6'!G:G,[36]Schedule!$AL$3,'[36]frm P6'!H:H,[36]Schedule!F23)</f>
        <v>46344</v>
      </c>
      <c r="AN23" s="361">
        <f>SUMIFS('[36]frm P6'!$K:$K,'[36]frm P6'!D:D,[36]Schedule!B23,'[36]frm P6'!E:E,[36]Schedule!C23,'[36]frm P6'!F:F,[36]Schedule!D23,'[36]frm P6'!G:G,[36]Schedule!$AL$3,'[36]frm P6'!H:H,[36]Schedule!F23)</f>
        <v>46373</v>
      </c>
      <c r="AO23" s="362">
        <f t="shared" si="4"/>
        <v>30</v>
      </c>
      <c r="AP23" s="273">
        <v>5</v>
      </c>
      <c r="AQ23" s="273">
        <v>750</v>
      </c>
      <c r="AR23" s="372">
        <v>62</v>
      </c>
      <c r="AS23" s="368">
        <f t="shared" si="17"/>
        <v>46341</v>
      </c>
      <c r="AT23" s="368">
        <f t="shared" si="8"/>
        <v>46281</v>
      </c>
      <c r="AU23" s="377">
        <f t="shared" si="18"/>
        <v>46266</v>
      </c>
      <c r="AV23" s="368">
        <f t="shared" si="19"/>
        <v>46340</v>
      </c>
      <c r="AW23" s="368">
        <f t="shared" si="20"/>
        <v>46330</v>
      </c>
      <c r="AX23" s="378">
        <f t="shared" si="21"/>
        <v>61</v>
      </c>
      <c r="AY23" s="368">
        <v>46269</v>
      </c>
      <c r="AZ23" s="362" t="s">
        <v>466</v>
      </c>
      <c r="BA23" s="375" t="s">
        <v>436</v>
      </c>
      <c r="BB23" s="376"/>
      <c r="BE23" s="277"/>
      <c r="BF23" s="278"/>
    </row>
    <row r="24" spans="2:58" s="269" customFormat="1">
      <c r="B24" s="357" t="s">
        <v>419</v>
      </c>
      <c r="C24" s="357" t="s">
        <v>439</v>
      </c>
      <c r="D24" s="357" t="s">
        <v>421</v>
      </c>
      <c r="E24" s="357"/>
      <c r="F24" s="357" t="s">
        <v>464</v>
      </c>
      <c r="G24" s="357"/>
      <c r="H24" s="358">
        <v>6</v>
      </c>
      <c r="I24" s="271" t="s">
        <v>440</v>
      </c>
      <c r="J24" s="359">
        <v>5.5</v>
      </c>
      <c r="K24" s="360">
        <f>L24-AB24</f>
        <v>11</v>
      </c>
      <c r="L24" s="361">
        <f>SUMIFS('[36]frm P6'!$J:$J,'[36]frm P6'!D:D,[36]Schedule!B24,'[36]frm P6'!E:E,[36]Schedule!C24,'[36]frm P6'!F:F,[36]Schedule!D24,'[36]frm P6'!G:G,$L$3,'[36]frm P6'!H:H,[36]Schedule!F24)</f>
        <v>46490</v>
      </c>
      <c r="M24" s="361">
        <f>SUMIFS('[36]frm P6'!$K:$K,'[36]frm P6'!D:D,[36]Schedule!B24,'[36]frm P6'!E:E,[36]Schedule!C24,'[36]frm P6'!F:F,[36]Schedule!D24,'[36]frm P6'!G:G,$L$3,'[36]frm P6'!H:H,[36]Schedule!F24)</f>
        <v>46494</v>
      </c>
      <c r="N24" s="362">
        <f t="shared" si="0"/>
        <v>5</v>
      </c>
      <c r="O24" s="273">
        <v>2</v>
      </c>
      <c r="P24" s="379">
        <v>21.085908478927401</v>
      </c>
      <c r="Q24" s="273">
        <v>750</v>
      </c>
      <c r="R24" s="363">
        <f>VLOOKUP(Q24,[37]导管架!N$2:Q$9,2,0)</f>
        <v>2.1138766322071101</v>
      </c>
      <c r="S24" s="364">
        <f>VLOOKUP(Q24,[37]导管架!N$2:Q$9,3,0)</f>
        <v>4.0638077818926401</v>
      </c>
      <c r="T24" s="365">
        <f>VLOOKUP(Q24,[37]导管架!N$2:Q$9,4,0)</f>
        <v>6.43967963648773</v>
      </c>
      <c r="U24" s="366">
        <f t="shared" si="23"/>
        <v>50.7330391729705</v>
      </c>
      <c r="V24" s="366">
        <f t="shared" si="24"/>
        <v>65.0209245102822</v>
      </c>
      <c r="W24" s="367">
        <f t="shared" si="25"/>
        <v>103.03487418380401</v>
      </c>
      <c r="X24" s="368" t="s">
        <v>424</v>
      </c>
      <c r="Y24" s="368" t="s">
        <v>424</v>
      </c>
      <c r="Z24" s="369" t="s">
        <v>424</v>
      </c>
      <c r="AA24" s="361">
        <f>SUMIFS('[36]frm P6'!$J:$J,'[36]frm P6'!D:D,[36]Schedule!B24,'[36]frm P6'!E:E,[36]Schedule!C24,'[36]frm P6'!F:F,[36]Schedule!D24,'[36]frm P6'!G:G,[36]Schedule!$Z$3,'[36]frm P6'!H:H,[36]Schedule!F24)</f>
        <v>46463</v>
      </c>
      <c r="AB24" s="361">
        <f>SUMIFS('[36]frm P6'!$K:$K,'[36]frm P6'!D:D,[36]Schedule!B24,'[36]frm P6'!E:E,[36]Schedule!C24,'[36]frm P6'!F:F,[36]Schedule!D24,'[36]frm P6'!G:G,[36]Schedule!$Z$3,'[36]frm P6'!H:H,[36]Schedule!F24)</f>
        <v>46479</v>
      </c>
      <c r="AC24" s="362">
        <f t="shared" si="15"/>
        <v>17</v>
      </c>
      <c r="AD24" s="274">
        <v>2</v>
      </c>
      <c r="AE24" s="273">
        <v>21.09</v>
      </c>
      <c r="AF24" s="273">
        <v>750</v>
      </c>
      <c r="AG24" s="370">
        <f>SUMIFS('[36]frm P6'!$J:$J,'[36]frm P6'!D:D,[36]Schedule!B24,'[36]frm P6'!E:E,[36]Schedule!C24,'[36]frm P6'!F:F,[36]Schedule!D24,'[36]frm P6'!G:G,[36]Schedule!$AF$3,'[36]frm P6'!H:H,[36]Schedule!F24)</f>
        <v>46421</v>
      </c>
      <c r="AH24" s="361">
        <f>SUMIFS('[36]frm P6'!$K:$K,'[36]frm P6'!D:D,[36]Schedule!B24,'[36]frm P6'!E:E,[36]Schedule!C24,'[36]frm P6'!F:F,[36]Schedule!D24,'[36]frm P6'!G:G,[36]Schedule!$AF$3,'[36]frm P6'!H:H,[36]Schedule!F24)</f>
        <v>46451</v>
      </c>
      <c r="AI24" s="362">
        <f t="shared" si="16"/>
        <v>31</v>
      </c>
      <c r="AJ24" s="273">
        <v>3</v>
      </c>
      <c r="AK24" s="273">
        <v>31.626000000000001</v>
      </c>
      <c r="AL24" s="371">
        <v>750</v>
      </c>
      <c r="AM24" s="361">
        <f>SUMIFS('[36]frm P6'!$J:$J,'[36]frm P6'!D:D,[36]Schedule!B24,'[36]frm P6'!E:E,[36]Schedule!C24,'[36]frm P6'!F:F,[36]Schedule!D24,'[36]frm P6'!G:G,[36]Schedule!$AL$3,'[36]frm P6'!H:H,[36]Schedule!F24)</f>
        <v>46373</v>
      </c>
      <c r="AN24" s="361">
        <f>SUMIFS('[36]frm P6'!$K:$K,'[36]frm P6'!D:D,[36]Schedule!B24,'[36]frm P6'!E:E,[36]Schedule!C24,'[36]frm P6'!F:F,[36]Schedule!D24,'[36]frm P6'!G:G,[36]Schedule!$AL$3,'[36]frm P6'!H:H,[36]Schedule!F24)</f>
        <v>46403</v>
      </c>
      <c r="AO24" s="362">
        <f t="shared" si="4"/>
        <v>31</v>
      </c>
      <c r="AP24" s="273">
        <v>6</v>
      </c>
      <c r="AQ24" s="273">
        <v>750</v>
      </c>
      <c r="AR24" s="372">
        <v>62</v>
      </c>
      <c r="AS24" s="368">
        <f t="shared" si="17"/>
        <v>46370</v>
      </c>
      <c r="AT24" s="368">
        <f t="shared" si="8"/>
        <v>46310</v>
      </c>
      <c r="AU24" s="377">
        <f t="shared" si="18"/>
        <v>46295</v>
      </c>
      <c r="AV24" s="368">
        <f t="shared" si="19"/>
        <v>46369</v>
      </c>
      <c r="AW24" s="368">
        <f t="shared" si="20"/>
        <v>46359</v>
      </c>
      <c r="AX24" s="378">
        <f t="shared" si="21"/>
        <v>90</v>
      </c>
      <c r="AY24" s="368">
        <v>46269</v>
      </c>
      <c r="AZ24" s="362" t="s">
        <v>466</v>
      </c>
      <c r="BA24" s="375" t="s">
        <v>436</v>
      </c>
      <c r="BB24" s="376"/>
      <c r="BE24" s="277"/>
      <c r="BF24" s="278"/>
    </row>
    <row r="25" spans="2:58" s="269" customFormat="1">
      <c r="B25" s="357" t="s">
        <v>419</v>
      </c>
      <c r="C25" s="357" t="s">
        <v>441</v>
      </c>
      <c r="D25" s="357" t="s">
        <v>421</v>
      </c>
      <c r="E25" s="357"/>
      <c r="F25" s="357" t="s">
        <v>464</v>
      </c>
      <c r="G25" s="357"/>
      <c r="H25" s="358">
        <v>7</v>
      </c>
      <c r="I25" s="271" t="s">
        <v>442</v>
      </c>
      <c r="J25" s="359">
        <v>18</v>
      </c>
      <c r="K25" s="360">
        <f>L25-AB25</f>
        <v>27</v>
      </c>
      <c r="L25" s="361">
        <f>SUMIFS('[36]frm P6'!$J:$J,'[36]frm P6'!D:D,[36]Schedule!B25,'[36]frm P6'!E:E,[36]Schedule!C25,'[36]frm P6'!F:F,[36]Schedule!D25,'[36]frm P6'!G:G,$L$3,'[36]frm P6'!H:H,[36]Schedule!F25)</f>
        <v>46497</v>
      </c>
      <c r="M25" s="361">
        <f>SUMIFS('[36]frm P6'!$K:$K,'[36]frm P6'!D:D,[36]Schedule!B25,'[36]frm P6'!E:E,[36]Schedule!C25,'[36]frm P6'!F:F,[36]Schedule!D25,'[36]frm P6'!G:G,$L$3,'[36]frm P6'!H:H,[36]Schedule!F25)</f>
        <v>46507</v>
      </c>
      <c r="N25" s="362">
        <f t="shared" si="0"/>
        <v>11</v>
      </c>
      <c r="O25" s="273">
        <v>4</v>
      </c>
      <c r="P25" s="273">
        <v>20.09</v>
      </c>
      <c r="Q25" s="273" t="s">
        <v>443</v>
      </c>
      <c r="R25" s="363">
        <f>VLOOKUP(Q25,[37]导管架!N$2:Q$9,2,0)</f>
        <v>1.2794120795068</v>
      </c>
      <c r="S25" s="364">
        <f>VLOOKUP(Q25,[37]导管架!N$2:Q$9,3,0)</f>
        <v>2.44013540073164</v>
      </c>
      <c r="T25" s="365">
        <f>VLOOKUP(Q25,[37]导管架!N$2:Q$9,4,0)</f>
        <v>4.5668923345527404</v>
      </c>
      <c r="U25" s="366">
        <f t="shared" si="23"/>
        <v>20.4705932721088</v>
      </c>
      <c r="V25" s="366">
        <f t="shared" si="24"/>
        <v>429.46383052876899</v>
      </c>
      <c r="W25" s="367">
        <f t="shared" si="25"/>
        <v>146.140554705688</v>
      </c>
      <c r="X25" s="368" t="s">
        <v>424</v>
      </c>
      <c r="Y25" s="368" t="s">
        <v>424</v>
      </c>
      <c r="Z25" s="369" t="s">
        <v>424</v>
      </c>
      <c r="AA25" s="361">
        <f>SUMIFS('[36]frm P6'!$J:$J,'[36]frm P6'!D:D,[36]Schedule!B25,'[36]frm P6'!E:E,[36]Schedule!C25,'[36]frm P6'!F:F,[36]Schedule!D25,'[36]frm P6'!G:G,[36]Schedule!$Z$3,'[36]frm P6'!H:H,[36]Schedule!F25)</f>
        <v>46438</v>
      </c>
      <c r="AB25" s="361">
        <f>SUMIFS('[36]frm P6'!$K:$K,'[36]frm P6'!D:D,[36]Schedule!B25,'[36]frm P6'!E:E,[36]Schedule!C25,'[36]frm P6'!F:F,[36]Schedule!D25,'[36]frm P6'!G:G,[36]Schedule!$Z$3,'[36]frm P6'!H:H,[36]Schedule!F25)</f>
        <v>46470</v>
      </c>
      <c r="AC25" s="362">
        <f t="shared" si="15"/>
        <v>33</v>
      </c>
      <c r="AD25" s="274">
        <v>22</v>
      </c>
      <c r="AE25" s="273">
        <v>58.93</v>
      </c>
      <c r="AF25" s="273" t="s">
        <v>444</v>
      </c>
      <c r="AG25" s="370">
        <f>SUMIFS('[36]frm P6'!$J:$J,'[36]frm P6'!D:D,[36]Schedule!B25,'[36]frm P6'!E:E,[36]Schedule!C25,'[36]frm P6'!F:F,[36]Schedule!D25,'[36]frm P6'!G:G,[36]Schedule!$AF$3,'[36]frm P6'!H:H,[36]Schedule!F25)</f>
        <v>46389</v>
      </c>
      <c r="AH25" s="361">
        <f>SUMIFS('[36]frm P6'!$K:$K,'[36]frm P6'!D:D,[36]Schedule!B25,'[36]frm P6'!E:E,[36]Schedule!C25,'[36]frm P6'!F:F,[36]Schedule!D25,'[36]frm P6'!G:G,[36]Schedule!$AF$3,'[36]frm P6'!H:H,[36]Schedule!F25)</f>
        <v>46416</v>
      </c>
      <c r="AI25" s="362">
        <f t="shared" si="16"/>
        <v>28</v>
      </c>
      <c r="AJ25" s="273">
        <v>2</v>
      </c>
      <c r="AK25" s="273">
        <v>12.65</v>
      </c>
      <c r="AL25" s="371">
        <v>450</v>
      </c>
      <c r="AM25" s="361">
        <f>SUMIFS('[36]frm P6'!$J:$J,'[36]frm P6'!D:D,[36]Schedule!B25,'[36]frm P6'!E:E,[36]Schedule!C25,'[36]frm P6'!F:F,[36]Schedule!D25,'[36]frm P6'!G:G,[36]Schedule!$AL$3,'[36]frm P6'!H:H,[36]Schedule!F25)</f>
        <v>46346</v>
      </c>
      <c r="AN25" s="361">
        <f>SUMIFS('[36]frm P6'!$K:$K,'[36]frm P6'!D:D,[36]Schedule!B25,'[36]frm P6'!E:E,[36]Schedule!C25,'[36]frm P6'!F:F,[36]Schedule!D25,'[36]frm P6'!G:G,[36]Schedule!$AL$3,'[36]frm P6'!H:H,[36]Schedule!F25)</f>
        <v>46371</v>
      </c>
      <c r="AO25" s="362">
        <f t="shared" si="4"/>
        <v>26</v>
      </c>
      <c r="AP25" s="273">
        <v>7</v>
      </c>
      <c r="AQ25" s="273" t="s">
        <v>427</v>
      </c>
      <c r="AR25" s="372">
        <v>62</v>
      </c>
      <c r="AS25" s="368">
        <f t="shared" si="17"/>
        <v>46343</v>
      </c>
      <c r="AT25" s="368">
        <f t="shared" si="8"/>
        <v>46283</v>
      </c>
      <c r="AU25" s="377">
        <f t="shared" si="18"/>
        <v>46268</v>
      </c>
      <c r="AV25" s="368">
        <f t="shared" si="19"/>
        <v>46342</v>
      </c>
      <c r="AW25" s="368">
        <f t="shared" si="20"/>
        <v>46332</v>
      </c>
      <c r="AX25" s="378">
        <f t="shared" si="21"/>
        <v>58</v>
      </c>
      <c r="AY25" s="368">
        <v>46274</v>
      </c>
      <c r="AZ25" s="362" t="s">
        <v>465</v>
      </c>
      <c r="BA25" s="375" t="s">
        <v>430</v>
      </c>
      <c r="BB25" s="376"/>
      <c r="BE25" s="277"/>
      <c r="BF25" s="278"/>
    </row>
    <row r="26" spans="2:58" s="269" customFormat="1">
      <c r="B26" s="357" t="s">
        <v>419</v>
      </c>
      <c r="C26" s="357" t="s">
        <v>445</v>
      </c>
      <c r="D26" s="357" t="s">
        <v>421</v>
      </c>
      <c r="E26" s="357"/>
      <c r="F26" s="357" t="s">
        <v>464</v>
      </c>
      <c r="G26" s="357"/>
      <c r="H26" s="358">
        <v>8</v>
      </c>
      <c r="I26" s="271" t="s">
        <v>446</v>
      </c>
      <c r="J26" s="359">
        <v>2.75</v>
      </c>
      <c r="K26" s="360">
        <f t="shared" ref="K26:K32" si="26">L26-Y26</f>
        <v>23</v>
      </c>
      <c r="L26" s="361">
        <f>SUMIFS('[36]frm P6'!$J:$J,'[36]frm P6'!D:D,[36]Schedule!B26,'[36]frm P6'!E:E,[36]Schedule!C26,'[36]frm P6'!F:F,[36]Schedule!D26,'[36]frm P6'!G:G,$L$3,'[36]frm P6'!H:H,[36]Schedule!F26)</f>
        <v>46507</v>
      </c>
      <c r="M26" s="361">
        <f>SUMIFS('[36]frm P6'!$K:$K,'[36]frm P6'!D:D,[36]Schedule!B26,'[36]frm P6'!E:E,[36]Schedule!C26,'[36]frm P6'!F:F,[36]Schedule!D26,'[36]frm P6'!G:G,$L$3,'[36]frm P6'!H:H,[36]Schedule!F26)</f>
        <v>46512</v>
      </c>
      <c r="N26" s="362">
        <f t="shared" si="0"/>
        <v>6</v>
      </c>
      <c r="O26" s="273">
        <v>2</v>
      </c>
      <c r="P26" s="273">
        <v>10.23</v>
      </c>
      <c r="Q26" s="273">
        <v>550</v>
      </c>
      <c r="R26" s="363">
        <f>VLOOKUP(Q26,[37]导管架!N$2:Q$9,2,0)</f>
        <v>1.3143211000633901</v>
      </c>
      <c r="S26" s="364">
        <f>VLOOKUP(Q26,[37]导管架!N$2:Q$9,3,0)</f>
        <v>2.5063170855368502</v>
      </c>
      <c r="T26" s="365">
        <f>VLOOKUP(Q26,[37]导管架!N$2:Q$9,4,0)</f>
        <v>4.6771951425614198</v>
      </c>
      <c r="U26" s="366">
        <f t="shared" si="23"/>
        <v>31.543706401521501</v>
      </c>
      <c r="V26" s="366">
        <f t="shared" si="24"/>
        <v>40.101073368589603</v>
      </c>
      <c r="W26" s="367">
        <f t="shared" si="25"/>
        <v>74.835122280982702</v>
      </c>
      <c r="X26" s="361">
        <f>SUMIFS('[36]frm P6'!$J:$J,'[36]frm P6'!D:D,[36]Schedule!B26,'[36]frm P6'!E:E,[36]Schedule!C26,'[36]frm P6'!G:G,[36]Schedule!$W$3,'[36]frm P6'!H:H,[36]Schedule!F26)</f>
        <v>46468</v>
      </c>
      <c r="Y26" s="361">
        <f>SUMIFS('[36]frm P6'!$K:$K,'[36]frm P6'!D:D,[36]Schedule!B26,'[36]frm P6'!E:E,[36]Schedule!C26,'[36]frm P6'!G:G,[36]Schedule!$W$3,'[36]frm P6'!H:H,[36]Schedule!F26)</f>
        <v>46484</v>
      </c>
      <c r="Z26" s="369">
        <f t="shared" ref="Z26:Z32" si="27">Y26-X26+1</f>
        <v>17</v>
      </c>
      <c r="AA26" s="361">
        <f>SUMIFS('[36]frm P6'!$J:$J,'[36]frm P6'!D:D,[36]Schedule!B26,'[36]frm P6'!E:E,[36]Schedule!C26,'[36]frm P6'!F:F,[36]Schedule!D26,'[36]frm P6'!G:G,[36]Schedule!$Z$3,'[36]frm P6'!H:H,[36]Schedule!F26)</f>
        <v>46447</v>
      </c>
      <c r="AB26" s="361">
        <f>SUMIFS('[36]frm P6'!$K:$K,'[36]frm P6'!D:D,[36]Schedule!B26,'[36]frm P6'!E:E,[36]Schedule!C26,'[36]frm P6'!F:F,[36]Schedule!D26,'[36]frm P6'!G:G,[36]Schedule!$Z$3,'[36]frm P6'!H:H,[36]Schedule!F26)</f>
        <v>46462</v>
      </c>
      <c r="AC26" s="362">
        <f t="shared" si="15"/>
        <v>16</v>
      </c>
      <c r="AD26" s="274">
        <v>2</v>
      </c>
      <c r="AE26" s="273">
        <v>10.23</v>
      </c>
      <c r="AF26" s="273">
        <v>550</v>
      </c>
      <c r="AG26" s="370">
        <f>SUMIFS('[36]frm P6'!$J:$J,'[36]frm P6'!D:D,[36]Schedule!B26,'[36]frm P6'!E:E,[36]Schedule!C26,'[36]frm P6'!F:F,[36]Schedule!D26,'[36]frm P6'!G:G,[36]Schedule!$AF$3,'[36]frm P6'!H:H,[36]Schedule!F26)</f>
        <v>46405</v>
      </c>
      <c r="AH26" s="361">
        <f>SUMIFS('[36]frm P6'!$K:$K,'[36]frm P6'!D:D,[36]Schedule!B26,'[36]frm P6'!E:E,[36]Schedule!C26,'[36]frm P6'!F:F,[36]Schedule!D26,'[36]frm P6'!G:G,[36]Schedule!$AF$3,'[36]frm P6'!H:H,[36]Schedule!F26)</f>
        <v>46434</v>
      </c>
      <c r="AI26" s="362">
        <f t="shared" si="16"/>
        <v>30</v>
      </c>
      <c r="AJ26" s="273">
        <v>3</v>
      </c>
      <c r="AK26" s="273">
        <v>15.34</v>
      </c>
      <c r="AL26" s="371">
        <v>550</v>
      </c>
      <c r="AM26" s="361">
        <f>SUMIFS('[36]frm P6'!$J:$J,'[36]frm P6'!D:D,[36]Schedule!B26,'[36]frm P6'!E:E,[36]Schedule!C26,'[36]frm P6'!F:F,[36]Schedule!D26,'[36]frm P6'!G:G,[36]Schedule!$AL$3,'[36]frm P6'!H:H,[36]Schedule!F26)</f>
        <v>46366</v>
      </c>
      <c r="AN26" s="361">
        <f>SUMIFS('[36]frm P6'!$K:$K,'[36]frm P6'!D:D,[36]Schedule!B26,'[36]frm P6'!E:E,[36]Schedule!C26,'[36]frm P6'!F:F,[36]Schedule!D26,'[36]frm P6'!G:G,[36]Schedule!$AL$3,'[36]frm P6'!H:H,[36]Schedule!F26)</f>
        <v>46392</v>
      </c>
      <c r="AO26" s="362">
        <f t="shared" si="4"/>
        <v>27</v>
      </c>
      <c r="AP26" s="273">
        <v>5</v>
      </c>
      <c r="AQ26" s="273">
        <v>550</v>
      </c>
      <c r="AR26" s="372">
        <v>62</v>
      </c>
      <c r="AS26" s="368">
        <f t="shared" si="17"/>
        <v>46363</v>
      </c>
      <c r="AT26" s="368">
        <f t="shared" si="8"/>
        <v>46303</v>
      </c>
      <c r="AU26" s="377">
        <f t="shared" si="18"/>
        <v>46288</v>
      </c>
      <c r="AV26" s="368">
        <f t="shared" si="19"/>
        <v>46362</v>
      </c>
      <c r="AW26" s="368">
        <f t="shared" si="20"/>
        <v>46352</v>
      </c>
      <c r="AX26" s="378">
        <f t="shared" si="21"/>
        <v>83</v>
      </c>
      <c r="AY26" s="368">
        <v>46269</v>
      </c>
      <c r="AZ26" s="362" t="s">
        <v>466</v>
      </c>
      <c r="BA26" s="375" t="s">
        <v>436</v>
      </c>
      <c r="BB26" s="376"/>
      <c r="BE26" s="277"/>
      <c r="BF26" s="278"/>
    </row>
    <row r="27" spans="2:58" s="269" customFormat="1">
      <c r="B27" s="357" t="s">
        <v>419</v>
      </c>
      <c r="C27" s="357" t="s">
        <v>447</v>
      </c>
      <c r="D27" s="357" t="s">
        <v>421</v>
      </c>
      <c r="E27" s="357"/>
      <c r="F27" s="357" t="s">
        <v>464</v>
      </c>
      <c r="G27" s="357"/>
      <c r="H27" s="358">
        <v>9</v>
      </c>
      <c r="I27" s="271" t="s">
        <v>448</v>
      </c>
      <c r="J27" s="359">
        <v>2.75</v>
      </c>
      <c r="K27" s="360">
        <f t="shared" si="26"/>
        <v>13</v>
      </c>
      <c r="L27" s="361">
        <f>SUMIFS('[36]frm P6'!$J:$J,'[36]frm P6'!D:D,[36]Schedule!B27,'[36]frm P6'!E:E,[36]Schedule!C27,'[36]frm P6'!F:F,[36]Schedule!D27,'[36]frm P6'!G:G,$L$3,'[36]frm P6'!H:H,[36]Schedule!F27)</f>
        <v>46512</v>
      </c>
      <c r="M27" s="361">
        <f>SUMIFS('[36]frm P6'!$K:$K,'[36]frm P6'!D:D,[36]Schedule!B27,'[36]frm P6'!E:E,[36]Schedule!C27,'[36]frm P6'!F:F,[36]Schedule!D27,'[36]frm P6'!G:G,$L$3,'[36]frm P6'!H:H,[36]Schedule!F27)</f>
        <v>46517</v>
      </c>
      <c r="N27" s="362">
        <f t="shared" si="0"/>
        <v>6</v>
      </c>
      <c r="O27" s="273">
        <v>2</v>
      </c>
      <c r="P27" s="273">
        <v>10.23</v>
      </c>
      <c r="Q27" s="273">
        <v>550</v>
      </c>
      <c r="R27" s="363">
        <f>VLOOKUP(Q27,[37]导管架!N$2:Q$9,2,0)</f>
        <v>1.3143211000633901</v>
      </c>
      <c r="S27" s="364">
        <f>VLOOKUP(Q27,[37]导管架!N$2:Q$9,3,0)</f>
        <v>2.5063170855368502</v>
      </c>
      <c r="T27" s="365">
        <f>VLOOKUP(Q27,[37]导管架!N$2:Q$9,4,0)</f>
        <v>4.6771951425614198</v>
      </c>
      <c r="U27" s="366">
        <f t="shared" si="23"/>
        <v>31.543706401521501</v>
      </c>
      <c r="V27" s="366">
        <f t="shared" si="24"/>
        <v>40.101073368589603</v>
      </c>
      <c r="W27" s="367">
        <f t="shared" si="25"/>
        <v>74.835122280982702</v>
      </c>
      <c r="X27" s="361">
        <f>SUMIFS('[36]frm P6'!$J:$J,'[36]frm P6'!D:D,[36]Schedule!B27,'[36]frm P6'!E:E,[36]Schedule!C27,'[36]frm P6'!G:G,[36]Schedule!$W$3,'[36]frm P6'!H:H,[36]Schedule!F27)</f>
        <v>46484</v>
      </c>
      <c r="Y27" s="361">
        <f>SUMIFS('[36]frm P6'!$K:$K,'[36]frm P6'!D:D,[36]Schedule!B27,'[36]frm P6'!E:E,[36]Schedule!C27,'[36]frm P6'!G:G,[36]Schedule!$W$3,'[36]frm P6'!H:H,[36]Schedule!F27)</f>
        <v>46499</v>
      </c>
      <c r="Z27" s="369">
        <f t="shared" si="27"/>
        <v>16</v>
      </c>
      <c r="AA27" s="361">
        <f>SUMIFS('[36]frm P6'!$J:$J,'[36]frm P6'!D:D,[36]Schedule!B27,'[36]frm P6'!E:E,[36]Schedule!C27,'[36]frm P6'!F:F,[36]Schedule!D27,'[36]frm P6'!G:G,[36]Schedule!$Z$3,'[36]frm P6'!H:H,[36]Schedule!F27)</f>
        <v>46459</v>
      </c>
      <c r="AB27" s="361">
        <f>SUMIFS('[36]frm P6'!$K:$K,'[36]frm P6'!D:D,[36]Schedule!B27,'[36]frm P6'!E:E,[36]Schedule!C27,'[36]frm P6'!F:F,[36]Schedule!D27,'[36]frm P6'!G:G,[36]Schedule!$Z$3,'[36]frm P6'!H:H,[36]Schedule!F27)</f>
        <v>46477</v>
      </c>
      <c r="AC27" s="362">
        <f t="shared" si="15"/>
        <v>19</v>
      </c>
      <c r="AD27" s="274">
        <v>2</v>
      </c>
      <c r="AE27" s="273">
        <v>10.23</v>
      </c>
      <c r="AF27" s="273">
        <v>550</v>
      </c>
      <c r="AG27" s="370">
        <f>SUMIFS('[36]frm P6'!$J:$J,'[36]frm P6'!D:D,[36]Schedule!B27,'[36]frm P6'!E:E,[36]Schedule!C27,'[36]frm P6'!F:F,[36]Schedule!D27,'[36]frm P6'!G:G,[36]Schedule!$AF$3,'[36]frm P6'!H:H,[36]Schedule!F27)</f>
        <v>46421</v>
      </c>
      <c r="AH27" s="361">
        <f>SUMIFS('[36]frm P6'!$K:$K,'[36]frm P6'!D:D,[36]Schedule!B27,'[36]frm P6'!E:E,[36]Schedule!C27,'[36]frm P6'!F:F,[36]Schedule!D27,'[36]frm P6'!G:G,[36]Schedule!$AF$3,'[36]frm P6'!H:H,[36]Schedule!F27)</f>
        <v>46450</v>
      </c>
      <c r="AI27" s="362">
        <f t="shared" si="16"/>
        <v>30</v>
      </c>
      <c r="AJ27" s="273">
        <v>3</v>
      </c>
      <c r="AK27" s="273">
        <v>15.34</v>
      </c>
      <c r="AL27" s="371">
        <v>550</v>
      </c>
      <c r="AM27" s="361">
        <f>SUMIFS('[36]frm P6'!$J:$J,'[36]frm P6'!D:D,[36]Schedule!B27,'[36]frm P6'!E:E,[36]Schedule!C27,'[36]frm P6'!F:F,[36]Schedule!D27,'[36]frm P6'!G:G,[36]Schedule!$AL$3,'[36]frm P6'!H:H,[36]Schedule!F27)</f>
        <v>46386</v>
      </c>
      <c r="AN27" s="361">
        <f>SUMIFS('[36]frm P6'!$K:$K,'[36]frm P6'!D:D,[36]Schedule!B27,'[36]frm P6'!E:E,[36]Schedule!C27,'[36]frm P6'!F:F,[36]Schedule!D27,'[36]frm P6'!G:G,[36]Schedule!$AL$3,'[36]frm P6'!H:H,[36]Schedule!F27)</f>
        <v>46412</v>
      </c>
      <c r="AO27" s="362">
        <f t="shared" si="4"/>
        <v>27</v>
      </c>
      <c r="AP27" s="273">
        <v>7</v>
      </c>
      <c r="AQ27" s="273">
        <v>550</v>
      </c>
      <c r="AR27" s="372">
        <v>62</v>
      </c>
      <c r="AS27" s="368">
        <f t="shared" si="17"/>
        <v>46383</v>
      </c>
      <c r="AT27" s="368">
        <f t="shared" si="8"/>
        <v>46323</v>
      </c>
      <c r="AU27" s="377">
        <f t="shared" si="18"/>
        <v>46308</v>
      </c>
      <c r="AV27" s="368">
        <f t="shared" si="19"/>
        <v>46382</v>
      </c>
      <c r="AW27" s="368">
        <f t="shared" si="20"/>
        <v>46372</v>
      </c>
      <c r="AX27" s="378">
        <f t="shared" si="21"/>
        <v>103</v>
      </c>
      <c r="AY27" s="368">
        <v>46269</v>
      </c>
      <c r="AZ27" s="362" t="s">
        <v>466</v>
      </c>
      <c r="BA27" s="375" t="s">
        <v>436</v>
      </c>
      <c r="BB27" s="376"/>
      <c r="BE27" s="277"/>
      <c r="BF27" s="278"/>
    </row>
    <row r="28" spans="2:58" s="269" customFormat="1">
      <c r="B28" s="357" t="s">
        <v>419</v>
      </c>
      <c r="C28" s="357" t="s">
        <v>449</v>
      </c>
      <c r="D28" s="357" t="s">
        <v>421</v>
      </c>
      <c r="E28" s="357"/>
      <c r="F28" s="357" t="s">
        <v>464</v>
      </c>
      <c r="G28" s="357"/>
      <c r="H28" s="358">
        <v>10</v>
      </c>
      <c r="I28" s="271" t="s">
        <v>450</v>
      </c>
      <c r="J28" s="359">
        <v>15</v>
      </c>
      <c r="K28" s="360">
        <f t="shared" si="26"/>
        <v>19</v>
      </c>
      <c r="L28" s="361">
        <f>SUMIFS('[36]frm P6'!$J:$J,'[36]frm P6'!D:D,[36]Schedule!B28,'[36]frm P6'!E:E,[36]Schedule!C28,'[36]frm P6'!F:F,[36]Schedule!D28,'[36]frm P6'!G:G,$L$3,'[36]frm P6'!H:H,[36]Schedule!F28)</f>
        <v>46517</v>
      </c>
      <c r="M28" s="361">
        <f>SUMIFS('[36]frm P6'!$K:$K,'[36]frm P6'!D:D,[36]Schedule!B28,'[36]frm P6'!E:E,[36]Schedule!C28,'[36]frm P6'!F:F,[36]Schedule!D28,'[36]frm P6'!G:G,$L$3,'[36]frm P6'!H:H,[36]Schedule!F28)</f>
        <v>46526</v>
      </c>
      <c r="N28" s="362">
        <f t="shared" si="0"/>
        <v>10</v>
      </c>
      <c r="O28" s="273">
        <v>4</v>
      </c>
      <c r="P28" s="273">
        <v>31.04</v>
      </c>
      <c r="Q28" s="273" t="s">
        <v>427</v>
      </c>
      <c r="R28" s="363">
        <f>VLOOKUP(Q28,[37]导管架!N$2:Q$9,2,0)</f>
        <v>1.2968665897850999</v>
      </c>
      <c r="S28" s="364">
        <f>VLOOKUP(Q28,[37]导管架!N$2:Q$9,3,0)</f>
        <v>2.47322624313425</v>
      </c>
      <c r="T28" s="365">
        <f>VLOOKUP(Q28,[37]导管架!N$2:Q$9,4,0)</f>
        <v>4.6220437385570801</v>
      </c>
      <c r="U28" s="366">
        <f t="shared" si="23"/>
        <v>41.499730873123099</v>
      </c>
      <c r="V28" s="366">
        <f t="shared" si="24"/>
        <v>435.28781879162801</v>
      </c>
      <c r="W28" s="367">
        <f t="shared" si="25"/>
        <v>147.90539963382699</v>
      </c>
      <c r="X28" s="361">
        <f>SUMIFS('[36]frm P6'!$J:$J,'[36]frm P6'!D:D,[36]Schedule!B28,'[36]frm P6'!E:E,[36]Schedule!C28,'[36]frm P6'!G:G,[36]Schedule!$W$3,'[36]frm P6'!H:H,[36]Schedule!F28)</f>
        <v>46483</v>
      </c>
      <c r="Y28" s="361">
        <f>SUMIFS('[36]frm P6'!$K:$K,'[36]frm P6'!D:D,[36]Schedule!B28,'[36]frm P6'!E:E,[36]Schedule!C28,'[36]frm P6'!G:G,[36]Schedule!$W$3,'[36]frm P6'!H:H,[36]Schedule!F28)</f>
        <v>46498</v>
      </c>
      <c r="Z28" s="369">
        <f t="shared" si="27"/>
        <v>16</v>
      </c>
      <c r="AA28" s="361">
        <f>SUMIFS('[36]frm P6'!$J:$J,'[36]frm P6'!D:D,[36]Schedule!B28,'[36]frm P6'!E:E,[36]Schedule!C28,'[36]frm P6'!F:F,[36]Schedule!D28,'[36]frm P6'!G:G,[36]Schedule!$Z$3,'[36]frm P6'!H:H,[36]Schedule!F28)</f>
        <v>46444</v>
      </c>
      <c r="AB28" s="361">
        <f>SUMIFS('[36]frm P6'!$K:$K,'[36]frm P6'!D:D,[36]Schedule!B28,'[36]frm P6'!E:E,[36]Schedule!C28,'[36]frm P6'!F:F,[36]Schedule!D28,'[36]frm P6'!G:G,[36]Schedule!$Z$3,'[36]frm P6'!H:H,[36]Schedule!F28)</f>
        <v>46476</v>
      </c>
      <c r="AC28" s="362">
        <f t="shared" si="15"/>
        <v>33</v>
      </c>
      <c r="AD28" s="274">
        <v>22</v>
      </c>
      <c r="AE28" s="273">
        <v>70.12</v>
      </c>
      <c r="AF28" s="273" t="s">
        <v>444</v>
      </c>
      <c r="AG28" s="370">
        <f>SUMIFS('[36]frm P6'!$J:$J,'[36]frm P6'!D:D,[36]Schedule!B28,'[36]frm P6'!E:E,[36]Schedule!C28,'[36]frm P6'!F:F,[36]Schedule!D28,'[36]frm P6'!G:G,[36]Schedule!$AF$3,'[36]frm P6'!H:H,[36]Schedule!F28)</f>
        <v>46400</v>
      </c>
      <c r="AH28" s="361">
        <f>SUMIFS('[36]frm P6'!$K:$K,'[36]frm P6'!D:D,[36]Schedule!B28,'[36]frm P6'!E:E,[36]Schedule!C28,'[36]frm P6'!F:F,[36]Schedule!D28,'[36]frm P6'!G:G,[36]Schedule!$AF$3,'[36]frm P6'!H:H,[36]Schedule!F28)</f>
        <v>46436</v>
      </c>
      <c r="AI28" s="362">
        <f t="shared" si="16"/>
        <v>37</v>
      </c>
      <c r="AJ28" s="273">
        <v>4</v>
      </c>
      <c r="AK28" s="273">
        <v>31.04</v>
      </c>
      <c r="AL28" s="371" t="s">
        <v>427</v>
      </c>
      <c r="AM28" s="361">
        <f>SUMIFS('[36]frm P6'!$J:$J,'[36]frm P6'!D:D,[36]Schedule!B28,'[36]frm P6'!E:E,[36]Schedule!C28,'[36]frm P6'!F:F,[36]Schedule!D28,'[36]frm P6'!G:G,[36]Schedule!$AL$3,'[36]frm P6'!H:H,[36]Schedule!F28)</f>
        <v>46363</v>
      </c>
      <c r="AN28" s="361">
        <f>SUMIFS('[36]frm P6'!$K:$K,'[36]frm P6'!D:D,[36]Schedule!B28,'[36]frm P6'!E:E,[36]Schedule!C28,'[36]frm P6'!F:F,[36]Schedule!D28,'[36]frm P6'!G:G,[36]Schedule!$AL$3,'[36]frm P6'!H:H,[36]Schedule!F28)</f>
        <v>46392</v>
      </c>
      <c r="AO28" s="362">
        <f t="shared" si="4"/>
        <v>30</v>
      </c>
      <c r="AP28" s="273">
        <v>9</v>
      </c>
      <c r="AQ28" s="273" t="s">
        <v>427</v>
      </c>
      <c r="AR28" s="372">
        <v>62</v>
      </c>
      <c r="AS28" s="368">
        <f t="shared" si="17"/>
        <v>46360</v>
      </c>
      <c r="AT28" s="368">
        <f t="shared" si="8"/>
        <v>46300</v>
      </c>
      <c r="AU28" s="377">
        <f t="shared" si="18"/>
        <v>46285</v>
      </c>
      <c r="AV28" s="368">
        <f t="shared" si="19"/>
        <v>46359</v>
      </c>
      <c r="AW28" s="368">
        <f t="shared" si="20"/>
        <v>46349</v>
      </c>
      <c r="AX28" s="378">
        <f t="shared" si="21"/>
        <v>75</v>
      </c>
      <c r="AY28" s="368">
        <v>46274</v>
      </c>
      <c r="AZ28" s="362" t="s">
        <v>465</v>
      </c>
      <c r="BA28" s="375" t="s">
        <v>430</v>
      </c>
      <c r="BB28" s="376"/>
      <c r="BE28" s="277"/>
      <c r="BF28" s="278"/>
    </row>
    <row r="29" spans="2:58" s="269" customFormat="1">
      <c r="B29" s="357" t="s">
        <v>419</v>
      </c>
      <c r="C29" s="357" t="s">
        <v>451</v>
      </c>
      <c r="D29" s="357" t="s">
        <v>421</v>
      </c>
      <c r="E29" s="357"/>
      <c r="F29" s="357" t="s">
        <v>464</v>
      </c>
      <c r="G29" s="357"/>
      <c r="H29" s="358">
        <v>11</v>
      </c>
      <c r="I29" s="271" t="s">
        <v>452</v>
      </c>
      <c r="J29" s="359">
        <v>2</v>
      </c>
      <c r="K29" s="360">
        <f t="shared" si="26"/>
        <v>13</v>
      </c>
      <c r="L29" s="361">
        <f>SUMIFS('[36]frm P6'!$J:$J,'[36]frm P6'!D:D,[36]Schedule!B29,'[36]frm P6'!E:E,[36]Schedule!C29,'[36]frm P6'!F:F,[36]Schedule!D29,'[36]frm P6'!G:G,$L$3,'[36]frm P6'!H:H,[36]Schedule!F29)</f>
        <v>46526</v>
      </c>
      <c r="M29" s="361">
        <f>SUMIFS('[36]frm P6'!$K:$K,'[36]frm P6'!D:D,[36]Schedule!B29,'[36]frm P6'!E:E,[36]Schedule!C29,'[36]frm P6'!F:F,[36]Schedule!D29,'[36]frm P6'!G:G,$L$3,'[36]frm P6'!H:H,[36]Schedule!F29)</f>
        <v>46529</v>
      </c>
      <c r="N29" s="362">
        <f t="shared" si="0"/>
        <v>4</v>
      </c>
      <c r="O29" s="273">
        <v>2</v>
      </c>
      <c r="P29" s="273">
        <v>7.33</v>
      </c>
      <c r="Q29" s="273">
        <v>550</v>
      </c>
      <c r="R29" s="363">
        <f>VLOOKUP(Q29,[37]导管架!N$2:Q$9,2,0)</f>
        <v>1.3143211000633901</v>
      </c>
      <c r="S29" s="364">
        <f>VLOOKUP(Q29,[37]导管架!N$2:Q$9,3,0)</f>
        <v>2.5063170855368502</v>
      </c>
      <c r="T29" s="365">
        <f>VLOOKUP(Q29,[37]导管架!N$2:Q$9,4,0)</f>
        <v>4.6771951425614198</v>
      </c>
      <c r="U29" s="366">
        <f t="shared" si="23"/>
        <v>21.029137601014298</v>
      </c>
      <c r="V29" s="366">
        <f t="shared" si="24"/>
        <v>40.101073368589603</v>
      </c>
      <c r="W29" s="367">
        <f t="shared" si="25"/>
        <v>74.835122280982702</v>
      </c>
      <c r="X29" s="361">
        <f>SUMIFS('[36]frm P6'!$J:$J,'[36]frm P6'!D:D,[36]Schedule!B29,'[36]frm P6'!E:E,[36]Schedule!C29,'[36]frm P6'!G:G,[36]Schedule!$W$3,'[36]frm P6'!H:H,[36]Schedule!F29)</f>
        <v>46497</v>
      </c>
      <c r="Y29" s="361">
        <f>SUMIFS('[36]frm P6'!$K:$K,'[36]frm P6'!D:D,[36]Schedule!B29,'[36]frm P6'!E:E,[36]Schedule!C29,'[36]frm P6'!G:G,[36]Schedule!$W$3,'[36]frm P6'!H:H,[36]Schedule!F29)</f>
        <v>46513</v>
      </c>
      <c r="Z29" s="369">
        <f t="shared" si="27"/>
        <v>17</v>
      </c>
      <c r="AA29" s="361">
        <f>SUMIFS('[36]frm P6'!$J:$J,'[36]frm P6'!D:D,[36]Schedule!B29,'[36]frm P6'!E:E,[36]Schedule!C29,'[36]frm P6'!F:F,[36]Schedule!D29,'[36]frm P6'!G:G,[36]Schedule!$Z$3,'[36]frm P6'!H:H,[36]Schedule!F29)</f>
        <v>46471</v>
      </c>
      <c r="AB29" s="361">
        <f>SUMIFS('[36]frm P6'!$K:$K,'[36]frm P6'!D:D,[36]Schedule!B29,'[36]frm P6'!E:E,[36]Schedule!C29,'[36]frm P6'!F:F,[36]Schedule!D29,'[36]frm P6'!G:G,[36]Schedule!$Z$3,'[36]frm P6'!H:H,[36]Schedule!F29)</f>
        <v>46487</v>
      </c>
      <c r="AC29" s="362">
        <f t="shared" si="15"/>
        <v>17</v>
      </c>
      <c r="AD29" s="274">
        <v>2</v>
      </c>
      <c r="AE29" s="273">
        <v>7.33</v>
      </c>
      <c r="AF29" s="273">
        <v>550</v>
      </c>
      <c r="AG29" s="370">
        <f>SUMIFS('[36]frm P6'!$J:$J,'[36]frm P6'!D:D,[36]Schedule!B29,'[36]frm P6'!E:E,[36]Schedule!C29,'[36]frm P6'!F:F,[36]Schedule!D29,'[36]frm P6'!G:G,[36]Schedule!$AF$3,'[36]frm P6'!H:H,[36]Schedule!F29)</f>
        <v>46443</v>
      </c>
      <c r="AH29" s="361">
        <f>SUMIFS('[36]frm P6'!$K:$K,'[36]frm P6'!D:D,[36]Schedule!B29,'[36]frm P6'!E:E,[36]Schedule!C29,'[36]frm P6'!F:F,[36]Schedule!D29,'[36]frm P6'!G:G,[36]Schedule!$AF$3,'[36]frm P6'!H:H,[36]Schedule!F29)</f>
        <v>46463</v>
      </c>
      <c r="AI29" s="362">
        <f t="shared" si="16"/>
        <v>21</v>
      </c>
      <c r="AJ29" s="273">
        <v>2</v>
      </c>
      <c r="AK29" s="273">
        <v>7.33</v>
      </c>
      <c r="AL29" s="371">
        <v>550</v>
      </c>
      <c r="AM29" s="361">
        <f>SUMIFS('[36]frm P6'!$J:$J,'[36]frm P6'!D:D,[36]Schedule!B29,'[36]frm P6'!E:E,[36]Schedule!C29,'[36]frm P6'!F:F,[36]Schedule!D29,'[36]frm P6'!G:G,[36]Schedule!$AL$3,'[36]frm P6'!H:H,[36]Schedule!F29)</f>
        <v>46380</v>
      </c>
      <c r="AN29" s="361">
        <f>SUMIFS('[36]frm P6'!$K:$K,'[36]frm P6'!D:D,[36]Schedule!B29,'[36]frm P6'!E:E,[36]Schedule!C29,'[36]frm P6'!F:F,[36]Schedule!D29,'[36]frm P6'!G:G,[36]Schedule!$AL$3,'[36]frm P6'!H:H,[36]Schedule!F29)</f>
        <v>46409</v>
      </c>
      <c r="AO29" s="362">
        <f t="shared" si="4"/>
        <v>30</v>
      </c>
      <c r="AP29" s="273">
        <v>5</v>
      </c>
      <c r="AQ29" s="273">
        <v>550</v>
      </c>
      <c r="AR29" s="372">
        <v>62</v>
      </c>
      <c r="AS29" s="368">
        <f t="shared" si="17"/>
        <v>46377</v>
      </c>
      <c r="AT29" s="368">
        <f t="shared" si="8"/>
        <v>46317</v>
      </c>
      <c r="AU29" s="377">
        <f t="shared" si="18"/>
        <v>46302</v>
      </c>
      <c r="AV29" s="368">
        <f t="shared" si="19"/>
        <v>46376</v>
      </c>
      <c r="AW29" s="368">
        <f t="shared" si="20"/>
        <v>46366</v>
      </c>
      <c r="AX29" s="378">
        <f t="shared" si="21"/>
        <v>97</v>
      </c>
      <c r="AY29" s="368">
        <v>46269</v>
      </c>
      <c r="AZ29" s="362" t="s">
        <v>466</v>
      </c>
      <c r="BA29" s="375" t="s">
        <v>436</v>
      </c>
      <c r="BB29" s="376"/>
      <c r="BE29" s="277"/>
      <c r="BF29" s="278"/>
    </row>
    <row r="30" spans="2:58" s="269" customFormat="1">
      <c r="B30" s="357" t="s">
        <v>419</v>
      </c>
      <c r="C30" s="357" t="s">
        <v>453</v>
      </c>
      <c r="D30" s="357" t="s">
        <v>421</v>
      </c>
      <c r="E30" s="357"/>
      <c r="F30" s="357" t="s">
        <v>464</v>
      </c>
      <c r="G30" s="357"/>
      <c r="H30" s="358">
        <v>12</v>
      </c>
      <c r="I30" s="271" t="s">
        <v>454</v>
      </c>
      <c r="J30" s="359">
        <v>2</v>
      </c>
      <c r="K30" s="360">
        <f t="shared" si="26"/>
        <v>1</v>
      </c>
      <c r="L30" s="361">
        <f>SUMIFS('[36]frm P6'!$J:$J,'[36]frm P6'!D:D,[36]Schedule!B30,'[36]frm P6'!E:E,[36]Schedule!C30,'[36]frm P6'!F:F,[36]Schedule!D30,'[36]frm P6'!G:G,$L$3,'[36]frm P6'!H:H,[36]Schedule!F30)</f>
        <v>46529</v>
      </c>
      <c r="M30" s="361">
        <f>SUMIFS('[36]frm P6'!$K:$K,'[36]frm P6'!D:D,[36]Schedule!B30,'[36]frm P6'!E:E,[36]Schedule!C30,'[36]frm P6'!F:F,[36]Schedule!D30,'[36]frm P6'!G:G,$L$3,'[36]frm P6'!H:H,[36]Schedule!F30)</f>
        <v>46534</v>
      </c>
      <c r="N30" s="362">
        <f t="shared" si="0"/>
        <v>6</v>
      </c>
      <c r="O30" s="273">
        <v>2</v>
      </c>
      <c r="P30" s="273">
        <v>7.33</v>
      </c>
      <c r="Q30" s="273">
        <v>550</v>
      </c>
      <c r="R30" s="363">
        <f>VLOOKUP(Q30,[37]导管架!N$2:Q$9,2,0)</f>
        <v>1.3143211000633901</v>
      </c>
      <c r="S30" s="364">
        <f>VLOOKUP(Q30,[37]导管架!N$2:Q$9,3,0)</f>
        <v>2.5063170855368502</v>
      </c>
      <c r="T30" s="365">
        <f>VLOOKUP(Q30,[37]导管架!N$2:Q$9,4,0)</f>
        <v>4.6771951425614198</v>
      </c>
      <c r="U30" s="366">
        <f t="shared" si="23"/>
        <v>21.029137601014298</v>
      </c>
      <c r="V30" s="366">
        <f t="shared" si="24"/>
        <v>40.101073368589603</v>
      </c>
      <c r="W30" s="367">
        <f t="shared" si="25"/>
        <v>74.835122280982702</v>
      </c>
      <c r="X30" s="361">
        <f>SUMIFS('[36]frm P6'!$J:$J,'[36]frm P6'!D:D,[36]Schedule!B30,'[36]frm P6'!E:E,[36]Schedule!C30,'[36]frm P6'!G:G,[36]Schedule!$W$3,'[36]frm P6'!H:H,[36]Schedule!F30)</f>
        <v>46513</v>
      </c>
      <c r="Y30" s="361">
        <f>SUMIFS('[36]frm P6'!$K:$K,'[36]frm P6'!D:D,[36]Schedule!B30,'[36]frm P6'!E:E,[36]Schedule!C30,'[36]frm P6'!G:G,[36]Schedule!$W$3,'[36]frm P6'!H:H,[36]Schedule!F30)</f>
        <v>46528</v>
      </c>
      <c r="Z30" s="369">
        <f t="shared" si="27"/>
        <v>16</v>
      </c>
      <c r="AA30" s="361">
        <f>SUMIFS('[36]frm P6'!$J:$J,'[36]frm P6'!D:D,[36]Schedule!B30,'[36]frm P6'!E:E,[36]Schedule!C30,'[36]frm P6'!F:F,[36]Schedule!D30,'[36]frm P6'!G:G,[36]Schedule!$Z$3,'[36]frm P6'!H:H,[36]Schedule!F30)</f>
        <v>46486</v>
      </c>
      <c r="AB30" s="361">
        <f>SUMIFS('[36]frm P6'!$K:$K,'[36]frm P6'!D:D,[36]Schedule!B30,'[36]frm P6'!E:E,[36]Schedule!C30,'[36]frm P6'!F:F,[36]Schedule!D30,'[36]frm P6'!G:G,[36]Schedule!$Z$3,'[36]frm P6'!H:H,[36]Schedule!F30)</f>
        <v>46506</v>
      </c>
      <c r="AC30" s="362">
        <f t="shared" si="15"/>
        <v>21</v>
      </c>
      <c r="AD30" s="274">
        <v>2</v>
      </c>
      <c r="AE30" s="273">
        <v>7.33</v>
      </c>
      <c r="AF30" s="273">
        <v>550</v>
      </c>
      <c r="AG30" s="370">
        <f>SUMIFS('[36]frm P6'!$J:$J,'[36]frm P6'!D:D,[36]Schedule!B30,'[36]frm P6'!E:E,[36]Schedule!C30,'[36]frm P6'!F:F,[36]Schedule!D30,'[36]frm P6'!G:G,[36]Schedule!$AF$3,'[36]frm P6'!H:H,[36]Schedule!F30)</f>
        <v>46454</v>
      </c>
      <c r="AH30" s="361">
        <f>SUMIFS('[36]frm P6'!$K:$K,'[36]frm P6'!D:D,[36]Schedule!B30,'[36]frm P6'!E:E,[36]Schedule!C30,'[36]frm P6'!F:F,[36]Schedule!D30,'[36]frm P6'!G:G,[36]Schedule!$AF$3,'[36]frm P6'!H:H,[36]Schedule!F30)</f>
        <v>46476</v>
      </c>
      <c r="AI30" s="362">
        <f t="shared" si="16"/>
        <v>23</v>
      </c>
      <c r="AJ30" s="273">
        <v>2</v>
      </c>
      <c r="AK30" s="273">
        <v>7.33</v>
      </c>
      <c r="AL30" s="371">
        <v>550</v>
      </c>
      <c r="AM30" s="361">
        <f>SUMIFS('[36]frm P6'!$J:$J,'[36]frm P6'!D:D,[36]Schedule!B30,'[36]frm P6'!E:E,[36]Schedule!C30,'[36]frm P6'!F:F,[36]Schedule!D30,'[36]frm P6'!G:G,[36]Schedule!$AL$3,'[36]frm P6'!H:H,[36]Schedule!F30)</f>
        <v>46389</v>
      </c>
      <c r="AN30" s="361">
        <f>SUMIFS('[36]frm P6'!$K:$K,'[36]frm P6'!D:D,[36]Schedule!B30,'[36]frm P6'!E:E,[36]Schedule!C30,'[36]frm P6'!F:F,[36]Schedule!D30,'[36]frm P6'!G:G,[36]Schedule!$AL$3,'[36]frm P6'!H:H,[36]Schedule!F30)</f>
        <v>46417</v>
      </c>
      <c r="AO30" s="362">
        <f t="shared" si="4"/>
        <v>29</v>
      </c>
      <c r="AP30" s="273">
        <v>5</v>
      </c>
      <c r="AQ30" s="273">
        <v>550</v>
      </c>
      <c r="AR30" s="372">
        <v>62</v>
      </c>
      <c r="AS30" s="368">
        <f t="shared" si="17"/>
        <v>46386</v>
      </c>
      <c r="AT30" s="368">
        <f t="shared" si="8"/>
        <v>46326</v>
      </c>
      <c r="AU30" s="377">
        <f t="shared" si="18"/>
        <v>46311</v>
      </c>
      <c r="AV30" s="368">
        <f t="shared" si="19"/>
        <v>46385</v>
      </c>
      <c r="AW30" s="368">
        <f t="shared" si="20"/>
        <v>46375</v>
      </c>
      <c r="AX30" s="378">
        <f t="shared" si="21"/>
        <v>106</v>
      </c>
      <c r="AY30" s="368">
        <v>46269</v>
      </c>
      <c r="AZ30" s="362" t="s">
        <v>466</v>
      </c>
      <c r="BA30" s="375" t="s">
        <v>436</v>
      </c>
      <c r="BB30" s="376"/>
      <c r="BE30" s="277"/>
      <c r="BF30" s="278"/>
    </row>
    <row r="31" spans="2:58" s="269" customFormat="1">
      <c r="B31" s="357" t="s">
        <v>419</v>
      </c>
      <c r="C31" s="357" t="s">
        <v>455</v>
      </c>
      <c r="D31" s="357" t="s">
        <v>421</v>
      </c>
      <c r="E31" s="357"/>
      <c r="F31" s="357" t="s">
        <v>464</v>
      </c>
      <c r="G31" s="357"/>
      <c r="H31" s="358">
        <v>13</v>
      </c>
      <c r="I31" s="271" t="s">
        <v>456</v>
      </c>
      <c r="J31" s="359">
        <v>14.7</v>
      </c>
      <c r="K31" s="360">
        <f t="shared" si="26"/>
        <v>7</v>
      </c>
      <c r="L31" s="361">
        <f>SUMIFS('[36]frm P6'!$J:$J,'[36]frm P6'!D:D,[36]Schedule!B31,'[36]frm P6'!E:E,[36]Schedule!C31,'[36]frm P6'!F:F,[36]Schedule!D31,'[36]frm P6'!G:G,$L$3,'[36]frm P6'!H:H,[36]Schedule!F31)</f>
        <v>46534</v>
      </c>
      <c r="M31" s="361">
        <f>SUMIFS('[36]frm P6'!$K:$K,'[36]frm P6'!D:D,[36]Schedule!B31,'[36]frm P6'!E:E,[36]Schedule!C31,'[36]frm P6'!F:F,[36]Schedule!D31,'[36]frm P6'!G:G,$L$3,'[36]frm P6'!H:H,[36]Schedule!F31)</f>
        <v>46543</v>
      </c>
      <c r="N31" s="362">
        <f t="shared" si="0"/>
        <v>10</v>
      </c>
      <c r="O31" s="273">
        <v>4</v>
      </c>
      <c r="P31" s="273">
        <v>17.690000000000001</v>
      </c>
      <c r="Q31" s="273" t="s">
        <v>428</v>
      </c>
      <c r="R31" s="363">
        <f>VLOOKUP(Q31,[37]导管架!N$2:Q$9,2,0)</f>
        <v>1.2968665897850999</v>
      </c>
      <c r="S31" s="364">
        <f>VLOOKUP(Q31,[37]导管架!N$2:Q$9,3,0)</f>
        <v>2.47322624313425</v>
      </c>
      <c r="T31" s="365">
        <f>VLOOKUP(Q31,[37]导管架!N$2:Q$9,4,0)</f>
        <v>4.6220437385570801</v>
      </c>
      <c r="U31" s="366">
        <f t="shared" si="23"/>
        <v>41.499730873123099</v>
      </c>
      <c r="V31" s="366">
        <f t="shared" si="24"/>
        <v>435.28781879162801</v>
      </c>
      <c r="W31" s="367">
        <f t="shared" si="25"/>
        <v>147.90539963382699</v>
      </c>
      <c r="X31" s="361">
        <f>SUMIFS('[36]frm P6'!$J:$J,'[36]frm P6'!D:D,[36]Schedule!B31,'[36]frm P6'!E:E,[36]Schedule!C31,'[36]frm P6'!G:G,[36]Schedule!$W$3,'[36]frm P6'!H:H,[36]Schedule!F31)</f>
        <v>46512</v>
      </c>
      <c r="Y31" s="361">
        <f>SUMIFS('[36]frm P6'!$K:$K,'[36]frm P6'!D:D,[36]Schedule!B31,'[36]frm P6'!E:E,[36]Schedule!C31,'[36]frm P6'!G:G,[36]Schedule!$W$3,'[36]frm P6'!H:H,[36]Schedule!F31)</f>
        <v>46527</v>
      </c>
      <c r="Z31" s="369">
        <f t="shared" si="27"/>
        <v>16</v>
      </c>
      <c r="AA31" s="361">
        <f>SUMIFS('[36]frm P6'!$J:$J,'[36]frm P6'!D:D,[36]Schedule!B31,'[36]frm P6'!E:E,[36]Schedule!C31,'[36]frm P6'!F:F,[36]Schedule!D31,'[36]frm P6'!G:G,[36]Schedule!$Z$3,'[36]frm P6'!H:H,[36]Schedule!F31)</f>
        <v>46473</v>
      </c>
      <c r="AB31" s="361">
        <f>SUMIFS('[36]frm P6'!$K:$K,'[36]frm P6'!D:D,[36]Schedule!B31,'[36]frm P6'!E:E,[36]Schedule!C31,'[36]frm P6'!F:F,[36]Schedule!D31,'[36]frm P6'!G:G,[36]Schedule!$Z$3,'[36]frm P6'!H:H,[36]Schedule!F31)</f>
        <v>46506</v>
      </c>
      <c r="AC31" s="362">
        <f t="shared" si="15"/>
        <v>34</v>
      </c>
      <c r="AD31" s="274">
        <v>22</v>
      </c>
      <c r="AE31" s="273">
        <v>54.67</v>
      </c>
      <c r="AF31" s="273" t="s">
        <v>457</v>
      </c>
      <c r="AG31" s="370">
        <f>SUMIFS('[36]frm P6'!$J:$J,'[36]frm P6'!D:D,[36]Schedule!B31,'[36]frm P6'!E:E,[36]Schedule!C31,'[36]frm P6'!F:F,[36]Schedule!D31,'[36]frm P6'!G:G,[36]Schedule!$AF$3,'[36]frm P6'!H:H,[36]Schedule!F31)</f>
        <v>46434</v>
      </c>
      <c r="AH31" s="361">
        <f>SUMIFS('[36]frm P6'!$K:$K,'[36]frm P6'!D:D,[36]Schedule!B31,'[36]frm P6'!E:E,[36]Schedule!C31,'[36]frm P6'!F:F,[36]Schedule!D31,'[36]frm P6'!G:G,[36]Schedule!$AF$3,'[36]frm P6'!H:H,[36]Schedule!F31)</f>
        <v>46461</v>
      </c>
      <c r="AI31" s="362">
        <f t="shared" si="16"/>
        <v>28</v>
      </c>
      <c r="AJ31" s="273">
        <v>4</v>
      </c>
      <c r="AK31" s="273">
        <v>17.690000000000001</v>
      </c>
      <c r="AL31" s="371" t="s">
        <v>428</v>
      </c>
      <c r="AM31" s="361">
        <f>SUMIFS('[36]frm P6'!$J:$J,'[36]frm P6'!D:D,[36]Schedule!B31,'[36]frm P6'!E:E,[36]Schedule!C31,'[36]frm P6'!F:F,[36]Schedule!D31,'[36]frm P6'!G:G,[36]Schedule!$AL$3,'[36]frm P6'!H:H,[36]Schedule!F31)</f>
        <v>46393</v>
      </c>
      <c r="AN31" s="361">
        <f>SUMIFS('[36]frm P6'!$K:$K,'[36]frm P6'!D:D,[36]Schedule!B31,'[36]frm P6'!E:E,[36]Schedule!C31,'[36]frm P6'!F:F,[36]Schedule!D31,'[36]frm P6'!G:G,[36]Schedule!$AL$3,'[36]frm P6'!H:H,[36]Schedule!F31)</f>
        <v>46415</v>
      </c>
      <c r="AO31" s="362">
        <f t="shared" si="4"/>
        <v>23</v>
      </c>
      <c r="AP31" s="273">
        <v>4</v>
      </c>
      <c r="AQ31" s="273">
        <v>500</v>
      </c>
      <c r="AR31" s="372">
        <v>62</v>
      </c>
      <c r="AS31" s="368">
        <f t="shared" si="17"/>
        <v>46390</v>
      </c>
      <c r="AT31" s="368">
        <f t="shared" si="8"/>
        <v>46330</v>
      </c>
      <c r="AU31" s="377">
        <f t="shared" si="18"/>
        <v>46315</v>
      </c>
      <c r="AV31" s="368">
        <f t="shared" si="19"/>
        <v>46389</v>
      </c>
      <c r="AW31" s="368">
        <f t="shared" si="20"/>
        <v>46379</v>
      </c>
      <c r="AX31" s="378">
        <f t="shared" si="21"/>
        <v>105</v>
      </c>
      <c r="AY31" s="368">
        <v>46274</v>
      </c>
      <c r="AZ31" s="362" t="s">
        <v>465</v>
      </c>
      <c r="BA31" s="375" t="s">
        <v>430</v>
      </c>
      <c r="BB31" s="376"/>
      <c r="BE31" s="277"/>
      <c r="BF31" s="278"/>
    </row>
    <row r="32" spans="2:58" s="269" customFormat="1">
      <c r="B32" s="357" t="s">
        <v>419</v>
      </c>
      <c r="C32" s="357" t="s">
        <v>458</v>
      </c>
      <c r="D32" s="357" t="s">
        <v>421</v>
      </c>
      <c r="E32" s="357"/>
      <c r="F32" s="357" t="s">
        <v>464</v>
      </c>
      <c r="G32" s="357"/>
      <c r="H32" s="358">
        <v>14</v>
      </c>
      <c r="I32" s="271" t="s">
        <v>459</v>
      </c>
      <c r="J32" s="359">
        <v>115</v>
      </c>
      <c r="K32" s="360">
        <f t="shared" si="26"/>
        <v>19</v>
      </c>
      <c r="L32" s="361">
        <f>SUMIFS('[36]frm P6'!$J:$J,'[36]frm P6'!D:D,[36]Schedule!B32,'[36]frm P6'!E:E,[36]Schedule!C32,'[36]frm P6'!F:F,[36]Schedule!D32,'[36]frm P6'!G:G,$L$3,'[36]frm P6'!H:H,[36]Schedule!F32)</f>
        <v>46543</v>
      </c>
      <c r="M32" s="361">
        <f>SUMIFS('[36]frm P6'!$K:$K,'[36]frm P6'!D:D,[36]Schedule!B32,'[36]frm P6'!E:E,[36]Schedule!C32,'[36]frm P6'!F:F,[36]Schedule!D32,'[36]frm P6'!G:G,$L$3,'[36]frm P6'!H:H,[36]Schedule!F32)</f>
        <v>46563</v>
      </c>
      <c r="N32" s="362">
        <f t="shared" si="0"/>
        <v>21</v>
      </c>
      <c r="O32" s="273">
        <v>32</v>
      </c>
      <c r="P32" s="273">
        <v>181.47</v>
      </c>
      <c r="Q32" s="273" t="s">
        <v>460</v>
      </c>
      <c r="R32" s="363">
        <f>VLOOKUP(Q32,[37]导管架!N$2:Q$9,2,0)</f>
        <v>1.6966443558569499</v>
      </c>
      <c r="S32" s="364">
        <f>VLOOKUP(Q32,[37]导管架!N$2:Q$9,3,0)</f>
        <v>3.2519715913121399</v>
      </c>
      <c r="T32" s="365">
        <f>VLOOKUP(Q32,[37]导管架!N$2:Q$9,4,0)</f>
        <v>5.5032859855202396</v>
      </c>
      <c r="U32" s="366">
        <f t="shared" si="23"/>
        <v>407.19464540566901</v>
      </c>
      <c r="V32" s="366">
        <f t="shared" si="24"/>
        <v>884.53627283690196</v>
      </c>
      <c r="W32" s="367">
        <f t="shared" si="25"/>
        <v>1408.84121229318</v>
      </c>
      <c r="X32" s="361">
        <f>SUMIFS('[36]frm P6'!$J:$J,'[36]frm P6'!D:D,[36]Schedule!B32,'[36]frm P6'!E:E,[36]Schedule!C32,'[36]frm P6'!G:G,[36]Schedule!$W$3,'[36]frm P6'!H:H,[36]Schedule!F32)</f>
        <v>46507</v>
      </c>
      <c r="Y32" s="361">
        <f>SUMIFS('[36]frm P6'!$K:$K,'[36]frm P6'!D:D,[36]Schedule!B32,'[36]frm P6'!E:E,[36]Schedule!C32,'[36]frm P6'!G:G,[36]Schedule!$W$3,'[36]frm P6'!H:H,[36]Schedule!F32)</f>
        <v>46524</v>
      </c>
      <c r="Z32" s="369">
        <f t="shared" si="27"/>
        <v>18</v>
      </c>
      <c r="AA32" s="361">
        <f>SUMIFS('[36]frm P6'!$J:$J,'[36]frm P6'!D:D,[36]Schedule!B32,'[36]frm P6'!E:E,[36]Schedule!C32,'[36]frm P6'!F:F,[36]Schedule!D32,'[36]frm P6'!G:G,[36]Schedule!$Z$3,'[36]frm P6'!H:H,[36]Schedule!F32)</f>
        <v>46457</v>
      </c>
      <c r="AB32" s="361">
        <f>SUMIFS('[36]frm P6'!$K:$K,'[36]frm P6'!D:D,[36]Schedule!B32,'[36]frm P6'!E:E,[36]Schedule!C32,'[36]frm P6'!F:F,[36]Schedule!D32,'[36]frm P6'!G:G,[36]Schedule!$Z$3,'[36]frm P6'!H:H,[36]Schedule!F32)</f>
        <v>46498</v>
      </c>
      <c r="AC32" s="362">
        <f t="shared" si="15"/>
        <v>42</v>
      </c>
      <c r="AD32" s="274">
        <v>34</v>
      </c>
      <c r="AE32" s="273">
        <v>359.28</v>
      </c>
      <c r="AF32" s="273" t="s">
        <v>461</v>
      </c>
      <c r="AG32" s="370">
        <f>SUMIFS('[36]frm P6'!$J:$J,'[36]frm P6'!D:D,[36]Schedule!B32,'[36]frm P6'!E:E,[36]Schedule!C32,'[36]frm P6'!F:F,[36]Schedule!D32,'[36]frm P6'!G:G,[36]Schedule!$AF$3,'[36]frm P6'!H:H,[36]Schedule!F32)</f>
        <v>46401</v>
      </c>
      <c r="AH32" s="361">
        <f>SUMIFS('[36]frm P6'!$K:$K,'[36]frm P6'!D:D,[36]Schedule!B32,'[36]frm P6'!E:E,[36]Schedule!C32,'[36]frm P6'!F:F,[36]Schedule!D32,'[36]frm P6'!G:G,[36]Schedule!$AF$3,'[36]frm P6'!H:H,[36]Schedule!F32)</f>
        <v>46440</v>
      </c>
      <c r="AI32" s="362">
        <f t="shared" si="16"/>
        <v>40</v>
      </c>
      <c r="AJ32" s="273">
        <v>30</v>
      </c>
      <c r="AK32" s="273">
        <v>1134.1300000000001</v>
      </c>
      <c r="AL32" s="371" t="s">
        <v>433</v>
      </c>
      <c r="AM32" s="361">
        <f>SUMIFS('[36]frm P6'!$J:$J,'[36]frm P6'!D:D,[36]Schedule!B32,'[36]frm P6'!E:E,[36]Schedule!C32,'[36]frm P6'!F:F,[36]Schedule!D32,'[36]frm P6'!G:G,[36]Schedule!$AL$3,'[36]frm P6'!H:H,[36]Schedule!F32)</f>
        <v>46371</v>
      </c>
      <c r="AN32" s="361">
        <f>SUMIFS('[36]frm P6'!$K:$K,'[36]frm P6'!D:D,[36]Schedule!B32,'[36]frm P6'!E:E,[36]Schedule!C32,'[36]frm P6'!F:F,[36]Schedule!D32,'[36]frm P6'!G:G,[36]Schedule!$AL$3,'[36]frm P6'!H:H,[36]Schedule!F32)</f>
        <v>46409</v>
      </c>
      <c r="AO32" s="362">
        <f t="shared" si="4"/>
        <v>39</v>
      </c>
      <c r="AP32" s="273">
        <v>47</v>
      </c>
      <c r="AQ32" s="273" t="s">
        <v>434</v>
      </c>
      <c r="AR32" s="372">
        <v>62</v>
      </c>
      <c r="AS32" s="368">
        <f t="shared" si="17"/>
        <v>46368</v>
      </c>
      <c r="AT32" s="368">
        <f t="shared" si="8"/>
        <v>46308</v>
      </c>
      <c r="AU32" s="377">
        <f t="shared" si="18"/>
        <v>46293</v>
      </c>
      <c r="AV32" s="368">
        <f t="shared" si="19"/>
        <v>46367</v>
      </c>
      <c r="AW32" s="368">
        <f t="shared" si="20"/>
        <v>46357</v>
      </c>
      <c r="AX32" s="378">
        <f t="shared" si="21"/>
        <v>88</v>
      </c>
      <c r="AY32" s="368">
        <v>46269</v>
      </c>
      <c r="AZ32" s="362" t="s">
        <v>466</v>
      </c>
      <c r="BA32" s="375" t="s">
        <v>436</v>
      </c>
      <c r="BB32" s="376"/>
      <c r="BE32" s="277"/>
      <c r="BF32" s="278"/>
    </row>
    <row r="33" spans="1:58" ht="12.6" customHeight="1">
      <c r="B33" s="357"/>
      <c r="C33" s="357"/>
      <c r="D33" s="357"/>
      <c r="E33" s="357"/>
      <c r="F33" s="357"/>
      <c r="G33" s="357"/>
      <c r="H33" s="387"/>
      <c r="I33" s="388"/>
      <c r="J33" s="389"/>
      <c r="K33" s="390"/>
      <c r="L33" s="391"/>
      <c r="M33" s="391"/>
      <c r="N33" s="392"/>
      <c r="O33" s="393"/>
      <c r="P33" s="393"/>
      <c r="Q33" s="393"/>
      <c r="R33" s="363"/>
      <c r="S33" s="364"/>
      <c r="T33" s="365"/>
      <c r="U33" s="366"/>
      <c r="V33" s="366"/>
      <c r="W33" s="367"/>
      <c r="X33" s="391"/>
      <c r="Y33" s="391"/>
      <c r="Z33" s="394"/>
      <c r="AA33" s="391"/>
      <c r="AB33" s="391"/>
      <c r="AC33" s="392"/>
      <c r="AD33" s="395"/>
      <c r="AE33" s="393"/>
      <c r="AF33" s="393"/>
      <c r="AG33" s="396"/>
      <c r="AH33" s="391"/>
      <c r="AI33" s="392"/>
      <c r="AJ33" s="393"/>
      <c r="AK33" s="393"/>
      <c r="AL33" s="397"/>
      <c r="AM33" s="391"/>
      <c r="AN33" s="391"/>
      <c r="AO33" s="392"/>
      <c r="AP33" s="393"/>
      <c r="AQ33" s="393"/>
      <c r="AR33" s="398"/>
      <c r="AS33" s="391"/>
      <c r="AT33" s="391"/>
      <c r="AU33" s="399"/>
      <c r="AV33" s="400"/>
      <c r="AW33" s="401"/>
      <c r="AX33" s="402"/>
      <c r="AY33" s="403"/>
      <c r="AZ33" s="401"/>
      <c r="BA33" s="404"/>
      <c r="BB33" s="405"/>
    </row>
    <row r="34" spans="1:58" ht="9.6" customHeight="1">
      <c r="R34" s="363"/>
      <c r="S34" s="364"/>
      <c r="T34" s="365"/>
      <c r="U34" s="366"/>
      <c r="V34" s="366"/>
      <c r="W34" s="367"/>
    </row>
    <row r="35" spans="1:58" ht="27" customHeight="1">
      <c r="A35" s="269"/>
      <c r="B35" s="406"/>
      <c r="H35" s="407" t="s">
        <v>467</v>
      </c>
      <c r="I35" s="287"/>
      <c r="J35" s="288"/>
      <c r="K35" s="289"/>
      <c r="L35" s="408" t="s">
        <v>468</v>
      </c>
      <c r="M35" s="291" t="s">
        <v>469</v>
      </c>
      <c r="N35" s="292"/>
      <c r="O35" s="293"/>
      <c r="P35" s="293"/>
      <c r="Q35" s="293"/>
      <c r="R35" s="409"/>
      <c r="S35" s="410"/>
      <c r="T35" s="411"/>
      <c r="U35" s="412"/>
      <c r="V35" s="412"/>
      <c r="W35" s="413"/>
      <c r="X35" s="294" t="s">
        <v>381</v>
      </c>
      <c r="Y35" s="414"/>
      <c r="Z35" s="297"/>
      <c r="AA35" s="303" t="s">
        <v>470</v>
      </c>
      <c r="AB35" s="298" t="s">
        <v>471</v>
      </c>
      <c r="AC35" s="297"/>
      <c r="AD35" s="299"/>
      <c r="AE35" s="293"/>
      <c r="AF35" s="293"/>
      <c r="AG35" s="415" t="s">
        <v>385</v>
      </c>
      <c r="AH35" s="295" t="s">
        <v>472</v>
      </c>
      <c r="AI35" s="297"/>
      <c r="AJ35" s="293"/>
      <c r="AK35" s="293"/>
      <c r="AL35" s="293"/>
      <c r="AM35" s="300"/>
      <c r="AN35" s="416"/>
      <c r="AO35" s="297"/>
      <c r="AP35" s="293"/>
      <c r="AQ35" s="293"/>
      <c r="AR35" s="297"/>
      <c r="AS35" s="294">
        <v>3</v>
      </c>
      <c r="AT35" s="298">
        <v>60</v>
      </c>
      <c r="AU35" s="304">
        <v>15</v>
      </c>
      <c r="AV35" s="294">
        <v>4</v>
      </c>
      <c r="AW35" s="294">
        <v>10</v>
      </c>
      <c r="AX35" s="305" t="s">
        <v>389</v>
      </c>
      <c r="AY35" s="306"/>
      <c r="AZ35" s="307"/>
      <c r="BA35" s="308"/>
      <c r="BB35" s="309"/>
    </row>
    <row r="36" spans="1:58" s="268" customFormat="1" ht="27" customHeight="1">
      <c r="A36" s="269"/>
      <c r="B36" s="313" t="s">
        <v>391</v>
      </c>
      <c r="C36" s="313" t="s">
        <v>392</v>
      </c>
      <c r="D36" s="313" t="s">
        <v>393</v>
      </c>
      <c r="E36" s="313" t="s">
        <v>394</v>
      </c>
      <c r="F36" s="313" t="s">
        <v>395</v>
      </c>
      <c r="G36" s="313"/>
      <c r="H36" s="314" t="s">
        <v>396</v>
      </c>
      <c r="I36" s="315" t="s">
        <v>397</v>
      </c>
      <c r="J36" s="316" t="s">
        <v>398</v>
      </c>
      <c r="K36" s="317"/>
      <c r="L36" s="315" t="s">
        <v>399</v>
      </c>
      <c r="M36" s="315" t="s">
        <v>400</v>
      </c>
      <c r="N36" s="315" t="s">
        <v>401</v>
      </c>
      <c r="O36" s="318" t="s">
        <v>473</v>
      </c>
      <c r="P36" s="318" t="s">
        <v>474</v>
      </c>
      <c r="Q36" s="417"/>
      <c r="R36" s="380" t="s">
        <v>475</v>
      </c>
      <c r="S36" s="381"/>
      <c r="T36" s="382"/>
      <c r="U36" s="383" t="s">
        <v>475</v>
      </c>
      <c r="V36" s="383"/>
      <c r="W36" s="384"/>
      <c r="X36" s="319" t="s">
        <v>399</v>
      </c>
      <c r="Y36" s="319" t="s">
        <v>400</v>
      </c>
      <c r="Z36" s="319" t="s">
        <v>401</v>
      </c>
      <c r="AA36" s="326" t="s">
        <v>399</v>
      </c>
      <c r="AB36" s="319" t="s">
        <v>400</v>
      </c>
      <c r="AC36" s="319" t="s">
        <v>401</v>
      </c>
      <c r="AD36" s="418" t="s">
        <v>476</v>
      </c>
      <c r="AE36" s="417" t="s">
        <v>477</v>
      </c>
      <c r="AF36" s="417"/>
      <c r="AG36" s="326" t="s">
        <v>399</v>
      </c>
      <c r="AH36" s="319" t="s">
        <v>400</v>
      </c>
      <c r="AI36" s="319" t="s">
        <v>401</v>
      </c>
      <c r="AJ36" s="417" t="s">
        <v>476</v>
      </c>
      <c r="AK36" s="417" t="s">
        <v>477</v>
      </c>
      <c r="AL36" s="417"/>
      <c r="AM36" s="323"/>
      <c r="AN36" s="319"/>
      <c r="AO36" s="319"/>
      <c r="AP36" s="417"/>
      <c r="AQ36" s="417"/>
      <c r="AR36" s="326" t="s">
        <v>408</v>
      </c>
      <c r="AS36" s="319" t="s">
        <v>409</v>
      </c>
      <c r="AT36" s="319" t="s">
        <v>410</v>
      </c>
      <c r="AU36" s="327" t="s">
        <v>411</v>
      </c>
      <c r="AV36" s="328" t="s">
        <v>393</v>
      </c>
      <c r="AW36" s="328" t="s">
        <v>412</v>
      </c>
      <c r="AX36" s="329" t="s">
        <v>413</v>
      </c>
      <c r="AY36" s="330"/>
      <c r="AZ36" s="328" t="s">
        <v>478</v>
      </c>
      <c r="BA36" s="328" t="s">
        <v>416</v>
      </c>
      <c r="BB36" s="331"/>
      <c r="BE36" s="311"/>
      <c r="BF36" s="312"/>
    </row>
    <row r="37" spans="1:58" ht="27" customHeight="1">
      <c r="B37" s="334" t="s">
        <v>417</v>
      </c>
      <c r="C37" s="335"/>
      <c r="D37" s="335"/>
      <c r="E37" s="335"/>
      <c r="F37" s="335"/>
      <c r="G37" s="335"/>
      <c r="H37" s="336" t="s">
        <v>479</v>
      </c>
      <c r="I37" s="337"/>
      <c r="J37" s="338"/>
      <c r="K37" s="339"/>
      <c r="L37" s="340">
        <f>MIN(L38:L51)</f>
        <v>46407</v>
      </c>
      <c r="M37" s="340">
        <f>MAX(M38:M51)</f>
        <v>46562</v>
      </c>
      <c r="N37" s="337">
        <f>M37-L37+1</f>
        <v>156</v>
      </c>
      <c r="O37" s="341"/>
      <c r="P37" s="341"/>
      <c r="Q37" s="341"/>
      <c r="R37" s="380"/>
      <c r="S37" s="381"/>
      <c r="T37" s="382"/>
      <c r="U37" s="383"/>
      <c r="V37" s="383"/>
      <c r="W37" s="384"/>
      <c r="X37" s="340">
        <f>MIN(X38:X51)</f>
        <v>46471</v>
      </c>
      <c r="Y37" s="340">
        <f>MAX(Y38:Y51)</f>
        <v>46543</v>
      </c>
      <c r="Z37" s="347">
        <f t="shared" ref="Z37" si="28">Y37-X37+1</f>
        <v>73</v>
      </c>
      <c r="AA37" s="340">
        <f>MIN(AA38:AA51)</f>
        <v>46336</v>
      </c>
      <c r="AB37" s="340">
        <f>MAX(AB38:AB51)</f>
        <v>46501</v>
      </c>
      <c r="AC37" s="337">
        <f t="shared" ref="AC37:AC47" si="29">AB37-AA37+1</f>
        <v>166</v>
      </c>
      <c r="AD37" s="348"/>
      <c r="AE37" s="341"/>
      <c r="AF37" s="341"/>
      <c r="AG37" s="349">
        <f>MIN(AG38:AG51)</f>
        <v>46322</v>
      </c>
      <c r="AH37" s="340">
        <f>MAX(AH38:AH51)</f>
        <v>46527</v>
      </c>
      <c r="AI37" s="337">
        <f t="shared" ref="AI37:AI50" si="30">AH37-AG37+1</f>
        <v>206</v>
      </c>
      <c r="AJ37" s="341"/>
      <c r="AK37" s="341"/>
      <c r="AL37" s="341"/>
      <c r="AM37" s="349"/>
      <c r="AN37" s="340"/>
      <c r="AO37" s="337"/>
      <c r="AP37" s="341"/>
      <c r="AQ37" s="341"/>
      <c r="AR37" s="351"/>
      <c r="AS37" s="340">
        <f>MIN(AS38:AS51)</f>
        <v>46319</v>
      </c>
      <c r="AT37" s="340">
        <f>MIN(AT38:AT51)</f>
        <v>46259</v>
      </c>
      <c r="AU37" s="352">
        <f>MIN(AU38:AU51)</f>
        <v>46244</v>
      </c>
      <c r="AV37" s="353">
        <f>MIN(AV38:AV51)</f>
        <v>46318</v>
      </c>
      <c r="AW37" s="353">
        <f>MIN(AW38:AW51)</f>
        <v>46308</v>
      </c>
      <c r="AX37" s="354"/>
      <c r="AY37" s="340"/>
      <c r="AZ37" s="355"/>
      <c r="BA37" s="355"/>
      <c r="BB37" s="356"/>
    </row>
    <row r="38" spans="1:58" ht="21">
      <c r="B38" s="357" t="s">
        <v>419</v>
      </c>
      <c r="C38" s="357" t="s">
        <v>480</v>
      </c>
      <c r="D38" s="357" t="s">
        <v>481</v>
      </c>
      <c r="E38" s="357"/>
      <c r="F38" s="357" t="s">
        <v>422</v>
      </c>
      <c r="G38" s="357" t="str">
        <f>F38&amp;C38</f>
        <v>01JIRS</v>
      </c>
      <c r="H38" s="358">
        <v>1</v>
      </c>
      <c r="I38" s="271" t="s">
        <v>482</v>
      </c>
      <c r="J38" s="359"/>
      <c r="K38" s="419"/>
      <c r="L38" s="368" t="s">
        <v>424</v>
      </c>
      <c r="M38" s="368" t="s">
        <v>424</v>
      </c>
      <c r="N38" s="362" t="s">
        <v>424</v>
      </c>
      <c r="O38" s="273" t="s">
        <v>424</v>
      </c>
      <c r="P38" s="273" t="s">
        <v>424</v>
      </c>
      <c r="R38" s="363">
        <v>7</v>
      </c>
      <c r="S38" s="364"/>
      <c r="T38" s="365"/>
      <c r="U38" s="366">
        <f>R38*AJ38*8</f>
        <v>114.8672</v>
      </c>
      <c r="V38" s="366"/>
      <c r="W38" s="367"/>
      <c r="X38" s="368" t="s">
        <v>424</v>
      </c>
      <c r="Y38" s="368" t="s">
        <v>424</v>
      </c>
      <c r="Z38" s="369" t="s">
        <v>424</v>
      </c>
      <c r="AA38" s="361">
        <f>SUMIFS('[36]frm P6'!$J:$J,'[36]frm P6'!D:D,[36]Schedule!B38,'[36]frm P6'!E:E,[36]Schedule!C38,'[36]frm P6'!F:F,[36]Schedule!D38,'[36]frm P6'!G:G,[36]Schedule!$Z$35,'[36]frm P6'!H:H,[36]Schedule!F38)</f>
        <v>46336</v>
      </c>
      <c r="AB38" s="361">
        <f>SUMIFS('[36]frm P6'!$K:$K,'[36]frm P6'!D:D,[36]Schedule!B38,'[36]frm P6'!E:E,[36]Schedule!C38,'[36]frm P6'!F:F,[36]Schedule!D38,'[36]frm P6'!G:G,[36]Schedule!$Z$35,'[36]frm P6'!H:H,[36]Schedule!F38)</f>
        <v>46413</v>
      </c>
      <c r="AC38" s="362">
        <f t="shared" si="29"/>
        <v>78</v>
      </c>
      <c r="AD38" s="274">
        <v>2.0512000000000001</v>
      </c>
      <c r="AE38" s="273">
        <v>32</v>
      </c>
      <c r="AG38" s="370">
        <f>SUMIFS('[36]frm P6'!$J:$J,'[36]frm P6'!D:D,[36]Schedule!B38,'[36]frm P6'!E:E,[36]Schedule!C38,'[36]frm P6'!F:F,[36]Schedule!D38,'[36]frm P6'!G:G,[36]Schedule!$AF$3,'[36]frm P6'!H:H,[36]Schedule!F38)</f>
        <v>46322</v>
      </c>
      <c r="AH38" s="361">
        <f>SUMIFS('[36]frm P6'!$K:$K,'[36]frm P6'!D:D,[36]Schedule!B38,'[36]frm P6'!E:E,[36]Schedule!C38,'[36]frm P6'!F:F,[36]Schedule!D38,'[36]frm P6'!G:G,[36]Schedule!$AF$3,'[36]frm P6'!H:H,[36]Schedule!F38)</f>
        <v>46374</v>
      </c>
      <c r="AI38" s="362">
        <f t="shared" si="30"/>
        <v>53</v>
      </c>
      <c r="AJ38" s="273">
        <v>2.0512000000000001</v>
      </c>
      <c r="AK38" s="273">
        <v>32</v>
      </c>
      <c r="AM38" s="420" t="s">
        <v>424</v>
      </c>
      <c r="AN38" s="368" t="s">
        <v>424</v>
      </c>
      <c r="AO38" s="362" t="s">
        <v>424</v>
      </c>
      <c r="AR38" s="372">
        <v>60</v>
      </c>
      <c r="AS38" s="368">
        <f>AG38-$AS$3</f>
        <v>46319</v>
      </c>
      <c r="AT38" s="368">
        <f t="shared" ref="AT38:AT39" si="31">AS38-$AT$3</f>
        <v>46259</v>
      </c>
      <c r="AU38" s="377">
        <f t="shared" ref="AU38:AU39" si="32">AT38-$AU$3</f>
        <v>46244</v>
      </c>
      <c r="AV38" s="368">
        <f t="shared" ref="AV38:AV50" si="33">AG38-$AV$35</f>
        <v>46318</v>
      </c>
      <c r="AW38" s="368">
        <f>AV38-$AW$35</f>
        <v>46308</v>
      </c>
      <c r="AX38" s="378">
        <f t="shared" ref="AX38:AX53" si="34">AW38-AY38</f>
        <v>22</v>
      </c>
      <c r="AY38" s="368">
        <v>46286</v>
      </c>
      <c r="AZ38" s="362" t="s">
        <v>483</v>
      </c>
      <c r="BA38" s="375" t="s">
        <v>484</v>
      </c>
      <c r="BB38" s="376"/>
      <c r="BC38" s="268"/>
      <c r="BD38" s="268"/>
      <c r="BE38" s="311"/>
      <c r="BF38" s="312"/>
    </row>
    <row r="39" spans="1:58" ht="21">
      <c r="B39" s="357" t="s">
        <v>419</v>
      </c>
      <c r="C39" s="357" t="s">
        <v>485</v>
      </c>
      <c r="D39" s="357" t="s">
        <v>481</v>
      </c>
      <c r="E39" s="357"/>
      <c r="F39" s="357" t="s">
        <v>422</v>
      </c>
      <c r="G39" s="357"/>
      <c r="H39" s="358">
        <v>2</v>
      </c>
      <c r="I39" s="271" t="s">
        <v>486</v>
      </c>
      <c r="J39" s="359"/>
      <c r="K39" s="419"/>
      <c r="L39" s="368" t="s">
        <v>424</v>
      </c>
      <c r="M39" s="368" t="s">
        <v>424</v>
      </c>
      <c r="N39" s="362" t="s">
        <v>424</v>
      </c>
      <c r="O39" s="273" t="s">
        <v>424</v>
      </c>
      <c r="P39" s="273" t="s">
        <v>424</v>
      </c>
      <c r="R39" s="363">
        <v>14</v>
      </c>
      <c r="S39" s="364"/>
      <c r="T39" s="365"/>
      <c r="U39" s="366">
        <f t="shared" ref="U39:U70" si="35">R39*AJ39*8</f>
        <v>672</v>
      </c>
      <c r="V39" s="366"/>
      <c r="W39" s="367"/>
      <c r="X39" s="368" t="s">
        <v>424</v>
      </c>
      <c r="Y39" s="368" t="s">
        <v>424</v>
      </c>
      <c r="Z39" s="369" t="s">
        <v>424</v>
      </c>
      <c r="AA39" s="361">
        <f>SUMIFS('[36]frm P6'!$J:$J,'[36]frm P6'!D:D,[36]Schedule!B39,'[36]frm P6'!E:E,[36]Schedule!C39,'[36]frm P6'!F:F,[36]Schedule!D39,'[36]frm P6'!G:G,[36]Schedule!$Z$35,'[36]frm P6'!H:H,[36]Schedule!F39)</f>
        <v>46407</v>
      </c>
      <c r="AB39" s="361">
        <f>SUMIFS('[36]frm P6'!$K:$K,'[36]frm P6'!D:D,[36]Schedule!B39,'[36]frm P6'!E:E,[36]Schedule!C39,'[36]frm P6'!F:F,[36]Schedule!D39,'[36]frm P6'!G:G,[36]Schedule!$Z$35,'[36]frm P6'!H:H,[36]Schedule!F39)</f>
        <v>46451</v>
      </c>
      <c r="AC39" s="362">
        <f t="shared" si="29"/>
        <v>45</v>
      </c>
      <c r="AD39" s="274">
        <v>6</v>
      </c>
      <c r="AE39" s="273">
        <v>24</v>
      </c>
      <c r="AG39" s="370">
        <f>SUMIFS('[36]frm P6'!$J:$J,'[36]frm P6'!D:D,[36]Schedule!B39,'[36]frm P6'!E:E,[36]Schedule!C39,'[36]frm P6'!F:F,[36]Schedule!D39,'[36]frm P6'!G:G,[36]Schedule!$AF$3,'[36]frm P6'!H:H,[36]Schedule!F39)</f>
        <v>46350</v>
      </c>
      <c r="AH39" s="361">
        <f>SUMIFS('[36]frm P6'!$K:$K,'[36]frm P6'!D:D,[36]Schedule!B39,'[36]frm P6'!E:E,[36]Schedule!C39,'[36]frm P6'!F:F,[36]Schedule!D39,'[36]frm P6'!G:G,[36]Schedule!$AF$3,'[36]frm P6'!H:H,[36]Schedule!F39)</f>
        <v>46402</v>
      </c>
      <c r="AI39" s="362">
        <f t="shared" si="30"/>
        <v>53</v>
      </c>
      <c r="AJ39" s="273">
        <v>6</v>
      </c>
      <c r="AK39" s="273">
        <v>24</v>
      </c>
      <c r="AM39" s="420" t="s">
        <v>424</v>
      </c>
      <c r="AN39" s="368" t="s">
        <v>424</v>
      </c>
      <c r="AO39" s="362" t="s">
        <v>424</v>
      </c>
      <c r="AR39" s="372">
        <v>60</v>
      </c>
      <c r="AS39" s="368">
        <f>AG39-$AS$3</f>
        <v>46347</v>
      </c>
      <c r="AT39" s="368">
        <f t="shared" si="31"/>
        <v>46287</v>
      </c>
      <c r="AU39" s="377">
        <f t="shared" si="32"/>
        <v>46272</v>
      </c>
      <c r="AV39" s="368">
        <f t="shared" si="33"/>
        <v>46346</v>
      </c>
      <c r="AW39" s="368">
        <f t="shared" ref="AW39:AW70" si="36">AV39-$AW$35</f>
        <v>46336</v>
      </c>
      <c r="AX39" s="378">
        <f t="shared" si="34"/>
        <v>99</v>
      </c>
      <c r="AY39" s="368">
        <v>46237</v>
      </c>
      <c r="AZ39" s="362" t="s">
        <v>487</v>
      </c>
      <c r="BA39" s="375" t="s">
        <v>488</v>
      </c>
      <c r="BB39" s="376"/>
      <c r="BC39" s="268"/>
      <c r="BD39" s="268"/>
      <c r="BE39" s="311"/>
      <c r="BF39" s="312"/>
    </row>
    <row r="40" spans="1:58" ht="21">
      <c r="B40" s="357" t="s">
        <v>419</v>
      </c>
      <c r="C40" s="357" t="s">
        <v>489</v>
      </c>
      <c r="D40" s="357" t="s">
        <v>481</v>
      </c>
      <c r="E40" s="357"/>
      <c r="F40" s="357" t="s">
        <v>422</v>
      </c>
      <c r="G40" s="357"/>
      <c r="H40" s="358">
        <v>4</v>
      </c>
      <c r="I40" s="271" t="s">
        <v>490</v>
      </c>
      <c r="J40" s="359"/>
      <c r="K40" s="360"/>
      <c r="L40" s="368" t="s">
        <v>424</v>
      </c>
      <c r="M40" s="368" t="s">
        <v>424</v>
      </c>
      <c r="N40" s="362" t="s">
        <v>424</v>
      </c>
      <c r="O40" s="273" t="s">
        <v>424</v>
      </c>
      <c r="P40" s="273" t="s">
        <v>424</v>
      </c>
      <c r="R40" s="363">
        <v>7</v>
      </c>
      <c r="S40" s="364"/>
      <c r="T40" s="365"/>
      <c r="U40" s="366">
        <f t="shared" si="35"/>
        <v>448</v>
      </c>
      <c r="V40" s="366"/>
      <c r="W40" s="367"/>
      <c r="X40" s="368" t="s">
        <v>424</v>
      </c>
      <c r="Y40" s="368" t="s">
        <v>424</v>
      </c>
      <c r="Z40" s="369" t="s">
        <v>424</v>
      </c>
      <c r="AA40" s="361">
        <f>SUMIFS('[36]frm P6'!$J:$J,'[36]frm P6'!D:D,[36]Schedule!B40,'[36]frm P6'!E:E,[36]Schedule!C40,'[36]frm P6'!F:F,[36]Schedule!D40,'[36]frm P6'!G:G,[36]Schedule!$Z$35,'[36]frm P6'!H:H,[36]Schedule!F40)</f>
        <v>46416</v>
      </c>
      <c r="AB40" s="361">
        <f>SUMIFS('[36]frm P6'!$K:$K,'[36]frm P6'!D:D,[36]Schedule!B40,'[36]frm P6'!E:E,[36]Schedule!C40,'[36]frm P6'!F:F,[36]Schedule!D40,'[36]frm P6'!G:G,[36]Schedule!$Z$35,'[36]frm P6'!H:H,[36]Schedule!F40)</f>
        <v>46465</v>
      </c>
      <c r="AC40" s="362">
        <f t="shared" si="29"/>
        <v>50</v>
      </c>
      <c r="AD40" s="274">
        <v>8</v>
      </c>
      <c r="AE40" s="273">
        <v>2</v>
      </c>
      <c r="AG40" s="370">
        <f>SUMIFS('[36]frm P6'!$J:$J,'[36]frm P6'!D:D,[36]Schedule!B40,'[36]frm P6'!E:E,[36]Schedule!C40,'[36]frm P6'!F:F,[36]Schedule!D40,'[36]frm P6'!G:G,[36]Schedule!$AF$3,'[36]frm P6'!H:H,[36]Schedule!F40)</f>
        <v>46340</v>
      </c>
      <c r="AH40" s="361">
        <f>SUMIFS('[36]frm P6'!$K:$K,'[36]frm P6'!D:D,[36]Schedule!B40,'[36]frm P6'!E:E,[36]Schedule!C40,'[36]frm P6'!F:F,[36]Schedule!D40,'[36]frm P6'!G:G,[36]Schedule!$AF$3,'[36]frm P6'!H:H,[36]Schedule!F40)</f>
        <v>46372</v>
      </c>
      <c r="AI40" s="362">
        <f t="shared" si="30"/>
        <v>33</v>
      </c>
      <c r="AJ40" s="273">
        <v>8</v>
      </c>
      <c r="AK40" s="273">
        <v>2</v>
      </c>
      <c r="AM40" s="420" t="s">
        <v>424</v>
      </c>
      <c r="AN40" s="368" t="s">
        <v>424</v>
      </c>
      <c r="AO40" s="362" t="s">
        <v>424</v>
      </c>
      <c r="AR40" s="372">
        <v>60</v>
      </c>
      <c r="AS40" s="368">
        <f t="shared" ref="AS40:AS53" si="37">AG40-$AS$35</f>
        <v>46337</v>
      </c>
      <c r="AT40" s="368">
        <f>AS40-$AT$35</f>
        <v>46277</v>
      </c>
      <c r="AU40" s="377">
        <f>AT40-$AU$35</f>
        <v>46262</v>
      </c>
      <c r="AV40" s="368">
        <f t="shared" si="33"/>
        <v>46336</v>
      </c>
      <c r="AW40" s="368">
        <f t="shared" si="36"/>
        <v>46326</v>
      </c>
      <c r="AX40" s="378">
        <f t="shared" si="34"/>
        <v>71</v>
      </c>
      <c r="AY40" s="368">
        <v>46255</v>
      </c>
      <c r="AZ40" s="362" t="s">
        <v>491</v>
      </c>
      <c r="BA40" s="375" t="s">
        <v>492</v>
      </c>
      <c r="BB40" s="376"/>
      <c r="BC40" s="268"/>
      <c r="BD40" s="268"/>
      <c r="BE40" s="311"/>
      <c r="BF40" s="312"/>
    </row>
    <row r="41" spans="1:58" ht="21">
      <c r="B41" s="357" t="s">
        <v>419</v>
      </c>
      <c r="C41" s="357" t="s">
        <v>493</v>
      </c>
      <c r="D41" s="357" t="s">
        <v>481</v>
      </c>
      <c r="E41" s="357"/>
      <c r="F41" s="357" t="s">
        <v>422</v>
      </c>
      <c r="G41" s="357"/>
      <c r="H41" s="358">
        <v>5</v>
      </c>
      <c r="I41" s="271" t="s">
        <v>494</v>
      </c>
      <c r="J41" s="359"/>
      <c r="K41" s="360"/>
      <c r="L41" s="368" t="s">
        <v>424</v>
      </c>
      <c r="M41" s="368" t="s">
        <v>424</v>
      </c>
      <c r="N41" s="362" t="s">
        <v>424</v>
      </c>
      <c r="O41" s="273" t="s">
        <v>424</v>
      </c>
      <c r="P41" s="273" t="s">
        <v>424</v>
      </c>
      <c r="R41" s="363">
        <v>10</v>
      </c>
      <c r="S41" s="364"/>
      <c r="T41" s="365"/>
      <c r="U41" s="366">
        <f t="shared" si="35"/>
        <v>263.05599999999998</v>
      </c>
      <c r="V41" s="366"/>
      <c r="W41" s="367"/>
      <c r="X41" s="368" t="s">
        <v>424</v>
      </c>
      <c r="Y41" s="368" t="s">
        <v>424</v>
      </c>
      <c r="Z41" s="369" t="s">
        <v>424</v>
      </c>
      <c r="AA41" s="361">
        <f>SUMIFS('[36]frm P6'!$J:$J,'[36]frm P6'!D:D,[36]Schedule!B41,'[36]frm P6'!E:E,[36]Schedule!C41,'[36]frm P6'!F:F,[36]Schedule!D41,'[36]frm P6'!G:G,[36]Schedule!$Z$35,'[36]frm P6'!H:H,[36]Schedule!F41)</f>
        <v>46358</v>
      </c>
      <c r="AB41" s="361">
        <f>SUMIFS('[36]frm P6'!$K:$K,'[36]frm P6'!D:D,[36]Schedule!B41,'[36]frm P6'!E:E,[36]Schedule!C41,'[36]frm P6'!F:F,[36]Schedule!D41,'[36]frm P6'!G:G,[36]Schedule!$Z$35,'[36]frm P6'!H:H,[36]Schedule!F41)</f>
        <v>46387</v>
      </c>
      <c r="AC41" s="362">
        <f t="shared" si="29"/>
        <v>30</v>
      </c>
      <c r="AD41" s="274">
        <v>3.2881999999999998</v>
      </c>
      <c r="AE41" s="273">
        <v>2</v>
      </c>
      <c r="AG41" s="370">
        <f>SUMIFS('[36]frm P6'!$J:$J,'[36]frm P6'!D:D,[36]Schedule!B41,'[36]frm P6'!E:E,[36]Schedule!C41,'[36]frm P6'!F:F,[36]Schedule!D41,'[36]frm P6'!G:G,[36]Schedule!$AF$3,'[36]frm P6'!H:H,[36]Schedule!F41)</f>
        <v>46331</v>
      </c>
      <c r="AH41" s="361">
        <f>SUMIFS('[36]frm P6'!$K:$K,'[36]frm P6'!D:D,[36]Schedule!B41,'[36]frm P6'!E:E,[36]Schedule!C41,'[36]frm P6'!F:F,[36]Schedule!D41,'[36]frm P6'!G:G,[36]Schedule!$AF$3,'[36]frm P6'!H:H,[36]Schedule!F41)</f>
        <v>46372</v>
      </c>
      <c r="AI41" s="362">
        <f t="shared" si="30"/>
        <v>42</v>
      </c>
      <c r="AJ41" s="273">
        <v>3.2881999999999998</v>
      </c>
      <c r="AK41" s="273">
        <v>2</v>
      </c>
      <c r="AM41" s="420" t="s">
        <v>424</v>
      </c>
      <c r="AN41" s="368" t="s">
        <v>424</v>
      </c>
      <c r="AO41" s="362" t="s">
        <v>424</v>
      </c>
      <c r="AR41" s="372">
        <v>60</v>
      </c>
      <c r="AS41" s="368">
        <f t="shared" si="37"/>
        <v>46328</v>
      </c>
      <c r="AT41" s="368">
        <f t="shared" ref="AT41:AT50" si="38">AS41-$AT$35</f>
        <v>46268</v>
      </c>
      <c r="AU41" s="377">
        <f t="shared" ref="AU41:AU50" si="39">AT41-$AU$35</f>
        <v>46253</v>
      </c>
      <c r="AV41" s="368">
        <f t="shared" si="33"/>
        <v>46327</v>
      </c>
      <c r="AW41" s="368">
        <f t="shared" si="36"/>
        <v>46317</v>
      </c>
      <c r="AX41" s="378">
        <f t="shared" si="34"/>
        <v>13</v>
      </c>
      <c r="AY41" s="368">
        <v>46304</v>
      </c>
      <c r="AZ41" s="362" t="s">
        <v>495</v>
      </c>
      <c r="BA41" s="375" t="s">
        <v>496</v>
      </c>
      <c r="BB41" s="376"/>
      <c r="BC41" s="268"/>
      <c r="BD41" s="268"/>
      <c r="BE41" s="311"/>
      <c r="BF41" s="312"/>
    </row>
    <row r="42" spans="1:58" ht="21">
      <c r="B42" s="357" t="s">
        <v>419</v>
      </c>
      <c r="C42" s="357" t="s">
        <v>497</v>
      </c>
      <c r="D42" s="357" t="s">
        <v>481</v>
      </c>
      <c r="E42" s="357"/>
      <c r="F42" s="357" t="s">
        <v>422</v>
      </c>
      <c r="G42" s="357"/>
      <c r="H42" s="358">
        <v>6</v>
      </c>
      <c r="I42" s="271" t="s">
        <v>498</v>
      </c>
      <c r="J42" s="359"/>
      <c r="K42" s="419"/>
      <c r="L42" s="361">
        <f>SUMIFS('[36]frm P6'!$J:$J,'[36]frm P6'!D:D,[36]Schedule!B42,'[36]frm P6'!E:E,[36]Schedule!C42,'[36]frm P6'!F:F,[36]Schedule!D42,'[36]frm P6'!G:G,[36]Schedule!$K$35,'[36]frm P6'!H:H,[36]Schedule!F42)</f>
        <v>46407</v>
      </c>
      <c r="M42" s="361">
        <f>SUMIFS('[36]frm P6'!$K:$K,'[36]frm P6'!D:D,[36]Schedule!B42,'[36]frm P6'!E:E,[36]Schedule!C42,'[36]frm P6'!F:F,[36]Schedule!D42,'[36]frm P6'!G:G,[36]Schedule!$K$35,'[36]frm P6'!H:H,[36]Schedule!F42)</f>
        <v>46421</v>
      </c>
      <c r="N42" s="362">
        <f>M42-L42+1</f>
        <v>15</v>
      </c>
      <c r="O42" s="273">
        <v>43</v>
      </c>
      <c r="P42" s="273">
        <v>12</v>
      </c>
      <c r="R42" s="363">
        <v>6.5</v>
      </c>
      <c r="S42" s="364"/>
      <c r="T42" s="365"/>
      <c r="U42" s="366">
        <f t="shared" si="35"/>
        <v>2236</v>
      </c>
      <c r="V42" s="366"/>
      <c r="W42" s="367"/>
      <c r="X42" s="368" t="s">
        <v>424</v>
      </c>
      <c r="Y42" s="368" t="s">
        <v>424</v>
      </c>
      <c r="Z42" s="369" t="s">
        <v>424</v>
      </c>
      <c r="AA42" s="420" t="s">
        <v>424</v>
      </c>
      <c r="AB42" s="368" t="s">
        <v>424</v>
      </c>
      <c r="AC42" s="362" t="s">
        <v>424</v>
      </c>
      <c r="AD42" s="274">
        <v>43</v>
      </c>
      <c r="AE42" s="273" t="s">
        <v>424</v>
      </c>
      <c r="AG42" s="370">
        <f>SUMIFS('[36]frm P6'!$J:$J,'[36]frm P6'!D:D,[36]Schedule!B42,'[36]frm P6'!E:E,[36]Schedule!C42,'[36]frm P6'!F:F,[36]Schedule!D42,'[36]frm P6'!G:G,[36]Schedule!$AF$3,'[36]frm P6'!H:H,[36]Schedule!F42)</f>
        <v>46339</v>
      </c>
      <c r="AH42" s="361">
        <f>SUMIFS('[36]frm P6'!$K:$K,'[36]frm P6'!D:D,[36]Schedule!B42,'[36]frm P6'!E:E,[36]Schedule!C42,'[36]frm P6'!F:F,[36]Schedule!D42,'[36]frm P6'!G:G,[36]Schedule!$AF$3,'[36]frm P6'!H:H,[36]Schedule!F42)</f>
        <v>46398</v>
      </c>
      <c r="AI42" s="362">
        <f t="shared" si="30"/>
        <v>60</v>
      </c>
      <c r="AJ42" s="273">
        <v>43</v>
      </c>
      <c r="AK42" s="273">
        <v>12</v>
      </c>
      <c r="AM42" s="420" t="s">
        <v>424</v>
      </c>
      <c r="AN42" s="368" t="s">
        <v>424</v>
      </c>
      <c r="AO42" s="362" t="s">
        <v>424</v>
      </c>
      <c r="AR42" s="372">
        <v>60</v>
      </c>
      <c r="AS42" s="368">
        <f t="shared" si="37"/>
        <v>46336</v>
      </c>
      <c r="AT42" s="368">
        <f t="shared" si="38"/>
        <v>46276</v>
      </c>
      <c r="AU42" s="377">
        <f t="shared" si="39"/>
        <v>46261</v>
      </c>
      <c r="AV42" s="368">
        <f t="shared" si="33"/>
        <v>46335</v>
      </c>
      <c r="AW42" s="368">
        <f t="shared" si="36"/>
        <v>46325</v>
      </c>
      <c r="AX42" s="378">
        <f t="shared" si="34"/>
        <v>28</v>
      </c>
      <c r="AY42" s="368">
        <v>46297</v>
      </c>
      <c r="AZ42" s="362" t="s">
        <v>499</v>
      </c>
      <c r="BA42" s="375" t="s">
        <v>500</v>
      </c>
      <c r="BB42" s="376"/>
      <c r="BC42" s="268"/>
      <c r="BD42" s="268"/>
      <c r="BE42" s="311"/>
      <c r="BF42" s="312"/>
    </row>
    <row r="43" spans="1:58" ht="28.5" customHeight="1">
      <c r="B43" s="357" t="s">
        <v>419</v>
      </c>
      <c r="C43" s="357" t="s">
        <v>501</v>
      </c>
      <c r="D43" s="357" t="s">
        <v>481</v>
      </c>
      <c r="E43" s="357"/>
      <c r="F43" s="357" t="s">
        <v>422</v>
      </c>
      <c r="G43" s="357"/>
      <c r="H43" s="358">
        <v>7</v>
      </c>
      <c r="I43" s="271" t="s">
        <v>502</v>
      </c>
      <c r="J43" s="359"/>
      <c r="K43" s="360"/>
      <c r="L43" s="368" t="s">
        <v>424</v>
      </c>
      <c r="M43" s="368" t="s">
        <v>424</v>
      </c>
      <c r="N43" s="362" t="s">
        <v>424</v>
      </c>
      <c r="O43" s="273" t="s">
        <v>424</v>
      </c>
      <c r="P43" s="273" t="s">
        <v>424</v>
      </c>
      <c r="R43" s="363">
        <v>5</v>
      </c>
      <c r="S43" s="364"/>
      <c r="T43" s="365"/>
      <c r="U43" s="366">
        <f t="shared" si="35"/>
        <v>30.431999999999999</v>
      </c>
      <c r="V43" s="366"/>
      <c r="W43" s="367"/>
      <c r="X43" s="368" t="s">
        <v>424</v>
      </c>
      <c r="Y43" s="368" t="s">
        <v>424</v>
      </c>
      <c r="Z43" s="369" t="s">
        <v>424</v>
      </c>
      <c r="AA43" s="361">
        <f>SUMIFS('[36]frm P6'!$J:$J,'[36]frm P6'!D:D,[36]Schedule!B43,'[36]frm P6'!E:E,[36]Schedule!C43,'[36]frm P6'!F:F,[36]Schedule!D43,'[36]frm P6'!G:G,[36]Schedule!$Z$35,'[36]frm P6'!H:H,[36]Schedule!F43)</f>
        <v>46443</v>
      </c>
      <c r="AB43" s="361">
        <f>SUMIFS('[36]frm P6'!$K:$K,'[36]frm P6'!D:D,[36]Schedule!B43,'[36]frm P6'!E:E,[36]Schedule!C43,'[36]frm P6'!F:F,[36]Schedule!D43,'[36]frm P6'!G:G,[36]Schedule!$Z$35,'[36]frm P6'!H:H,[36]Schedule!F43)</f>
        <v>46470</v>
      </c>
      <c r="AC43" s="362">
        <f t="shared" si="29"/>
        <v>28</v>
      </c>
      <c r="AD43" s="274">
        <v>0.76080000000000003</v>
      </c>
      <c r="AE43" s="273">
        <v>6</v>
      </c>
      <c r="AG43" s="370">
        <f>SUMIFS('[36]frm P6'!$J:$J,'[36]frm P6'!D:D,[36]Schedule!B43,'[36]frm P6'!E:E,[36]Schedule!C43,'[36]frm P6'!F:F,[36]Schedule!D43,'[36]frm P6'!G:G,[36]Schedule!$AF$3,'[36]frm P6'!H:H,[36]Schedule!F43)</f>
        <v>46389</v>
      </c>
      <c r="AH43" s="361">
        <f>SUMIFS('[36]frm P6'!$K:$K,'[36]frm P6'!D:D,[36]Schedule!B43,'[36]frm P6'!E:E,[36]Schedule!C43,'[36]frm P6'!F:F,[36]Schedule!D43,'[36]frm P6'!G:G,[36]Schedule!$AF$3,'[36]frm P6'!H:H,[36]Schedule!F43)</f>
        <v>46412</v>
      </c>
      <c r="AI43" s="362">
        <f t="shared" si="30"/>
        <v>24</v>
      </c>
      <c r="AJ43" s="273">
        <v>0.76080000000000003</v>
      </c>
      <c r="AK43" s="273">
        <v>6</v>
      </c>
      <c r="AM43" s="420" t="s">
        <v>424</v>
      </c>
      <c r="AN43" s="368" t="s">
        <v>424</v>
      </c>
      <c r="AO43" s="362" t="s">
        <v>424</v>
      </c>
      <c r="AR43" s="372">
        <v>60</v>
      </c>
      <c r="AS43" s="368">
        <f t="shared" si="37"/>
        <v>46386</v>
      </c>
      <c r="AT43" s="368">
        <f t="shared" si="38"/>
        <v>46326</v>
      </c>
      <c r="AU43" s="377">
        <f t="shared" si="39"/>
        <v>46311</v>
      </c>
      <c r="AV43" s="368">
        <f t="shared" si="33"/>
        <v>46385</v>
      </c>
      <c r="AW43" s="368">
        <f t="shared" si="36"/>
        <v>46375</v>
      </c>
      <c r="AX43" s="378">
        <f t="shared" si="34"/>
        <v>95</v>
      </c>
      <c r="AY43" s="368">
        <v>46280</v>
      </c>
      <c r="AZ43" s="421" t="s">
        <v>503</v>
      </c>
      <c r="BA43" s="422" t="s">
        <v>504</v>
      </c>
      <c r="BB43" s="376"/>
      <c r="BC43" s="268"/>
      <c r="BD43" s="268"/>
      <c r="BE43" s="311"/>
      <c r="BF43" s="312"/>
    </row>
    <row r="44" spans="1:58" ht="21">
      <c r="B44" s="357" t="s">
        <v>419</v>
      </c>
      <c r="C44" s="357" t="s">
        <v>505</v>
      </c>
      <c r="D44" s="357" t="s">
        <v>481</v>
      </c>
      <c r="E44" s="357"/>
      <c r="F44" s="357" t="s">
        <v>422</v>
      </c>
      <c r="G44" s="357"/>
      <c r="H44" s="358">
        <v>8</v>
      </c>
      <c r="I44" s="271" t="s">
        <v>506</v>
      </c>
      <c r="J44" s="359"/>
      <c r="K44" s="360"/>
      <c r="L44" s="368" t="s">
        <v>424</v>
      </c>
      <c r="M44" s="368" t="s">
        <v>424</v>
      </c>
      <c r="N44" s="362" t="s">
        <v>424</v>
      </c>
      <c r="O44" s="273" t="s">
        <v>424</v>
      </c>
      <c r="P44" s="273" t="s">
        <v>424</v>
      </c>
      <c r="R44" s="363">
        <v>6.5</v>
      </c>
      <c r="S44" s="364"/>
      <c r="T44" s="365"/>
      <c r="U44" s="366">
        <f t="shared" si="35"/>
        <v>312</v>
      </c>
      <c r="V44" s="366"/>
      <c r="W44" s="367"/>
      <c r="X44" s="368" t="s">
        <v>424</v>
      </c>
      <c r="Y44" s="368" t="s">
        <v>424</v>
      </c>
      <c r="Z44" s="369" t="s">
        <v>424</v>
      </c>
      <c r="AA44" s="361">
        <f>SUMIFS('[36]frm P6'!$J:$J,'[36]frm P6'!D:D,[36]Schedule!B44,'[36]frm P6'!E:E,[36]Schedule!C44,'[36]frm P6'!F:F,[36]Schedule!D44,'[36]frm P6'!G:G,[36]Schedule!$Z$35,'[36]frm P6'!H:H,[36]Schedule!F44)</f>
        <v>46466</v>
      </c>
      <c r="AB44" s="361">
        <f>SUMIFS('[36]frm P6'!$K:$K,'[36]frm P6'!D:D,[36]Schedule!B44,'[36]frm P6'!E:E,[36]Schedule!C44,'[36]frm P6'!F:F,[36]Schedule!D44,'[36]frm P6'!G:G,[36]Schedule!$Z$35,'[36]frm P6'!H:H,[36]Schedule!F44)</f>
        <v>46501</v>
      </c>
      <c r="AC44" s="362">
        <f t="shared" si="29"/>
        <v>36</v>
      </c>
      <c r="AD44" s="274">
        <v>6</v>
      </c>
      <c r="AE44" s="273">
        <v>24</v>
      </c>
      <c r="AG44" s="370">
        <f>SUMIFS('[36]frm P6'!$J:$J,'[36]frm P6'!D:D,[36]Schedule!B44,'[36]frm P6'!E:E,[36]Schedule!C44,'[36]frm P6'!F:F,[36]Schedule!D44,'[36]frm P6'!G:G,[36]Schedule!$AF$3,'[36]frm P6'!H:H,[36]Schedule!F44)</f>
        <v>46434</v>
      </c>
      <c r="AH44" s="361">
        <f>SUMIFS('[36]frm P6'!$K:$K,'[36]frm P6'!D:D,[36]Schedule!B44,'[36]frm P6'!E:E,[36]Schedule!C44,'[36]frm P6'!F:F,[36]Schedule!D44,'[36]frm P6'!G:G,[36]Schedule!$AF$3,'[36]frm P6'!H:H,[36]Schedule!F44)</f>
        <v>46465</v>
      </c>
      <c r="AI44" s="362">
        <f t="shared" si="30"/>
        <v>32</v>
      </c>
      <c r="AJ44" s="273">
        <v>6</v>
      </c>
      <c r="AK44" s="273">
        <v>24</v>
      </c>
      <c r="AM44" s="420" t="s">
        <v>424</v>
      </c>
      <c r="AN44" s="368" t="s">
        <v>424</v>
      </c>
      <c r="AO44" s="362" t="s">
        <v>424</v>
      </c>
      <c r="AR44" s="372">
        <v>60</v>
      </c>
      <c r="AS44" s="368">
        <f t="shared" si="37"/>
        <v>46431</v>
      </c>
      <c r="AT44" s="368">
        <f t="shared" si="38"/>
        <v>46371</v>
      </c>
      <c r="AU44" s="377">
        <f t="shared" si="39"/>
        <v>46356</v>
      </c>
      <c r="AV44" s="368">
        <f t="shared" si="33"/>
        <v>46430</v>
      </c>
      <c r="AW44" s="368">
        <f t="shared" si="36"/>
        <v>46420</v>
      </c>
      <c r="AX44" s="378">
        <f t="shared" si="34"/>
        <v>140</v>
      </c>
      <c r="AY44" s="368">
        <v>46280</v>
      </c>
      <c r="AZ44" s="362" t="s">
        <v>503</v>
      </c>
      <c r="BA44" s="375" t="s">
        <v>504</v>
      </c>
      <c r="BB44" s="376"/>
      <c r="BC44" s="268"/>
      <c r="BD44" s="268"/>
      <c r="BE44" s="311"/>
      <c r="BF44" s="312"/>
    </row>
    <row r="45" spans="1:58" ht="21">
      <c r="B45" s="357" t="s">
        <v>419</v>
      </c>
      <c r="C45" s="357" t="s">
        <v>507</v>
      </c>
      <c r="D45" s="357" t="s">
        <v>481</v>
      </c>
      <c r="E45" s="357"/>
      <c r="F45" s="357" t="s">
        <v>422</v>
      </c>
      <c r="G45" s="357"/>
      <c r="H45" s="358">
        <v>9</v>
      </c>
      <c r="I45" s="271" t="s">
        <v>508</v>
      </c>
      <c r="J45" s="359"/>
      <c r="K45" s="360"/>
      <c r="L45" s="361">
        <f>SUMIFS('[36]frm P6'!$J:$J,'[36]frm P6'!D:D,[36]Schedule!B45,'[36]frm P6'!E:E,[36]Schedule!C45,'[36]frm P6'!F:F,[36]Schedule!D45,'[36]frm P6'!G:G,[36]Schedule!$K$35,'[36]frm P6'!H:H,[36]Schedule!F45)</f>
        <v>46528</v>
      </c>
      <c r="M45" s="361">
        <f>SUMIFS('[36]frm P6'!$K:$K,'[36]frm P6'!D:D,[36]Schedule!B45,'[36]frm P6'!E:E,[36]Schedule!C45,'[36]frm P6'!F:F,[36]Schedule!D45,'[36]frm P6'!G:G,[36]Schedule!$K$35,'[36]frm P6'!H:H,[36]Schedule!F45)</f>
        <v>46546</v>
      </c>
      <c r="N45" s="362">
        <f>M45-L45+1</f>
        <v>19</v>
      </c>
      <c r="O45" s="273">
        <v>76.400000000000006</v>
      </c>
      <c r="P45" s="273">
        <v>1</v>
      </c>
      <c r="R45" s="363">
        <v>16</v>
      </c>
      <c r="S45" s="364"/>
      <c r="T45" s="365"/>
      <c r="U45" s="366">
        <f t="shared" si="35"/>
        <v>9779.2000000000007</v>
      </c>
      <c r="V45" s="366"/>
      <c r="W45" s="367"/>
      <c r="X45" s="361">
        <f>SUMIFS('[36]frm P6'!$J:$J,'[36]frm P6'!D:D,[36]Schedule!B45,'[36]frm P6'!E:E,[36]Schedule!C45,'[36]frm P6'!G:G,[36]Schedule!$W$3,'[36]frm P6'!H:H,[36]Schedule!F45)</f>
        <v>46504</v>
      </c>
      <c r="Y45" s="361">
        <f>SUMIFS('[36]frm P6'!$K:$K,'[36]frm P6'!D:D,[36]Schedule!B45,'[36]frm P6'!E:E,[36]Schedule!C45,'[36]frm P6'!G:G,[36]Schedule!$W$3,'[36]frm P6'!H:H,[36]Schedule!F45)</f>
        <v>46521</v>
      </c>
      <c r="Z45" s="369">
        <f t="shared" ref="Z45:Z49" si="40">Y45-X45+1</f>
        <v>18</v>
      </c>
      <c r="AA45" s="420" t="s">
        <v>424</v>
      </c>
      <c r="AB45" s="368" t="s">
        <v>424</v>
      </c>
      <c r="AC45" s="362" t="s">
        <v>424</v>
      </c>
      <c r="AD45" s="274" t="s">
        <v>424</v>
      </c>
      <c r="AE45" s="273" t="s">
        <v>424</v>
      </c>
      <c r="AG45" s="370">
        <f>SUMIFS('[36]frm P6'!$J:$J,'[36]frm P6'!D:D,[36]Schedule!B45,'[36]frm P6'!E:E,[36]Schedule!C45,'[36]frm P6'!F:F,[36]Schedule!D45,'[36]frm P6'!G:G,[36]Schedule!$AF$3,'[36]frm P6'!H:H,[36]Schedule!F45)</f>
        <v>46451</v>
      </c>
      <c r="AH45" s="361">
        <f>SUMIFS('[36]frm P6'!$K:$K,'[36]frm P6'!D:D,[36]Schedule!B45,'[36]frm P6'!E:E,[36]Schedule!C45,'[36]frm P6'!F:F,[36]Schedule!D45,'[36]frm P6'!G:G,[36]Schedule!$AF$3,'[36]frm P6'!H:H,[36]Schedule!F45)</f>
        <v>46499</v>
      </c>
      <c r="AI45" s="362">
        <f t="shared" si="30"/>
        <v>49</v>
      </c>
      <c r="AJ45" s="273">
        <v>76.400000000000006</v>
      </c>
      <c r="AK45" s="273">
        <v>1</v>
      </c>
      <c r="AM45" s="420" t="s">
        <v>424</v>
      </c>
      <c r="AN45" s="368" t="s">
        <v>424</v>
      </c>
      <c r="AO45" s="362" t="s">
        <v>424</v>
      </c>
      <c r="AR45" s="372">
        <v>60</v>
      </c>
      <c r="AS45" s="368">
        <f t="shared" si="37"/>
        <v>46448</v>
      </c>
      <c r="AT45" s="368">
        <f t="shared" si="38"/>
        <v>46388</v>
      </c>
      <c r="AU45" s="377">
        <f t="shared" si="39"/>
        <v>46373</v>
      </c>
      <c r="AV45" s="368">
        <f t="shared" si="33"/>
        <v>46447</v>
      </c>
      <c r="AW45" s="368">
        <f t="shared" si="36"/>
        <v>46437</v>
      </c>
      <c r="AX45" s="378">
        <f t="shared" si="34"/>
        <v>182</v>
      </c>
      <c r="AY45" s="368">
        <v>46255</v>
      </c>
      <c r="AZ45" s="362" t="s">
        <v>491</v>
      </c>
      <c r="BA45" s="375" t="s">
        <v>492</v>
      </c>
      <c r="BB45" s="376"/>
      <c r="BC45" s="268"/>
      <c r="BD45" s="268"/>
      <c r="BE45" s="311"/>
      <c r="BF45" s="312"/>
    </row>
    <row r="46" spans="1:58" ht="21">
      <c r="B46" s="357" t="s">
        <v>419</v>
      </c>
      <c r="C46" s="357" t="s">
        <v>509</v>
      </c>
      <c r="D46" s="357" t="s">
        <v>510</v>
      </c>
      <c r="E46" s="357"/>
      <c r="F46" s="357" t="s">
        <v>422</v>
      </c>
      <c r="G46" s="357"/>
      <c r="H46" s="358">
        <v>10</v>
      </c>
      <c r="I46" s="271" t="s">
        <v>511</v>
      </c>
      <c r="J46" s="359"/>
      <c r="K46" s="360"/>
      <c r="L46" s="361">
        <f>SUMIFS('[36]frm P6'!$J:$J,'[36]frm P6'!D:D,[36]Schedule!B46,'[36]frm P6'!E:E,[36]Schedule!C46,'[36]frm P6'!F:F,[36]Schedule!D46,'[36]frm P6'!G:G,[36]Schedule!$K$35,'[36]frm P6'!H:H,[36]Schedule!F46)</f>
        <v>46503</v>
      </c>
      <c r="M46" s="361">
        <f>SUMIFS('[36]frm P6'!$K:$K,'[36]frm P6'!D:D,[36]Schedule!B46,'[36]frm P6'!E:E,[36]Schedule!C46,'[36]frm P6'!F:F,[36]Schedule!D46,'[36]frm P6'!G:G,[36]Schedule!$K$35,'[36]frm P6'!H:H,[36]Schedule!F46)</f>
        <v>46511</v>
      </c>
      <c r="N46" s="362">
        <f>M46-L46+1</f>
        <v>9</v>
      </c>
      <c r="R46" s="363">
        <v>12</v>
      </c>
      <c r="S46" s="364"/>
      <c r="T46" s="365"/>
      <c r="U46" s="366">
        <f t="shared" si="35"/>
        <v>480</v>
      </c>
      <c r="V46" s="366"/>
      <c r="W46" s="367"/>
      <c r="X46" s="361">
        <f>SUMIFS('[36]frm P6'!$J:$J,'[36]frm P6'!D:D,[36]Schedule!B46,'[36]frm P6'!E:E,[36]Schedule!C46,'[36]frm P6'!G:G,[36]Schedule!$W$3,'[36]frm P6'!H:H,[36]Schedule!F46)</f>
        <v>46471</v>
      </c>
      <c r="Y46" s="361">
        <f>SUMIFS('[36]frm P6'!$K:$K,'[36]frm P6'!D:D,[36]Schedule!B46,'[36]frm P6'!E:E,[36]Schedule!C46,'[36]frm P6'!G:G,[36]Schedule!$W$3,'[36]frm P6'!H:H,[36]Schedule!F46)</f>
        <v>46497</v>
      </c>
      <c r="Z46" s="369">
        <f t="shared" si="40"/>
        <v>27</v>
      </c>
      <c r="AA46" s="420" t="s">
        <v>424</v>
      </c>
      <c r="AB46" s="368" t="s">
        <v>424</v>
      </c>
      <c r="AC46" s="362" t="s">
        <v>424</v>
      </c>
      <c r="AD46" s="274" t="s">
        <v>424</v>
      </c>
      <c r="AE46" s="273" t="s">
        <v>424</v>
      </c>
      <c r="AG46" s="370">
        <f>SUMIFS('[36]frm P6'!$J:$J,'[36]frm P6'!D:D,[36]Schedule!B46,'[36]frm P6'!E:E,[36]Schedule!C46,'[36]frm P6'!F:F,[36]Schedule!D46,'[36]frm P6'!G:G,[36]Schedule!$AF$3,'[36]frm P6'!H:H,[36]Schedule!F46)</f>
        <v>46409</v>
      </c>
      <c r="AH46" s="361">
        <f>SUMIFS('[36]frm P6'!$K:$K,'[36]frm P6'!D:D,[36]Schedule!B46,'[36]frm P6'!E:E,[36]Schedule!C46,'[36]frm P6'!F:F,[36]Schedule!D46,'[36]frm P6'!G:G,[36]Schedule!$AF$3,'[36]frm P6'!H:H,[36]Schedule!F46)</f>
        <v>46470</v>
      </c>
      <c r="AI46" s="362">
        <f t="shared" si="30"/>
        <v>62</v>
      </c>
      <c r="AJ46" s="273">
        <v>5</v>
      </c>
      <c r="AK46" s="273">
        <v>2</v>
      </c>
      <c r="AM46" s="420" t="s">
        <v>424</v>
      </c>
      <c r="AN46" s="368" t="s">
        <v>424</v>
      </c>
      <c r="AO46" s="362" t="s">
        <v>424</v>
      </c>
      <c r="AR46" s="372"/>
      <c r="AS46" s="368">
        <f t="shared" si="37"/>
        <v>46406</v>
      </c>
      <c r="AT46" s="368" t="s">
        <v>424</v>
      </c>
      <c r="AU46" s="377" t="s">
        <v>424</v>
      </c>
      <c r="AV46" s="368">
        <f t="shared" si="33"/>
        <v>46405</v>
      </c>
      <c r="AW46" s="368">
        <f t="shared" si="36"/>
        <v>46395</v>
      </c>
      <c r="AX46" s="378">
        <f t="shared" si="34"/>
        <v>115</v>
      </c>
      <c r="AY46" s="368">
        <v>46280</v>
      </c>
      <c r="AZ46" s="362" t="s">
        <v>503</v>
      </c>
      <c r="BA46" s="375" t="s">
        <v>504</v>
      </c>
      <c r="BB46" s="376"/>
      <c r="BC46" s="268"/>
      <c r="BD46" s="268"/>
      <c r="BE46" s="311"/>
      <c r="BF46" s="312"/>
    </row>
    <row r="47" spans="1:58" ht="21">
      <c r="B47" s="357" t="s">
        <v>419</v>
      </c>
      <c r="C47" s="357" t="s">
        <v>512</v>
      </c>
      <c r="D47" s="357" t="s">
        <v>481</v>
      </c>
      <c r="E47" s="357"/>
      <c r="F47" s="357" t="s">
        <v>422</v>
      </c>
      <c r="G47" s="357"/>
      <c r="H47" s="358">
        <v>11</v>
      </c>
      <c r="I47" s="271" t="s">
        <v>513</v>
      </c>
      <c r="J47" s="359"/>
      <c r="K47" s="360"/>
      <c r="L47" s="368" t="s">
        <v>424</v>
      </c>
      <c r="M47" s="368" t="s">
        <v>424</v>
      </c>
      <c r="N47" s="362" t="s">
        <v>424</v>
      </c>
      <c r="O47" s="273">
        <v>2.6</v>
      </c>
      <c r="P47" s="273">
        <v>2</v>
      </c>
      <c r="R47" s="363">
        <v>10</v>
      </c>
      <c r="S47" s="364"/>
      <c r="T47" s="365"/>
      <c r="U47" s="366">
        <f t="shared" si="35"/>
        <v>263.05599999999998</v>
      </c>
      <c r="V47" s="366"/>
      <c r="W47" s="367"/>
      <c r="X47" s="368" t="s">
        <v>424</v>
      </c>
      <c r="Y47" s="368" t="s">
        <v>424</v>
      </c>
      <c r="Z47" s="369" t="s">
        <v>424</v>
      </c>
      <c r="AA47" s="361">
        <f>SUMIFS('[36]frm P6'!$J:$J,'[36]frm P6'!D:D,[36]Schedule!B47,'[36]frm P6'!E:E,[36]Schedule!C47,'[36]frm P6'!F:F,[36]Schedule!D47,'[36]frm P6'!G:G,[36]Schedule!$Z$35,'[36]frm P6'!H:H,[36]Schedule!F47)</f>
        <v>46452</v>
      </c>
      <c r="AB47" s="361">
        <f>SUMIFS('[36]frm P6'!$K:$K,'[36]frm P6'!D:D,[36]Schedule!B47,'[36]frm P6'!E:E,[36]Schedule!C47,'[36]frm P6'!F:F,[36]Schedule!D47,'[36]frm P6'!G:G,[36]Schedule!$Z$35,'[36]frm P6'!H:H,[36]Schedule!F47)</f>
        <v>46489</v>
      </c>
      <c r="AC47" s="362">
        <f t="shared" si="29"/>
        <v>38</v>
      </c>
      <c r="AD47" s="274">
        <v>3.2881999999999998</v>
      </c>
      <c r="AE47" s="273">
        <v>2</v>
      </c>
      <c r="AG47" s="370">
        <f>SUMIFS('[36]frm P6'!$J:$J,'[36]frm P6'!D:D,[36]Schedule!B47,'[36]frm P6'!E:E,[36]Schedule!C47,'[36]frm P6'!F:F,[36]Schedule!D47,'[36]frm P6'!G:G,[36]Schedule!$AF$3,'[36]frm P6'!H:H,[36]Schedule!F47)</f>
        <v>46402</v>
      </c>
      <c r="AH47" s="361">
        <f>SUMIFS('[36]frm P6'!$K:$K,'[36]frm P6'!D:D,[36]Schedule!B47,'[36]frm P6'!E:E,[36]Schedule!C47,'[36]frm P6'!F:F,[36]Schedule!D47,'[36]frm P6'!G:G,[36]Schedule!$AF$3,'[36]frm P6'!H:H,[36]Schedule!F47)</f>
        <v>46452</v>
      </c>
      <c r="AI47" s="362">
        <f t="shared" si="30"/>
        <v>51</v>
      </c>
      <c r="AJ47" s="273">
        <v>3.2881999999999998</v>
      </c>
      <c r="AK47" s="273">
        <v>2</v>
      </c>
      <c r="AM47" s="420" t="s">
        <v>424</v>
      </c>
      <c r="AN47" s="368" t="s">
        <v>424</v>
      </c>
      <c r="AO47" s="362" t="s">
        <v>424</v>
      </c>
      <c r="AR47" s="372">
        <v>60</v>
      </c>
      <c r="AS47" s="368">
        <f t="shared" si="37"/>
        <v>46399</v>
      </c>
      <c r="AT47" s="368">
        <f t="shared" si="38"/>
        <v>46339</v>
      </c>
      <c r="AU47" s="377">
        <f t="shared" si="39"/>
        <v>46324</v>
      </c>
      <c r="AV47" s="368">
        <f t="shared" si="33"/>
        <v>46398</v>
      </c>
      <c r="AW47" s="368">
        <f t="shared" si="36"/>
        <v>46388</v>
      </c>
      <c r="AX47" s="378">
        <f t="shared" si="34"/>
        <v>84</v>
      </c>
      <c r="AY47" s="368">
        <v>46304</v>
      </c>
      <c r="AZ47" s="362" t="s">
        <v>495</v>
      </c>
      <c r="BA47" s="375" t="s">
        <v>496</v>
      </c>
      <c r="BB47" s="376"/>
      <c r="BC47" s="268"/>
      <c r="BD47" s="268"/>
      <c r="BE47" s="311"/>
      <c r="BF47" s="312"/>
    </row>
    <row r="48" spans="1:58" ht="21">
      <c r="B48" s="357" t="s">
        <v>419</v>
      </c>
      <c r="C48" s="357" t="s">
        <v>514</v>
      </c>
      <c r="D48" s="357" t="s">
        <v>481</v>
      </c>
      <c r="E48" s="357"/>
      <c r="F48" s="357" t="s">
        <v>422</v>
      </c>
      <c r="G48" s="357"/>
      <c r="H48" s="358">
        <v>12</v>
      </c>
      <c r="I48" s="271" t="s">
        <v>515</v>
      </c>
      <c r="J48" s="359"/>
      <c r="K48" s="360"/>
      <c r="L48" s="361">
        <f>SUMIFS('[36]frm P6'!$J:$J,'[36]frm P6'!D:D,[36]Schedule!B48,'[36]frm P6'!E:E,[36]Schedule!C48,'[36]frm P6'!F:F,[36]Schedule!D48,'[36]frm P6'!G:G,[36]Schedule!$K$35,'[36]frm P6'!H:H,[36]Schedule!F48)</f>
        <v>46478</v>
      </c>
      <c r="M48" s="361">
        <f>SUMIFS('[36]frm P6'!$K:$K,'[36]frm P6'!D:D,[36]Schedule!B48,'[36]frm P6'!E:E,[36]Schedule!C48,'[36]frm P6'!F:F,[36]Schedule!D48,'[36]frm P6'!G:G,[36]Schedule!$K$35,'[36]frm P6'!H:H,[36]Schedule!F48)</f>
        <v>46489</v>
      </c>
      <c r="N48" s="362">
        <f>M48-L48+1</f>
        <v>12</v>
      </c>
      <c r="O48" s="273">
        <v>9.4657</v>
      </c>
      <c r="P48" s="273">
        <v>1</v>
      </c>
      <c r="R48" s="363">
        <v>8</v>
      </c>
      <c r="S48" s="364"/>
      <c r="T48" s="365"/>
      <c r="U48" s="366">
        <f t="shared" si="35"/>
        <v>605.8048</v>
      </c>
      <c r="V48" s="366"/>
      <c r="W48" s="367"/>
      <c r="X48" s="368" t="s">
        <v>424</v>
      </c>
      <c r="Y48" s="368" t="s">
        <v>424</v>
      </c>
      <c r="Z48" s="369" t="s">
        <v>424</v>
      </c>
      <c r="AA48" s="420" t="s">
        <v>424</v>
      </c>
      <c r="AB48" s="368" t="s">
        <v>424</v>
      </c>
      <c r="AC48" s="362" t="s">
        <v>424</v>
      </c>
      <c r="AD48" s="274" t="s">
        <v>424</v>
      </c>
      <c r="AE48" s="273" t="s">
        <v>424</v>
      </c>
      <c r="AG48" s="370">
        <f>SUMIFS('[36]frm P6'!$J:$J,'[36]frm P6'!D:D,[36]Schedule!B48,'[36]frm P6'!E:E,[36]Schedule!C48,'[36]frm P6'!F:F,[36]Schedule!D48,'[36]frm P6'!G:G,[36]Schedule!$AF$3,'[36]frm P6'!H:H,[36]Schedule!F48)</f>
        <v>46416</v>
      </c>
      <c r="AH48" s="361">
        <f>SUMIFS('[36]frm P6'!$K:$K,'[36]frm P6'!D:D,[36]Schedule!B48,'[36]frm P6'!E:E,[36]Schedule!C48,'[36]frm P6'!F:F,[36]Schedule!D48,'[36]frm P6'!G:G,[36]Schedule!$AF$3,'[36]frm P6'!H:H,[36]Schedule!F48)</f>
        <v>46466</v>
      </c>
      <c r="AI48" s="362">
        <f t="shared" si="30"/>
        <v>51</v>
      </c>
      <c r="AJ48" s="273">
        <v>9.4657</v>
      </c>
      <c r="AK48" s="273">
        <v>1</v>
      </c>
      <c r="AM48" s="420" t="s">
        <v>424</v>
      </c>
      <c r="AN48" s="368" t="s">
        <v>424</v>
      </c>
      <c r="AO48" s="362" t="s">
        <v>424</v>
      </c>
      <c r="AR48" s="372">
        <v>60</v>
      </c>
      <c r="AS48" s="368">
        <f t="shared" si="37"/>
        <v>46413</v>
      </c>
      <c r="AT48" s="368">
        <f t="shared" si="38"/>
        <v>46353</v>
      </c>
      <c r="AU48" s="377">
        <f t="shared" si="39"/>
        <v>46338</v>
      </c>
      <c r="AV48" s="368">
        <f t="shared" si="33"/>
        <v>46412</v>
      </c>
      <c r="AW48" s="368">
        <f t="shared" si="36"/>
        <v>46402</v>
      </c>
      <c r="AX48" s="378">
        <f t="shared" si="34"/>
        <v>85</v>
      </c>
      <c r="AY48" s="368">
        <v>46317</v>
      </c>
      <c r="AZ48" s="421" t="s">
        <v>516</v>
      </c>
      <c r="BA48" s="375" t="s">
        <v>517</v>
      </c>
      <c r="BB48" s="376"/>
      <c r="BC48" s="268"/>
      <c r="BD48" s="268"/>
      <c r="BE48" s="311"/>
      <c r="BF48" s="312"/>
    </row>
    <row r="49" spans="2:58" ht="21">
      <c r="B49" s="357" t="s">
        <v>419</v>
      </c>
      <c r="C49" s="357" t="s">
        <v>518</v>
      </c>
      <c r="D49" s="357" t="s">
        <v>481</v>
      </c>
      <c r="E49" s="357"/>
      <c r="F49" s="357" t="s">
        <v>422</v>
      </c>
      <c r="G49" s="357"/>
      <c r="H49" s="358">
        <v>13</v>
      </c>
      <c r="I49" s="271" t="s">
        <v>519</v>
      </c>
      <c r="J49" s="359"/>
      <c r="K49" s="360"/>
      <c r="L49" s="361">
        <f>SUMIFS('[36]frm P6'!$J:$J,'[36]frm P6'!D:D,[36]Schedule!B49,'[36]frm P6'!E:E,[36]Schedule!C49,'[36]frm P6'!F:F,[36]Schedule!D49,'[36]frm P6'!G:G,[36]Schedule!$K$35,'[36]frm P6'!H:H,[36]Schedule!F49)</f>
        <v>46543</v>
      </c>
      <c r="M49" s="361">
        <f>SUMIFS('[36]frm P6'!$K:$K,'[36]frm P6'!D:D,[36]Schedule!B49,'[36]frm P6'!E:E,[36]Schedule!C49,'[36]frm P6'!F:F,[36]Schedule!D49,'[36]frm P6'!G:G,[36]Schedule!$K$35,'[36]frm P6'!H:H,[36]Schedule!F49)</f>
        <v>46560</v>
      </c>
      <c r="N49" s="362">
        <f>M49-L49+1</f>
        <v>18</v>
      </c>
      <c r="O49" s="273">
        <v>6</v>
      </c>
      <c r="P49" s="273">
        <v>4</v>
      </c>
      <c r="R49" s="363">
        <v>15</v>
      </c>
      <c r="S49" s="364"/>
      <c r="T49" s="365"/>
      <c r="U49" s="366">
        <f t="shared" si="35"/>
        <v>720</v>
      </c>
      <c r="V49" s="366"/>
      <c r="W49" s="367"/>
      <c r="X49" s="361">
        <f>SUMIFS('[36]frm P6'!$J:$J,'[36]frm P6'!D:D,[36]Schedule!B49,'[36]frm P6'!E:E,[36]Schedule!C49,'[36]frm P6'!G:G,[36]Schedule!$W$3,'[36]frm P6'!H:H,[36]Schedule!F49)</f>
        <v>46527</v>
      </c>
      <c r="Y49" s="361">
        <f>SUMIFS('[36]frm P6'!$K:$K,'[36]frm P6'!D:D,[36]Schedule!B49,'[36]frm P6'!E:E,[36]Schedule!C49,'[36]frm P6'!G:G,[36]Schedule!$W$3,'[36]frm P6'!H:H,[36]Schedule!F49)</f>
        <v>46543</v>
      </c>
      <c r="Z49" s="369">
        <f t="shared" si="40"/>
        <v>17</v>
      </c>
      <c r="AA49" s="420" t="s">
        <v>424</v>
      </c>
      <c r="AB49" s="368" t="s">
        <v>424</v>
      </c>
      <c r="AC49" s="362" t="s">
        <v>424</v>
      </c>
      <c r="AD49" s="274" t="s">
        <v>424</v>
      </c>
      <c r="AE49" s="273" t="s">
        <v>424</v>
      </c>
      <c r="AG49" s="370">
        <f>SUMIFS('[36]frm P6'!$J:$J,'[36]frm P6'!D:D,[36]Schedule!B49,'[36]frm P6'!E:E,[36]Schedule!C49,'[36]frm P6'!F:F,[36]Schedule!D49,'[36]frm P6'!G:G,[36]Schedule!$AF$3,'[36]frm P6'!H:H,[36]Schedule!F49)</f>
        <v>46493</v>
      </c>
      <c r="AH49" s="361">
        <f>SUMIFS('[36]frm P6'!$K:$K,'[36]frm P6'!D:D,[36]Schedule!B49,'[36]frm P6'!E:E,[36]Schedule!C49,'[36]frm P6'!F:F,[36]Schedule!D49,'[36]frm P6'!G:G,[36]Schedule!$AF$3,'[36]frm P6'!H:H,[36]Schedule!F49)</f>
        <v>46527</v>
      </c>
      <c r="AI49" s="362">
        <f t="shared" si="30"/>
        <v>35</v>
      </c>
      <c r="AJ49" s="273">
        <v>6</v>
      </c>
      <c r="AK49" s="273">
        <v>4</v>
      </c>
      <c r="AM49" s="420" t="s">
        <v>424</v>
      </c>
      <c r="AN49" s="368" t="s">
        <v>424</v>
      </c>
      <c r="AO49" s="362" t="s">
        <v>424</v>
      </c>
      <c r="AR49" s="372">
        <v>60</v>
      </c>
      <c r="AS49" s="368">
        <f t="shared" si="37"/>
        <v>46490</v>
      </c>
      <c r="AT49" s="368">
        <f t="shared" si="38"/>
        <v>46430</v>
      </c>
      <c r="AU49" s="377">
        <f t="shared" si="39"/>
        <v>46415</v>
      </c>
      <c r="AV49" s="368">
        <f t="shared" si="33"/>
        <v>46489</v>
      </c>
      <c r="AW49" s="368">
        <f t="shared" si="36"/>
        <v>46479</v>
      </c>
      <c r="AX49" s="378">
        <f t="shared" si="34"/>
        <v>177</v>
      </c>
      <c r="AY49" s="368">
        <v>46302</v>
      </c>
      <c r="AZ49" s="362" t="s">
        <v>520</v>
      </c>
      <c r="BA49" s="375" t="s">
        <v>521</v>
      </c>
      <c r="BB49" s="376"/>
      <c r="BC49" s="268"/>
      <c r="BD49" s="268"/>
      <c r="BE49" s="311"/>
      <c r="BF49" s="312"/>
    </row>
    <row r="50" spans="2:58" ht="21">
      <c r="B50" s="357" t="s">
        <v>419</v>
      </c>
      <c r="C50" s="357" t="s">
        <v>522</v>
      </c>
      <c r="D50" s="357" t="s">
        <v>481</v>
      </c>
      <c r="E50" s="357"/>
      <c r="F50" s="357" t="s">
        <v>422</v>
      </c>
      <c r="G50" s="357"/>
      <c r="H50" s="358">
        <v>14</v>
      </c>
      <c r="I50" s="271" t="s">
        <v>523</v>
      </c>
      <c r="J50" s="359"/>
      <c r="K50" s="360"/>
      <c r="L50" s="361">
        <f>SUMIFS('[36]frm P6'!$J:$J,'[36]frm P6'!D:D,[36]Schedule!B50,'[36]frm P6'!E:E,[36]Schedule!C50,'[36]frm P6'!F:F,[36]Schedule!D50,'[36]frm P6'!G:G,[36]Schedule!$K$35,'[36]frm P6'!H:H,[36]Schedule!F50)</f>
        <v>46554</v>
      </c>
      <c r="M50" s="361">
        <f>SUMIFS('[36]frm P6'!$K:$K,'[36]frm P6'!D:D,[36]Schedule!B50,'[36]frm P6'!E:E,[36]Schedule!C50,'[36]frm P6'!F:F,[36]Schedule!D50,'[36]frm P6'!G:G,[36]Schedule!$K$35,'[36]frm P6'!H:H,[36]Schedule!F50)</f>
        <v>46562</v>
      </c>
      <c r="N50" s="362">
        <f>M50-L50+1</f>
        <v>9</v>
      </c>
      <c r="O50" s="273">
        <v>5</v>
      </c>
      <c r="P50" s="273">
        <v>1</v>
      </c>
      <c r="R50" s="363">
        <v>7</v>
      </c>
      <c r="S50" s="364"/>
      <c r="T50" s="365"/>
      <c r="U50" s="366">
        <f t="shared" si="35"/>
        <v>280</v>
      </c>
      <c r="V50" s="366"/>
      <c r="W50" s="367"/>
      <c r="X50" s="368" t="s">
        <v>424</v>
      </c>
      <c r="Y50" s="368" t="s">
        <v>424</v>
      </c>
      <c r="Z50" s="369" t="s">
        <v>424</v>
      </c>
      <c r="AA50" s="420" t="s">
        <v>424</v>
      </c>
      <c r="AB50" s="368" t="s">
        <v>424</v>
      </c>
      <c r="AC50" s="362" t="s">
        <v>424</v>
      </c>
      <c r="AD50" s="274" t="s">
        <v>424</v>
      </c>
      <c r="AE50" s="273" t="s">
        <v>424</v>
      </c>
      <c r="AG50" s="370">
        <f>SUMIFS('[36]frm P6'!$J:$J,'[36]frm P6'!D:D,[36]Schedule!B50,'[36]frm P6'!E:E,[36]Schedule!C50,'[36]frm P6'!F:F,[36]Schedule!D50,'[36]frm P6'!G:G,[36]Schedule!$AF$3,'[36]frm P6'!H:H,[36]Schedule!F50)</f>
        <v>46466</v>
      </c>
      <c r="AH50" s="361">
        <f>SUMIFS('[36]frm P6'!$K:$K,'[36]frm P6'!D:D,[36]Schedule!B50,'[36]frm P6'!E:E,[36]Schedule!C50,'[36]frm P6'!F:F,[36]Schedule!D50,'[36]frm P6'!G:G,[36]Schedule!$AF$3,'[36]frm P6'!H:H,[36]Schedule!F50)</f>
        <v>46503</v>
      </c>
      <c r="AI50" s="362">
        <f t="shared" si="30"/>
        <v>38</v>
      </c>
      <c r="AJ50" s="273">
        <v>5</v>
      </c>
      <c r="AK50" s="273">
        <v>1</v>
      </c>
      <c r="AM50" s="420" t="s">
        <v>424</v>
      </c>
      <c r="AN50" s="368" t="s">
        <v>424</v>
      </c>
      <c r="AO50" s="362" t="s">
        <v>424</v>
      </c>
      <c r="AR50" s="372">
        <v>60</v>
      </c>
      <c r="AS50" s="368">
        <f t="shared" si="37"/>
        <v>46463</v>
      </c>
      <c r="AT50" s="368">
        <f t="shared" si="38"/>
        <v>46403</v>
      </c>
      <c r="AU50" s="377">
        <f t="shared" si="39"/>
        <v>46388</v>
      </c>
      <c r="AV50" s="368">
        <f t="shared" si="33"/>
        <v>46462</v>
      </c>
      <c r="AW50" s="368">
        <f t="shared" si="36"/>
        <v>46452</v>
      </c>
      <c r="AX50" s="378">
        <f t="shared" si="34"/>
        <v>141</v>
      </c>
      <c r="AY50" s="368">
        <v>46311</v>
      </c>
      <c r="AZ50" s="362" t="s">
        <v>524</v>
      </c>
      <c r="BA50" s="375" t="s">
        <v>525</v>
      </c>
      <c r="BB50" s="376"/>
      <c r="BC50" s="268"/>
      <c r="BD50" s="268"/>
      <c r="BE50" s="311"/>
      <c r="BF50" s="312"/>
    </row>
    <row r="51" spans="2:58" ht="21">
      <c r="B51" s="357" t="s">
        <v>419</v>
      </c>
      <c r="C51" s="357" t="s">
        <v>526</v>
      </c>
      <c r="D51" s="357" t="s">
        <v>481</v>
      </c>
      <c r="E51" s="357"/>
      <c r="F51" s="357" t="s">
        <v>422</v>
      </c>
      <c r="G51" s="357" t="str">
        <f>F51&amp;C51</f>
        <v>01JNOD</v>
      </c>
      <c r="H51" s="358">
        <v>15</v>
      </c>
      <c r="I51" s="271" t="s">
        <v>527</v>
      </c>
      <c r="J51" s="359"/>
      <c r="K51" s="419"/>
      <c r="L51" s="368" t="s">
        <v>424</v>
      </c>
      <c r="M51" s="368" t="s">
        <v>424</v>
      </c>
      <c r="N51" s="362" t="s">
        <v>424</v>
      </c>
      <c r="O51" s="273" t="s">
        <v>424</v>
      </c>
      <c r="P51" s="273" t="s">
        <v>424</v>
      </c>
      <c r="R51" s="363">
        <v>3</v>
      </c>
      <c r="S51" s="364"/>
      <c r="T51" s="365"/>
      <c r="U51" s="366" t="e">
        <f t="shared" si="35"/>
        <v>#VALUE!</v>
      </c>
      <c r="V51" s="366"/>
      <c r="W51" s="367"/>
      <c r="X51" s="368" t="s">
        <v>424</v>
      </c>
      <c r="Y51" s="368" t="s">
        <v>424</v>
      </c>
      <c r="Z51" s="369" t="s">
        <v>424</v>
      </c>
      <c r="AA51" s="361">
        <f>SUMIFS('[36]frm P6'!$J:$J,'[36]frm P6'!D:D,[36]Schedule!B51,'[36]frm P6'!E:E,[36]Schedule!C51,'[36]frm P6'!F:F,[36]Schedule!D51,'[36]frm P6'!G:G,[36]Schedule!$Z$35,'[36]frm P6'!H:H,[36]Schedule!F51)</f>
        <v>46363</v>
      </c>
      <c r="AB51" s="361">
        <f>SUMIFS('[36]frm P6'!$K:$K,'[36]frm P6'!D:D,[36]Schedule!B51,'[36]frm P6'!E:E,[36]Schedule!C51,'[36]frm P6'!F:F,[36]Schedule!D51,'[36]frm P6'!G:G,[36]Schedule!$Z$35,'[36]frm P6'!H:H,[36]Schedule!F51)</f>
        <v>46465</v>
      </c>
      <c r="AC51" s="362">
        <f t="shared" ref="AC51:AC58" si="41">AB51-AA51+1</f>
        <v>103</v>
      </c>
      <c r="AE51" s="273">
        <v>76</v>
      </c>
      <c r="AG51" s="420" t="s">
        <v>424</v>
      </c>
      <c r="AH51" s="368" t="s">
        <v>424</v>
      </c>
      <c r="AI51" s="362" t="s">
        <v>424</v>
      </c>
      <c r="AJ51" s="273" t="s">
        <v>424</v>
      </c>
      <c r="AK51" s="273" t="s">
        <v>424</v>
      </c>
      <c r="AM51" s="420" t="s">
        <v>424</v>
      </c>
      <c r="AN51" s="368" t="s">
        <v>424</v>
      </c>
      <c r="AO51" s="362" t="s">
        <v>424</v>
      </c>
      <c r="AR51" s="372">
        <v>90</v>
      </c>
      <c r="AS51" s="368">
        <f>AA51-$AS$3</f>
        <v>46360</v>
      </c>
      <c r="AT51" s="368">
        <f t="shared" ref="AT51:AT53" si="42">AS51-$AT$3</f>
        <v>46300</v>
      </c>
      <c r="AU51" s="377">
        <f t="shared" ref="AU51:AU53" si="43">AT51-$AU$3</f>
        <v>46285</v>
      </c>
      <c r="AV51" s="368">
        <f>AA51-$AV$35</f>
        <v>46359</v>
      </c>
      <c r="AW51" s="368">
        <f t="shared" si="36"/>
        <v>46349</v>
      </c>
      <c r="AX51" s="378">
        <f t="shared" si="34"/>
        <v>42</v>
      </c>
      <c r="AY51" s="368">
        <v>46307</v>
      </c>
      <c r="AZ51" s="362" t="s">
        <v>528</v>
      </c>
      <c r="BA51" s="375" t="s">
        <v>529</v>
      </c>
      <c r="BB51" s="423"/>
      <c r="BC51" s="268"/>
      <c r="BD51" s="268"/>
      <c r="BE51" s="311"/>
      <c r="BF51" s="312"/>
    </row>
    <row r="52" spans="2:58" ht="21">
      <c r="B52" s="357" t="s">
        <v>419</v>
      </c>
      <c r="C52" s="357" t="s">
        <v>530</v>
      </c>
      <c r="D52" s="357" t="s">
        <v>481</v>
      </c>
      <c r="E52" s="357"/>
      <c r="F52" s="357" t="s">
        <v>422</v>
      </c>
      <c r="G52" s="357"/>
      <c r="H52" s="358">
        <v>15</v>
      </c>
      <c r="I52" s="271" t="s">
        <v>531</v>
      </c>
      <c r="J52" s="359"/>
      <c r="K52" s="360"/>
      <c r="L52" s="368" t="s">
        <v>424</v>
      </c>
      <c r="M52" s="368" t="s">
        <v>424</v>
      </c>
      <c r="N52" s="362" t="s">
        <v>424</v>
      </c>
      <c r="O52" s="273" t="s">
        <v>424</v>
      </c>
      <c r="P52" s="273" t="s">
        <v>424</v>
      </c>
      <c r="R52" s="363">
        <v>3</v>
      </c>
      <c r="S52" s="364"/>
      <c r="T52" s="365"/>
      <c r="U52" s="366" t="e">
        <f t="shared" si="35"/>
        <v>#VALUE!</v>
      </c>
      <c r="V52" s="366"/>
      <c r="W52" s="367"/>
      <c r="X52" s="368" t="s">
        <v>424</v>
      </c>
      <c r="Y52" s="368" t="s">
        <v>424</v>
      </c>
      <c r="Z52" s="369" t="s">
        <v>424</v>
      </c>
      <c r="AA52" s="361">
        <f>SUMIFS('[36]frm P6'!$J:$J,'[36]frm P6'!D:D,[36]Schedule!B52,'[36]frm P6'!E:E,[36]Schedule!C52,'[36]frm P6'!F:F,[36]Schedule!D52,'[36]frm P6'!G:G,[36]Schedule!$Z$35,'[36]frm P6'!H:H,[36]Schedule!F52)</f>
        <v>46505</v>
      </c>
      <c r="AB52" s="361">
        <f>SUMIFS('[36]frm P6'!$K:$K,'[36]frm P6'!D:D,[36]Schedule!B52,'[36]frm P6'!E:E,[36]Schedule!C52,'[36]frm P6'!F:F,[36]Schedule!D52,'[36]frm P6'!G:G,[36]Schedule!$Z$35,'[36]frm P6'!H:H,[36]Schedule!F52)</f>
        <v>46524</v>
      </c>
      <c r="AC52" s="362">
        <f t="shared" si="41"/>
        <v>20</v>
      </c>
      <c r="AE52" s="273">
        <v>76</v>
      </c>
      <c r="AG52" s="370">
        <f>SUMIFS('[36]frm P6'!$J:$J,'[36]frm P6'!D:D,[36]Schedule!B52,'[36]frm P6'!E:E,[36]Schedule!C52,'[36]frm P6'!F:F,[36]Schedule!D52,'[36]frm P6'!G:G,[36]Schedule!$AF$3,'[36]frm P6'!H:H,[36]Schedule!F52)</f>
        <v>46475</v>
      </c>
      <c r="AH52" s="361">
        <f>SUMIFS('[36]frm P6'!$K:$K,'[36]frm P6'!D:D,[36]Schedule!B52,'[36]frm P6'!E:E,[36]Schedule!C52,'[36]frm P6'!F:F,[36]Schedule!D52,'[36]frm P6'!G:G,[36]Schedule!$AF$3,'[36]frm P6'!H:H,[36]Schedule!F52)</f>
        <v>46505</v>
      </c>
      <c r="AI52" s="362" t="s">
        <v>424</v>
      </c>
      <c r="AJ52" s="273" t="s">
        <v>424</v>
      </c>
      <c r="AK52" s="273" t="s">
        <v>424</v>
      </c>
      <c r="AM52" s="420" t="s">
        <v>424</v>
      </c>
      <c r="AN52" s="368" t="s">
        <v>424</v>
      </c>
      <c r="AO52" s="362" t="s">
        <v>424</v>
      </c>
      <c r="AR52" s="372">
        <v>90</v>
      </c>
      <c r="AS52" s="368">
        <f t="shared" si="37"/>
        <v>46472</v>
      </c>
      <c r="AT52" s="368">
        <f t="shared" si="42"/>
        <v>46412</v>
      </c>
      <c r="AU52" s="377">
        <f t="shared" si="43"/>
        <v>46397</v>
      </c>
      <c r="AV52" s="368">
        <f t="shared" ref="AV52:AV53" si="44">AG52-$AV$35</f>
        <v>46471</v>
      </c>
      <c r="AW52" s="368">
        <f t="shared" si="36"/>
        <v>46461</v>
      </c>
      <c r="AX52" s="378">
        <f t="shared" si="34"/>
        <v>150</v>
      </c>
      <c r="AY52" s="368">
        <v>46311</v>
      </c>
      <c r="AZ52" s="421" t="s">
        <v>524</v>
      </c>
      <c r="BA52" s="375" t="s">
        <v>525</v>
      </c>
      <c r="BB52" s="423"/>
      <c r="BC52" s="268"/>
      <c r="BD52" s="268"/>
      <c r="BE52" s="311"/>
      <c r="BF52" s="312"/>
    </row>
    <row r="53" spans="2:58" ht="21">
      <c r="B53" s="357" t="s">
        <v>419</v>
      </c>
      <c r="C53" s="357" t="s">
        <v>532</v>
      </c>
      <c r="D53" s="357" t="s">
        <v>481</v>
      </c>
      <c r="E53" s="357"/>
      <c r="F53" s="357" t="s">
        <v>422</v>
      </c>
      <c r="G53" s="357"/>
      <c r="H53" s="358">
        <v>15</v>
      </c>
      <c r="I53" s="271" t="s">
        <v>533</v>
      </c>
      <c r="J53" s="359"/>
      <c r="K53" s="360"/>
      <c r="L53" s="361">
        <f>SUMIFS('[36]frm P6'!$J:$J,'[36]frm P6'!D:D,[36]Schedule!B53,'[36]frm P6'!E:E,[36]Schedule!C53,'[36]frm P6'!F:F,[36]Schedule!D53,'[36]frm P6'!G:G,[36]Schedule!$K$35,'[36]frm P6'!H:H,[36]Schedule!F53)</f>
        <v>46511</v>
      </c>
      <c r="M53" s="361">
        <f>SUMIFS('[36]frm P6'!$K:$K,'[36]frm P6'!D:D,[36]Schedule!B53,'[36]frm P6'!E:E,[36]Schedule!C53,'[36]frm P6'!F:F,[36]Schedule!D53,'[36]frm P6'!G:G,[36]Schedule!$K$35,'[36]frm P6'!H:H,[36]Schedule!F53)</f>
        <v>46528</v>
      </c>
      <c r="N53" s="362">
        <f>M53-L53+1</f>
        <v>18</v>
      </c>
      <c r="O53" s="273" t="s">
        <v>424</v>
      </c>
      <c r="P53" s="273" t="s">
        <v>424</v>
      </c>
      <c r="R53" s="363">
        <v>3</v>
      </c>
      <c r="S53" s="364"/>
      <c r="T53" s="365"/>
      <c r="U53" s="366" t="e">
        <f t="shared" si="35"/>
        <v>#VALUE!</v>
      </c>
      <c r="V53" s="366"/>
      <c r="W53" s="367"/>
      <c r="X53" s="368" t="s">
        <v>424</v>
      </c>
      <c r="Y53" s="368" t="s">
        <v>424</v>
      </c>
      <c r="Z53" s="369" t="s">
        <v>424</v>
      </c>
      <c r="AA53" s="420" t="s">
        <v>424</v>
      </c>
      <c r="AB53" s="368" t="s">
        <v>424</v>
      </c>
      <c r="AC53" s="362" t="s">
        <v>424</v>
      </c>
      <c r="AE53" s="273">
        <v>76</v>
      </c>
      <c r="AG53" s="370">
        <f>SUMIFS('[36]frm P6'!$J:$J,'[36]frm P6'!D:D,[36]Schedule!B53,'[36]frm P6'!E:E,[36]Schedule!C53,'[36]frm P6'!F:F,[36]Schedule!D53,'[36]frm P6'!G:G,[36]Schedule!$AF$3,'[36]frm P6'!H:H,[36]Schedule!F53)</f>
        <v>46475</v>
      </c>
      <c r="AH53" s="361">
        <f>SUMIFS('[36]frm P6'!$K:$K,'[36]frm P6'!D:D,[36]Schedule!B53,'[36]frm P6'!E:E,[36]Schedule!C53,'[36]frm P6'!F:F,[36]Schedule!D53,'[36]frm P6'!G:G,[36]Schedule!$AF$3,'[36]frm P6'!H:H,[36]Schedule!F53)</f>
        <v>46499</v>
      </c>
      <c r="AI53" s="362" t="s">
        <v>424</v>
      </c>
      <c r="AJ53" s="273" t="s">
        <v>424</v>
      </c>
      <c r="AK53" s="273" t="s">
        <v>424</v>
      </c>
      <c r="AM53" s="420" t="s">
        <v>424</v>
      </c>
      <c r="AN53" s="368" t="s">
        <v>424</v>
      </c>
      <c r="AO53" s="362" t="s">
        <v>424</v>
      </c>
      <c r="AR53" s="372">
        <v>90</v>
      </c>
      <c r="AS53" s="368">
        <f t="shared" si="37"/>
        <v>46472</v>
      </c>
      <c r="AT53" s="368">
        <f t="shared" si="42"/>
        <v>46412</v>
      </c>
      <c r="AU53" s="377">
        <f t="shared" si="43"/>
        <v>46397</v>
      </c>
      <c r="AV53" s="368">
        <f t="shared" si="44"/>
        <v>46471</v>
      </c>
      <c r="AW53" s="368">
        <f t="shared" si="36"/>
        <v>46461</v>
      </c>
      <c r="AX53" s="378">
        <f t="shared" si="34"/>
        <v>150</v>
      </c>
      <c r="AY53" s="368">
        <v>46311</v>
      </c>
      <c r="AZ53" s="421" t="s">
        <v>524</v>
      </c>
      <c r="BA53" s="375" t="s">
        <v>525</v>
      </c>
      <c r="BB53" s="423"/>
      <c r="BC53" s="268"/>
      <c r="BD53" s="268"/>
      <c r="BE53" s="311"/>
      <c r="BF53" s="312"/>
    </row>
    <row r="54" spans="2:58" ht="27" customHeight="1">
      <c r="B54" s="334" t="s">
        <v>462</v>
      </c>
      <c r="C54" s="335"/>
      <c r="D54" s="335"/>
      <c r="E54" s="335"/>
      <c r="F54" s="335"/>
      <c r="G54" s="335"/>
      <c r="H54" s="336" t="s">
        <v>534</v>
      </c>
      <c r="I54" s="337"/>
      <c r="J54" s="338"/>
      <c r="K54" s="339"/>
      <c r="L54" s="340">
        <f>MIN(L55:L70)</f>
        <v>46456</v>
      </c>
      <c r="M54" s="340">
        <f>MAX(M55:M70)</f>
        <v>46605</v>
      </c>
      <c r="N54" s="337">
        <f>M54-L54+1</f>
        <v>150</v>
      </c>
      <c r="O54" s="341"/>
      <c r="P54" s="341"/>
      <c r="Q54" s="341"/>
      <c r="R54" s="380"/>
      <c r="S54" s="381"/>
      <c r="T54" s="382"/>
      <c r="U54" s="383"/>
      <c r="V54" s="383"/>
      <c r="W54" s="384"/>
      <c r="X54" s="340">
        <f>MIN(X55:X70)</f>
        <v>46506</v>
      </c>
      <c r="Y54" s="340">
        <f>MAX(Y55:Y70)</f>
        <v>46574</v>
      </c>
      <c r="Z54" s="347">
        <f t="shared" ref="Z54" si="45">Y54-X54+1</f>
        <v>69</v>
      </c>
      <c r="AA54" s="340">
        <f>MIN(AA55:AA70)</f>
        <v>46375</v>
      </c>
      <c r="AB54" s="340">
        <f>MAX(AB55:AB70)</f>
        <v>46539</v>
      </c>
      <c r="AC54" s="337">
        <f t="shared" si="41"/>
        <v>165</v>
      </c>
      <c r="AD54" s="348"/>
      <c r="AE54" s="341"/>
      <c r="AF54" s="341"/>
      <c r="AG54" s="349">
        <f>MIN(AG55:AG70)</f>
        <v>46352</v>
      </c>
      <c r="AH54" s="340">
        <f>MAX(AH55:AH70)</f>
        <v>46584</v>
      </c>
      <c r="AI54" s="337">
        <f t="shared" ref="AI54:AI67" si="46">AH54-AG54+1</f>
        <v>233</v>
      </c>
      <c r="AJ54" s="341"/>
      <c r="AK54" s="341"/>
      <c r="AL54" s="341"/>
      <c r="AM54" s="349"/>
      <c r="AN54" s="340"/>
      <c r="AO54" s="337"/>
      <c r="AP54" s="341"/>
      <c r="AQ54" s="341"/>
      <c r="AR54" s="351"/>
      <c r="AS54" s="340">
        <f>MIN(AS55:AS70)</f>
        <v>46349</v>
      </c>
      <c r="AT54" s="340">
        <f>MIN(AT55:AT70)</f>
        <v>46289</v>
      </c>
      <c r="AU54" s="352">
        <f>MIN(AU55:AU70)</f>
        <v>46274</v>
      </c>
      <c r="AV54" s="353">
        <f>MIN(AV55:AV70)</f>
        <v>46348</v>
      </c>
      <c r="AW54" s="353">
        <f>MIN(AW55:AW70)</f>
        <v>46338</v>
      </c>
      <c r="AX54" s="354"/>
      <c r="AY54" s="340"/>
      <c r="AZ54" s="355"/>
      <c r="BA54" s="355"/>
      <c r="BB54" s="356"/>
    </row>
    <row r="55" spans="2:58" ht="21">
      <c r="B55" s="357" t="s">
        <v>419</v>
      </c>
      <c r="C55" s="357" t="s">
        <v>480</v>
      </c>
      <c r="D55" s="357" t="s">
        <v>481</v>
      </c>
      <c r="E55" s="357"/>
      <c r="F55" s="357" t="s">
        <v>464</v>
      </c>
      <c r="G55" s="357"/>
      <c r="H55" s="358">
        <v>1</v>
      </c>
      <c r="I55" s="271" t="s">
        <v>482</v>
      </c>
      <c r="J55" s="359"/>
      <c r="K55" s="419"/>
      <c r="L55" s="368" t="s">
        <v>424</v>
      </c>
      <c r="M55" s="368" t="s">
        <v>424</v>
      </c>
      <c r="N55" s="362" t="s">
        <v>424</v>
      </c>
      <c r="O55" s="273" t="s">
        <v>424</v>
      </c>
      <c r="P55" s="273" t="s">
        <v>424</v>
      </c>
      <c r="R55" s="363">
        <v>7</v>
      </c>
      <c r="S55" s="364"/>
      <c r="T55" s="365"/>
      <c r="U55" s="366">
        <f t="shared" si="35"/>
        <v>114.8672</v>
      </c>
      <c r="V55" s="366"/>
      <c r="W55" s="367"/>
      <c r="X55" s="368" t="s">
        <v>424</v>
      </c>
      <c r="Y55" s="368" t="s">
        <v>424</v>
      </c>
      <c r="Z55" s="369" t="s">
        <v>424</v>
      </c>
      <c r="AA55" s="361">
        <f>SUMIFS('[36]frm P6'!$J:$J,'[36]frm P6'!D:D,[36]Schedule!B55,'[36]frm P6'!E:E,[36]Schedule!C55,'[36]frm P6'!F:F,[36]Schedule!D55,'[36]frm P6'!G:G,[36]Schedule!$Z$35,'[36]frm P6'!H:H,[36]Schedule!F55)</f>
        <v>46375</v>
      </c>
      <c r="AB55" s="361">
        <f>SUMIFS('[36]frm P6'!$K:$K,'[36]frm P6'!D:D,[36]Schedule!B55,'[36]frm P6'!E:E,[36]Schedule!C55,'[36]frm P6'!F:F,[36]Schedule!D55,'[36]frm P6'!G:G,[36]Schedule!$Z$35,'[36]frm P6'!H:H,[36]Schedule!F55)</f>
        <v>46461</v>
      </c>
      <c r="AC55" s="362">
        <f t="shared" si="41"/>
        <v>87</v>
      </c>
      <c r="AD55" s="274">
        <v>2.0512000000000001</v>
      </c>
      <c r="AE55" s="273">
        <v>32</v>
      </c>
      <c r="AG55" s="370">
        <f>SUMIFS('[36]frm P6'!$J:$J,'[36]frm P6'!D:D,[36]Schedule!B55,'[36]frm P6'!E:E,[36]Schedule!C55,'[36]frm P6'!F:F,[36]Schedule!D55,'[36]frm P6'!G:G,[36]Schedule!$AF$3,'[36]frm P6'!H:H,[36]Schedule!F55)</f>
        <v>46352</v>
      </c>
      <c r="AH55" s="361">
        <f>SUMIFS('[36]frm P6'!$K:$K,'[36]frm P6'!D:D,[36]Schedule!B55,'[36]frm P6'!E:E,[36]Schedule!C55,'[36]frm P6'!F:F,[36]Schedule!D55,'[36]frm P6'!G:G,[36]Schedule!$AF$3,'[36]frm P6'!H:H,[36]Schedule!F55)</f>
        <v>46406</v>
      </c>
      <c r="AI55" s="362">
        <f t="shared" si="46"/>
        <v>55</v>
      </c>
      <c r="AJ55" s="273">
        <v>2.0512000000000001</v>
      </c>
      <c r="AK55" s="273">
        <v>32</v>
      </c>
      <c r="AM55" s="420" t="s">
        <v>424</v>
      </c>
      <c r="AN55" s="368" t="s">
        <v>424</v>
      </c>
      <c r="AO55" s="362" t="s">
        <v>424</v>
      </c>
      <c r="AR55" s="372">
        <v>60</v>
      </c>
      <c r="AS55" s="368">
        <f>AG55-$AS$3</f>
        <v>46349</v>
      </c>
      <c r="AT55" s="368">
        <f t="shared" ref="AT55:AT56" si="47">AS55-$AT$3</f>
        <v>46289</v>
      </c>
      <c r="AU55" s="377">
        <f t="shared" ref="AU55:AU56" si="48">AT55-$AU$3</f>
        <v>46274</v>
      </c>
      <c r="AV55" s="368">
        <f t="shared" ref="AV55:AV69" si="49">AG55-$AV$35</f>
        <v>46348</v>
      </c>
      <c r="AW55" s="368">
        <f t="shared" si="36"/>
        <v>46338</v>
      </c>
      <c r="AX55" s="378">
        <f t="shared" ref="AX55:AX70" si="50">AW55-AY55</f>
        <v>52</v>
      </c>
      <c r="AY55" s="368">
        <v>46286</v>
      </c>
      <c r="AZ55" s="362" t="s">
        <v>535</v>
      </c>
      <c r="BA55" s="375" t="s">
        <v>484</v>
      </c>
      <c r="BB55" s="376"/>
      <c r="BC55" s="268"/>
      <c r="BD55" s="268"/>
      <c r="BE55" s="311"/>
      <c r="BF55" s="312"/>
    </row>
    <row r="56" spans="2:58" ht="21">
      <c r="B56" s="357" t="s">
        <v>419</v>
      </c>
      <c r="C56" s="357" t="s">
        <v>485</v>
      </c>
      <c r="D56" s="357" t="s">
        <v>481</v>
      </c>
      <c r="E56" s="357"/>
      <c r="F56" s="357" t="s">
        <v>464</v>
      </c>
      <c r="G56" s="357"/>
      <c r="H56" s="358">
        <v>2</v>
      </c>
      <c r="I56" s="271" t="s">
        <v>486</v>
      </c>
      <c r="J56" s="359"/>
      <c r="K56" s="419"/>
      <c r="L56" s="368" t="s">
        <v>424</v>
      </c>
      <c r="M56" s="368" t="s">
        <v>424</v>
      </c>
      <c r="N56" s="362" t="s">
        <v>424</v>
      </c>
      <c r="O56" s="273" t="s">
        <v>424</v>
      </c>
      <c r="P56" s="273" t="s">
        <v>424</v>
      </c>
      <c r="R56" s="363">
        <v>14</v>
      </c>
      <c r="S56" s="364"/>
      <c r="T56" s="365"/>
      <c r="U56" s="366">
        <f t="shared" si="35"/>
        <v>672</v>
      </c>
      <c r="V56" s="366"/>
      <c r="W56" s="367"/>
      <c r="X56" s="368" t="s">
        <v>424</v>
      </c>
      <c r="Y56" s="368" t="s">
        <v>424</v>
      </c>
      <c r="Z56" s="369" t="s">
        <v>424</v>
      </c>
      <c r="AA56" s="361">
        <f>SUMIFS('[36]frm P6'!$J:$J,'[36]frm P6'!D:D,[36]Schedule!B56,'[36]frm P6'!E:E,[36]Schedule!C56,'[36]frm P6'!F:F,[36]Schedule!D56,'[36]frm P6'!G:G,[36]Schedule!$Z$35,'[36]frm P6'!H:H,[36]Schedule!F56)</f>
        <v>46448</v>
      </c>
      <c r="AB56" s="361">
        <f>SUMIFS('[36]frm P6'!$K:$K,'[36]frm P6'!D:D,[36]Schedule!B56,'[36]frm P6'!E:E,[36]Schedule!C56,'[36]frm P6'!F:F,[36]Schedule!D56,'[36]frm P6'!G:G,[36]Schedule!$Z$35,'[36]frm P6'!H:H,[36]Schedule!F56)</f>
        <v>46506</v>
      </c>
      <c r="AC56" s="362">
        <f t="shared" si="41"/>
        <v>59</v>
      </c>
      <c r="AD56" s="274">
        <v>6</v>
      </c>
      <c r="AE56" s="273">
        <v>24</v>
      </c>
      <c r="AG56" s="370">
        <f>SUMIFS('[36]frm P6'!$J:$J,'[36]frm P6'!D:D,[36]Schedule!B56,'[36]frm P6'!E:E,[36]Schedule!C56,'[36]frm P6'!F:F,[36]Schedule!D56,'[36]frm P6'!G:G,[36]Schedule!$AF$3,'[36]frm P6'!H:H,[36]Schedule!F56)</f>
        <v>46403</v>
      </c>
      <c r="AH56" s="361">
        <f>SUMIFS('[36]frm P6'!$K:$K,'[36]frm P6'!D:D,[36]Schedule!B56,'[36]frm P6'!E:E,[36]Schedule!C56,'[36]frm P6'!F:F,[36]Schedule!D56,'[36]frm P6'!G:G,[36]Schedule!$AF$3,'[36]frm P6'!H:H,[36]Schedule!F56)</f>
        <v>46464</v>
      </c>
      <c r="AI56" s="362">
        <f t="shared" si="46"/>
        <v>62</v>
      </c>
      <c r="AJ56" s="273">
        <v>6</v>
      </c>
      <c r="AK56" s="273">
        <v>24</v>
      </c>
      <c r="AM56" s="420" t="s">
        <v>424</v>
      </c>
      <c r="AN56" s="368" t="s">
        <v>424</v>
      </c>
      <c r="AO56" s="362" t="s">
        <v>424</v>
      </c>
      <c r="AR56" s="372">
        <v>60</v>
      </c>
      <c r="AS56" s="368">
        <f>AG56-$AS$3</f>
        <v>46400</v>
      </c>
      <c r="AT56" s="368">
        <f t="shared" si="47"/>
        <v>46340</v>
      </c>
      <c r="AU56" s="377">
        <f t="shared" si="48"/>
        <v>46325</v>
      </c>
      <c r="AV56" s="368">
        <f t="shared" si="49"/>
        <v>46399</v>
      </c>
      <c r="AW56" s="368">
        <f t="shared" si="36"/>
        <v>46389</v>
      </c>
      <c r="AX56" s="378">
        <f t="shared" si="50"/>
        <v>151</v>
      </c>
      <c r="AY56" s="368">
        <v>46238</v>
      </c>
      <c r="AZ56" s="362" t="s">
        <v>536</v>
      </c>
      <c r="BA56" s="375" t="s">
        <v>488</v>
      </c>
      <c r="BB56" s="376"/>
      <c r="BC56" s="268"/>
      <c r="BD56" s="268"/>
      <c r="BE56" s="311"/>
      <c r="BF56" s="312"/>
    </row>
    <row r="57" spans="2:58">
      <c r="B57" s="357" t="s">
        <v>419</v>
      </c>
      <c r="C57" s="357" t="s">
        <v>489</v>
      </c>
      <c r="D57" s="357" t="s">
        <v>481</v>
      </c>
      <c r="E57" s="357"/>
      <c r="F57" s="357" t="s">
        <v>464</v>
      </c>
      <c r="G57" s="357"/>
      <c r="H57" s="358">
        <v>3</v>
      </c>
      <c r="I57" s="271" t="s">
        <v>490</v>
      </c>
      <c r="J57" s="359"/>
      <c r="K57" s="360"/>
      <c r="L57" s="368" t="s">
        <v>424</v>
      </c>
      <c r="M57" s="368" t="s">
        <v>424</v>
      </c>
      <c r="N57" s="362" t="s">
        <v>424</v>
      </c>
      <c r="O57" s="273" t="s">
        <v>424</v>
      </c>
      <c r="P57" s="273" t="s">
        <v>424</v>
      </c>
      <c r="R57" s="363">
        <v>7</v>
      </c>
      <c r="S57" s="364"/>
      <c r="T57" s="365"/>
      <c r="U57" s="366">
        <f t="shared" si="35"/>
        <v>448</v>
      </c>
      <c r="V57" s="366"/>
      <c r="W57" s="367"/>
      <c r="X57" s="368" t="s">
        <v>424</v>
      </c>
      <c r="Y57" s="368" t="s">
        <v>424</v>
      </c>
      <c r="Z57" s="369" t="s">
        <v>424</v>
      </c>
      <c r="AA57" s="361">
        <f>SUMIFS('[36]frm P6'!$J:$J,'[36]frm P6'!D:D,[36]Schedule!B57,'[36]frm P6'!E:E,[36]Schedule!C57,'[36]frm P6'!F:F,[36]Schedule!D57,'[36]frm P6'!G:G,[36]Schedule!$Z$35,'[36]frm P6'!H:H,[36]Schedule!F57)</f>
        <v>46436</v>
      </c>
      <c r="AB57" s="361">
        <f>SUMIFS('[36]frm P6'!$K:$K,'[36]frm P6'!D:D,[36]Schedule!B57,'[36]frm P6'!E:E,[36]Schedule!C57,'[36]frm P6'!F:F,[36]Schedule!D57,'[36]frm P6'!G:G,[36]Schedule!$Z$35,'[36]frm P6'!H:H,[36]Schedule!F57)</f>
        <v>46476</v>
      </c>
      <c r="AC57" s="362">
        <f t="shared" si="41"/>
        <v>41</v>
      </c>
      <c r="AD57" s="274">
        <v>8</v>
      </c>
      <c r="AE57" s="273">
        <v>2</v>
      </c>
      <c r="AG57" s="370">
        <f>SUMIFS('[36]frm P6'!$J:$J,'[36]frm P6'!D:D,[36]Schedule!B57,'[36]frm P6'!E:E,[36]Schedule!C57,'[36]frm P6'!F:F,[36]Schedule!D57,'[36]frm P6'!G:G,[36]Schedule!$AF$3,'[36]frm P6'!H:H,[36]Schedule!F57)</f>
        <v>46394</v>
      </c>
      <c r="AH57" s="361">
        <f>SUMIFS('[36]frm P6'!$K:$K,'[36]frm P6'!D:D,[36]Schedule!B57,'[36]frm P6'!E:E,[36]Schedule!C57,'[36]frm P6'!F:F,[36]Schedule!D57,'[36]frm P6'!G:G,[36]Schedule!$AF$3,'[36]frm P6'!H:H,[36]Schedule!F57)</f>
        <v>46435</v>
      </c>
      <c r="AI57" s="362">
        <f t="shared" si="46"/>
        <v>42</v>
      </c>
      <c r="AJ57" s="273">
        <v>8</v>
      </c>
      <c r="AK57" s="273">
        <v>2</v>
      </c>
      <c r="AM57" s="420" t="s">
        <v>424</v>
      </c>
      <c r="AN57" s="368" t="s">
        <v>424</v>
      </c>
      <c r="AO57" s="362" t="s">
        <v>424</v>
      </c>
      <c r="AR57" s="372">
        <v>60</v>
      </c>
      <c r="AS57" s="368">
        <f t="shared" ref="AS57:AS69" si="51">AG57-$AS$35</f>
        <v>46391</v>
      </c>
      <c r="AT57" s="368">
        <f>AS57-$AT$35</f>
        <v>46331</v>
      </c>
      <c r="AU57" s="377">
        <f>AT57-$AU$35</f>
        <v>46316</v>
      </c>
      <c r="AV57" s="368">
        <f t="shared" si="49"/>
        <v>46390</v>
      </c>
      <c r="AW57" s="368">
        <f t="shared" si="36"/>
        <v>46380</v>
      </c>
      <c r="AX57" s="378">
        <f t="shared" si="50"/>
        <v>125</v>
      </c>
      <c r="AY57" s="368">
        <v>46255</v>
      </c>
      <c r="AZ57" s="362" t="s">
        <v>537</v>
      </c>
      <c r="BA57" s="375" t="s">
        <v>492</v>
      </c>
      <c r="BB57" s="376"/>
    </row>
    <row r="58" spans="2:58">
      <c r="B58" s="357" t="s">
        <v>419</v>
      </c>
      <c r="C58" s="357" t="s">
        <v>493</v>
      </c>
      <c r="D58" s="357" t="s">
        <v>481</v>
      </c>
      <c r="E58" s="357"/>
      <c r="F58" s="357" t="s">
        <v>464</v>
      </c>
      <c r="G58" s="357"/>
      <c r="H58" s="358">
        <v>4</v>
      </c>
      <c r="I58" s="271" t="s">
        <v>494</v>
      </c>
      <c r="J58" s="359"/>
      <c r="K58" s="360"/>
      <c r="L58" s="368" t="s">
        <v>424</v>
      </c>
      <c r="M58" s="368" t="s">
        <v>424</v>
      </c>
      <c r="N58" s="362" t="s">
        <v>424</v>
      </c>
      <c r="O58" s="273" t="s">
        <v>424</v>
      </c>
      <c r="P58" s="273" t="s">
        <v>424</v>
      </c>
      <c r="R58" s="363">
        <v>10</v>
      </c>
      <c r="S58" s="364"/>
      <c r="T58" s="365"/>
      <c r="U58" s="366">
        <f t="shared" si="35"/>
        <v>263.05599999999998</v>
      </c>
      <c r="V58" s="366"/>
      <c r="W58" s="367"/>
      <c r="X58" s="368" t="s">
        <v>424</v>
      </c>
      <c r="Y58" s="368" t="s">
        <v>424</v>
      </c>
      <c r="Z58" s="369" t="s">
        <v>424</v>
      </c>
      <c r="AA58" s="361">
        <f>SUMIFS('[36]frm P6'!$J:$J,'[36]frm P6'!D:D,[36]Schedule!B58,'[36]frm P6'!E:E,[36]Schedule!C58,'[36]frm P6'!F:F,[36]Schedule!D58,'[36]frm P6'!G:G,[36]Schedule!$Z$35,'[36]frm P6'!H:H,[36]Schedule!F58)</f>
        <v>46412</v>
      </c>
      <c r="AB58" s="361">
        <f>SUMIFS('[36]frm P6'!$K:$K,'[36]frm P6'!D:D,[36]Schedule!B58,'[36]frm P6'!E:E,[36]Schedule!C58,'[36]frm P6'!F:F,[36]Schedule!D58,'[36]frm P6'!G:G,[36]Schedule!$Z$35,'[36]frm P6'!H:H,[36]Schedule!F58)</f>
        <v>46450</v>
      </c>
      <c r="AC58" s="362">
        <f t="shared" si="41"/>
        <v>39</v>
      </c>
      <c r="AD58" s="274">
        <v>3.2881999999999998</v>
      </c>
      <c r="AE58" s="273">
        <v>2</v>
      </c>
      <c r="AG58" s="370">
        <f>SUMIFS('[36]frm P6'!$J:$J,'[36]frm P6'!D:D,[36]Schedule!B58,'[36]frm P6'!E:E,[36]Schedule!C58,'[36]frm P6'!F:F,[36]Schedule!D58,'[36]frm P6'!G:G,[36]Schedule!$AF$3,'[36]frm P6'!H:H,[36]Schedule!F58)</f>
        <v>46366</v>
      </c>
      <c r="AH58" s="361">
        <f>SUMIFS('[36]frm P6'!$K:$K,'[36]frm P6'!D:D,[36]Schedule!B58,'[36]frm P6'!E:E,[36]Schedule!C58,'[36]frm P6'!F:F,[36]Schedule!D58,'[36]frm P6'!G:G,[36]Schedule!$AF$3,'[36]frm P6'!H:H,[36]Schedule!F58)</f>
        <v>46412</v>
      </c>
      <c r="AI58" s="362">
        <f t="shared" si="46"/>
        <v>47</v>
      </c>
      <c r="AJ58" s="273">
        <v>3.2881999999999998</v>
      </c>
      <c r="AK58" s="273">
        <v>2</v>
      </c>
      <c r="AM58" s="420" t="s">
        <v>424</v>
      </c>
      <c r="AN58" s="368" t="s">
        <v>424</v>
      </c>
      <c r="AO58" s="362" t="s">
        <v>424</v>
      </c>
      <c r="AR58" s="372">
        <v>60</v>
      </c>
      <c r="AS58" s="368">
        <f t="shared" si="51"/>
        <v>46363</v>
      </c>
      <c r="AT58" s="368">
        <f t="shared" ref="AT58:AT67" si="52">AS58-$AT$35</f>
        <v>46303</v>
      </c>
      <c r="AU58" s="377">
        <f t="shared" ref="AU58:AU67" si="53">AT58-$AU$35</f>
        <v>46288</v>
      </c>
      <c r="AV58" s="368">
        <f t="shared" si="49"/>
        <v>46362</v>
      </c>
      <c r="AW58" s="368">
        <f t="shared" si="36"/>
        <v>46352</v>
      </c>
      <c r="AX58" s="378">
        <f t="shared" si="50"/>
        <v>48</v>
      </c>
      <c r="AY58" s="368">
        <v>46304</v>
      </c>
      <c r="AZ58" s="362" t="s">
        <v>538</v>
      </c>
      <c r="BA58" s="375" t="s">
        <v>496</v>
      </c>
      <c r="BB58" s="376"/>
    </row>
    <row r="59" spans="2:58" ht="19.149999999999999">
      <c r="B59" s="357" t="s">
        <v>419</v>
      </c>
      <c r="C59" s="357" t="s">
        <v>497</v>
      </c>
      <c r="D59" s="357" t="s">
        <v>481</v>
      </c>
      <c r="E59" s="357"/>
      <c r="F59" s="357" t="s">
        <v>464</v>
      </c>
      <c r="G59" s="357"/>
      <c r="H59" s="358">
        <v>5</v>
      </c>
      <c r="I59" s="271" t="s">
        <v>498</v>
      </c>
      <c r="J59" s="359"/>
      <c r="K59" s="419"/>
      <c r="L59" s="361">
        <f>SUMIFS('[36]frm P6'!$J:$J,'[36]frm P6'!D:D,[36]Schedule!B59,'[36]frm P6'!E:E,[36]Schedule!C59,'[36]frm P6'!F:F,[36]Schedule!D59,'[36]frm P6'!G:G,[36]Schedule!$K$35,'[36]frm P6'!H:H,[36]Schedule!F59)</f>
        <v>46456</v>
      </c>
      <c r="M59" s="361">
        <f>SUMIFS('[36]frm P6'!$K:$K,'[36]frm P6'!D:D,[36]Schedule!B59,'[36]frm P6'!E:E,[36]Schedule!C59,'[36]frm P6'!F:F,[36]Schedule!D59,'[36]frm P6'!G:G,[36]Schedule!$K$35,'[36]frm P6'!H:H,[36]Schedule!F59)</f>
        <v>46470</v>
      </c>
      <c r="N59" s="362">
        <f>M59-L59+1</f>
        <v>15</v>
      </c>
      <c r="O59" s="273">
        <v>43</v>
      </c>
      <c r="P59" s="273">
        <v>12</v>
      </c>
      <c r="R59" s="363">
        <v>6.5</v>
      </c>
      <c r="S59" s="364"/>
      <c r="T59" s="365"/>
      <c r="U59" s="366">
        <f t="shared" si="35"/>
        <v>2236</v>
      </c>
      <c r="V59" s="366"/>
      <c r="W59" s="367"/>
      <c r="X59" s="368" t="s">
        <v>424</v>
      </c>
      <c r="Y59" s="368" t="s">
        <v>424</v>
      </c>
      <c r="Z59" s="369" t="s">
        <v>424</v>
      </c>
      <c r="AA59" s="420" t="s">
        <v>424</v>
      </c>
      <c r="AB59" s="368" t="s">
        <v>424</v>
      </c>
      <c r="AC59" s="362" t="s">
        <v>424</v>
      </c>
      <c r="AD59" s="274" t="s">
        <v>424</v>
      </c>
      <c r="AE59" s="273" t="s">
        <v>424</v>
      </c>
      <c r="AG59" s="370">
        <f>SUMIFS('[36]frm P6'!$J:$J,'[36]frm P6'!D:D,[36]Schedule!B59,'[36]frm P6'!E:E,[36]Schedule!C59,'[36]frm P6'!F:F,[36]Schedule!D59,'[36]frm P6'!G:G,[36]Schedule!$AF$3,'[36]frm P6'!H:H,[36]Schedule!F59)</f>
        <v>46374</v>
      </c>
      <c r="AH59" s="361">
        <f>SUMIFS('[36]frm P6'!$K:$K,'[36]frm P6'!D:D,[36]Schedule!B59,'[36]frm P6'!E:E,[36]Schedule!C59,'[36]frm P6'!F:F,[36]Schedule!D59,'[36]frm P6'!G:G,[36]Schedule!$AF$3,'[36]frm P6'!H:H,[36]Schedule!F59)</f>
        <v>46442</v>
      </c>
      <c r="AI59" s="362">
        <f t="shared" si="46"/>
        <v>69</v>
      </c>
      <c r="AJ59" s="273">
        <v>43</v>
      </c>
      <c r="AK59" s="273">
        <v>12</v>
      </c>
      <c r="AM59" s="420" t="s">
        <v>424</v>
      </c>
      <c r="AN59" s="368" t="s">
        <v>424</v>
      </c>
      <c r="AO59" s="362" t="s">
        <v>424</v>
      </c>
      <c r="AR59" s="372">
        <v>60</v>
      </c>
      <c r="AS59" s="368">
        <f t="shared" si="51"/>
        <v>46371</v>
      </c>
      <c r="AT59" s="368">
        <f t="shared" si="52"/>
        <v>46311</v>
      </c>
      <c r="AU59" s="377">
        <f t="shared" si="53"/>
        <v>46296</v>
      </c>
      <c r="AV59" s="368">
        <f t="shared" si="49"/>
        <v>46370</v>
      </c>
      <c r="AW59" s="368">
        <f t="shared" si="36"/>
        <v>46360</v>
      </c>
      <c r="AX59" s="378">
        <f t="shared" si="50"/>
        <v>63</v>
      </c>
      <c r="AY59" s="368">
        <v>46297</v>
      </c>
      <c r="AZ59" s="362" t="s">
        <v>539</v>
      </c>
      <c r="BA59" s="375" t="s">
        <v>500</v>
      </c>
      <c r="BB59" s="376"/>
    </row>
    <row r="60" spans="2:58" ht="19.5" customHeight="1">
      <c r="B60" s="357" t="s">
        <v>419</v>
      </c>
      <c r="C60" s="357" t="s">
        <v>501</v>
      </c>
      <c r="D60" s="357" t="s">
        <v>481</v>
      </c>
      <c r="E60" s="357"/>
      <c r="F60" s="357" t="s">
        <v>464</v>
      </c>
      <c r="G60" s="357"/>
      <c r="H60" s="358">
        <v>6</v>
      </c>
      <c r="I60" s="271" t="s">
        <v>502</v>
      </c>
      <c r="J60" s="359"/>
      <c r="K60" s="360"/>
      <c r="L60" s="368" t="s">
        <v>424</v>
      </c>
      <c r="M60" s="368" t="s">
        <v>424</v>
      </c>
      <c r="N60" s="362" t="s">
        <v>424</v>
      </c>
      <c r="O60" s="273" t="s">
        <v>424</v>
      </c>
      <c r="P60" s="273" t="s">
        <v>424</v>
      </c>
      <c r="R60" s="363">
        <v>5</v>
      </c>
      <c r="S60" s="364"/>
      <c r="T60" s="365"/>
      <c r="U60" s="366">
        <f t="shared" si="35"/>
        <v>40.565855999999997</v>
      </c>
      <c r="V60" s="366"/>
      <c r="W60" s="367"/>
      <c r="X60" s="368" t="s">
        <v>424</v>
      </c>
      <c r="Y60" s="368" t="s">
        <v>424</v>
      </c>
      <c r="Z60" s="369" t="s">
        <v>424</v>
      </c>
      <c r="AA60" s="361">
        <f>SUMIFS('[36]frm P6'!$J:$J,'[36]frm P6'!D:D,[36]Schedule!B60,'[36]frm P6'!E:E,[36]Schedule!C60,'[36]frm P6'!F:F,[36]Schedule!D60,'[36]frm P6'!G:G,[36]Schedule!$Z$35,'[36]frm P6'!H:H,[36]Schedule!F60)</f>
        <v>46462</v>
      </c>
      <c r="AB60" s="361">
        <f>SUMIFS('[36]frm P6'!$K:$K,'[36]frm P6'!D:D,[36]Schedule!B60,'[36]frm P6'!E:E,[36]Schedule!C60,'[36]frm P6'!F:F,[36]Schedule!D60,'[36]frm P6'!G:G,[36]Schedule!$Z$35,'[36]frm P6'!H:H,[36]Schedule!F60)</f>
        <v>46489</v>
      </c>
      <c r="AC60" s="362">
        <f t="shared" ref="AC60:AC61" si="54">AB60-AA60+1</f>
        <v>28</v>
      </c>
      <c r="AD60" s="274">
        <v>1.0141464</v>
      </c>
      <c r="AE60" s="273">
        <v>9</v>
      </c>
      <c r="AG60" s="370">
        <f>SUMIFS('[36]frm P6'!$J:$J,'[36]frm P6'!D:D,[36]Schedule!B60,'[36]frm P6'!E:E,[36]Schedule!C60,'[36]frm P6'!F:F,[36]Schedule!D60,'[36]frm P6'!G:G,[36]Schedule!$AF$3,'[36]frm P6'!H:H,[36]Schedule!F60)</f>
        <v>46406</v>
      </c>
      <c r="AH60" s="361">
        <f>SUMIFS('[36]frm P6'!$K:$K,'[36]frm P6'!D:D,[36]Schedule!B60,'[36]frm P6'!E:E,[36]Schedule!C60,'[36]frm P6'!F:F,[36]Schedule!D60,'[36]frm P6'!G:G,[36]Schedule!$AF$3,'[36]frm P6'!H:H,[36]Schedule!F60)</f>
        <v>46437</v>
      </c>
      <c r="AI60" s="362">
        <f t="shared" si="46"/>
        <v>32</v>
      </c>
      <c r="AJ60" s="273">
        <v>1.0141464</v>
      </c>
      <c r="AK60" s="273">
        <v>9</v>
      </c>
      <c r="AM60" s="420" t="s">
        <v>424</v>
      </c>
      <c r="AN60" s="368" t="s">
        <v>424</v>
      </c>
      <c r="AO60" s="362" t="s">
        <v>424</v>
      </c>
      <c r="AR60" s="372">
        <v>60</v>
      </c>
      <c r="AS60" s="368">
        <f t="shared" si="51"/>
        <v>46403</v>
      </c>
      <c r="AT60" s="368">
        <f t="shared" si="52"/>
        <v>46343</v>
      </c>
      <c r="AU60" s="377">
        <f t="shared" si="53"/>
        <v>46328</v>
      </c>
      <c r="AV60" s="368">
        <f t="shared" si="49"/>
        <v>46402</v>
      </c>
      <c r="AW60" s="368">
        <f t="shared" si="36"/>
        <v>46392</v>
      </c>
      <c r="AX60" s="378">
        <f t="shared" si="50"/>
        <v>104</v>
      </c>
      <c r="AY60" s="368">
        <v>46288</v>
      </c>
      <c r="AZ60" s="362" t="s">
        <v>540</v>
      </c>
      <c r="BA60" s="375" t="s">
        <v>541</v>
      </c>
      <c r="BB60" s="376"/>
    </row>
    <row r="61" spans="2:58">
      <c r="B61" s="357" t="s">
        <v>419</v>
      </c>
      <c r="C61" s="357" t="s">
        <v>505</v>
      </c>
      <c r="D61" s="357" t="s">
        <v>481</v>
      </c>
      <c r="E61" s="357"/>
      <c r="F61" s="357" t="s">
        <v>464</v>
      </c>
      <c r="G61" s="357"/>
      <c r="H61" s="358">
        <v>7</v>
      </c>
      <c r="I61" s="271" t="s">
        <v>506</v>
      </c>
      <c r="J61" s="359"/>
      <c r="K61" s="360"/>
      <c r="L61" s="368" t="s">
        <v>424</v>
      </c>
      <c r="M61" s="368" t="s">
        <v>424</v>
      </c>
      <c r="N61" s="362" t="s">
        <v>424</v>
      </c>
      <c r="O61" s="273" t="s">
        <v>424</v>
      </c>
      <c r="P61" s="273" t="s">
        <v>424</v>
      </c>
      <c r="R61" s="363">
        <v>6.5</v>
      </c>
      <c r="S61" s="364"/>
      <c r="T61" s="365"/>
      <c r="U61" s="366">
        <f t="shared" si="35"/>
        <v>312</v>
      </c>
      <c r="V61" s="366"/>
      <c r="W61" s="367"/>
      <c r="X61" s="368" t="s">
        <v>424</v>
      </c>
      <c r="Y61" s="368" t="s">
        <v>424</v>
      </c>
      <c r="Z61" s="369" t="s">
        <v>424</v>
      </c>
      <c r="AA61" s="361">
        <f>SUMIFS('[36]frm P6'!$J:$J,'[36]frm P6'!D:D,[36]Schedule!B61,'[36]frm P6'!E:E,[36]Schedule!C61,'[36]frm P6'!F:F,[36]Schedule!D61,'[36]frm P6'!G:G,[36]Schedule!$Z$35,'[36]frm P6'!H:H,[36]Schedule!F61)</f>
        <v>46496</v>
      </c>
      <c r="AB61" s="361">
        <f>SUMIFS('[36]frm P6'!$K:$K,'[36]frm P6'!D:D,[36]Schedule!B61,'[36]frm P6'!E:E,[36]Schedule!C61,'[36]frm P6'!F:F,[36]Schedule!D61,'[36]frm P6'!G:G,[36]Schedule!$Z$35,'[36]frm P6'!H:H,[36]Schedule!F61)</f>
        <v>46533</v>
      </c>
      <c r="AC61" s="362">
        <f t="shared" si="54"/>
        <v>38</v>
      </c>
      <c r="AD61" s="274">
        <v>6</v>
      </c>
      <c r="AE61" s="273">
        <v>24</v>
      </c>
      <c r="AG61" s="370">
        <f>SUMIFS('[36]frm P6'!$J:$J,'[36]frm P6'!D:D,[36]Schedule!B61,'[36]frm P6'!E:E,[36]Schedule!C61,'[36]frm P6'!F:F,[36]Schedule!D61,'[36]frm P6'!G:G,[36]Schedule!$AF$3,'[36]frm P6'!H:H,[36]Schedule!F61)</f>
        <v>46462</v>
      </c>
      <c r="AH61" s="361">
        <f>SUMIFS('[36]frm P6'!$K:$K,'[36]frm P6'!D:D,[36]Schedule!B61,'[36]frm P6'!E:E,[36]Schedule!C61,'[36]frm P6'!F:F,[36]Schedule!D61,'[36]frm P6'!G:G,[36]Schedule!$AF$3,'[36]frm P6'!H:H,[36]Schedule!F61)</f>
        <v>46494</v>
      </c>
      <c r="AI61" s="362">
        <f t="shared" si="46"/>
        <v>33</v>
      </c>
      <c r="AJ61" s="273">
        <v>6</v>
      </c>
      <c r="AK61" s="273">
        <v>24</v>
      </c>
      <c r="AM61" s="420" t="s">
        <v>424</v>
      </c>
      <c r="AN61" s="368" t="s">
        <v>424</v>
      </c>
      <c r="AO61" s="362" t="s">
        <v>424</v>
      </c>
      <c r="AR61" s="372">
        <v>60</v>
      </c>
      <c r="AS61" s="368">
        <f t="shared" si="51"/>
        <v>46459</v>
      </c>
      <c r="AT61" s="368">
        <f t="shared" si="52"/>
        <v>46399</v>
      </c>
      <c r="AU61" s="377">
        <f t="shared" si="53"/>
        <v>46384</v>
      </c>
      <c r="AV61" s="368">
        <f t="shared" si="49"/>
        <v>46458</v>
      </c>
      <c r="AW61" s="368">
        <f t="shared" si="36"/>
        <v>46448</v>
      </c>
      <c r="AX61" s="378">
        <f t="shared" si="50"/>
        <v>168</v>
      </c>
      <c r="AY61" s="368">
        <v>46280</v>
      </c>
      <c r="AZ61" s="362" t="s">
        <v>542</v>
      </c>
      <c r="BA61" s="375" t="s">
        <v>504</v>
      </c>
      <c r="BB61" s="376"/>
    </row>
    <row r="62" spans="2:58">
      <c r="B62" s="357" t="s">
        <v>419</v>
      </c>
      <c r="C62" s="357" t="s">
        <v>507</v>
      </c>
      <c r="D62" s="357" t="s">
        <v>481</v>
      </c>
      <c r="E62" s="357"/>
      <c r="F62" s="357" t="s">
        <v>464</v>
      </c>
      <c r="G62" s="357"/>
      <c r="H62" s="358">
        <v>8</v>
      </c>
      <c r="I62" s="271" t="s">
        <v>508</v>
      </c>
      <c r="J62" s="359"/>
      <c r="K62" s="360"/>
      <c r="L62" s="361">
        <f>SUMIFS('[36]frm P6'!$J:$J,'[36]frm P6'!D:D,[36]Schedule!B62,'[36]frm P6'!E:E,[36]Schedule!C62,'[36]frm P6'!F:F,[36]Schedule!D62,'[36]frm P6'!G:G,[36]Schedule!$K$35,'[36]frm P6'!H:H,[36]Schedule!F62)</f>
        <v>46569</v>
      </c>
      <c r="M62" s="361">
        <f>SUMIFS('[36]frm P6'!$K:$K,'[36]frm P6'!D:D,[36]Schedule!B62,'[36]frm P6'!E:E,[36]Schedule!C62,'[36]frm P6'!F:F,[36]Schedule!D62,'[36]frm P6'!G:G,[36]Schedule!$K$35,'[36]frm P6'!H:H,[36]Schedule!F62)</f>
        <v>46585</v>
      </c>
      <c r="N62" s="362">
        <f>M62-L62+1</f>
        <v>17</v>
      </c>
      <c r="O62" s="273">
        <v>76.400000000000006</v>
      </c>
      <c r="P62" s="273">
        <v>1</v>
      </c>
      <c r="R62" s="363">
        <v>16</v>
      </c>
      <c r="S62" s="364"/>
      <c r="T62" s="365"/>
      <c r="U62" s="366">
        <f t="shared" si="35"/>
        <v>9779.2000000000007</v>
      </c>
      <c r="V62" s="366"/>
      <c r="W62" s="367"/>
      <c r="X62" s="361">
        <f>SUMIFS('[36]frm P6'!$J:$J,'[36]frm P6'!D:D,[36]Schedule!B62,'[36]frm P6'!E:E,[36]Schedule!C62,'[36]frm P6'!G:G,[36]Schedule!$W$3,'[36]frm P6'!H:H,[36]Schedule!F62)</f>
        <v>46534</v>
      </c>
      <c r="Y62" s="361">
        <f>SUMIFS('[36]frm P6'!$K:$K,'[36]frm P6'!D:D,[36]Schedule!B62,'[36]frm P6'!E:E,[36]Schedule!C62,'[36]frm P6'!G:G,[36]Schedule!$W$3,'[36]frm P6'!H:H,[36]Schedule!F62)</f>
        <v>46552</v>
      </c>
      <c r="Z62" s="369">
        <f t="shared" ref="Z62:Z63" si="55">Y62-X62+1</f>
        <v>19</v>
      </c>
      <c r="AA62" s="420" t="s">
        <v>424</v>
      </c>
      <c r="AB62" s="368" t="s">
        <v>424</v>
      </c>
      <c r="AC62" s="362" t="s">
        <v>424</v>
      </c>
      <c r="AD62" s="274" t="s">
        <v>424</v>
      </c>
      <c r="AE62" s="273" t="s">
        <v>424</v>
      </c>
      <c r="AG62" s="370">
        <f>SUMIFS('[36]frm P6'!$J:$J,'[36]frm P6'!D:D,[36]Schedule!B62,'[36]frm P6'!E:E,[36]Schedule!C62,'[36]frm P6'!F:F,[36]Schedule!D62,'[36]frm P6'!G:G,[36]Schedule!$AF$3,'[36]frm P6'!H:H,[36]Schedule!F62)</f>
        <v>46480</v>
      </c>
      <c r="AH62" s="361">
        <f>SUMIFS('[36]frm P6'!$K:$K,'[36]frm P6'!D:D,[36]Schedule!B62,'[36]frm P6'!E:E,[36]Schedule!C62,'[36]frm P6'!F:F,[36]Schedule!D62,'[36]frm P6'!G:G,[36]Schedule!$AF$3,'[36]frm P6'!H:H,[36]Schedule!F62)</f>
        <v>46528</v>
      </c>
      <c r="AI62" s="362">
        <f t="shared" si="46"/>
        <v>49</v>
      </c>
      <c r="AJ62" s="273">
        <v>76.400000000000006</v>
      </c>
      <c r="AK62" s="273">
        <v>1</v>
      </c>
      <c r="AM62" s="420" t="s">
        <v>424</v>
      </c>
      <c r="AN62" s="368" t="s">
        <v>424</v>
      </c>
      <c r="AO62" s="362" t="s">
        <v>424</v>
      </c>
      <c r="AR62" s="372">
        <v>60</v>
      </c>
      <c r="AS62" s="368">
        <f t="shared" si="51"/>
        <v>46477</v>
      </c>
      <c r="AT62" s="368">
        <f t="shared" si="52"/>
        <v>46417</v>
      </c>
      <c r="AU62" s="377">
        <f t="shared" si="53"/>
        <v>46402</v>
      </c>
      <c r="AV62" s="368">
        <f t="shared" si="49"/>
        <v>46476</v>
      </c>
      <c r="AW62" s="368">
        <f t="shared" si="36"/>
        <v>46466</v>
      </c>
      <c r="AX62" s="378">
        <f t="shared" si="50"/>
        <v>211</v>
      </c>
      <c r="AY62" s="368">
        <v>46255</v>
      </c>
      <c r="AZ62" s="362" t="s">
        <v>537</v>
      </c>
      <c r="BA62" s="375" t="s">
        <v>492</v>
      </c>
      <c r="BB62" s="376"/>
    </row>
    <row r="63" spans="2:58">
      <c r="B63" s="357" t="s">
        <v>419</v>
      </c>
      <c r="C63" s="357" t="s">
        <v>509</v>
      </c>
      <c r="D63" s="357" t="s">
        <v>510</v>
      </c>
      <c r="E63" s="357"/>
      <c r="F63" s="357" t="s">
        <v>464</v>
      </c>
      <c r="G63" s="357"/>
      <c r="H63" s="358">
        <v>9</v>
      </c>
      <c r="I63" s="271" t="s">
        <v>511</v>
      </c>
      <c r="J63" s="359"/>
      <c r="K63" s="360"/>
      <c r="L63" s="361">
        <f>SUMIFS('[36]frm P6'!$J:$J,'[36]frm P6'!D:D,[36]Schedule!B63,'[36]frm P6'!E:E,[36]Schedule!C63,'[36]frm P6'!F:F,[36]Schedule!D63,'[36]frm P6'!G:G,[36]Schedule!$K$35,'[36]frm P6'!H:H,[36]Schedule!F63)</f>
        <v>46538</v>
      </c>
      <c r="M63" s="361">
        <f>SUMIFS('[36]frm P6'!$K:$K,'[36]frm P6'!D:D,[36]Schedule!B63,'[36]frm P6'!E:E,[36]Schedule!C63,'[36]frm P6'!F:F,[36]Schedule!D63,'[36]frm P6'!G:G,[36]Schedule!$K$35,'[36]frm P6'!H:H,[36]Schedule!F63)</f>
        <v>46543</v>
      </c>
      <c r="N63" s="362">
        <f>M63-L63+1</f>
        <v>6</v>
      </c>
      <c r="O63" s="273">
        <v>8</v>
      </c>
      <c r="P63" s="273">
        <v>3</v>
      </c>
      <c r="R63" s="363">
        <v>12</v>
      </c>
      <c r="S63" s="364"/>
      <c r="T63" s="365"/>
      <c r="U63" s="366">
        <f t="shared" si="35"/>
        <v>768</v>
      </c>
      <c r="V63" s="366"/>
      <c r="W63" s="367"/>
      <c r="X63" s="361">
        <f>SUMIFS('[36]frm P6'!$J:$J,'[36]frm P6'!D:D,[36]Schedule!B63,'[36]frm P6'!E:E,[36]Schedule!C63,'[36]frm P6'!G:G,[36]Schedule!$W$3,'[36]frm P6'!H:H,[36]Schedule!F63)</f>
        <v>46506</v>
      </c>
      <c r="Y63" s="361">
        <f>SUMIFS('[36]frm P6'!$K:$K,'[36]frm P6'!D:D,[36]Schedule!B63,'[36]frm P6'!E:E,[36]Schedule!C63,'[36]frm P6'!G:G,[36]Schedule!$W$3,'[36]frm P6'!H:H,[36]Schedule!F63)</f>
        <v>46532</v>
      </c>
      <c r="Z63" s="369">
        <f t="shared" si="55"/>
        <v>27</v>
      </c>
      <c r="AA63" s="420" t="s">
        <v>424</v>
      </c>
      <c r="AB63" s="368" t="s">
        <v>424</v>
      </c>
      <c r="AC63" s="362" t="s">
        <v>424</v>
      </c>
      <c r="AD63" s="274" t="s">
        <v>424</v>
      </c>
      <c r="AE63" s="273" t="s">
        <v>424</v>
      </c>
      <c r="AG63" s="370">
        <f>SUMIFS('[36]frm P6'!$J:$J,'[36]frm P6'!D:D,[36]Schedule!B63,'[36]frm P6'!E:E,[36]Schedule!C63,'[36]frm P6'!F:F,[36]Schedule!D63,'[36]frm P6'!G:G,[36]Schedule!$AF$3,'[36]frm P6'!H:H,[36]Schedule!F63)</f>
        <v>46466</v>
      </c>
      <c r="AH63" s="361">
        <f>SUMIFS('[36]frm P6'!$K:$K,'[36]frm P6'!D:D,[36]Schedule!B63,'[36]frm P6'!E:E,[36]Schedule!C63,'[36]frm P6'!F:F,[36]Schedule!D63,'[36]frm P6'!G:G,[36]Schedule!$AF$3,'[36]frm P6'!H:H,[36]Schedule!F63)</f>
        <v>46520</v>
      </c>
      <c r="AI63" s="362">
        <f t="shared" si="46"/>
        <v>55</v>
      </c>
      <c r="AJ63" s="273">
        <v>8</v>
      </c>
      <c r="AK63" s="273">
        <v>3</v>
      </c>
      <c r="AM63" s="420" t="s">
        <v>424</v>
      </c>
      <c r="AN63" s="368" t="s">
        <v>424</v>
      </c>
      <c r="AO63" s="362" t="s">
        <v>424</v>
      </c>
      <c r="AR63" s="372"/>
      <c r="AS63" s="368">
        <f t="shared" si="51"/>
        <v>46463</v>
      </c>
      <c r="AT63" s="368" t="s">
        <v>424</v>
      </c>
      <c r="AU63" s="377" t="s">
        <v>424</v>
      </c>
      <c r="AV63" s="368">
        <f t="shared" si="49"/>
        <v>46462</v>
      </c>
      <c r="AW63" s="368">
        <f t="shared" si="36"/>
        <v>46452</v>
      </c>
      <c r="AX63" s="378">
        <f t="shared" si="50"/>
        <v>172</v>
      </c>
      <c r="AY63" s="368">
        <v>46280</v>
      </c>
      <c r="AZ63" s="362" t="s">
        <v>542</v>
      </c>
      <c r="BA63" s="375" t="s">
        <v>504</v>
      </c>
      <c r="BB63" s="376"/>
    </row>
    <row r="64" spans="2:58">
      <c r="B64" s="357" t="s">
        <v>419</v>
      </c>
      <c r="C64" s="357" t="s">
        <v>512</v>
      </c>
      <c r="D64" s="357" t="s">
        <v>481</v>
      </c>
      <c r="E64" s="357"/>
      <c r="F64" s="357" t="s">
        <v>464</v>
      </c>
      <c r="G64" s="357"/>
      <c r="H64" s="358">
        <v>10</v>
      </c>
      <c r="I64" s="271" t="s">
        <v>513</v>
      </c>
      <c r="J64" s="359"/>
      <c r="K64" s="360"/>
      <c r="L64" s="368" t="s">
        <v>424</v>
      </c>
      <c r="M64" s="368" t="s">
        <v>424</v>
      </c>
      <c r="N64" s="362" t="s">
        <v>424</v>
      </c>
      <c r="O64" s="273" t="s">
        <v>424</v>
      </c>
      <c r="P64" s="273" t="s">
        <v>424</v>
      </c>
      <c r="R64" s="363">
        <v>10</v>
      </c>
      <c r="S64" s="364"/>
      <c r="T64" s="365"/>
      <c r="U64" s="366">
        <f t="shared" si="35"/>
        <v>263.05599999999998</v>
      </c>
      <c r="V64" s="366"/>
      <c r="W64" s="367"/>
      <c r="X64" s="368" t="s">
        <v>424</v>
      </c>
      <c r="Y64" s="368" t="s">
        <v>424</v>
      </c>
      <c r="Z64" s="369" t="s">
        <v>424</v>
      </c>
      <c r="AA64" s="361">
        <f>SUMIFS('[36]frm P6'!$J:$J,'[36]frm P6'!D:D,[36]Schedule!B64,'[36]frm P6'!E:E,[36]Schedule!C64,'[36]frm P6'!F:F,[36]Schedule!D64,'[36]frm P6'!G:G,[36]Schedule!$Z$35,'[36]frm P6'!H:H,[36]Schedule!F64)</f>
        <v>46471</v>
      </c>
      <c r="AB64" s="361">
        <f>SUMIFS('[36]frm P6'!$K:$K,'[36]frm P6'!D:D,[36]Schedule!B64,'[36]frm P6'!E:E,[36]Schedule!C64,'[36]frm P6'!F:F,[36]Schedule!D64,'[36]frm P6'!G:G,[36]Schedule!$Z$35,'[36]frm P6'!H:H,[36]Schedule!F64)</f>
        <v>46500</v>
      </c>
      <c r="AC64" s="362">
        <f t="shared" ref="AC64" si="56">AB64-AA64+1</f>
        <v>30</v>
      </c>
      <c r="AD64" s="274">
        <v>3.2881999999999998</v>
      </c>
      <c r="AE64" s="273">
        <v>2</v>
      </c>
      <c r="AG64" s="370">
        <f>SUMIFS('[36]frm P6'!$J:$J,'[36]frm P6'!D:D,[36]Schedule!B64,'[36]frm P6'!E:E,[36]Schedule!C64,'[36]frm P6'!F:F,[36]Schedule!D64,'[36]frm P6'!G:G,[36]Schedule!$AF$3,'[36]frm P6'!H:H,[36]Schedule!F64)</f>
        <v>46420</v>
      </c>
      <c r="AH64" s="361">
        <f>SUMIFS('[36]frm P6'!$K:$K,'[36]frm P6'!D:D,[36]Schedule!B64,'[36]frm P6'!E:E,[36]Schedule!C64,'[36]frm P6'!F:F,[36]Schedule!D64,'[36]frm P6'!G:G,[36]Schedule!$AF$3,'[36]frm P6'!H:H,[36]Schedule!F64)</f>
        <v>46470</v>
      </c>
      <c r="AI64" s="362">
        <f t="shared" si="46"/>
        <v>51</v>
      </c>
      <c r="AJ64" s="273">
        <v>3.2881999999999998</v>
      </c>
      <c r="AK64" s="273">
        <v>2</v>
      </c>
      <c r="AM64" s="420" t="s">
        <v>424</v>
      </c>
      <c r="AN64" s="368" t="s">
        <v>424</v>
      </c>
      <c r="AO64" s="362" t="s">
        <v>424</v>
      </c>
      <c r="AR64" s="372">
        <v>60</v>
      </c>
      <c r="AS64" s="368">
        <f t="shared" si="51"/>
        <v>46417</v>
      </c>
      <c r="AT64" s="368">
        <f t="shared" si="52"/>
        <v>46357</v>
      </c>
      <c r="AU64" s="377">
        <f t="shared" si="53"/>
        <v>46342</v>
      </c>
      <c r="AV64" s="368">
        <f t="shared" si="49"/>
        <v>46416</v>
      </c>
      <c r="AW64" s="368">
        <f t="shared" si="36"/>
        <v>46406</v>
      </c>
      <c r="AX64" s="378">
        <f t="shared" si="50"/>
        <v>102</v>
      </c>
      <c r="AY64" s="368">
        <v>46304</v>
      </c>
      <c r="AZ64" s="362" t="s">
        <v>538</v>
      </c>
      <c r="BA64" s="375" t="s">
        <v>496</v>
      </c>
      <c r="BB64" s="376"/>
    </row>
    <row r="65" spans="1:58">
      <c r="B65" s="357" t="s">
        <v>419</v>
      </c>
      <c r="C65" s="357" t="s">
        <v>514</v>
      </c>
      <c r="D65" s="357" t="s">
        <v>481</v>
      </c>
      <c r="E65" s="357"/>
      <c r="F65" s="357" t="s">
        <v>464</v>
      </c>
      <c r="G65" s="357" t="str">
        <f>F65&amp;C65</f>
        <v>02JCASSION</v>
      </c>
      <c r="H65" s="358">
        <v>11</v>
      </c>
      <c r="I65" s="271" t="s">
        <v>515</v>
      </c>
      <c r="J65" s="359"/>
      <c r="K65" s="360"/>
      <c r="L65" s="361">
        <f>SUMIFS('[36]frm P6'!$J:$J,'[36]frm P6'!D:D,[36]Schedule!B65,'[36]frm P6'!E:E,[36]Schedule!C65,'[36]frm P6'!F:F,[36]Schedule!D65,'[36]frm P6'!G:G,[36]Schedule!$K$35,'[36]frm P6'!H:H,[36]Schedule!F65)</f>
        <v>46529</v>
      </c>
      <c r="M65" s="361">
        <f>SUMIFS('[36]frm P6'!$K:$K,'[36]frm P6'!D:D,[36]Schedule!B65,'[36]frm P6'!E:E,[36]Schedule!C65,'[36]frm P6'!F:F,[36]Schedule!D65,'[36]frm P6'!G:G,[36]Schedule!$K$35,'[36]frm P6'!H:H,[36]Schedule!F65)</f>
        <v>46539</v>
      </c>
      <c r="N65" s="362">
        <f>M65-L65+1</f>
        <v>11</v>
      </c>
      <c r="O65" s="273">
        <v>9.4657</v>
      </c>
      <c r="P65" s="273">
        <v>1</v>
      </c>
      <c r="R65" s="363">
        <v>8</v>
      </c>
      <c r="S65" s="364"/>
      <c r="T65" s="365"/>
      <c r="U65" s="366">
        <f t="shared" si="35"/>
        <v>605.8048</v>
      </c>
      <c r="V65" s="366"/>
      <c r="W65" s="367"/>
      <c r="X65" s="368" t="s">
        <v>424</v>
      </c>
      <c r="Y65" s="368" t="s">
        <v>424</v>
      </c>
      <c r="Z65" s="369" t="s">
        <v>424</v>
      </c>
      <c r="AA65" s="420" t="s">
        <v>424</v>
      </c>
      <c r="AB65" s="368" t="s">
        <v>424</v>
      </c>
      <c r="AC65" s="362" t="s">
        <v>424</v>
      </c>
      <c r="AD65" s="274" t="s">
        <v>424</v>
      </c>
      <c r="AE65" s="273" t="s">
        <v>424</v>
      </c>
      <c r="AG65" s="370">
        <f>SUMIFS('[36]frm P6'!$J:$J,'[36]frm P6'!D:D,[36]Schedule!B65,'[36]frm P6'!E:E,[36]Schedule!C65,'[36]frm P6'!F:F,[36]Schedule!D65,'[36]frm P6'!G:G,[36]Schedule!$AF$3,'[36]frm P6'!H:H,[36]Schedule!F65)</f>
        <v>46487</v>
      </c>
      <c r="AH65" s="361">
        <f>SUMIFS('[36]frm P6'!$K:$K,'[36]frm P6'!D:D,[36]Schedule!B65,'[36]frm P6'!E:E,[36]Schedule!C65,'[36]frm P6'!F:F,[36]Schedule!D65,'[36]frm P6'!G:G,[36]Schedule!$AF$3,'[36]frm P6'!H:H,[36]Schedule!F65)</f>
        <v>46529</v>
      </c>
      <c r="AI65" s="362">
        <f t="shared" si="46"/>
        <v>43</v>
      </c>
      <c r="AJ65" s="273">
        <v>9.4657</v>
      </c>
      <c r="AK65" s="273">
        <v>1</v>
      </c>
      <c r="AM65" s="420" t="s">
        <v>424</v>
      </c>
      <c r="AN65" s="368" t="s">
        <v>424</v>
      </c>
      <c r="AO65" s="362" t="s">
        <v>424</v>
      </c>
      <c r="AR65" s="372">
        <v>60</v>
      </c>
      <c r="AS65" s="368">
        <f t="shared" si="51"/>
        <v>46484</v>
      </c>
      <c r="AT65" s="368">
        <f t="shared" si="52"/>
        <v>46424</v>
      </c>
      <c r="AU65" s="377">
        <f t="shared" si="53"/>
        <v>46409</v>
      </c>
      <c r="AV65" s="368">
        <f t="shared" si="49"/>
        <v>46483</v>
      </c>
      <c r="AW65" s="368">
        <f t="shared" si="36"/>
        <v>46473</v>
      </c>
      <c r="AX65" s="378">
        <f t="shared" si="50"/>
        <v>156</v>
      </c>
      <c r="AY65" s="368">
        <v>46317</v>
      </c>
      <c r="AZ65" s="362" t="s">
        <v>543</v>
      </c>
      <c r="BA65" s="375" t="s">
        <v>517</v>
      </c>
      <c r="BB65" s="376"/>
    </row>
    <row r="66" spans="1:58">
      <c r="B66" s="357" t="s">
        <v>419</v>
      </c>
      <c r="C66" s="357" t="s">
        <v>518</v>
      </c>
      <c r="D66" s="357" t="s">
        <v>481</v>
      </c>
      <c r="E66" s="357"/>
      <c r="F66" s="357" t="s">
        <v>464</v>
      </c>
      <c r="G66" s="357"/>
      <c r="H66" s="358">
        <v>12</v>
      </c>
      <c r="I66" s="271" t="s">
        <v>519</v>
      </c>
      <c r="J66" s="359"/>
      <c r="K66" s="360"/>
      <c r="L66" s="361">
        <f>SUMIFS('[36]frm P6'!$J:$J,'[36]frm P6'!D:D,[36]Schedule!B66,'[36]frm P6'!E:E,[36]Schedule!C66,'[36]frm P6'!F:F,[36]Schedule!D66,'[36]frm P6'!G:G,[36]Schedule!$K$35,'[36]frm P6'!H:H,[36]Schedule!F66)</f>
        <v>46578</v>
      </c>
      <c r="M66" s="361">
        <f>SUMIFS('[36]frm P6'!$K:$K,'[36]frm P6'!D:D,[36]Schedule!B66,'[36]frm P6'!E:E,[36]Schedule!C66,'[36]frm P6'!F:F,[36]Schedule!D66,'[36]frm P6'!G:G,[36]Schedule!$K$35,'[36]frm P6'!H:H,[36]Schedule!F66)</f>
        <v>46591</v>
      </c>
      <c r="N66" s="362">
        <f>M66-L66+1</f>
        <v>14</v>
      </c>
      <c r="O66" s="273">
        <v>6</v>
      </c>
      <c r="P66" s="273">
        <v>4</v>
      </c>
      <c r="R66" s="363">
        <v>15</v>
      </c>
      <c r="S66" s="364"/>
      <c r="T66" s="365"/>
      <c r="U66" s="366">
        <f t="shared" si="35"/>
        <v>720</v>
      </c>
      <c r="V66" s="366"/>
      <c r="W66" s="367"/>
      <c r="X66" s="361">
        <f>SUMIFS('[36]frm P6'!$J:$J,'[36]frm P6'!D:D,[36]Schedule!B66,'[36]frm P6'!E:E,[36]Schedule!C66,'[36]frm P6'!G:G,[36]Schedule!$W$3,'[36]frm P6'!H:H,[36]Schedule!F66)</f>
        <v>46557</v>
      </c>
      <c r="Y66" s="361">
        <f>SUMIFS('[36]frm P6'!$K:$K,'[36]frm P6'!D:D,[36]Schedule!B66,'[36]frm P6'!E:E,[36]Schedule!C66,'[36]frm P6'!G:G,[36]Schedule!$W$3,'[36]frm P6'!H:H,[36]Schedule!F66)</f>
        <v>46574</v>
      </c>
      <c r="Z66" s="369">
        <f t="shared" ref="Z66" si="57">Y66-X66+1</f>
        <v>18</v>
      </c>
      <c r="AA66" s="420" t="s">
        <v>424</v>
      </c>
      <c r="AB66" s="368" t="s">
        <v>424</v>
      </c>
      <c r="AC66" s="362" t="s">
        <v>424</v>
      </c>
      <c r="AD66" s="274" t="s">
        <v>424</v>
      </c>
      <c r="AE66" s="273" t="s">
        <v>424</v>
      </c>
      <c r="AG66" s="370">
        <f>SUMIFS('[36]frm P6'!$J:$J,'[36]frm P6'!D:D,[36]Schedule!B66,'[36]frm P6'!E:E,[36]Schedule!C66,'[36]frm P6'!F:F,[36]Schedule!D66,'[36]frm P6'!G:G,[36]Schedule!$AF$3,'[36]frm P6'!H:H,[36]Schedule!F66)</f>
        <v>46524</v>
      </c>
      <c r="AH66" s="361">
        <f>SUMIFS('[36]frm P6'!$K:$K,'[36]frm P6'!D:D,[36]Schedule!B66,'[36]frm P6'!E:E,[36]Schedule!C66,'[36]frm P6'!F:F,[36]Schedule!D66,'[36]frm P6'!G:G,[36]Schedule!$AF$3,'[36]frm P6'!H:H,[36]Schedule!F66)</f>
        <v>46557</v>
      </c>
      <c r="AI66" s="362">
        <f t="shared" si="46"/>
        <v>34</v>
      </c>
      <c r="AJ66" s="273">
        <v>6</v>
      </c>
      <c r="AK66" s="273">
        <v>4</v>
      </c>
      <c r="AM66" s="420" t="s">
        <v>424</v>
      </c>
      <c r="AN66" s="368" t="s">
        <v>424</v>
      </c>
      <c r="AO66" s="362" t="s">
        <v>424</v>
      </c>
      <c r="AR66" s="372">
        <v>60</v>
      </c>
      <c r="AS66" s="368">
        <f t="shared" si="51"/>
        <v>46521</v>
      </c>
      <c r="AT66" s="368">
        <f t="shared" si="52"/>
        <v>46461</v>
      </c>
      <c r="AU66" s="377">
        <f t="shared" si="53"/>
        <v>46446</v>
      </c>
      <c r="AV66" s="368">
        <f t="shared" si="49"/>
        <v>46520</v>
      </c>
      <c r="AW66" s="368">
        <f t="shared" si="36"/>
        <v>46510</v>
      </c>
      <c r="AX66" s="378">
        <f t="shared" si="50"/>
        <v>208</v>
      </c>
      <c r="AY66" s="368">
        <v>46302</v>
      </c>
      <c r="AZ66" s="362" t="s">
        <v>544</v>
      </c>
      <c r="BA66" s="375" t="s">
        <v>521</v>
      </c>
      <c r="BB66" s="376"/>
    </row>
    <row r="67" spans="1:58">
      <c r="B67" s="357" t="s">
        <v>419</v>
      </c>
      <c r="C67" s="357" t="s">
        <v>522</v>
      </c>
      <c r="D67" s="357" t="s">
        <v>481</v>
      </c>
      <c r="E67" s="357"/>
      <c r="F67" s="357" t="s">
        <v>464</v>
      </c>
      <c r="G67" s="357"/>
      <c r="H67" s="358">
        <v>13</v>
      </c>
      <c r="I67" s="271" t="s">
        <v>523</v>
      </c>
      <c r="J67" s="359"/>
      <c r="K67" s="360"/>
      <c r="L67" s="361">
        <f>SUMIFS('[36]frm P6'!$J:$J,'[36]frm P6'!D:D,[36]Schedule!B67,'[36]frm P6'!E:E,[36]Schedule!C67,'[36]frm P6'!F:F,[36]Schedule!D67,'[36]frm P6'!G:G,[36]Schedule!$K$35,'[36]frm P6'!H:H,[36]Schedule!F67)</f>
        <v>46592</v>
      </c>
      <c r="M67" s="361">
        <f>SUMIFS('[36]frm P6'!$K:$K,'[36]frm P6'!D:D,[36]Schedule!B67,'[36]frm P6'!E:E,[36]Schedule!C67,'[36]frm P6'!F:F,[36]Schedule!D67,'[36]frm P6'!G:G,[36]Schedule!$K$35,'[36]frm P6'!H:H,[36]Schedule!F67)</f>
        <v>46601</v>
      </c>
      <c r="N67" s="362">
        <f>M67-L67+1</f>
        <v>10</v>
      </c>
      <c r="O67" s="273">
        <v>5</v>
      </c>
      <c r="P67" s="273">
        <v>1</v>
      </c>
      <c r="R67" s="363">
        <v>7</v>
      </c>
      <c r="S67" s="364"/>
      <c r="T67" s="365"/>
      <c r="U67" s="366">
        <f t="shared" si="35"/>
        <v>280</v>
      </c>
      <c r="V67" s="366"/>
      <c r="W67" s="367"/>
      <c r="X67" s="368" t="s">
        <v>424</v>
      </c>
      <c r="Y67" s="368" t="s">
        <v>424</v>
      </c>
      <c r="Z67" s="369" t="s">
        <v>424</v>
      </c>
      <c r="AA67" s="420" t="s">
        <v>424</v>
      </c>
      <c r="AB67" s="368" t="s">
        <v>424</v>
      </c>
      <c r="AC67" s="362" t="s">
        <v>424</v>
      </c>
      <c r="AD67" s="274" t="s">
        <v>424</v>
      </c>
      <c r="AE67" s="273" t="s">
        <v>424</v>
      </c>
      <c r="AG67" s="370">
        <f>SUMIFS('[36]frm P6'!$J:$J,'[36]frm P6'!D:D,[36]Schedule!B67,'[36]frm P6'!E:E,[36]Schedule!C67,'[36]frm P6'!F:F,[36]Schedule!D67,'[36]frm P6'!G:G,[36]Schedule!$AF$3,'[36]frm P6'!H:H,[36]Schedule!F67)</f>
        <v>46549</v>
      </c>
      <c r="AH67" s="361">
        <f>SUMIFS('[36]frm P6'!$K:$K,'[36]frm P6'!D:D,[36]Schedule!B67,'[36]frm P6'!E:E,[36]Schedule!C67,'[36]frm P6'!F:F,[36]Schedule!D67,'[36]frm P6'!G:G,[36]Schedule!$AF$3,'[36]frm P6'!H:H,[36]Schedule!F67)</f>
        <v>46584</v>
      </c>
      <c r="AI67" s="362">
        <f t="shared" si="46"/>
        <v>36</v>
      </c>
      <c r="AJ67" s="273">
        <v>5</v>
      </c>
      <c r="AK67" s="273">
        <v>1</v>
      </c>
      <c r="AM67" s="420" t="s">
        <v>424</v>
      </c>
      <c r="AN67" s="368" t="s">
        <v>424</v>
      </c>
      <c r="AO67" s="362" t="s">
        <v>424</v>
      </c>
      <c r="AR67" s="372">
        <v>60</v>
      </c>
      <c r="AS67" s="368">
        <f t="shared" si="51"/>
        <v>46546</v>
      </c>
      <c r="AT67" s="368">
        <f t="shared" si="52"/>
        <v>46486</v>
      </c>
      <c r="AU67" s="377">
        <f t="shared" si="53"/>
        <v>46471</v>
      </c>
      <c r="AV67" s="368">
        <f t="shared" si="49"/>
        <v>46545</v>
      </c>
      <c r="AW67" s="368">
        <f t="shared" si="36"/>
        <v>46535</v>
      </c>
      <c r="AX67" s="378">
        <f t="shared" si="50"/>
        <v>224</v>
      </c>
      <c r="AY67" s="368">
        <v>46311</v>
      </c>
      <c r="AZ67" s="362" t="s">
        <v>545</v>
      </c>
      <c r="BA67" s="375" t="s">
        <v>525</v>
      </c>
      <c r="BB67" s="376"/>
    </row>
    <row r="68" spans="1:58" ht="21">
      <c r="B68" s="357" t="s">
        <v>419</v>
      </c>
      <c r="C68" s="357" t="s">
        <v>530</v>
      </c>
      <c r="D68" s="357" t="s">
        <v>481</v>
      </c>
      <c r="E68" s="357"/>
      <c r="F68" s="357" t="s">
        <v>464</v>
      </c>
      <c r="G68" s="357"/>
      <c r="H68" s="358">
        <v>15</v>
      </c>
      <c r="I68" s="271" t="s">
        <v>531</v>
      </c>
      <c r="J68" s="359"/>
      <c r="K68" s="360"/>
      <c r="L68" s="368" t="s">
        <v>424</v>
      </c>
      <c r="M68" s="368" t="s">
        <v>424</v>
      </c>
      <c r="N68" s="362" t="s">
        <v>424</v>
      </c>
      <c r="O68" s="273" t="s">
        <v>424</v>
      </c>
      <c r="P68" s="273" t="s">
        <v>424</v>
      </c>
      <c r="R68" s="363">
        <v>3</v>
      </c>
      <c r="S68" s="364"/>
      <c r="T68" s="365"/>
      <c r="U68" s="366" t="e">
        <f t="shared" si="35"/>
        <v>#VALUE!</v>
      </c>
      <c r="V68" s="366"/>
      <c r="W68" s="367"/>
      <c r="X68" s="368" t="s">
        <v>424</v>
      </c>
      <c r="Y68" s="368" t="s">
        <v>424</v>
      </c>
      <c r="Z68" s="369" t="s">
        <v>424</v>
      </c>
      <c r="AA68" s="361">
        <f>SUMIFS('[36]frm P6'!$J:$J,'[36]frm P6'!D:D,[36]Schedule!B68,'[36]frm P6'!E:E,[36]Schedule!C68,'[36]frm P6'!F:F,[36]Schedule!D68,'[36]frm P6'!G:G,[36]Schedule!$Z$35,'[36]frm P6'!H:H,[36]Schedule!F68)</f>
        <v>46522</v>
      </c>
      <c r="AB68" s="361">
        <f>SUMIFS('[36]frm P6'!$K:$K,'[36]frm P6'!D:D,[36]Schedule!B68,'[36]frm P6'!E:E,[36]Schedule!C68,'[36]frm P6'!F:F,[36]Schedule!D68,'[36]frm P6'!G:G,[36]Schedule!$Z$35,'[36]frm P6'!H:H,[36]Schedule!F68)</f>
        <v>46539</v>
      </c>
      <c r="AC68" s="362">
        <f t="shared" ref="AC68" si="58">AB68-AA68+1</f>
        <v>18</v>
      </c>
      <c r="AE68" s="273">
        <v>76</v>
      </c>
      <c r="AG68" s="370">
        <f>SUMIFS('[36]frm P6'!$J:$J,'[36]frm P6'!D:D,[36]Schedule!B68,'[36]frm P6'!E:E,[36]Schedule!C68,'[36]frm P6'!F:F,[36]Schedule!D68,'[36]frm P6'!G:G,[36]Schedule!$AF$3,'[36]frm P6'!H:H,[36]Schedule!F68)</f>
        <v>46492</v>
      </c>
      <c r="AH68" s="361">
        <f>SUMIFS('[36]frm P6'!$K:$K,'[36]frm P6'!D:D,[36]Schedule!B68,'[36]frm P6'!E:E,[36]Schedule!C68,'[36]frm P6'!F:F,[36]Schedule!D68,'[36]frm P6'!G:G,[36]Schedule!$AF$3,'[36]frm P6'!H:H,[36]Schedule!F68)</f>
        <v>46521</v>
      </c>
      <c r="AI68" s="362" t="s">
        <v>424</v>
      </c>
      <c r="AJ68" s="273" t="s">
        <v>424</v>
      </c>
      <c r="AK68" s="273" t="s">
        <v>424</v>
      </c>
      <c r="AM68" s="420" t="s">
        <v>424</v>
      </c>
      <c r="AN68" s="368" t="s">
        <v>424</v>
      </c>
      <c r="AO68" s="362" t="s">
        <v>424</v>
      </c>
      <c r="AR68" s="372">
        <v>90</v>
      </c>
      <c r="AS68" s="368">
        <f t="shared" si="51"/>
        <v>46489</v>
      </c>
      <c r="AT68" s="368">
        <f t="shared" ref="AT68:AT70" si="59">AS68-$AT$3</f>
        <v>46429</v>
      </c>
      <c r="AU68" s="377">
        <f t="shared" ref="AU68:AU70" si="60">AT68-$AU$3</f>
        <v>46414</v>
      </c>
      <c r="AV68" s="368">
        <f t="shared" si="49"/>
        <v>46488</v>
      </c>
      <c r="AW68" s="368">
        <f t="shared" si="36"/>
        <v>46478</v>
      </c>
      <c r="AX68" s="378">
        <f t="shared" si="50"/>
        <v>167</v>
      </c>
      <c r="AY68" s="368">
        <v>46311</v>
      </c>
      <c r="AZ68" s="421" t="s">
        <v>545</v>
      </c>
      <c r="BA68" s="375" t="s">
        <v>525</v>
      </c>
      <c r="BB68" s="423"/>
      <c r="BC68" s="268"/>
      <c r="BD68" s="268"/>
      <c r="BE68" s="311"/>
      <c r="BF68" s="312"/>
    </row>
    <row r="69" spans="1:58" ht="21">
      <c r="B69" s="357" t="s">
        <v>419</v>
      </c>
      <c r="C69" s="357" t="s">
        <v>532</v>
      </c>
      <c r="D69" s="357" t="s">
        <v>481</v>
      </c>
      <c r="E69" s="357"/>
      <c r="F69" s="357" t="s">
        <v>464</v>
      </c>
      <c r="G69" s="357"/>
      <c r="H69" s="358">
        <v>15</v>
      </c>
      <c r="I69" s="271" t="s">
        <v>533</v>
      </c>
      <c r="J69" s="359"/>
      <c r="K69" s="360"/>
      <c r="L69" s="361">
        <f>SUMIFS('[36]frm P6'!$J:$J,'[36]frm P6'!D:D,[36]Schedule!B69,'[36]frm P6'!E:E,[36]Schedule!C69,'[36]frm P6'!F:F,[36]Schedule!D69,'[36]frm P6'!G:G,[36]Schedule!$K$35,'[36]frm P6'!H:H,[36]Schedule!F69)</f>
        <v>46588</v>
      </c>
      <c r="M69" s="361">
        <f>SUMIFS('[36]frm P6'!$K:$K,'[36]frm P6'!D:D,[36]Schedule!B69,'[36]frm P6'!E:E,[36]Schedule!C69,'[36]frm P6'!F:F,[36]Schedule!D69,'[36]frm P6'!G:G,[36]Schedule!$K$35,'[36]frm P6'!H:H,[36]Schedule!F69)</f>
        <v>46605</v>
      </c>
      <c r="N69" s="362">
        <f>M69-L69+1</f>
        <v>18</v>
      </c>
      <c r="O69" s="273" t="s">
        <v>424</v>
      </c>
      <c r="P69" s="273" t="s">
        <v>424</v>
      </c>
      <c r="R69" s="363">
        <v>3</v>
      </c>
      <c r="S69" s="364"/>
      <c r="T69" s="365"/>
      <c r="U69" s="366" t="e">
        <f t="shared" si="35"/>
        <v>#VALUE!</v>
      </c>
      <c r="V69" s="366"/>
      <c r="W69" s="367"/>
      <c r="X69" s="368" t="s">
        <v>424</v>
      </c>
      <c r="Y69" s="368" t="s">
        <v>424</v>
      </c>
      <c r="Z69" s="369" t="s">
        <v>424</v>
      </c>
      <c r="AA69" s="420" t="s">
        <v>424</v>
      </c>
      <c r="AB69" s="368" t="s">
        <v>424</v>
      </c>
      <c r="AC69" s="362" t="s">
        <v>424</v>
      </c>
      <c r="AE69" s="273">
        <v>76</v>
      </c>
      <c r="AG69" s="370">
        <f>SUMIFS('[36]frm P6'!$J:$J,'[36]frm P6'!D:D,[36]Schedule!B69,'[36]frm P6'!E:E,[36]Schedule!C69,'[36]frm P6'!F:F,[36]Schedule!D69,'[36]frm P6'!G:G,[36]Schedule!$AF$3,'[36]frm P6'!H:H,[36]Schedule!F69)</f>
        <v>46553</v>
      </c>
      <c r="AH69" s="361">
        <f>SUMIFS('[36]frm P6'!$K:$K,'[36]frm P6'!D:D,[36]Schedule!B69,'[36]frm P6'!E:E,[36]Schedule!C69,'[36]frm P6'!F:F,[36]Schedule!D69,'[36]frm P6'!G:G,[36]Schedule!$AF$3,'[36]frm P6'!H:H,[36]Schedule!F69)</f>
        <v>46576</v>
      </c>
      <c r="AI69" s="362" t="s">
        <v>424</v>
      </c>
      <c r="AJ69" s="273" t="s">
        <v>424</v>
      </c>
      <c r="AK69" s="273" t="s">
        <v>424</v>
      </c>
      <c r="AM69" s="420" t="s">
        <v>424</v>
      </c>
      <c r="AN69" s="368" t="s">
        <v>424</v>
      </c>
      <c r="AO69" s="362" t="s">
        <v>424</v>
      </c>
      <c r="AR69" s="372">
        <v>90</v>
      </c>
      <c r="AS69" s="368">
        <f t="shared" si="51"/>
        <v>46550</v>
      </c>
      <c r="AT69" s="368">
        <f t="shared" si="59"/>
        <v>46490</v>
      </c>
      <c r="AU69" s="377">
        <f t="shared" si="60"/>
        <v>46475</v>
      </c>
      <c r="AV69" s="368">
        <f t="shared" si="49"/>
        <v>46549</v>
      </c>
      <c r="AW69" s="368">
        <f t="shared" si="36"/>
        <v>46539</v>
      </c>
      <c r="AX69" s="378">
        <f t="shared" si="50"/>
        <v>228</v>
      </c>
      <c r="AY69" s="368">
        <v>46311</v>
      </c>
      <c r="AZ69" s="421" t="s">
        <v>545</v>
      </c>
      <c r="BA69" s="375" t="s">
        <v>525</v>
      </c>
      <c r="BB69" s="423"/>
      <c r="BC69" s="268"/>
      <c r="BD69" s="268"/>
      <c r="BE69" s="311"/>
      <c r="BF69" s="312"/>
    </row>
    <row r="70" spans="1:58">
      <c r="B70" s="357" t="s">
        <v>419</v>
      </c>
      <c r="C70" s="357" t="s">
        <v>526</v>
      </c>
      <c r="D70" s="357" t="s">
        <v>481</v>
      </c>
      <c r="E70" s="357"/>
      <c r="F70" s="357" t="s">
        <v>464</v>
      </c>
      <c r="G70" s="357"/>
      <c r="H70" s="358">
        <v>14</v>
      </c>
      <c r="I70" s="271" t="s">
        <v>527</v>
      </c>
      <c r="J70" s="359"/>
      <c r="K70" s="360"/>
      <c r="L70" s="368" t="s">
        <v>424</v>
      </c>
      <c r="M70" s="368" t="s">
        <v>424</v>
      </c>
      <c r="N70" s="362" t="s">
        <v>424</v>
      </c>
      <c r="O70" s="273" t="s">
        <v>424</v>
      </c>
      <c r="P70" s="273" t="s">
        <v>424</v>
      </c>
      <c r="R70" s="363">
        <v>3</v>
      </c>
      <c r="S70" s="364"/>
      <c r="T70" s="365"/>
      <c r="U70" s="366" t="e">
        <f t="shared" si="35"/>
        <v>#VALUE!</v>
      </c>
      <c r="V70" s="366"/>
      <c r="W70" s="367"/>
      <c r="X70" s="368" t="s">
        <v>424</v>
      </c>
      <c r="Y70" s="368" t="s">
        <v>424</v>
      </c>
      <c r="Z70" s="369" t="s">
        <v>424</v>
      </c>
      <c r="AA70" s="361">
        <f>SUMIFS('[36]frm P6'!$J:$J,'[36]frm P6'!D:D,[36]Schedule!B70,'[36]frm P6'!E:E,[36]Schedule!C70,'[36]frm P6'!F:F,[36]Schedule!D70,'[36]frm P6'!G:G,[36]Schedule!$Z$35,'[36]frm P6'!H:H,[36]Schedule!F70)</f>
        <v>46398</v>
      </c>
      <c r="AB70" s="361">
        <f>SUMIFS('[36]frm P6'!$K:$K,'[36]frm P6'!D:D,[36]Schedule!B70,'[36]frm P6'!E:E,[36]Schedule!C70,'[36]frm P6'!F:F,[36]Schedule!D70,'[36]frm P6'!G:G,[36]Schedule!$Z$35,'[36]frm P6'!H:H,[36]Schedule!F70)</f>
        <v>46498</v>
      </c>
      <c r="AC70" s="362">
        <f t="shared" ref="AC70" si="61">AB70-AA70+1</f>
        <v>101</v>
      </c>
      <c r="AE70" s="273">
        <v>76</v>
      </c>
      <c r="AG70" s="420" t="s">
        <v>424</v>
      </c>
      <c r="AH70" s="368" t="s">
        <v>424</v>
      </c>
      <c r="AI70" s="362" t="s">
        <v>424</v>
      </c>
      <c r="AJ70" s="273" t="s">
        <v>424</v>
      </c>
      <c r="AK70" s="273" t="s">
        <v>424</v>
      </c>
      <c r="AM70" s="420" t="s">
        <v>424</v>
      </c>
      <c r="AN70" s="368" t="s">
        <v>424</v>
      </c>
      <c r="AO70" s="362" t="s">
        <v>424</v>
      </c>
      <c r="AR70" s="372">
        <v>90</v>
      </c>
      <c r="AS70" s="368">
        <f>AA70-$AS$3</f>
        <v>46395</v>
      </c>
      <c r="AT70" s="368">
        <f t="shared" si="59"/>
        <v>46335</v>
      </c>
      <c r="AU70" s="377">
        <f t="shared" si="60"/>
        <v>46320</v>
      </c>
      <c r="AV70" s="368">
        <f>AA70-$AV$35</f>
        <v>46394</v>
      </c>
      <c r="AW70" s="368">
        <f t="shared" si="36"/>
        <v>46384</v>
      </c>
      <c r="AX70" s="378">
        <f t="shared" si="50"/>
        <v>77</v>
      </c>
      <c r="AY70" s="368">
        <v>46307</v>
      </c>
      <c r="AZ70" s="362" t="s">
        <v>546</v>
      </c>
      <c r="BA70" s="375" t="s">
        <v>529</v>
      </c>
      <c r="BB70" s="376"/>
    </row>
    <row r="71" spans="1:58" ht="6.6" customHeight="1">
      <c r="B71" s="357"/>
      <c r="C71" s="357"/>
      <c r="D71" s="357"/>
      <c r="E71" s="357"/>
      <c r="F71" s="357"/>
      <c r="G71" s="357"/>
      <c r="H71" s="387"/>
      <c r="I71" s="388"/>
      <c r="J71" s="389"/>
      <c r="K71" s="390"/>
      <c r="L71" s="391"/>
      <c r="M71" s="391"/>
      <c r="N71" s="392"/>
      <c r="O71" s="393"/>
      <c r="P71" s="393"/>
      <c r="Q71" s="393"/>
      <c r="R71" s="363"/>
      <c r="S71" s="364"/>
      <c r="T71" s="365"/>
      <c r="U71" s="366"/>
      <c r="V71" s="366"/>
      <c r="W71" s="367"/>
      <c r="X71" s="391"/>
      <c r="Y71" s="391"/>
      <c r="Z71" s="394"/>
      <c r="AA71" s="391"/>
      <c r="AB71" s="391"/>
      <c r="AC71" s="392"/>
      <c r="AD71" s="395"/>
      <c r="AE71" s="393"/>
      <c r="AF71" s="393"/>
      <c r="AG71" s="396"/>
      <c r="AH71" s="391"/>
      <c r="AI71" s="392"/>
      <c r="AJ71" s="393"/>
      <c r="AK71" s="393"/>
      <c r="AL71" s="393"/>
      <c r="AM71" s="396"/>
      <c r="AN71" s="391"/>
      <c r="AO71" s="392"/>
      <c r="AP71" s="393"/>
      <c r="AQ71" s="393"/>
      <c r="AR71" s="392"/>
      <c r="AS71" s="391"/>
      <c r="AT71" s="391"/>
      <c r="AU71" s="399"/>
      <c r="AV71" s="391"/>
      <c r="AW71" s="391"/>
      <c r="AX71" s="424"/>
      <c r="AY71" s="425"/>
      <c r="AZ71" s="426"/>
      <c r="BA71" s="404"/>
      <c r="BB71" s="427"/>
    </row>
    <row r="72" spans="1:58" ht="6" customHeight="1">
      <c r="I72" s="269"/>
      <c r="J72" s="269"/>
      <c r="K72" s="428"/>
      <c r="L72" s="429"/>
      <c r="M72" s="429"/>
      <c r="N72" s="269"/>
      <c r="R72" s="363"/>
      <c r="S72" s="364"/>
      <c r="T72" s="365"/>
      <c r="U72" s="366"/>
      <c r="V72" s="366"/>
      <c r="W72" s="367"/>
      <c r="X72" s="429"/>
      <c r="Y72" s="429"/>
      <c r="Z72" s="269"/>
      <c r="AA72" s="429"/>
      <c r="AB72" s="429"/>
      <c r="AC72" s="269"/>
      <c r="AG72" s="269"/>
      <c r="AH72" s="269"/>
      <c r="AI72" s="269"/>
      <c r="AM72" s="269"/>
      <c r="AN72" s="269"/>
      <c r="AO72" s="269"/>
      <c r="AR72" s="269"/>
      <c r="AS72" s="269"/>
      <c r="AT72" s="269"/>
      <c r="AU72" s="269"/>
      <c r="AV72" s="269"/>
      <c r="AW72" s="269"/>
      <c r="AX72" s="269"/>
      <c r="AY72" s="269"/>
      <c r="AZ72" s="269"/>
      <c r="BA72" s="269"/>
      <c r="BB72" s="269"/>
      <c r="BC72" s="269"/>
      <c r="BD72" s="269"/>
    </row>
    <row r="73" spans="1:58" ht="27" customHeight="1">
      <c r="B73" s="406"/>
      <c r="H73" s="286" t="s">
        <v>547</v>
      </c>
      <c r="I73" s="287"/>
      <c r="J73" s="288"/>
      <c r="K73" s="289"/>
      <c r="L73" s="430"/>
      <c r="M73" s="291"/>
      <c r="N73" s="431"/>
      <c r="O73" s="432"/>
      <c r="P73" s="432"/>
      <c r="Q73" s="432"/>
      <c r="R73" s="409"/>
      <c r="S73" s="410"/>
      <c r="T73" s="411"/>
      <c r="U73" s="412"/>
      <c r="V73" s="412"/>
      <c r="W73" s="413"/>
      <c r="AA73" s="433"/>
      <c r="AB73" s="433"/>
      <c r="AC73" s="433"/>
      <c r="AD73" s="434"/>
      <c r="AE73" s="435"/>
      <c r="AF73" s="435"/>
    </row>
    <row r="74" spans="1:58" s="268" customFormat="1" ht="27" customHeight="1">
      <c r="A74" s="270"/>
      <c r="B74" s="313" t="s">
        <v>391</v>
      </c>
      <c r="C74" s="313" t="s">
        <v>392</v>
      </c>
      <c r="D74" s="313" t="s">
        <v>393</v>
      </c>
      <c r="E74" s="313" t="s">
        <v>394</v>
      </c>
      <c r="F74" s="313" t="s">
        <v>395</v>
      </c>
      <c r="G74" s="313"/>
      <c r="H74" s="314" t="s">
        <v>396</v>
      </c>
      <c r="I74" s="315" t="s">
        <v>397</v>
      </c>
      <c r="J74" s="316" t="s">
        <v>398</v>
      </c>
      <c r="K74" s="317"/>
      <c r="L74" s="315" t="s">
        <v>399</v>
      </c>
      <c r="M74" s="315" t="s">
        <v>400</v>
      </c>
      <c r="N74" s="436" t="s">
        <v>401</v>
      </c>
      <c r="O74" s="432"/>
      <c r="P74" s="432"/>
      <c r="Q74" s="432"/>
      <c r="R74" s="409"/>
      <c r="S74" s="410"/>
      <c r="T74" s="411"/>
      <c r="U74" s="412"/>
      <c r="V74" s="412"/>
      <c r="W74" s="413"/>
      <c r="X74" s="270"/>
      <c r="Y74" s="270"/>
      <c r="Z74" s="270"/>
      <c r="AA74" s="433"/>
      <c r="AB74" s="433"/>
      <c r="AC74" s="433"/>
      <c r="AD74" s="434"/>
      <c r="AE74" s="435"/>
      <c r="AF74" s="435"/>
      <c r="AG74" s="270"/>
      <c r="AH74" s="270"/>
      <c r="AI74" s="270"/>
      <c r="AJ74" s="273"/>
      <c r="AK74" s="273"/>
      <c r="AL74" s="273"/>
      <c r="AM74" s="270"/>
      <c r="AN74" s="270"/>
      <c r="AO74" s="270"/>
      <c r="AP74" s="273"/>
      <c r="AQ74" s="273"/>
      <c r="AR74" s="270"/>
      <c r="AS74" s="270"/>
      <c r="AT74" s="270"/>
      <c r="AU74" s="270"/>
      <c r="AV74" s="270"/>
      <c r="AW74" s="270"/>
      <c r="AX74" s="270"/>
      <c r="AY74" s="275"/>
      <c r="BA74" s="437"/>
      <c r="BE74" s="311"/>
      <c r="BF74" s="312"/>
    </row>
    <row r="75" spans="1:58" s="268" customFormat="1" ht="27" customHeight="1">
      <c r="A75" s="270"/>
      <c r="B75" s="438" t="s">
        <v>417</v>
      </c>
      <c r="C75" s="432"/>
      <c r="D75" s="432"/>
      <c r="E75" s="432"/>
      <c r="F75" s="432"/>
      <c r="G75" s="432"/>
      <c r="H75" s="336" t="s">
        <v>548</v>
      </c>
      <c r="I75" s="337"/>
      <c r="J75" s="338"/>
      <c r="K75" s="339"/>
      <c r="L75" s="340">
        <f>MIN(L76:L78)</f>
        <v>46541</v>
      </c>
      <c r="M75" s="340">
        <f>MAX(M76:M78)</f>
        <v>46596</v>
      </c>
      <c r="N75" s="439">
        <f>M75-L75+1</f>
        <v>56</v>
      </c>
      <c r="O75" s="432"/>
      <c r="P75" s="432"/>
      <c r="Q75" s="432"/>
      <c r="R75" s="409"/>
      <c r="S75" s="410"/>
      <c r="T75" s="411"/>
      <c r="U75" s="412"/>
      <c r="V75" s="412"/>
      <c r="W75" s="413"/>
      <c r="X75" s="270"/>
      <c r="Y75" s="270"/>
      <c r="Z75" s="270"/>
      <c r="AA75" s="433"/>
      <c r="AB75" s="433"/>
      <c r="AC75" s="433"/>
      <c r="AD75" s="434"/>
      <c r="AE75" s="435"/>
      <c r="AF75" s="435"/>
      <c r="AG75" s="270"/>
      <c r="AH75" s="270"/>
      <c r="AI75" s="270"/>
      <c r="AJ75" s="273"/>
      <c r="AK75" s="273"/>
      <c r="AL75" s="273"/>
      <c r="AM75" s="270"/>
      <c r="AN75" s="270"/>
      <c r="AO75" s="270"/>
      <c r="AP75" s="273"/>
      <c r="AQ75" s="273"/>
      <c r="AR75" s="270"/>
      <c r="AS75" s="270"/>
      <c r="AT75" s="270"/>
      <c r="AU75" s="270"/>
      <c r="AV75" s="270"/>
      <c r="AW75" s="270"/>
      <c r="AX75" s="270"/>
      <c r="AY75" s="275"/>
      <c r="BA75" s="437"/>
      <c r="BE75" s="311"/>
      <c r="BF75" s="312"/>
    </row>
    <row r="76" spans="1:58">
      <c r="B76" s="357" t="s">
        <v>419</v>
      </c>
      <c r="C76" s="357" t="s">
        <v>549</v>
      </c>
      <c r="D76" s="357" t="s">
        <v>510</v>
      </c>
      <c r="E76" s="357" t="s">
        <v>375</v>
      </c>
      <c r="F76" s="357" t="s">
        <v>422</v>
      </c>
      <c r="G76" s="357"/>
      <c r="H76" s="440">
        <v>1</v>
      </c>
      <c r="I76" s="271" t="s">
        <v>550</v>
      </c>
      <c r="J76" s="359"/>
      <c r="K76" s="360"/>
      <c r="L76" s="441">
        <f>'[36]frm P6'!J3990</f>
        <v>46541</v>
      </c>
      <c r="M76" s="441">
        <f>'[36]frm P6'!K3990</f>
        <v>46564</v>
      </c>
      <c r="N76" s="376">
        <f>M76-L76+1</f>
        <v>24</v>
      </c>
      <c r="O76" s="432"/>
      <c r="P76" s="432"/>
      <c r="Q76" s="432"/>
      <c r="R76" s="409"/>
      <c r="S76" s="410"/>
      <c r="T76" s="411"/>
      <c r="U76" s="412"/>
      <c r="V76" s="412"/>
      <c r="W76" s="413"/>
      <c r="AA76" s="433"/>
      <c r="AB76" s="433"/>
      <c r="AC76" s="433"/>
      <c r="AD76" s="434"/>
      <c r="AE76" s="435"/>
      <c r="AF76" s="435"/>
      <c r="AG76" s="429"/>
      <c r="AH76" s="429"/>
      <c r="AI76" s="429"/>
      <c r="AJ76" s="442"/>
      <c r="AK76" s="442"/>
      <c r="AL76" s="442"/>
      <c r="AM76" s="269"/>
      <c r="AN76" s="269"/>
      <c r="AS76" s="269"/>
      <c r="AT76" s="269"/>
    </row>
    <row r="77" spans="1:58">
      <c r="B77" s="357" t="s">
        <v>419</v>
      </c>
      <c r="C77" s="357" t="s">
        <v>507</v>
      </c>
      <c r="D77" s="357" t="s">
        <v>510</v>
      </c>
      <c r="E77" s="357" t="s">
        <v>375</v>
      </c>
      <c r="F77" s="357" t="s">
        <v>422</v>
      </c>
      <c r="G77" s="357"/>
      <c r="H77" s="440">
        <v>2</v>
      </c>
      <c r="I77" s="271" t="s">
        <v>551</v>
      </c>
      <c r="J77" s="359"/>
      <c r="K77" s="360"/>
      <c r="L77" s="441">
        <f>'[36]frm P6'!J3994</f>
        <v>46578</v>
      </c>
      <c r="M77" s="441">
        <f>'[36]frm P6'!K3994</f>
        <v>46596</v>
      </c>
      <c r="N77" s="376">
        <f>M77-L77+1</f>
        <v>19</v>
      </c>
      <c r="O77" s="432"/>
      <c r="P77" s="432"/>
      <c r="Q77" s="432"/>
      <c r="R77" s="409"/>
      <c r="S77" s="410"/>
      <c r="T77" s="411"/>
      <c r="U77" s="412"/>
      <c r="V77" s="412"/>
      <c r="W77" s="413"/>
      <c r="AA77" s="433"/>
      <c r="AB77" s="433"/>
      <c r="AC77" s="433"/>
      <c r="AD77" s="434"/>
      <c r="AE77" s="435"/>
      <c r="AF77" s="435"/>
      <c r="AG77" s="429"/>
      <c r="AH77" s="429"/>
      <c r="AI77" s="429"/>
      <c r="AJ77" s="442"/>
      <c r="AK77" s="442"/>
      <c r="AL77" s="442"/>
      <c r="AM77" s="269"/>
      <c r="AN77" s="269"/>
      <c r="AS77" s="269"/>
      <c r="AT77" s="269"/>
    </row>
    <row r="78" spans="1:58">
      <c r="B78" s="357" t="s">
        <v>419</v>
      </c>
      <c r="C78" s="357" t="s">
        <v>552</v>
      </c>
      <c r="D78" s="357" t="s">
        <v>510</v>
      </c>
      <c r="E78" s="357" t="s">
        <v>375</v>
      </c>
      <c r="F78" s="357" t="s">
        <v>422</v>
      </c>
      <c r="G78" s="357"/>
      <c r="H78" s="440">
        <v>3</v>
      </c>
      <c r="I78" s="271" t="s">
        <v>553</v>
      </c>
      <c r="J78" s="359"/>
      <c r="K78" s="360"/>
      <c r="L78" s="443"/>
      <c r="M78" s="443" t="str">
        <f>'[36]frm P6'!K4017</f>
        <v>28-Jul-27*</v>
      </c>
      <c r="N78" s="376"/>
      <c r="O78" s="432"/>
      <c r="P78" s="432"/>
      <c r="Q78" s="432"/>
      <c r="R78" s="409"/>
      <c r="S78" s="410"/>
      <c r="T78" s="411"/>
      <c r="U78" s="412"/>
      <c r="V78" s="412"/>
      <c r="W78" s="413"/>
      <c r="AA78" s="433"/>
      <c r="AB78" s="433"/>
      <c r="AC78" s="433"/>
      <c r="AD78" s="434"/>
      <c r="AE78" s="435"/>
      <c r="AF78" s="435"/>
      <c r="AG78" s="429"/>
      <c r="AH78" s="429"/>
      <c r="AI78" s="429"/>
      <c r="AJ78" s="442"/>
      <c r="AK78" s="442"/>
      <c r="AL78" s="442"/>
      <c r="AM78" s="269"/>
      <c r="AN78" s="269"/>
      <c r="AS78" s="269"/>
      <c r="AT78" s="269"/>
    </row>
    <row r="79" spans="1:58" s="268" customFormat="1" ht="21">
      <c r="A79" s="270"/>
      <c r="B79" s="438" t="s">
        <v>462</v>
      </c>
      <c r="C79" s="432"/>
      <c r="D79" s="432"/>
      <c r="E79" s="432"/>
      <c r="F79" s="432"/>
      <c r="G79" s="432"/>
      <c r="H79" s="336" t="s">
        <v>554</v>
      </c>
      <c r="I79" s="337"/>
      <c r="J79" s="338"/>
      <c r="K79" s="339"/>
      <c r="L79" s="340">
        <f>MIN(L80:L82)</f>
        <v>46576</v>
      </c>
      <c r="M79" s="340">
        <f>MAX(M80:M82)</f>
        <v>46627</v>
      </c>
      <c r="N79" s="439">
        <f>M79-L79+1</f>
        <v>52</v>
      </c>
      <c r="O79" s="432"/>
      <c r="P79" s="432"/>
      <c r="Q79" s="432"/>
      <c r="R79" s="409"/>
      <c r="S79" s="410"/>
      <c r="T79" s="411"/>
      <c r="U79" s="412"/>
      <c r="V79" s="412"/>
      <c r="W79" s="413"/>
      <c r="X79" s="270"/>
      <c r="Y79" s="444"/>
      <c r="Z79" s="270"/>
      <c r="AA79" s="433"/>
      <c r="AB79" s="433"/>
      <c r="AC79" s="433"/>
      <c r="AD79" s="434"/>
      <c r="AE79" s="435"/>
      <c r="AF79" s="435"/>
      <c r="AG79" s="270"/>
      <c r="AH79" s="270"/>
      <c r="AI79" s="270"/>
      <c r="AJ79" s="273"/>
      <c r="AK79" s="273"/>
      <c r="AL79" s="273"/>
      <c r="AM79" s="270"/>
      <c r="AN79" s="270"/>
      <c r="AO79" s="270"/>
      <c r="AP79" s="273"/>
      <c r="AQ79" s="273"/>
      <c r="AR79" s="270"/>
      <c r="AS79" s="270"/>
      <c r="AT79" s="270"/>
      <c r="AU79" s="270"/>
      <c r="AV79" s="270"/>
      <c r="AW79" s="270"/>
      <c r="AX79" s="270"/>
      <c r="AY79" s="275"/>
      <c r="BA79" s="437"/>
      <c r="BE79" s="311"/>
      <c r="BF79" s="312"/>
    </row>
    <row r="80" spans="1:58">
      <c r="B80" s="357" t="s">
        <v>419</v>
      </c>
      <c r="C80" s="357" t="s">
        <v>549</v>
      </c>
      <c r="D80" s="357" t="s">
        <v>510</v>
      </c>
      <c r="E80" s="357" t="s">
        <v>375</v>
      </c>
      <c r="F80" s="357" t="s">
        <v>464</v>
      </c>
      <c r="G80" s="357"/>
      <c r="H80" s="358">
        <v>1</v>
      </c>
      <c r="I80" s="271" t="s">
        <v>550</v>
      </c>
      <c r="J80" s="359"/>
      <c r="K80" s="360"/>
      <c r="L80" s="441">
        <f>'[36]frm P6'!J4101</f>
        <v>46576</v>
      </c>
      <c r="M80" s="441">
        <f>'[36]frm P6'!K4101</f>
        <v>46597</v>
      </c>
      <c r="N80" s="376">
        <f>M80-L80+1</f>
        <v>22</v>
      </c>
      <c r="O80" s="432"/>
      <c r="P80" s="432"/>
      <c r="Q80" s="432"/>
      <c r="R80" s="409"/>
      <c r="S80" s="410"/>
      <c r="T80" s="411"/>
      <c r="U80" s="412"/>
      <c r="V80" s="412"/>
      <c r="W80" s="413"/>
      <c r="Y80" s="444"/>
      <c r="AA80" s="433"/>
      <c r="AB80" s="433"/>
      <c r="AC80" s="433"/>
      <c r="AD80" s="434"/>
      <c r="AE80" s="435"/>
      <c r="AF80" s="435"/>
      <c r="AG80" s="429"/>
      <c r="AH80" s="429"/>
      <c r="AI80" s="429"/>
      <c r="AJ80" s="442"/>
      <c r="AK80" s="442"/>
      <c r="AL80" s="442"/>
      <c r="AM80" s="269"/>
      <c r="AN80" s="269"/>
      <c r="AS80" s="269"/>
      <c r="AT80" s="269"/>
    </row>
    <row r="81" spans="1:58">
      <c r="B81" s="357" t="s">
        <v>419</v>
      </c>
      <c r="C81" s="357" t="s">
        <v>507</v>
      </c>
      <c r="D81" s="357" t="s">
        <v>510</v>
      </c>
      <c r="E81" s="357" t="s">
        <v>375</v>
      </c>
      <c r="F81" s="357" t="s">
        <v>464</v>
      </c>
      <c r="G81" s="357"/>
      <c r="H81" s="358">
        <v>2</v>
      </c>
      <c r="I81" s="271" t="s">
        <v>551</v>
      </c>
      <c r="J81" s="359"/>
      <c r="K81" s="360"/>
      <c r="L81" s="441">
        <f>'[36]frm P6'!J4106</f>
        <v>46610</v>
      </c>
      <c r="M81" s="441">
        <f>'[36]frm P6'!K4106</f>
        <v>46627</v>
      </c>
      <c r="N81" s="376">
        <f>M81-L81+1</f>
        <v>18</v>
      </c>
      <c r="R81" s="363"/>
      <c r="S81" s="364"/>
      <c r="T81" s="365"/>
      <c r="U81" s="366"/>
      <c r="V81" s="366"/>
      <c r="W81" s="367"/>
      <c r="Y81" s="444"/>
      <c r="AA81" s="433"/>
      <c r="AB81" s="433"/>
      <c r="AC81" s="433"/>
      <c r="AD81" s="434"/>
      <c r="AE81" s="435"/>
      <c r="AF81" s="435"/>
      <c r="AG81" s="429"/>
      <c r="AH81" s="429"/>
      <c r="AI81" s="429"/>
      <c r="AJ81" s="442"/>
      <c r="AK81" s="442"/>
      <c r="AL81" s="442"/>
      <c r="AM81" s="269"/>
      <c r="AN81" s="269"/>
      <c r="AS81" s="269"/>
      <c r="AT81" s="269"/>
    </row>
    <row r="82" spans="1:58">
      <c r="B82" s="357" t="s">
        <v>419</v>
      </c>
      <c r="C82" s="357" t="s">
        <v>555</v>
      </c>
      <c r="D82" s="357" t="s">
        <v>556</v>
      </c>
      <c r="E82" s="357" t="s">
        <v>375</v>
      </c>
      <c r="F82" s="357" t="s">
        <v>464</v>
      </c>
      <c r="G82" s="357"/>
      <c r="H82" s="387">
        <v>5</v>
      </c>
      <c r="I82" s="388" t="s">
        <v>553</v>
      </c>
      <c r="J82" s="389"/>
      <c r="K82" s="390"/>
      <c r="L82" s="391"/>
      <c r="M82" s="391" t="str">
        <f>'[36]frm P6'!K4078</f>
        <v>04-Sep-27*</v>
      </c>
      <c r="N82" s="427"/>
      <c r="R82" s="363"/>
      <c r="S82" s="364"/>
      <c r="T82" s="365"/>
      <c r="U82" s="366"/>
      <c r="V82" s="366"/>
      <c r="W82" s="367"/>
      <c r="Y82" s="444"/>
      <c r="AA82" s="433"/>
      <c r="AB82" s="433"/>
      <c r="AC82" s="433"/>
      <c r="AD82" s="434"/>
      <c r="AE82" s="435"/>
      <c r="AF82" s="435"/>
      <c r="AG82" s="429"/>
      <c r="AH82" s="429"/>
      <c r="AI82" s="429"/>
      <c r="AJ82" s="442"/>
      <c r="AK82" s="442"/>
      <c r="AL82" s="442"/>
      <c r="AM82" s="269"/>
      <c r="AN82" s="269"/>
      <c r="AS82" s="269"/>
      <c r="AT82" s="269"/>
    </row>
    <row r="83" spans="1:58" ht="6" customHeight="1">
      <c r="B83" s="357"/>
      <c r="C83" s="445"/>
      <c r="D83" s="445"/>
      <c r="E83" s="445"/>
      <c r="F83" s="445"/>
      <c r="G83" s="445"/>
      <c r="H83" s="357"/>
      <c r="I83" s="445"/>
      <c r="J83" s="445"/>
      <c r="K83" s="446"/>
      <c r="L83" s="445"/>
      <c r="M83" s="445"/>
      <c r="N83" s="433"/>
      <c r="O83" s="435"/>
      <c r="P83" s="435"/>
      <c r="Q83" s="435"/>
      <c r="R83" s="380"/>
      <c r="S83" s="381"/>
      <c r="T83" s="382"/>
      <c r="U83" s="383"/>
      <c r="V83" s="383"/>
      <c r="W83" s="384"/>
      <c r="AA83" s="433"/>
      <c r="AB83" s="433"/>
      <c r="AC83" s="433"/>
      <c r="AD83" s="434"/>
      <c r="AE83" s="435"/>
      <c r="AF83" s="435"/>
      <c r="AG83" s="429"/>
      <c r="AH83" s="429"/>
      <c r="AI83" s="429"/>
      <c r="AJ83" s="442"/>
      <c r="AK83" s="442"/>
      <c r="AL83" s="442"/>
      <c r="AM83" s="269"/>
      <c r="AN83" s="269"/>
      <c r="AS83" s="269"/>
      <c r="AT83" s="269"/>
    </row>
    <row r="84" spans="1:58" ht="19.25" customHeight="1">
      <c r="B84" s="285" t="s">
        <v>557</v>
      </c>
      <c r="H84" s="286" t="s">
        <v>557</v>
      </c>
      <c r="I84" s="287"/>
      <c r="J84" s="288"/>
      <c r="K84" s="289"/>
      <c r="L84" s="430" t="s">
        <v>558</v>
      </c>
      <c r="M84" s="447"/>
      <c r="N84" s="448"/>
      <c r="O84" s="449"/>
      <c r="P84" s="449"/>
      <c r="Q84" s="449"/>
      <c r="R84" s="450"/>
      <c r="S84" s="451"/>
      <c r="T84" s="452"/>
      <c r="U84" s="453"/>
      <c r="V84" s="453"/>
      <c r="W84" s="454"/>
      <c r="X84" s="294"/>
      <c r="Y84" s="416"/>
      <c r="Z84" s="297"/>
      <c r="AA84" s="455"/>
      <c r="AB84" s="416"/>
      <c r="AC84" s="297"/>
      <c r="AD84" s="299"/>
      <c r="AE84" s="293"/>
      <c r="AF84" s="293"/>
      <c r="AG84" s="300"/>
      <c r="AH84" s="416"/>
      <c r="AI84" s="297"/>
      <c r="AJ84" s="293"/>
      <c r="AK84" s="293"/>
      <c r="AL84" s="301"/>
      <c r="AM84" s="300"/>
      <c r="AN84" s="416"/>
      <c r="AO84" s="304"/>
      <c r="AP84" s="293"/>
      <c r="AQ84" s="293"/>
      <c r="AR84" s="297"/>
      <c r="AS84" s="294">
        <v>3</v>
      </c>
      <c r="AT84" s="298">
        <v>60</v>
      </c>
      <c r="AU84" s="304">
        <v>15</v>
      </c>
      <c r="AV84" s="294">
        <v>4</v>
      </c>
      <c r="AW84" s="294">
        <v>10</v>
      </c>
      <c r="AX84" s="305" t="s">
        <v>389</v>
      </c>
      <c r="AY84" s="306"/>
      <c r="AZ84" s="307"/>
      <c r="BA84" s="308"/>
      <c r="BB84" s="309"/>
    </row>
    <row r="85" spans="1:58" s="268" customFormat="1" ht="27" customHeight="1">
      <c r="A85" s="270"/>
      <c r="B85" s="313" t="s">
        <v>391</v>
      </c>
      <c r="C85" s="313" t="s">
        <v>392</v>
      </c>
      <c r="D85" s="313" t="s">
        <v>393</v>
      </c>
      <c r="E85" s="313" t="s">
        <v>394</v>
      </c>
      <c r="F85" s="313" t="s">
        <v>395</v>
      </c>
      <c r="G85" s="313"/>
      <c r="H85" s="314" t="s">
        <v>396</v>
      </c>
      <c r="I85" s="315" t="s">
        <v>397</v>
      </c>
      <c r="J85" s="316" t="s">
        <v>398</v>
      </c>
      <c r="K85" s="317"/>
      <c r="L85" s="315" t="s">
        <v>399</v>
      </c>
      <c r="M85" s="315" t="s">
        <v>400</v>
      </c>
      <c r="N85" s="315" t="s">
        <v>401</v>
      </c>
      <c r="O85" s="318" t="s">
        <v>559</v>
      </c>
      <c r="P85" s="318" t="s">
        <v>403</v>
      </c>
      <c r="Q85" s="318" t="s">
        <v>404</v>
      </c>
      <c r="R85" s="380"/>
      <c r="S85" s="381"/>
      <c r="T85" s="382"/>
      <c r="U85" s="383"/>
      <c r="V85" s="383"/>
      <c r="W85" s="384"/>
      <c r="X85" s="319"/>
      <c r="Y85" s="319"/>
      <c r="Z85" s="319"/>
      <c r="AA85" s="323"/>
      <c r="AB85" s="319"/>
      <c r="AC85" s="319"/>
      <c r="AD85" s="418"/>
      <c r="AE85" s="417"/>
      <c r="AF85" s="417"/>
      <c r="AG85" s="323"/>
      <c r="AH85" s="319"/>
      <c r="AI85" s="319"/>
      <c r="AJ85" s="417"/>
      <c r="AK85" s="417"/>
      <c r="AL85" s="456"/>
      <c r="AM85" s="323"/>
      <c r="AN85" s="319"/>
      <c r="AO85" s="327"/>
      <c r="AP85" s="417"/>
      <c r="AQ85" s="417"/>
      <c r="AR85" s="319" t="s">
        <v>408</v>
      </c>
      <c r="AS85" s="319" t="s">
        <v>409</v>
      </c>
      <c r="AT85" s="319" t="s">
        <v>410</v>
      </c>
      <c r="AU85" s="327" t="s">
        <v>560</v>
      </c>
      <c r="AV85" s="328" t="s">
        <v>393</v>
      </c>
      <c r="AW85" s="328" t="s">
        <v>412</v>
      </c>
      <c r="AX85" s="329" t="s">
        <v>413</v>
      </c>
      <c r="AY85" s="330"/>
      <c r="AZ85" s="328" t="s">
        <v>478</v>
      </c>
      <c r="BA85" s="328" t="s">
        <v>416</v>
      </c>
      <c r="BB85" s="331"/>
      <c r="BE85" s="311"/>
      <c r="BF85" s="312"/>
    </row>
    <row r="86" spans="1:58" s="268" customFormat="1" ht="27" customHeight="1">
      <c r="A86" s="270"/>
      <c r="B86" s="438" t="s">
        <v>417</v>
      </c>
      <c r="C86" s="432"/>
      <c r="D86" s="432"/>
      <c r="E86" s="432"/>
      <c r="F86" s="432"/>
      <c r="G86" s="432"/>
      <c r="H86" s="336" t="s">
        <v>557</v>
      </c>
      <c r="I86" s="337"/>
      <c r="J86" s="338"/>
      <c r="K86" s="339"/>
      <c r="L86" s="340">
        <f>MIN(L87:L90)</f>
        <v>46422</v>
      </c>
      <c r="M86" s="340">
        <f>MAX(M87:M90)</f>
        <v>46584</v>
      </c>
      <c r="N86" s="337">
        <f>M86-L86+1</f>
        <v>163</v>
      </c>
      <c r="O86" s="341"/>
      <c r="P86" s="341"/>
      <c r="Q86" s="341"/>
      <c r="R86" s="380"/>
      <c r="S86" s="381"/>
      <c r="T86" s="382"/>
      <c r="U86" s="383"/>
      <c r="V86" s="383"/>
      <c r="W86" s="384"/>
      <c r="X86" s="457"/>
      <c r="Y86" s="457"/>
      <c r="Z86" s="458"/>
      <c r="AA86" s="459"/>
      <c r="AB86" s="457"/>
      <c r="AC86" s="458"/>
      <c r="AD86" s="460"/>
      <c r="AE86" s="461"/>
      <c r="AF86" s="461"/>
      <c r="AG86" s="459"/>
      <c r="AH86" s="457"/>
      <c r="AI86" s="458"/>
      <c r="AJ86" s="461"/>
      <c r="AK86" s="461"/>
      <c r="AL86" s="462"/>
      <c r="AM86" s="459"/>
      <c r="AN86" s="457"/>
      <c r="AO86" s="463"/>
      <c r="AP86" s="461"/>
      <c r="AQ86" s="461"/>
      <c r="AR86" s="337"/>
      <c r="AS86" s="340">
        <f>MIN(AS87:AS90)</f>
        <v>46419</v>
      </c>
      <c r="AT86" s="340">
        <f>MIN(AT87:AT90)</f>
        <v>46359</v>
      </c>
      <c r="AU86" s="352">
        <f>MIN(AU87:AU90)</f>
        <v>46344</v>
      </c>
      <c r="AV86" s="353">
        <f>MIN(AV87:AV90)</f>
        <v>46418</v>
      </c>
      <c r="AW86" s="353">
        <f>MIN(AW87:AW91)</f>
        <v>46408</v>
      </c>
      <c r="AX86" s="354"/>
      <c r="AY86" s="464"/>
      <c r="AZ86" s="355"/>
      <c r="BA86" s="355"/>
      <c r="BB86" s="356"/>
      <c r="BE86" s="311"/>
      <c r="BF86" s="312"/>
    </row>
    <row r="87" spans="1:58">
      <c r="B87" s="357" t="s">
        <v>561</v>
      </c>
      <c r="C87" s="357" t="s">
        <v>562</v>
      </c>
      <c r="D87" s="357" t="s">
        <v>563</v>
      </c>
      <c r="E87" s="357" t="s">
        <v>387</v>
      </c>
      <c r="F87" s="357" t="s">
        <v>422</v>
      </c>
      <c r="G87" s="357" t="str">
        <f>F87&amp;E87&amp;D87</f>
        <v>01JCANPILE-01</v>
      </c>
      <c r="H87" s="358">
        <v>1</v>
      </c>
      <c r="I87" s="271" t="s">
        <v>564</v>
      </c>
      <c r="J87" s="359"/>
      <c r="K87" s="360"/>
      <c r="L87" s="361">
        <f>SUMIFS('[36]frm P6'!$J:$J,'[36]frm P6'!D:D,[36]Schedule!B87,'[36]frm P6'!E:E,[36]Schedule!C87,'[36]frm P6'!F:F,[36]Schedule!D87,'[36]frm P6'!G:G,[36]Schedule!E87,'[36]frm P6'!H:H,[36]Schedule!F87)</f>
        <v>46422</v>
      </c>
      <c r="M87" s="361">
        <f>SUMIFS('[36]frm P6'!$K:$K,'[36]frm P6'!D:D,[36]Schedule!B87,'[36]frm P6'!E:E,[36]Schedule!C87,'[36]frm P6'!F:F,[36]Schedule!D87,'[36]frm P6'!G:G,[36]Schedule!E87,'[36]frm P6'!H:H,[36]Schedule!F87)</f>
        <v>46484</v>
      </c>
      <c r="N87" s="362">
        <f>M87-L87+1</f>
        <v>63</v>
      </c>
      <c r="O87" s="273">
        <v>192</v>
      </c>
      <c r="P87" s="465">
        <v>3976.39</v>
      </c>
      <c r="Q87" s="465" t="s">
        <v>565</v>
      </c>
      <c r="R87" s="466"/>
      <c r="S87" s="467"/>
      <c r="T87" s="468"/>
      <c r="U87" s="469"/>
      <c r="V87" s="469"/>
      <c r="W87" s="470"/>
      <c r="X87" s="368" t="s">
        <v>424</v>
      </c>
      <c r="Y87" s="368" t="s">
        <v>424</v>
      </c>
      <c r="Z87" s="369" t="s">
        <v>424</v>
      </c>
      <c r="AA87" s="420" t="s">
        <v>424</v>
      </c>
      <c r="AB87" s="368" t="s">
        <v>424</v>
      </c>
      <c r="AC87" s="362" t="s">
        <v>424</v>
      </c>
      <c r="AG87" s="420" t="s">
        <v>424</v>
      </c>
      <c r="AH87" s="368" t="s">
        <v>424</v>
      </c>
      <c r="AI87" s="362" t="s">
        <v>424</v>
      </c>
      <c r="AL87" s="371"/>
      <c r="AM87" s="420" t="s">
        <v>424</v>
      </c>
      <c r="AN87" s="368" t="s">
        <v>424</v>
      </c>
      <c r="AO87" s="373" t="s">
        <v>424</v>
      </c>
      <c r="AR87" s="372">
        <v>64</v>
      </c>
      <c r="AS87" s="368">
        <f>L87-$AS$35</f>
        <v>46419</v>
      </c>
      <c r="AT87" s="368">
        <f t="shared" ref="AT87:AT94" si="62">AS87-$AT$35</f>
        <v>46359</v>
      </c>
      <c r="AU87" s="377">
        <f t="shared" ref="AU87:AU94" si="63">AT87-$AU$35</f>
        <v>46344</v>
      </c>
      <c r="AV87" s="368">
        <f>L87-$AV$3</f>
        <v>46418</v>
      </c>
      <c r="AW87" s="368">
        <f>AV87-$AW$3</f>
        <v>46408</v>
      </c>
      <c r="AX87" s="378">
        <f>AW87-AY87</f>
        <v>108</v>
      </c>
      <c r="AY87" s="368">
        <v>46300</v>
      </c>
      <c r="AZ87" s="362" t="s">
        <v>566</v>
      </c>
      <c r="BA87" s="375" t="s">
        <v>567</v>
      </c>
      <c r="BB87" s="376"/>
    </row>
    <row r="88" spans="1:58">
      <c r="B88" s="357" t="s">
        <v>561</v>
      </c>
      <c r="C88" s="357" t="s">
        <v>562</v>
      </c>
      <c r="D88" s="357" t="s">
        <v>563</v>
      </c>
      <c r="E88" s="357" t="s">
        <v>385</v>
      </c>
      <c r="F88" s="357" t="s">
        <v>422</v>
      </c>
      <c r="G88" s="357" t="str">
        <f>F88&amp;E88&amp;D88</f>
        <v>01JFAB/SPLPILE-01</v>
      </c>
      <c r="H88" s="358">
        <v>2</v>
      </c>
      <c r="I88" s="271" t="s">
        <v>568</v>
      </c>
      <c r="J88" s="359">
        <v>1088.7925</v>
      </c>
      <c r="K88" s="360"/>
      <c r="L88" s="361">
        <f>SUMIFS('[36]frm P6'!$J:$J,'[36]frm P6'!D:D,[36]Schedule!B88,'[36]frm P6'!E:E,[36]Schedule!C88,'[36]frm P6'!F:F,[36]Schedule!D88,'[36]frm P6'!G:G,[36]Schedule!E88,'[36]frm P6'!H:H,[36]Schedule!F88)</f>
        <v>46472</v>
      </c>
      <c r="M88" s="361">
        <f>SUMIFS('[36]frm P6'!$K:$K,'[36]frm P6'!D:D,[36]Schedule!B88,'[36]frm P6'!E:E,[36]Schedule!C88,'[36]frm P6'!F:F,[36]Schedule!D88,'[36]frm P6'!G:G,[36]Schedule!E88,'[36]frm P6'!H:H,[36]Schedule!F88)</f>
        <v>46567</v>
      </c>
      <c r="N88" s="362">
        <f>M88-L88+1</f>
        <v>96</v>
      </c>
      <c r="O88" s="273">
        <v>176</v>
      </c>
      <c r="P88" s="465">
        <v>19209.3</v>
      </c>
      <c r="Q88" s="465" t="s">
        <v>565</v>
      </c>
      <c r="R88" s="466"/>
      <c r="S88" s="467"/>
      <c r="T88" s="468"/>
      <c r="U88" s="469"/>
      <c r="V88" s="469"/>
      <c r="W88" s="470"/>
      <c r="X88" s="368" t="s">
        <v>424</v>
      </c>
      <c r="Y88" s="368" t="s">
        <v>424</v>
      </c>
      <c r="Z88" s="369" t="s">
        <v>424</v>
      </c>
      <c r="AA88" s="420" t="s">
        <v>424</v>
      </c>
      <c r="AB88" s="368" t="s">
        <v>424</v>
      </c>
      <c r="AC88" s="362" t="s">
        <v>424</v>
      </c>
      <c r="AG88" s="420" t="s">
        <v>424</v>
      </c>
      <c r="AH88" s="368" t="s">
        <v>424</v>
      </c>
      <c r="AI88" s="362" t="s">
        <v>424</v>
      </c>
      <c r="AL88" s="371"/>
      <c r="AM88" s="420" t="s">
        <v>424</v>
      </c>
      <c r="AN88" s="368" t="s">
        <v>424</v>
      </c>
      <c r="AO88" s="373" t="s">
        <v>424</v>
      </c>
      <c r="AR88" s="372"/>
      <c r="AS88" s="368"/>
      <c r="AT88" s="368"/>
      <c r="AU88" s="377"/>
      <c r="AV88" s="368"/>
      <c r="AW88" s="368"/>
      <c r="AX88" s="378"/>
      <c r="AY88" s="368"/>
      <c r="AZ88" s="362"/>
      <c r="BA88" s="375"/>
      <c r="BB88" s="376"/>
    </row>
    <row r="89" spans="1:58">
      <c r="B89" s="357" t="s">
        <v>561</v>
      </c>
      <c r="C89" s="357" t="s">
        <v>562</v>
      </c>
      <c r="D89" s="357" t="s">
        <v>563</v>
      </c>
      <c r="E89" s="357" t="s">
        <v>381</v>
      </c>
      <c r="F89" s="357" t="s">
        <v>422</v>
      </c>
      <c r="G89" s="357" t="str">
        <f>F89&amp;E89&amp;D89</f>
        <v>01JCOATPILE-01</v>
      </c>
      <c r="H89" s="358">
        <v>3</v>
      </c>
      <c r="I89" s="271" t="s">
        <v>569</v>
      </c>
      <c r="J89" s="359">
        <v>1088.7925</v>
      </c>
      <c r="K89" s="360"/>
      <c r="L89" s="361">
        <f>SUMIFS('[36]frm P6'!$J:$J,'[36]frm P6'!D:D,[36]Schedule!B89,'[36]frm P6'!E:E,[36]Schedule!C89,'[36]frm P6'!F:F,[36]Schedule!D89,'[36]frm P6'!G:G,[36]Schedule!E89,'[36]frm P6'!H:H,[36]Schedule!F89)</f>
        <v>46555</v>
      </c>
      <c r="M89" s="361">
        <f>SUMIFS('[36]frm P6'!$K:$K,'[36]frm P6'!D:D,[36]Schedule!B89,'[36]frm P6'!E:E,[36]Schedule!C89,'[36]frm P6'!F:F,[36]Schedule!D89,'[36]frm P6'!G:G,[36]Schedule!E89,'[36]frm P6'!H:H,[36]Schedule!F89)</f>
        <v>46584</v>
      </c>
      <c r="N89" s="362">
        <f>M89-L89+1</f>
        <v>30</v>
      </c>
      <c r="O89" s="273">
        <v>16</v>
      </c>
      <c r="P89" s="465"/>
      <c r="Q89" s="465"/>
      <c r="R89" s="466"/>
      <c r="S89" s="467"/>
      <c r="T89" s="468"/>
      <c r="U89" s="469"/>
      <c r="V89" s="469"/>
      <c r="W89" s="470"/>
      <c r="X89" s="368" t="s">
        <v>424</v>
      </c>
      <c r="Y89" s="368" t="s">
        <v>424</v>
      </c>
      <c r="Z89" s="369" t="s">
        <v>424</v>
      </c>
      <c r="AA89" s="420" t="s">
        <v>424</v>
      </c>
      <c r="AB89" s="368" t="s">
        <v>424</v>
      </c>
      <c r="AC89" s="362" t="s">
        <v>424</v>
      </c>
      <c r="AG89" s="420" t="s">
        <v>424</v>
      </c>
      <c r="AH89" s="368" t="s">
        <v>424</v>
      </c>
      <c r="AI89" s="362" t="s">
        <v>424</v>
      </c>
      <c r="AL89" s="371"/>
      <c r="AM89" s="420" t="s">
        <v>424</v>
      </c>
      <c r="AN89" s="368" t="s">
        <v>424</v>
      </c>
      <c r="AO89" s="373" t="s">
        <v>424</v>
      </c>
      <c r="AR89" s="372">
        <v>64</v>
      </c>
      <c r="AS89" s="368">
        <f>L89-$AS$35</f>
        <v>46552</v>
      </c>
      <c r="AT89" s="368">
        <f t="shared" si="62"/>
        <v>46492</v>
      </c>
      <c r="AU89" s="377">
        <f t="shared" si="63"/>
        <v>46477</v>
      </c>
      <c r="AV89" s="368">
        <f>L89-$AV$3</f>
        <v>46551</v>
      </c>
      <c r="AW89" s="368">
        <f t="shared" ref="AW89:AW94" si="64">AV89-$AW$3</f>
        <v>46541</v>
      </c>
      <c r="AX89" s="378">
        <f>AW89-AY89</f>
        <v>241</v>
      </c>
      <c r="AY89" s="368">
        <v>46300</v>
      </c>
      <c r="AZ89" s="362" t="s">
        <v>570</v>
      </c>
      <c r="BA89" s="375" t="s">
        <v>571</v>
      </c>
      <c r="BB89" s="376"/>
    </row>
    <row r="90" spans="1:58">
      <c r="B90" s="357" t="s">
        <v>561</v>
      </c>
      <c r="C90" s="357" t="s">
        <v>562</v>
      </c>
      <c r="D90" s="357" t="s">
        <v>563</v>
      </c>
      <c r="E90" s="357" t="s">
        <v>562</v>
      </c>
      <c r="F90" s="357" t="s">
        <v>422</v>
      </c>
      <c r="G90" s="357"/>
      <c r="H90" s="358">
        <v>4</v>
      </c>
      <c r="I90" s="271" t="s">
        <v>572</v>
      </c>
      <c r="J90" s="359">
        <v>1088.7925</v>
      </c>
      <c r="K90" s="360"/>
      <c r="L90" s="368"/>
      <c r="M90" s="368" t="str">
        <f>'[36]frm P6'!K3966</f>
        <v>16-Jul-27*</v>
      </c>
      <c r="N90" s="362"/>
      <c r="O90" s="273">
        <v>16</v>
      </c>
      <c r="P90" s="465"/>
      <c r="Q90" s="465"/>
      <c r="R90" s="466"/>
      <c r="S90" s="467"/>
      <c r="T90" s="468"/>
      <c r="U90" s="469"/>
      <c r="V90" s="469"/>
      <c r="W90" s="470"/>
      <c r="X90" s="368" t="s">
        <v>424</v>
      </c>
      <c r="Y90" s="368" t="s">
        <v>424</v>
      </c>
      <c r="Z90" s="369" t="s">
        <v>424</v>
      </c>
      <c r="AA90" s="420" t="s">
        <v>424</v>
      </c>
      <c r="AB90" s="368" t="s">
        <v>424</v>
      </c>
      <c r="AC90" s="362" t="s">
        <v>424</v>
      </c>
      <c r="AG90" s="420" t="s">
        <v>424</v>
      </c>
      <c r="AH90" s="368" t="s">
        <v>424</v>
      </c>
      <c r="AI90" s="362" t="s">
        <v>424</v>
      </c>
      <c r="AL90" s="371"/>
      <c r="AM90" s="420" t="s">
        <v>424</v>
      </c>
      <c r="AN90" s="368" t="s">
        <v>424</v>
      </c>
      <c r="AO90" s="373" t="s">
        <v>424</v>
      </c>
      <c r="AR90" s="372"/>
      <c r="AS90" s="368"/>
      <c r="AT90" s="368"/>
      <c r="AU90" s="377"/>
      <c r="AV90" s="368"/>
      <c r="AW90" s="368"/>
      <c r="AX90" s="378"/>
      <c r="AY90" s="368"/>
      <c r="AZ90" s="362"/>
      <c r="BA90" s="375"/>
      <c r="BB90" s="376"/>
    </row>
    <row r="91" spans="1:58" s="268" customFormat="1" ht="21">
      <c r="A91" s="270"/>
      <c r="B91" s="438" t="s">
        <v>462</v>
      </c>
      <c r="C91" s="432"/>
      <c r="D91" s="432"/>
      <c r="E91" s="432"/>
      <c r="F91" s="432"/>
      <c r="G91" s="432"/>
      <c r="H91" s="336" t="s">
        <v>557</v>
      </c>
      <c r="I91" s="337"/>
      <c r="J91" s="338"/>
      <c r="K91" s="339"/>
      <c r="L91" s="340">
        <f>MIN(L92:L95)</f>
        <v>46472</v>
      </c>
      <c r="M91" s="340">
        <f>MAX(M92:M95)</f>
        <v>46634</v>
      </c>
      <c r="N91" s="337">
        <f>M91-L91+1</f>
        <v>163</v>
      </c>
      <c r="O91" s="341"/>
      <c r="P91" s="471"/>
      <c r="Q91" s="471"/>
      <c r="R91" s="472"/>
      <c r="S91" s="473"/>
      <c r="T91" s="474"/>
      <c r="U91" s="475"/>
      <c r="V91" s="475"/>
      <c r="W91" s="476"/>
      <c r="X91" s="457"/>
      <c r="Y91" s="457"/>
      <c r="Z91" s="458"/>
      <c r="AA91" s="459"/>
      <c r="AB91" s="457"/>
      <c r="AC91" s="458"/>
      <c r="AD91" s="460"/>
      <c r="AE91" s="461"/>
      <c r="AF91" s="461"/>
      <c r="AG91" s="459"/>
      <c r="AH91" s="457"/>
      <c r="AI91" s="458"/>
      <c r="AJ91" s="461"/>
      <c r="AK91" s="461"/>
      <c r="AL91" s="462"/>
      <c r="AM91" s="459"/>
      <c r="AN91" s="457"/>
      <c r="AO91" s="463"/>
      <c r="AP91" s="461"/>
      <c r="AQ91" s="461"/>
      <c r="AR91" s="477"/>
      <c r="AS91" s="340">
        <f>MIN(AS92:AS95)</f>
        <v>46469</v>
      </c>
      <c r="AT91" s="340">
        <f>MIN(AT92:AT95)</f>
        <v>46409</v>
      </c>
      <c r="AU91" s="352">
        <f>MIN(AU92:AU95)</f>
        <v>46394</v>
      </c>
      <c r="AV91" s="353">
        <f>MIN(AV92:AV95)</f>
        <v>46468</v>
      </c>
      <c r="AW91" s="353">
        <f>MIN(AW92:AW96)</f>
        <v>46458</v>
      </c>
      <c r="AX91" s="478"/>
      <c r="AY91" s="457"/>
      <c r="AZ91" s="458"/>
      <c r="BA91" s="479"/>
      <c r="BB91" s="480"/>
      <c r="BE91" s="311"/>
      <c r="BF91" s="312"/>
    </row>
    <row r="92" spans="1:58">
      <c r="B92" s="357" t="s">
        <v>561</v>
      </c>
      <c r="C92" s="357" t="s">
        <v>562</v>
      </c>
      <c r="D92" s="357" t="s">
        <v>563</v>
      </c>
      <c r="E92" s="357" t="s">
        <v>387</v>
      </c>
      <c r="F92" s="357" t="s">
        <v>464</v>
      </c>
      <c r="G92" s="357"/>
      <c r="H92" s="358">
        <v>1</v>
      </c>
      <c r="I92" s="271" t="s">
        <v>564</v>
      </c>
      <c r="J92" s="359"/>
      <c r="K92" s="360"/>
      <c r="L92" s="361">
        <f>SUMIFS('[36]frm P6'!$J:$J,'[36]frm P6'!D:D,[36]Schedule!B92,'[36]frm P6'!E:E,[36]Schedule!C92,'[36]frm P6'!F:F,[36]Schedule!D92,'[36]frm P6'!G:G,[36]Schedule!E92,'[36]frm P6'!H:H,[36]Schedule!F92)</f>
        <v>46472</v>
      </c>
      <c r="M92" s="361">
        <f>SUMIFS('[36]frm P6'!$K:$K,'[36]frm P6'!D:D,[36]Schedule!B92,'[36]frm P6'!E:E,[36]Schedule!C92,'[36]frm P6'!F:F,[36]Schedule!D92,'[36]frm P6'!G:G,[36]Schedule!E92,'[36]frm P6'!H:H,[36]Schedule!F92)</f>
        <v>46526</v>
      </c>
      <c r="N92" s="362">
        <f>M92-L92+1</f>
        <v>55</v>
      </c>
      <c r="O92" s="273">
        <v>192</v>
      </c>
      <c r="P92" s="465">
        <v>3976.39</v>
      </c>
      <c r="Q92" s="465" t="s">
        <v>565</v>
      </c>
      <c r="R92" s="466"/>
      <c r="S92" s="467"/>
      <c r="T92" s="468"/>
      <c r="U92" s="469"/>
      <c r="V92" s="469"/>
      <c r="W92" s="470"/>
      <c r="X92" s="368" t="s">
        <v>424</v>
      </c>
      <c r="Y92" s="368" t="s">
        <v>424</v>
      </c>
      <c r="Z92" s="369" t="s">
        <v>424</v>
      </c>
      <c r="AA92" s="420" t="s">
        <v>424</v>
      </c>
      <c r="AB92" s="368" t="s">
        <v>424</v>
      </c>
      <c r="AC92" s="362" t="s">
        <v>424</v>
      </c>
      <c r="AG92" s="420" t="s">
        <v>424</v>
      </c>
      <c r="AH92" s="368" t="s">
        <v>424</v>
      </c>
      <c r="AI92" s="362" t="s">
        <v>424</v>
      </c>
      <c r="AL92" s="371"/>
      <c r="AM92" s="420" t="s">
        <v>424</v>
      </c>
      <c r="AN92" s="368" t="s">
        <v>424</v>
      </c>
      <c r="AO92" s="373" t="s">
        <v>424</v>
      </c>
      <c r="AR92" s="372">
        <v>64</v>
      </c>
      <c r="AS92" s="368">
        <f>L92-$AS$35</f>
        <v>46469</v>
      </c>
      <c r="AT92" s="368">
        <f t="shared" si="62"/>
        <v>46409</v>
      </c>
      <c r="AU92" s="377">
        <f t="shared" si="63"/>
        <v>46394</v>
      </c>
      <c r="AV92" s="368">
        <f>L92-$AV$3</f>
        <v>46468</v>
      </c>
      <c r="AW92" s="368">
        <f t="shared" si="64"/>
        <v>46458</v>
      </c>
      <c r="AX92" s="378">
        <f>AW92-AY92</f>
        <v>158</v>
      </c>
      <c r="AY92" s="368">
        <v>46300</v>
      </c>
      <c r="AZ92" s="362" t="s">
        <v>573</v>
      </c>
      <c r="BA92" s="375" t="s">
        <v>567</v>
      </c>
      <c r="BB92" s="376"/>
    </row>
    <row r="93" spans="1:58">
      <c r="B93" s="357" t="s">
        <v>561</v>
      </c>
      <c r="C93" s="357" t="s">
        <v>562</v>
      </c>
      <c r="D93" s="357" t="s">
        <v>563</v>
      </c>
      <c r="E93" s="357" t="s">
        <v>385</v>
      </c>
      <c r="F93" s="357" t="s">
        <v>464</v>
      </c>
      <c r="G93" s="357"/>
      <c r="H93" s="358">
        <v>2</v>
      </c>
      <c r="I93" s="271" t="s">
        <v>568</v>
      </c>
      <c r="J93" s="359"/>
      <c r="K93" s="360"/>
      <c r="L93" s="361">
        <f>SUMIFS('[36]frm P6'!$J:$J,'[36]frm P6'!D:D,[36]Schedule!B93,'[36]frm P6'!E:E,[36]Schedule!C93,'[36]frm P6'!F:F,[36]Schedule!D93,'[36]frm P6'!G:G,[36]Schedule!E93,'[36]frm P6'!H:H,[36]Schedule!F93)</f>
        <v>46517</v>
      </c>
      <c r="M93" s="361">
        <f>SUMIFS('[36]frm P6'!$K:$K,'[36]frm P6'!D:D,[36]Schedule!B93,'[36]frm P6'!E:E,[36]Schedule!C93,'[36]frm P6'!F:F,[36]Schedule!D93,'[36]frm P6'!G:G,[36]Schedule!E93,'[36]frm P6'!H:H,[36]Schedule!F93)</f>
        <v>46611</v>
      </c>
      <c r="N93" s="362">
        <f>M93-L93+1</f>
        <v>95</v>
      </c>
      <c r="O93" s="273">
        <v>176</v>
      </c>
      <c r="P93" s="465">
        <v>19209.3</v>
      </c>
      <c r="Q93" s="465" t="s">
        <v>565</v>
      </c>
      <c r="R93" s="466"/>
      <c r="S93" s="467"/>
      <c r="T93" s="468"/>
      <c r="U93" s="469"/>
      <c r="V93" s="469"/>
      <c r="W93" s="470"/>
      <c r="X93" s="368" t="s">
        <v>424</v>
      </c>
      <c r="Y93" s="368" t="s">
        <v>424</v>
      </c>
      <c r="Z93" s="369" t="s">
        <v>424</v>
      </c>
      <c r="AA93" s="420" t="s">
        <v>424</v>
      </c>
      <c r="AB93" s="368" t="s">
        <v>424</v>
      </c>
      <c r="AC93" s="362" t="s">
        <v>424</v>
      </c>
      <c r="AG93" s="420" t="s">
        <v>424</v>
      </c>
      <c r="AH93" s="368" t="s">
        <v>424</v>
      </c>
      <c r="AI93" s="362" t="s">
        <v>424</v>
      </c>
      <c r="AL93" s="371"/>
      <c r="AM93" s="420" t="s">
        <v>424</v>
      </c>
      <c r="AN93" s="368" t="s">
        <v>424</v>
      </c>
      <c r="AO93" s="373" t="s">
        <v>424</v>
      </c>
      <c r="AR93" s="372"/>
      <c r="AS93" s="368"/>
      <c r="AT93" s="368"/>
      <c r="AU93" s="377"/>
      <c r="AV93" s="368"/>
      <c r="AW93" s="368"/>
      <c r="AX93" s="378"/>
      <c r="AY93" s="368"/>
      <c r="AZ93" s="362"/>
      <c r="BA93" s="375"/>
      <c r="BB93" s="376"/>
    </row>
    <row r="94" spans="1:58">
      <c r="B94" s="357" t="s">
        <v>561</v>
      </c>
      <c r="C94" s="357" t="s">
        <v>562</v>
      </c>
      <c r="D94" s="357" t="s">
        <v>563</v>
      </c>
      <c r="E94" s="357" t="s">
        <v>381</v>
      </c>
      <c r="F94" s="357" t="s">
        <v>464</v>
      </c>
      <c r="G94" s="357"/>
      <c r="H94" s="358">
        <v>3</v>
      </c>
      <c r="I94" s="271" t="s">
        <v>569</v>
      </c>
      <c r="J94" s="359"/>
      <c r="K94" s="360"/>
      <c r="L94" s="361">
        <f>SUMIFS('[36]frm P6'!$J:$J,'[36]frm P6'!D:D,[36]Schedule!B94,'[36]frm P6'!E:E,[36]Schedule!C94,'[36]frm P6'!F:F,[36]Schedule!D94,'[36]frm P6'!G:G,[36]Schedule!E94,'[36]frm P6'!H:H,[36]Schedule!F94)</f>
        <v>46605</v>
      </c>
      <c r="M94" s="361">
        <f>SUMIFS('[36]frm P6'!$K:$K,'[36]frm P6'!D:D,[36]Schedule!B94,'[36]frm P6'!E:E,[36]Schedule!C94,'[36]frm P6'!F:F,[36]Schedule!D94,'[36]frm P6'!G:G,[36]Schedule!E94,'[36]frm P6'!H:H,[36]Schedule!F94)</f>
        <v>46634</v>
      </c>
      <c r="N94" s="362">
        <f>M94-L94+1</f>
        <v>30</v>
      </c>
      <c r="O94" s="273">
        <v>16</v>
      </c>
      <c r="R94" s="363"/>
      <c r="S94" s="364"/>
      <c r="T94" s="365"/>
      <c r="U94" s="366"/>
      <c r="V94" s="366"/>
      <c r="W94" s="367"/>
      <c r="X94" s="368" t="s">
        <v>424</v>
      </c>
      <c r="Y94" s="368" t="s">
        <v>424</v>
      </c>
      <c r="Z94" s="369" t="s">
        <v>424</v>
      </c>
      <c r="AA94" s="420" t="s">
        <v>424</v>
      </c>
      <c r="AB94" s="368" t="s">
        <v>424</v>
      </c>
      <c r="AC94" s="362" t="s">
        <v>424</v>
      </c>
      <c r="AG94" s="420" t="s">
        <v>424</v>
      </c>
      <c r="AH94" s="368" t="s">
        <v>424</v>
      </c>
      <c r="AI94" s="362" t="s">
        <v>424</v>
      </c>
      <c r="AL94" s="371"/>
      <c r="AM94" s="420" t="s">
        <v>424</v>
      </c>
      <c r="AN94" s="368" t="s">
        <v>424</v>
      </c>
      <c r="AO94" s="373" t="s">
        <v>424</v>
      </c>
      <c r="AR94" s="372">
        <v>64</v>
      </c>
      <c r="AS94" s="368">
        <f>L94-$AS$35</f>
        <v>46602</v>
      </c>
      <c r="AT94" s="368">
        <f t="shared" si="62"/>
        <v>46542</v>
      </c>
      <c r="AU94" s="377">
        <f t="shared" si="63"/>
        <v>46527</v>
      </c>
      <c r="AV94" s="368">
        <f>L94-$AV$3</f>
        <v>46601</v>
      </c>
      <c r="AW94" s="368">
        <f t="shared" si="64"/>
        <v>46591</v>
      </c>
      <c r="AX94" s="378">
        <f>AW94-AY94</f>
        <v>291</v>
      </c>
      <c r="AY94" s="368">
        <v>46300</v>
      </c>
      <c r="AZ94" s="362" t="s">
        <v>574</v>
      </c>
      <c r="BA94" s="375" t="s">
        <v>571</v>
      </c>
      <c r="BB94" s="376"/>
    </row>
    <row r="95" spans="1:58">
      <c r="B95" s="357" t="s">
        <v>561</v>
      </c>
      <c r="C95" s="357" t="s">
        <v>562</v>
      </c>
      <c r="D95" s="357" t="s">
        <v>563</v>
      </c>
      <c r="E95" s="357" t="s">
        <v>562</v>
      </c>
      <c r="F95" s="357" t="s">
        <v>464</v>
      </c>
      <c r="G95" s="357"/>
      <c r="H95" s="358">
        <v>4</v>
      </c>
      <c r="I95" s="271" t="s">
        <v>572</v>
      </c>
      <c r="J95" s="359"/>
      <c r="K95" s="360"/>
      <c r="L95" s="368"/>
      <c r="M95" s="368" t="str">
        <f>'[36]frm P6'!K4078</f>
        <v>04-Sep-27*</v>
      </c>
      <c r="N95" s="362"/>
      <c r="O95" s="273">
        <v>16</v>
      </c>
      <c r="R95" s="363"/>
      <c r="S95" s="364"/>
      <c r="T95" s="365"/>
      <c r="U95" s="366"/>
      <c r="V95" s="366"/>
      <c r="W95" s="367"/>
      <c r="X95" s="368" t="s">
        <v>424</v>
      </c>
      <c r="Y95" s="368" t="s">
        <v>424</v>
      </c>
      <c r="Z95" s="369" t="s">
        <v>424</v>
      </c>
      <c r="AA95" s="420" t="s">
        <v>424</v>
      </c>
      <c r="AB95" s="368" t="s">
        <v>424</v>
      </c>
      <c r="AC95" s="362" t="s">
        <v>424</v>
      </c>
      <c r="AG95" s="420" t="s">
        <v>424</v>
      </c>
      <c r="AH95" s="368" t="s">
        <v>424</v>
      </c>
      <c r="AI95" s="362" t="s">
        <v>424</v>
      </c>
      <c r="AL95" s="371"/>
      <c r="AM95" s="420" t="s">
        <v>424</v>
      </c>
      <c r="AN95" s="368" t="s">
        <v>424</v>
      </c>
      <c r="AO95" s="373" t="s">
        <v>424</v>
      </c>
      <c r="AR95" s="372"/>
      <c r="AS95" s="368"/>
      <c r="AT95" s="368"/>
      <c r="AU95" s="377"/>
      <c r="AV95" s="368"/>
      <c r="AW95" s="368"/>
      <c r="AX95" s="378"/>
      <c r="AY95" s="368"/>
      <c r="AZ95" s="362"/>
      <c r="BA95" s="375"/>
      <c r="BB95" s="376"/>
    </row>
    <row r="96" spans="1:58" ht="6.6" customHeight="1">
      <c r="B96" s="357"/>
      <c r="C96" s="357"/>
      <c r="D96" s="357"/>
      <c r="E96" s="357"/>
      <c r="F96" s="357"/>
      <c r="G96" s="357"/>
      <c r="H96" s="387"/>
      <c r="I96" s="388"/>
      <c r="J96" s="389"/>
      <c r="K96" s="390"/>
      <c r="L96" s="391"/>
      <c r="M96" s="391"/>
      <c r="N96" s="392"/>
      <c r="O96" s="393"/>
      <c r="P96" s="393"/>
      <c r="Q96" s="393"/>
      <c r="R96" s="363"/>
      <c r="S96" s="364"/>
      <c r="T96" s="365"/>
      <c r="U96" s="366"/>
      <c r="V96" s="366"/>
      <c r="W96" s="367"/>
      <c r="X96" s="391"/>
      <c r="Y96" s="391"/>
      <c r="Z96" s="392"/>
      <c r="AA96" s="396"/>
      <c r="AB96" s="391"/>
      <c r="AC96" s="394"/>
      <c r="AD96" s="395"/>
      <c r="AE96" s="393"/>
      <c r="AF96" s="393"/>
      <c r="AG96" s="396"/>
      <c r="AH96" s="391"/>
      <c r="AI96" s="392"/>
      <c r="AJ96" s="393"/>
      <c r="AK96" s="393"/>
      <c r="AL96" s="397"/>
      <c r="AM96" s="396"/>
      <c r="AN96" s="391"/>
      <c r="AO96" s="399"/>
      <c r="AP96" s="393"/>
      <c r="AQ96" s="393"/>
      <c r="AR96" s="392"/>
      <c r="AS96" s="391"/>
      <c r="AT96" s="391"/>
      <c r="AU96" s="399"/>
      <c r="AV96" s="391"/>
      <c r="AW96" s="391"/>
      <c r="AX96" s="481"/>
      <c r="AY96" s="482"/>
      <c r="AZ96" s="388"/>
      <c r="BA96" s="483"/>
      <c r="BB96" s="427"/>
    </row>
    <row r="97" spans="1:58" ht="6" customHeight="1">
      <c r="O97" s="393"/>
      <c r="R97" s="363"/>
      <c r="S97" s="364"/>
      <c r="T97" s="365"/>
      <c r="U97" s="366"/>
      <c r="V97" s="366"/>
      <c r="W97" s="367"/>
    </row>
    <row r="98" spans="1:58" ht="27" customHeight="1">
      <c r="B98" s="285" t="s">
        <v>575</v>
      </c>
      <c r="H98" s="286" t="s">
        <v>576</v>
      </c>
      <c r="I98" s="287"/>
      <c r="J98" s="288"/>
      <c r="K98" s="289"/>
      <c r="L98" s="408" t="s">
        <v>375</v>
      </c>
      <c r="M98" s="291" t="s">
        <v>376</v>
      </c>
      <c r="N98" s="292"/>
      <c r="O98" s="293"/>
      <c r="P98" s="293"/>
      <c r="Q98" s="293"/>
      <c r="R98" s="409"/>
      <c r="S98" s="410"/>
      <c r="T98" s="411"/>
      <c r="U98" s="412"/>
      <c r="V98" s="412"/>
      <c r="W98" s="413"/>
      <c r="X98" s="294" t="s">
        <v>381</v>
      </c>
      <c r="Y98" s="295" t="s">
        <v>382</v>
      </c>
      <c r="Z98" s="296"/>
      <c r="AA98" s="455" t="s">
        <v>383</v>
      </c>
      <c r="AB98" s="295" t="s">
        <v>384</v>
      </c>
      <c r="AC98" s="297"/>
      <c r="AD98" s="299"/>
      <c r="AE98" s="293"/>
      <c r="AF98" s="301"/>
      <c r="AG98" s="300" t="s">
        <v>385</v>
      </c>
      <c r="AH98" s="298" t="s">
        <v>475</v>
      </c>
      <c r="AI98" s="297"/>
      <c r="AJ98" s="293"/>
      <c r="AK98" s="293"/>
      <c r="AL98" s="301"/>
      <c r="AM98" s="300" t="s">
        <v>387</v>
      </c>
      <c r="AN98" s="298" t="s">
        <v>388</v>
      </c>
      <c r="AO98" s="297"/>
      <c r="AP98" s="293"/>
      <c r="AQ98" s="293"/>
      <c r="AR98" s="303"/>
      <c r="AS98" s="294">
        <v>3</v>
      </c>
      <c r="AT98" s="484">
        <v>60</v>
      </c>
      <c r="AU98" s="304">
        <v>15</v>
      </c>
      <c r="AV98" s="294">
        <v>4</v>
      </c>
      <c r="AW98" s="294">
        <v>10</v>
      </c>
      <c r="AX98" s="305" t="s">
        <v>389</v>
      </c>
      <c r="AY98" s="306"/>
      <c r="AZ98" s="307"/>
      <c r="BA98" s="308"/>
      <c r="BB98" s="485"/>
    </row>
    <row r="99" spans="1:58" ht="27" customHeight="1">
      <c r="B99" s="313" t="s">
        <v>391</v>
      </c>
      <c r="C99" s="313" t="s">
        <v>392</v>
      </c>
      <c r="D99" s="313" t="s">
        <v>393</v>
      </c>
      <c r="E99" s="313" t="s">
        <v>394</v>
      </c>
      <c r="F99" s="313" t="s">
        <v>395</v>
      </c>
      <c r="G99" s="313"/>
      <c r="H99" s="314" t="s">
        <v>396</v>
      </c>
      <c r="I99" s="315" t="s">
        <v>397</v>
      </c>
      <c r="J99" s="316" t="s">
        <v>398</v>
      </c>
      <c r="K99" s="317"/>
      <c r="L99" s="315" t="s">
        <v>399</v>
      </c>
      <c r="M99" s="315" t="s">
        <v>400</v>
      </c>
      <c r="N99" s="315" t="s">
        <v>401</v>
      </c>
      <c r="O99" s="417"/>
      <c r="P99" s="417"/>
      <c r="Q99" s="417"/>
      <c r="R99" s="380"/>
      <c r="S99" s="381"/>
      <c r="T99" s="382"/>
      <c r="U99" s="383"/>
      <c r="V99" s="383"/>
      <c r="W99" s="384"/>
      <c r="X99" s="319" t="s">
        <v>399</v>
      </c>
      <c r="Y99" s="319" t="s">
        <v>400</v>
      </c>
      <c r="Z99" s="320" t="s">
        <v>401</v>
      </c>
      <c r="AA99" s="323" t="s">
        <v>399</v>
      </c>
      <c r="AB99" s="319" t="s">
        <v>400</v>
      </c>
      <c r="AC99" s="319" t="s">
        <v>401</v>
      </c>
      <c r="AD99" s="321" t="s">
        <v>398</v>
      </c>
      <c r="AE99" s="417"/>
      <c r="AF99" s="456"/>
      <c r="AG99" s="323" t="s">
        <v>399</v>
      </c>
      <c r="AH99" s="319" t="s">
        <v>400</v>
      </c>
      <c r="AI99" s="319" t="s">
        <v>401</v>
      </c>
      <c r="AJ99" s="321" t="s">
        <v>398</v>
      </c>
      <c r="AK99" s="417"/>
      <c r="AL99" s="456"/>
      <c r="AM99" s="323" t="s">
        <v>399</v>
      </c>
      <c r="AN99" s="319" t="s">
        <v>400</v>
      </c>
      <c r="AO99" s="319" t="s">
        <v>401</v>
      </c>
      <c r="AP99" s="322" t="s">
        <v>407</v>
      </c>
      <c r="AQ99" s="318" t="s">
        <v>406</v>
      </c>
      <c r="AR99" s="319" t="s">
        <v>408</v>
      </c>
      <c r="AS99" s="319" t="s">
        <v>409</v>
      </c>
      <c r="AT99" s="319" t="s">
        <v>410</v>
      </c>
      <c r="AU99" s="327" t="s">
        <v>560</v>
      </c>
      <c r="AV99" s="328" t="s">
        <v>393</v>
      </c>
      <c r="AW99" s="328" t="s">
        <v>412</v>
      </c>
      <c r="AX99" s="329" t="s">
        <v>413</v>
      </c>
      <c r="AY99" s="330"/>
      <c r="AZ99" s="328" t="s">
        <v>478</v>
      </c>
      <c r="BA99" s="328" t="s">
        <v>416</v>
      </c>
      <c r="BB99" s="331"/>
    </row>
    <row r="100" spans="1:58" ht="26.45" customHeight="1">
      <c r="B100" s="438" t="s">
        <v>417</v>
      </c>
      <c r="C100" s="432"/>
      <c r="D100" s="432"/>
      <c r="E100" s="432"/>
      <c r="F100" s="432"/>
      <c r="G100" s="432"/>
      <c r="H100" s="336" t="s">
        <v>577</v>
      </c>
      <c r="I100" s="337"/>
      <c r="J100" s="338"/>
      <c r="K100" s="339"/>
      <c r="L100" s="340">
        <f>MIN(L101:L112)</f>
        <v>46400</v>
      </c>
      <c r="M100" s="340">
        <f>MAX(M101:M112)</f>
        <v>46539</v>
      </c>
      <c r="N100" s="337">
        <f>M100-L100+1</f>
        <v>140</v>
      </c>
      <c r="O100" s="341"/>
      <c r="P100" s="341"/>
      <c r="Q100" s="341"/>
      <c r="R100" s="380"/>
      <c r="S100" s="381"/>
      <c r="T100" s="382"/>
      <c r="U100" s="383"/>
      <c r="V100" s="383"/>
      <c r="W100" s="384"/>
      <c r="X100" s="340">
        <f>MIN(X101:X112)</f>
        <v>46356</v>
      </c>
      <c r="Y100" s="340">
        <f>MAX(Y101:Y112)</f>
        <v>46490</v>
      </c>
      <c r="Z100" s="347">
        <f t="shared" ref="Z100:Z102" si="65">Y100-X100+1</f>
        <v>135</v>
      </c>
      <c r="AA100" s="349">
        <f>MIN(AA101:AA112)</f>
        <v>46303</v>
      </c>
      <c r="AB100" s="340">
        <f>MAX(AB101:AB112)</f>
        <v>46447</v>
      </c>
      <c r="AC100" s="337">
        <f t="shared" ref="AC100" si="66">AB100-AA100+1</f>
        <v>145</v>
      </c>
      <c r="AD100" s="348"/>
      <c r="AE100" s="341"/>
      <c r="AF100" s="350"/>
      <c r="AG100" s="349">
        <f>MIN(AG101:AG112)</f>
        <v>46252</v>
      </c>
      <c r="AH100" s="340">
        <f>MAX(AH101:AH112)</f>
        <v>46378</v>
      </c>
      <c r="AI100" s="337">
        <f t="shared" ref="AI100:AI111" si="67">AH100-AG100+1</f>
        <v>127</v>
      </c>
      <c r="AJ100" s="341"/>
      <c r="AK100" s="341"/>
      <c r="AL100" s="350"/>
      <c r="AM100" s="349">
        <f>MIN(AM101:AM112)</f>
        <v>46273</v>
      </c>
      <c r="AN100" s="340">
        <f>MAX(AN101:AN112)</f>
        <v>46298</v>
      </c>
      <c r="AO100" s="337">
        <f t="shared" ref="AO100:AO101" si="68">AN100-AM100+1</f>
        <v>26</v>
      </c>
      <c r="AP100" s="341"/>
      <c r="AQ100" s="341"/>
      <c r="AR100" s="351"/>
      <c r="AS100" s="340">
        <f>MIN(AS101:AS112)</f>
        <v>46249</v>
      </c>
      <c r="AT100" s="340">
        <f>MIN(AT101:AT112)</f>
        <v>46189</v>
      </c>
      <c r="AU100" s="352">
        <f>MIN(AU101:AU112)</f>
        <v>46174</v>
      </c>
      <c r="AV100" s="353">
        <f>MIN(AV101:AV112)</f>
        <v>46248</v>
      </c>
      <c r="AW100" s="353">
        <f>MIN(AW101:AW112)</f>
        <v>46238</v>
      </c>
      <c r="AX100" s="486"/>
      <c r="AY100" s="340"/>
      <c r="AZ100" s="337"/>
      <c r="BA100" s="337"/>
      <c r="BB100" s="439"/>
      <c r="BC100" s="268"/>
      <c r="BD100" s="268"/>
      <c r="BE100" s="311"/>
      <c r="BF100" s="312"/>
    </row>
    <row r="101" spans="1:58" s="269" customFormat="1" ht="20" customHeight="1">
      <c r="A101" s="270"/>
      <c r="B101" s="357" t="s">
        <v>578</v>
      </c>
      <c r="C101" s="357" t="s">
        <v>579</v>
      </c>
      <c r="D101" s="357" t="s">
        <v>580</v>
      </c>
      <c r="E101" s="357"/>
      <c r="F101" s="357" t="s">
        <v>581</v>
      </c>
      <c r="G101" s="357" t="str">
        <f>F101&amp;C101</f>
        <v>01TCLOMN</v>
      </c>
      <c r="H101" s="358">
        <v>1</v>
      </c>
      <c r="I101" s="271" t="s">
        <v>582</v>
      </c>
      <c r="J101" s="359">
        <v>59.478000000000002</v>
      </c>
      <c r="K101" s="360">
        <f>L101-Y101</f>
        <v>28</v>
      </c>
      <c r="L101" s="361">
        <f>SUMIFS('[36]frm P6'!$J:$J,'[36]frm P6'!D:D,[36]Schedule!B101,'[36]frm P6'!E:E,[36]Schedule!C101,'[36]frm P6'!F:F,[36]Schedule!D101,'[36]frm P6'!G:G,[36]Schedule!$K$98,'[36]frm P6'!H:H,[36]Schedule!F101)</f>
        <v>46400</v>
      </c>
      <c r="M101" s="361">
        <f>SUMIFS('[36]frm P6'!$K:$K,'[36]frm P6'!D:D,[36]Schedule!B101,'[36]frm P6'!E:E,[36]Schedule!C101,'[36]frm P6'!F:F,[36]Schedule!D101,'[36]frm P6'!G:G,[36]Schedule!$K$98,'[36]frm P6'!H:H,[36]Schedule!F101)</f>
        <v>46405</v>
      </c>
      <c r="N101" s="362">
        <f>M101-L101+1</f>
        <v>6</v>
      </c>
      <c r="O101" s="273"/>
      <c r="P101" s="273"/>
      <c r="Q101" s="273"/>
      <c r="R101" s="363"/>
      <c r="S101" s="364"/>
      <c r="T101" s="365"/>
      <c r="U101" s="366"/>
      <c r="V101" s="366"/>
      <c r="W101" s="367"/>
      <c r="X101" s="361">
        <f>SUMIFS('[36]frm P6'!$J:$J,'[36]frm P6'!D:D,[36]Schedule!B101,'[36]frm P6'!E:E,[36]Schedule!C101,'[36]frm P6'!G:G,[36]Schedule!$W$98,'[36]frm P6'!H:H,[36]Schedule!F101)</f>
        <v>46356</v>
      </c>
      <c r="Y101" s="361">
        <f>SUMIFS('[36]frm P6'!$K:$K,'[36]frm P6'!D:D,[36]Schedule!B101,'[36]frm P6'!E:E,[36]Schedule!C101,'[36]frm P6'!G:G,[36]Schedule!$W$98,'[36]frm P6'!H:H,[36]Schedule!F101)</f>
        <v>46372</v>
      </c>
      <c r="Z101" s="369">
        <f t="shared" si="65"/>
        <v>17</v>
      </c>
      <c r="AA101" s="420" t="s">
        <v>424</v>
      </c>
      <c r="AB101" s="368" t="s">
        <v>424</v>
      </c>
      <c r="AC101" s="362" t="s">
        <v>424</v>
      </c>
      <c r="AD101" s="274"/>
      <c r="AE101" s="273"/>
      <c r="AF101" s="371"/>
      <c r="AG101" s="370">
        <f>SUMIFS('[36]frm P6'!$J:$J,'[36]frm P6'!D:D,[36]Schedule!B101,'[36]frm P6'!E:E,[36]Schedule!C101,'[36]frm P6'!F:F,[36]Schedule!D101,'[36]frm P6'!G:G,[36]Schedule!$AF$98,'[36]frm P6'!H:H,[36]Schedule!F101)</f>
        <v>46303</v>
      </c>
      <c r="AH101" s="361">
        <f>SUMIFS('[36]frm P6'!$K:$K,'[36]frm P6'!D:D,[36]Schedule!B101,'[36]frm P6'!E:E,[36]Schedule!C101,'[36]frm P6'!F:F,[36]Schedule!D101,'[36]frm P6'!G:G,[36]Schedule!$AF$98,'[36]frm P6'!H:H,[36]Schedule!F101)</f>
        <v>46343</v>
      </c>
      <c r="AI101" s="362">
        <f t="shared" si="67"/>
        <v>41</v>
      </c>
      <c r="AJ101" s="273">
        <v>59.478000000000002</v>
      </c>
      <c r="AK101" s="273"/>
      <c r="AL101" s="371"/>
      <c r="AM101" s="420">
        <f>AN101-25</f>
        <v>46273</v>
      </c>
      <c r="AN101" s="368">
        <f>AG101-5</f>
        <v>46298</v>
      </c>
      <c r="AO101" s="362">
        <f t="shared" si="68"/>
        <v>26</v>
      </c>
      <c r="AP101" s="273">
        <v>24</v>
      </c>
      <c r="AQ101" s="273" t="s">
        <v>583</v>
      </c>
      <c r="AR101" s="372">
        <v>59</v>
      </c>
      <c r="AS101" s="368">
        <f>AM101-$AS$98</f>
        <v>46270</v>
      </c>
      <c r="AT101" s="368">
        <f>AS101-$AT$98</f>
        <v>46210</v>
      </c>
      <c r="AU101" s="377">
        <f t="shared" ref="AU101:AU117" si="69">AT101-$AU$98</f>
        <v>46195</v>
      </c>
      <c r="AV101" s="368">
        <f t="shared" ref="AV101:AV111" si="70">AG101-$AV$3</f>
        <v>46299</v>
      </c>
      <c r="AW101" s="368">
        <f t="shared" ref="AW101:AW135" si="71">AV101-$AW$3</f>
        <v>46289</v>
      </c>
      <c r="AX101" s="378">
        <f t="shared" ref="AX101:AX117" si="72">AW101-AY101</f>
        <v>83</v>
      </c>
      <c r="AY101" s="368">
        <v>46206</v>
      </c>
      <c r="AZ101" s="362" t="s">
        <v>584</v>
      </c>
      <c r="BA101" s="375" t="s">
        <v>585</v>
      </c>
      <c r="BB101" s="487"/>
      <c r="BE101" s="277"/>
      <c r="BF101" s="278"/>
    </row>
    <row r="102" spans="1:58" s="269" customFormat="1" ht="20" customHeight="1">
      <c r="A102" s="270"/>
      <c r="B102" s="357" t="s">
        <v>578</v>
      </c>
      <c r="C102" s="357" t="s">
        <v>586</v>
      </c>
      <c r="D102" s="357" t="s">
        <v>580</v>
      </c>
      <c r="E102" s="357"/>
      <c r="F102" s="357" t="s">
        <v>581</v>
      </c>
      <c r="G102" s="357" t="str">
        <f>F102&amp;C102</f>
        <v>01TSUM01</v>
      </c>
      <c r="H102" s="358">
        <v>2</v>
      </c>
      <c r="I102" s="271" t="s">
        <v>587</v>
      </c>
      <c r="J102" s="359">
        <v>25.184000000000001</v>
      </c>
      <c r="K102" s="360">
        <f>L102-Y102</f>
        <v>6</v>
      </c>
      <c r="L102" s="361">
        <f>SUMIFS('[36]frm P6'!$J:$J,'[36]frm P6'!D:D,[36]Schedule!B102,'[36]frm P6'!E:E,[36]Schedule!C102,'[36]frm P6'!F:F,[36]Schedule!D102,'[36]frm P6'!G:G,[36]Schedule!$K$98,'[36]frm P6'!H:H,[36]Schedule!F102)</f>
        <v>46406</v>
      </c>
      <c r="M102" s="361">
        <f>SUMIFS('[36]frm P6'!$K:$K,'[36]frm P6'!D:D,[36]Schedule!B102,'[36]frm P6'!E:E,[36]Schedule!C102,'[36]frm P6'!F:F,[36]Schedule!D102,'[36]frm P6'!G:G,[36]Schedule!$K$98,'[36]frm P6'!H:H,[36]Schedule!F102)</f>
        <v>46437</v>
      </c>
      <c r="N102" s="362">
        <f>M102-L102+1</f>
        <v>32</v>
      </c>
      <c r="O102" s="273"/>
      <c r="P102" s="273"/>
      <c r="Q102" s="273"/>
      <c r="R102" s="363"/>
      <c r="S102" s="364"/>
      <c r="T102" s="365"/>
      <c r="U102" s="366"/>
      <c r="V102" s="366"/>
      <c r="W102" s="367"/>
      <c r="X102" s="361">
        <f>SUMIFS('[36]frm P6'!$J:$J,'[36]frm P6'!D:D,[36]Schedule!B102,'[36]frm P6'!E:E,[36]Schedule!C102,'[36]frm P6'!G:G,[36]Schedule!$W$98,'[36]frm P6'!H:H,[36]Schedule!F102)</f>
        <v>46381</v>
      </c>
      <c r="Y102" s="361">
        <f>SUMIFS('[36]frm P6'!$K:$K,'[36]frm P6'!D:D,[36]Schedule!B102,'[36]frm P6'!E:E,[36]Schedule!C102,'[36]frm P6'!G:G,[36]Schedule!$W$98,'[36]frm P6'!H:H,[36]Schedule!F102)</f>
        <v>46400</v>
      </c>
      <c r="Z102" s="369">
        <f t="shared" si="65"/>
        <v>20</v>
      </c>
      <c r="AA102" s="370">
        <f>SUMIFS('[36]frm P6'!$J:$J,'[36]frm P6'!D:D,[36]Schedule!B102,'[36]frm P6'!E:E,[36]Schedule!C102,'[36]frm P6'!G:G,[36]Schedule!$Z$98,'[36]frm P6'!H:H,[36]Schedule!F102)</f>
        <v>46309</v>
      </c>
      <c r="AB102" s="361">
        <f>SUMIFS('[36]frm P6'!$K:$K,'[36]frm P6'!D:D,[36]Schedule!B102,'[36]frm P6'!E:E,[36]Schedule!C102,'[36]frm P6'!G:G,[36]Schedule!$Z$98,'[36]frm P6'!H:H,[36]Schedule!F102)</f>
        <v>46342</v>
      </c>
      <c r="AC102" s="362">
        <f t="shared" ref="AC102:AC111" si="73">AB102-AA102+1</f>
        <v>34</v>
      </c>
      <c r="AD102" s="274">
        <v>15.1104</v>
      </c>
      <c r="AE102" s="273"/>
      <c r="AF102" s="371"/>
      <c r="AG102" s="370">
        <f>SUMIFS('[36]frm P6'!$J:$J,'[36]frm P6'!D:D,[36]Schedule!B102,'[36]frm P6'!E:E,[36]Schedule!C102,'[36]frm P6'!F:F,[36]Schedule!D102,'[36]frm P6'!G:G,[36]Schedule!$AF$98,'[36]frm P6'!H:H,[36]Schedule!F102)</f>
        <v>46272</v>
      </c>
      <c r="AH102" s="361">
        <f>SUMIFS('[36]frm P6'!$K:$K,'[36]frm P6'!D:D,[36]Schedule!B102,'[36]frm P6'!E:E,[36]Schedule!C102,'[36]frm P6'!F:F,[36]Schedule!D102,'[36]frm P6'!G:G,[36]Schedule!$AF$98,'[36]frm P6'!H:H,[36]Schedule!F102)</f>
        <v>46308</v>
      </c>
      <c r="AI102" s="362">
        <f t="shared" si="67"/>
        <v>37</v>
      </c>
      <c r="AJ102" s="273">
        <v>15.1104</v>
      </c>
      <c r="AK102" s="273"/>
      <c r="AL102" s="371"/>
      <c r="AM102" s="420" t="s">
        <v>424</v>
      </c>
      <c r="AN102" s="368" t="s">
        <v>424</v>
      </c>
      <c r="AO102" s="362" t="s">
        <v>424</v>
      </c>
      <c r="AP102" s="273"/>
      <c r="AQ102" s="273"/>
      <c r="AR102" s="372">
        <v>55</v>
      </c>
      <c r="AS102" s="368">
        <f t="shared" ref="AS102:AS111" si="74">AG102-$AS$98</f>
        <v>46269</v>
      </c>
      <c r="AT102" s="368">
        <f>AS102-$AT$98</f>
        <v>46209</v>
      </c>
      <c r="AU102" s="377">
        <f t="shared" si="69"/>
        <v>46194</v>
      </c>
      <c r="AV102" s="368">
        <f t="shared" si="70"/>
        <v>46268</v>
      </c>
      <c r="AW102" s="368">
        <f t="shared" si="71"/>
        <v>46258</v>
      </c>
      <c r="AX102" s="378">
        <f t="shared" si="72"/>
        <v>24</v>
      </c>
      <c r="AY102" s="368">
        <v>46234</v>
      </c>
      <c r="AZ102" s="362" t="s">
        <v>588</v>
      </c>
      <c r="BA102" s="375" t="s">
        <v>589</v>
      </c>
      <c r="BB102" s="487"/>
      <c r="BE102" s="277"/>
      <c r="BF102" s="278"/>
    </row>
    <row r="103" spans="1:58" s="269" customFormat="1" ht="20" customHeight="1">
      <c r="A103" s="270"/>
      <c r="B103" s="357" t="s">
        <v>578</v>
      </c>
      <c r="C103" s="357" t="s">
        <v>590</v>
      </c>
      <c r="D103" s="357" t="s">
        <v>580</v>
      </c>
      <c r="E103" s="357"/>
      <c r="F103" s="357" t="s">
        <v>581</v>
      </c>
      <c r="G103" s="357"/>
      <c r="H103" s="358">
        <v>3</v>
      </c>
      <c r="I103" s="273" t="s">
        <v>591</v>
      </c>
      <c r="J103" s="488"/>
      <c r="K103" s="489"/>
      <c r="L103" s="368" t="s">
        <v>424</v>
      </c>
      <c r="M103" s="368" t="s">
        <v>424</v>
      </c>
      <c r="N103" s="362" t="s">
        <v>424</v>
      </c>
      <c r="O103" s="273"/>
      <c r="P103" s="273"/>
      <c r="Q103" s="273"/>
      <c r="R103" s="363"/>
      <c r="S103" s="364"/>
      <c r="T103" s="365"/>
      <c r="U103" s="366"/>
      <c r="V103" s="366"/>
      <c r="W103" s="367"/>
      <c r="X103" s="368" t="s">
        <v>424</v>
      </c>
      <c r="Y103" s="368" t="s">
        <v>424</v>
      </c>
      <c r="Z103" s="369" t="s">
        <v>424</v>
      </c>
      <c r="AA103" s="370">
        <f>SUMIFS('[36]frm P6'!$J:$J,'[36]frm P6'!D:D,[36]Schedule!B103,'[36]frm P6'!E:E,[36]Schedule!C103,'[36]frm P6'!G:G,[36]Schedule!$Z$98,'[36]frm P6'!H:H,[36]Schedule!F103)</f>
        <v>46337</v>
      </c>
      <c r="AB103" s="361">
        <f>SUMIFS('[36]frm P6'!$K:$K,'[36]frm P6'!D:D,[36]Schedule!B103,'[36]frm P6'!E:E,[36]Schedule!C103,'[36]frm P6'!G:G,[36]Schedule!$Z$98,'[36]frm P6'!H:H,[36]Schedule!F103)</f>
        <v>46381</v>
      </c>
      <c r="AC103" s="362">
        <f t="shared" si="73"/>
        <v>45</v>
      </c>
      <c r="AD103" s="274">
        <v>10.073600000000001</v>
      </c>
      <c r="AE103" s="273"/>
      <c r="AF103" s="371"/>
      <c r="AG103" s="370">
        <f>SUMIFS('[36]frm P6'!$J:$J,'[36]frm P6'!D:D,[36]Schedule!B103,'[36]frm P6'!E:E,[36]Schedule!C103,'[36]frm P6'!F:F,[36]Schedule!D103,'[36]frm P6'!G:G,[36]Schedule!$AF$98,'[36]frm P6'!H:H,[36]Schedule!F103)</f>
        <v>46288</v>
      </c>
      <c r="AH103" s="361">
        <f>SUMIFS('[36]frm P6'!$K:$K,'[36]frm P6'!D:D,[36]Schedule!B103,'[36]frm P6'!E:E,[36]Schedule!C103,'[36]frm P6'!F:F,[36]Schedule!D103,'[36]frm P6'!G:G,[36]Schedule!$AF$98,'[36]frm P6'!H:H,[36]Schedule!F103)</f>
        <v>46336</v>
      </c>
      <c r="AI103" s="362">
        <f t="shared" si="67"/>
        <v>49</v>
      </c>
      <c r="AJ103" s="273">
        <v>10.073600000000001</v>
      </c>
      <c r="AK103" s="273"/>
      <c r="AL103" s="371"/>
      <c r="AM103" s="420" t="s">
        <v>424</v>
      </c>
      <c r="AN103" s="368" t="s">
        <v>424</v>
      </c>
      <c r="AO103" s="362" t="s">
        <v>424</v>
      </c>
      <c r="AP103" s="273"/>
      <c r="AQ103" s="273"/>
      <c r="AR103" s="372">
        <v>57</v>
      </c>
      <c r="AS103" s="368">
        <f t="shared" si="74"/>
        <v>46285</v>
      </c>
      <c r="AT103" s="368">
        <f>AS103-90</f>
        <v>46195</v>
      </c>
      <c r="AU103" s="377">
        <f t="shared" si="69"/>
        <v>46180</v>
      </c>
      <c r="AV103" s="368">
        <f t="shared" si="70"/>
        <v>46284</v>
      </c>
      <c r="AW103" s="368">
        <f t="shared" si="71"/>
        <v>46274</v>
      </c>
      <c r="AX103" s="378">
        <f t="shared" si="72"/>
        <v>40</v>
      </c>
      <c r="AY103" s="368">
        <v>46234</v>
      </c>
      <c r="AZ103" s="362" t="s">
        <v>592</v>
      </c>
      <c r="BA103" s="375" t="s">
        <v>593</v>
      </c>
      <c r="BB103" s="487"/>
      <c r="BE103" s="277"/>
      <c r="BF103" s="278"/>
    </row>
    <row r="104" spans="1:58" s="269" customFormat="1" ht="20" customHeight="1">
      <c r="A104" s="270"/>
      <c r="B104" s="357" t="s">
        <v>578</v>
      </c>
      <c r="C104" s="357" t="s">
        <v>594</v>
      </c>
      <c r="D104" s="357" t="s">
        <v>580</v>
      </c>
      <c r="E104" s="357"/>
      <c r="F104" s="357" t="s">
        <v>581</v>
      </c>
      <c r="G104" s="357" t="str">
        <f>F104&amp;C104</f>
        <v>01TLOW01</v>
      </c>
      <c r="H104" s="358">
        <v>4</v>
      </c>
      <c r="I104" s="271" t="s">
        <v>595</v>
      </c>
      <c r="J104" s="359">
        <v>178.28899999999999</v>
      </c>
      <c r="K104" s="360">
        <f>L104-Y104</f>
        <v>27</v>
      </c>
      <c r="L104" s="361">
        <f>SUMIFS('[36]frm P6'!$J:$J,'[36]frm P6'!D:D,[36]Schedule!B104,'[36]frm P6'!E:E,[36]Schedule!C104,'[36]frm P6'!F:F,[36]Schedule!D104,'[36]frm P6'!G:G,[36]Schedule!$K$98,'[36]frm P6'!H:H,[36]Schedule!F104)</f>
        <v>46434</v>
      </c>
      <c r="M104" s="361">
        <f>SUMIFS('[36]frm P6'!$K:$K,'[36]frm P6'!D:D,[36]Schedule!B104,'[36]frm P6'!E:E,[36]Schedule!C104,'[36]frm P6'!F:F,[36]Schedule!D104,'[36]frm P6'!G:G,[36]Schedule!$K$98,'[36]frm P6'!H:H,[36]Schedule!F104)</f>
        <v>46462</v>
      </c>
      <c r="N104" s="362">
        <f>M104-L104+1</f>
        <v>29</v>
      </c>
      <c r="O104" s="273"/>
      <c r="P104" s="273"/>
      <c r="Q104" s="273"/>
      <c r="R104" s="363"/>
      <c r="S104" s="364"/>
      <c r="T104" s="365"/>
      <c r="U104" s="366"/>
      <c r="V104" s="366"/>
      <c r="W104" s="367"/>
      <c r="X104" s="361">
        <f>SUMIFS('[36]frm P6'!$J:$J,'[36]frm P6'!D:D,[36]Schedule!B104,'[36]frm P6'!E:E,[36]Schedule!C104,'[36]frm P6'!G:G,[36]Schedule!$W$98,'[36]frm P6'!H:H,[36]Schedule!F104)</f>
        <v>46384</v>
      </c>
      <c r="Y104" s="361">
        <f>SUMIFS('[36]frm P6'!$K:$K,'[36]frm P6'!D:D,[36]Schedule!B104,'[36]frm P6'!E:E,[36]Schedule!C104,'[36]frm P6'!G:G,[36]Schedule!$W$98,'[36]frm P6'!H:H,[36]Schedule!F104)</f>
        <v>46407</v>
      </c>
      <c r="Z104" s="369">
        <f t="shared" ref="Z104" si="75">Y104-X104+1</f>
        <v>24</v>
      </c>
      <c r="AA104" s="370">
        <f>SUMIFS('[36]frm P6'!$J:$J,'[36]frm P6'!D:D,[36]Schedule!B104,'[36]frm P6'!E:E,[36]Schedule!C104,'[36]frm P6'!G:G,[36]Schedule!$Z$98,'[36]frm P6'!H:H,[36]Schedule!F104)</f>
        <v>46303</v>
      </c>
      <c r="AB104" s="361">
        <f>SUMIFS('[36]frm P6'!$K:$K,'[36]frm P6'!D:D,[36]Schedule!B104,'[36]frm P6'!E:E,[36]Schedule!C104,'[36]frm P6'!G:G,[36]Schedule!$Z$98,'[36]frm P6'!H:H,[36]Schedule!F104)</f>
        <v>46360</v>
      </c>
      <c r="AC104" s="362">
        <f t="shared" si="73"/>
        <v>58</v>
      </c>
      <c r="AD104" s="274">
        <v>106.9734</v>
      </c>
      <c r="AE104" s="273"/>
      <c r="AF104" s="371"/>
      <c r="AG104" s="370">
        <f>SUMIFS('[36]frm P6'!$J:$J,'[36]frm P6'!D:D,[36]Schedule!B104,'[36]frm P6'!E:E,[36]Schedule!C104,'[36]frm P6'!F:F,[36]Schedule!D104,'[36]frm P6'!G:G,[36]Schedule!$AF$98,'[36]frm P6'!H:H,[36]Schedule!F104)</f>
        <v>46252</v>
      </c>
      <c r="AH104" s="361">
        <f>SUMIFS('[36]frm P6'!$K:$K,'[36]frm P6'!D:D,[36]Schedule!B104,'[36]frm P6'!E:E,[36]Schedule!C104,'[36]frm P6'!F:F,[36]Schedule!D104,'[36]frm P6'!G:G,[36]Schedule!$AF$98,'[36]frm P6'!H:H,[36]Schedule!F104)</f>
        <v>46301</v>
      </c>
      <c r="AI104" s="362">
        <f t="shared" si="67"/>
        <v>50</v>
      </c>
      <c r="AJ104" s="273">
        <v>106.9734</v>
      </c>
      <c r="AK104" s="273"/>
      <c r="AL104" s="371"/>
      <c r="AM104" s="420" t="s">
        <v>424</v>
      </c>
      <c r="AN104" s="368" t="s">
        <v>424</v>
      </c>
      <c r="AO104" s="362" t="s">
        <v>424</v>
      </c>
      <c r="AP104" s="273"/>
      <c r="AQ104" s="273"/>
      <c r="AR104" s="372">
        <v>55</v>
      </c>
      <c r="AS104" s="368">
        <f t="shared" si="74"/>
        <v>46249</v>
      </c>
      <c r="AT104" s="368">
        <f>AS104-$AT$98</f>
        <v>46189</v>
      </c>
      <c r="AU104" s="377">
        <f t="shared" si="69"/>
        <v>46174</v>
      </c>
      <c r="AV104" s="368">
        <f t="shared" si="70"/>
        <v>46248</v>
      </c>
      <c r="AW104" s="368">
        <f t="shared" si="71"/>
        <v>46238</v>
      </c>
      <c r="AX104" s="378">
        <f t="shared" si="72"/>
        <v>18</v>
      </c>
      <c r="AY104" s="368">
        <v>46220</v>
      </c>
      <c r="AZ104" s="362" t="s">
        <v>596</v>
      </c>
      <c r="BA104" s="375" t="s">
        <v>597</v>
      </c>
      <c r="BB104" s="487"/>
      <c r="BE104" s="277"/>
      <c r="BF104" s="278"/>
    </row>
    <row r="105" spans="1:58" s="269" customFormat="1" ht="20" customHeight="1">
      <c r="A105" s="270"/>
      <c r="B105" s="357" t="s">
        <v>578</v>
      </c>
      <c r="C105" s="357" t="s">
        <v>598</v>
      </c>
      <c r="D105" s="357" t="s">
        <v>580</v>
      </c>
      <c r="E105" s="357"/>
      <c r="F105" s="357" t="s">
        <v>581</v>
      </c>
      <c r="G105" s="357" t="str">
        <f>F105&amp;C105</f>
        <v>01TLOW02</v>
      </c>
      <c r="H105" s="358">
        <v>5</v>
      </c>
      <c r="I105" s="273" t="s">
        <v>599</v>
      </c>
      <c r="J105" s="488"/>
      <c r="K105" s="489"/>
      <c r="L105" s="368" t="s">
        <v>424</v>
      </c>
      <c r="M105" s="368" t="s">
        <v>424</v>
      </c>
      <c r="N105" s="362" t="s">
        <v>424</v>
      </c>
      <c r="O105" s="273"/>
      <c r="P105" s="273"/>
      <c r="Q105" s="273"/>
      <c r="R105" s="363"/>
      <c r="S105" s="364"/>
      <c r="T105" s="365"/>
      <c r="U105" s="366"/>
      <c r="V105" s="366"/>
      <c r="W105" s="367"/>
      <c r="X105" s="368" t="s">
        <v>424</v>
      </c>
      <c r="Y105" s="368" t="s">
        <v>424</v>
      </c>
      <c r="Z105" s="369" t="s">
        <v>424</v>
      </c>
      <c r="AA105" s="370">
        <f>SUMIFS('[36]frm P6'!$J:$J,'[36]frm P6'!D:D,[36]Schedule!B105,'[36]frm P6'!E:E,[36]Schedule!C105,'[36]frm P6'!G:G,[36]Schedule!$Z$98,'[36]frm P6'!H:H,[36]Schedule!F105)</f>
        <v>46331</v>
      </c>
      <c r="AB105" s="361">
        <f>SUMIFS('[36]frm P6'!$K:$K,'[36]frm P6'!D:D,[36]Schedule!B105,'[36]frm P6'!E:E,[36]Schedule!C105,'[36]frm P6'!G:G,[36]Schedule!$Z$98,'[36]frm P6'!H:H,[36]Schedule!F105)</f>
        <v>46382</v>
      </c>
      <c r="AC105" s="362">
        <f t="shared" si="73"/>
        <v>52</v>
      </c>
      <c r="AD105" s="274">
        <v>71.315600000000003</v>
      </c>
      <c r="AE105" s="273"/>
      <c r="AF105" s="371"/>
      <c r="AG105" s="370">
        <f>SUMIFS('[36]frm P6'!$J:$J,'[36]frm P6'!D:D,[36]Schedule!B105,'[36]frm P6'!E:E,[36]Schedule!C105,'[36]frm P6'!F:F,[36]Schedule!D105,'[36]frm P6'!G:G,[36]Schedule!$AF$98,'[36]frm P6'!H:H,[36]Schedule!F105)</f>
        <v>46282</v>
      </c>
      <c r="AH105" s="361">
        <f>SUMIFS('[36]frm P6'!$K:$K,'[36]frm P6'!D:D,[36]Schedule!B105,'[36]frm P6'!E:E,[36]Schedule!C105,'[36]frm P6'!F:F,[36]Schedule!D105,'[36]frm P6'!G:G,[36]Schedule!$AF$98,'[36]frm P6'!H:H,[36]Schedule!F105)</f>
        <v>46336</v>
      </c>
      <c r="AI105" s="362">
        <f t="shared" si="67"/>
        <v>55</v>
      </c>
      <c r="AJ105" s="273">
        <v>71.315600000000003</v>
      </c>
      <c r="AK105" s="273"/>
      <c r="AL105" s="371"/>
      <c r="AM105" s="420" t="s">
        <v>424</v>
      </c>
      <c r="AN105" s="368" t="s">
        <v>424</v>
      </c>
      <c r="AO105" s="362" t="s">
        <v>424</v>
      </c>
      <c r="AP105" s="273"/>
      <c r="AQ105" s="273"/>
      <c r="AR105" s="372">
        <v>57</v>
      </c>
      <c r="AS105" s="368">
        <f t="shared" si="74"/>
        <v>46279</v>
      </c>
      <c r="AT105" s="368">
        <f>AS105-90</f>
        <v>46189</v>
      </c>
      <c r="AU105" s="377">
        <f t="shared" si="69"/>
        <v>46174</v>
      </c>
      <c r="AV105" s="368">
        <f t="shared" si="70"/>
        <v>46278</v>
      </c>
      <c r="AW105" s="368">
        <f t="shared" si="71"/>
        <v>46268</v>
      </c>
      <c r="AX105" s="378">
        <f t="shared" si="72"/>
        <v>34</v>
      </c>
      <c r="AY105" s="368">
        <v>46234</v>
      </c>
      <c r="AZ105" s="362" t="s">
        <v>600</v>
      </c>
      <c r="BA105" s="375" t="s">
        <v>601</v>
      </c>
      <c r="BB105" s="487"/>
      <c r="BE105" s="277"/>
      <c r="BF105" s="278"/>
    </row>
    <row r="106" spans="1:58" s="269" customFormat="1" ht="20" customHeight="1">
      <c r="A106" s="270"/>
      <c r="B106" s="357" t="s">
        <v>578</v>
      </c>
      <c r="C106" s="357" t="s">
        <v>602</v>
      </c>
      <c r="D106" s="357" t="s">
        <v>580</v>
      </c>
      <c r="E106" s="357"/>
      <c r="F106" s="357" t="s">
        <v>581</v>
      </c>
      <c r="G106" s="357" t="str">
        <f>F106&amp;C106</f>
        <v>01TMEZ01</v>
      </c>
      <c r="H106" s="358">
        <v>6</v>
      </c>
      <c r="I106" s="271" t="s">
        <v>603</v>
      </c>
      <c r="J106" s="359">
        <v>12.423999999999999</v>
      </c>
      <c r="K106" s="360">
        <f>L106-Y106</f>
        <v>25</v>
      </c>
      <c r="L106" s="361">
        <f>SUMIFS('[36]frm P6'!$J:$J,'[36]frm P6'!D:D,[36]Schedule!B106,'[36]frm P6'!E:E,[36]Schedule!C106,'[36]frm P6'!F:F,[36]Schedule!D106,'[36]frm P6'!G:G,[36]Schedule!$K$98,'[36]frm P6'!H:H,[36]Schedule!F106)</f>
        <v>46462</v>
      </c>
      <c r="M106" s="361">
        <f>SUMIFS('[36]frm P6'!$K:$K,'[36]frm P6'!D:D,[36]Schedule!B106,'[36]frm P6'!E:E,[36]Schedule!C106,'[36]frm P6'!F:F,[36]Schedule!D106,'[36]frm P6'!G:G,[36]Schedule!$K$98,'[36]frm P6'!H:H,[36]Schedule!F106)</f>
        <v>46485</v>
      </c>
      <c r="N106" s="362">
        <f>M106-L106+1</f>
        <v>24</v>
      </c>
      <c r="O106" s="273"/>
      <c r="P106" s="273"/>
      <c r="Q106" s="273"/>
      <c r="R106" s="363"/>
      <c r="S106" s="364"/>
      <c r="T106" s="365"/>
      <c r="U106" s="366"/>
      <c r="V106" s="366"/>
      <c r="W106" s="367"/>
      <c r="X106" s="361">
        <f>SUMIFS('[36]frm P6'!$J:$J,'[36]frm P6'!D:D,[36]Schedule!B106,'[36]frm P6'!E:E,[36]Schedule!C106,'[36]frm P6'!G:G,[36]Schedule!$W$98,'[36]frm P6'!H:H,[36]Schedule!F106)</f>
        <v>46410</v>
      </c>
      <c r="Y106" s="361">
        <f>SUMIFS('[36]frm P6'!$K:$K,'[36]frm P6'!D:D,[36]Schedule!B106,'[36]frm P6'!E:E,[36]Schedule!C106,'[36]frm P6'!G:G,[36]Schedule!$W$98,'[36]frm P6'!H:H,[36]Schedule!F106)</f>
        <v>46437</v>
      </c>
      <c r="Z106" s="369">
        <f t="shared" ref="Z106" si="76">Y106-X106+1</f>
        <v>28</v>
      </c>
      <c r="AA106" s="370">
        <f>SUMIFS('[36]frm P6'!$J:$J,'[36]frm P6'!D:D,[36]Schedule!B106,'[36]frm P6'!E:E,[36]Schedule!C106,'[36]frm P6'!G:G,[36]Schedule!$Z$98,'[36]frm P6'!H:H,[36]Schedule!F106)</f>
        <v>46337</v>
      </c>
      <c r="AB106" s="361">
        <f>SUMIFS('[36]frm P6'!$K:$K,'[36]frm P6'!D:D,[36]Schedule!B106,'[36]frm P6'!E:E,[36]Schedule!C106,'[36]frm P6'!G:G,[36]Schedule!$Z$98,'[36]frm P6'!H:H,[36]Schedule!F106)</f>
        <v>46370</v>
      </c>
      <c r="AC106" s="362">
        <f t="shared" si="73"/>
        <v>34</v>
      </c>
      <c r="AD106" s="274">
        <v>7.4543999999999997</v>
      </c>
      <c r="AE106" s="273"/>
      <c r="AF106" s="371"/>
      <c r="AG106" s="370">
        <f>SUMIFS('[36]frm P6'!$J:$J,'[36]frm P6'!D:D,[36]Schedule!B106,'[36]frm P6'!E:E,[36]Schedule!C106,'[36]frm P6'!F:F,[36]Schedule!D106,'[36]frm P6'!G:G,[36]Schedule!$AF$98,'[36]frm P6'!H:H,[36]Schedule!F106)</f>
        <v>46276</v>
      </c>
      <c r="AH106" s="361">
        <f>SUMIFS('[36]frm P6'!$K:$K,'[36]frm P6'!D:D,[36]Schedule!B106,'[36]frm P6'!E:E,[36]Schedule!C106,'[36]frm P6'!F:F,[36]Schedule!D106,'[36]frm P6'!G:G,[36]Schedule!$AF$98,'[36]frm P6'!H:H,[36]Schedule!F106)</f>
        <v>46312</v>
      </c>
      <c r="AI106" s="362">
        <f t="shared" si="67"/>
        <v>37</v>
      </c>
      <c r="AJ106" s="273">
        <v>7.4543999999999997</v>
      </c>
      <c r="AK106" s="273"/>
      <c r="AL106" s="371"/>
      <c r="AM106" s="420" t="s">
        <v>424</v>
      </c>
      <c r="AN106" s="368" t="s">
        <v>424</v>
      </c>
      <c r="AO106" s="362" t="s">
        <v>424</v>
      </c>
      <c r="AP106" s="273"/>
      <c r="AQ106" s="273"/>
      <c r="AR106" s="372">
        <v>55</v>
      </c>
      <c r="AS106" s="368">
        <f t="shared" si="74"/>
        <v>46273</v>
      </c>
      <c r="AT106" s="368">
        <f>AS106-$AT$98</f>
        <v>46213</v>
      </c>
      <c r="AU106" s="377">
        <f t="shared" si="69"/>
        <v>46198</v>
      </c>
      <c r="AV106" s="368">
        <f t="shared" si="70"/>
        <v>46272</v>
      </c>
      <c r="AW106" s="368">
        <f t="shared" si="71"/>
        <v>46262</v>
      </c>
      <c r="AX106" s="378">
        <f t="shared" si="72"/>
        <v>28</v>
      </c>
      <c r="AY106" s="368">
        <v>46234</v>
      </c>
      <c r="AZ106" s="421" t="s">
        <v>604</v>
      </c>
      <c r="BA106" s="375" t="s">
        <v>605</v>
      </c>
      <c r="BB106" s="487"/>
      <c r="BE106" s="277"/>
      <c r="BF106" s="278"/>
    </row>
    <row r="107" spans="1:58" s="269" customFormat="1" ht="20" customHeight="1">
      <c r="A107" s="270"/>
      <c r="B107" s="357" t="s">
        <v>578</v>
      </c>
      <c r="C107" s="357" t="s">
        <v>606</v>
      </c>
      <c r="D107" s="357" t="s">
        <v>580</v>
      </c>
      <c r="E107" s="357"/>
      <c r="F107" s="357" t="s">
        <v>581</v>
      </c>
      <c r="G107" s="357"/>
      <c r="H107" s="358">
        <v>7</v>
      </c>
      <c r="I107" s="273" t="s">
        <v>607</v>
      </c>
      <c r="J107" s="488"/>
      <c r="K107" s="489"/>
      <c r="L107" s="368" t="s">
        <v>424</v>
      </c>
      <c r="M107" s="368" t="s">
        <v>424</v>
      </c>
      <c r="N107" s="362" t="s">
        <v>424</v>
      </c>
      <c r="O107" s="273"/>
      <c r="P107" s="273"/>
      <c r="Q107" s="273"/>
      <c r="R107" s="363"/>
      <c r="S107" s="364"/>
      <c r="T107" s="365"/>
      <c r="U107" s="366"/>
      <c r="V107" s="366"/>
      <c r="W107" s="367"/>
      <c r="X107" s="368" t="s">
        <v>424</v>
      </c>
      <c r="Y107" s="368" t="s">
        <v>424</v>
      </c>
      <c r="Z107" s="369" t="s">
        <v>424</v>
      </c>
      <c r="AA107" s="370">
        <f>SUMIFS('[36]frm P6'!$J:$J,'[36]frm P6'!D:D,[36]Schedule!B107,'[36]frm P6'!E:E,[36]Schedule!C107,'[36]frm P6'!G:G,[36]Schedule!$Z$98,'[36]frm P6'!H:H,[36]Schedule!F107)</f>
        <v>46365</v>
      </c>
      <c r="AB107" s="361">
        <f>SUMIFS('[36]frm P6'!$K:$K,'[36]frm P6'!D:D,[36]Schedule!B107,'[36]frm P6'!E:E,[36]Schedule!C107,'[36]frm P6'!G:G,[36]Schedule!$Z$98,'[36]frm P6'!H:H,[36]Schedule!F107)</f>
        <v>46410</v>
      </c>
      <c r="AC107" s="362">
        <f t="shared" si="73"/>
        <v>46</v>
      </c>
      <c r="AD107" s="274">
        <v>4.9695999999999998</v>
      </c>
      <c r="AE107" s="273"/>
      <c r="AF107" s="371"/>
      <c r="AG107" s="370">
        <f>SUMIFS('[36]frm P6'!$J:$J,'[36]frm P6'!D:D,[36]Schedule!B107,'[36]frm P6'!E:E,[36]Schedule!C107,'[36]frm P6'!F:F,[36]Schedule!D107,'[36]frm P6'!G:G,[36]Schedule!$AF$98,'[36]frm P6'!H:H,[36]Schedule!F107)</f>
        <v>46337</v>
      </c>
      <c r="AH107" s="361">
        <f>SUMIFS('[36]frm P6'!$K:$K,'[36]frm P6'!D:D,[36]Schedule!B107,'[36]frm P6'!E:E,[36]Schedule!C107,'[36]frm P6'!F:F,[36]Schedule!D107,'[36]frm P6'!G:G,[36]Schedule!$AF$98,'[36]frm P6'!H:H,[36]Schedule!F107)</f>
        <v>46359</v>
      </c>
      <c r="AI107" s="362">
        <f t="shared" si="67"/>
        <v>23</v>
      </c>
      <c r="AJ107" s="273">
        <v>4.9695999999999998</v>
      </c>
      <c r="AK107" s="273"/>
      <c r="AL107" s="371"/>
      <c r="AM107" s="420" t="s">
        <v>424</v>
      </c>
      <c r="AN107" s="368" t="s">
        <v>424</v>
      </c>
      <c r="AO107" s="362" t="s">
        <v>424</v>
      </c>
      <c r="AP107" s="273"/>
      <c r="AQ107" s="273"/>
      <c r="AR107" s="372">
        <v>57</v>
      </c>
      <c r="AS107" s="368">
        <f t="shared" si="74"/>
        <v>46334</v>
      </c>
      <c r="AT107" s="368">
        <f>AS107-90</f>
        <v>46244</v>
      </c>
      <c r="AU107" s="377">
        <f t="shared" si="69"/>
        <v>46229</v>
      </c>
      <c r="AV107" s="368">
        <f t="shared" si="70"/>
        <v>46333</v>
      </c>
      <c r="AW107" s="368">
        <f t="shared" si="71"/>
        <v>46323</v>
      </c>
      <c r="AX107" s="378">
        <f t="shared" si="72"/>
        <v>89</v>
      </c>
      <c r="AY107" s="368">
        <v>46234</v>
      </c>
      <c r="AZ107" s="362" t="s">
        <v>608</v>
      </c>
      <c r="BA107" s="375" t="s">
        <v>609</v>
      </c>
      <c r="BB107" s="487"/>
      <c r="BE107" s="277"/>
      <c r="BF107" s="278"/>
    </row>
    <row r="108" spans="1:58" s="269" customFormat="1" ht="19.5" customHeight="1">
      <c r="A108" s="270"/>
      <c r="B108" s="357" t="s">
        <v>578</v>
      </c>
      <c r="C108" s="357" t="s">
        <v>610</v>
      </c>
      <c r="D108" s="357" t="s">
        <v>580</v>
      </c>
      <c r="E108" s="357"/>
      <c r="F108" s="357" t="s">
        <v>581</v>
      </c>
      <c r="G108" s="357"/>
      <c r="H108" s="358">
        <v>8</v>
      </c>
      <c r="I108" s="271" t="s">
        <v>611</v>
      </c>
      <c r="J108" s="359">
        <v>205.02500000000001</v>
      </c>
      <c r="K108" s="360">
        <f>L108-Y108</f>
        <v>19</v>
      </c>
      <c r="L108" s="361">
        <f>SUMIFS('[36]frm P6'!$J:$J,'[36]frm P6'!D:D,[36]Schedule!B108,'[36]frm P6'!E:E,[36]Schedule!C108,'[36]frm P6'!F:F,[36]Schedule!D108,'[36]frm P6'!G:G,[36]Schedule!$K$98,'[36]frm P6'!H:H,[36]Schedule!F108)</f>
        <v>46487</v>
      </c>
      <c r="M108" s="361">
        <f>SUMIFS('[36]frm P6'!$K:$K,'[36]frm P6'!D:D,[36]Schedule!B108,'[36]frm P6'!E:E,[36]Schedule!C108,'[36]frm P6'!F:F,[36]Schedule!D108,'[36]frm P6'!G:G,[36]Schedule!$K$98,'[36]frm P6'!H:H,[36]Schedule!F108)</f>
        <v>46515</v>
      </c>
      <c r="N108" s="362">
        <f>M108-L108+1</f>
        <v>29</v>
      </c>
      <c r="O108" s="273"/>
      <c r="P108" s="273"/>
      <c r="Q108" s="273"/>
      <c r="R108" s="363"/>
      <c r="S108" s="364"/>
      <c r="T108" s="365"/>
      <c r="U108" s="366"/>
      <c r="V108" s="366"/>
      <c r="W108" s="367"/>
      <c r="X108" s="361">
        <f>SUMIFS('[36]frm P6'!$J:$J,'[36]frm P6'!D:D,[36]Schedule!B108,'[36]frm P6'!E:E,[36]Schedule!C108,'[36]frm P6'!G:G,[36]Schedule!$W$98,'[36]frm P6'!H:H,[36]Schedule!F108)</f>
        <v>46445</v>
      </c>
      <c r="Y108" s="361">
        <f>SUMIFS('[36]frm P6'!$K:$K,'[36]frm P6'!D:D,[36]Schedule!B108,'[36]frm P6'!E:E,[36]Schedule!C108,'[36]frm P6'!G:G,[36]Schedule!$W$98,'[36]frm P6'!H:H,[36]Schedule!F108)</f>
        <v>46468</v>
      </c>
      <c r="Z108" s="369">
        <f t="shared" ref="Z108" si="77">Y108-X108+1</f>
        <v>24</v>
      </c>
      <c r="AA108" s="370">
        <f>SUMIFS('[36]frm P6'!$J:$J,'[36]frm P6'!D:D,[36]Schedule!B108,'[36]frm P6'!E:E,[36]Schedule!C108,'[36]frm P6'!G:G,[36]Schedule!$Z$98,'[36]frm P6'!H:H,[36]Schedule!F108)</f>
        <v>46345</v>
      </c>
      <c r="AB108" s="361">
        <f>SUMIFS('[36]frm P6'!$K:$K,'[36]frm P6'!D:D,[36]Schedule!B108,'[36]frm P6'!E:E,[36]Schedule!C108,'[36]frm P6'!G:G,[36]Schedule!$Z$98,'[36]frm P6'!H:H,[36]Schedule!F108)</f>
        <v>46403</v>
      </c>
      <c r="AC108" s="362">
        <f t="shared" si="73"/>
        <v>59</v>
      </c>
      <c r="AD108" s="274">
        <v>123.015</v>
      </c>
      <c r="AE108" s="273"/>
      <c r="AF108" s="371"/>
      <c r="AG108" s="370">
        <f>SUMIFS('[36]frm P6'!$J:$J,'[36]frm P6'!D:D,[36]Schedule!B108,'[36]frm P6'!E:E,[36]Schedule!C108,'[36]frm P6'!F:F,[36]Schedule!D108,'[36]frm P6'!G:G,[36]Schedule!$AF$98,'[36]frm P6'!H:H,[36]Schedule!F108)</f>
        <v>46291</v>
      </c>
      <c r="AH108" s="361">
        <f>SUMIFS('[36]frm P6'!$K:$K,'[36]frm P6'!D:D,[36]Schedule!B108,'[36]frm P6'!E:E,[36]Schedule!C108,'[36]frm P6'!F:F,[36]Schedule!D108,'[36]frm P6'!G:G,[36]Schedule!$AF$98,'[36]frm P6'!H:H,[36]Schedule!F108)</f>
        <v>46356</v>
      </c>
      <c r="AI108" s="362">
        <f t="shared" si="67"/>
        <v>66</v>
      </c>
      <c r="AJ108" s="273">
        <v>123.015</v>
      </c>
      <c r="AK108" s="273"/>
      <c r="AL108" s="371"/>
      <c r="AM108" s="420" t="s">
        <v>424</v>
      </c>
      <c r="AN108" s="368" t="s">
        <v>424</v>
      </c>
      <c r="AO108" s="362" t="s">
        <v>424</v>
      </c>
      <c r="AP108" s="273"/>
      <c r="AQ108" s="273"/>
      <c r="AR108" s="372">
        <v>55</v>
      </c>
      <c r="AS108" s="368">
        <f t="shared" si="74"/>
        <v>46288</v>
      </c>
      <c r="AT108" s="368">
        <f>AS108-$AT$98</f>
        <v>46228</v>
      </c>
      <c r="AU108" s="377">
        <f t="shared" si="69"/>
        <v>46213</v>
      </c>
      <c r="AV108" s="368">
        <f t="shared" si="70"/>
        <v>46287</v>
      </c>
      <c r="AW108" s="368">
        <f t="shared" si="71"/>
        <v>46277</v>
      </c>
      <c r="AX108" s="378">
        <f t="shared" si="72"/>
        <v>57</v>
      </c>
      <c r="AY108" s="368">
        <v>46220</v>
      </c>
      <c r="AZ108" s="362" t="s">
        <v>612</v>
      </c>
      <c r="BA108" s="375" t="s">
        <v>613</v>
      </c>
      <c r="BB108" s="487"/>
      <c r="BE108" s="277"/>
      <c r="BF108" s="278"/>
    </row>
    <row r="109" spans="1:58" s="269" customFormat="1" ht="20" customHeight="1">
      <c r="A109" s="270"/>
      <c r="B109" s="357" t="s">
        <v>578</v>
      </c>
      <c r="C109" s="357" t="s">
        <v>614</v>
      </c>
      <c r="D109" s="357" t="s">
        <v>580</v>
      </c>
      <c r="E109" s="357"/>
      <c r="F109" s="357" t="s">
        <v>581</v>
      </c>
      <c r="G109" s="357"/>
      <c r="H109" s="358">
        <v>9</v>
      </c>
      <c r="I109" s="273" t="s">
        <v>69</v>
      </c>
      <c r="J109" s="488"/>
      <c r="K109" s="489"/>
      <c r="L109" s="368" t="s">
        <v>424</v>
      </c>
      <c r="M109" s="368" t="s">
        <v>424</v>
      </c>
      <c r="N109" s="362" t="s">
        <v>424</v>
      </c>
      <c r="O109" s="273"/>
      <c r="P109" s="273"/>
      <c r="Q109" s="273"/>
      <c r="R109" s="363"/>
      <c r="S109" s="364"/>
      <c r="T109" s="365"/>
      <c r="U109" s="366"/>
      <c r="V109" s="366"/>
      <c r="W109" s="367"/>
      <c r="X109" s="368" t="s">
        <v>424</v>
      </c>
      <c r="Y109" s="368" t="s">
        <v>424</v>
      </c>
      <c r="Z109" s="369" t="s">
        <v>424</v>
      </c>
      <c r="AA109" s="370">
        <f>SUMIFS('[36]frm P6'!$J:$J,'[36]frm P6'!D:D,[36]Schedule!B109,'[36]frm P6'!E:E,[36]Schedule!C109,'[36]frm P6'!G:G,[36]Schedule!$Z$98,'[36]frm P6'!H:H,[36]Schedule!F109)</f>
        <v>46379</v>
      </c>
      <c r="AB109" s="361">
        <f>SUMIFS('[36]frm P6'!$K:$K,'[36]frm P6'!D:D,[36]Schedule!B109,'[36]frm P6'!E:E,[36]Schedule!C109,'[36]frm P6'!G:G,[36]Schedule!$Z$98,'[36]frm P6'!H:H,[36]Schedule!F109)</f>
        <v>46444</v>
      </c>
      <c r="AC109" s="362">
        <f t="shared" si="73"/>
        <v>66</v>
      </c>
      <c r="AD109" s="274">
        <v>82.01</v>
      </c>
      <c r="AE109" s="273"/>
      <c r="AF109" s="371"/>
      <c r="AG109" s="370">
        <f>SUMIFS('[36]frm P6'!$J:$J,'[36]frm P6'!D:D,[36]Schedule!B109,'[36]frm P6'!E:E,[36]Schedule!C109,'[36]frm P6'!F:F,[36]Schedule!D109,'[36]frm P6'!G:G,[36]Schedule!$AF$98,'[36]frm P6'!H:H,[36]Schedule!F109)</f>
        <v>46326</v>
      </c>
      <c r="AH109" s="361">
        <f>SUMIFS('[36]frm P6'!$K:$K,'[36]frm P6'!D:D,[36]Schedule!B109,'[36]frm P6'!E:E,[36]Schedule!C109,'[36]frm P6'!F:F,[36]Schedule!D109,'[36]frm P6'!G:G,[36]Schedule!$AF$98,'[36]frm P6'!H:H,[36]Schedule!F109)</f>
        <v>46378</v>
      </c>
      <c r="AI109" s="362">
        <f t="shared" si="67"/>
        <v>53</v>
      </c>
      <c r="AJ109" s="273">
        <v>82.01</v>
      </c>
      <c r="AK109" s="273"/>
      <c r="AL109" s="371"/>
      <c r="AM109" s="420" t="s">
        <v>424</v>
      </c>
      <c r="AN109" s="368" t="s">
        <v>424</v>
      </c>
      <c r="AO109" s="362" t="s">
        <v>424</v>
      </c>
      <c r="AP109" s="273"/>
      <c r="AQ109" s="273"/>
      <c r="AR109" s="372">
        <v>57</v>
      </c>
      <c r="AS109" s="368">
        <f t="shared" si="74"/>
        <v>46323</v>
      </c>
      <c r="AT109" s="368">
        <f>AS109-90</f>
        <v>46233</v>
      </c>
      <c r="AU109" s="377">
        <f t="shared" si="69"/>
        <v>46218</v>
      </c>
      <c r="AV109" s="368">
        <f t="shared" si="70"/>
        <v>46322</v>
      </c>
      <c r="AW109" s="368">
        <f t="shared" si="71"/>
        <v>46312</v>
      </c>
      <c r="AX109" s="378">
        <f t="shared" si="72"/>
        <v>78</v>
      </c>
      <c r="AY109" s="368">
        <v>46234</v>
      </c>
      <c r="AZ109" s="362" t="s">
        <v>615</v>
      </c>
      <c r="BA109" s="375" t="s">
        <v>616</v>
      </c>
      <c r="BB109" s="487"/>
      <c r="BE109" s="277"/>
      <c r="BF109" s="278"/>
    </row>
    <row r="110" spans="1:58" s="269" customFormat="1" ht="20" customHeight="1">
      <c r="A110" s="270"/>
      <c r="B110" s="357" t="s">
        <v>578</v>
      </c>
      <c r="C110" s="357" t="s">
        <v>617</v>
      </c>
      <c r="D110" s="357" t="s">
        <v>580</v>
      </c>
      <c r="E110" s="357"/>
      <c r="F110" s="357" t="s">
        <v>581</v>
      </c>
      <c r="G110" s="357"/>
      <c r="H110" s="358">
        <v>10</v>
      </c>
      <c r="I110" s="271" t="s">
        <v>618</v>
      </c>
      <c r="J110" s="359">
        <v>205.02500000000001</v>
      </c>
      <c r="K110" s="360">
        <f>L110-Y110</f>
        <v>27</v>
      </c>
      <c r="L110" s="361">
        <f>SUMIFS('[36]frm P6'!$J:$J,'[36]frm P6'!D:D,[36]Schedule!B110,'[36]frm P6'!E:E,[36]Schedule!C110,'[36]frm P6'!F:F,[36]Schedule!D110,'[36]frm P6'!G:G,[36]Schedule!$K$98,'[36]frm P6'!H:H,[36]Schedule!F110)</f>
        <v>46517</v>
      </c>
      <c r="M110" s="361">
        <f>SUMIFS('[36]frm P6'!$K:$K,'[36]frm P6'!D:D,[36]Schedule!B110,'[36]frm P6'!E:E,[36]Schedule!C110,'[36]frm P6'!F:F,[36]Schedule!D110,'[36]frm P6'!G:G,[36]Schedule!$K$98,'[36]frm P6'!H:H,[36]Schedule!F110)</f>
        <v>46539</v>
      </c>
      <c r="N110" s="362">
        <f>M110-L110+1</f>
        <v>23</v>
      </c>
      <c r="O110" s="273"/>
      <c r="P110" s="273"/>
      <c r="Q110" s="273"/>
      <c r="R110" s="363"/>
      <c r="S110" s="364"/>
      <c r="T110" s="365"/>
      <c r="U110" s="366"/>
      <c r="V110" s="366"/>
      <c r="W110" s="367"/>
      <c r="X110" s="361">
        <f>SUMIFS('[36]frm P6'!$J:$J,'[36]frm P6'!D:D,[36]Schedule!B110,'[36]frm P6'!E:E,[36]Schedule!C110,'[36]frm P6'!G:G,[36]Schedule!$W$98,'[36]frm P6'!H:H,[36]Schedule!F110)</f>
        <v>46472</v>
      </c>
      <c r="Y110" s="361">
        <f>SUMIFS('[36]frm P6'!$K:$K,'[36]frm P6'!D:D,[36]Schedule!B110,'[36]frm P6'!E:E,[36]Schedule!C110,'[36]frm P6'!G:G,[36]Schedule!$W$98,'[36]frm P6'!H:H,[36]Schedule!F110)</f>
        <v>46490</v>
      </c>
      <c r="Z110" s="369">
        <f t="shared" ref="Z110" si="78">Y110-X110+1</f>
        <v>19</v>
      </c>
      <c r="AA110" s="370">
        <f>SUMIFS('[36]frm P6'!$J:$J,'[36]frm P6'!D:D,[36]Schedule!B110,'[36]frm P6'!E:E,[36]Schedule!C110,'[36]frm P6'!G:G,[36]Schedule!$Z$98,'[36]frm P6'!H:H,[36]Schedule!F110)</f>
        <v>46405</v>
      </c>
      <c r="AB110" s="361">
        <f>SUMIFS('[36]frm P6'!$K:$K,'[36]frm P6'!D:D,[36]Schedule!B110,'[36]frm P6'!E:E,[36]Schedule!C110,'[36]frm P6'!G:G,[36]Schedule!$Z$98,'[36]frm P6'!H:H,[36]Schedule!F110)</f>
        <v>46447</v>
      </c>
      <c r="AC110" s="362">
        <f t="shared" si="73"/>
        <v>43</v>
      </c>
      <c r="AD110" s="274">
        <v>123.015</v>
      </c>
      <c r="AE110" s="273"/>
      <c r="AF110" s="371"/>
      <c r="AG110" s="370">
        <f>SUMIFS('[36]frm P6'!$J:$J,'[36]frm P6'!D:D,[36]Schedule!B110,'[36]frm P6'!E:E,[36]Schedule!C110,'[36]frm P6'!F:F,[36]Schedule!D110,'[36]frm P6'!G:G,[36]Schedule!$AF$98,'[36]frm P6'!H:H,[36]Schedule!F110)</f>
        <v>46310</v>
      </c>
      <c r="AH110" s="361">
        <f>SUMIFS('[36]frm P6'!$K:$K,'[36]frm P6'!D:D,[36]Schedule!B110,'[36]frm P6'!E:E,[36]Schedule!C110,'[36]frm P6'!F:F,[36]Schedule!D110,'[36]frm P6'!G:G,[36]Schedule!$AF$98,'[36]frm P6'!H:H,[36]Schedule!F110)</f>
        <v>46338</v>
      </c>
      <c r="AI110" s="362">
        <f t="shared" si="67"/>
        <v>29</v>
      </c>
      <c r="AJ110" s="273">
        <v>123.015</v>
      </c>
      <c r="AK110" s="273"/>
      <c r="AL110" s="371"/>
      <c r="AM110" s="420" t="s">
        <v>424</v>
      </c>
      <c r="AN110" s="368" t="s">
        <v>424</v>
      </c>
      <c r="AO110" s="362" t="s">
        <v>424</v>
      </c>
      <c r="AP110" s="273"/>
      <c r="AQ110" s="273"/>
      <c r="AR110" s="372">
        <v>55</v>
      </c>
      <c r="AS110" s="368">
        <f t="shared" si="74"/>
        <v>46307</v>
      </c>
      <c r="AT110" s="368">
        <f>AS110-$AT$98</f>
        <v>46247</v>
      </c>
      <c r="AU110" s="377">
        <f t="shared" si="69"/>
        <v>46232</v>
      </c>
      <c r="AV110" s="368">
        <f t="shared" si="70"/>
        <v>46306</v>
      </c>
      <c r="AW110" s="368">
        <f t="shared" si="71"/>
        <v>46296</v>
      </c>
      <c r="AX110" s="378">
        <f t="shared" si="72"/>
        <v>76</v>
      </c>
      <c r="AY110" s="368">
        <v>46220</v>
      </c>
      <c r="AZ110" s="362" t="s">
        <v>612</v>
      </c>
      <c r="BA110" s="375" t="s">
        <v>613</v>
      </c>
      <c r="BB110" s="487"/>
      <c r="BE110" s="277"/>
      <c r="BF110" s="278"/>
    </row>
    <row r="111" spans="1:58" s="269" customFormat="1" ht="20" customHeight="1">
      <c r="A111" s="270"/>
      <c r="B111" s="357" t="s">
        <v>578</v>
      </c>
      <c r="C111" s="357" t="s">
        <v>619</v>
      </c>
      <c r="D111" s="357" t="s">
        <v>580</v>
      </c>
      <c r="E111" s="357"/>
      <c r="F111" s="357" t="s">
        <v>581</v>
      </c>
      <c r="G111" s="357"/>
      <c r="H111" s="358">
        <v>11</v>
      </c>
      <c r="I111" s="273" t="s">
        <v>618</v>
      </c>
      <c r="J111" s="359">
        <v>205.02500000000001</v>
      </c>
      <c r="K111" s="360"/>
      <c r="L111" s="368" t="s">
        <v>424</v>
      </c>
      <c r="M111" s="368" t="s">
        <v>424</v>
      </c>
      <c r="N111" s="362" t="s">
        <v>424</v>
      </c>
      <c r="O111" s="273"/>
      <c r="P111" s="273"/>
      <c r="Q111" s="273"/>
      <c r="R111" s="363"/>
      <c r="S111" s="364"/>
      <c r="T111" s="365"/>
      <c r="U111" s="366"/>
      <c r="V111" s="366"/>
      <c r="W111" s="367"/>
      <c r="X111" s="368" t="s">
        <v>424</v>
      </c>
      <c r="Y111" s="368" t="s">
        <v>424</v>
      </c>
      <c r="Z111" s="369" t="s">
        <v>424</v>
      </c>
      <c r="AA111" s="370">
        <f>SUMIFS('[36]frm P6'!$J:$J,'[36]frm P6'!D:D,[36]Schedule!B111,'[36]frm P6'!E:E,[36]Schedule!C111,'[36]frm P6'!G:G,[36]Schedule!$Z$98,'[36]frm P6'!H:H,[36]Schedule!F111)</f>
        <v>46361</v>
      </c>
      <c r="AB111" s="361">
        <f>SUMIFS('[36]frm P6'!$K:$K,'[36]frm P6'!D:D,[36]Schedule!B111,'[36]frm P6'!E:E,[36]Schedule!C111,'[36]frm P6'!G:G,[36]Schedule!$Z$98,'[36]frm P6'!H:H,[36]Schedule!F111)</f>
        <v>46406</v>
      </c>
      <c r="AC111" s="362">
        <f t="shared" si="73"/>
        <v>46</v>
      </c>
      <c r="AD111" s="274">
        <v>123.015</v>
      </c>
      <c r="AE111" s="273"/>
      <c r="AF111" s="371"/>
      <c r="AG111" s="370">
        <f>SUMIFS('[36]frm P6'!$J:$J,'[36]frm P6'!D:D,[36]Schedule!B111,'[36]frm P6'!E:E,[36]Schedule!C111,'[36]frm P6'!F:F,[36]Schedule!D111,'[36]frm P6'!G:G,[36]Schedule!$AF$98,'[36]frm P6'!H:H,[36]Schedule!F111)</f>
        <v>46338</v>
      </c>
      <c r="AH111" s="361">
        <f>SUMIFS('[36]frm P6'!$K:$K,'[36]frm P6'!D:D,[36]Schedule!B111,'[36]frm P6'!E:E,[36]Schedule!C111,'[36]frm P6'!F:F,[36]Schedule!D111,'[36]frm P6'!G:G,[36]Schedule!$AF$98,'[36]frm P6'!H:H,[36]Schedule!F111)</f>
        <v>46360</v>
      </c>
      <c r="AI111" s="362">
        <f t="shared" si="67"/>
        <v>23</v>
      </c>
      <c r="AJ111" s="273">
        <v>123.015</v>
      </c>
      <c r="AK111" s="273"/>
      <c r="AL111" s="371"/>
      <c r="AM111" s="420" t="s">
        <v>424</v>
      </c>
      <c r="AN111" s="368" t="s">
        <v>424</v>
      </c>
      <c r="AO111" s="362" t="s">
        <v>424</v>
      </c>
      <c r="AP111" s="273"/>
      <c r="AQ111" s="273"/>
      <c r="AR111" s="372">
        <v>55</v>
      </c>
      <c r="AS111" s="368">
        <f t="shared" si="74"/>
        <v>46335</v>
      </c>
      <c r="AT111" s="368">
        <f>AS111-$AT$98</f>
        <v>46275</v>
      </c>
      <c r="AU111" s="377">
        <f t="shared" si="69"/>
        <v>46260</v>
      </c>
      <c r="AV111" s="368">
        <f t="shared" si="70"/>
        <v>46334</v>
      </c>
      <c r="AW111" s="368">
        <f t="shared" si="71"/>
        <v>46324</v>
      </c>
      <c r="AX111" s="378">
        <f t="shared" si="72"/>
        <v>104</v>
      </c>
      <c r="AY111" s="368">
        <v>46220</v>
      </c>
      <c r="AZ111" s="362" t="s">
        <v>612</v>
      </c>
      <c r="BA111" s="375" t="s">
        <v>613</v>
      </c>
      <c r="BB111" s="487"/>
      <c r="BE111" s="277"/>
      <c r="BF111" s="278"/>
    </row>
    <row r="112" spans="1:58" s="269" customFormat="1" ht="20" customHeight="1">
      <c r="A112" s="270"/>
      <c r="B112" s="357" t="s">
        <v>578</v>
      </c>
      <c r="C112" s="357" t="s">
        <v>620</v>
      </c>
      <c r="D112" s="357" t="s">
        <v>580</v>
      </c>
      <c r="E112" s="357"/>
      <c r="F112" s="357" t="s">
        <v>581</v>
      </c>
      <c r="G112" s="357"/>
      <c r="H112" s="358">
        <v>12</v>
      </c>
      <c r="I112" s="271" t="s">
        <v>621</v>
      </c>
      <c r="J112" s="359"/>
      <c r="K112" s="360"/>
      <c r="L112" s="361">
        <f>SUMIFS('[36]frm P6'!$J:$J,'[36]frm P6'!D:D,[36]Schedule!B112,'[36]frm P6'!E:E,[36]Schedule!C112,'[36]frm P6'!F:F,[36]Schedule!D112,'[36]frm P6'!G:G,[36]Schedule!$K$98,'[36]frm P6'!H:H,[36]Schedule!F112)</f>
        <v>46433</v>
      </c>
      <c r="M112" s="361">
        <f>SUMIFS('[36]frm P6'!$K:$K,'[36]frm P6'!D:D,[36]Schedule!B112,'[36]frm P6'!E:E,[36]Schedule!C112,'[36]frm P6'!F:F,[36]Schedule!D112,'[36]frm P6'!G:G,[36]Schedule!$K$98,'[36]frm P6'!H:H,[36]Schedule!F112)</f>
        <v>46522</v>
      </c>
      <c r="N112" s="362">
        <f t="shared" ref="N112:N120" si="79">M112-L112+1</f>
        <v>90</v>
      </c>
      <c r="O112" s="273"/>
      <c r="P112" s="273"/>
      <c r="Q112" s="273"/>
      <c r="R112" s="363"/>
      <c r="S112" s="364"/>
      <c r="T112" s="365"/>
      <c r="U112" s="366"/>
      <c r="V112" s="366"/>
      <c r="W112" s="367"/>
      <c r="X112" s="368" t="s">
        <v>424</v>
      </c>
      <c r="Y112" s="368" t="s">
        <v>424</v>
      </c>
      <c r="Z112" s="369" t="s">
        <v>424</v>
      </c>
      <c r="AA112" s="420" t="s">
        <v>424</v>
      </c>
      <c r="AB112" s="368" t="s">
        <v>424</v>
      </c>
      <c r="AC112" s="362" t="s">
        <v>424</v>
      </c>
      <c r="AD112" s="274"/>
      <c r="AE112" s="273"/>
      <c r="AF112" s="371"/>
      <c r="AG112" s="420" t="s">
        <v>424</v>
      </c>
      <c r="AH112" s="368" t="s">
        <v>424</v>
      </c>
      <c r="AI112" s="362" t="s">
        <v>424</v>
      </c>
      <c r="AJ112" s="273"/>
      <c r="AK112" s="273"/>
      <c r="AL112" s="371"/>
      <c r="AM112" s="420" t="s">
        <v>424</v>
      </c>
      <c r="AN112" s="368" t="s">
        <v>424</v>
      </c>
      <c r="AO112" s="362" t="s">
        <v>424</v>
      </c>
      <c r="AP112" s="273"/>
      <c r="AQ112" s="273"/>
      <c r="AR112" s="372"/>
      <c r="AS112" s="368">
        <f>L112-AS98</f>
        <v>46430</v>
      </c>
      <c r="AT112" s="368">
        <f t="shared" ref="AT112:AT117" si="80">AS112-60</f>
        <v>46370</v>
      </c>
      <c r="AU112" s="377">
        <f t="shared" si="69"/>
        <v>46355</v>
      </c>
      <c r="AV112" s="368">
        <f>L112-AV98</f>
        <v>46429</v>
      </c>
      <c r="AW112" s="368">
        <f t="shared" si="71"/>
        <v>46419</v>
      </c>
      <c r="AX112" s="378">
        <f t="shared" si="72"/>
        <v>110</v>
      </c>
      <c r="AY112" s="368">
        <v>46309</v>
      </c>
      <c r="AZ112" s="362" t="s">
        <v>622</v>
      </c>
      <c r="BA112" s="375" t="s">
        <v>623</v>
      </c>
      <c r="BB112" s="487"/>
      <c r="BE112" s="277"/>
      <c r="BF112" s="278"/>
    </row>
    <row r="113" spans="1:58" s="269" customFormat="1" ht="20" customHeight="1">
      <c r="A113" s="270"/>
      <c r="B113" s="357" t="s">
        <v>578</v>
      </c>
      <c r="C113" s="357" t="s">
        <v>624</v>
      </c>
      <c r="D113" s="357" t="s">
        <v>580</v>
      </c>
      <c r="E113" s="357"/>
      <c r="F113" s="357" t="s">
        <v>581</v>
      </c>
      <c r="G113" s="357" t="str">
        <f>F113&amp;C113</f>
        <v>01THandrail</v>
      </c>
      <c r="H113" s="358">
        <v>12</v>
      </c>
      <c r="I113" s="271" t="s">
        <v>625</v>
      </c>
      <c r="J113" s="359"/>
      <c r="K113" s="360">
        <f>L113-Y113</f>
        <v>29</v>
      </c>
      <c r="L113" s="361">
        <f>SUMIFS('[36]frm P6'!$J:$J,'[36]frm P6'!D:D,[36]Schedule!B113,'[36]frm P6'!E:E,[36]Schedule!C113,'[36]frm P6'!F:F,[36]Schedule!D113,'[36]frm P6'!G:G,[36]Schedule!$K$98,'[36]frm P6'!H:H,[36]Schedule!F113)</f>
        <v>46484</v>
      </c>
      <c r="M113" s="361">
        <f>SUMIFS('[36]frm P6'!$K:$K,'[36]frm P6'!D:D,[36]Schedule!B113,'[36]frm P6'!E:E,[36]Schedule!C113,'[36]frm P6'!F:F,[36]Schedule!D113,'[36]frm P6'!G:G,[36]Schedule!$K$98,'[36]frm P6'!H:H,[36]Schedule!F113)</f>
        <v>46556</v>
      </c>
      <c r="N113" s="362">
        <f t="shared" si="79"/>
        <v>73</v>
      </c>
      <c r="O113" s="273"/>
      <c r="P113" s="273"/>
      <c r="Q113" s="273"/>
      <c r="R113" s="363"/>
      <c r="S113" s="364"/>
      <c r="T113" s="365"/>
      <c r="U113" s="366"/>
      <c r="V113" s="366"/>
      <c r="W113" s="367"/>
      <c r="X113" s="361">
        <f>SUMIFS('[36]frm P6'!$J:$J,'[36]frm P6'!D:D,[36]Schedule!B113,'[36]frm P6'!E:E,[36]Schedule!C113,'[36]frm P6'!G:G,[36]Schedule!$W$98,'[36]frm P6'!H:H,[36]Schedule!F113)</f>
        <v>46406</v>
      </c>
      <c r="Y113" s="361">
        <f>SUMIFS('[36]frm P6'!$K:$K,'[36]frm P6'!D:D,[36]Schedule!B113,'[36]frm P6'!E:E,[36]Schedule!C113,'[36]frm P6'!G:G,[36]Schedule!$W$98,'[36]frm P6'!H:H,[36]Schedule!F113)</f>
        <v>46455</v>
      </c>
      <c r="Z113" s="369" t="s">
        <v>424</v>
      </c>
      <c r="AA113" s="420" t="s">
        <v>424</v>
      </c>
      <c r="AB113" s="368" t="s">
        <v>424</v>
      </c>
      <c r="AC113" s="362" t="s">
        <v>424</v>
      </c>
      <c r="AD113" s="274"/>
      <c r="AE113" s="273"/>
      <c r="AF113" s="371"/>
      <c r="AG113" s="370">
        <f>SUMIFS('[36]frm P6'!$J:$J,'[36]frm P6'!D:D,[36]Schedule!B113,'[36]frm P6'!E:E,[36]Schedule!C113,'[36]frm P6'!F:F,[36]Schedule!D113,'[36]frm P6'!G:G,[36]Schedule!$AF$98,'[36]frm P6'!H:H,[36]Schedule!F113)</f>
        <v>46394</v>
      </c>
      <c r="AH113" s="361">
        <f>SUMIFS('[36]frm P6'!$K:$K,'[36]frm P6'!D:D,[36]Schedule!B113,'[36]frm P6'!E:E,[36]Schedule!C113,'[36]frm P6'!F:F,[36]Schedule!D113,'[36]frm P6'!G:G,[36]Schedule!$AF$98,'[36]frm P6'!H:H,[36]Schedule!F113)</f>
        <v>46443</v>
      </c>
      <c r="AI113" s="362">
        <f>AH113-AG113+1</f>
        <v>50</v>
      </c>
      <c r="AJ113" s="273"/>
      <c r="AK113" s="273"/>
      <c r="AL113" s="371"/>
      <c r="AM113" s="420" t="s">
        <v>424</v>
      </c>
      <c r="AN113" s="368" t="s">
        <v>424</v>
      </c>
      <c r="AO113" s="362" t="s">
        <v>424</v>
      </c>
      <c r="AP113" s="273"/>
      <c r="AQ113" s="273"/>
      <c r="AR113" s="372"/>
      <c r="AS113" s="368">
        <f t="shared" ref="AS113:AS117" si="81">AG113-$AS$98</f>
        <v>46391</v>
      </c>
      <c r="AT113" s="368">
        <f t="shared" si="80"/>
        <v>46331</v>
      </c>
      <c r="AU113" s="377">
        <f t="shared" si="69"/>
        <v>46316</v>
      </c>
      <c r="AV113" s="368">
        <f t="shared" ref="AV113:AV117" si="82">AG113-$AV$3</f>
        <v>46390</v>
      </c>
      <c r="AW113" s="368">
        <f t="shared" si="71"/>
        <v>46380</v>
      </c>
      <c r="AX113" s="378">
        <f t="shared" si="72"/>
        <v>93</v>
      </c>
      <c r="AY113" s="368">
        <v>46287</v>
      </c>
      <c r="AZ113" s="362" t="s">
        <v>626</v>
      </c>
      <c r="BA113" s="490" t="s">
        <v>627</v>
      </c>
      <c r="BB113" s="487"/>
      <c r="BE113" s="277"/>
      <c r="BF113" s="278"/>
    </row>
    <row r="114" spans="1:58" s="269" customFormat="1" ht="20" customHeight="1">
      <c r="A114" s="270"/>
      <c r="B114" s="357" t="s">
        <v>578</v>
      </c>
      <c r="C114" s="357" t="s">
        <v>628</v>
      </c>
      <c r="D114" s="357" t="s">
        <v>580</v>
      </c>
      <c r="E114" s="357"/>
      <c r="F114" s="357" t="s">
        <v>581</v>
      </c>
      <c r="G114" s="357"/>
      <c r="H114" s="358">
        <v>13</v>
      </c>
      <c r="I114" s="271" t="s">
        <v>629</v>
      </c>
      <c r="J114" s="359"/>
      <c r="K114" s="360">
        <f>L114-Y114</f>
        <v>9</v>
      </c>
      <c r="L114" s="361">
        <f>SUMIFS('[36]frm P6'!$J:$J,'[36]frm P6'!D:D,[36]Schedule!B114,'[36]frm P6'!E:E,[36]Schedule!C114,'[36]frm P6'!F:F,[36]Schedule!D114,'[36]frm P6'!G:G,[36]Schedule!$K$98,'[36]frm P6'!H:H,[36]Schedule!F114)</f>
        <v>46540</v>
      </c>
      <c r="M114" s="361">
        <f>SUMIFS('[36]frm P6'!$K:$K,'[36]frm P6'!D:D,[36]Schedule!B114,'[36]frm P6'!E:E,[36]Schedule!C114,'[36]frm P6'!F:F,[36]Schedule!D114,'[36]frm P6'!G:G,[36]Schedule!$K$98,'[36]frm P6'!H:H,[36]Schedule!F114)</f>
        <v>46568</v>
      </c>
      <c r="N114" s="362">
        <f t="shared" si="79"/>
        <v>29</v>
      </c>
      <c r="O114" s="273"/>
      <c r="P114" s="273"/>
      <c r="Q114" s="273"/>
      <c r="R114" s="363"/>
      <c r="S114" s="364"/>
      <c r="T114" s="365"/>
      <c r="U114" s="366"/>
      <c r="V114" s="366"/>
      <c r="W114" s="367"/>
      <c r="X114" s="361">
        <f>SUMIFS('[36]frm P6'!$J:$J,'[36]frm P6'!D:D,[36]Schedule!B114,'[36]frm P6'!E:E,[36]Schedule!C114,'[36]frm P6'!G:G,[36]Schedule!$W$98,'[36]frm P6'!H:H,[36]Schedule!F114)</f>
        <v>46480</v>
      </c>
      <c r="Y114" s="361">
        <f>SUMIFS('[36]frm P6'!$K:$K,'[36]frm P6'!D:D,[36]Schedule!B114,'[36]frm P6'!E:E,[36]Schedule!C114,'[36]frm P6'!G:G,[36]Schedule!$W$98,'[36]frm P6'!H:H,[36]Schedule!F114)</f>
        <v>46531</v>
      </c>
      <c r="Z114" s="369" t="s">
        <v>424</v>
      </c>
      <c r="AA114" s="420" t="s">
        <v>424</v>
      </c>
      <c r="AB114" s="368" t="s">
        <v>424</v>
      </c>
      <c r="AC114" s="362" t="s">
        <v>424</v>
      </c>
      <c r="AD114" s="274"/>
      <c r="AE114" s="273"/>
      <c r="AF114" s="371"/>
      <c r="AG114" s="370">
        <f>SUMIFS('[36]frm P6'!$J:$J,'[36]frm P6'!D:D,[36]Schedule!B114,'[36]frm P6'!E:E,[36]Schedule!C114,'[36]frm P6'!F:F,[36]Schedule!D114,'[36]frm P6'!G:G,[36]Schedule!$AF$98,'[36]frm P6'!H:H,[36]Schedule!F114)</f>
        <v>46402</v>
      </c>
      <c r="AH114" s="361">
        <f>SUMIFS('[36]frm P6'!$K:$K,'[36]frm P6'!D:D,[36]Schedule!B114,'[36]frm P6'!E:E,[36]Schedule!C114,'[36]frm P6'!F:F,[36]Schedule!D114,'[36]frm P6'!G:G,[36]Schedule!$AF$98,'[36]frm P6'!H:H,[36]Schedule!F114)</f>
        <v>46461</v>
      </c>
      <c r="AI114" s="362">
        <f>AH114-AG114+1</f>
        <v>60</v>
      </c>
      <c r="AJ114" s="273"/>
      <c r="AK114" s="273"/>
      <c r="AL114" s="371"/>
      <c r="AM114" s="420" t="s">
        <v>424</v>
      </c>
      <c r="AN114" s="368" t="s">
        <v>424</v>
      </c>
      <c r="AO114" s="362" t="s">
        <v>424</v>
      </c>
      <c r="AP114" s="273"/>
      <c r="AQ114" s="273"/>
      <c r="AR114" s="372"/>
      <c r="AS114" s="368">
        <f t="shared" si="81"/>
        <v>46399</v>
      </c>
      <c r="AT114" s="368">
        <f t="shared" si="80"/>
        <v>46339</v>
      </c>
      <c r="AU114" s="377">
        <f t="shared" si="69"/>
        <v>46324</v>
      </c>
      <c r="AV114" s="368">
        <f t="shared" si="82"/>
        <v>46398</v>
      </c>
      <c r="AW114" s="368">
        <f t="shared" si="71"/>
        <v>46388</v>
      </c>
      <c r="AX114" s="378">
        <f t="shared" si="72"/>
        <v>94</v>
      </c>
      <c r="AY114" s="368">
        <v>46294</v>
      </c>
      <c r="AZ114" s="362" t="s">
        <v>630</v>
      </c>
      <c r="BA114" s="490" t="s">
        <v>631</v>
      </c>
      <c r="BB114" s="487"/>
      <c r="BE114" s="277"/>
      <c r="BF114" s="278"/>
    </row>
    <row r="115" spans="1:58" s="269" customFormat="1" ht="20" customHeight="1">
      <c r="A115" s="270"/>
      <c r="B115" s="357" t="s">
        <v>578</v>
      </c>
      <c r="C115" s="357" t="s">
        <v>632</v>
      </c>
      <c r="D115" s="357" t="s">
        <v>580</v>
      </c>
      <c r="E115" s="357"/>
      <c r="F115" s="357" t="s">
        <v>581</v>
      </c>
      <c r="G115" s="357"/>
      <c r="H115" s="358">
        <v>14</v>
      </c>
      <c r="I115" s="271" t="s">
        <v>633</v>
      </c>
      <c r="J115" s="359"/>
      <c r="K115" s="360">
        <f>L115-Y115</f>
        <v>19</v>
      </c>
      <c r="L115" s="361">
        <f>SUMIFS('[36]frm P6'!$J:$J,'[36]frm P6'!D:D,[36]Schedule!B115,'[36]frm P6'!E:E,[36]Schedule!C115,'[36]frm P6'!F:F,[36]Schedule!D115,'[36]frm P6'!G:G,[36]Schedule!$K$98,'[36]frm P6'!H:H,[36]Schedule!F115)</f>
        <v>46550</v>
      </c>
      <c r="M115" s="361">
        <f>SUMIFS('[36]frm P6'!$K:$K,'[36]frm P6'!D:D,[36]Schedule!B115,'[36]frm P6'!E:E,[36]Schedule!C115,'[36]frm P6'!F:F,[36]Schedule!D115,'[36]frm P6'!G:G,[36]Schedule!$K$98,'[36]frm P6'!H:H,[36]Schedule!F115)</f>
        <v>46568</v>
      </c>
      <c r="N115" s="362">
        <f t="shared" si="79"/>
        <v>19</v>
      </c>
      <c r="O115" s="273"/>
      <c r="P115" s="273"/>
      <c r="Q115" s="273"/>
      <c r="R115" s="363"/>
      <c r="S115" s="364"/>
      <c r="T115" s="365"/>
      <c r="U115" s="366"/>
      <c r="V115" s="366"/>
      <c r="W115" s="367"/>
      <c r="X115" s="361">
        <f>SUMIFS('[36]frm P6'!$J:$J,'[36]frm P6'!D:D,[36]Schedule!B115,'[36]frm P6'!E:E,[36]Schedule!C115,'[36]frm P6'!G:G,[36]Schedule!$W$98,'[36]frm P6'!H:H,[36]Schedule!F115)</f>
        <v>46514</v>
      </c>
      <c r="Y115" s="361">
        <f>SUMIFS('[36]frm P6'!$K:$K,'[36]frm P6'!D:D,[36]Schedule!B115,'[36]frm P6'!E:E,[36]Schedule!C115,'[36]frm P6'!G:G,[36]Schedule!$W$98,'[36]frm P6'!H:H,[36]Schedule!F115)</f>
        <v>46531</v>
      </c>
      <c r="Z115" s="369" t="s">
        <v>424</v>
      </c>
      <c r="AA115" s="420" t="s">
        <v>424</v>
      </c>
      <c r="AB115" s="368" t="s">
        <v>424</v>
      </c>
      <c r="AC115" s="362" t="s">
        <v>424</v>
      </c>
      <c r="AD115" s="274"/>
      <c r="AE115" s="273"/>
      <c r="AF115" s="371"/>
      <c r="AG115" s="370">
        <f>SUMIFS('[36]frm P6'!$J:$J,'[36]frm P6'!D:D,[36]Schedule!B115,'[36]frm P6'!E:E,[36]Schedule!C115,'[36]frm P6'!F:F,[36]Schedule!D115,'[36]frm P6'!G:G,[36]Schedule!$AF$98,'[36]frm P6'!H:H,[36]Schedule!F115)</f>
        <v>46438</v>
      </c>
      <c r="AH115" s="361">
        <f>SUMIFS('[36]frm P6'!$K:$K,'[36]frm P6'!D:D,[36]Schedule!B115,'[36]frm P6'!E:E,[36]Schedule!C115,'[36]frm P6'!F:F,[36]Schedule!D115,'[36]frm P6'!G:G,[36]Schedule!$AF$98,'[36]frm P6'!H:H,[36]Schedule!F115)</f>
        <v>46461</v>
      </c>
      <c r="AI115" s="362">
        <f>AH115-AG115+1</f>
        <v>24</v>
      </c>
      <c r="AJ115" s="273"/>
      <c r="AK115" s="273"/>
      <c r="AL115" s="371"/>
      <c r="AM115" s="420" t="s">
        <v>424</v>
      </c>
      <c r="AN115" s="368" t="s">
        <v>424</v>
      </c>
      <c r="AO115" s="362" t="s">
        <v>424</v>
      </c>
      <c r="AP115" s="273"/>
      <c r="AQ115" s="273"/>
      <c r="AR115" s="372"/>
      <c r="AS115" s="368">
        <f t="shared" si="81"/>
        <v>46435</v>
      </c>
      <c r="AT115" s="368">
        <f t="shared" si="80"/>
        <v>46375</v>
      </c>
      <c r="AU115" s="377">
        <f t="shared" si="69"/>
        <v>46360</v>
      </c>
      <c r="AV115" s="368">
        <f t="shared" si="82"/>
        <v>46434</v>
      </c>
      <c r="AW115" s="368">
        <f t="shared" si="71"/>
        <v>46424</v>
      </c>
      <c r="AX115" s="378">
        <f t="shared" si="72"/>
        <v>123</v>
      </c>
      <c r="AY115" s="368">
        <v>46301</v>
      </c>
      <c r="AZ115" s="362" t="s">
        <v>634</v>
      </c>
      <c r="BA115" s="490" t="s">
        <v>635</v>
      </c>
      <c r="BB115" s="487"/>
      <c r="BE115" s="277"/>
      <c r="BF115" s="278"/>
    </row>
    <row r="116" spans="1:58" s="269" customFormat="1" ht="20" customHeight="1">
      <c r="A116" s="270"/>
      <c r="B116" s="357" t="s">
        <v>578</v>
      </c>
      <c r="C116" s="357" t="s">
        <v>636</v>
      </c>
      <c r="D116" s="357" t="s">
        <v>580</v>
      </c>
      <c r="E116" s="357"/>
      <c r="F116" s="357" t="s">
        <v>581</v>
      </c>
      <c r="G116" s="357"/>
      <c r="H116" s="358">
        <v>15</v>
      </c>
      <c r="I116" s="271" t="s">
        <v>637</v>
      </c>
      <c r="J116" s="359"/>
      <c r="K116" s="360">
        <f>L116-Y116</f>
        <v>19</v>
      </c>
      <c r="L116" s="361">
        <f>SUMIFS('[36]frm P6'!$J:$J,'[36]frm P6'!D:D,[36]Schedule!B116,'[36]frm P6'!E:E,[36]Schedule!C116,'[36]frm P6'!F:F,[36]Schedule!D116,'[36]frm P6'!G:G,[36]Schedule!$K$98,'[36]frm P6'!H:H,[36]Schedule!F116)</f>
        <v>46550</v>
      </c>
      <c r="M116" s="361">
        <f>SUMIFS('[36]frm P6'!$K:$K,'[36]frm P6'!D:D,[36]Schedule!B116,'[36]frm P6'!E:E,[36]Schedule!C116,'[36]frm P6'!F:F,[36]Schedule!D116,'[36]frm P6'!G:G,[36]Schedule!$K$98,'[36]frm P6'!H:H,[36]Schedule!F116)</f>
        <v>46568</v>
      </c>
      <c r="N116" s="362">
        <f t="shared" si="79"/>
        <v>19</v>
      </c>
      <c r="O116" s="273"/>
      <c r="P116" s="273"/>
      <c r="Q116" s="273"/>
      <c r="R116" s="363"/>
      <c r="S116" s="364"/>
      <c r="T116" s="365"/>
      <c r="U116" s="366"/>
      <c r="V116" s="366"/>
      <c r="W116" s="367"/>
      <c r="X116" s="361">
        <f>SUMIFS('[36]frm P6'!$J:$J,'[36]frm P6'!D:D,[36]Schedule!B116,'[36]frm P6'!E:E,[36]Schedule!C116,'[36]frm P6'!G:G,[36]Schedule!$W$98,'[36]frm P6'!H:H,[36]Schedule!F116)</f>
        <v>46514</v>
      </c>
      <c r="Y116" s="361">
        <f>SUMIFS('[36]frm P6'!$K:$K,'[36]frm P6'!D:D,[36]Schedule!B116,'[36]frm P6'!E:E,[36]Schedule!C116,'[36]frm P6'!G:G,[36]Schedule!$W$98,'[36]frm P6'!H:H,[36]Schedule!F116)</f>
        <v>46531</v>
      </c>
      <c r="Z116" s="369" t="s">
        <v>424</v>
      </c>
      <c r="AA116" s="420" t="s">
        <v>424</v>
      </c>
      <c r="AB116" s="368" t="s">
        <v>424</v>
      </c>
      <c r="AC116" s="362" t="s">
        <v>424</v>
      </c>
      <c r="AD116" s="274"/>
      <c r="AE116" s="273"/>
      <c r="AF116" s="371"/>
      <c r="AG116" s="370">
        <f>SUMIFS('[36]frm P6'!$J:$J,'[36]frm P6'!D:D,[36]Schedule!B116,'[36]frm P6'!E:E,[36]Schedule!C116,'[36]frm P6'!F:F,[36]Schedule!D116,'[36]frm P6'!G:G,[36]Schedule!$AF$98,'[36]frm P6'!H:H,[36]Schedule!F116)</f>
        <v>46438</v>
      </c>
      <c r="AH116" s="361">
        <f>SUMIFS('[36]frm P6'!$K:$K,'[36]frm P6'!D:D,[36]Schedule!B116,'[36]frm P6'!E:E,[36]Schedule!C116,'[36]frm P6'!F:F,[36]Schedule!D116,'[36]frm P6'!G:G,[36]Schedule!$AF$98,'[36]frm P6'!H:H,[36]Schedule!F116)</f>
        <v>46461</v>
      </c>
      <c r="AI116" s="362">
        <f>AH116-AG116+1</f>
        <v>24</v>
      </c>
      <c r="AJ116" s="273"/>
      <c r="AK116" s="273"/>
      <c r="AL116" s="371"/>
      <c r="AM116" s="420" t="s">
        <v>424</v>
      </c>
      <c r="AN116" s="368" t="s">
        <v>424</v>
      </c>
      <c r="AO116" s="362" t="s">
        <v>424</v>
      </c>
      <c r="AP116" s="273"/>
      <c r="AQ116" s="273"/>
      <c r="AR116" s="372"/>
      <c r="AS116" s="368">
        <f t="shared" si="81"/>
        <v>46435</v>
      </c>
      <c r="AT116" s="368">
        <f t="shared" si="80"/>
        <v>46375</v>
      </c>
      <c r="AU116" s="377">
        <f t="shared" si="69"/>
        <v>46360</v>
      </c>
      <c r="AV116" s="368">
        <f t="shared" si="82"/>
        <v>46434</v>
      </c>
      <c r="AW116" s="368">
        <f t="shared" si="71"/>
        <v>46424</v>
      </c>
      <c r="AX116" s="378">
        <f t="shared" si="72"/>
        <v>103</v>
      </c>
      <c r="AY116" s="368">
        <v>46321</v>
      </c>
      <c r="AZ116" s="362" t="s">
        <v>638</v>
      </c>
      <c r="BA116" s="490" t="s">
        <v>639</v>
      </c>
      <c r="BB116" s="487"/>
      <c r="BE116" s="277"/>
      <c r="BF116" s="278"/>
    </row>
    <row r="117" spans="1:58" s="269" customFormat="1" ht="20" customHeight="1">
      <c r="A117" s="270"/>
      <c r="B117" s="357" t="s">
        <v>578</v>
      </c>
      <c r="C117" s="357" t="s">
        <v>489</v>
      </c>
      <c r="D117" s="357" t="s">
        <v>640</v>
      </c>
      <c r="E117" s="357"/>
      <c r="F117" s="357" t="s">
        <v>581</v>
      </c>
      <c r="G117" s="357"/>
      <c r="H117" s="358">
        <v>16</v>
      </c>
      <c r="I117" s="271" t="s">
        <v>641</v>
      </c>
      <c r="J117" s="359"/>
      <c r="K117" s="360">
        <f>L117-Y117</f>
        <v>-17</v>
      </c>
      <c r="L117" s="361">
        <f>SUMIFS('[36]frm P6'!$J:$J,'[36]frm P6'!D:D,[36]Schedule!B117,'[36]frm P6'!E:E,[36]Schedule!C117,'[36]frm P6'!F:F,[36]Schedule!D117,'[36]frm P6'!G:G,[36]Schedule!$K$98,'[36]frm P6'!H:H,[36]Schedule!F117)</f>
        <v>46458</v>
      </c>
      <c r="M117" s="361">
        <f>SUMIFS('[36]frm P6'!$K:$K,'[36]frm P6'!D:D,[36]Schedule!B117,'[36]frm P6'!E:E,[36]Schedule!C117,'[36]frm P6'!F:F,[36]Schedule!D117,'[36]frm P6'!G:G,[36]Schedule!$K$98,'[36]frm P6'!H:H,[36]Schedule!F117)</f>
        <v>46493</v>
      </c>
      <c r="N117" s="362">
        <f t="shared" si="79"/>
        <v>36</v>
      </c>
      <c r="O117" s="273"/>
      <c r="P117" s="273"/>
      <c r="Q117" s="273"/>
      <c r="R117" s="363"/>
      <c r="S117" s="364"/>
      <c r="T117" s="365"/>
      <c r="U117" s="366"/>
      <c r="V117" s="366"/>
      <c r="W117" s="367"/>
      <c r="X117" s="361">
        <f>SUMIFS('[36]frm P6'!$J:$J,'[36]frm P6'!D:D,[36]Schedule!B117,'[36]frm P6'!E:E,[36]Schedule!C117,'[36]frm P6'!F:F,[36]Schedule!D117,'[36]frm P6'!G:G,[36]Schedule!$W$98,'[36]frm P6'!H:H,[36]Schedule!F117)</f>
        <v>46441</v>
      </c>
      <c r="Y117" s="361">
        <f>SUMIFS('[36]frm P6'!$K:$K,'[36]frm P6'!D:D,[36]Schedule!B117,'[36]frm P6'!E:E,[36]Schedule!C117,'[36]frm P6'!F:F,[36]Schedule!D117,'[36]frm P6'!G:G,[36]Schedule!$W$98,'[36]frm P6'!H:H,[36]Schedule!F117)</f>
        <v>46475</v>
      </c>
      <c r="Z117" s="369"/>
      <c r="AA117" s="420" t="s">
        <v>424</v>
      </c>
      <c r="AB117" s="368" t="s">
        <v>424</v>
      </c>
      <c r="AC117" s="362" t="s">
        <v>424</v>
      </c>
      <c r="AD117" s="274"/>
      <c r="AE117" s="273"/>
      <c r="AF117" s="371"/>
      <c r="AG117" s="370">
        <f>SUMIFS('[36]frm P6'!$J:$J,'[36]frm P6'!D:D,[36]Schedule!B117,'[36]frm P6'!E:E,[36]Schedule!C117,'[36]frm P6'!F:F,[36]Schedule!D117,'[36]frm P6'!G:G,[36]Schedule!$AF$98,'[36]frm P6'!H:H,[36]Schedule!F117)</f>
        <v>46414</v>
      </c>
      <c r="AH117" s="361">
        <f>SUMIFS('[36]frm P6'!$K:$K,'[36]frm P6'!D:D,[36]Schedule!B117,'[36]frm P6'!E:E,[36]Schedule!C117,'[36]frm P6'!F:F,[36]Schedule!D117,'[36]frm P6'!G:G,[36]Schedule!$AF$98,'[36]frm P6'!H:H,[36]Schedule!F117)</f>
        <v>46457</v>
      </c>
      <c r="AI117" s="362">
        <f>AH117-AG117+1</f>
        <v>44</v>
      </c>
      <c r="AJ117" s="273"/>
      <c r="AK117" s="273"/>
      <c r="AL117" s="371"/>
      <c r="AM117" s="420" t="s">
        <v>424</v>
      </c>
      <c r="AN117" s="368" t="s">
        <v>424</v>
      </c>
      <c r="AO117" s="362" t="s">
        <v>424</v>
      </c>
      <c r="AP117" s="273"/>
      <c r="AQ117" s="273"/>
      <c r="AR117" s="372"/>
      <c r="AS117" s="368">
        <f t="shared" si="81"/>
        <v>46411</v>
      </c>
      <c r="AT117" s="368">
        <f t="shared" si="80"/>
        <v>46351</v>
      </c>
      <c r="AU117" s="377">
        <f t="shared" si="69"/>
        <v>46336</v>
      </c>
      <c r="AV117" s="368">
        <f t="shared" si="82"/>
        <v>46410</v>
      </c>
      <c r="AW117" s="368">
        <f t="shared" si="71"/>
        <v>46400</v>
      </c>
      <c r="AX117" s="378">
        <f t="shared" si="72"/>
        <v>112</v>
      </c>
      <c r="AY117" s="368">
        <v>46288</v>
      </c>
      <c r="AZ117" s="362" t="s">
        <v>642</v>
      </c>
      <c r="BA117" s="490" t="s">
        <v>643</v>
      </c>
      <c r="BB117" s="487"/>
      <c r="BE117" s="277"/>
      <c r="BF117" s="278"/>
    </row>
    <row r="118" spans="1:58" ht="24.6" customHeight="1">
      <c r="B118" s="438" t="s">
        <v>462</v>
      </c>
      <c r="C118" s="432"/>
      <c r="D118" s="432"/>
      <c r="E118" s="432"/>
      <c r="F118" s="432"/>
      <c r="G118" s="432"/>
      <c r="H118" s="336" t="s">
        <v>644</v>
      </c>
      <c r="I118" s="337"/>
      <c r="J118" s="338"/>
      <c r="K118" s="339"/>
      <c r="L118" s="340">
        <f>MIN(L119:L137)</f>
        <v>46408</v>
      </c>
      <c r="M118" s="340">
        <f>MAX(M119:M137)</f>
        <v>46599</v>
      </c>
      <c r="N118" s="337">
        <f t="shared" si="79"/>
        <v>192</v>
      </c>
      <c r="O118" s="341"/>
      <c r="P118" s="341"/>
      <c r="Q118" s="341"/>
      <c r="R118" s="380"/>
      <c r="S118" s="381"/>
      <c r="T118" s="382"/>
      <c r="U118" s="383"/>
      <c r="V118" s="383"/>
      <c r="W118" s="384"/>
      <c r="X118" s="340">
        <f>MIN(X119:X137)</f>
        <v>46371</v>
      </c>
      <c r="Y118" s="340">
        <f>MAX(Y119:Y137)</f>
        <v>46554</v>
      </c>
      <c r="Z118" s="347">
        <f t="shared" ref="Z118:Z120" si="83">Y118-X118+1</f>
        <v>184</v>
      </c>
      <c r="AA118" s="349">
        <f>MIN(AA119:AA137)</f>
        <v>46323</v>
      </c>
      <c r="AB118" s="340">
        <f>MAX(AB119:AB137)</f>
        <v>46479</v>
      </c>
      <c r="AC118" s="337">
        <f t="shared" ref="AC118" si="84">AB118-AA118+1</f>
        <v>157</v>
      </c>
      <c r="AD118" s="348"/>
      <c r="AE118" s="341"/>
      <c r="AF118" s="350"/>
      <c r="AG118" s="349">
        <f>MIN(AG119:AG137)</f>
        <v>46275</v>
      </c>
      <c r="AH118" s="340">
        <f>MAX(AH119:AH137)</f>
        <v>46487</v>
      </c>
      <c r="AI118" s="337">
        <f t="shared" ref="AI118:AI129" si="85">AH118-AG118+1</f>
        <v>213</v>
      </c>
      <c r="AJ118" s="341"/>
      <c r="AK118" s="341"/>
      <c r="AL118" s="350"/>
      <c r="AM118" s="349">
        <f>MIN(AM119:AM134)</f>
        <v>46303</v>
      </c>
      <c r="AN118" s="340">
        <f>MAX(AN119:AN134)</f>
        <v>46328</v>
      </c>
      <c r="AO118" s="337">
        <f t="shared" ref="AO118:AO119" si="86">AN118-AM118+1</f>
        <v>26</v>
      </c>
      <c r="AP118" s="341"/>
      <c r="AQ118" s="341"/>
      <c r="AR118" s="351"/>
      <c r="AS118" s="340">
        <f>MIN(AS119:AS134)</f>
        <v>46272</v>
      </c>
      <c r="AT118" s="340">
        <f>MIN(AT119:AT134)</f>
        <v>46212</v>
      </c>
      <c r="AU118" s="352">
        <f>MIN(AU119:AU134)</f>
        <v>46197</v>
      </c>
      <c r="AV118" s="353">
        <f>MIN(AV119:AV134)</f>
        <v>46271</v>
      </c>
      <c r="AW118" s="353">
        <f>MIN(AW119:AW134)</f>
        <v>46261</v>
      </c>
      <c r="AX118" s="486"/>
      <c r="AY118" s="340"/>
      <c r="AZ118" s="337"/>
      <c r="BA118" s="337"/>
      <c r="BB118" s="439"/>
      <c r="BC118" s="268"/>
      <c r="BD118" s="268"/>
      <c r="BE118" s="311"/>
      <c r="BF118" s="312"/>
    </row>
    <row r="119" spans="1:58" s="269" customFormat="1" ht="23.45" customHeight="1">
      <c r="A119" s="270"/>
      <c r="B119" s="357" t="s">
        <v>578</v>
      </c>
      <c r="C119" s="357" t="s">
        <v>579</v>
      </c>
      <c r="D119" s="357" t="s">
        <v>580</v>
      </c>
      <c r="E119" s="357"/>
      <c r="F119" s="357" t="s">
        <v>645</v>
      </c>
      <c r="G119" s="357"/>
      <c r="H119" s="358">
        <v>1</v>
      </c>
      <c r="I119" s="271" t="s">
        <v>646</v>
      </c>
      <c r="J119" s="359">
        <v>59.478000000000002</v>
      </c>
      <c r="K119" s="360">
        <f>L119-Y119</f>
        <v>21</v>
      </c>
      <c r="L119" s="361">
        <f>SUMIFS('[36]frm P6'!$J:$J,'[36]frm P6'!D:D,[36]Schedule!B119,'[36]frm P6'!E:E,[36]Schedule!C119,'[36]frm P6'!F:F,[36]Schedule!D119,'[36]frm P6'!G:G,[36]Schedule!$K$98,'[36]frm P6'!H:H,[36]Schedule!F119)</f>
        <v>46408</v>
      </c>
      <c r="M119" s="361">
        <f>SUMIFS('[36]frm P6'!$K:$K,'[36]frm P6'!D:D,[36]Schedule!B119,'[36]frm P6'!E:E,[36]Schedule!C119,'[36]frm P6'!F:F,[36]Schedule!D119,'[36]frm P6'!G:G,[36]Schedule!$K$98,'[36]frm P6'!H:H,[36]Schedule!F119)</f>
        <v>46413</v>
      </c>
      <c r="N119" s="362">
        <f t="shared" si="79"/>
        <v>6</v>
      </c>
      <c r="O119" s="273"/>
      <c r="P119" s="273"/>
      <c r="Q119" s="273"/>
      <c r="R119" s="363"/>
      <c r="S119" s="364"/>
      <c r="T119" s="365"/>
      <c r="U119" s="366"/>
      <c r="V119" s="366"/>
      <c r="W119" s="367"/>
      <c r="X119" s="361">
        <f>SUMIFS('[36]frm P6'!$J:$J,'[36]frm P6'!D:D,[36]Schedule!B119,'[36]frm P6'!E:E,[36]Schedule!C119,'[36]frm P6'!G:G,[36]Schedule!$W$98,'[36]frm P6'!H:H,[36]Schedule!F119)</f>
        <v>46371</v>
      </c>
      <c r="Y119" s="361">
        <f>SUMIFS('[36]frm P6'!$K:$K,'[36]frm P6'!D:D,[36]Schedule!B119,'[36]frm P6'!E:E,[36]Schedule!C119,'[36]frm P6'!G:G,[36]Schedule!$W$98,'[36]frm P6'!H:H,[36]Schedule!F119)</f>
        <v>46387</v>
      </c>
      <c r="Z119" s="369">
        <f t="shared" si="83"/>
        <v>17</v>
      </c>
      <c r="AA119" s="420" t="s">
        <v>424</v>
      </c>
      <c r="AB119" s="368" t="s">
        <v>424</v>
      </c>
      <c r="AC119" s="362" t="s">
        <v>424</v>
      </c>
      <c r="AD119" s="274"/>
      <c r="AE119" s="273"/>
      <c r="AF119" s="371"/>
      <c r="AG119" s="370">
        <f>SUMIFS('[36]frm P6'!$J:$J,'[36]frm P6'!D:D,[36]Schedule!B119,'[36]frm P6'!E:E,[36]Schedule!C119,'[36]frm P6'!F:F,[36]Schedule!D119,'[36]frm P6'!G:G,[36]Schedule!$AF$98,'[36]frm P6'!H:H,[36]Schedule!F119)</f>
        <v>46333</v>
      </c>
      <c r="AH119" s="361">
        <f>SUMIFS('[36]frm P6'!$K:$K,'[36]frm P6'!D:D,[36]Schedule!B119,'[36]frm P6'!E:E,[36]Schedule!C119,'[36]frm P6'!F:F,[36]Schedule!D119,'[36]frm P6'!G:G,[36]Schedule!$AF$98,'[36]frm P6'!H:H,[36]Schedule!F119)</f>
        <v>46370</v>
      </c>
      <c r="AI119" s="362">
        <f t="shared" si="85"/>
        <v>38</v>
      </c>
      <c r="AJ119" s="273">
        <v>59.478000000000002</v>
      </c>
      <c r="AK119" s="273"/>
      <c r="AL119" s="371"/>
      <c r="AM119" s="420">
        <f>AN119-25</f>
        <v>46303</v>
      </c>
      <c r="AN119" s="368">
        <f>AG119-5</f>
        <v>46328</v>
      </c>
      <c r="AO119" s="362">
        <f t="shared" si="86"/>
        <v>26</v>
      </c>
      <c r="AP119" s="273">
        <v>24</v>
      </c>
      <c r="AQ119" s="273" t="s">
        <v>583</v>
      </c>
      <c r="AR119" s="372">
        <v>59</v>
      </c>
      <c r="AS119" s="368">
        <f>AM119-$AS$98</f>
        <v>46300</v>
      </c>
      <c r="AT119" s="368">
        <f>AS119-$AT$98</f>
        <v>46240</v>
      </c>
      <c r="AU119" s="377">
        <f t="shared" ref="AU119:AU135" si="87">AT119-$AU$98</f>
        <v>46225</v>
      </c>
      <c r="AV119" s="368">
        <f t="shared" ref="AV119:AV129" si="88">AG119-$AV$3</f>
        <v>46329</v>
      </c>
      <c r="AW119" s="368">
        <f t="shared" si="71"/>
        <v>46319</v>
      </c>
      <c r="AX119" s="378">
        <f t="shared" ref="AX119:AX135" si="89">AW119-AY119</f>
        <v>113</v>
      </c>
      <c r="AY119" s="368">
        <v>46206</v>
      </c>
      <c r="AZ119" s="362" t="s">
        <v>647</v>
      </c>
      <c r="BA119" s="375" t="s">
        <v>585</v>
      </c>
      <c r="BB119" s="487"/>
      <c r="BE119" s="277"/>
      <c r="BF119" s="278"/>
    </row>
    <row r="120" spans="1:58" s="269" customFormat="1" ht="23.25" customHeight="1">
      <c r="A120" s="270"/>
      <c r="B120" s="357" t="s">
        <v>578</v>
      </c>
      <c r="C120" s="357" t="s">
        <v>586</v>
      </c>
      <c r="D120" s="357" t="s">
        <v>580</v>
      </c>
      <c r="E120" s="357"/>
      <c r="F120" s="357" t="s">
        <v>645</v>
      </c>
      <c r="G120" s="357"/>
      <c r="H120" s="358">
        <v>2</v>
      </c>
      <c r="I120" s="271" t="s">
        <v>648</v>
      </c>
      <c r="J120" s="359">
        <v>25.184000000000001</v>
      </c>
      <c r="K120" s="360">
        <f>L120-Y120</f>
        <v>2</v>
      </c>
      <c r="L120" s="361">
        <f>SUMIFS('[36]frm P6'!$J:$J,'[36]frm P6'!D:D,[36]Schedule!B120,'[36]frm P6'!E:E,[36]Schedule!C120,'[36]frm P6'!F:F,[36]Schedule!D120,'[36]frm P6'!G:G,[36]Schedule!$K$98,'[36]frm P6'!H:H,[36]Schedule!F120)</f>
        <v>46438</v>
      </c>
      <c r="M120" s="361">
        <f>SUMIFS('[36]frm P6'!$K:$K,'[36]frm P6'!D:D,[36]Schedule!B120,'[36]frm P6'!E:E,[36]Schedule!C120,'[36]frm P6'!F:F,[36]Schedule!D120,'[36]frm P6'!G:G,[36]Schedule!$K$98,'[36]frm P6'!H:H,[36]Schedule!F120)</f>
        <v>46461</v>
      </c>
      <c r="N120" s="362">
        <f t="shared" si="79"/>
        <v>24</v>
      </c>
      <c r="O120" s="273"/>
      <c r="P120" s="273"/>
      <c r="Q120" s="273"/>
      <c r="R120" s="363"/>
      <c r="S120" s="364"/>
      <c r="T120" s="365"/>
      <c r="U120" s="366"/>
      <c r="V120" s="366"/>
      <c r="W120" s="367"/>
      <c r="X120" s="361">
        <f>SUMIFS('[36]frm P6'!$J:$J,'[36]frm P6'!D:D,[36]Schedule!B120,'[36]frm P6'!E:E,[36]Schedule!C120,'[36]frm P6'!G:G,[36]Schedule!$W$98,'[36]frm P6'!H:H,[36]Schedule!F120)</f>
        <v>46403</v>
      </c>
      <c r="Y120" s="361">
        <f>SUMIFS('[36]frm P6'!$K:$K,'[36]frm P6'!D:D,[36]Schedule!B120,'[36]frm P6'!E:E,[36]Schedule!C120,'[36]frm P6'!G:G,[36]Schedule!$W$98,'[36]frm P6'!H:H,[36]Schedule!F120)</f>
        <v>46436</v>
      </c>
      <c r="Z120" s="369">
        <f t="shared" si="83"/>
        <v>34</v>
      </c>
      <c r="AA120" s="370">
        <f>SUMIFS('[36]frm P6'!$J:$J,'[36]frm P6'!D:D,[36]Schedule!B120,'[36]frm P6'!E:E,[36]Schedule!C120,'[36]frm P6'!G:G,[36]Schedule!$Z$98,'[36]frm P6'!H:H,[36]Schedule!F120)</f>
        <v>46323</v>
      </c>
      <c r="AB120" s="361">
        <f>SUMIFS('[36]frm P6'!$K:$K,'[36]frm P6'!D:D,[36]Schedule!B120,'[36]frm P6'!E:E,[36]Schedule!C120,'[36]frm P6'!G:G,[36]Schedule!$Z$98,'[36]frm P6'!H:H,[36]Schedule!F120)</f>
        <v>46356</v>
      </c>
      <c r="AC120" s="362">
        <f t="shared" ref="AC120:AC129" si="90">AB120-AA120+1</f>
        <v>34</v>
      </c>
      <c r="AD120" s="274">
        <v>15.1104</v>
      </c>
      <c r="AE120" s="273"/>
      <c r="AF120" s="371"/>
      <c r="AG120" s="370">
        <f>SUMIFS('[36]frm P6'!$J:$J,'[36]frm P6'!D:D,[36]Schedule!B120,'[36]frm P6'!E:E,[36]Schedule!C120,'[36]frm P6'!F:F,[36]Schedule!D120,'[36]frm P6'!G:G,[36]Schedule!$AF$98,'[36]frm P6'!H:H,[36]Schedule!F120)</f>
        <v>46293</v>
      </c>
      <c r="AH120" s="361">
        <f>SUMIFS('[36]frm P6'!$K:$K,'[36]frm P6'!D:D,[36]Schedule!B120,'[36]frm P6'!E:E,[36]Schedule!C120,'[36]frm P6'!F:F,[36]Schedule!D120,'[36]frm P6'!G:G,[36]Schedule!$AF$98,'[36]frm P6'!H:H,[36]Schedule!F120)</f>
        <v>46322</v>
      </c>
      <c r="AI120" s="362">
        <f t="shared" si="85"/>
        <v>30</v>
      </c>
      <c r="AJ120" s="273">
        <v>15.1104</v>
      </c>
      <c r="AK120" s="273"/>
      <c r="AL120" s="371"/>
      <c r="AM120" s="420" t="s">
        <v>424</v>
      </c>
      <c r="AN120" s="368" t="s">
        <v>424</v>
      </c>
      <c r="AO120" s="362" t="s">
        <v>424</v>
      </c>
      <c r="AP120" s="273"/>
      <c r="AQ120" s="273"/>
      <c r="AR120" s="372">
        <v>55</v>
      </c>
      <c r="AS120" s="368">
        <f t="shared" ref="AS120:AS129" si="91">AG120-$AS$98</f>
        <v>46290</v>
      </c>
      <c r="AT120" s="368">
        <f>AS120-$AT$98</f>
        <v>46230</v>
      </c>
      <c r="AU120" s="377">
        <f t="shared" si="87"/>
        <v>46215</v>
      </c>
      <c r="AV120" s="368">
        <f t="shared" si="88"/>
        <v>46289</v>
      </c>
      <c r="AW120" s="368">
        <f t="shared" si="71"/>
        <v>46279</v>
      </c>
      <c r="AX120" s="378">
        <f t="shared" si="89"/>
        <v>45</v>
      </c>
      <c r="AY120" s="368">
        <v>46234</v>
      </c>
      <c r="AZ120" s="362" t="s">
        <v>649</v>
      </c>
      <c r="BA120" s="375" t="s">
        <v>589</v>
      </c>
      <c r="BB120" s="487"/>
      <c r="BE120" s="277"/>
      <c r="BF120" s="278"/>
    </row>
    <row r="121" spans="1:58" s="269" customFormat="1" ht="23.45" customHeight="1">
      <c r="A121" s="270"/>
      <c r="B121" s="357" t="s">
        <v>578</v>
      </c>
      <c r="C121" s="357" t="s">
        <v>590</v>
      </c>
      <c r="D121" s="357" t="s">
        <v>580</v>
      </c>
      <c r="E121" s="357"/>
      <c r="F121" s="357" t="s">
        <v>645</v>
      </c>
      <c r="G121" s="357"/>
      <c r="H121" s="358">
        <v>3</v>
      </c>
      <c r="I121" s="273" t="s">
        <v>591</v>
      </c>
      <c r="J121" s="488"/>
      <c r="K121" s="489"/>
      <c r="L121" s="368" t="s">
        <v>424</v>
      </c>
      <c r="M121" s="368" t="s">
        <v>424</v>
      </c>
      <c r="N121" s="362" t="s">
        <v>424</v>
      </c>
      <c r="O121" s="273"/>
      <c r="P121" s="273"/>
      <c r="Q121" s="273"/>
      <c r="R121" s="363"/>
      <c r="S121" s="364"/>
      <c r="T121" s="365"/>
      <c r="U121" s="366"/>
      <c r="V121" s="366"/>
      <c r="W121" s="367"/>
      <c r="X121" s="368" t="s">
        <v>424</v>
      </c>
      <c r="Y121" s="368" t="s">
        <v>424</v>
      </c>
      <c r="Z121" s="369" t="s">
        <v>424</v>
      </c>
      <c r="AA121" s="370">
        <f>SUMIFS('[36]frm P6'!$J:$J,'[36]frm P6'!D:D,[36]Schedule!B121,'[36]frm P6'!E:E,[36]Schedule!C121,'[36]frm P6'!G:G,[36]Schedule!$Z$98,'[36]frm P6'!H:H,[36]Schedule!F121)</f>
        <v>46358</v>
      </c>
      <c r="AB121" s="361">
        <f>SUMIFS('[36]frm P6'!$K:$K,'[36]frm P6'!D:D,[36]Schedule!B121,'[36]frm P6'!E:E,[36]Schedule!C121,'[36]frm P6'!G:G,[36]Schedule!$Z$98,'[36]frm P6'!H:H,[36]Schedule!F121)</f>
        <v>46403</v>
      </c>
      <c r="AC121" s="362">
        <f t="shared" si="90"/>
        <v>46</v>
      </c>
      <c r="AD121" s="274">
        <v>10.073600000000001</v>
      </c>
      <c r="AE121" s="273"/>
      <c r="AF121" s="371"/>
      <c r="AG121" s="370">
        <f>SUMIFS('[36]frm P6'!$J:$J,'[36]frm P6'!D:D,[36]Schedule!B121,'[36]frm P6'!E:E,[36]Schedule!C121,'[36]frm P6'!F:F,[36]Schedule!D121,'[36]frm P6'!G:G,[36]Schedule!$AF$98,'[36]frm P6'!H:H,[36]Schedule!F121)</f>
        <v>46323</v>
      </c>
      <c r="AH121" s="361">
        <f>SUMIFS('[36]frm P6'!$K:$K,'[36]frm P6'!D:D,[36]Schedule!B121,'[36]frm P6'!E:E,[36]Schedule!C121,'[36]frm P6'!F:F,[36]Schedule!D121,'[36]frm P6'!G:G,[36]Schedule!$AF$98,'[36]frm P6'!H:H,[36]Schedule!F121)</f>
        <v>46357</v>
      </c>
      <c r="AI121" s="362">
        <f t="shared" si="85"/>
        <v>35</v>
      </c>
      <c r="AJ121" s="273">
        <v>10.073600000000001</v>
      </c>
      <c r="AK121" s="273"/>
      <c r="AL121" s="371"/>
      <c r="AM121" s="420" t="s">
        <v>424</v>
      </c>
      <c r="AN121" s="368" t="s">
        <v>424</v>
      </c>
      <c r="AO121" s="362" t="s">
        <v>424</v>
      </c>
      <c r="AP121" s="273"/>
      <c r="AQ121" s="273"/>
      <c r="AR121" s="372">
        <v>57</v>
      </c>
      <c r="AS121" s="368">
        <f t="shared" si="91"/>
        <v>46320</v>
      </c>
      <c r="AT121" s="368">
        <f>AS121-90</f>
        <v>46230</v>
      </c>
      <c r="AU121" s="377">
        <f t="shared" si="87"/>
        <v>46215</v>
      </c>
      <c r="AV121" s="368">
        <f t="shared" si="88"/>
        <v>46319</v>
      </c>
      <c r="AW121" s="368">
        <f t="shared" si="71"/>
        <v>46309</v>
      </c>
      <c r="AX121" s="378">
        <f t="shared" si="89"/>
        <v>75</v>
      </c>
      <c r="AY121" s="368">
        <v>46234</v>
      </c>
      <c r="AZ121" s="362" t="s">
        <v>650</v>
      </c>
      <c r="BA121" s="375" t="s">
        <v>593</v>
      </c>
      <c r="BB121" s="487"/>
      <c r="BE121" s="277"/>
      <c r="BF121" s="278"/>
    </row>
    <row r="122" spans="1:58" s="269" customFormat="1" ht="23.45" customHeight="1">
      <c r="A122" s="270"/>
      <c r="B122" s="357" t="s">
        <v>578</v>
      </c>
      <c r="C122" s="357" t="s">
        <v>594</v>
      </c>
      <c r="D122" s="357" t="s">
        <v>580</v>
      </c>
      <c r="E122" s="357"/>
      <c r="F122" s="357" t="s">
        <v>645</v>
      </c>
      <c r="G122" s="357"/>
      <c r="H122" s="358">
        <v>4</v>
      </c>
      <c r="I122" s="271" t="s">
        <v>651</v>
      </c>
      <c r="J122" s="359">
        <v>178.28899999999999</v>
      </c>
      <c r="K122" s="360">
        <f>L122-Y122</f>
        <v>12</v>
      </c>
      <c r="L122" s="361">
        <f>SUMIFS('[36]frm P6'!$J:$J,'[36]frm P6'!D:D,[36]Schedule!B122,'[36]frm P6'!E:E,[36]Schedule!C122,'[36]frm P6'!F:F,[36]Schedule!D122,'[36]frm P6'!G:G,[36]Schedule!$K$98,'[36]frm P6'!H:H,[36]Schedule!F122)</f>
        <v>46461</v>
      </c>
      <c r="M122" s="361">
        <f>SUMIFS('[36]frm P6'!$K:$K,'[36]frm P6'!D:D,[36]Schedule!B122,'[36]frm P6'!E:E,[36]Schedule!C122,'[36]frm P6'!F:F,[36]Schedule!D122,'[36]frm P6'!G:G,[36]Schedule!$K$98,'[36]frm P6'!H:H,[36]Schedule!F122)</f>
        <v>46490</v>
      </c>
      <c r="N122" s="362">
        <f>M122-L122+1</f>
        <v>30</v>
      </c>
      <c r="O122" s="273"/>
      <c r="P122" s="273"/>
      <c r="Q122" s="273"/>
      <c r="R122" s="363"/>
      <c r="S122" s="364"/>
      <c r="T122" s="365"/>
      <c r="U122" s="366"/>
      <c r="V122" s="366"/>
      <c r="W122" s="367"/>
      <c r="X122" s="361">
        <f>SUMIFS('[36]frm P6'!$J:$J,'[36]frm P6'!D:D,[36]Schedule!B122,'[36]frm P6'!E:E,[36]Schedule!C122,'[36]frm P6'!G:G,[36]Schedule!$W$98,'[36]frm P6'!H:H,[36]Schedule!F122)</f>
        <v>46417</v>
      </c>
      <c r="Y122" s="361">
        <f>SUMIFS('[36]frm P6'!$K:$K,'[36]frm P6'!D:D,[36]Schedule!B122,'[36]frm P6'!E:E,[36]Schedule!C122,'[36]frm P6'!G:G,[36]Schedule!$W$98,'[36]frm P6'!H:H,[36]Schedule!F122)</f>
        <v>46449</v>
      </c>
      <c r="Z122" s="369">
        <f t="shared" ref="Z122" si="92">Y122-X122+1</f>
        <v>33</v>
      </c>
      <c r="AA122" s="370">
        <f>SUMIFS('[36]frm P6'!$J:$J,'[36]frm P6'!D:D,[36]Schedule!B122,'[36]frm P6'!E:E,[36]Schedule!C122,'[36]frm P6'!G:G,[36]Schedule!$Z$98,'[36]frm P6'!H:H,[36]Schedule!F122)</f>
        <v>46336</v>
      </c>
      <c r="AB122" s="361">
        <f>SUMIFS('[36]frm P6'!$K:$K,'[36]frm P6'!D:D,[36]Schedule!B122,'[36]frm P6'!E:E,[36]Schedule!C122,'[36]frm P6'!G:G,[36]Schedule!$Z$98,'[36]frm P6'!H:H,[36]Schedule!F122)</f>
        <v>46406</v>
      </c>
      <c r="AC122" s="362">
        <f t="shared" si="90"/>
        <v>71</v>
      </c>
      <c r="AD122" s="274">
        <v>106.9734</v>
      </c>
      <c r="AE122" s="273"/>
      <c r="AF122" s="371"/>
      <c r="AG122" s="370">
        <f>SUMIFS('[36]frm P6'!$J:$J,'[36]frm P6'!D:D,[36]Schedule!B122,'[36]frm P6'!E:E,[36]Schedule!C122,'[36]frm P6'!F:F,[36]Schedule!D122,'[36]frm P6'!G:G,[36]Schedule!$AF$98,'[36]frm P6'!H:H,[36]Schedule!F122)</f>
        <v>46275</v>
      </c>
      <c r="AH122" s="361">
        <f>SUMIFS('[36]frm P6'!$K:$K,'[36]frm P6'!D:D,[36]Schedule!B122,'[36]frm P6'!E:E,[36]Schedule!C122,'[36]frm P6'!F:F,[36]Schedule!D122,'[36]frm P6'!G:G,[36]Schedule!$AF$98,'[36]frm P6'!H:H,[36]Schedule!F122)</f>
        <v>46352</v>
      </c>
      <c r="AI122" s="362">
        <f t="shared" si="85"/>
        <v>78</v>
      </c>
      <c r="AJ122" s="273">
        <v>106.9734</v>
      </c>
      <c r="AK122" s="273"/>
      <c r="AL122" s="371"/>
      <c r="AM122" s="420" t="s">
        <v>424</v>
      </c>
      <c r="AN122" s="368" t="s">
        <v>424</v>
      </c>
      <c r="AO122" s="362" t="s">
        <v>424</v>
      </c>
      <c r="AP122" s="273"/>
      <c r="AQ122" s="273"/>
      <c r="AR122" s="372">
        <v>55</v>
      </c>
      <c r="AS122" s="368">
        <f t="shared" si="91"/>
        <v>46272</v>
      </c>
      <c r="AT122" s="368">
        <f>AS122-$AT$98</f>
        <v>46212</v>
      </c>
      <c r="AU122" s="377">
        <f t="shared" si="87"/>
        <v>46197</v>
      </c>
      <c r="AV122" s="368">
        <f t="shared" si="88"/>
        <v>46271</v>
      </c>
      <c r="AW122" s="368">
        <f t="shared" si="71"/>
        <v>46261</v>
      </c>
      <c r="AX122" s="378">
        <f t="shared" si="89"/>
        <v>41</v>
      </c>
      <c r="AY122" s="368">
        <v>46220</v>
      </c>
      <c r="AZ122" s="362" t="s">
        <v>652</v>
      </c>
      <c r="BA122" s="375" t="s">
        <v>597</v>
      </c>
      <c r="BB122" s="487"/>
      <c r="BE122" s="277"/>
      <c r="BF122" s="278"/>
    </row>
    <row r="123" spans="1:58" s="269" customFormat="1" ht="23.45" customHeight="1">
      <c r="A123" s="270"/>
      <c r="B123" s="357" t="s">
        <v>578</v>
      </c>
      <c r="C123" s="357" t="s">
        <v>598</v>
      </c>
      <c r="D123" s="357" t="s">
        <v>580</v>
      </c>
      <c r="E123" s="357"/>
      <c r="F123" s="357" t="s">
        <v>645</v>
      </c>
      <c r="G123" s="357"/>
      <c r="H123" s="358">
        <v>5</v>
      </c>
      <c r="I123" s="273" t="s">
        <v>599</v>
      </c>
      <c r="J123" s="488"/>
      <c r="K123" s="489"/>
      <c r="L123" s="368" t="s">
        <v>424</v>
      </c>
      <c r="M123" s="368" t="s">
        <v>424</v>
      </c>
      <c r="N123" s="362" t="s">
        <v>424</v>
      </c>
      <c r="O123" s="273"/>
      <c r="P123" s="273"/>
      <c r="Q123" s="273"/>
      <c r="R123" s="363"/>
      <c r="S123" s="364"/>
      <c r="T123" s="365"/>
      <c r="U123" s="366"/>
      <c r="V123" s="366"/>
      <c r="W123" s="367"/>
      <c r="X123" s="368" t="s">
        <v>424</v>
      </c>
      <c r="Y123" s="368" t="s">
        <v>424</v>
      </c>
      <c r="Z123" s="369" t="s">
        <v>424</v>
      </c>
      <c r="AA123" s="370">
        <f>SUMIFS('[36]frm P6'!$J:$J,'[36]frm P6'!D:D,[36]Schedule!B123,'[36]frm P6'!E:E,[36]Schedule!C123,'[36]frm P6'!G:G,[36]Schedule!$Z$98,'[36]frm P6'!H:H,[36]Schedule!F123)</f>
        <v>46352</v>
      </c>
      <c r="AB123" s="361">
        <f>SUMIFS('[36]frm P6'!$K:$K,'[36]frm P6'!D:D,[36]Schedule!B123,'[36]frm P6'!E:E,[36]Schedule!C123,'[36]frm P6'!G:G,[36]Schedule!$Z$98,'[36]frm P6'!H:H,[36]Schedule!F123)</f>
        <v>46416</v>
      </c>
      <c r="AC123" s="362">
        <f t="shared" si="90"/>
        <v>65</v>
      </c>
      <c r="AD123" s="274">
        <v>71.315600000000003</v>
      </c>
      <c r="AE123" s="273"/>
      <c r="AF123" s="371"/>
      <c r="AG123" s="370">
        <f>SUMIFS('[36]frm P6'!$J:$J,'[36]frm P6'!D:D,[36]Schedule!B123,'[36]frm P6'!E:E,[36]Schedule!C123,'[36]frm P6'!F:F,[36]Schedule!D123,'[36]frm P6'!G:G,[36]Schedule!$AF$98,'[36]frm P6'!H:H,[36]Schedule!F123)</f>
        <v>46311</v>
      </c>
      <c r="AH123" s="361">
        <f>SUMIFS('[36]frm P6'!$K:$K,'[36]frm P6'!D:D,[36]Schedule!B123,'[36]frm P6'!E:E,[36]Schedule!C123,'[36]frm P6'!F:F,[36]Schedule!D123,'[36]frm P6'!G:G,[36]Schedule!$AF$98,'[36]frm P6'!H:H,[36]Schedule!F123)</f>
        <v>46363</v>
      </c>
      <c r="AI123" s="362">
        <f t="shared" si="85"/>
        <v>53</v>
      </c>
      <c r="AJ123" s="273">
        <v>71.315600000000003</v>
      </c>
      <c r="AK123" s="273"/>
      <c r="AL123" s="371"/>
      <c r="AM123" s="420" t="s">
        <v>424</v>
      </c>
      <c r="AN123" s="368" t="s">
        <v>424</v>
      </c>
      <c r="AO123" s="362" t="s">
        <v>424</v>
      </c>
      <c r="AP123" s="273"/>
      <c r="AQ123" s="273"/>
      <c r="AR123" s="372">
        <v>57</v>
      </c>
      <c r="AS123" s="368">
        <f t="shared" si="91"/>
        <v>46308</v>
      </c>
      <c r="AT123" s="368">
        <f>AS123-90</f>
        <v>46218</v>
      </c>
      <c r="AU123" s="377">
        <f t="shared" si="87"/>
        <v>46203</v>
      </c>
      <c r="AV123" s="368">
        <f t="shared" si="88"/>
        <v>46307</v>
      </c>
      <c r="AW123" s="368">
        <f t="shared" si="71"/>
        <v>46297</v>
      </c>
      <c r="AX123" s="378">
        <f t="shared" si="89"/>
        <v>63</v>
      </c>
      <c r="AY123" s="368">
        <v>46234</v>
      </c>
      <c r="AZ123" s="362" t="s">
        <v>653</v>
      </c>
      <c r="BA123" s="375" t="s">
        <v>601</v>
      </c>
      <c r="BB123" s="487"/>
      <c r="BE123" s="277"/>
      <c r="BF123" s="278"/>
    </row>
    <row r="124" spans="1:58" s="269" customFormat="1" ht="23.45" customHeight="1">
      <c r="A124" s="270"/>
      <c r="B124" s="357" t="s">
        <v>578</v>
      </c>
      <c r="C124" s="357" t="s">
        <v>602</v>
      </c>
      <c r="D124" s="357" t="s">
        <v>580</v>
      </c>
      <c r="E124" s="357"/>
      <c r="F124" s="357" t="s">
        <v>645</v>
      </c>
      <c r="G124" s="357"/>
      <c r="H124" s="358">
        <v>6</v>
      </c>
      <c r="I124" s="271" t="s">
        <v>654</v>
      </c>
      <c r="J124" s="359">
        <v>12.423999999999999</v>
      </c>
      <c r="K124" s="360">
        <f>L124-Y124</f>
        <v>19</v>
      </c>
      <c r="L124" s="361">
        <f>SUMIFS('[36]frm P6'!$J:$J,'[36]frm P6'!D:D,[36]Schedule!B124,'[36]frm P6'!E:E,[36]Schedule!C124,'[36]frm P6'!F:F,[36]Schedule!D124,'[36]frm P6'!G:G,[36]Schedule!$K$98,'[36]frm P6'!H:H,[36]Schedule!F124)</f>
        <v>46490</v>
      </c>
      <c r="M124" s="361">
        <f>SUMIFS('[36]frm P6'!$K:$K,'[36]frm P6'!D:D,[36]Schedule!B124,'[36]frm P6'!E:E,[36]Schedule!C124,'[36]frm P6'!F:F,[36]Schedule!D124,'[36]frm P6'!G:G,[36]Schedule!$K$98,'[36]frm P6'!H:H,[36]Schedule!F124)</f>
        <v>46513</v>
      </c>
      <c r="N124" s="362">
        <f>M124-L124+1</f>
        <v>24</v>
      </c>
      <c r="O124" s="273"/>
      <c r="P124" s="273"/>
      <c r="Q124" s="273"/>
      <c r="R124" s="363"/>
      <c r="S124" s="364"/>
      <c r="T124" s="365"/>
      <c r="U124" s="366"/>
      <c r="V124" s="366"/>
      <c r="W124" s="367"/>
      <c r="X124" s="361">
        <f>SUMIFS('[36]frm P6'!$J:$J,'[36]frm P6'!D:D,[36]Schedule!B124,'[36]frm P6'!E:E,[36]Schedule!C124,'[36]frm P6'!G:G,[36]Schedule!$W$98,'[36]frm P6'!H:H,[36]Schedule!F124)</f>
        <v>46454</v>
      </c>
      <c r="Y124" s="361">
        <f>SUMIFS('[36]frm P6'!$K:$K,'[36]frm P6'!D:D,[36]Schedule!B124,'[36]frm P6'!E:E,[36]Schedule!C124,'[36]frm P6'!G:G,[36]Schedule!$W$98,'[36]frm P6'!H:H,[36]Schedule!F124)</f>
        <v>46471</v>
      </c>
      <c r="Z124" s="369">
        <f t="shared" ref="Z124" si="93">Y124-X124+1</f>
        <v>18</v>
      </c>
      <c r="AA124" s="370">
        <f>SUMIFS('[36]frm P6'!$J:$J,'[36]frm P6'!D:D,[36]Schedule!B124,'[36]frm P6'!E:E,[36]Schedule!C124,'[36]frm P6'!G:G,[36]Schedule!$Z$98,'[36]frm P6'!H:H,[36]Schedule!F124)</f>
        <v>46368</v>
      </c>
      <c r="AB124" s="361">
        <f>SUMIFS('[36]frm P6'!$K:$K,'[36]frm P6'!D:D,[36]Schedule!B124,'[36]frm P6'!E:E,[36]Schedule!C124,'[36]frm P6'!G:G,[36]Schedule!$Z$98,'[36]frm P6'!H:H,[36]Schedule!F124)</f>
        <v>46402</v>
      </c>
      <c r="AC124" s="362">
        <f t="shared" si="90"/>
        <v>35</v>
      </c>
      <c r="AD124" s="274">
        <v>7.4543999999999997</v>
      </c>
      <c r="AE124" s="273"/>
      <c r="AF124" s="371"/>
      <c r="AG124" s="370">
        <f>SUMIFS('[36]frm P6'!$J:$J,'[36]frm P6'!D:D,[36]Schedule!B124,'[36]frm P6'!E:E,[36]Schedule!C124,'[36]frm P6'!F:F,[36]Schedule!D124,'[36]frm P6'!G:G,[36]Schedule!$AF$98,'[36]frm P6'!H:H,[36]Schedule!F124)</f>
        <v>46311</v>
      </c>
      <c r="AH124" s="361">
        <f>SUMIFS('[36]frm P6'!$K:$K,'[36]frm P6'!D:D,[36]Schedule!B124,'[36]frm P6'!E:E,[36]Schedule!C124,'[36]frm P6'!F:F,[36]Schedule!D124,'[36]frm P6'!G:G,[36]Schedule!$AF$98,'[36]frm P6'!H:H,[36]Schedule!F124)</f>
        <v>46339</v>
      </c>
      <c r="AI124" s="362">
        <f t="shared" si="85"/>
        <v>29</v>
      </c>
      <c r="AJ124" s="273">
        <v>7.4543999999999997</v>
      </c>
      <c r="AK124" s="273"/>
      <c r="AL124" s="371"/>
      <c r="AM124" s="420" t="s">
        <v>424</v>
      </c>
      <c r="AN124" s="368" t="s">
        <v>424</v>
      </c>
      <c r="AO124" s="362" t="s">
        <v>424</v>
      </c>
      <c r="AP124" s="273"/>
      <c r="AQ124" s="273"/>
      <c r="AR124" s="372">
        <v>55</v>
      </c>
      <c r="AS124" s="368">
        <f t="shared" si="91"/>
        <v>46308</v>
      </c>
      <c r="AT124" s="368">
        <f>AS124-$AT$98</f>
        <v>46248</v>
      </c>
      <c r="AU124" s="377">
        <f t="shared" si="87"/>
        <v>46233</v>
      </c>
      <c r="AV124" s="368">
        <f t="shared" si="88"/>
        <v>46307</v>
      </c>
      <c r="AW124" s="368">
        <f t="shared" si="71"/>
        <v>46297</v>
      </c>
      <c r="AX124" s="378">
        <f t="shared" si="89"/>
        <v>63</v>
      </c>
      <c r="AY124" s="368">
        <v>46234</v>
      </c>
      <c r="AZ124" s="362" t="s">
        <v>655</v>
      </c>
      <c r="BA124" s="375" t="s">
        <v>605</v>
      </c>
      <c r="BB124" s="487"/>
      <c r="BE124" s="277"/>
      <c r="BF124" s="278"/>
    </row>
    <row r="125" spans="1:58" s="269" customFormat="1" ht="23.45" customHeight="1">
      <c r="A125" s="270"/>
      <c r="B125" s="357" t="s">
        <v>578</v>
      </c>
      <c r="C125" s="357" t="s">
        <v>606</v>
      </c>
      <c r="D125" s="357" t="s">
        <v>580</v>
      </c>
      <c r="E125" s="357"/>
      <c r="F125" s="357" t="s">
        <v>645</v>
      </c>
      <c r="G125" s="357"/>
      <c r="H125" s="358">
        <v>7</v>
      </c>
      <c r="I125" s="273" t="s">
        <v>607</v>
      </c>
      <c r="J125" s="488"/>
      <c r="K125" s="489"/>
      <c r="L125" s="368" t="s">
        <v>424</v>
      </c>
      <c r="M125" s="368" t="s">
        <v>424</v>
      </c>
      <c r="N125" s="362" t="s">
        <v>424</v>
      </c>
      <c r="O125" s="273"/>
      <c r="P125" s="273"/>
      <c r="Q125" s="273"/>
      <c r="R125" s="363"/>
      <c r="S125" s="364"/>
      <c r="T125" s="365"/>
      <c r="U125" s="366"/>
      <c r="V125" s="366"/>
      <c r="W125" s="367"/>
      <c r="X125" s="368" t="s">
        <v>424</v>
      </c>
      <c r="Y125" s="368" t="s">
        <v>424</v>
      </c>
      <c r="Z125" s="369" t="s">
        <v>424</v>
      </c>
      <c r="AA125" s="370">
        <f>SUMIFS('[36]frm P6'!$J:$J,'[36]frm P6'!D:D,[36]Schedule!B125,'[36]frm P6'!E:E,[36]Schedule!C125,'[36]frm P6'!G:G,[36]Schedule!$Z$98,'[36]frm P6'!H:H,[36]Schedule!F125)</f>
        <v>46400</v>
      </c>
      <c r="AB125" s="361">
        <f>SUMIFS('[36]frm P6'!$K:$K,'[36]frm P6'!D:D,[36]Schedule!B125,'[36]frm P6'!E:E,[36]Schedule!C125,'[36]frm P6'!G:G,[36]Schedule!$Z$98,'[36]frm P6'!H:H,[36]Schedule!F125)</f>
        <v>46454</v>
      </c>
      <c r="AC125" s="362">
        <f t="shared" si="90"/>
        <v>55</v>
      </c>
      <c r="AD125" s="274">
        <v>4.9695999999999998</v>
      </c>
      <c r="AE125" s="273"/>
      <c r="AF125" s="371"/>
      <c r="AG125" s="370">
        <f>SUMIFS('[36]frm P6'!$J:$J,'[36]frm P6'!D:D,[36]Schedule!B125,'[36]frm P6'!E:E,[36]Schedule!C125,'[36]frm P6'!F:F,[36]Schedule!D125,'[36]frm P6'!G:G,[36]Schedule!$AF$98,'[36]frm P6'!H:H,[36]Schedule!F125)</f>
        <v>46364</v>
      </c>
      <c r="AH125" s="361">
        <f>SUMIFS('[36]frm P6'!$K:$K,'[36]frm P6'!D:D,[36]Schedule!B125,'[36]frm P6'!E:E,[36]Schedule!C125,'[36]frm P6'!F:F,[36]Schedule!D125,'[36]frm P6'!G:G,[36]Schedule!$AF$98,'[36]frm P6'!H:H,[36]Schedule!F125)</f>
        <v>46399</v>
      </c>
      <c r="AI125" s="362">
        <f t="shared" si="85"/>
        <v>36</v>
      </c>
      <c r="AJ125" s="273">
        <v>4.9695999999999998</v>
      </c>
      <c r="AK125" s="273"/>
      <c r="AL125" s="371"/>
      <c r="AM125" s="420" t="s">
        <v>424</v>
      </c>
      <c r="AN125" s="368" t="s">
        <v>424</v>
      </c>
      <c r="AO125" s="362" t="s">
        <v>424</v>
      </c>
      <c r="AP125" s="273"/>
      <c r="AQ125" s="273"/>
      <c r="AR125" s="372">
        <v>57</v>
      </c>
      <c r="AS125" s="368">
        <f t="shared" si="91"/>
        <v>46361</v>
      </c>
      <c r="AT125" s="368">
        <f>AS125-90</f>
        <v>46271</v>
      </c>
      <c r="AU125" s="377">
        <f t="shared" si="87"/>
        <v>46256</v>
      </c>
      <c r="AV125" s="368">
        <f t="shared" si="88"/>
        <v>46360</v>
      </c>
      <c r="AW125" s="368">
        <f t="shared" si="71"/>
        <v>46350</v>
      </c>
      <c r="AX125" s="378">
        <f t="shared" si="89"/>
        <v>116</v>
      </c>
      <c r="AY125" s="368">
        <v>46234</v>
      </c>
      <c r="AZ125" s="362" t="s">
        <v>656</v>
      </c>
      <c r="BA125" s="375" t="s">
        <v>609</v>
      </c>
      <c r="BB125" s="487"/>
      <c r="BE125" s="277"/>
      <c r="BF125" s="278"/>
    </row>
    <row r="126" spans="1:58" s="269" customFormat="1" ht="23.45" customHeight="1">
      <c r="A126" s="270"/>
      <c r="B126" s="357" t="s">
        <v>578</v>
      </c>
      <c r="C126" s="357" t="s">
        <v>610</v>
      </c>
      <c r="D126" s="357" t="s">
        <v>580</v>
      </c>
      <c r="E126" s="357"/>
      <c r="F126" s="357" t="s">
        <v>645</v>
      </c>
      <c r="G126" s="357"/>
      <c r="H126" s="358">
        <v>8</v>
      </c>
      <c r="I126" s="271" t="s">
        <v>657</v>
      </c>
      <c r="J126" s="359">
        <v>205.02500000000001</v>
      </c>
      <c r="K126" s="360">
        <f>L126-Y126</f>
        <v>14</v>
      </c>
      <c r="L126" s="361">
        <f>SUMIFS('[36]frm P6'!$J:$J,'[36]frm P6'!D:D,[36]Schedule!B126,'[36]frm P6'!E:E,[36]Schedule!C126,'[36]frm P6'!F:F,[36]Schedule!D126,'[36]frm P6'!G:G,[36]Schedule!$K$98,'[36]frm P6'!H:H,[36]Schedule!F126)</f>
        <v>46506</v>
      </c>
      <c r="M126" s="361">
        <f>SUMIFS('[36]frm P6'!$K:$K,'[36]frm P6'!D:D,[36]Schedule!B126,'[36]frm P6'!E:E,[36]Schedule!C126,'[36]frm P6'!F:F,[36]Schedule!D126,'[36]frm P6'!G:G,[36]Schedule!$K$98,'[36]frm P6'!H:H,[36]Schedule!F126)</f>
        <v>46534</v>
      </c>
      <c r="N126" s="362">
        <f>M126-L126+1</f>
        <v>29</v>
      </c>
      <c r="O126" s="273"/>
      <c r="P126" s="273"/>
      <c r="Q126" s="273"/>
      <c r="R126" s="363"/>
      <c r="S126" s="364"/>
      <c r="T126" s="365"/>
      <c r="U126" s="366"/>
      <c r="V126" s="366"/>
      <c r="W126" s="367"/>
      <c r="X126" s="361">
        <f>SUMIFS('[36]frm P6'!$J:$J,'[36]frm P6'!D:D,[36]Schedule!B126,'[36]frm P6'!E:E,[36]Schedule!C126,'[36]frm P6'!G:G,[36]Schedule!$W$98,'[36]frm P6'!H:H,[36]Schedule!F126)</f>
        <v>46469</v>
      </c>
      <c r="Y126" s="361">
        <f>SUMIFS('[36]frm P6'!$K:$K,'[36]frm P6'!D:D,[36]Schedule!B126,'[36]frm P6'!E:E,[36]Schedule!C126,'[36]frm P6'!G:G,[36]Schedule!$W$98,'[36]frm P6'!H:H,[36]Schedule!F126)</f>
        <v>46492</v>
      </c>
      <c r="Z126" s="369">
        <f t="shared" ref="Z126" si="94">Y126-X126+1</f>
        <v>24</v>
      </c>
      <c r="AA126" s="370">
        <f>SUMIFS('[36]frm P6'!$J:$J,'[36]frm P6'!D:D,[36]Schedule!B126,'[36]frm P6'!E:E,[36]Schedule!C126,'[36]frm P6'!G:G,[36]Schedule!$Z$98,'[36]frm P6'!H:H,[36]Schedule!F126)</f>
        <v>46368</v>
      </c>
      <c r="AB126" s="361">
        <f>SUMIFS('[36]frm P6'!$K:$K,'[36]frm P6'!D:D,[36]Schedule!B126,'[36]frm P6'!E:E,[36]Schedule!C126,'[36]frm P6'!G:G,[36]Schedule!$Z$98,'[36]frm P6'!H:H,[36]Schedule!F126)</f>
        <v>46445</v>
      </c>
      <c r="AC126" s="362">
        <f t="shared" si="90"/>
        <v>78</v>
      </c>
      <c r="AD126" s="274">
        <v>123.015</v>
      </c>
      <c r="AE126" s="273"/>
      <c r="AF126" s="371"/>
      <c r="AG126" s="370">
        <f>SUMIFS('[36]frm P6'!$J:$J,'[36]frm P6'!D:D,[36]Schedule!B126,'[36]frm P6'!E:E,[36]Schedule!C126,'[36]frm P6'!F:F,[36]Schedule!D126,'[36]frm P6'!G:G,[36]Schedule!$AF$98,'[36]frm P6'!H:H,[36]Schedule!F126)</f>
        <v>46328</v>
      </c>
      <c r="AH126" s="361">
        <f>SUMIFS('[36]frm P6'!$K:$K,'[36]frm P6'!D:D,[36]Schedule!B126,'[36]frm P6'!E:E,[36]Schedule!C126,'[36]frm P6'!F:F,[36]Schedule!D126,'[36]frm P6'!G:G,[36]Schedule!$AF$98,'[36]frm P6'!H:H,[36]Schedule!F126)</f>
        <v>46395</v>
      </c>
      <c r="AI126" s="362">
        <f t="shared" si="85"/>
        <v>68</v>
      </c>
      <c r="AJ126" s="273">
        <v>123.015</v>
      </c>
      <c r="AK126" s="273"/>
      <c r="AL126" s="371"/>
      <c r="AM126" s="420" t="s">
        <v>424</v>
      </c>
      <c r="AN126" s="368" t="s">
        <v>424</v>
      </c>
      <c r="AO126" s="362" t="s">
        <v>424</v>
      </c>
      <c r="AP126" s="273"/>
      <c r="AQ126" s="273"/>
      <c r="AR126" s="372">
        <v>55</v>
      </c>
      <c r="AS126" s="368">
        <f t="shared" si="91"/>
        <v>46325</v>
      </c>
      <c r="AT126" s="368">
        <f>AS126-$AT$98</f>
        <v>46265</v>
      </c>
      <c r="AU126" s="377">
        <f t="shared" si="87"/>
        <v>46250</v>
      </c>
      <c r="AV126" s="368">
        <f t="shared" si="88"/>
        <v>46324</v>
      </c>
      <c r="AW126" s="368">
        <f t="shared" si="71"/>
        <v>46314</v>
      </c>
      <c r="AX126" s="378">
        <f t="shared" si="89"/>
        <v>94</v>
      </c>
      <c r="AY126" s="368">
        <v>46220</v>
      </c>
      <c r="AZ126" s="362" t="s">
        <v>658</v>
      </c>
      <c r="BA126" s="375" t="s">
        <v>613</v>
      </c>
      <c r="BB126" s="487"/>
      <c r="BE126" s="277"/>
      <c r="BF126" s="278"/>
    </row>
    <row r="127" spans="1:58" s="269" customFormat="1" ht="23.45" customHeight="1">
      <c r="A127" s="270"/>
      <c r="B127" s="357" t="s">
        <v>578</v>
      </c>
      <c r="C127" s="357" t="s">
        <v>614</v>
      </c>
      <c r="D127" s="357" t="s">
        <v>580</v>
      </c>
      <c r="E127" s="357"/>
      <c r="F127" s="357" t="s">
        <v>645</v>
      </c>
      <c r="G127" s="357"/>
      <c r="H127" s="358">
        <v>9</v>
      </c>
      <c r="I127" s="273" t="s">
        <v>69</v>
      </c>
      <c r="J127" s="488"/>
      <c r="K127" s="489"/>
      <c r="L127" s="368" t="s">
        <v>424</v>
      </c>
      <c r="M127" s="368" t="s">
        <v>424</v>
      </c>
      <c r="N127" s="362" t="s">
        <v>424</v>
      </c>
      <c r="O127" s="273"/>
      <c r="P127" s="273"/>
      <c r="Q127" s="273"/>
      <c r="R127" s="363"/>
      <c r="S127" s="364"/>
      <c r="T127" s="365"/>
      <c r="U127" s="366"/>
      <c r="V127" s="366"/>
      <c r="W127" s="367"/>
      <c r="X127" s="368" t="s">
        <v>424</v>
      </c>
      <c r="Y127" s="368" t="s">
        <v>424</v>
      </c>
      <c r="Z127" s="369" t="s">
        <v>424</v>
      </c>
      <c r="AA127" s="370">
        <f>SUMIFS('[36]frm P6'!$J:$J,'[36]frm P6'!D:D,[36]Schedule!B127,'[36]frm P6'!E:E,[36]Schedule!C127,'[36]frm P6'!G:G,[36]Schedule!$Z$98,'[36]frm P6'!H:H,[36]Schedule!F127)</f>
        <v>46403</v>
      </c>
      <c r="AB127" s="361">
        <f>SUMIFS('[36]frm P6'!$K:$K,'[36]frm P6'!D:D,[36]Schedule!B127,'[36]frm P6'!E:E,[36]Schedule!C127,'[36]frm P6'!G:G,[36]Schedule!$Z$98,'[36]frm P6'!H:H,[36]Schedule!F127)</f>
        <v>46468</v>
      </c>
      <c r="AC127" s="362">
        <f t="shared" si="90"/>
        <v>66</v>
      </c>
      <c r="AD127" s="274">
        <v>82.01</v>
      </c>
      <c r="AE127" s="273"/>
      <c r="AF127" s="371"/>
      <c r="AG127" s="370">
        <f>SUMIFS('[36]frm P6'!$J:$J,'[36]frm P6'!D:D,[36]Schedule!B127,'[36]frm P6'!E:E,[36]Schedule!C127,'[36]frm P6'!F:F,[36]Schedule!D127,'[36]frm P6'!G:G,[36]Schedule!$AF$98,'[36]frm P6'!H:H,[36]Schedule!F127)</f>
        <v>46350</v>
      </c>
      <c r="AH127" s="361">
        <f>SUMIFS('[36]frm P6'!$K:$K,'[36]frm P6'!D:D,[36]Schedule!B127,'[36]frm P6'!E:E,[36]Schedule!C127,'[36]frm P6'!F:F,[36]Schedule!D127,'[36]frm P6'!G:G,[36]Schedule!$AF$98,'[36]frm P6'!H:H,[36]Schedule!F127)</f>
        <v>46402</v>
      </c>
      <c r="AI127" s="362">
        <f t="shared" si="85"/>
        <v>53</v>
      </c>
      <c r="AJ127" s="273">
        <v>82.01</v>
      </c>
      <c r="AK127" s="273"/>
      <c r="AL127" s="371"/>
      <c r="AM127" s="420" t="s">
        <v>424</v>
      </c>
      <c r="AN127" s="368" t="s">
        <v>424</v>
      </c>
      <c r="AO127" s="362" t="s">
        <v>424</v>
      </c>
      <c r="AP127" s="273"/>
      <c r="AQ127" s="273"/>
      <c r="AR127" s="372">
        <v>57</v>
      </c>
      <c r="AS127" s="368">
        <f t="shared" si="91"/>
        <v>46347</v>
      </c>
      <c r="AT127" s="368">
        <f>AS127-90</f>
        <v>46257</v>
      </c>
      <c r="AU127" s="377">
        <f t="shared" si="87"/>
        <v>46242</v>
      </c>
      <c r="AV127" s="368">
        <f t="shared" si="88"/>
        <v>46346</v>
      </c>
      <c r="AW127" s="368">
        <f t="shared" si="71"/>
        <v>46336</v>
      </c>
      <c r="AX127" s="378">
        <f t="shared" si="89"/>
        <v>102</v>
      </c>
      <c r="AY127" s="368">
        <v>46234</v>
      </c>
      <c r="AZ127" s="362" t="s">
        <v>659</v>
      </c>
      <c r="BA127" s="375" t="s">
        <v>616</v>
      </c>
      <c r="BB127" s="487"/>
      <c r="BE127" s="277"/>
      <c r="BF127" s="278"/>
    </row>
    <row r="128" spans="1:58" s="269" customFormat="1" ht="20" customHeight="1">
      <c r="A128" s="270"/>
      <c r="B128" s="357" t="s">
        <v>578</v>
      </c>
      <c r="C128" s="357" t="s">
        <v>617</v>
      </c>
      <c r="D128" s="357" t="s">
        <v>580</v>
      </c>
      <c r="E128" s="357"/>
      <c r="F128" s="357" t="s">
        <v>645</v>
      </c>
      <c r="G128" s="357"/>
      <c r="H128" s="358">
        <v>10</v>
      </c>
      <c r="I128" s="271" t="s">
        <v>618</v>
      </c>
      <c r="J128" s="359">
        <v>205.02500000000001</v>
      </c>
      <c r="K128" s="360">
        <f>L128-Y128</f>
        <v>27</v>
      </c>
      <c r="L128" s="361">
        <f>SUMIFS('[36]frm P6'!$J:$J,'[36]frm P6'!D:D,[36]Schedule!B128,'[36]frm P6'!E:E,[36]Schedule!C128,'[36]frm P6'!F:F,[36]Schedule!D128,'[36]frm P6'!G:G,[36]Schedule!$K$98,'[36]frm P6'!H:H,[36]Schedule!F128)</f>
        <v>46531</v>
      </c>
      <c r="M128" s="361">
        <f>SUMIFS('[36]frm P6'!$K:$K,'[36]frm P6'!D:D,[36]Schedule!B128,'[36]frm P6'!E:E,[36]Schedule!C128,'[36]frm P6'!F:F,[36]Schedule!D128,'[36]frm P6'!G:G,[36]Schedule!$K$98,'[36]frm P6'!H:H,[36]Schedule!F128)</f>
        <v>46555</v>
      </c>
      <c r="N128" s="362">
        <f>M128-L128+1</f>
        <v>25</v>
      </c>
      <c r="O128" s="273"/>
      <c r="P128" s="273"/>
      <c r="Q128" s="273"/>
      <c r="R128" s="363"/>
      <c r="S128" s="364"/>
      <c r="T128" s="365"/>
      <c r="U128" s="366"/>
      <c r="V128" s="366"/>
      <c r="W128" s="367"/>
      <c r="X128" s="361">
        <f>SUMIFS('[36]frm P6'!$J:$J,'[36]frm P6'!D:D,[36]Schedule!B128,'[36]frm P6'!E:E,[36]Schedule!C128,'[36]frm P6'!G:G,[36]Schedule!$W$98,'[36]frm P6'!H:H,[36]Schedule!F128)</f>
        <v>46487</v>
      </c>
      <c r="Y128" s="361">
        <f>SUMIFS('[36]frm P6'!$K:$K,'[36]frm P6'!D:D,[36]Schedule!B128,'[36]frm P6'!E:E,[36]Schedule!C128,'[36]frm P6'!G:G,[36]Schedule!$W$98,'[36]frm P6'!H:H,[36]Schedule!F128)</f>
        <v>46504</v>
      </c>
      <c r="Z128" s="369">
        <f t="shared" ref="Z128" si="95">Y128-X128+1</f>
        <v>18</v>
      </c>
      <c r="AA128" s="370">
        <f>SUMIFS('[36]frm P6'!$J:$J,'[36]frm P6'!D:D,[36]Schedule!B128,'[36]frm P6'!E:E,[36]Schedule!C128,'[36]frm P6'!G:G,[36]Schedule!$Z$98,'[36]frm P6'!H:H,[36]Schedule!F128)</f>
        <v>46443</v>
      </c>
      <c r="AB128" s="361">
        <f>SUMIFS('[36]frm P6'!$K:$K,'[36]frm P6'!D:D,[36]Schedule!B128,'[36]frm P6'!E:E,[36]Schedule!C128,'[36]frm P6'!G:G,[36]Schedule!$Z$98,'[36]frm P6'!H:H,[36]Schedule!F128)</f>
        <v>46476</v>
      </c>
      <c r="AC128" s="362">
        <f t="shared" si="90"/>
        <v>34</v>
      </c>
      <c r="AD128" s="274">
        <v>123.015</v>
      </c>
      <c r="AE128" s="273"/>
      <c r="AF128" s="371"/>
      <c r="AG128" s="370">
        <f>SUMIFS('[36]frm P6'!$J:$J,'[36]frm P6'!D:D,[36]Schedule!B128,'[36]frm P6'!E:E,[36]Schedule!C128,'[36]frm P6'!F:F,[36]Schedule!D128,'[36]frm P6'!G:G,[36]Schedule!$AF$98,'[36]frm P6'!H:H,[36]Schedule!F128)</f>
        <v>46396</v>
      </c>
      <c r="AH128" s="361">
        <f>SUMIFS('[36]frm P6'!$K:$K,'[36]frm P6'!D:D,[36]Schedule!B128,'[36]frm P6'!E:E,[36]Schedule!C128,'[36]frm P6'!F:F,[36]Schedule!D128,'[36]frm P6'!G:G,[36]Schedule!$AF$98,'[36]frm P6'!H:H,[36]Schedule!F128)</f>
        <v>46442</v>
      </c>
      <c r="AI128" s="362">
        <f t="shared" si="85"/>
        <v>47</v>
      </c>
      <c r="AJ128" s="273">
        <v>123.015</v>
      </c>
      <c r="AK128" s="273"/>
      <c r="AL128" s="371"/>
      <c r="AM128" s="420" t="s">
        <v>424</v>
      </c>
      <c r="AN128" s="368" t="s">
        <v>424</v>
      </c>
      <c r="AO128" s="362" t="s">
        <v>424</v>
      </c>
      <c r="AP128" s="273"/>
      <c r="AQ128" s="273"/>
      <c r="AR128" s="372">
        <v>55</v>
      </c>
      <c r="AS128" s="368">
        <f t="shared" si="91"/>
        <v>46393</v>
      </c>
      <c r="AT128" s="368">
        <f>AS128-$AT$98</f>
        <v>46333</v>
      </c>
      <c r="AU128" s="377">
        <f t="shared" si="87"/>
        <v>46318</v>
      </c>
      <c r="AV128" s="368">
        <f t="shared" si="88"/>
        <v>46392</v>
      </c>
      <c r="AW128" s="368">
        <f t="shared" si="71"/>
        <v>46382</v>
      </c>
      <c r="AX128" s="378">
        <f t="shared" si="89"/>
        <v>162</v>
      </c>
      <c r="AY128" s="368">
        <v>46220</v>
      </c>
      <c r="AZ128" s="362" t="s">
        <v>660</v>
      </c>
      <c r="BA128" s="375" t="s">
        <v>613</v>
      </c>
      <c r="BB128" s="487"/>
      <c r="BE128" s="277"/>
      <c r="BF128" s="278"/>
    </row>
    <row r="129" spans="1:58" s="269" customFormat="1" ht="19.5" customHeight="1">
      <c r="A129" s="270"/>
      <c r="B129" s="357" t="s">
        <v>578</v>
      </c>
      <c r="C129" s="357" t="s">
        <v>619</v>
      </c>
      <c r="D129" s="357" t="s">
        <v>580</v>
      </c>
      <c r="E129" s="357"/>
      <c r="F129" s="357" t="s">
        <v>645</v>
      </c>
      <c r="G129" s="357"/>
      <c r="H129" s="358">
        <v>11</v>
      </c>
      <c r="I129" s="273" t="s">
        <v>618</v>
      </c>
      <c r="J129" s="359">
        <v>205.02500000000001</v>
      </c>
      <c r="K129" s="360"/>
      <c r="L129" s="368" t="s">
        <v>424</v>
      </c>
      <c r="M129" s="368" t="s">
        <v>424</v>
      </c>
      <c r="N129" s="362" t="s">
        <v>424</v>
      </c>
      <c r="O129" s="273"/>
      <c r="P129" s="273"/>
      <c r="Q129" s="273"/>
      <c r="R129" s="363"/>
      <c r="S129" s="364"/>
      <c r="T129" s="365"/>
      <c r="U129" s="366"/>
      <c r="V129" s="366"/>
      <c r="W129" s="367"/>
      <c r="X129" s="368" t="s">
        <v>424</v>
      </c>
      <c r="Y129" s="368" t="s">
        <v>424</v>
      </c>
      <c r="Z129" s="369" t="s">
        <v>424</v>
      </c>
      <c r="AA129" s="370">
        <f>SUMIFS('[36]frm P6'!$J:$J,'[36]frm P6'!D:D,[36]Schedule!B129,'[36]frm P6'!E:E,[36]Schedule!C129,'[36]frm P6'!G:G,[36]Schedule!$Z$98,'[36]frm P6'!H:H,[36]Schedule!F129)</f>
        <v>46436</v>
      </c>
      <c r="AB129" s="361">
        <f>SUMIFS('[36]frm P6'!$K:$K,'[36]frm P6'!D:D,[36]Schedule!B129,'[36]frm P6'!E:E,[36]Schedule!C129,'[36]frm P6'!G:G,[36]Schedule!$Z$98,'[36]frm P6'!H:H,[36]Schedule!F129)</f>
        <v>46479</v>
      </c>
      <c r="AC129" s="362">
        <f t="shared" si="90"/>
        <v>44</v>
      </c>
      <c r="AD129" s="274">
        <v>123.015</v>
      </c>
      <c r="AE129" s="273"/>
      <c r="AF129" s="371"/>
      <c r="AG129" s="370">
        <f>SUMIFS('[36]frm P6'!$J:$J,'[36]frm P6'!D:D,[36]Schedule!B129,'[36]frm P6'!E:E,[36]Schedule!C129,'[36]frm P6'!F:F,[36]Schedule!D129,'[36]frm P6'!G:G,[36]Schedule!$AF$98,'[36]frm P6'!H:H,[36]Schedule!F129)</f>
        <v>46403</v>
      </c>
      <c r="AH129" s="361">
        <f>SUMIFS('[36]frm P6'!$K:$K,'[36]frm P6'!D:D,[36]Schedule!B129,'[36]frm P6'!E:E,[36]Schedule!C129,'[36]frm P6'!F:F,[36]Schedule!D129,'[36]frm P6'!G:G,[36]Schedule!$AF$98,'[36]frm P6'!H:H,[36]Schedule!F129)</f>
        <v>46435</v>
      </c>
      <c r="AI129" s="362">
        <f t="shared" si="85"/>
        <v>33</v>
      </c>
      <c r="AJ129" s="273">
        <v>123.015</v>
      </c>
      <c r="AK129" s="273"/>
      <c r="AL129" s="371"/>
      <c r="AM129" s="420" t="s">
        <v>424</v>
      </c>
      <c r="AN129" s="368" t="s">
        <v>424</v>
      </c>
      <c r="AO129" s="362" t="s">
        <v>424</v>
      </c>
      <c r="AP129" s="273"/>
      <c r="AQ129" s="273"/>
      <c r="AR129" s="372">
        <v>55</v>
      </c>
      <c r="AS129" s="368">
        <f t="shared" si="91"/>
        <v>46400</v>
      </c>
      <c r="AT129" s="368">
        <f>AS129-$AT$98</f>
        <v>46340</v>
      </c>
      <c r="AU129" s="377">
        <f t="shared" si="87"/>
        <v>46325</v>
      </c>
      <c r="AV129" s="368">
        <f t="shared" si="88"/>
        <v>46399</v>
      </c>
      <c r="AW129" s="368">
        <f t="shared" si="71"/>
        <v>46389</v>
      </c>
      <c r="AX129" s="378">
        <f t="shared" si="89"/>
        <v>169</v>
      </c>
      <c r="AY129" s="368">
        <v>46220</v>
      </c>
      <c r="AZ129" s="362" t="s">
        <v>660</v>
      </c>
      <c r="BA129" s="375" t="s">
        <v>613</v>
      </c>
      <c r="BB129" s="487"/>
      <c r="BE129" s="277"/>
      <c r="BF129" s="278"/>
    </row>
    <row r="130" spans="1:58" s="269" customFormat="1" ht="19.5" customHeight="1">
      <c r="A130" s="270"/>
      <c r="B130" s="357" t="s">
        <v>578</v>
      </c>
      <c r="C130" s="357" t="s">
        <v>620</v>
      </c>
      <c r="D130" s="357" t="s">
        <v>580</v>
      </c>
      <c r="E130" s="357"/>
      <c r="F130" s="357" t="s">
        <v>645</v>
      </c>
      <c r="G130" s="357"/>
      <c r="H130" s="358">
        <v>12</v>
      </c>
      <c r="I130" s="271" t="s">
        <v>621</v>
      </c>
      <c r="J130" s="359"/>
      <c r="K130" s="360"/>
      <c r="L130" s="361">
        <f>SUMIFS('[36]frm P6'!$J:$J,'[36]frm P6'!D:D,[36]Schedule!B130,'[36]frm P6'!E:E,[36]Schedule!C130,'[36]frm P6'!F:F,[36]Schedule!D130,'[36]frm P6'!G:G,[36]Schedule!$K$98,'[36]frm P6'!H:H,[36]Schedule!F130)</f>
        <v>46464</v>
      </c>
      <c r="M130" s="361">
        <f>SUMIFS('[36]frm P6'!$K:$K,'[36]frm P6'!D:D,[36]Schedule!B130,'[36]frm P6'!E:E,[36]Schedule!C130,'[36]frm P6'!F:F,[36]Schedule!D130,'[36]frm P6'!G:G,[36]Schedule!$K$98,'[36]frm P6'!H:H,[36]Schedule!F130)</f>
        <v>46555</v>
      </c>
      <c r="N130" s="362">
        <f>M130-L130+1</f>
        <v>92</v>
      </c>
      <c r="O130" s="273"/>
      <c r="P130" s="273"/>
      <c r="Q130" s="273"/>
      <c r="R130" s="363"/>
      <c r="S130" s="364"/>
      <c r="T130" s="365"/>
      <c r="U130" s="366"/>
      <c r="V130" s="366"/>
      <c r="W130" s="367"/>
      <c r="X130" s="368" t="s">
        <v>424</v>
      </c>
      <c r="Y130" s="368" t="s">
        <v>424</v>
      </c>
      <c r="Z130" s="369" t="s">
        <v>424</v>
      </c>
      <c r="AA130" s="420" t="s">
        <v>424</v>
      </c>
      <c r="AB130" s="368" t="s">
        <v>424</v>
      </c>
      <c r="AC130" s="362" t="s">
        <v>424</v>
      </c>
      <c r="AD130" s="274"/>
      <c r="AE130" s="273"/>
      <c r="AF130" s="371"/>
      <c r="AG130" s="420" t="s">
        <v>424</v>
      </c>
      <c r="AH130" s="368" t="s">
        <v>424</v>
      </c>
      <c r="AI130" s="362" t="s">
        <v>424</v>
      </c>
      <c r="AJ130" s="273"/>
      <c r="AK130" s="273"/>
      <c r="AL130" s="371"/>
      <c r="AM130" s="420" t="s">
        <v>424</v>
      </c>
      <c r="AN130" s="368" t="s">
        <v>424</v>
      </c>
      <c r="AO130" s="362" t="s">
        <v>424</v>
      </c>
      <c r="AP130" s="273"/>
      <c r="AQ130" s="273"/>
      <c r="AR130" s="372"/>
      <c r="AS130" s="368">
        <f>L130-AS98</f>
        <v>46461</v>
      </c>
      <c r="AT130" s="368">
        <f t="shared" ref="AT130:AT135" si="96">AS130-60</f>
        <v>46401</v>
      </c>
      <c r="AU130" s="377">
        <f t="shared" si="87"/>
        <v>46386</v>
      </c>
      <c r="AV130" s="368">
        <f>L130-AV98</f>
        <v>46460</v>
      </c>
      <c r="AW130" s="368">
        <f t="shared" si="71"/>
        <v>46450</v>
      </c>
      <c r="AX130" s="378">
        <f t="shared" si="89"/>
        <v>141</v>
      </c>
      <c r="AY130" s="368">
        <v>46309</v>
      </c>
      <c r="AZ130" s="362" t="s">
        <v>622</v>
      </c>
      <c r="BA130" s="375" t="s">
        <v>623</v>
      </c>
      <c r="BB130" s="487"/>
      <c r="BE130" s="277"/>
      <c r="BF130" s="278"/>
    </row>
    <row r="131" spans="1:58" s="269" customFormat="1" ht="20" customHeight="1">
      <c r="A131" s="270"/>
      <c r="B131" s="357" t="s">
        <v>578</v>
      </c>
      <c r="C131" s="357" t="s">
        <v>624</v>
      </c>
      <c r="D131" s="357" t="s">
        <v>580</v>
      </c>
      <c r="E131" s="357"/>
      <c r="F131" s="357" t="s">
        <v>645</v>
      </c>
      <c r="G131" s="357"/>
      <c r="H131" s="358">
        <v>12</v>
      </c>
      <c r="I131" s="271" t="s">
        <v>625</v>
      </c>
      <c r="J131" s="359"/>
      <c r="K131" s="360">
        <f>L131-Y131</f>
        <v>21</v>
      </c>
      <c r="L131" s="361">
        <f>SUMIFS('[36]frm P6'!$J:$J,'[36]frm P6'!D:D,[36]Schedule!B131,'[36]frm P6'!E:E,[36]Schedule!C131,'[36]frm P6'!F:F,[36]Schedule!D131,'[36]frm P6'!G:G,[36]Schedule!$K$98,'[36]frm P6'!H:H,[36]Schedule!F131)</f>
        <v>46513</v>
      </c>
      <c r="M131" s="361">
        <f>SUMIFS('[36]frm P6'!$K:$K,'[36]frm P6'!D:D,[36]Schedule!B131,'[36]frm P6'!E:E,[36]Schedule!C131,'[36]frm P6'!F:F,[36]Schedule!D131,'[36]frm P6'!G:G,[36]Schedule!$K$98,'[36]frm P6'!H:H,[36]Schedule!F131)</f>
        <v>46584</v>
      </c>
      <c r="N131" s="362">
        <f>M131-L131+1</f>
        <v>72</v>
      </c>
      <c r="O131" s="273"/>
      <c r="P131" s="273"/>
      <c r="Q131" s="273"/>
      <c r="R131" s="363"/>
      <c r="S131" s="364"/>
      <c r="T131" s="365"/>
      <c r="U131" s="366"/>
      <c r="V131" s="366"/>
      <c r="W131" s="367"/>
      <c r="X131" s="361">
        <f>SUMIFS('[36]frm P6'!$J:$J,'[36]frm P6'!D:D,[36]Schedule!B131,'[36]frm P6'!E:E,[36]Schedule!C131,'[36]frm P6'!G:G,[36]Schedule!$W$98,'[36]frm P6'!H:H,[36]Schedule!F131)</f>
        <v>46440</v>
      </c>
      <c r="Y131" s="361">
        <f>SUMIFS('[36]frm P6'!$K:$K,'[36]frm P6'!D:D,[36]Schedule!B131,'[36]frm P6'!E:E,[36]Schedule!C131,'[36]frm P6'!G:G,[36]Schedule!$W$98,'[36]frm P6'!H:H,[36]Schedule!F131)</f>
        <v>46492</v>
      </c>
      <c r="Z131" s="369" t="s">
        <v>424</v>
      </c>
      <c r="AA131" s="420" t="s">
        <v>424</v>
      </c>
      <c r="AB131" s="368" t="s">
        <v>424</v>
      </c>
      <c r="AC131" s="362" t="s">
        <v>424</v>
      </c>
      <c r="AD131" s="274"/>
      <c r="AE131" s="273"/>
      <c r="AF131" s="371"/>
      <c r="AG131" s="370">
        <f>SUMIFS('[36]frm P6'!$J:$J,'[36]frm P6'!D:D,[36]Schedule!B131,'[36]frm P6'!E:E,[36]Schedule!C131,'[36]frm P6'!F:F,[36]Schedule!D131,'[36]frm P6'!G:G,[36]Schedule!$AF$98,'[36]frm P6'!H:H,[36]Schedule!F131)</f>
        <v>46416</v>
      </c>
      <c r="AH131" s="361">
        <f>SUMIFS('[36]frm P6'!$K:$K,'[36]frm P6'!D:D,[36]Schedule!B131,'[36]frm P6'!E:E,[36]Schedule!C131,'[36]frm P6'!F:F,[36]Schedule!D131,'[36]frm P6'!G:G,[36]Schedule!$AF$98,'[36]frm P6'!H:H,[36]Schedule!F131)</f>
        <v>46471</v>
      </c>
      <c r="AI131" s="362">
        <f>AH131-AG131+1</f>
        <v>56</v>
      </c>
      <c r="AJ131" s="273"/>
      <c r="AK131" s="273"/>
      <c r="AL131" s="371"/>
      <c r="AM131" s="420" t="s">
        <v>424</v>
      </c>
      <c r="AN131" s="368" t="s">
        <v>424</v>
      </c>
      <c r="AO131" s="362" t="s">
        <v>424</v>
      </c>
      <c r="AP131" s="273"/>
      <c r="AQ131" s="273"/>
      <c r="AR131" s="372"/>
      <c r="AS131" s="368">
        <f t="shared" ref="AS131:AS135" si="97">AG131-$AS$98</f>
        <v>46413</v>
      </c>
      <c r="AT131" s="368">
        <f t="shared" si="96"/>
        <v>46353</v>
      </c>
      <c r="AU131" s="377">
        <f t="shared" si="87"/>
        <v>46338</v>
      </c>
      <c r="AV131" s="368">
        <f t="shared" ref="AV131:AV135" si="98">AG131-$AV$3</f>
        <v>46412</v>
      </c>
      <c r="AW131" s="368">
        <f t="shared" si="71"/>
        <v>46402</v>
      </c>
      <c r="AX131" s="378">
        <f t="shared" si="89"/>
        <v>115</v>
      </c>
      <c r="AY131" s="368">
        <v>46287</v>
      </c>
      <c r="AZ131" s="362" t="s">
        <v>661</v>
      </c>
      <c r="BA131" s="490" t="s">
        <v>662</v>
      </c>
      <c r="BB131" s="487"/>
      <c r="BE131" s="277"/>
      <c r="BF131" s="278"/>
    </row>
    <row r="132" spans="1:58" s="269" customFormat="1" ht="20" customHeight="1">
      <c r="A132" s="270"/>
      <c r="B132" s="357" t="s">
        <v>578</v>
      </c>
      <c r="C132" s="357" t="s">
        <v>628</v>
      </c>
      <c r="D132" s="357" t="s">
        <v>580</v>
      </c>
      <c r="E132" s="357"/>
      <c r="F132" s="357" t="s">
        <v>645</v>
      </c>
      <c r="G132" s="357"/>
      <c r="H132" s="358">
        <v>13</v>
      </c>
      <c r="I132" s="271" t="s">
        <v>629</v>
      </c>
      <c r="J132" s="359"/>
      <c r="K132" s="360">
        <f>L132-Y132</f>
        <v>21</v>
      </c>
      <c r="L132" s="361">
        <f>SUMIFS('[36]frm P6'!$J:$J,'[36]frm P6'!D:D,[36]Schedule!B132,'[36]frm P6'!E:E,[36]Schedule!C132,'[36]frm P6'!F:F,[36]Schedule!D132,'[36]frm P6'!G:G,[36]Schedule!$K$98,'[36]frm P6'!H:H,[36]Schedule!F132)</f>
        <v>46555</v>
      </c>
      <c r="M132" s="361">
        <f>SUMIFS('[36]frm P6'!$K:$K,'[36]frm P6'!D:D,[36]Schedule!B132,'[36]frm P6'!E:E,[36]Schedule!C132,'[36]frm P6'!F:F,[36]Schedule!D132,'[36]frm P6'!G:G,[36]Schedule!$K$98,'[36]frm P6'!H:H,[36]Schedule!F132)</f>
        <v>46584</v>
      </c>
      <c r="N132" s="362">
        <f>M132-L132+1</f>
        <v>30</v>
      </c>
      <c r="O132" s="273"/>
      <c r="P132" s="273"/>
      <c r="Q132" s="273"/>
      <c r="R132" s="363"/>
      <c r="S132" s="364"/>
      <c r="T132" s="365"/>
      <c r="U132" s="366"/>
      <c r="V132" s="366"/>
      <c r="W132" s="367"/>
      <c r="X132" s="361">
        <f>SUMIFS('[36]frm P6'!$J:$J,'[36]frm P6'!D:D,[36]Schedule!B132,'[36]frm P6'!E:E,[36]Schedule!C132,'[36]frm P6'!G:G,[36]Schedule!$W$98,'[36]frm P6'!H:H,[36]Schedule!F132)</f>
        <v>46493</v>
      </c>
      <c r="Y132" s="361">
        <f>SUMIFS('[36]frm P6'!$K:$K,'[36]frm P6'!D:D,[36]Schedule!B132,'[36]frm P6'!E:E,[36]Schedule!C132,'[36]frm P6'!G:G,[36]Schedule!$W$98,'[36]frm P6'!H:H,[36]Schedule!F132)</f>
        <v>46534</v>
      </c>
      <c r="Z132" s="369" t="s">
        <v>424</v>
      </c>
      <c r="AA132" s="420" t="s">
        <v>424</v>
      </c>
      <c r="AB132" s="368" t="s">
        <v>424</v>
      </c>
      <c r="AC132" s="362" t="s">
        <v>424</v>
      </c>
      <c r="AD132" s="274"/>
      <c r="AE132" s="273"/>
      <c r="AF132" s="371"/>
      <c r="AG132" s="370">
        <f>SUMIFS('[36]frm P6'!$J:$J,'[36]frm P6'!D:D,[36]Schedule!B132,'[36]frm P6'!E:E,[36]Schedule!C132,'[36]frm P6'!F:F,[36]Schedule!D132,'[36]frm P6'!G:G,[36]Schedule!$AF$98,'[36]frm P6'!H:H,[36]Schedule!F132)</f>
        <v>46447</v>
      </c>
      <c r="AH132" s="361">
        <f>SUMIFS('[36]frm P6'!$K:$K,'[36]frm P6'!D:D,[36]Schedule!B132,'[36]frm P6'!E:E,[36]Schedule!C132,'[36]frm P6'!F:F,[36]Schedule!D132,'[36]frm P6'!G:G,[36]Schedule!$AF$98,'[36]frm P6'!H:H,[36]Schedule!F132)</f>
        <v>46487</v>
      </c>
      <c r="AI132" s="362">
        <f>AH132-AG132+1</f>
        <v>41</v>
      </c>
      <c r="AJ132" s="273"/>
      <c r="AK132" s="273"/>
      <c r="AL132" s="371"/>
      <c r="AM132" s="420" t="s">
        <v>424</v>
      </c>
      <c r="AN132" s="368" t="s">
        <v>424</v>
      </c>
      <c r="AO132" s="362" t="s">
        <v>424</v>
      </c>
      <c r="AP132" s="273"/>
      <c r="AQ132" s="273"/>
      <c r="AR132" s="372"/>
      <c r="AS132" s="368">
        <f t="shared" si="97"/>
        <v>46444</v>
      </c>
      <c r="AT132" s="368">
        <f t="shared" si="96"/>
        <v>46384</v>
      </c>
      <c r="AU132" s="377">
        <f t="shared" si="87"/>
        <v>46369</v>
      </c>
      <c r="AV132" s="368">
        <f t="shared" si="98"/>
        <v>46443</v>
      </c>
      <c r="AW132" s="368">
        <f t="shared" si="71"/>
        <v>46433</v>
      </c>
      <c r="AX132" s="378">
        <f t="shared" si="89"/>
        <v>139</v>
      </c>
      <c r="AY132" s="368">
        <v>46294</v>
      </c>
      <c r="AZ132" s="362" t="s">
        <v>663</v>
      </c>
      <c r="BA132" s="490" t="s">
        <v>664</v>
      </c>
      <c r="BB132" s="487"/>
      <c r="BE132" s="277"/>
      <c r="BF132" s="278"/>
    </row>
    <row r="133" spans="1:58" s="269" customFormat="1" ht="20" customHeight="1">
      <c r="A133" s="270"/>
      <c r="B133" s="357" t="s">
        <v>578</v>
      </c>
      <c r="C133" s="357" t="s">
        <v>632</v>
      </c>
      <c r="D133" s="357" t="s">
        <v>580</v>
      </c>
      <c r="E133" s="357"/>
      <c r="F133" s="357" t="s">
        <v>645</v>
      </c>
      <c r="G133" s="357"/>
      <c r="H133" s="358">
        <v>14</v>
      </c>
      <c r="I133" s="271" t="s">
        <v>633</v>
      </c>
      <c r="J133" s="359"/>
      <c r="K133" s="360">
        <f>L133-Y133</f>
        <v>28</v>
      </c>
      <c r="L133" s="361">
        <f>SUMIFS('[36]frm P6'!$J:$J,'[36]frm P6'!D:D,[36]Schedule!B133,'[36]frm P6'!E:E,[36]Schedule!C133,'[36]frm P6'!F:F,[36]Schedule!D133,'[36]frm P6'!G:G,[36]Schedule!$K$98,'[36]frm P6'!H:H,[36]Schedule!F133)</f>
        <v>46582</v>
      </c>
      <c r="M133" s="361">
        <f>SUMIFS('[36]frm P6'!$K:$K,'[36]frm P6'!D:D,[36]Schedule!B133,'[36]frm P6'!E:E,[36]Schedule!C133,'[36]frm P6'!F:F,[36]Schedule!D133,'[36]frm P6'!G:G,[36]Schedule!$K$98,'[36]frm P6'!H:H,[36]Schedule!F133)</f>
        <v>46599</v>
      </c>
      <c r="N133" s="362">
        <f>M133-L133+1</f>
        <v>18</v>
      </c>
      <c r="O133" s="273"/>
      <c r="P133" s="273"/>
      <c r="Q133" s="273"/>
      <c r="R133" s="363"/>
      <c r="S133" s="364"/>
      <c r="T133" s="365"/>
      <c r="U133" s="366"/>
      <c r="V133" s="366"/>
      <c r="W133" s="367"/>
      <c r="X133" s="361">
        <f>SUMIFS('[36]frm P6'!$J:$J,'[36]frm P6'!D:D,[36]Schedule!B133,'[36]frm P6'!E:E,[36]Schedule!C133,'[36]frm P6'!G:G,[36]Schedule!$W$98,'[36]frm P6'!H:H,[36]Schedule!F133)</f>
        <v>46535</v>
      </c>
      <c r="Y133" s="361">
        <f>SUMIFS('[36]frm P6'!$K:$K,'[36]frm P6'!D:D,[36]Schedule!B133,'[36]frm P6'!E:E,[36]Schedule!C133,'[36]frm P6'!G:G,[36]Schedule!$W$98,'[36]frm P6'!H:H,[36]Schedule!F133)</f>
        <v>46554</v>
      </c>
      <c r="Z133" s="369" t="s">
        <v>424</v>
      </c>
      <c r="AA133" s="420" t="s">
        <v>424</v>
      </c>
      <c r="AB133" s="368" t="s">
        <v>424</v>
      </c>
      <c r="AC133" s="362" t="s">
        <v>424</v>
      </c>
      <c r="AD133" s="274"/>
      <c r="AE133" s="273"/>
      <c r="AF133" s="371"/>
      <c r="AG133" s="370">
        <f>SUMIFS('[36]frm P6'!$J:$J,'[36]frm P6'!D:D,[36]Schedule!B133,'[36]frm P6'!E:E,[36]Schedule!C133,'[36]frm P6'!F:F,[36]Schedule!D133,'[36]frm P6'!G:G,[36]Schedule!$AF$98,'[36]frm P6'!H:H,[36]Schedule!F133)</f>
        <v>46464</v>
      </c>
      <c r="AH133" s="361">
        <f>SUMIFS('[36]frm P6'!$K:$K,'[36]frm P6'!D:D,[36]Schedule!B133,'[36]frm P6'!E:E,[36]Schedule!C133,'[36]frm P6'!F:F,[36]Schedule!D133,'[36]frm P6'!G:G,[36]Schedule!$AF$98,'[36]frm P6'!H:H,[36]Schedule!F133)</f>
        <v>46487</v>
      </c>
      <c r="AI133" s="362">
        <f>AH133-AG133+1</f>
        <v>24</v>
      </c>
      <c r="AJ133" s="273"/>
      <c r="AK133" s="273"/>
      <c r="AL133" s="371"/>
      <c r="AM133" s="420" t="s">
        <v>424</v>
      </c>
      <c r="AN133" s="368" t="s">
        <v>424</v>
      </c>
      <c r="AO133" s="362" t="s">
        <v>424</v>
      </c>
      <c r="AP133" s="273"/>
      <c r="AQ133" s="273"/>
      <c r="AR133" s="372"/>
      <c r="AS133" s="368">
        <f t="shared" si="97"/>
        <v>46461</v>
      </c>
      <c r="AT133" s="368">
        <f t="shared" si="96"/>
        <v>46401</v>
      </c>
      <c r="AU133" s="377">
        <f t="shared" si="87"/>
        <v>46386</v>
      </c>
      <c r="AV133" s="368">
        <f t="shared" si="98"/>
        <v>46460</v>
      </c>
      <c r="AW133" s="368">
        <f t="shared" si="71"/>
        <v>46450</v>
      </c>
      <c r="AX133" s="378">
        <f t="shared" si="89"/>
        <v>149</v>
      </c>
      <c r="AY133" s="368">
        <v>46301</v>
      </c>
      <c r="AZ133" s="362" t="s">
        <v>665</v>
      </c>
      <c r="BA133" s="490" t="s">
        <v>666</v>
      </c>
      <c r="BB133" s="487"/>
      <c r="BE133" s="277"/>
      <c r="BF133" s="278"/>
    </row>
    <row r="134" spans="1:58" s="269" customFormat="1" ht="20" customHeight="1">
      <c r="A134" s="270"/>
      <c r="B134" s="357" t="s">
        <v>578</v>
      </c>
      <c r="C134" s="357" t="s">
        <v>636</v>
      </c>
      <c r="D134" s="357" t="s">
        <v>580</v>
      </c>
      <c r="E134" s="357"/>
      <c r="F134" s="357" t="s">
        <v>645</v>
      </c>
      <c r="G134" s="357"/>
      <c r="H134" s="358">
        <v>15</v>
      </c>
      <c r="I134" s="271" t="s">
        <v>637</v>
      </c>
      <c r="J134" s="359"/>
      <c r="K134" s="360">
        <f>L134-Y134</f>
        <v>28</v>
      </c>
      <c r="L134" s="361">
        <f>SUMIFS('[36]frm P6'!$J:$J,'[36]frm P6'!D:D,[36]Schedule!B134,'[36]frm P6'!E:E,[36]Schedule!C134,'[36]frm P6'!F:F,[36]Schedule!D134,'[36]frm P6'!G:G,[36]Schedule!$K$98,'[36]frm P6'!H:H,[36]Schedule!F134)</f>
        <v>46582</v>
      </c>
      <c r="M134" s="361">
        <f>SUMIFS('[36]frm P6'!$K:$K,'[36]frm P6'!D:D,[36]Schedule!B134,'[36]frm P6'!E:E,[36]Schedule!C134,'[36]frm P6'!F:F,[36]Schedule!D134,'[36]frm P6'!G:G,[36]Schedule!$K$98,'[36]frm P6'!H:H,[36]Schedule!F134)</f>
        <v>46599</v>
      </c>
      <c r="N134" s="362">
        <f>M134-L134+1</f>
        <v>18</v>
      </c>
      <c r="O134" s="273"/>
      <c r="P134" s="273"/>
      <c r="Q134" s="273"/>
      <c r="R134" s="363"/>
      <c r="S134" s="364"/>
      <c r="T134" s="365"/>
      <c r="U134" s="366"/>
      <c r="V134" s="366"/>
      <c r="W134" s="367"/>
      <c r="X134" s="361">
        <f>SUMIFS('[36]frm P6'!$J:$J,'[36]frm P6'!D:D,[36]Schedule!B134,'[36]frm P6'!E:E,[36]Schedule!C134,'[36]frm P6'!G:G,[36]Schedule!$W$98,'[36]frm P6'!H:H,[36]Schedule!F134)</f>
        <v>46535</v>
      </c>
      <c r="Y134" s="361">
        <f>SUMIFS('[36]frm P6'!$K:$K,'[36]frm P6'!D:D,[36]Schedule!B134,'[36]frm P6'!E:E,[36]Schedule!C134,'[36]frm P6'!G:G,[36]Schedule!$W$98,'[36]frm P6'!H:H,[36]Schedule!F134)</f>
        <v>46554</v>
      </c>
      <c r="Z134" s="369" t="s">
        <v>424</v>
      </c>
      <c r="AA134" s="420" t="s">
        <v>424</v>
      </c>
      <c r="AB134" s="368" t="s">
        <v>424</v>
      </c>
      <c r="AC134" s="362" t="s">
        <v>424</v>
      </c>
      <c r="AD134" s="274"/>
      <c r="AE134" s="273"/>
      <c r="AF134" s="371"/>
      <c r="AG134" s="370">
        <f>SUMIFS('[36]frm P6'!$J:$J,'[36]frm P6'!D:D,[36]Schedule!B134,'[36]frm P6'!E:E,[36]Schedule!C134,'[36]frm P6'!F:F,[36]Schedule!D134,'[36]frm P6'!G:G,[36]Schedule!$AF$98,'[36]frm P6'!H:H,[36]Schedule!F134)</f>
        <v>46464</v>
      </c>
      <c r="AH134" s="361">
        <f>SUMIFS('[36]frm P6'!$K:$K,'[36]frm P6'!D:D,[36]Schedule!B134,'[36]frm P6'!E:E,[36]Schedule!C134,'[36]frm P6'!F:F,[36]Schedule!D134,'[36]frm P6'!G:G,[36]Schedule!$AF$98,'[36]frm P6'!H:H,[36]Schedule!F134)</f>
        <v>46487</v>
      </c>
      <c r="AI134" s="362">
        <f>AH134-AG134+1</f>
        <v>24</v>
      </c>
      <c r="AJ134" s="273"/>
      <c r="AK134" s="273"/>
      <c r="AL134" s="371"/>
      <c r="AM134" s="420" t="s">
        <v>424</v>
      </c>
      <c r="AN134" s="368" t="s">
        <v>424</v>
      </c>
      <c r="AO134" s="362" t="s">
        <v>424</v>
      </c>
      <c r="AP134" s="273"/>
      <c r="AQ134" s="273"/>
      <c r="AR134" s="372"/>
      <c r="AS134" s="368">
        <f t="shared" si="97"/>
        <v>46461</v>
      </c>
      <c r="AT134" s="368">
        <f t="shared" si="96"/>
        <v>46401</v>
      </c>
      <c r="AU134" s="377">
        <f t="shared" si="87"/>
        <v>46386</v>
      </c>
      <c r="AV134" s="368">
        <f t="shared" si="98"/>
        <v>46460</v>
      </c>
      <c r="AW134" s="368">
        <f t="shared" si="71"/>
        <v>46450</v>
      </c>
      <c r="AX134" s="378">
        <f t="shared" si="89"/>
        <v>129</v>
      </c>
      <c r="AY134" s="368">
        <v>46321</v>
      </c>
      <c r="AZ134" s="362" t="s">
        <v>667</v>
      </c>
      <c r="BA134" s="490" t="s">
        <v>668</v>
      </c>
      <c r="BB134" s="487"/>
      <c r="BE134" s="277"/>
      <c r="BF134" s="278"/>
    </row>
    <row r="135" spans="1:58" s="269" customFormat="1" ht="20" customHeight="1">
      <c r="A135" s="270"/>
      <c r="B135" s="357" t="s">
        <v>578</v>
      </c>
      <c r="C135" s="357" t="s">
        <v>489</v>
      </c>
      <c r="D135" s="357" t="s">
        <v>640</v>
      </c>
      <c r="E135" s="357"/>
      <c r="F135" s="357" t="s">
        <v>645</v>
      </c>
      <c r="G135" s="357"/>
      <c r="H135" s="358">
        <v>16</v>
      </c>
      <c r="I135" s="271" t="s">
        <v>641</v>
      </c>
      <c r="J135" s="359"/>
      <c r="K135" s="360">
        <f>L135-Y135</f>
        <v>-18</v>
      </c>
      <c r="L135" s="361">
        <f>SUMIFS('[36]frm P6'!$J:$J,'[36]frm P6'!D:D,[36]Schedule!B135,'[36]frm P6'!E:E,[36]Schedule!C135,'[36]frm P6'!F:F,[36]Schedule!D135,'[36]frm P6'!G:G,[36]Schedule!$K$98,'[36]frm P6'!H:H,[36]Schedule!F135)</f>
        <v>46478</v>
      </c>
      <c r="M135" s="361">
        <f>SUMIFS('[36]frm P6'!$K:$K,'[36]frm P6'!D:D,[36]Schedule!B135,'[36]frm P6'!E:E,[36]Schedule!C135,'[36]frm P6'!F:F,[36]Schedule!D135,'[36]frm P6'!G:G,[36]Schedule!$K$98,'[36]frm P6'!H:H,[36]Schedule!F135)</f>
        <v>46514</v>
      </c>
      <c r="N135" s="362"/>
      <c r="O135" s="273"/>
      <c r="P135" s="273"/>
      <c r="Q135" s="273"/>
      <c r="R135" s="363"/>
      <c r="S135" s="364"/>
      <c r="T135" s="365"/>
      <c r="U135" s="366"/>
      <c r="V135" s="366"/>
      <c r="W135" s="367"/>
      <c r="X135" s="361">
        <f>SUMIFS('[36]frm P6'!$J:$J,'[36]frm P6'!D:D,[36]Schedule!B135,'[36]frm P6'!E:E,[36]Schedule!C135,'[36]frm P6'!F:F,[36]Schedule!D135,'[36]frm P6'!G:G,[36]Schedule!$W$98,'[36]frm P6'!H:H,[36]Schedule!F135)</f>
        <v>46461</v>
      </c>
      <c r="Y135" s="361">
        <f>SUMIFS('[36]frm P6'!$K:$K,'[36]frm P6'!D:D,[36]Schedule!B135,'[36]frm P6'!E:E,[36]Schedule!C135,'[36]frm P6'!F:F,[36]Schedule!D135,'[36]frm P6'!G:G,[36]Schedule!$W$98,'[36]frm P6'!H:H,[36]Schedule!F135)</f>
        <v>46496</v>
      </c>
      <c r="Z135" s="369"/>
      <c r="AA135" s="420"/>
      <c r="AB135" s="368"/>
      <c r="AC135" s="362"/>
      <c r="AD135" s="274"/>
      <c r="AE135" s="273"/>
      <c r="AF135" s="371"/>
      <c r="AG135" s="370">
        <f>SUMIFS('[36]frm P6'!$J:$J,'[36]frm P6'!D:D,[36]Schedule!B135,'[36]frm P6'!E:E,[36]Schedule!C135,'[36]frm P6'!F:F,[36]Schedule!D135,'[36]frm P6'!G:G,[36]Schedule!$AF$98,'[36]frm P6'!H:H,[36]Schedule!F135)</f>
        <v>46443</v>
      </c>
      <c r="AH135" s="361">
        <f>SUMIFS('[36]frm P6'!$K:$K,'[36]frm P6'!D:D,[36]Schedule!B135,'[36]frm P6'!E:E,[36]Schedule!C135,'[36]frm P6'!F:F,[36]Schedule!D135,'[36]frm P6'!G:G,[36]Schedule!$AF$98,'[36]frm P6'!H:H,[36]Schedule!F135)</f>
        <v>46477</v>
      </c>
      <c r="AI135" s="362">
        <f>AH135-AG135+1</f>
        <v>35</v>
      </c>
      <c r="AJ135" s="273"/>
      <c r="AK135" s="273"/>
      <c r="AL135" s="371"/>
      <c r="AM135" s="420"/>
      <c r="AN135" s="368"/>
      <c r="AO135" s="362"/>
      <c r="AP135" s="273"/>
      <c r="AQ135" s="273"/>
      <c r="AR135" s="372"/>
      <c r="AS135" s="368">
        <f t="shared" si="97"/>
        <v>46440</v>
      </c>
      <c r="AT135" s="368">
        <f t="shared" si="96"/>
        <v>46380</v>
      </c>
      <c r="AU135" s="377">
        <f t="shared" si="87"/>
        <v>46365</v>
      </c>
      <c r="AV135" s="368">
        <f t="shared" si="98"/>
        <v>46439</v>
      </c>
      <c r="AW135" s="368">
        <f t="shared" si="71"/>
        <v>46429</v>
      </c>
      <c r="AX135" s="378">
        <f t="shared" si="89"/>
        <v>141</v>
      </c>
      <c r="AY135" s="368">
        <v>46288</v>
      </c>
      <c r="AZ135" s="362" t="s">
        <v>669</v>
      </c>
      <c r="BA135" s="490" t="s">
        <v>670</v>
      </c>
      <c r="BB135" s="487"/>
      <c r="BE135" s="277"/>
      <c r="BF135" s="278"/>
    </row>
    <row r="136" spans="1:58" s="269" customFormat="1" ht="9.6" customHeight="1">
      <c r="A136" s="270"/>
      <c r="B136" s="357"/>
      <c r="C136" s="357"/>
      <c r="D136" s="357"/>
      <c r="E136" s="357"/>
      <c r="F136" s="357"/>
      <c r="G136" s="357"/>
      <c r="H136" s="387"/>
      <c r="I136" s="388"/>
      <c r="J136" s="389"/>
      <c r="K136" s="390"/>
      <c r="L136" s="391"/>
      <c r="M136" s="391"/>
      <c r="N136" s="392"/>
      <c r="O136" s="393"/>
      <c r="P136" s="393"/>
      <c r="Q136" s="393"/>
      <c r="R136" s="363"/>
      <c r="S136" s="364"/>
      <c r="T136" s="365"/>
      <c r="U136" s="366"/>
      <c r="V136" s="366"/>
      <c r="W136" s="367"/>
      <c r="X136" s="391"/>
      <c r="Y136" s="391"/>
      <c r="Z136" s="394"/>
      <c r="AA136" s="396"/>
      <c r="AB136" s="391"/>
      <c r="AC136" s="392"/>
      <c r="AD136" s="395"/>
      <c r="AE136" s="393"/>
      <c r="AF136" s="397"/>
      <c r="AG136" s="396"/>
      <c r="AH136" s="391"/>
      <c r="AI136" s="392"/>
      <c r="AJ136" s="393"/>
      <c r="AK136" s="393"/>
      <c r="AL136" s="397"/>
      <c r="AM136" s="491"/>
      <c r="AN136" s="492"/>
      <c r="AO136" s="493"/>
      <c r="AP136" s="494"/>
      <c r="AQ136" s="494"/>
      <c r="AR136" s="495"/>
      <c r="AS136" s="492"/>
      <c r="AT136" s="492"/>
      <c r="AU136" s="496"/>
      <c r="AV136" s="497"/>
      <c r="AW136" s="497"/>
      <c r="AX136" s="498"/>
      <c r="AY136" s="499"/>
      <c r="AZ136" s="497"/>
      <c r="BA136" s="497"/>
      <c r="BB136" s="500"/>
      <c r="BE136" s="277"/>
      <c r="BF136" s="278"/>
    </row>
    <row r="137" spans="1:58" ht="6" customHeight="1">
      <c r="I137" s="433"/>
      <c r="J137" s="433"/>
      <c r="K137" s="501"/>
      <c r="L137" s="433"/>
      <c r="M137" s="433"/>
      <c r="N137" s="433"/>
      <c r="O137" s="435"/>
      <c r="P137" s="435"/>
      <c r="Q137" s="435"/>
      <c r="R137" s="380"/>
      <c r="S137" s="381"/>
      <c r="T137" s="382"/>
      <c r="U137" s="383"/>
      <c r="V137" s="383"/>
      <c r="W137" s="384"/>
      <c r="X137" s="433"/>
      <c r="Y137" s="433"/>
      <c r="Z137" s="433"/>
      <c r="AA137" s="433"/>
      <c r="AB137" s="433"/>
      <c r="AC137" s="433"/>
      <c r="AD137" s="434"/>
      <c r="AE137" s="435"/>
      <c r="AF137" s="435"/>
      <c r="AG137" s="433"/>
      <c r="AH137" s="433"/>
      <c r="AI137" s="433"/>
      <c r="AJ137" s="435"/>
      <c r="AK137" s="435"/>
      <c r="AL137" s="435"/>
    </row>
    <row r="138" spans="1:58" ht="26" customHeight="1">
      <c r="B138" s="406" t="s">
        <v>671</v>
      </c>
      <c r="H138" s="286" t="s">
        <v>86</v>
      </c>
      <c r="I138" s="287"/>
      <c r="J138" s="288"/>
      <c r="K138" s="289"/>
      <c r="L138" s="408" t="s">
        <v>375</v>
      </c>
      <c r="M138" s="291" t="s">
        <v>672</v>
      </c>
      <c r="N138" s="292"/>
      <c r="O138" s="293"/>
      <c r="P138" s="293"/>
      <c r="Q138" s="293"/>
      <c r="R138" s="409"/>
      <c r="S138" s="410"/>
      <c r="T138" s="411"/>
      <c r="U138" s="412"/>
      <c r="V138" s="412"/>
      <c r="W138" s="413"/>
      <c r="X138" s="294" t="s">
        <v>381</v>
      </c>
      <c r="Y138" s="414" t="s">
        <v>673</v>
      </c>
      <c r="Z138" s="297"/>
      <c r="AA138" s="297" t="s">
        <v>383</v>
      </c>
      <c r="AB138" s="298"/>
      <c r="AC138" s="297"/>
      <c r="AD138" s="299"/>
      <c r="AE138" s="293"/>
      <c r="AF138" s="293"/>
      <c r="AG138" s="300" t="s">
        <v>385</v>
      </c>
      <c r="AH138" s="298" t="s">
        <v>475</v>
      </c>
      <c r="AI138" s="296"/>
      <c r="AJ138" s="293"/>
      <c r="AK138" s="293"/>
      <c r="AL138" s="293"/>
      <c r="AM138" s="300"/>
      <c r="AN138" s="416"/>
      <c r="AO138" s="297"/>
      <c r="AP138" s="293"/>
      <c r="AQ138" s="502"/>
      <c r="AR138" s="303"/>
      <c r="AS138" s="294">
        <v>3</v>
      </c>
      <c r="AT138" s="298">
        <v>120</v>
      </c>
      <c r="AU138" s="304">
        <v>15</v>
      </c>
      <c r="AV138" s="294">
        <v>4</v>
      </c>
      <c r="AW138" s="294">
        <v>10</v>
      </c>
      <c r="AX138" s="305" t="s">
        <v>389</v>
      </c>
      <c r="AY138" s="306"/>
      <c r="AZ138" s="307"/>
      <c r="BA138" s="308"/>
      <c r="BB138" s="485"/>
    </row>
    <row r="139" spans="1:58" ht="27" customHeight="1">
      <c r="B139" s="313" t="s">
        <v>391</v>
      </c>
      <c r="C139" s="313" t="s">
        <v>392</v>
      </c>
      <c r="D139" s="313" t="s">
        <v>393</v>
      </c>
      <c r="E139" s="313" t="s">
        <v>394</v>
      </c>
      <c r="F139" s="313" t="s">
        <v>395</v>
      </c>
      <c r="G139" s="313"/>
      <c r="H139" s="314" t="s">
        <v>396</v>
      </c>
      <c r="I139" s="315" t="s">
        <v>397</v>
      </c>
      <c r="J139" s="316" t="s">
        <v>398</v>
      </c>
      <c r="K139" s="317"/>
      <c r="L139" s="315" t="s">
        <v>399</v>
      </c>
      <c r="M139" s="315" t="s">
        <v>400</v>
      </c>
      <c r="N139" s="315" t="s">
        <v>401</v>
      </c>
      <c r="O139" s="318" t="s">
        <v>473</v>
      </c>
      <c r="P139" s="318" t="s">
        <v>674</v>
      </c>
      <c r="Q139" s="417"/>
      <c r="R139" s="380"/>
      <c r="S139" s="381"/>
      <c r="T139" s="382"/>
      <c r="U139" s="383"/>
      <c r="V139" s="383"/>
      <c r="W139" s="384"/>
      <c r="X139" s="319" t="s">
        <v>399</v>
      </c>
      <c r="Y139" s="319" t="s">
        <v>400</v>
      </c>
      <c r="Z139" s="319" t="s">
        <v>401</v>
      </c>
      <c r="AA139" s="319" t="s">
        <v>399</v>
      </c>
      <c r="AB139" s="319" t="s">
        <v>400</v>
      </c>
      <c r="AC139" s="319" t="s">
        <v>401</v>
      </c>
      <c r="AD139" s="418"/>
      <c r="AE139" s="417"/>
      <c r="AF139" s="417"/>
      <c r="AG139" s="323" t="s">
        <v>399</v>
      </c>
      <c r="AH139" s="319" t="s">
        <v>400</v>
      </c>
      <c r="AI139" s="320" t="s">
        <v>401</v>
      </c>
      <c r="AJ139" s="503" t="s">
        <v>473</v>
      </c>
      <c r="AK139" s="322" t="s">
        <v>674</v>
      </c>
      <c r="AL139" s="417"/>
      <c r="AM139" s="323"/>
      <c r="AN139" s="319"/>
      <c r="AO139" s="319"/>
      <c r="AP139" s="417"/>
      <c r="AQ139" s="504"/>
      <c r="AR139" s="326" t="s">
        <v>408</v>
      </c>
      <c r="AS139" s="319" t="s">
        <v>409</v>
      </c>
      <c r="AT139" s="319" t="s">
        <v>410</v>
      </c>
      <c r="AU139" s="327" t="s">
        <v>560</v>
      </c>
      <c r="AV139" s="328" t="s">
        <v>393</v>
      </c>
      <c r="AW139" s="328" t="s">
        <v>412</v>
      </c>
      <c r="AX139" s="329" t="s">
        <v>413</v>
      </c>
      <c r="AY139" s="330"/>
      <c r="AZ139" s="328" t="s">
        <v>478</v>
      </c>
      <c r="BA139" s="328" t="s">
        <v>416</v>
      </c>
      <c r="BB139" s="331"/>
    </row>
    <row r="140" spans="1:58" ht="30" customHeight="1">
      <c r="A140" s="270" t="s">
        <v>675</v>
      </c>
      <c r="B140" s="438" t="s">
        <v>417</v>
      </c>
      <c r="C140" s="432"/>
      <c r="D140" s="432"/>
      <c r="E140" s="432"/>
      <c r="F140" s="432"/>
      <c r="G140" s="432"/>
      <c r="H140" s="336" t="s">
        <v>676</v>
      </c>
      <c r="I140" s="337"/>
      <c r="J140" s="338"/>
      <c r="K140" s="339"/>
      <c r="L140" s="340">
        <f>MIN(L141:L145)</f>
        <v>46380</v>
      </c>
      <c r="M140" s="340">
        <f>MAX(M141:M145)</f>
        <v>46582</v>
      </c>
      <c r="N140" s="337">
        <f t="shared" ref="N140:N151" si="99">M140-L140+1</f>
        <v>203</v>
      </c>
      <c r="O140" s="341"/>
      <c r="P140" s="341"/>
      <c r="Q140" s="341"/>
      <c r="R140" s="380"/>
      <c r="S140" s="381"/>
      <c r="T140" s="382"/>
      <c r="U140" s="383"/>
      <c r="V140" s="383"/>
      <c r="W140" s="384"/>
      <c r="X140" s="340">
        <f>MIN(X141:X145)</f>
        <v>46367</v>
      </c>
      <c r="Y140" s="340">
        <f>MAX(Y141:Y145)</f>
        <v>46518</v>
      </c>
      <c r="Z140" s="347">
        <f t="shared" ref="Z140:Z141" si="100">Y140-X140+1</f>
        <v>152</v>
      </c>
      <c r="AA140" s="340"/>
      <c r="AB140" s="340"/>
      <c r="AC140" s="337"/>
      <c r="AD140" s="348"/>
      <c r="AE140" s="341"/>
      <c r="AF140" s="341"/>
      <c r="AG140" s="349">
        <f>MIN(AG141:AG145)</f>
        <v>46359</v>
      </c>
      <c r="AH140" s="340">
        <f>MAX(AH141:AH145)</f>
        <v>46494</v>
      </c>
      <c r="AI140" s="347">
        <f t="shared" ref="AI140:AI142" si="101">AH140-AG140+1</f>
        <v>136</v>
      </c>
      <c r="AJ140" s="341"/>
      <c r="AK140" s="341"/>
      <c r="AL140" s="341"/>
      <c r="AM140" s="349"/>
      <c r="AN140" s="340"/>
      <c r="AO140" s="337"/>
      <c r="AP140" s="341"/>
      <c r="AQ140" s="505"/>
      <c r="AR140" s="351"/>
      <c r="AS140" s="340">
        <f>MIN(AS141:AS145)</f>
        <v>46356</v>
      </c>
      <c r="AT140" s="340">
        <f>MIN(AT141:AT145)</f>
        <v>46236</v>
      </c>
      <c r="AU140" s="352">
        <f>MIN(AU141:AU145)</f>
        <v>46221</v>
      </c>
      <c r="AV140" s="353">
        <f>MIN(AV141:AV145)</f>
        <v>46355</v>
      </c>
      <c r="AW140" s="353">
        <f>MIN(AW141:AW145)</f>
        <v>46345</v>
      </c>
      <c r="AX140" s="486"/>
      <c r="AY140" s="340"/>
      <c r="AZ140" s="337"/>
      <c r="BA140" s="337"/>
      <c r="BB140" s="439"/>
      <c r="BC140" s="268"/>
      <c r="BD140" s="268"/>
      <c r="BE140" s="311"/>
      <c r="BF140" s="312"/>
    </row>
    <row r="141" spans="1:58" s="269" customFormat="1" ht="23.45" customHeight="1">
      <c r="A141" s="270"/>
      <c r="B141" s="357" t="s">
        <v>578</v>
      </c>
      <c r="C141" s="357" t="s">
        <v>489</v>
      </c>
      <c r="D141" s="357" t="s">
        <v>677</v>
      </c>
      <c r="E141" s="357"/>
      <c r="F141" s="357" t="s">
        <v>581</v>
      </c>
      <c r="G141" s="357" t="str">
        <f>F141&amp;C141</f>
        <v>01TSUPP</v>
      </c>
      <c r="H141" s="358">
        <v>1</v>
      </c>
      <c r="I141" s="271" t="s">
        <v>678</v>
      </c>
      <c r="J141" s="359"/>
      <c r="K141" s="360"/>
      <c r="L141" s="361">
        <f>SUMIFS('[36]frm P6'!$J:$J,'[36]frm P6'!D:D,[36]Schedule!B141,'[36]frm P6'!E:E,[36]Schedule!C141,'[36]frm P6'!F:F,[36]Schedule!D141,'[36]frm P6'!G:G,[36]Schedule!$K$138,'[36]frm P6'!H:H,[36]Schedule!F141)</f>
        <v>46380</v>
      </c>
      <c r="M141" s="361">
        <f>SUMIFS('[36]frm P6'!$K:$K,'[36]frm P6'!D:D,[36]Schedule!B141,'[36]frm P6'!E:E,[36]Schedule!C141,'[36]frm P6'!F:F,[36]Schedule!D141,'[36]frm P6'!G:G,[36]Schedule!$K$138,'[36]frm P6'!H:H,[36]Schedule!F141)</f>
        <v>46496</v>
      </c>
      <c r="N141" s="362">
        <f t="shared" si="99"/>
        <v>117</v>
      </c>
      <c r="O141" s="273">
        <v>15.94</v>
      </c>
      <c r="P141" s="273"/>
      <c r="Q141" s="273"/>
      <c r="R141" s="363"/>
      <c r="S141" s="364"/>
      <c r="T141" s="365"/>
      <c r="U141" s="366"/>
      <c r="V141" s="366"/>
      <c r="W141" s="367"/>
      <c r="X141" s="361">
        <f>SUMIFS('[36]frm P6'!$J:$J,'[36]frm P6'!D:D,[36]Schedule!B141,'[36]frm P6'!E:E,[36]Schedule!C141,'[36]frm P6'!F:F,[36]Schedule!D141,'[36]frm P6'!G:G,[36]Schedule!$W$138,'[36]frm P6'!H:H,[36]Schedule!F141)</f>
        <v>46367</v>
      </c>
      <c r="Y141" s="361">
        <f>SUMIFS('[36]frm P6'!$K:$K,'[36]frm P6'!D:D,[36]Schedule!B141,'[36]frm P6'!E:E,[36]Schedule!C141,'[36]frm P6'!F:F,[36]Schedule!D141,'[36]frm P6'!G:G,[36]Schedule!$W$138,'[36]frm P6'!H:H,[36]Schedule!F141)</f>
        <v>46487</v>
      </c>
      <c r="Z141" s="369">
        <f t="shared" si="100"/>
        <v>121</v>
      </c>
      <c r="AA141" s="368" t="s">
        <v>424</v>
      </c>
      <c r="AB141" s="368" t="s">
        <v>424</v>
      </c>
      <c r="AC141" s="362" t="s">
        <v>424</v>
      </c>
      <c r="AD141" s="274"/>
      <c r="AE141" s="273"/>
      <c r="AF141" s="273"/>
      <c r="AG141" s="370">
        <f>SUMIFS('[36]frm P6'!$J:$J,'[36]frm P6'!D:D,[36]Schedule!B141,'[36]frm P6'!E:E,[36]Schedule!C141,'[36]frm P6'!F:F,[36]Schedule!D141,'[36]frm P6'!G:G,[36]Schedule!$AF$98,'[36]frm P6'!H:H,[36]Schedule!F141)</f>
        <v>46359</v>
      </c>
      <c r="AH141" s="361">
        <f>SUMIFS('[36]frm P6'!$K:$K,'[36]frm P6'!D:D,[36]Schedule!B141,'[36]frm P6'!E:E,[36]Schedule!C141,'[36]frm P6'!F:F,[36]Schedule!D141,'[36]frm P6'!G:G,[36]Schedule!$AF$98,'[36]frm P6'!H:H,[36]Schedule!F141)</f>
        <v>46450</v>
      </c>
      <c r="AI141" s="369">
        <f t="shared" si="101"/>
        <v>92</v>
      </c>
      <c r="AJ141" s="273">
        <v>15.94</v>
      </c>
      <c r="AK141" s="273"/>
      <c r="AL141" s="273"/>
      <c r="AM141" s="420" t="s">
        <v>424</v>
      </c>
      <c r="AN141" s="368" t="s">
        <v>424</v>
      </c>
      <c r="AO141" s="362" t="s">
        <v>424</v>
      </c>
      <c r="AP141" s="273"/>
      <c r="AQ141" s="488"/>
      <c r="AR141" s="372">
        <v>100</v>
      </c>
      <c r="AS141" s="368">
        <f>AG141-$AS$138</f>
        <v>46356</v>
      </c>
      <c r="AT141" s="368">
        <f>AS141-$AT$138</f>
        <v>46236</v>
      </c>
      <c r="AU141" s="377">
        <f>AT141-$AU$138</f>
        <v>46221</v>
      </c>
      <c r="AV141" s="368">
        <f>AG141-$AV$3</f>
        <v>46355</v>
      </c>
      <c r="AW141" s="368">
        <f t="shared" ref="AW141:AW142" si="102">AV141-$AW$3</f>
        <v>46345</v>
      </c>
      <c r="AX141" s="378">
        <f>AW141-AY141</f>
        <v>-7</v>
      </c>
      <c r="AY141" s="368">
        <v>46352</v>
      </c>
      <c r="AZ141" s="362" t="s">
        <v>679</v>
      </c>
      <c r="BA141" s="375" t="s">
        <v>680</v>
      </c>
      <c r="BB141" s="487"/>
      <c r="BE141" s="277"/>
      <c r="BF141" s="278"/>
    </row>
    <row r="142" spans="1:58" s="269" customFormat="1" ht="23.45" customHeight="1">
      <c r="A142" s="270"/>
      <c r="B142" s="357" t="s">
        <v>578</v>
      </c>
      <c r="C142" s="357" t="s">
        <v>681</v>
      </c>
      <c r="D142" s="357" t="s">
        <v>677</v>
      </c>
      <c r="E142" s="357"/>
      <c r="F142" s="357" t="s">
        <v>581</v>
      </c>
      <c r="G142" s="357" t="str">
        <f>F142&amp;C142</f>
        <v>01TPIPE</v>
      </c>
      <c r="H142" s="358">
        <v>2</v>
      </c>
      <c r="I142" s="271" t="s">
        <v>682</v>
      </c>
      <c r="J142" s="359"/>
      <c r="K142" s="360"/>
      <c r="L142" s="361">
        <f>SUMIFS('[36]frm P6'!$J:$J,'[36]frm P6'!D:D,[36]Schedule!B142,'[36]frm P6'!E:E,[36]Schedule!C142,'[36]frm P6'!F:F,[36]Schedule!D142,'[36]frm P6'!G:G,[36]Schedule!$K$138,'[36]frm P6'!H:H,[36]Schedule!F142)</f>
        <v>46422</v>
      </c>
      <c r="M142" s="361">
        <f>SUMIFS('[36]frm P6'!$K:$K,'[36]frm P6'!D:D,[36]Schedule!B142,'[36]frm P6'!E:E,[36]Schedule!C142,'[36]frm P6'!F:F,[36]Schedule!D142,'[36]frm P6'!G:G,[36]Schedule!$K$138,'[36]frm P6'!H:H,[36]Schedule!F142)</f>
        <v>46538</v>
      </c>
      <c r="N142" s="362">
        <f t="shared" si="99"/>
        <v>117</v>
      </c>
      <c r="O142" s="273"/>
      <c r="P142" s="273">
        <v>4647</v>
      </c>
      <c r="Q142" s="273"/>
      <c r="R142" s="363"/>
      <c r="S142" s="364"/>
      <c r="T142" s="365"/>
      <c r="U142" s="366"/>
      <c r="V142" s="366"/>
      <c r="W142" s="367"/>
      <c r="X142" s="361">
        <f>SUMIFS('[36]frm P6'!$J:$J,'[36]frm P6'!D:D,[36]Schedule!B142,'[36]frm P6'!E:E,[36]Schedule!C142,'[36]frm P6'!G:G,[36]Schedule!$W$138,'[36]frm P6'!H:H,[36]Schedule!F142)</f>
        <v>46414</v>
      </c>
      <c r="Y142" s="361">
        <f>SUMIFS('[36]frm P6'!$K:$K,'[36]frm P6'!D:D,[36]Schedule!B142,'[36]frm P6'!E:E,[36]Schedule!C142,'[36]frm P6'!G:G,[36]Schedule!$W$138,'[36]frm P6'!H:H,[36]Schedule!F142)</f>
        <v>46518</v>
      </c>
      <c r="Z142" s="369">
        <f t="shared" ref="Z142" si="103">Y142-X142+1</f>
        <v>105</v>
      </c>
      <c r="AA142" s="368" t="s">
        <v>424</v>
      </c>
      <c r="AB142" s="368" t="s">
        <v>424</v>
      </c>
      <c r="AC142" s="362" t="s">
        <v>424</v>
      </c>
      <c r="AD142" s="274"/>
      <c r="AE142" s="273"/>
      <c r="AF142" s="273"/>
      <c r="AG142" s="370">
        <f>SUMIFS('[36]frm P6'!$J:$J,'[36]frm P6'!D:D,[36]Schedule!B142,'[36]frm P6'!E:E,[36]Schedule!C142,'[36]frm P6'!F:F,[36]Schedule!D142,'[36]frm P6'!G:G,[36]Schedule!$AF$98,'[36]frm P6'!H:H,[36]Schedule!F142)</f>
        <v>46385</v>
      </c>
      <c r="AH142" s="361">
        <f>SUMIFS('[36]frm P6'!$K:$K,'[36]frm P6'!D:D,[36]Schedule!B142,'[36]frm P6'!E:E,[36]Schedule!C142,'[36]frm P6'!F:F,[36]Schedule!D142,'[36]frm P6'!G:G,[36]Schedule!$AF$98,'[36]frm P6'!H:H,[36]Schedule!F142)</f>
        <v>46494</v>
      </c>
      <c r="AI142" s="369">
        <f t="shared" si="101"/>
        <v>110</v>
      </c>
      <c r="AJ142" s="273"/>
      <c r="AK142" s="273">
        <v>10843</v>
      </c>
      <c r="AL142" s="273"/>
      <c r="AM142" s="420" t="s">
        <v>424</v>
      </c>
      <c r="AN142" s="368" t="s">
        <v>424</v>
      </c>
      <c r="AO142" s="362" t="s">
        <v>424</v>
      </c>
      <c r="AP142" s="273"/>
      <c r="AQ142" s="488"/>
      <c r="AR142" s="372">
        <v>72</v>
      </c>
      <c r="AS142" s="368">
        <f>AG142-$AS$138</f>
        <v>46382</v>
      </c>
      <c r="AT142" s="368">
        <f>AS142-90</f>
        <v>46292</v>
      </c>
      <c r="AU142" s="377">
        <f>AT142-$AU$138</f>
        <v>46277</v>
      </c>
      <c r="AV142" s="368">
        <f>AG142-$AV$3</f>
        <v>46381</v>
      </c>
      <c r="AW142" s="368">
        <f t="shared" si="102"/>
        <v>46371</v>
      </c>
      <c r="AX142" s="378">
        <f>AW142-AY142</f>
        <v>33</v>
      </c>
      <c r="AY142" s="368">
        <v>46338</v>
      </c>
      <c r="AZ142" s="362" t="s">
        <v>683</v>
      </c>
      <c r="BA142" s="375" t="s">
        <v>684</v>
      </c>
      <c r="BB142" s="487"/>
      <c r="BE142" s="277"/>
      <c r="BF142" s="278"/>
    </row>
    <row r="143" spans="1:58" s="269" customFormat="1" ht="23.45" customHeight="1">
      <c r="A143" s="270"/>
      <c r="B143" s="357" t="s">
        <v>578</v>
      </c>
      <c r="C143" s="357" t="s">
        <v>549</v>
      </c>
      <c r="D143" s="357" t="s">
        <v>677</v>
      </c>
      <c r="E143" s="357"/>
      <c r="F143" s="357" t="s">
        <v>581</v>
      </c>
      <c r="G143" s="357"/>
      <c r="H143" s="358">
        <v>3</v>
      </c>
      <c r="I143" s="271" t="s">
        <v>685</v>
      </c>
      <c r="J143" s="359"/>
      <c r="K143" s="360"/>
      <c r="L143" s="361">
        <f>SUMIFS('[36]frm P6'!$J:$J,'[36]frm P6'!D:D,[36]Schedule!B143,'[36]frm P6'!E:E,[36]Schedule!C143,'[36]frm P6'!F:F,[36]Schedule!D143,'[36]frm P6'!G:G,[36]Schedule!$K$138,'[36]frm P6'!H:H,[36]Schedule!F143)</f>
        <v>46498</v>
      </c>
      <c r="M143" s="361">
        <f>SUMIFS('[36]frm P6'!$K:$K,'[36]frm P6'!D:D,[36]Schedule!B143,'[36]frm P6'!E:E,[36]Schedule!C143,'[36]frm P6'!F:F,[36]Schedule!D143,'[36]frm P6'!G:G,[36]Schedule!$K$138,'[36]frm P6'!H:H,[36]Schedule!F143)</f>
        <v>46582</v>
      </c>
      <c r="N143" s="362">
        <f t="shared" si="99"/>
        <v>85</v>
      </c>
      <c r="O143" s="273"/>
      <c r="P143" s="273">
        <v>15490</v>
      </c>
      <c r="Q143" s="273"/>
      <c r="R143" s="363"/>
      <c r="S143" s="364"/>
      <c r="T143" s="365"/>
      <c r="U143" s="366"/>
      <c r="V143" s="366"/>
      <c r="W143" s="367"/>
      <c r="X143" s="368" t="s">
        <v>424</v>
      </c>
      <c r="Y143" s="368" t="s">
        <v>424</v>
      </c>
      <c r="Z143" s="369" t="s">
        <v>424</v>
      </c>
      <c r="AA143" s="368" t="s">
        <v>424</v>
      </c>
      <c r="AB143" s="368" t="s">
        <v>424</v>
      </c>
      <c r="AC143" s="362" t="s">
        <v>424</v>
      </c>
      <c r="AD143" s="274"/>
      <c r="AE143" s="273"/>
      <c r="AF143" s="273"/>
      <c r="AG143" s="420"/>
      <c r="AH143" s="368"/>
      <c r="AI143" s="369"/>
      <c r="AJ143" s="273"/>
      <c r="AK143" s="273"/>
      <c r="AL143" s="273"/>
      <c r="AM143" s="420" t="s">
        <v>424</v>
      </c>
      <c r="AN143" s="368" t="s">
        <v>424</v>
      </c>
      <c r="AO143" s="362" t="s">
        <v>424</v>
      </c>
      <c r="AP143" s="273"/>
      <c r="AQ143" s="488"/>
      <c r="AR143" s="372"/>
      <c r="AS143" s="368"/>
      <c r="AT143" s="368"/>
      <c r="AU143" s="377"/>
      <c r="AV143" s="368"/>
      <c r="AW143" s="368"/>
      <c r="AX143" s="378"/>
      <c r="AY143" s="368"/>
      <c r="AZ143" s="362"/>
      <c r="BA143" s="375"/>
      <c r="BB143" s="487"/>
      <c r="BD143" s="429"/>
      <c r="BE143" s="277"/>
      <c r="BF143" s="278"/>
    </row>
    <row r="144" spans="1:58" s="269" customFormat="1" ht="23.45" customHeight="1">
      <c r="A144" s="270"/>
      <c r="B144" s="357" t="s">
        <v>578</v>
      </c>
      <c r="C144" s="357" t="s">
        <v>509</v>
      </c>
      <c r="D144" s="357" t="s">
        <v>677</v>
      </c>
      <c r="E144" s="357"/>
      <c r="F144" s="357" t="s">
        <v>581</v>
      </c>
      <c r="G144" s="357"/>
      <c r="H144" s="358">
        <v>4</v>
      </c>
      <c r="I144" s="271" t="s">
        <v>686</v>
      </c>
      <c r="J144" s="359"/>
      <c r="K144" s="360"/>
      <c r="L144" s="361">
        <f>SUMIFS('[36]frm P6'!$J:$J,'[36]frm P6'!D:D,[36]Schedule!B144,'[36]frm P6'!E:E,[36]Schedule!C144,'[36]frm P6'!F:F,[36]Schedule!D144,'[36]frm P6'!G:G,[36]Schedule!$K$138,'[36]frm P6'!H:H,[36]Schedule!F144)</f>
        <v>46486</v>
      </c>
      <c r="M144" s="361">
        <f>SUMIFS('[36]frm P6'!$K:$K,'[36]frm P6'!D:D,[36]Schedule!B144,'[36]frm P6'!E:E,[36]Schedule!C144,'[36]frm P6'!F:F,[36]Schedule!D144,'[36]frm P6'!G:G,[36]Schedule!$K$138,'[36]frm P6'!H:H,[36]Schedule!F144)</f>
        <v>46546</v>
      </c>
      <c r="N144" s="362">
        <f t="shared" si="99"/>
        <v>61</v>
      </c>
      <c r="O144" s="273"/>
      <c r="P144" s="273">
        <v>146.4</v>
      </c>
      <c r="Q144" s="273"/>
      <c r="R144" s="363"/>
      <c r="S144" s="364"/>
      <c r="T144" s="365"/>
      <c r="U144" s="366"/>
      <c r="V144" s="366"/>
      <c r="W144" s="367"/>
      <c r="X144" s="368" t="s">
        <v>424</v>
      </c>
      <c r="Y144" s="368" t="s">
        <v>424</v>
      </c>
      <c r="Z144" s="369" t="s">
        <v>424</v>
      </c>
      <c r="AA144" s="368" t="s">
        <v>424</v>
      </c>
      <c r="AB144" s="368" t="s">
        <v>424</v>
      </c>
      <c r="AC144" s="362" t="s">
        <v>424</v>
      </c>
      <c r="AD144" s="274"/>
      <c r="AE144" s="273"/>
      <c r="AF144" s="273"/>
      <c r="AG144" s="370">
        <f>SUMIFS('[36]frm P6'!$J:$J,'[36]frm P6'!D:D,[36]Schedule!B144,'[36]frm P6'!E:E,[36]Schedule!C144,'[36]frm P6'!F:F,[36]Schedule!D144,'[36]frm P6'!G:G,[36]Schedule!$AF$98,'[36]frm P6'!H:H,[36]Schedule!F144)</f>
        <v>46385</v>
      </c>
      <c r="AH144" s="361">
        <f>SUMIFS('[36]frm P6'!$K:$K,'[36]frm P6'!D:D,[36]Schedule!B144,'[36]frm P6'!E:E,[36]Schedule!C144,'[36]frm P6'!F:F,[36]Schedule!D144,'[36]frm P6'!G:G,[36]Schedule!$AF$98,'[36]frm P6'!H:H,[36]Schedule!F144)</f>
        <v>46489</v>
      </c>
      <c r="AI144" s="369">
        <f t="shared" ref="AI144" si="104">AH144-AG144+1</f>
        <v>105</v>
      </c>
      <c r="AJ144" s="273"/>
      <c r="AK144" s="273">
        <v>341.6</v>
      </c>
      <c r="AL144" s="273"/>
      <c r="AM144" s="420" t="s">
        <v>424</v>
      </c>
      <c r="AN144" s="368" t="s">
        <v>424</v>
      </c>
      <c r="AO144" s="362" t="s">
        <v>424</v>
      </c>
      <c r="AP144" s="273"/>
      <c r="AQ144" s="488"/>
      <c r="AR144" s="372"/>
      <c r="AS144" s="368"/>
      <c r="AT144" s="368"/>
      <c r="AU144" s="377"/>
      <c r="AV144" s="368"/>
      <c r="AW144" s="368"/>
      <c r="AX144" s="378"/>
      <c r="AY144" s="368"/>
      <c r="AZ144" s="362"/>
      <c r="BA144" s="375"/>
      <c r="BB144" s="487"/>
      <c r="BD144" s="506"/>
      <c r="BE144" s="277"/>
      <c r="BF144" s="278"/>
    </row>
    <row r="145" spans="1:58" s="269" customFormat="1" ht="23.45" customHeight="1">
      <c r="A145" s="270"/>
      <c r="B145" s="357" t="s">
        <v>578</v>
      </c>
      <c r="C145" s="357" t="s">
        <v>549</v>
      </c>
      <c r="D145" s="357" t="s">
        <v>687</v>
      </c>
      <c r="E145" s="357"/>
      <c r="F145" s="357" t="s">
        <v>581</v>
      </c>
      <c r="G145" s="357"/>
      <c r="H145" s="358">
        <v>5</v>
      </c>
      <c r="I145" s="271" t="s">
        <v>688</v>
      </c>
      <c r="J145" s="359"/>
      <c r="K145" s="360"/>
      <c r="L145" s="361">
        <f>SUMIFS('[36]frm P6'!$J:$J,'[36]frm P6'!D:D,[36]Schedule!B145,'[36]frm P6'!E:E,[36]Schedule!C145,'[36]frm P6'!F:F,[36]Schedule!D145,'[36]frm P6'!G:G,[36]Schedule!$K$138,'[36]frm P6'!H:H,[36]Schedule!F145)</f>
        <v>46546</v>
      </c>
      <c r="M145" s="361">
        <f>SUMIFS('[36]frm P6'!$K:$K,'[36]frm P6'!D:D,[36]Schedule!B145,'[36]frm P6'!E:E,[36]Schedule!C145,'[36]frm P6'!F:F,[36]Schedule!D145,'[36]frm P6'!G:G,[36]Schedule!$K$138,'[36]frm P6'!H:H,[36]Schedule!F145)</f>
        <v>46563</v>
      </c>
      <c r="N145" s="362">
        <f t="shared" si="99"/>
        <v>18</v>
      </c>
      <c r="O145" s="273"/>
      <c r="P145" s="273">
        <v>488</v>
      </c>
      <c r="Q145" s="273"/>
      <c r="R145" s="363"/>
      <c r="S145" s="364"/>
      <c r="T145" s="365"/>
      <c r="U145" s="366"/>
      <c r="V145" s="366"/>
      <c r="W145" s="367"/>
      <c r="X145" s="368" t="s">
        <v>424</v>
      </c>
      <c r="Y145" s="368" t="s">
        <v>424</v>
      </c>
      <c r="Z145" s="369" t="s">
        <v>424</v>
      </c>
      <c r="AA145" s="368" t="s">
        <v>424</v>
      </c>
      <c r="AB145" s="368" t="s">
        <v>424</v>
      </c>
      <c r="AC145" s="362" t="s">
        <v>424</v>
      </c>
      <c r="AD145" s="274"/>
      <c r="AE145" s="273"/>
      <c r="AF145" s="273"/>
      <c r="AG145" s="420"/>
      <c r="AH145" s="368"/>
      <c r="AI145" s="369"/>
      <c r="AJ145" s="273"/>
      <c r="AK145" s="273"/>
      <c r="AL145" s="273"/>
      <c r="AM145" s="420" t="s">
        <v>424</v>
      </c>
      <c r="AN145" s="368" t="s">
        <v>424</v>
      </c>
      <c r="AO145" s="362" t="s">
        <v>424</v>
      </c>
      <c r="AP145" s="273"/>
      <c r="AQ145" s="488"/>
      <c r="AR145" s="372"/>
      <c r="AS145" s="368"/>
      <c r="AT145" s="368"/>
      <c r="AU145" s="377"/>
      <c r="AV145" s="368"/>
      <c r="AW145" s="368"/>
      <c r="AX145" s="378"/>
      <c r="AY145" s="368"/>
      <c r="AZ145" s="362"/>
      <c r="BA145" s="375"/>
      <c r="BB145" s="487"/>
      <c r="BE145" s="277"/>
      <c r="BF145" s="278"/>
    </row>
    <row r="146" spans="1:58" ht="30" customHeight="1">
      <c r="B146" s="438" t="s">
        <v>462</v>
      </c>
      <c r="C146" s="432"/>
      <c r="D146" s="432"/>
      <c r="E146" s="432"/>
      <c r="F146" s="432"/>
      <c r="G146" s="432"/>
      <c r="H146" s="336" t="s">
        <v>689</v>
      </c>
      <c r="I146" s="337"/>
      <c r="J146" s="338"/>
      <c r="K146" s="339"/>
      <c r="L146" s="340">
        <f>MIN(L147:L151)</f>
        <v>46395</v>
      </c>
      <c r="M146" s="340">
        <f>MAX(M147:M151)</f>
        <v>46605</v>
      </c>
      <c r="N146" s="337">
        <f t="shared" si="99"/>
        <v>211</v>
      </c>
      <c r="O146" s="341"/>
      <c r="P146" s="341"/>
      <c r="Q146" s="341"/>
      <c r="R146" s="380"/>
      <c r="S146" s="381"/>
      <c r="T146" s="382"/>
      <c r="U146" s="383"/>
      <c r="V146" s="383"/>
      <c r="W146" s="384"/>
      <c r="X146" s="340">
        <f>MIN(X147:X151)</f>
        <v>46386</v>
      </c>
      <c r="Y146" s="340">
        <f>MAX(Y147:Y151)</f>
        <v>46554</v>
      </c>
      <c r="Z146" s="347">
        <f t="shared" ref="Z146:Z147" si="105">Y146-X146+1</f>
        <v>169</v>
      </c>
      <c r="AA146" s="340"/>
      <c r="AB146" s="340"/>
      <c r="AC146" s="337"/>
      <c r="AD146" s="348"/>
      <c r="AE146" s="341"/>
      <c r="AF146" s="341"/>
      <c r="AG146" s="349">
        <f>MIN(AG147:AG151)</f>
        <v>46379</v>
      </c>
      <c r="AH146" s="340">
        <f>MAX(AH147:AH151)</f>
        <v>46538</v>
      </c>
      <c r="AI146" s="347">
        <f t="shared" ref="AI146:AI148" si="106">AH146-AG146+1</f>
        <v>160</v>
      </c>
      <c r="AJ146" s="341"/>
      <c r="AK146" s="341"/>
      <c r="AL146" s="341"/>
      <c r="AM146" s="349"/>
      <c r="AN146" s="340"/>
      <c r="AO146" s="337"/>
      <c r="AP146" s="341"/>
      <c r="AQ146" s="505"/>
      <c r="AR146" s="351"/>
      <c r="AS146" s="340">
        <f>MIN(AS147:AS151)</f>
        <v>46376</v>
      </c>
      <c r="AT146" s="340">
        <f>MIN(AT147:AT151)</f>
        <v>46256</v>
      </c>
      <c r="AU146" s="352">
        <f>MIN(AU147:AU151)</f>
        <v>46241</v>
      </c>
      <c r="AV146" s="353">
        <f>MIN(AV147:AV151)</f>
        <v>46375</v>
      </c>
      <c r="AW146" s="353">
        <f>MIN(AW147:AW151)</f>
        <v>46365</v>
      </c>
      <c r="AX146" s="486"/>
      <c r="AY146" s="340"/>
      <c r="AZ146" s="337"/>
      <c r="BA146" s="337"/>
      <c r="BB146" s="439"/>
      <c r="BC146" s="268"/>
      <c r="BD146" s="268"/>
      <c r="BE146" s="311"/>
      <c r="BF146" s="312"/>
    </row>
    <row r="147" spans="1:58" s="269" customFormat="1" ht="23.45" customHeight="1">
      <c r="A147" s="270"/>
      <c r="B147" s="357" t="s">
        <v>578</v>
      </c>
      <c r="C147" s="357" t="s">
        <v>489</v>
      </c>
      <c r="D147" s="357" t="s">
        <v>677</v>
      </c>
      <c r="E147" s="357"/>
      <c r="F147" s="357" t="s">
        <v>645</v>
      </c>
      <c r="G147" s="357"/>
      <c r="H147" s="358">
        <v>1</v>
      </c>
      <c r="I147" s="271" t="s">
        <v>690</v>
      </c>
      <c r="J147" s="359"/>
      <c r="K147" s="360"/>
      <c r="L147" s="361">
        <f>SUMIFS('[36]frm P6'!$J:$J,'[36]frm P6'!D:D,[36]Schedule!B147,'[36]frm P6'!E:E,[36]Schedule!C147,'[36]frm P6'!F:F,[36]Schedule!D147,'[36]frm P6'!G:G,[36]Schedule!$K$138,'[36]frm P6'!H:H,[36]Schedule!F147)</f>
        <v>46395</v>
      </c>
      <c r="M147" s="361">
        <f>SUMIFS('[36]frm P6'!$K:$K,'[36]frm P6'!D:D,[36]Schedule!B147,'[36]frm P6'!E:E,[36]Schedule!C147,'[36]frm P6'!F:F,[36]Schedule!D147,'[36]frm P6'!G:G,[36]Schedule!$K$138,'[36]frm P6'!H:H,[36]Schedule!F147)</f>
        <v>46504</v>
      </c>
      <c r="N147" s="362">
        <f t="shared" si="99"/>
        <v>110</v>
      </c>
      <c r="O147" s="273">
        <v>34.450000000000003</v>
      </c>
      <c r="P147" s="273"/>
      <c r="Q147" s="273"/>
      <c r="R147" s="363"/>
      <c r="S147" s="364"/>
      <c r="T147" s="365"/>
      <c r="U147" s="366"/>
      <c r="V147" s="366"/>
      <c r="W147" s="367"/>
      <c r="X147" s="361">
        <f>SUMIFS('[36]frm P6'!$J:$J,'[36]frm P6'!D:D,[36]Schedule!B147,'[36]frm P6'!E:E,[36]Schedule!C147,'[36]frm P6'!F:F,[36]Schedule!D147,'[36]frm P6'!G:G,[36]Schedule!$W$138,'[36]frm P6'!H:H,[36]Schedule!F147)</f>
        <v>46386</v>
      </c>
      <c r="Y147" s="361">
        <f>SUMIFS('[36]frm P6'!$K:$K,'[36]frm P6'!D:D,[36]Schedule!B147,'[36]frm P6'!E:E,[36]Schedule!C147,'[36]frm P6'!F:F,[36]Schedule!D147,'[36]frm P6'!G:G,[36]Schedule!$W$138,'[36]frm P6'!H:H,[36]Schedule!F147)</f>
        <v>46496</v>
      </c>
      <c r="Z147" s="369">
        <f t="shared" si="105"/>
        <v>111</v>
      </c>
      <c r="AA147" s="368" t="s">
        <v>424</v>
      </c>
      <c r="AB147" s="368" t="s">
        <v>424</v>
      </c>
      <c r="AC147" s="362" t="s">
        <v>424</v>
      </c>
      <c r="AD147" s="274"/>
      <c r="AE147" s="273"/>
      <c r="AF147" s="273"/>
      <c r="AG147" s="370">
        <f>SUMIFS('[36]frm P6'!$J:$J,'[36]frm P6'!D:D,[36]Schedule!B147,'[36]frm P6'!E:E,[36]Schedule!C147,'[36]frm P6'!F:F,[36]Schedule!D147,'[36]frm P6'!G:G,[36]Schedule!$AF$98,'[36]frm P6'!H:H,[36]Schedule!F147)</f>
        <v>46379</v>
      </c>
      <c r="AH147" s="361">
        <f>SUMIFS('[36]frm P6'!$K:$K,'[36]frm P6'!D:D,[36]Schedule!B147,'[36]frm P6'!E:E,[36]Schedule!C147,'[36]frm P6'!F:F,[36]Schedule!D147,'[36]frm P6'!G:G,[36]Schedule!$AF$98,'[36]frm P6'!H:H,[36]Schedule!F147)</f>
        <v>46470</v>
      </c>
      <c r="AI147" s="369">
        <f t="shared" si="106"/>
        <v>92</v>
      </c>
      <c r="AJ147" s="273">
        <v>34.450000000000003</v>
      </c>
      <c r="AK147" s="273"/>
      <c r="AL147" s="273"/>
      <c r="AM147" s="420" t="s">
        <v>424</v>
      </c>
      <c r="AN147" s="368" t="s">
        <v>424</v>
      </c>
      <c r="AO147" s="362" t="s">
        <v>424</v>
      </c>
      <c r="AP147" s="273"/>
      <c r="AQ147" s="488"/>
      <c r="AR147" s="372">
        <v>100</v>
      </c>
      <c r="AS147" s="368">
        <f>AG147-$AS$138</f>
        <v>46376</v>
      </c>
      <c r="AT147" s="368">
        <f>AS147-$AT$138</f>
        <v>46256</v>
      </c>
      <c r="AU147" s="377">
        <f>AT147-$AU$138</f>
        <v>46241</v>
      </c>
      <c r="AV147" s="368">
        <f>AG147-$AV$3</f>
        <v>46375</v>
      </c>
      <c r="AW147" s="368">
        <f t="shared" ref="AW147:AW148" si="107">AV147-$AW$3</f>
        <v>46365</v>
      </c>
      <c r="AX147" s="378">
        <f>AW147-AY147</f>
        <v>13</v>
      </c>
      <c r="AY147" s="368">
        <v>46352</v>
      </c>
      <c r="AZ147" s="362" t="s">
        <v>691</v>
      </c>
      <c r="BA147" s="490" t="s">
        <v>680</v>
      </c>
      <c r="BB147" s="487"/>
      <c r="BE147" s="277"/>
      <c r="BF147" s="278"/>
    </row>
    <row r="148" spans="1:58" s="269" customFormat="1" ht="23.45" customHeight="1">
      <c r="A148" s="270"/>
      <c r="B148" s="357" t="s">
        <v>578</v>
      </c>
      <c r="C148" s="357" t="s">
        <v>681</v>
      </c>
      <c r="D148" s="357" t="s">
        <v>677</v>
      </c>
      <c r="E148" s="357"/>
      <c r="F148" s="357" t="s">
        <v>645</v>
      </c>
      <c r="G148" s="357"/>
      <c r="H148" s="358">
        <v>2</v>
      </c>
      <c r="I148" s="271" t="s">
        <v>692</v>
      </c>
      <c r="J148" s="359"/>
      <c r="K148" s="360"/>
      <c r="L148" s="361">
        <f>SUMIFS('[36]frm P6'!$J:$J,'[36]frm P6'!D:D,[36]Schedule!B148,'[36]frm P6'!E:E,[36]Schedule!C148,'[36]frm P6'!F:F,[36]Schedule!D148,'[36]frm P6'!G:G,[36]Schedule!$K$138,'[36]frm P6'!H:H,[36]Schedule!F148)</f>
        <v>46451</v>
      </c>
      <c r="M148" s="361">
        <f>SUMIFS('[36]frm P6'!$K:$K,'[36]frm P6'!D:D,[36]Schedule!B148,'[36]frm P6'!E:E,[36]Schedule!C148,'[36]frm P6'!F:F,[36]Schedule!D148,'[36]frm P6'!G:G,[36]Schedule!$K$138,'[36]frm P6'!H:H,[36]Schedule!F148)</f>
        <v>46571</v>
      </c>
      <c r="N148" s="362">
        <f t="shared" si="99"/>
        <v>121</v>
      </c>
      <c r="O148" s="273"/>
      <c r="P148" s="273">
        <v>4647</v>
      </c>
      <c r="Q148" s="273"/>
      <c r="R148" s="363"/>
      <c r="S148" s="364"/>
      <c r="T148" s="365"/>
      <c r="U148" s="366"/>
      <c r="V148" s="366"/>
      <c r="W148" s="367"/>
      <c r="X148" s="361">
        <f>SUMIFS('[36]frm P6'!$J:$J,'[36]frm P6'!D:D,[36]Schedule!B148,'[36]frm P6'!E:E,[36]Schedule!C148,'[36]frm P6'!F:F,[36]Schedule!D148,'[36]frm P6'!G:G,[36]Schedule!$W$138,'[36]frm P6'!H:H,[36]Schedule!F148)</f>
        <v>46457</v>
      </c>
      <c r="Y148" s="361">
        <f>SUMIFS('[36]frm P6'!$K:$K,'[36]frm P6'!D:D,[36]Schedule!B148,'[36]frm P6'!E:E,[36]Schedule!C148,'[36]frm P6'!F:F,[36]Schedule!D148,'[36]frm P6'!G:G,[36]Schedule!$W$138,'[36]frm P6'!H:H,[36]Schedule!F148)</f>
        <v>46554</v>
      </c>
      <c r="Z148" s="369">
        <f t="shared" ref="Z148" si="108">Y148-X148+1</f>
        <v>98</v>
      </c>
      <c r="AA148" s="368" t="s">
        <v>424</v>
      </c>
      <c r="AB148" s="368" t="s">
        <v>424</v>
      </c>
      <c r="AC148" s="362" t="s">
        <v>424</v>
      </c>
      <c r="AD148" s="274"/>
      <c r="AE148" s="273"/>
      <c r="AF148" s="273"/>
      <c r="AG148" s="370">
        <f>SUMIFS('[36]frm P6'!$J:$J,'[36]frm P6'!D:D,[36]Schedule!B148,'[36]frm P6'!E:E,[36]Schedule!C148,'[36]frm P6'!F:F,[36]Schedule!D148,'[36]frm P6'!G:G,[36]Schedule!$AF$98,'[36]frm P6'!H:H,[36]Schedule!F148)</f>
        <v>46410</v>
      </c>
      <c r="AH148" s="361">
        <f>SUMIFS('[36]frm P6'!$K:$K,'[36]frm P6'!D:D,[36]Schedule!B148,'[36]frm P6'!E:E,[36]Schedule!C148,'[36]frm P6'!F:F,[36]Schedule!D148,'[36]frm P6'!G:G,[36]Schedule!$AF$98,'[36]frm P6'!H:H,[36]Schedule!F148)</f>
        <v>46526</v>
      </c>
      <c r="AI148" s="369">
        <f t="shared" si="106"/>
        <v>117</v>
      </c>
      <c r="AJ148" s="273"/>
      <c r="AK148" s="273">
        <v>10843</v>
      </c>
      <c r="AL148" s="273"/>
      <c r="AM148" s="420" t="s">
        <v>424</v>
      </c>
      <c r="AN148" s="368" t="s">
        <v>424</v>
      </c>
      <c r="AO148" s="362" t="s">
        <v>424</v>
      </c>
      <c r="AP148" s="273"/>
      <c r="AQ148" s="488"/>
      <c r="AR148" s="372">
        <v>72</v>
      </c>
      <c r="AS148" s="368">
        <f>AG148-$AS$138</f>
        <v>46407</v>
      </c>
      <c r="AT148" s="368">
        <f>AS148-90</f>
        <v>46317</v>
      </c>
      <c r="AU148" s="377">
        <f>AT148-$AU$138</f>
        <v>46302</v>
      </c>
      <c r="AV148" s="368">
        <f>AG148-$AV$3</f>
        <v>46406</v>
      </c>
      <c r="AW148" s="368">
        <f t="shared" si="107"/>
        <v>46396</v>
      </c>
      <c r="AX148" s="378">
        <f>AW148-AY148</f>
        <v>58</v>
      </c>
      <c r="AY148" s="368">
        <v>46338</v>
      </c>
      <c r="AZ148" s="362" t="s">
        <v>693</v>
      </c>
      <c r="BA148" s="490" t="s">
        <v>684</v>
      </c>
      <c r="BB148" s="487"/>
      <c r="BE148" s="277"/>
      <c r="BF148" s="278"/>
    </row>
    <row r="149" spans="1:58" s="269" customFormat="1" ht="23.45" customHeight="1">
      <c r="A149" s="270"/>
      <c r="B149" s="357" t="s">
        <v>578</v>
      </c>
      <c r="C149" s="357" t="s">
        <v>549</v>
      </c>
      <c r="D149" s="357" t="s">
        <v>677</v>
      </c>
      <c r="E149" s="357"/>
      <c r="F149" s="357" t="s">
        <v>645</v>
      </c>
      <c r="G149" s="357"/>
      <c r="H149" s="358">
        <v>3</v>
      </c>
      <c r="I149" s="271" t="s">
        <v>685</v>
      </c>
      <c r="J149" s="359"/>
      <c r="K149" s="360"/>
      <c r="L149" s="361">
        <f>SUMIFS('[36]frm P6'!$J:$J,'[36]frm P6'!D:D,[36]Schedule!B149,'[36]frm P6'!E:E,[36]Schedule!C149,'[36]frm P6'!F:F,[36]Schedule!D149,'[36]frm P6'!G:G,[36]Schedule!$K$138,'[36]frm P6'!H:H,[36]Schedule!F149)</f>
        <v>46511</v>
      </c>
      <c r="M149" s="361">
        <f>SUMIFS('[36]frm P6'!$K:$K,'[36]frm P6'!D:D,[36]Schedule!B149,'[36]frm P6'!E:E,[36]Schedule!C149,'[36]frm P6'!F:F,[36]Schedule!D149,'[36]frm P6'!G:G,[36]Schedule!$K$138,'[36]frm P6'!H:H,[36]Schedule!F149)</f>
        <v>46605</v>
      </c>
      <c r="N149" s="362">
        <f t="shared" si="99"/>
        <v>95</v>
      </c>
      <c r="O149" s="273"/>
      <c r="P149" s="273">
        <v>15490</v>
      </c>
      <c r="Q149" s="273"/>
      <c r="R149" s="363"/>
      <c r="S149" s="364"/>
      <c r="T149" s="365"/>
      <c r="U149" s="366"/>
      <c r="V149" s="366"/>
      <c r="W149" s="367"/>
      <c r="X149" s="368" t="s">
        <v>424</v>
      </c>
      <c r="Y149" s="368" t="s">
        <v>424</v>
      </c>
      <c r="Z149" s="369" t="s">
        <v>424</v>
      </c>
      <c r="AA149" s="368" t="s">
        <v>424</v>
      </c>
      <c r="AB149" s="368" t="s">
        <v>424</v>
      </c>
      <c r="AC149" s="362" t="s">
        <v>424</v>
      </c>
      <c r="AD149" s="274"/>
      <c r="AE149" s="273"/>
      <c r="AF149" s="273"/>
      <c r="AG149" s="420"/>
      <c r="AH149" s="368"/>
      <c r="AI149" s="369"/>
      <c r="AJ149" s="273"/>
      <c r="AK149" s="273"/>
      <c r="AL149" s="273"/>
      <c r="AM149" s="420" t="s">
        <v>424</v>
      </c>
      <c r="AN149" s="368" t="s">
        <v>424</v>
      </c>
      <c r="AO149" s="362" t="s">
        <v>424</v>
      </c>
      <c r="AP149" s="273"/>
      <c r="AQ149" s="488"/>
      <c r="AR149" s="372"/>
      <c r="AS149" s="368"/>
      <c r="AT149" s="368"/>
      <c r="AU149" s="377"/>
      <c r="AV149" s="368"/>
      <c r="AW149" s="368"/>
      <c r="AX149" s="378"/>
      <c r="AY149" s="368"/>
      <c r="AZ149" s="362"/>
      <c r="BA149" s="375"/>
      <c r="BB149" s="487"/>
      <c r="BE149" s="277"/>
      <c r="BF149" s="278"/>
    </row>
    <row r="150" spans="1:58" s="269" customFormat="1" ht="23.45" customHeight="1">
      <c r="A150" s="270"/>
      <c r="B150" s="357" t="s">
        <v>578</v>
      </c>
      <c r="C150" s="357" t="s">
        <v>509</v>
      </c>
      <c r="D150" s="357" t="s">
        <v>677</v>
      </c>
      <c r="E150" s="357"/>
      <c r="F150" s="357" t="s">
        <v>645</v>
      </c>
      <c r="G150" s="357"/>
      <c r="H150" s="358">
        <v>4</v>
      </c>
      <c r="I150" s="271" t="s">
        <v>694</v>
      </c>
      <c r="J150" s="359"/>
      <c r="K150" s="360"/>
      <c r="L150" s="361">
        <f>SUMIFS('[36]frm P6'!$J:$J,'[36]frm P6'!D:D,[36]Schedule!B150,'[36]frm P6'!E:E,[36]Schedule!C150,'[36]frm P6'!F:F,[36]Schedule!D150,'[36]frm P6'!G:G,[36]Schedule!$K$138,'[36]frm P6'!H:H,[36]Schedule!F150)</f>
        <v>46507</v>
      </c>
      <c r="M150" s="361">
        <f>SUMIFS('[36]frm P6'!$K:$K,'[36]frm P6'!D:D,[36]Schedule!B150,'[36]frm P6'!E:E,[36]Schedule!C150,'[36]frm P6'!F:F,[36]Schedule!D150,'[36]frm P6'!G:G,[36]Schedule!$K$138,'[36]frm P6'!H:H,[36]Schedule!F150)</f>
        <v>46568</v>
      </c>
      <c r="N150" s="362">
        <f t="shared" si="99"/>
        <v>62</v>
      </c>
      <c r="O150" s="273"/>
      <c r="P150" s="273">
        <v>146.4</v>
      </c>
      <c r="Q150" s="273"/>
      <c r="R150" s="363"/>
      <c r="S150" s="364"/>
      <c r="T150" s="365"/>
      <c r="U150" s="366"/>
      <c r="V150" s="366"/>
      <c r="W150" s="367"/>
      <c r="X150" s="368" t="s">
        <v>424</v>
      </c>
      <c r="Y150" s="368" t="s">
        <v>424</v>
      </c>
      <c r="Z150" s="369" t="s">
        <v>424</v>
      </c>
      <c r="AA150" s="368" t="s">
        <v>424</v>
      </c>
      <c r="AB150" s="368" t="s">
        <v>424</v>
      </c>
      <c r="AC150" s="362" t="s">
        <v>424</v>
      </c>
      <c r="AD150" s="274"/>
      <c r="AE150" s="273"/>
      <c r="AF150" s="273"/>
      <c r="AG150" s="370">
        <f>SUMIFS('[36]frm P6'!$J:$J,'[36]frm P6'!D:D,[36]Schedule!B150,'[36]frm P6'!E:E,[36]Schedule!C150,'[36]frm P6'!F:F,[36]Schedule!D150,'[36]frm P6'!G:G,[36]Schedule!$AF$98,'[36]frm P6'!H:H,[36]Schedule!F150)</f>
        <v>46443</v>
      </c>
      <c r="AH150" s="361">
        <f>SUMIFS('[36]frm P6'!$K:$K,'[36]frm P6'!D:D,[36]Schedule!B150,'[36]frm P6'!E:E,[36]Schedule!C150,'[36]frm P6'!F:F,[36]Schedule!D150,'[36]frm P6'!G:G,[36]Schedule!$AF$98,'[36]frm P6'!H:H,[36]Schedule!F150)</f>
        <v>46538</v>
      </c>
      <c r="AI150" s="369">
        <f t="shared" ref="AI150" si="109">AH150-AG150+1</f>
        <v>96</v>
      </c>
      <c r="AJ150" s="273"/>
      <c r="AK150" s="273">
        <v>341.6</v>
      </c>
      <c r="AL150" s="273"/>
      <c r="AM150" s="420" t="s">
        <v>424</v>
      </c>
      <c r="AN150" s="368" t="s">
        <v>424</v>
      </c>
      <c r="AO150" s="362" t="s">
        <v>424</v>
      </c>
      <c r="AP150" s="273"/>
      <c r="AQ150" s="488"/>
      <c r="AR150" s="372"/>
      <c r="AS150" s="368"/>
      <c r="AT150" s="368"/>
      <c r="AU150" s="377"/>
      <c r="AV150" s="368"/>
      <c r="AW150" s="368"/>
      <c r="AX150" s="378"/>
      <c r="AY150" s="368"/>
      <c r="AZ150" s="362"/>
      <c r="BA150" s="375"/>
      <c r="BB150" s="487"/>
      <c r="BE150" s="277"/>
      <c r="BF150" s="278"/>
    </row>
    <row r="151" spans="1:58" s="269" customFormat="1" ht="23.45" customHeight="1">
      <c r="A151" s="270"/>
      <c r="B151" s="357" t="s">
        <v>578</v>
      </c>
      <c r="C151" s="357" t="s">
        <v>549</v>
      </c>
      <c r="D151" s="357" t="s">
        <v>687</v>
      </c>
      <c r="E151" s="357"/>
      <c r="F151" s="357" t="s">
        <v>645</v>
      </c>
      <c r="G151" s="357"/>
      <c r="H151" s="387">
        <v>5</v>
      </c>
      <c r="I151" s="388" t="s">
        <v>688</v>
      </c>
      <c r="J151" s="389"/>
      <c r="K151" s="390"/>
      <c r="L151" s="507">
        <f>SUMIFS('[36]frm P6'!$J:$J,'[36]frm P6'!D:D,[36]Schedule!B151,'[36]frm P6'!E:E,[36]Schedule!C151,'[36]frm P6'!F:F,[36]Schedule!D151,'[36]frm P6'!G:G,[36]Schedule!$K$138,'[36]frm P6'!H:H,[36]Schedule!F151)</f>
        <v>46574</v>
      </c>
      <c r="M151" s="507">
        <f>SUMIFS('[36]frm P6'!$K:$K,'[36]frm P6'!D:D,[36]Schedule!B151,'[36]frm P6'!E:E,[36]Schedule!C151,'[36]frm P6'!F:F,[36]Schedule!D151,'[36]frm P6'!G:G,[36]Schedule!$K$138,'[36]frm P6'!H:H,[36]Schedule!F151)</f>
        <v>46590</v>
      </c>
      <c r="N151" s="508">
        <f t="shared" si="99"/>
        <v>17</v>
      </c>
      <c r="O151" s="393"/>
      <c r="P151" s="393">
        <v>488</v>
      </c>
      <c r="Q151" s="393"/>
      <c r="R151" s="363"/>
      <c r="S151" s="364"/>
      <c r="T151" s="365"/>
      <c r="U151" s="366"/>
      <c r="V151" s="366"/>
      <c r="W151" s="367"/>
      <c r="X151" s="509" t="s">
        <v>424</v>
      </c>
      <c r="Y151" s="509" t="s">
        <v>424</v>
      </c>
      <c r="Z151" s="510" t="s">
        <v>424</v>
      </c>
      <c r="AA151" s="509" t="s">
        <v>424</v>
      </c>
      <c r="AB151" s="509" t="s">
        <v>424</v>
      </c>
      <c r="AC151" s="508" t="s">
        <v>424</v>
      </c>
      <c r="AD151" s="395"/>
      <c r="AE151" s="393"/>
      <c r="AF151" s="393"/>
      <c r="AG151" s="511"/>
      <c r="AH151" s="509"/>
      <c r="AI151" s="510"/>
      <c r="AJ151" s="393"/>
      <c r="AK151" s="393"/>
      <c r="AL151" s="393"/>
      <c r="AM151" s="511" t="s">
        <v>424</v>
      </c>
      <c r="AN151" s="509" t="s">
        <v>424</v>
      </c>
      <c r="AO151" s="508" t="s">
        <v>424</v>
      </c>
      <c r="AP151" s="393"/>
      <c r="AQ151" s="512"/>
      <c r="AR151" s="513"/>
      <c r="AS151" s="509"/>
      <c r="AT151" s="509"/>
      <c r="AU151" s="514"/>
      <c r="AV151" s="509"/>
      <c r="AW151" s="509"/>
      <c r="AX151" s="515"/>
      <c r="AY151" s="509"/>
      <c r="AZ151" s="508"/>
      <c r="BA151" s="516"/>
      <c r="BB151" s="487"/>
      <c r="BE151" s="277"/>
      <c r="BF151" s="278"/>
    </row>
    <row r="152" spans="1:58" ht="6" customHeight="1">
      <c r="I152" s="433"/>
      <c r="J152" s="433"/>
      <c r="K152" s="501"/>
      <c r="L152" s="433"/>
      <c r="M152" s="433"/>
      <c r="N152" s="433"/>
      <c r="O152" s="435"/>
      <c r="P152" s="435"/>
      <c r="Q152" s="435"/>
      <c r="R152" s="380"/>
      <c r="S152" s="381"/>
      <c r="T152" s="382"/>
      <c r="U152" s="383"/>
      <c r="V152" s="383"/>
      <c r="W152" s="384"/>
      <c r="X152" s="433"/>
      <c r="Y152" s="433"/>
      <c r="Z152" s="433"/>
      <c r="AA152" s="433"/>
      <c r="AB152" s="433"/>
      <c r="AC152" s="433"/>
      <c r="AD152" s="434"/>
      <c r="AE152" s="435"/>
      <c r="AF152" s="435"/>
      <c r="AG152" s="433"/>
      <c r="AH152" s="433"/>
      <c r="AI152" s="433"/>
      <c r="AJ152" s="435"/>
      <c r="AK152" s="435"/>
      <c r="AL152" s="435"/>
    </row>
    <row r="153" spans="1:58" ht="21.6" customHeight="1">
      <c r="B153" s="406" t="s">
        <v>695</v>
      </c>
      <c r="H153" s="286" t="s">
        <v>59</v>
      </c>
      <c r="I153" s="287"/>
      <c r="J153" s="288"/>
      <c r="K153" s="289"/>
      <c r="L153" s="408" t="s">
        <v>375</v>
      </c>
      <c r="M153" s="291" t="s">
        <v>696</v>
      </c>
      <c r="N153" s="292"/>
      <c r="O153" s="293"/>
      <c r="P153" s="293"/>
      <c r="Q153" s="293"/>
      <c r="R153" s="409"/>
      <c r="S153" s="410"/>
      <c r="T153" s="411"/>
      <c r="U153" s="412"/>
      <c r="V153" s="412"/>
      <c r="W153" s="413"/>
      <c r="X153" s="294"/>
      <c r="Y153" s="416"/>
      <c r="Z153" s="304"/>
      <c r="AA153" s="415"/>
      <c r="AB153" s="416" t="s">
        <v>424</v>
      </c>
      <c r="AC153" s="304"/>
      <c r="AD153" s="299"/>
      <c r="AE153" s="293"/>
      <c r="AF153" s="293"/>
      <c r="AG153" s="415"/>
      <c r="AH153" s="416" t="s">
        <v>424</v>
      </c>
      <c r="AI153" s="304"/>
      <c r="AJ153" s="293"/>
      <c r="AK153" s="293"/>
      <c r="AL153" s="293"/>
      <c r="AM153" s="300"/>
      <c r="AN153" s="416" t="s">
        <v>424</v>
      </c>
      <c r="AO153" s="297"/>
      <c r="AP153" s="293"/>
      <c r="AQ153" s="293"/>
      <c r="AR153" s="303"/>
      <c r="AS153" s="294">
        <v>3</v>
      </c>
      <c r="AT153" s="298">
        <v>60</v>
      </c>
      <c r="AU153" s="304">
        <v>15</v>
      </c>
      <c r="AV153" s="294">
        <v>4</v>
      </c>
      <c r="AW153" s="294">
        <v>10</v>
      </c>
      <c r="AX153" s="305" t="s">
        <v>389</v>
      </c>
      <c r="AY153" s="306"/>
      <c r="AZ153" s="307"/>
      <c r="BA153" s="308"/>
      <c r="BB153" s="485"/>
    </row>
    <row r="154" spans="1:58" ht="27" customHeight="1">
      <c r="B154" s="313" t="s">
        <v>391</v>
      </c>
      <c r="C154" s="313" t="s">
        <v>392</v>
      </c>
      <c r="D154" s="313" t="s">
        <v>393</v>
      </c>
      <c r="E154" s="313" t="s">
        <v>394</v>
      </c>
      <c r="F154" s="313" t="s">
        <v>395</v>
      </c>
      <c r="G154" s="313"/>
      <c r="H154" s="314" t="s">
        <v>396</v>
      </c>
      <c r="I154" s="315" t="s">
        <v>397</v>
      </c>
      <c r="J154" s="316" t="s">
        <v>398</v>
      </c>
      <c r="K154" s="317"/>
      <c r="L154" s="315" t="s">
        <v>399</v>
      </c>
      <c r="M154" s="315" t="s">
        <v>400</v>
      </c>
      <c r="N154" s="315" t="s">
        <v>401</v>
      </c>
      <c r="O154" s="417"/>
      <c r="P154" s="417"/>
      <c r="Q154" s="417"/>
      <c r="R154" s="380"/>
      <c r="S154" s="381"/>
      <c r="T154" s="382"/>
      <c r="U154" s="383"/>
      <c r="V154" s="383"/>
      <c r="W154" s="384"/>
      <c r="X154" s="319" t="s">
        <v>697</v>
      </c>
      <c r="Y154" s="319"/>
      <c r="Z154" s="319"/>
      <c r="AA154" s="326"/>
      <c r="AB154" s="319"/>
      <c r="AC154" s="319"/>
      <c r="AD154" s="418"/>
      <c r="AE154" s="417"/>
      <c r="AF154" s="417"/>
      <c r="AG154" s="326"/>
      <c r="AH154" s="319"/>
      <c r="AI154" s="327"/>
      <c r="AJ154" s="417"/>
      <c r="AK154" s="417"/>
      <c r="AL154" s="417"/>
      <c r="AM154" s="323"/>
      <c r="AN154" s="319"/>
      <c r="AO154" s="319"/>
      <c r="AP154" s="417"/>
      <c r="AQ154" s="417"/>
      <c r="AR154" s="326" t="s">
        <v>408</v>
      </c>
      <c r="AS154" s="319" t="s">
        <v>409</v>
      </c>
      <c r="AT154" s="319" t="s">
        <v>410</v>
      </c>
      <c r="AU154" s="327" t="s">
        <v>560</v>
      </c>
      <c r="AV154" s="328" t="s">
        <v>393</v>
      </c>
      <c r="AW154" s="328" t="s">
        <v>412</v>
      </c>
      <c r="AX154" s="329" t="s">
        <v>413</v>
      </c>
      <c r="AY154" s="330"/>
      <c r="AZ154" s="328" t="s">
        <v>478</v>
      </c>
      <c r="BA154" s="328" t="s">
        <v>416</v>
      </c>
      <c r="BB154" s="331"/>
    </row>
    <row r="155" spans="1:58" ht="26" customHeight="1">
      <c r="B155" s="438" t="s">
        <v>417</v>
      </c>
      <c r="C155" s="432"/>
      <c r="D155" s="432"/>
      <c r="E155" s="432"/>
      <c r="F155" s="432"/>
      <c r="G155" s="432"/>
      <c r="H155" s="336" t="s">
        <v>698</v>
      </c>
      <c r="I155" s="337"/>
      <c r="J155" s="338"/>
      <c r="K155" s="339"/>
      <c r="L155" s="340">
        <f>MIN(L156:L168)</f>
        <v>46433</v>
      </c>
      <c r="M155" s="340">
        <f>MAX(M156:M168)</f>
        <v>46574</v>
      </c>
      <c r="N155" s="337">
        <f t="shared" ref="N155:N188" si="110">M155-L155+1</f>
        <v>142</v>
      </c>
      <c r="O155" s="341"/>
      <c r="P155" s="341"/>
      <c r="Q155" s="341"/>
      <c r="R155" s="380"/>
      <c r="S155" s="381"/>
      <c r="T155" s="382"/>
      <c r="U155" s="383"/>
      <c r="V155" s="383"/>
      <c r="W155" s="384"/>
      <c r="X155" s="340"/>
      <c r="Y155" s="340"/>
      <c r="Z155" s="347"/>
      <c r="AA155" s="340"/>
      <c r="AB155" s="340"/>
      <c r="AC155" s="337"/>
      <c r="AD155" s="348"/>
      <c r="AE155" s="341"/>
      <c r="AF155" s="341"/>
      <c r="AG155" s="349"/>
      <c r="AH155" s="340"/>
      <c r="AI155" s="347"/>
      <c r="AJ155" s="341"/>
      <c r="AK155" s="341"/>
      <c r="AL155" s="341"/>
      <c r="AM155" s="349"/>
      <c r="AN155" s="340"/>
      <c r="AO155" s="337"/>
      <c r="AP155" s="341"/>
      <c r="AQ155" s="341"/>
      <c r="AR155" s="351"/>
      <c r="AS155" s="340">
        <f>MIN(AS156:AS167)</f>
        <v>46423</v>
      </c>
      <c r="AT155" s="340">
        <f>MIN(AT156:AT167)</f>
        <v>46217</v>
      </c>
      <c r="AU155" s="352">
        <f>MIN(AU156:AU167)</f>
        <v>46187</v>
      </c>
      <c r="AV155" s="353">
        <f>MIN(AV156:AV167)</f>
        <v>46429</v>
      </c>
      <c r="AW155" s="353">
        <f>MIN(AW156:AW167)</f>
        <v>46419</v>
      </c>
      <c r="AX155" s="486" t="s">
        <v>424</v>
      </c>
      <c r="AY155" s="340"/>
      <c r="AZ155" s="337"/>
      <c r="BA155" s="337"/>
      <c r="BB155" s="439"/>
      <c r="BC155" s="268"/>
      <c r="BD155" s="268"/>
      <c r="BE155" s="311"/>
      <c r="BF155" s="312"/>
    </row>
    <row r="156" spans="1:58" s="269" customFormat="1" ht="23.45" customHeight="1">
      <c r="A156" s="270"/>
      <c r="B156" s="357" t="s">
        <v>578</v>
      </c>
      <c r="C156" s="357" t="s">
        <v>699</v>
      </c>
      <c r="D156" s="357" t="s">
        <v>700</v>
      </c>
      <c r="E156" s="357"/>
      <c r="F156" s="357" t="s">
        <v>581</v>
      </c>
      <c r="G156" s="357" t="str">
        <f t="shared" ref="G156:G163" si="111">F156&amp;C156</f>
        <v>01TV-5001</v>
      </c>
      <c r="H156" s="358">
        <v>1</v>
      </c>
      <c r="I156" s="517" t="s">
        <v>701</v>
      </c>
      <c r="J156" s="359">
        <v>4.53</v>
      </c>
      <c r="K156" s="360"/>
      <c r="L156" s="361">
        <f>SUMIFS('[36]frm P6'!$J:$J,'[36]frm P6'!D:D,[36]Schedule!B156,'[36]frm P6'!E:E,[36]Schedule!C156,'[36]frm P6'!F:F,[36]Schedule!D156,'[36]frm P6'!G:G,[36]Schedule!$K$138,'[36]frm P6'!H:H,[36]Schedule!F156)</f>
        <v>46433</v>
      </c>
      <c r="M156" s="361">
        <f>SUMIFS('[36]frm P6'!$K:$K,'[36]frm P6'!D:D,[36]Schedule!B156,'[36]frm P6'!E:E,[36]Schedule!C156,'[36]frm P6'!F:F,[36]Schedule!D156,'[36]frm P6'!G:G,[36]Schedule!$K$138,'[36]frm P6'!H:H,[36]Schedule!F156)</f>
        <v>46440</v>
      </c>
      <c r="N156" s="362">
        <f t="shared" si="110"/>
        <v>8</v>
      </c>
      <c r="O156" s="273"/>
      <c r="P156" s="273"/>
      <c r="Q156" s="273"/>
      <c r="R156" s="363"/>
      <c r="S156" s="364"/>
      <c r="T156" s="365"/>
      <c r="U156" s="366"/>
      <c r="V156" s="366"/>
      <c r="W156" s="367"/>
      <c r="X156" s="368" t="s">
        <v>107</v>
      </c>
      <c r="Y156" s="368"/>
      <c r="Z156" s="369"/>
      <c r="AA156" s="368" t="s">
        <v>424</v>
      </c>
      <c r="AB156" s="368" t="s">
        <v>424</v>
      </c>
      <c r="AC156" s="362" t="s">
        <v>424</v>
      </c>
      <c r="AD156" s="274"/>
      <c r="AE156" s="273"/>
      <c r="AF156" s="273"/>
      <c r="AG156" s="420" t="s">
        <v>424</v>
      </c>
      <c r="AH156" s="368" t="s">
        <v>424</v>
      </c>
      <c r="AI156" s="369" t="s">
        <v>424</v>
      </c>
      <c r="AJ156" s="273"/>
      <c r="AK156" s="273"/>
      <c r="AL156" s="273"/>
      <c r="AM156" s="420" t="s">
        <v>424</v>
      </c>
      <c r="AN156" s="368" t="s">
        <v>424</v>
      </c>
      <c r="AO156" s="362" t="s">
        <v>424</v>
      </c>
      <c r="AP156" s="273"/>
      <c r="AQ156" s="273"/>
      <c r="AR156" s="372">
        <v>11</v>
      </c>
      <c r="AS156" s="368">
        <f t="shared" ref="AS156:AS162" si="112">L156-10</f>
        <v>46423</v>
      </c>
      <c r="AT156" s="368">
        <f>AS156-164</f>
        <v>46259</v>
      </c>
      <c r="AU156" s="377">
        <f t="shared" ref="AU156:AU166" si="113">AT156-30</f>
        <v>46229</v>
      </c>
      <c r="AV156" s="368">
        <f t="shared" ref="AV156:AV168" si="114">L156-$AV$3</f>
        <v>46429</v>
      </c>
      <c r="AW156" s="368">
        <f t="shared" ref="AW156:AW188" si="115">AV156-$AW$3</f>
        <v>46419</v>
      </c>
      <c r="AX156" s="378"/>
      <c r="AY156" s="368"/>
      <c r="AZ156" s="362"/>
      <c r="BA156" s="375"/>
      <c r="BB156" s="487"/>
      <c r="BE156" s="277"/>
      <c r="BF156" s="278"/>
    </row>
    <row r="157" spans="1:58" s="269" customFormat="1" ht="23.45" customHeight="1">
      <c r="A157" s="270"/>
      <c r="B157" s="357" t="s">
        <v>578</v>
      </c>
      <c r="C157" s="357" t="s">
        <v>702</v>
      </c>
      <c r="D157" s="357" t="s">
        <v>700</v>
      </c>
      <c r="E157" s="357"/>
      <c r="F157" s="357" t="s">
        <v>581</v>
      </c>
      <c r="G157" s="357" t="str">
        <f t="shared" si="111"/>
        <v>01TSK-5001</v>
      </c>
      <c r="H157" s="358">
        <v>2</v>
      </c>
      <c r="I157" s="517" t="s">
        <v>703</v>
      </c>
      <c r="J157" s="359">
        <v>0.7</v>
      </c>
      <c r="K157" s="360"/>
      <c r="L157" s="361">
        <f>SUMIFS('[36]frm P6'!$J:$J,'[36]frm P6'!D:D,[36]Schedule!B157,'[36]frm P6'!E:E,[36]Schedule!C157,'[36]frm P6'!F:F,[36]Schedule!D157,'[36]frm P6'!G:G,[36]Schedule!$K$138,'[36]frm P6'!H:H,[36]Schedule!F157)</f>
        <v>46480</v>
      </c>
      <c r="M157" s="361">
        <f>SUMIFS('[36]frm P6'!$K:$K,'[36]frm P6'!D:D,[36]Schedule!B157,'[36]frm P6'!E:E,[36]Schedule!C157,'[36]frm P6'!F:F,[36]Schedule!D157,'[36]frm P6'!G:G,[36]Schedule!$K$138,'[36]frm P6'!H:H,[36]Schedule!F157)</f>
        <v>46483</v>
      </c>
      <c r="N157" s="362">
        <f t="shared" si="110"/>
        <v>4</v>
      </c>
      <c r="O157" s="273"/>
      <c r="P157" s="273"/>
      <c r="Q157" s="273"/>
      <c r="R157" s="363"/>
      <c r="S157" s="364"/>
      <c r="T157" s="365"/>
      <c r="U157" s="366"/>
      <c r="V157" s="366"/>
      <c r="W157" s="367"/>
      <c r="X157" s="368" t="s">
        <v>107</v>
      </c>
      <c r="Y157" s="368"/>
      <c r="Z157" s="369"/>
      <c r="AA157" s="368" t="s">
        <v>424</v>
      </c>
      <c r="AB157" s="368" t="s">
        <v>424</v>
      </c>
      <c r="AC157" s="362" t="s">
        <v>424</v>
      </c>
      <c r="AD157" s="274"/>
      <c r="AE157" s="273"/>
      <c r="AF157" s="273"/>
      <c r="AG157" s="420" t="s">
        <v>424</v>
      </c>
      <c r="AH157" s="368" t="s">
        <v>424</v>
      </c>
      <c r="AI157" s="369" t="s">
        <v>424</v>
      </c>
      <c r="AJ157" s="273"/>
      <c r="AK157" s="273"/>
      <c r="AL157" s="273"/>
      <c r="AM157" s="420" t="s">
        <v>424</v>
      </c>
      <c r="AN157" s="368" t="s">
        <v>424</v>
      </c>
      <c r="AO157" s="362" t="s">
        <v>424</v>
      </c>
      <c r="AP157" s="273"/>
      <c r="AQ157" s="273"/>
      <c r="AR157" s="372">
        <v>14</v>
      </c>
      <c r="AS157" s="368">
        <f t="shared" si="112"/>
        <v>46470</v>
      </c>
      <c r="AT157" s="368">
        <f>AS157-224</f>
        <v>46246</v>
      </c>
      <c r="AU157" s="377">
        <f t="shared" si="113"/>
        <v>46216</v>
      </c>
      <c r="AV157" s="368">
        <f t="shared" si="114"/>
        <v>46476</v>
      </c>
      <c r="AW157" s="368">
        <f t="shared" si="115"/>
        <v>46466</v>
      </c>
      <c r="AX157" s="378"/>
      <c r="AY157" s="368"/>
      <c r="AZ157" s="362"/>
      <c r="BA157" s="375"/>
      <c r="BB157" s="487"/>
      <c r="BE157" s="277"/>
      <c r="BF157" s="278"/>
    </row>
    <row r="158" spans="1:58" s="269" customFormat="1" ht="23.45" customHeight="1">
      <c r="A158" s="270"/>
      <c r="B158" s="357" t="s">
        <v>578</v>
      </c>
      <c r="C158" s="357" t="s">
        <v>704</v>
      </c>
      <c r="D158" s="357" t="s">
        <v>700</v>
      </c>
      <c r="E158" s="357"/>
      <c r="F158" s="357" t="s">
        <v>581</v>
      </c>
      <c r="G158" s="357" t="str">
        <f t="shared" si="111"/>
        <v>01TV-3001</v>
      </c>
      <c r="H158" s="358">
        <v>1</v>
      </c>
      <c r="I158" s="517" t="s">
        <v>705</v>
      </c>
      <c r="J158" s="359">
        <v>0.35</v>
      </c>
      <c r="K158" s="360"/>
      <c r="L158" s="361">
        <f>SUMIFS('[36]frm P6'!$J:$J,'[36]frm P6'!D:D,[36]Schedule!B158,'[36]frm P6'!E:E,[36]Schedule!C158,'[36]frm P6'!F:F,[36]Schedule!D158,'[36]frm P6'!G:G,[36]Schedule!$K$138,'[36]frm P6'!H:H,[36]Schedule!F158)</f>
        <v>46447</v>
      </c>
      <c r="M158" s="361">
        <f>SUMIFS('[36]frm P6'!$K:$K,'[36]frm P6'!D:D,[36]Schedule!B158,'[36]frm P6'!E:E,[36]Schedule!C158,'[36]frm P6'!F:F,[36]Schedule!D158,'[36]frm P6'!G:G,[36]Schedule!$K$138,'[36]frm P6'!H:H,[36]Schedule!F158)</f>
        <v>46448</v>
      </c>
      <c r="N158" s="362">
        <f t="shared" si="110"/>
        <v>2</v>
      </c>
      <c r="O158" s="273"/>
      <c r="P158" s="273"/>
      <c r="Q158" s="273"/>
      <c r="R158" s="363"/>
      <c r="S158" s="364"/>
      <c r="T158" s="365"/>
      <c r="U158" s="366"/>
      <c r="V158" s="366"/>
      <c r="W158" s="367"/>
      <c r="X158" s="368" t="s">
        <v>80</v>
      </c>
      <c r="Y158" s="368"/>
      <c r="Z158" s="369"/>
      <c r="AA158" s="368" t="s">
        <v>424</v>
      </c>
      <c r="AB158" s="368" t="s">
        <v>424</v>
      </c>
      <c r="AC158" s="362" t="s">
        <v>424</v>
      </c>
      <c r="AD158" s="274"/>
      <c r="AE158" s="273"/>
      <c r="AF158" s="273"/>
      <c r="AG158" s="420" t="s">
        <v>424</v>
      </c>
      <c r="AH158" s="368" t="s">
        <v>424</v>
      </c>
      <c r="AI158" s="369" t="s">
        <v>424</v>
      </c>
      <c r="AJ158" s="273"/>
      <c r="AK158" s="273"/>
      <c r="AL158" s="273"/>
      <c r="AM158" s="420" t="s">
        <v>424</v>
      </c>
      <c r="AN158" s="368" t="s">
        <v>424</v>
      </c>
      <c r="AO158" s="362" t="s">
        <v>424</v>
      </c>
      <c r="AP158" s="273"/>
      <c r="AQ158" s="273"/>
      <c r="AR158" s="372">
        <v>3</v>
      </c>
      <c r="AS158" s="368">
        <f t="shared" si="112"/>
        <v>46437</v>
      </c>
      <c r="AT158" s="368">
        <f>AS158-180</f>
        <v>46257</v>
      </c>
      <c r="AU158" s="377">
        <f t="shared" si="113"/>
        <v>46227</v>
      </c>
      <c r="AV158" s="368">
        <f t="shared" si="114"/>
        <v>46443</v>
      </c>
      <c r="AW158" s="368">
        <f t="shared" si="115"/>
        <v>46433</v>
      </c>
      <c r="AX158" s="378"/>
      <c r="AY158" s="368"/>
      <c r="AZ158" s="362"/>
      <c r="BA158" s="375"/>
      <c r="BB158" s="487"/>
      <c r="BE158" s="277"/>
      <c r="BF158" s="278"/>
    </row>
    <row r="159" spans="1:58" s="269" customFormat="1" ht="23.45" customHeight="1">
      <c r="A159" s="270"/>
      <c r="B159" s="357" t="s">
        <v>578</v>
      </c>
      <c r="C159" s="357" t="s">
        <v>706</v>
      </c>
      <c r="D159" s="357" t="s">
        <v>700</v>
      </c>
      <c r="E159" s="357"/>
      <c r="F159" s="357" t="s">
        <v>581</v>
      </c>
      <c r="G159" s="357" t="str">
        <f t="shared" si="111"/>
        <v>01TSK9001</v>
      </c>
      <c r="H159" s="358">
        <v>2</v>
      </c>
      <c r="I159" s="517" t="s">
        <v>707</v>
      </c>
      <c r="J159" s="359">
        <v>8.9</v>
      </c>
      <c r="K159" s="360"/>
      <c r="L159" s="361">
        <f>SUMIFS('[36]frm P6'!$J:$J,'[36]frm P6'!D:D,[36]Schedule!B159,'[36]frm P6'!E:E,[36]Schedule!C159,'[36]frm P6'!F:F,[36]Schedule!D159,'[36]frm P6'!G:G,[36]Schedule!$K$138,'[36]frm P6'!H:H,[36]Schedule!F159)</f>
        <v>46454</v>
      </c>
      <c r="M159" s="361">
        <f>SUMIFS('[36]frm P6'!$K:$K,'[36]frm P6'!D:D,[36]Schedule!B159,'[36]frm P6'!E:E,[36]Schedule!C159,'[36]frm P6'!F:F,[36]Schedule!D159,'[36]frm P6'!G:G,[36]Schedule!$K$138,'[36]frm P6'!H:H,[36]Schedule!F159)</f>
        <v>46461</v>
      </c>
      <c r="N159" s="362">
        <f t="shared" si="110"/>
        <v>8</v>
      </c>
      <c r="O159" s="273"/>
      <c r="P159" s="273"/>
      <c r="Q159" s="273"/>
      <c r="R159" s="363"/>
      <c r="S159" s="364"/>
      <c r="T159" s="365"/>
      <c r="U159" s="366"/>
      <c r="V159" s="366"/>
      <c r="W159" s="367"/>
      <c r="X159" s="368" t="s">
        <v>80</v>
      </c>
      <c r="Y159" s="368"/>
      <c r="Z159" s="369"/>
      <c r="AA159" s="368" t="s">
        <v>424</v>
      </c>
      <c r="AB159" s="368" t="s">
        <v>424</v>
      </c>
      <c r="AC159" s="362" t="s">
        <v>424</v>
      </c>
      <c r="AD159" s="274"/>
      <c r="AE159" s="273"/>
      <c r="AF159" s="273"/>
      <c r="AG159" s="420" t="s">
        <v>424</v>
      </c>
      <c r="AH159" s="368" t="s">
        <v>424</v>
      </c>
      <c r="AI159" s="369" t="s">
        <v>424</v>
      </c>
      <c r="AJ159" s="273"/>
      <c r="AK159" s="273"/>
      <c r="AL159" s="273"/>
      <c r="AM159" s="420" t="s">
        <v>424</v>
      </c>
      <c r="AN159" s="368" t="s">
        <v>424</v>
      </c>
      <c r="AO159" s="362" t="s">
        <v>424</v>
      </c>
      <c r="AP159" s="273"/>
      <c r="AQ159" s="273"/>
      <c r="AR159" s="372">
        <v>4</v>
      </c>
      <c r="AS159" s="368">
        <f t="shared" si="112"/>
        <v>46444</v>
      </c>
      <c r="AT159" s="368">
        <f>AS159-210</f>
        <v>46234</v>
      </c>
      <c r="AU159" s="377">
        <f t="shared" si="113"/>
        <v>46204</v>
      </c>
      <c r="AV159" s="368">
        <f t="shared" si="114"/>
        <v>46450</v>
      </c>
      <c r="AW159" s="368">
        <f t="shared" si="115"/>
        <v>46440</v>
      </c>
      <c r="AX159" s="378"/>
      <c r="AY159" s="368"/>
      <c r="AZ159" s="362"/>
      <c r="BA159" s="375"/>
      <c r="BB159" s="487"/>
      <c r="BE159" s="277"/>
      <c r="BF159" s="278"/>
    </row>
    <row r="160" spans="1:58" s="269" customFormat="1" ht="23.45" customHeight="1">
      <c r="A160" s="270"/>
      <c r="B160" s="357" t="s">
        <v>578</v>
      </c>
      <c r="C160" s="357" t="s">
        <v>708</v>
      </c>
      <c r="D160" s="357" t="s">
        <v>700</v>
      </c>
      <c r="E160" s="357"/>
      <c r="F160" s="357" t="s">
        <v>581</v>
      </c>
      <c r="G160" s="357" t="str">
        <f t="shared" si="111"/>
        <v>01TV-01001</v>
      </c>
      <c r="H160" s="358">
        <v>4</v>
      </c>
      <c r="I160" s="517" t="s">
        <v>709</v>
      </c>
      <c r="J160" s="359">
        <v>2.5</v>
      </c>
      <c r="K160" s="360"/>
      <c r="L160" s="361">
        <f>SUMIFS('[36]frm P6'!$J:$J,'[36]frm P6'!D:D,[36]Schedule!B160,'[36]frm P6'!E:E,[36]Schedule!C160,'[36]frm P6'!F:F,[36]Schedule!D160,'[36]frm P6'!G:G,[36]Schedule!$K$138,'[36]frm P6'!H:H,[36]Schedule!F160)</f>
        <v>46451</v>
      </c>
      <c r="M160" s="361">
        <f>SUMIFS('[36]frm P6'!$K:$K,'[36]frm P6'!D:D,[36]Schedule!B160,'[36]frm P6'!E:E,[36]Schedule!C160,'[36]frm P6'!F:F,[36]Schedule!D160,'[36]frm P6'!G:G,[36]Schedule!$K$138,'[36]frm P6'!H:H,[36]Schedule!F160)</f>
        <v>46458</v>
      </c>
      <c r="N160" s="362">
        <f t="shared" si="110"/>
        <v>8</v>
      </c>
      <c r="O160" s="273"/>
      <c r="P160" s="273"/>
      <c r="Q160" s="273"/>
      <c r="R160" s="363"/>
      <c r="S160" s="364"/>
      <c r="T160" s="365"/>
      <c r="U160" s="366"/>
      <c r="V160" s="366"/>
      <c r="W160" s="367"/>
      <c r="X160" s="368" t="s">
        <v>80</v>
      </c>
      <c r="Y160" s="368"/>
      <c r="Z160" s="369"/>
      <c r="AA160" s="368" t="s">
        <v>424</v>
      </c>
      <c r="AB160" s="368" t="s">
        <v>424</v>
      </c>
      <c r="AC160" s="362" t="s">
        <v>424</v>
      </c>
      <c r="AD160" s="274"/>
      <c r="AE160" s="273"/>
      <c r="AF160" s="273"/>
      <c r="AG160" s="420" t="s">
        <v>424</v>
      </c>
      <c r="AH160" s="368" t="s">
        <v>424</v>
      </c>
      <c r="AI160" s="369" t="s">
        <v>424</v>
      </c>
      <c r="AJ160" s="273"/>
      <c r="AK160" s="273"/>
      <c r="AL160" s="273"/>
      <c r="AM160" s="420" t="s">
        <v>424</v>
      </c>
      <c r="AN160" s="368" t="s">
        <v>424</v>
      </c>
      <c r="AO160" s="362" t="s">
        <v>424</v>
      </c>
      <c r="AP160" s="273"/>
      <c r="AQ160" s="273"/>
      <c r="AR160" s="372">
        <v>5</v>
      </c>
      <c r="AS160" s="368">
        <f t="shared" si="112"/>
        <v>46441</v>
      </c>
      <c r="AT160" s="368">
        <f>AS160-224</f>
        <v>46217</v>
      </c>
      <c r="AU160" s="377">
        <f t="shared" si="113"/>
        <v>46187</v>
      </c>
      <c r="AV160" s="368">
        <f t="shared" si="114"/>
        <v>46447</v>
      </c>
      <c r="AW160" s="368">
        <f t="shared" si="115"/>
        <v>46437</v>
      </c>
      <c r="AX160" s="378"/>
      <c r="AY160" s="368"/>
      <c r="AZ160" s="362"/>
      <c r="BA160" s="375"/>
      <c r="BB160" s="487"/>
      <c r="BE160" s="277"/>
      <c r="BF160" s="278"/>
    </row>
    <row r="161" spans="1:58" s="269" customFormat="1" ht="23.45" customHeight="1">
      <c r="A161" s="270"/>
      <c r="B161" s="357" t="s">
        <v>578</v>
      </c>
      <c r="C161" s="357" t="s">
        <v>710</v>
      </c>
      <c r="D161" s="357" t="s">
        <v>700</v>
      </c>
      <c r="E161" s="357"/>
      <c r="F161" s="357" t="s">
        <v>581</v>
      </c>
      <c r="G161" s="357" t="str">
        <f t="shared" si="111"/>
        <v>01TSK7001</v>
      </c>
      <c r="H161" s="358">
        <v>5</v>
      </c>
      <c r="I161" s="517" t="s">
        <v>711</v>
      </c>
      <c r="J161" s="359">
        <v>1</v>
      </c>
      <c r="K161" s="360"/>
      <c r="L161" s="361">
        <f>SUMIFS('[36]frm P6'!$J:$J,'[36]frm P6'!D:D,[36]Schedule!B161,'[36]frm P6'!E:E,[36]Schedule!C161,'[36]frm P6'!F:F,[36]Schedule!D161,'[36]frm P6'!G:G,[36]Schedule!$K$138,'[36]frm P6'!H:H,[36]Schedule!F161)</f>
        <v>46487</v>
      </c>
      <c r="M161" s="361">
        <f>SUMIFS('[36]frm P6'!$K:$K,'[36]frm P6'!D:D,[36]Schedule!B161,'[36]frm P6'!E:E,[36]Schedule!C161,'[36]frm P6'!F:F,[36]Schedule!D161,'[36]frm P6'!G:G,[36]Schedule!$K$138,'[36]frm P6'!H:H,[36]Schedule!F161)</f>
        <v>46494</v>
      </c>
      <c r="N161" s="362">
        <f t="shared" si="110"/>
        <v>8</v>
      </c>
      <c r="O161" s="273"/>
      <c r="P161" s="273"/>
      <c r="Q161" s="273"/>
      <c r="R161" s="363"/>
      <c r="S161" s="364"/>
      <c r="T161" s="365"/>
      <c r="U161" s="366"/>
      <c r="V161" s="366"/>
      <c r="W161" s="367"/>
      <c r="X161" s="368" t="s">
        <v>80</v>
      </c>
      <c r="Y161" s="368"/>
      <c r="Z161" s="369"/>
      <c r="AA161" s="368" t="s">
        <v>424</v>
      </c>
      <c r="AB161" s="368" t="s">
        <v>424</v>
      </c>
      <c r="AC161" s="362" t="s">
        <v>424</v>
      </c>
      <c r="AD161" s="274"/>
      <c r="AE161" s="273"/>
      <c r="AF161" s="273"/>
      <c r="AG161" s="420" t="s">
        <v>424</v>
      </c>
      <c r="AH161" s="368" t="s">
        <v>424</v>
      </c>
      <c r="AI161" s="369" t="s">
        <v>424</v>
      </c>
      <c r="AJ161" s="273"/>
      <c r="AK161" s="273"/>
      <c r="AL161" s="273"/>
      <c r="AM161" s="420" t="s">
        <v>424</v>
      </c>
      <c r="AN161" s="368" t="s">
        <v>424</v>
      </c>
      <c r="AO161" s="362" t="s">
        <v>424</v>
      </c>
      <c r="AP161" s="273"/>
      <c r="AQ161" s="273"/>
      <c r="AR161" s="372">
        <v>6</v>
      </c>
      <c r="AS161" s="368">
        <f t="shared" si="112"/>
        <v>46477</v>
      </c>
      <c r="AT161" s="368">
        <f>AS161-238</f>
        <v>46239</v>
      </c>
      <c r="AU161" s="377">
        <f t="shared" si="113"/>
        <v>46209</v>
      </c>
      <c r="AV161" s="368">
        <f t="shared" si="114"/>
        <v>46483</v>
      </c>
      <c r="AW161" s="368">
        <f t="shared" si="115"/>
        <v>46473</v>
      </c>
      <c r="AX161" s="378"/>
      <c r="AY161" s="368"/>
      <c r="AZ161" s="362"/>
      <c r="BA161" s="375"/>
      <c r="BB161" s="487"/>
      <c r="BE161" s="277"/>
      <c r="BF161" s="278"/>
    </row>
    <row r="162" spans="1:58" s="269" customFormat="1" ht="23.45" customHeight="1">
      <c r="A162" s="270"/>
      <c r="B162" s="357" t="s">
        <v>578</v>
      </c>
      <c r="C162" s="357" t="s">
        <v>712</v>
      </c>
      <c r="D162" s="357" t="s">
        <v>700</v>
      </c>
      <c r="E162" s="357"/>
      <c r="F162" s="357" t="s">
        <v>581</v>
      </c>
      <c r="G162" s="357" t="str">
        <f t="shared" si="111"/>
        <v>01TT7001</v>
      </c>
      <c r="H162" s="358">
        <v>6</v>
      </c>
      <c r="I162" s="517" t="s">
        <v>713</v>
      </c>
      <c r="J162" s="359">
        <v>0.25</v>
      </c>
      <c r="K162" s="360"/>
      <c r="L162" s="361">
        <f>SUMIFS('[36]frm P6'!$J:$J,'[36]frm P6'!D:D,[36]Schedule!B162,'[36]frm P6'!E:E,[36]Schedule!C162,'[36]frm P6'!F:F,[36]Schedule!D162,'[36]frm P6'!G:G,[36]Schedule!$K$138,'[36]frm P6'!H:H,[36]Schedule!F162)</f>
        <v>46473</v>
      </c>
      <c r="M162" s="361">
        <f>SUMIFS('[36]frm P6'!$K:$K,'[36]frm P6'!D:D,[36]Schedule!B162,'[36]frm P6'!E:E,[36]Schedule!C162,'[36]frm P6'!F:F,[36]Schedule!D162,'[36]frm P6'!G:G,[36]Schedule!$K$138,'[36]frm P6'!H:H,[36]Schedule!F162)</f>
        <v>46483</v>
      </c>
      <c r="N162" s="362">
        <f t="shared" si="110"/>
        <v>11</v>
      </c>
      <c r="O162" s="273"/>
      <c r="P162" s="273"/>
      <c r="Q162" s="273"/>
      <c r="R162" s="363"/>
      <c r="S162" s="364"/>
      <c r="T162" s="365"/>
      <c r="U162" s="366"/>
      <c r="V162" s="366"/>
      <c r="W162" s="367"/>
      <c r="X162" s="368" t="s">
        <v>714</v>
      </c>
      <c r="Y162" s="368"/>
      <c r="Z162" s="369"/>
      <c r="AA162" s="368" t="s">
        <v>424</v>
      </c>
      <c r="AB162" s="368" t="s">
        <v>424</v>
      </c>
      <c r="AC162" s="362" t="s">
        <v>424</v>
      </c>
      <c r="AD162" s="274"/>
      <c r="AE162" s="273"/>
      <c r="AF162" s="273"/>
      <c r="AG162" s="420" t="s">
        <v>424</v>
      </c>
      <c r="AH162" s="368" t="s">
        <v>424</v>
      </c>
      <c r="AI162" s="369" t="s">
        <v>424</v>
      </c>
      <c r="AJ162" s="273"/>
      <c r="AK162" s="273"/>
      <c r="AL162" s="273"/>
      <c r="AM162" s="420" t="s">
        <v>424</v>
      </c>
      <c r="AN162" s="368" t="s">
        <v>424</v>
      </c>
      <c r="AO162" s="362" t="s">
        <v>424</v>
      </c>
      <c r="AP162" s="273"/>
      <c r="AQ162" s="273"/>
      <c r="AR162" s="372">
        <v>15</v>
      </c>
      <c r="AS162" s="368">
        <f t="shared" si="112"/>
        <v>46463</v>
      </c>
      <c r="AT162" s="368">
        <f>AS162-224</f>
        <v>46239</v>
      </c>
      <c r="AU162" s="377">
        <f t="shared" si="113"/>
        <v>46209</v>
      </c>
      <c r="AV162" s="368">
        <f t="shared" si="114"/>
        <v>46469</v>
      </c>
      <c r="AW162" s="368">
        <f t="shared" si="115"/>
        <v>46459</v>
      </c>
      <c r="AX162" s="378"/>
      <c r="AY162" s="368"/>
      <c r="AZ162" s="362"/>
      <c r="BA162" s="375"/>
      <c r="BB162" s="487"/>
      <c r="BE162" s="277"/>
      <c r="BF162" s="278"/>
    </row>
    <row r="163" spans="1:58" s="269" customFormat="1" ht="23.45" customHeight="1">
      <c r="A163" s="270"/>
      <c r="B163" s="357" t="s">
        <v>578</v>
      </c>
      <c r="C163" s="357" t="s">
        <v>715</v>
      </c>
      <c r="D163" s="357" t="s">
        <v>700</v>
      </c>
      <c r="E163" s="357"/>
      <c r="F163" s="357" t="s">
        <v>581</v>
      </c>
      <c r="G163" s="357" t="str">
        <f t="shared" si="111"/>
        <v>01TT-9001</v>
      </c>
      <c r="H163" s="358">
        <v>1</v>
      </c>
      <c r="I163" s="517" t="s">
        <v>716</v>
      </c>
      <c r="J163" s="359">
        <v>0.24</v>
      </c>
      <c r="K163" s="360"/>
      <c r="L163" s="361">
        <f>SUMIFS('[36]frm P6'!$J:$J,'[36]frm P6'!D:D,[36]Schedule!B163,'[36]frm P6'!E:E,[36]Schedule!C163,'[36]frm P6'!F:F,[36]Schedule!D163,'[36]frm P6'!G:G,[36]Schedule!$K$138,'[36]frm P6'!H:H,[36]Schedule!F163)</f>
        <v>46473</v>
      </c>
      <c r="M163" s="361">
        <f>SUMIFS('[36]frm P6'!$K:$K,'[36]frm P6'!D:D,[36]Schedule!B163,'[36]frm P6'!E:E,[36]Schedule!C163,'[36]frm P6'!F:F,[36]Schedule!D163,'[36]frm P6'!G:G,[36]Schedule!$K$138,'[36]frm P6'!H:H,[36]Schedule!F163)</f>
        <v>46483</v>
      </c>
      <c r="N163" s="362">
        <f t="shared" si="110"/>
        <v>11</v>
      </c>
      <c r="O163" s="273"/>
      <c r="P163" s="273"/>
      <c r="Q163" s="273"/>
      <c r="R163" s="363"/>
      <c r="S163" s="364"/>
      <c r="T163" s="365"/>
      <c r="U163" s="366"/>
      <c r="V163" s="366"/>
      <c r="W163" s="367"/>
      <c r="X163" s="368" t="s">
        <v>714</v>
      </c>
      <c r="Y163" s="368"/>
      <c r="Z163" s="369"/>
      <c r="AA163" s="368" t="s">
        <v>424</v>
      </c>
      <c r="AB163" s="368" t="s">
        <v>424</v>
      </c>
      <c r="AC163" s="362" t="s">
        <v>424</v>
      </c>
      <c r="AD163" s="274"/>
      <c r="AE163" s="273"/>
      <c r="AF163" s="273"/>
      <c r="AG163" s="420" t="s">
        <v>424</v>
      </c>
      <c r="AH163" s="368" t="s">
        <v>424</v>
      </c>
      <c r="AI163" s="369" t="s">
        <v>424</v>
      </c>
      <c r="AJ163" s="273"/>
      <c r="AK163" s="273"/>
      <c r="AL163" s="273"/>
      <c r="AM163" s="420" t="s">
        <v>424</v>
      </c>
      <c r="AN163" s="368" t="s">
        <v>424</v>
      </c>
      <c r="AO163" s="362" t="s">
        <v>424</v>
      </c>
      <c r="AP163" s="273"/>
      <c r="AQ163" s="273"/>
      <c r="AR163" s="372"/>
      <c r="AS163" s="368">
        <f>L163-20</f>
        <v>46453</v>
      </c>
      <c r="AT163" s="368">
        <f>AS163-168</f>
        <v>46285</v>
      </c>
      <c r="AU163" s="377">
        <f t="shared" si="113"/>
        <v>46255</v>
      </c>
      <c r="AV163" s="368">
        <f t="shared" si="114"/>
        <v>46469</v>
      </c>
      <c r="AW163" s="368">
        <f t="shared" si="115"/>
        <v>46459</v>
      </c>
      <c r="AX163" s="378"/>
      <c r="AY163" s="368"/>
      <c r="AZ163" s="362"/>
      <c r="BA163" s="375"/>
      <c r="BB163" s="487"/>
      <c r="BE163" s="277"/>
      <c r="BF163" s="278"/>
    </row>
    <row r="164" spans="1:58" s="269" customFormat="1" ht="23.45" customHeight="1">
      <c r="A164" s="270"/>
      <c r="B164" s="357" t="s">
        <v>578</v>
      </c>
      <c r="C164" s="357" t="s">
        <v>717</v>
      </c>
      <c r="D164" s="357" t="s">
        <v>700</v>
      </c>
      <c r="E164" s="357"/>
      <c r="F164" s="357" t="s">
        <v>581</v>
      </c>
      <c r="G164" s="357"/>
      <c r="H164" s="358">
        <v>2</v>
      </c>
      <c r="I164" s="517" t="s">
        <v>718</v>
      </c>
      <c r="J164" s="359">
        <v>0.5</v>
      </c>
      <c r="K164" s="360"/>
      <c r="L164" s="361">
        <f>SUMIFS('[36]frm P6'!$J:$J,'[36]frm P6'!D:D,[36]Schedule!B164,'[36]frm P6'!E:E,[36]Schedule!C164,'[36]frm P6'!F:F,[36]Schedule!D164,'[36]frm P6'!G:G,[36]Schedule!$K$138,'[36]frm P6'!H:H,[36]Schedule!F164)</f>
        <v>46475</v>
      </c>
      <c r="M164" s="361">
        <f>SUMIFS('[36]frm P6'!$K:$K,'[36]frm P6'!D:D,[36]Schedule!B164,'[36]frm P6'!E:E,[36]Schedule!C164,'[36]frm P6'!F:F,[36]Schedule!D164,'[36]frm P6'!G:G,[36]Schedule!$K$138,'[36]frm P6'!H:H,[36]Schedule!F164)</f>
        <v>46484</v>
      </c>
      <c r="N164" s="362">
        <f t="shared" si="110"/>
        <v>10</v>
      </c>
      <c r="O164" s="273"/>
      <c r="P164" s="273"/>
      <c r="Q164" s="273"/>
      <c r="R164" s="363"/>
      <c r="S164" s="364"/>
      <c r="T164" s="365"/>
      <c r="U164" s="366"/>
      <c r="V164" s="366"/>
      <c r="W164" s="367"/>
      <c r="X164" s="368" t="s">
        <v>714</v>
      </c>
      <c r="Y164" s="368"/>
      <c r="Z164" s="369"/>
      <c r="AA164" s="368" t="s">
        <v>424</v>
      </c>
      <c r="AB164" s="368" t="s">
        <v>424</v>
      </c>
      <c r="AC164" s="362" t="s">
        <v>424</v>
      </c>
      <c r="AD164" s="274"/>
      <c r="AE164" s="273"/>
      <c r="AF164" s="273"/>
      <c r="AG164" s="420" t="s">
        <v>424</v>
      </c>
      <c r="AH164" s="368" t="s">
        <v>424</v>
      </c>
      <c r="AI164" s="369" t="s">
        <v>424</v>
      </c>
      <c r="AJ164" s="273"/>
      <c r="AK164" s="273"/>
      <c r="AL164" s="273"/>
      <c r="AM164" s="420" t="s">
        <v>424</v>
      </c>
      <c r="AN164" s="368" t="s">
        <v>424</v>
      </c>
      <c r="AO164" s="362" t="s">
        <v>424</v>
      </c>
      <c r="AP164" s="273"/>
      <c r="AQ164" s="273"/>
      <c r="AR164" s="372"/>
      <c r="AS164" s="368">
        <f>L164-20</f>
        <v>46455</v>
      </c>
      <c r="AT164" s="368">
        <f>AS164-168</f>
        <v>46287</v>
      </c>
      <c r="AU164" s="377">
        <f t="shared" si="113"/>
        <v>46257</v>
      </c>
      <c r="AV164" s="368">
        <f t="shared" si="114"/>
        <v>46471</v>
      </c>
      <c r="AW164" s="368">
        <f t="shared" si="115"/>
        <v>46461</v>
      </c>
      <c r="AX164" s="378"/>
      <c r="AY164" s="368"/>
      <c r="AZ164" s="362"/>
      <c r="BA164" s="375"/>
      <c r="BB164" s="487"/>
      <c r="BE164" s="277"/>
      <c r="BF164" s="278"/>
    </row>
    <row r="165" spans="1:58" s="269" customFormat="1" ht="23.45" customHeight="1">
      <c r="A165" s="270"/>
      <c r="B165" s="357" t="s">
        <v>578</v>
      </c>
      <c r="C165" s="357" t="s">
        <v>719</v>
      </c>
      <c r="D165" s="357" t="s">
        <v>700</v>
      </c>
      <c r="E165" s="357"/>
      <c r="F165" s="357" t="s">
        <v>581</v>
      </c>
      <c r="G165" s="357" t="str">
        <f>F165&amp;C165</f>
        <v>01TPL2001</v>
      </c>
      <c r="H165" s="358">
        <v>3</v>
      </c>
      <c r="I165" s="517" t="s">
        <v>720</v>
      </c>
      <c r="J165" s="359">
        <v>0.24</v>
      </c>
      <c r="K165" s="360"/>
      <c r="L165" s="361">
        <f>SUMIFS('[36]frm P6'!$J:$J,'[36]frm P6'!D:D,[36]Schedule!B165,'[36]frm P6'!E:E,[36]Schedule!C165,'[36]frm P6'!F:F,[36]Schedule!D165,'[36]frm P6'!G:G,[36]Schedule!$K$138,'[36]frm P6'!H:H,[36]Schedule!F165)</f>
        <v>46469</v>
      </c>
      <c r="M165" s="361">
        <f>SUMIFS('[36]frm P6'!$K:$K,'[36]frm P6'!D:D,[36]Schedule!B165,'[36]frm P6'!E:E,[36]Schedule!C165,'[36]frm P6'!F:F,[36]Schedule!D165,'[36]frm P6'!G:G,[36]Schedule!$K$138,'[36]frm P6'!H:H,[36]Schedule!F165)</f>
        <v>46471</v>
      </c>
      <c r="N165" s="362">
        <f t="shared" si="110"/>
        <v>3</v>
      </c>
      <c r="O165" s="273"/>
      <c r="P165" s="273"/>
      <c r="Q165" s="273"/>
      <c r="R165" s="363"/>
      <c r="S165" s="364"/>
      <c r="T165" s="365"/>
      <c r="U165" s="366"/>
      <c r="V165" s="366"/>
      <c r="W165" s="367"/>
      <c r="X165" s="368" t="s">
        <v>714</v>
      </c>
      <c r="Y165" s="368"/>
      <c r="Z165" s="369"/>
      <c r="AA165" s="368" t="s">
        <v>424</v>
      </c>
      <c r="AB165" s="368" t="s">
        <v>424</v>
      </c>
      <c r="AC165" s="362" t="s">
        <v>424</v>
      </c>
      <c r="AD165" s="274"/>
      <c r="AE165" s="273"/>
      <c r="AF165" s="273"/>
      <c r="AG165" s="420" t="s">
        <v>424</v>
      </c>
      <c r="AH165" s="368" t="s">
        <v>424</v>
      </c>
      <c r="AI165" s="369" t="s">
        <v>424</v>
      </c>
      <c r="AJ165" s="273"/>
      <c r="AK165" s="273"/>
      <c r="AL165" s="273"/>
      <c r="AM165" s="420" t="s">
        <v>424</v>
      </c>
      <c r="AN165" s="368" t="s">
        <v>424</v>
      </c>
      <c r="AO165" s="362" t="s">
        <v>424</v>
      </c>
      <c r="AP165" s="273"/>
      <c r="AQ165" s="273"/>
      <c r="AR165" s="372"/>
      <c r="AS165" s="368">
        <f>L165-20</f>
        <v>46449</v>
      </c>
      <c r="AT165" s="368">
        <f>AS165-168</f>
        <v>46281</v>
      </c>
      <c r="AU165" s="377">
        <f t="shared" si="113"/>
        <v>46251</v>
      </c>
      <c r="AV165" s="368">
        <f t="shared" si="114"/>
        <v>46465</v>
      </c>
      <c r="AW165" s="368">
        <f t="shared" si="115"/>
        <v>46455</v>
      </c>
      <c r="AX165" s="378"/>
      <c r="AY165" s="368"/>
      <c r="AZ165" s="362"/>
      <c r="BA165" s="375"/>
      <c r="BB165" s="487"/>
      <c r="BE165" s="277"/>
      <c r="BF165" s="278"/>
    </row>
    <row r="166" spans="1:58" s="269" customFormat="1" ht="23.45" customHeight="1">
      <c r="A166" s="270"/>
      <c r="B166" s="357" t="s">
        <v>578</v>
      </c>
      <c r="C166" s="357" t="s">
        <v>721</v>
      </c>
      <c r="D166" s="357" t="s">
        <v>700</v>
      </c>
      <c r="E166" s="357"/>
      <c r="F166" s="357" t="s">
        <v>581</v>
      </c>
      <c r="G166" s="357"/>
      <c r="H166" s="358">
        <v>4</v>
      </c>
      <c r="I166" s="517" t="s">
        <v>722</v>
      </c>
      <c r="J166" s="359">
        <v>2.5</v>
      </c>
      <c r="K166" s="360"/>
      <c r="L166" s="361">
        <f>SUMIFS('[36]frm P6'!$J:$J,'[36]frm P6'!D:D,[36]Schedule!B166,'[36]frm P6'!E:E,[36]Schedule!C166,'[36]frm P6'!F:F,[36]Schedule!D166,'[36]frm P6'!G:G,[36]Schedule!$K$138,'[36]frm P6'!H:H,[36]Schedule!F166)</f>
        <v>46517</v>
      </c>
      <c r="M166" s="361">
        <f>SUMIFS('[36]frm P6'!$K:$K,'[36]frm P6'!D:D,[36]Schedule!B166,'[36]frm P6'!E:E,[36]Schedule!C166,'[36]frm P6'!F:F,[36]Schedule!D166,'[36]frm P6'!G:G,[36]Schedule!$K$138,'[36]frm P6'!H:H,[36]Schedule!F166)</f>
        <v>46518</v>
      </c>
      <c r="N166" s="362">
        <f t="shared" si="110"/>
        <v>2</v>
      </c>
      <c r="O166" s="273"/>
      <c r="P166" s="273"/>
      <c r="Q166" s="273"/>
      <c r="R166" s="363"/>
      <c r="S166" s="364"/>
      <c r="T166" s="365"/>
      <c r="U166" s="366"/>
      <c r="V166" s="366"/>
      <c r="W166" s="367"/>
      <c r="X166" s="368" t="s">
        <v>69</v>
      </c>
      <c r="Y166" s="368"/>
      <c r="Z166" s="369"/>
      <c r="AA166" s="368" t="s">
        <v>424</v>
      </c>
      <c r="AB166" s="368" t="s">
        <v>424</v>
      </c>
      <c r="AC166" s="362" t="s">
        <v>424</v>
      </c>
      <c r="AD166" s="274"/>
      <c r="AE166" s="273"/>
      <c r="AF166" s="273"/>
      <c r="AG166" s="420" t="s">
        <v>424</v>
      </c>
      <c r="AH166" s="368" t="s">
        <v>424</v>
      </c>
      <c r="AI166" s="369" t="s">
        <v>424</v>
      </c>
      <c r="AJ166" s="273"/>
      <c r="AK166" s="273"/>
      <c r="AL166" s="273"/>
      <c r="AM166" s="420" t="s">
        <v>424</v>
      </c>
      <c r="AN166" s="368" t="s">
        <v>424</v>
      </c>
      <c r="AO166" s="362" t="s">
        <v>424</v>
      </c>
      <c r="AP166" s="273"/>
      <c r="AQ166" s="273"/>
      <c r="AR166" s="372"/>
      <c r="AS166" s="368">
        <f>L166-10</f>
        <v>46507</v>
      </c>
      <c r="AT166" s="368">
        <f>AS166-224</f>
        <v>46283</v>
      </c>
      <c r="AU166" s="377">
        <f t="shared" si="113"/>
        <v>46253</v>
      </c>
      <c r="AV166" s="368">
        <f t="shared" si="114"/>
        <v>46513</v>
      </c>
      <c r="AW166" s="368">
        <f t="shared" si="115"/>
        <v>46503</v>
      </c>
      <c r="AX166" s="378"/>
      <c r="AY166" s="368"/>
      <c r="AZ166" s="362"/>
      <c r="BA166" s="375"/>
      <c r="BB166" s="487"/>
      <c r="BE166" s="277"/>
      <c r="BF166" s="278"/>
    </row>
    <row r="167" spans="1:58" s="269" customFormat="1" ht="23.45" customHeight="1">
      <c r="A167" s="270"/>
      <c r="B167" s="357" t="s">
        <v>578</v>
      </c>
      <c r="C167" s="357" t="s">
        <v>723</v>
      </c>
      <c r="D167" s="357" t="s">
        <v>700</v>
      </c>
      <c r="E167" s="357"/>
      <c r="F167" s="357" t="s">
        <v>581</v>
      </c>
      <c r="G167" s="357" t="str">
        <f>F167&amp;C167</f>
        <v>01TCR7001</v>
      </c>
      <c r="H167" s="358">
        <v>3</v>
      </c>
      <c r="I167" s="517" t="s">
        <v>724</v>
      </c>
      <c r="J167" s="359">
        <v>0.8</v>
      </c>
      <c r="K167" s="360"/>
      <c r="L167" s="361">
        <f>SUMIFS('[36]frm P6'!$J:$J,'[36]frm P6'!D:D,[36]Schedule!B167,'[36]frm P6'!E:E,[36]Schedule!C167,'[36]frm P6'!F:F,[36]Schedule!D167,'[36]frm P6'!G:G,[36]Schedule!$K$138,'[36]frm P6'!H:H,[36]Schedule!F167)</f>
        <v>46543</v>
      </c>
      <c r="M167" s="361">
        <f>SUMIFS('[36]frm P6'!$K:$K,'[36]frm P6'!D:D,[36]Schedule!B167,'[36]frm P6'!E:E,[36]Schedule!C167,'[36]frm P6'!F:F,[36]Schedule!D167,'[36]frm P6'!G:G,[36]Schedule!$K$138,'[36]frm P6'!H:H,[36]Schedule!F167)</f>
        <v>46574</v>
      </c>
      <c r="N167" s="362">
        <f t="shared" si="110"/>
        <v>32</v>
      </c>
      <c r="O167" s="273"/>
      <c r="P167" s="273"/>
      <c r="Q167" s="273"/>
      <c r="R167" s="363"/>
      <c r="S167" s="364"/>
      <c r="T167" s="365"/>
      <c r="U167" s="366"/>
      <c r="V167" s="366"/>
      <c r="W167" s="367"/>
      <c r="X167" s="368" t="s">
        <v>69</v>
      </c>
      <c r="Y167" s="368"/>
      <c r="Z167" s="369"/>
      <c r="AA167" s="368" t="s">
        <v>424</v>
      </c>
      <c r="AB167" s="368" t="s">
        <v>424</v>
      </c>
      <c r="AC167" s="362" t="s">
        <v>424</v>
      </c>
      <c r="AD167" s="274"/>
      <c r="AE167" s="273"/>
      <c r="AF167" s="273"/>
      <c r="AG167" s="420" t="s">
        <v>424</v>
      </c>
      <c r="AH167" s="368" t="s">
        <v>424</v>
      </c>
      <c r="AI167" s="369" t="s">
        <v>424</v>
      </c>
      <c r="AJ167" s="273"/>
      <c r="AK167" s="273"/>
      <c r="AL167" s="273"/>
      <c r="AM167" s="420" t="s">
        <v>424</v>
      </c>
      <c r="AN167" s="368" t="s">
        <v>424</v>
      </c>
      <c r="AO167" s="362" t="s">
        <v>424</v>
      </c>
      <c r="AP167" s="273"/>
      <c r="AQ167" s="273"/>
      <c r="AR167" s="372">
        <v>13</v>
      </c>
      <c r="AS167" s="368">
        <f>L167-20</f>
        <v>46523</v>
      </c>
      <c r="AT167" s="368">
        <f>AS167-168</f>
        <v>46355</v>
      </c>
      <c r="AU167" s="377">
        <f>AT167-40</f>
        <v>46315</v>
      </c>
      <c r="AV167" s="368">
        <f t="shared" si="114"/>
        <v>46539</v>
      </c>
      <c r="AW167" s="368">
        <f t="shared" si="115"/>
        <v>46529</v>
      </c>
      <c r="AX167" s="378"/>
      <c r="AY167" s="368"/>
      <c r="AZ167" s="362"/>
      <c r="BA167" s="375"/>
      <c r="BB167" s="487"/>
      <c r="BE167" s="277"/>
      <c r="BF167" s="278"/>
    </row>
    <row r="168" spans="1:58" s="269" customFormat="1" ht="23.45" customHeight="1">
      <c r="A168" s="270"/>
      <c r="B168" s="357" t="s">
        <v>578</v>
      </c>
      <c r="C168" s="357" t="s">
        <v>640</v>
      </c>
      <c r="D168" s="357" t="s">
        <v>700</v>
      </c>
      <c r="E168" s="357"/>
      <c r="F168" s="357" t="s">
        <v>581</v>
      </c>
      <c r="G168" s="357" t="str">
        <f>F168&amp;C168</f>
        <v>01TSA</v>
      </c>
      <c r="H168" s="358">
        <v>3</v>
      </c>
      <c r="I168" s="517" t="s">
        <v>725</v>
      </c>
      <c r="J168" s="359">
        <v>0.8</v>
      </c>
      <c r="K168" s="360"/>
      <c r="L168" s="361">
        <f>'[36]frm P6'!J4288</f>
        <v>46505</v>
      </c>
      <c r="M168" s="361">
        <f>'[36]frm P6'!K4288</f>
        <v>46563</v>
      </c>
      <c r="N168" s="362">
        <f t="shared" si="110"/>
        <v>59</v>
      </c>
      <c r="O168" s="273"/>
      <c r="P168" s="273"/>
      <c r="Q168" s="273"/>
      <c r="R168" s="363"/>
      <c r="S168" s="364"/>
      <c r="T168" s="365"/>
      <c r="U168" s="366"/>
      <c r="V168" s="366"/>
      <c r="W168" s="367"/>
      <c r="X168" s="368" t="s">
        <v>562</v>
      </c>
      <c r="Y168" s="368"/>
      <c r="Z168" s="369"/>
      <c r="AA168" s="368" t="s">
        <v>424</v>
      </c>
      <c r="AB168" s="368" t="s">
        <v>424</v>
      </c>
      <c r="AC168" s="362" t="s">
        <v>424</v>
      </c>
      <c r="AD168" s="274"/>
      <c r="AE168" s="273"/>
      <c r="AF168" s="273"/>
      <c r="AG168" s="420" t="s">
        <v>424</v>
      </c>
      <c r="AH168" s="368" t="s">
        <v>424</v>
      </c>
      <c r="AI168" s="369" t="s">
        <v>424</v>
      </c>
      <c r="AJ168" s="273"/>
      <c r="AK168" s="273"/>
      <c r="AL168" s="273"/>
      <c r="AM168" s="420" t="s">
        <v>424</v>
      </c>
      <c r="AN168" s="368" t="s">
        <v>424</v>
      </c>
      <c r="AO168" s="362" t="s">
        <v>424</v>
      </c>
      <c r="AP168" s="273"/>
      <c r="AQ168" s="273"/>
      <c r="AR168" s="372">
        <v>13</v>
      </c>
      <c r="AS168" s="368">
        <f>L168-20</f>
        <v>46485</v>
      </c>
      <c r="AT168" s="368">
        <f>AS168-168</f>
        <v>46317</v>
      </c>
      <c r="AU168" s="377">
        <f>AT168-40</f>
        <v>46277</v>
      </c>
      <c r="AV168" s="368">
        <f t="shared" si="114"/>
        <v>46501</v>
      </c>
      <c r="AW168" s="368">
        <f t="shared" si="115"/>
        <v>46491</v>
      </c>
      <c r="AX168" s="378"/>
      <c r="AY168" s="368"/>
      <c r="AZ168" s="362"/>
      <c r="BA168" s="375"/>
      <c r="BB168" s="487"/>
      <c r="BE168" s="277"/>
      <c r="BF168" s="278"/>
    </row>
    <row r="169" spans="1:58" ht="26" customHeight="1">
      <c r="B169" s="438" t="s">
        <v>462</v>
      </c>
      <c r="C169" s="432"/>
      <c r="D169" s="432"/>
      <c r="E169" s="432"/>
      <c r="F169" s="432"/>
      <c r="G169" s="432"/>
      <c r="H169" s="336" t="s">
        <v>726</v>
      </c>
      <c r="I169" s="337"/>
      <c r="J169" s="338"/>
      <c r="K169" s="339"/>
      <c r="L169" s="340">
        <f>MIN(L170:L188)</f>
        <v>46450</v>
      </c>
      <c r="M169" s="340">
        <f>MAX(M170:M188)</f>
        <v>46581</v>
      </c>
      <c r="N169" s="337">
        <f t="shared" si="110"/>
        <v>132</v>
      </c>
      <c r="O169" s="341"/>
      <c r="P169" s="341"/>
      <c r="Q169" s="341"/>
      <c r="R169" s="380"/>
      <c r="S169" s="381"/>
      <c r="T169" s="382"/>
      <c r="U169" s="383"/>
      <c r="V169" s="383"/>
      <c r="W169" s="384"/>
      <c r="X169" s="340"/>
      <c r="Y169" s="340"/>
      <c r="Z169" s="347"/>
      <c r="AA169" s="340"/>
      <c r="AB169" s="340"/>
      <c r="AC169" s="337"/>
      <c r="AD169" s="348"/>
      <c r="AE169" s="341"/>
      <c r="AF169" s="341"/>
      <c r="AG169" s="349"/>
      <c r="AH169" s="340"/>
      <c r="AI169" s="347"/>
      <c r="AJ169" s="341"/>
      <c r="AK169" s="341"/>
      <c r="AL169" s="341"/>
      <c r="AM169" s="349"/>
      <c r="AN169" s="340"/>
      <c r="AO169" s="337"/>
      <c r="AP169" s="341"/>
      <c r="AQ169" s="341"/>
      <c r="AR169" s="351"/>
      <c r="AS169" s="340">
        <f>MIN(AS170:AS188)</f>
        <v>46440</v>
      </c>
      <c r="AT169" s="340">
        <f>MIN(AT170:AT188)</f>
        <v>46193</v>
      </c>
      <c r="AU169" s="352">
        <f>MIN(AU170:AU188)</f>
        <v>46133</v>
      </c>
      <c r="AV169" s="353">
        <f>MIN(AV170:AV188)</f>
        <v>46446</v>
      </c>
      <c r="AW169" s="353">
        <f>MIN(AW170:AW188)</f>
        <v>46436</v>
      </c>
      <c r="AX169" s="486"/>
      <c r="AY169" s="340"/>
      <c r="AZ169" s="337"/>
      <c r="BA169" s="337"/>
      <c r="BB169" s="439"/>
      <c r="BC169" s="268"/>
      <c r="BD169" s="268"/>
      <c r="BE169" s="311"/>
      <c r="BF169" s="312"/>
    </row>
    <row r="170" spans="1:58" s="269" customFormat="1" ht="23.45" customHeight="1">
      <c r="A170" s="270"/>
      <c r="B170" s="357" t="s">
        <v>578</v>
      </c>
      <c r="C170" s="357" t="s">
        <v>699</v>
      </c>
      <c r="D170" s="357" t="s">
        <v>700</v>
      </c>
      <c r="E170" s="357"/>
      <c r="F170" s="357" t="s">
        <v>645</v>
      </c>
      <c r="G170" s="357" t="str">
        <f>F170&amp;C170</f>
        <v>02TV-5001</v>
      </c>
      <c r="H170" s="358">
        <v>1</v>
      </c>
      <c r="I170" s="517" t="s">
        <v>727</v>
      </c>
      <c r="J170" s="359">
        <v>7.04</v>
      </c>
      <c r="K170" s="360"/>
      <c r="L170" s="361">
        <f>SUMIFS('[36]frm P6'!$J:$J,'[36]frm P6'!D:D,[36]Schedule!B170,'[36]frm P6'!E:E,[36]Schedule!C170,'[36]frm P6'!F:F,[36]Schedule!D170,'[36]frm P6'!G:G,[36]Schedule!$K$138,'[36]frm P6'!H:H,[36]Schedule!F170)</f>
        <v>46450</v>
      </c>
      <c r="M170" s="361">
        <f>SUMIFS('[36]frm P6'!$K:$K,'[36]frm P6'!D:D,[36]Schedule!B170,'[36]frm P6'!E:E,[36]Schedule!C170,'[36]frm P6'!F:F,[36]Schedule!D170,'[36]frm P6'!G:G,[36]Schedule!$K$138,'[36]frm P6'!H:H,[36]Schedule!F170)</f>
        <v>46458</v>
      </c>
      <c r="N170" s="362">
        <f t="shared" si="110"/>
        <v>9</v>
      </c>
      <c r="O170" s="273"/>
      <c r="P170" s="273"/>
      <c r="Q170" s="273"/>
      <c r="R170" s="363"/>
      <c r="S170" s="364"/>
      <c r="T170" s="365"/>
      <c r="U170" s="366"/>
      <c r="V170" s="366"/>
      <c r="W170" s="367"/>
      <c r="X170" s="368" t="s">
        <v>107</v>
      </c>
      <c r="Y170" s="368"/>
      <c r="Z170" s="369"/>
      <c r="AA170" s="368" t="s">
        <v>424</v>
      </c>
      <c r="AB170" s="368" t="s">
        <v>424</v>
      </c>
      <c r="AC170" s="362" t="s">
        <v>424</v>
      </c>
      <c r="AD170" s="274"/>
      <c r="AE170" s="273"/>
      <c r="AF170" s="273"/>
      <c r="AG170" s="420" t="s">
        <v>424</v>
      </c>
      <c r="AH170" s="368" t="s">
        <v>424</v>
      </c>
      <c r="AI170" s="369" t="s">
        <v>424</v>
      </c>
      <c r="AJ170" s="273"/>
      <c r="AK170" s="273"/>
      <c r="AL170" s="273"/>
      <c r="AM170" s="420" t="s">
        <v>424</v>
      </c>
      <c r="AN170" s="368" t="s">
        <v>424</v>
      </c>
      <c r="AO170" s="362" t="s">
        <v>424</v>
      </c>
      <c r="AP170" s="273"/>
      <c r="AQ170" s="273"/>
      <c r="AR170" s="372">
        <v>11</v>
      </c>
      <c r="AS170" s="368">
        <f>L170-10</f>
        <v>46440</v>
      </c>
      <c r="AT170" s="368">
        <f>AS170-164</f>
        <v>46276</v>
      </c>
      <c r="AU170" s="377">
        <f t="shared" ref="AU170:AU186" si="116">AT170-30</f>
        <v>46246</v>
      </c>
      <c r="AV170" s="368">
        <f t="shared" ref="AV170:AV188" si="117">L170-$AV$3</f>
        <v>46446</v>
      </c>
      <c r="AW170" s="368">
        <f t="shared" si="115"/>
        <v>46436</v>
      </c>
      <c r="AX170" s="378"/>
      <c r="AY170" s="368"/>
      <c r="AZ170" s="362"/>
      <c r="BA170" s="375"/>
      <c r="BB170" s="487"/>
      <c r="BE170" s="277"/>
      <c r="BF170" s="278"/>
    </row>
    <row r="171" spans="1:58" s="269" customFormat="1" ht="23.45" customHeight="1">
      <c r="A171" s="270"/>
      <c r="B171" s="357" t="s">
        <v>578</v>
      </c>
      <c r="C171" s="357" t="s">
        <v>702</v>
      </c>
      <c r="D171" s="357" t="s">
        <v>700</v>
      </c>
      <c r="E171" s="357"/>
      <c r="F171" s="357" t="s">
        <v>645</v>
      </c>
      <c r="G171" s="357" t="str">
        <f>F171&amp;C171</f>
        <v>02TSK-5001</v>
      </c>
      <c r="H171" s="358">
        <v>2</v>
      </c>
      <c r="I171" s="517" t="s">
        <v>728</v>
      </c>
      <c r="J171" s="359">
        <v>1.35</v>
      </c>
      <c r="K171" s="360"/>
      <c r="L171" s="361">
        <f>SUMIFS('[36]frm P6'!$J:$J,'[36]frm P6'!D:D,[36]Schedule!B171,'[36]frm P6'!E:E,[36]Schedule!C171,'[36]frm P6'!F:F,[36]Schedule!D171,'[36]frm P6'!G:G,[36]Schedule!$K$138,'[36]frm P6'!H:H,[36]Schedule!F171)</f>
        <v>46480</v>
      </c>
      <c r="M171" s="361">
        <f>SUMIFS('[36]frm P6'!$K:$K,'[36]frm P6'!D:D,[36]Schedule!B171,'[36]frm P6'!E:E,[36]Schedule!C171,'[36]frm P6'!F:F,[36]Schedule!D171,'[36]frm P6'!G:G,[36]Schedule!$K$138,'[36]frm P6'!H:H,[36]Schedule!F171)</f>
        <v>46483</v>
      </c>
      <c r="N171" s="362">
        <f t="shared" si="110"/>
        <v>4</v>
      </c>
      <c r="O171" s="273"/>
      <c r="P171" s="273"/>
      <c r="Q171" s="273"/>
      <c r="R171" s="363"/>
      <c r="S171" s="364"/>
      <c r="T171" s="365"/>
      <c r="U171" s="366"/>
      <c r="V171" s="366"/>
      <c r="W171" s="367"/>
      <c r="X171" s="368" t="s">
        <v>107</v>
      </c>
      <c r="Y171" s="368"/>
      <c r="Z171" s="369"/>
      <c r="AA171" s="368" t="s">
        <v>424</v>
      </c>
      <c r="AB171" s="368" t="s">
        <v>424</v>
      </c>
      <c r="AC171" s="362" t="s">
        <v>424</v>
      </c>
      <c r="AD171" s="274"/>
      <c r="AE171" s="273"/>
      <c r="AF171" s="273"/>
      <c r="AG171" s="420" t="s">
        <v>424</v>
      </c>
      <c r="AH171" s="368" t="s">
        <v>424</v>
      </c>
      <c r="AI171" s="369" t="s">
        <v>424</v>
      </c>
      <c r="AJ171" s="273"/>
      <c r="AK171" s="273"/>
      <c r="AL171" s="273"/>
      <c r="AM171" s="420" t="s">
        <v>424</v>
      </c>
      <c r="AN171" s="368" t="s">
        <v>424</v>
      </c>
      <c r="AO171" s="362" t="s">
        <v>424</v>
      </c>
      <c r="AP171" s="273"/>
      <c r="AQ171" s="273"/>
      <c r="AR171" s="372"/>
      <c r="AS171" s="368">
        <f>L171-10</f>
        <v>46470</v>
      </c>
      <c r="AT171" s="368">
        <f>AS171-238</f>
        <v>46232</v>
      </c>
      <c r="AU171" s="377">
        <f t="shared" si="116"/>
        <v>46202</v>
      </c>
      <c r="AV171" s="368">
        <f t="shared" si="117"/>
        <v>46476</v>
      </c>
      <c r="AW171" s="368">
        <f t="shared" si="115"/>
        <v>46466</v>
      </c>
      <c r="AX171" s="378"/>
      <c r="AY171" s="368"/>
      <c r="AZ171" s="362"/>
      <c r="BA171" s="375"/>
      <c r="BB171" s="487"/>
      <c r="BE171" s="277"/>
      <c r="BF171" s="278"/>
    </row>
    <row r="172" spans="1:58" s="269" customFormat="1" ht="23.45" customHeight="1">
      <c r="A172" s="270"/>
      <c r="B172" s="357" t="s">
        <v>578</v>
      </c>
      <c r="C172" s="357" t="s">
        <v>708</v>
      </c>
      <c r="D172" s="357" t="s">
        <v>700</v>
      </c>
      <c r="E172" s="357"/>
      <c r="F172" s="357" t="s">
        <v>645</v>
      </c>
      <c r="G172" s="357"/>
      <c r="H172" s="358">
        <v>1</v>
      </c>
      <c r="I172" s="517" t="s">
        <v>729</v>
      </c>
      <c r="J172" s="359">
        <v>18.5</v>
      </c>
      <c r="K172" s="360"/>
      <c r="L172" s="361">
        <f>SUMIFS('[36]frm P6'!$J:$J,'[36]frm P6'!D:D,[36]Schedule!B172,'[36]frm P6'!E:E,[36]Schedule!C172,'[36]frm P6'!F:F,[36]Schedule!D172,'[36]frm P6'!G:G,[36]Schedule!$K$138,'[36]frm P6'!H:H,[36]Schedule!F172)</f>
        <v>46472</v>
      </c>
      <c r="M172" s="361">
        <f>SUMIFS('[36]frm P6'!$K:$K,'[36]frm P6'!D:D,[36]Schedule!B172,'[36]frm P6'!E:E,[36]Schedule!C172,'[36]frm P6'!F:F,[36]Schedule!D172,'[36]frm P6'!G:G,[36]Schedule!$K$138,'[36]frm P6'!H:H,[36]Schedule!F172)</f>
        <v>46486</v>
      </c>
      <c r="N172" s="362">
        <f t="shared" si="110"/>
        <v>15</v>
      </c>
      <c r="O172" s="273"/>
      <c r="P172" s="273"/>
      <c r="Q172" s="273"/>
      <c r="R172" s="363"/>
      <c r="S172" s="364"/>
      <c r="T172" s="365"/>
      <c r="U172" s="366"/>
      <c r="V172" s="366"/>
      <c r="W172" s="367"/>
      <c r="X172" s="368" t="s">
        <v>80</v>
      </c>
      <c r="Y172" s="368"/>
      <c r="Z172" s="369"/>
      <c r="AA172" s="368" t="s">
        <v>424</v>
      </c>
      <c r="AB172" s="368" t="s">
        <v>424</v>
      </c>
      <c r="AC172" s="362" t="s">
        <v>424</v>
      </c>
      <c r="AD172" s="274"/>
      <c r="AE172" s="273"/>
      <c r="AF172" s="273"/>
      <c r="AG172" s="420" t="s">
        <v>424</v>
      </c>
      <c r="AH172" s="368" t="s">
        <v>424</v>
      </c>
      <c r="AI172" s="369" t="s">
        <v>424</v>
      </c>
      <c r="AJ172" s="273"/>
      <c r="AK172" s="273"/>
      <c r="AL172" s="273"/>
      <c r="AM172" s="420" t="s">
        <v>424</v>
      </c>
      <c r="AN172" s="368" t="s">
        <v>424</v>
      </c>
      <c r="AO172" s="362" t="s">
        <v>424</v>
      </c>
      <c r="AP172" s="273"/>
      <c r="AQ172" s="273"/>
      <c r="AR172" s="372">
        <v>11</v>
      </c>
      <c r="AS172" s="368">
        <f>L172-20</f>
        <v>46452</v>
      </c>
      <c r="AT172" s="368">
        <f>AS172-182</f>
        <v>46270</v>
      </c>
      <c r="AU172" s="377">
        <f t="shared" si="116"/>
        <v>46240</v>
      </c>
      <c r="AV172" s="368">
        <f t="shared" si="117"/>
        <v>46468</v>
      </c>
      <c r="AW172" s="368">
        <f t="shared" si="115"/>
        <v>46458</v>
      </c>
      <c r="AX172" s="378"/>
      <c r="AY172" s="368"/>
      <c r="AZ172" s="362"/>
      <c r="BA172" s="375"/>
      <c r="BB172" s="487"/>
      <c r="BE172" s="277"/>
      <c r="BF172" s="278"/>
    </row>
    <row r="173" spans="1:58" s="269" customFormat="1" ht="23.45" customHeight="1">
      <c r="A173" s="270"/>
      <c r="B173" s="357" t="s">
        <v>578</v>
      </c>
      <c r="C173" s="357" t="s">
        <v>704</v>
      </c>
      <c r="D173" s="357" t="s">
        <v>700</v>
      </c>
      <c r="E173" s="357"/>
      <c r="F173" s="357" t="s">
        <v>645</v>
      </c>
      <c r="G173" s="357"/>
      <c r="H173" s="358">
        <v>2</v>
      </c>
      <c r="I173" s="517" t="s">
        <v>705</v>
      </c>
      <c r="J173" s="359">
        <v>12.29</v>
      </c>
      <c r="K173" s="360"/>
      <c r="L173" s="361">
        <f>SUMIFS('[36]frm P6'!$J:$J,'[36]frm P6'!D:D,[36]Schedule!B173,'[36]frm P6'!E:E,[36]Schedule!C173,'[36]frm P6'!F:F,[36]Schedule!D173,'[36]frm P6'!G:G,[36]Schedule!$K$138,'[36]frm P6'!H:H,[36]Schedule!F173)</f>
        <v>46472</v>
      </c>
      <c r="M173" s="361">
        <f>SUMIFS('[36]frm P6'!$K:$K,'[36]frm P6'!D:D,[36]Schedule!B173,'[36]frm P6'!E:E,[36]Schedule!C173,'[36]frm P6'!F:F,[36]Schedule!D173,'[36]frm P6'!G:G,[36]Schedule!$K$138,'[36]frm P6'!H:H,[36]Schedule!F173)</f>
        <v>46473</v>
      </c>
      <c r="N173" s="362">
        <f t="shared" si="110"/>
        <v>2</v>
      </c>
      <c r="O173" s="273"/>
      <c r="P173" s="273"/>
      <c r="Q173" s="273"/>
      <c r="R173" s="363"/>
      <c r="S173" s="364"/>
      <c r="T173" s="365"/>
      <c r="U173" s="366"/>
      <c r="V173" s="366"/>
      <c r="W173" s="367"/>
      <c r="X173" s="368" t="s">
        <v>80</v>
      </c>
      <c r="Y173" s="368"/>
      <c r="Z173" s="369"/>
      <c r="AA173" s="368" t="s">
        <v>424</v>
      </c>
      <c r="AB173" s="368" t="s">
        <v>424</v>
      </c>
      <c r="AC173" s="362" t="s">
        <v>424</v>
      </c>
      <c r="AD173" s="274"/>
      <c r="AE173" s="273"/>
      <c r="AF173" s="273"/>
      <c r="AG173" s="420" t="s">
        <v>424</v>
      </c>
      <c r="AH173" s="368" t="s">
        <v>424</v>
      </c>
      <c r="AI173" s="369" t="s">
        <v>424</v>
      </c>
      <c r="AJ173" s="273"/>
      <c r="AK173" s="273"/>
      <c r="AL173" s="273"/>
      <c r="AM173" s="420" t="s">
        <v>424</v>
      </c>
      <c r="AN173" s="368" t="s">
        <v>424</v>
      </c>
      <c r="AO173" s="362" t="s">
        <v>424</v>
      </c>
      <c r="AP173" s="273"/>
      <c r="AQ173" s="273"/>
      <c r="AR173" s="372">
        <v>4</v>
      </c>
      <c r="AS173" s="368">
        <f>L173-10</f>
        <v>46462</v>
      </c>
      <c r="AT173" s="368">
        <f>AS173-210</f>
        <v>46252</v>
      </c>
      <c r="AU173" s="377">
        <f t="shared" si="116"/>
        <v>46222</v>
      </c>
      <c r="AV173" s="368">
        <f t="shared" si="117"/>
        <v>46468</v>
      </c>
      <c r="AW173" s="368">
        <f t="shared" si="115"/>
        <v>46458</v>
      </c>
      <c r="AX173" s="378"/>
      <c r="AY173" s="368"/>
      <c r="AZ173" s="362"/>
      <c r="BA173" s="375"/>
      <c r="BB173" s="487"/>
      <c r="BE173" s="277"/>
      <c r="BF173" s="278"/>
    </row>
    <row r="174" spans="1:58" s="269" customFormat="1" ht="23.45" customHeight="1">
      <c r="A174" s="270"/>
      <c r="B174" s="357" t="s">
        <v>578</v>
      </c>
      <c r="C174" s="357" t="s">
        <v>730</v>
      </c>
      <c r="D174" s="357" t="s">
        <v>700</v>
      </c>
      <c r="E174" s="357"/>
      <c r="F174" s="357" t="s">
        <v>645</v>
      </c>
      <c r="G174" s="357" t="str">
        <f>F174&amp;C174</f>
        <v>02TV-10002</v>
      </c>
      <c r="H174" s="358">
        <v>3</v>
      </c>
      <c r="I174" s="517" t="s">
        <v>731</v>
      </c>
      <c r="J174" s="359">
        <v>0.35</v>
      </c>
      <c r="K174" s="360"/>
      <c r="L174" s="361">
        <f>SUMIFS('[36]frm P6'!$J:$J,'[36]frm P6'!D:D,[36]Schedule!B174,'[36]frm P6'!E:E,[36]Schedule!C174,'[36]frm P6'!F:F,[36]Schedule!D174,'[36]frm P6'!G:G,[36]Schedule!$K$138,'[36]frm P6'!H:H,[36]Schedule!F174)</f>
        <v>46472</v>
      </c>
      <c r="M174" s="361">
        <f>SUMIFS('[36]frm P6'!$K:$K,'[36]frm P6'!D:D,[36]Schedule!B174,'[36]frm P6'!E:E,[36]Schedule!C174,'[36]frm P6'!F:F,[36]Schedule!D174,'[36]frm P6'!G:G,[36]Schedule!$K$138,'[36]frm P6'!H:H,[36]Schedule!F174)</f>
        <v>46486</v>
      </c>
      <c r="N174" s="362">
        <f t="shared" si="110"/>
        <v>15</v>
      </c>
      <c r="O174" s="273"/>
      <c r="P174" s="273"/>
      <c r="Q174" s="273"/>
      <c r="R174" s="363"/>
      <c r="S174" s="364"/>
      <c r="T174" s="365"/>
      <c r="U174" s="366"/>
      <c r="V174" s="366"/>
      <c r="W174" s="367"/>
      <c r="X174" s="368" t="s">
        <v>80</v>
      </c>
      <c r="Y174" s="368"/>
      <c r="Z174" s="369"/>
      <c r="AA174" s="368" t="s">
        <v>424</v>
      </c>
      <c r="AB174" s="368" t="s">
        <v>424</v>
      </c>
      <c r="AC174" s="362" t="s">
        <v>424</v>
      </c>
      <c r="AD174" s="274"/>
      <c r="AE174" s="273"/>
      <c r="AF174" s="273"/>
      <c r="AG174" s="420" t="s">
        <v>424</v>
      </c>
      <c r="AH174" s="368" t="s">
        <v>424</v>
      </c>
      <c r="AI174" s="369" t="s">
        <v>424</v>
      </c>
      <c r="AJ174" s="273"/>
      <c r="AK174" s="273"/>
      <c r="AL174" s="273"/>
      <c r="AM174" s="420" t="s">
        <v>424</v>
      </c>
      <c r="AN174" s="368" t="s">
        <v>424</v>
      </c>
      <c r="AO174" s="362" t="s">
        <v>424</v>
      </c>
      <c r="AP174" s="273"/>
      <c r="AQ174" s="273"/>
      <c r="AR174" s="372">
        <v>3</v>
      </c>
      <c r="AS174" s="368">
        <f>L174-10</f>
        <v>46462</v>
      </c>
      <c r="AT174" s="368">
        <f>AS174-180</f>
        <v>46282</v>
      </c>
      <c r="AU174" s="377">
        <f t="shared" si="116"/>
        <v>46252</v>
      </c>
      <c r="AV174" s="368">
        <f t="shared" si="117"/>
        <v>46468</v>
      </c>
      <c r="AW174" s="368">
        <f t="shared" si="115"/>
        <v>46458</v>
      </c>
      <c r="AX174" s="378"/>
      <c r="AY174" s="368"/>
      <c r="AZ174" s="362"/>
      <c r="BA174" s="375"/>
      <c r="BB174" s="487"/>
      <c r="BE174" s="277"/>
      <c r="BF174" s="278"/>
    </row>
    <row r="175" spans="1:58" s="269" customFormat="1" ht="23.45" customHeight="1">
      <c r="A175" s="270"/>
      <c r="B175" s="357" t="s">
        <v>578</v>
      </c>
      <c r="C175" s="357" t="s">
        <v>732</v>
      </c>
      <c r="D175" s="357" t="s">
        <v>700</v>
      </c>
      <c r="E175" s="357"/>
      <c r="F175" s="357" t="s">
        <v>645</v>
      </c>
      <c r="G175" s="357"/>
      <c r="H175" s="358">
        <v>4</v>
      </c>
      <c r="I175" s="517" t="s">
        <v>733</v>
      </c>
      <c r="J175" s="359">
        <v>15</v>
      </c>
      <c r="K175" s="360"/>
      <c r="L175" s="361">
        <f>SUMIFS('[36]frm P6'!$J:$J,'[36]frm P6'!D:D,[36]Schedule!B175,'[36]frm P6'!E:E,[36]Schedule!C175,'[36]frm P6'!F:F,[36]Schedule!D175,'[36]frm P6'!G:G,[36]Schedule!$K$138,'[36]frm P6'!H:H,[36]Schedule!F175)</f>
        <v>46472</v>
      </c>
      <c r="M175" s="361">
        <f>SUMIFS('[36]frm P6'!$K:$K,'[36]frm P6'!D:D,[36]Schedule!B175,'[36]frm P6'!E:E,[36]Schedule!C175,'[36]frm P6'!F:F,[36]Schedule!D175,'[36]frm P6'!G:G,[36]Schedule!$K$138,'[36]frm P6'!H:H,[36]Schedule!F175)</f>
        <v>46496</v>
      </c>
      <c r="N175" s="362">
        <f t="shared" si="110"/>
        <v>25</v>
      </c>
      <c r="O175" s="273"/>
      <c r="P175" s="273"/>
      <c r="Q175" s="273"/>
      <c r="R175" s="363"/>
      <c r="S175" s="364"/>
      <c r="T175" s="365"/>
      <c r="U175" s="366"/>
      <c r="V175" s="366"/>
      <c r="W175" s="367"/>
      <c r="X175" s="368" t="s">
        <v>80</v>
      </c>
      <c r="Y175" s="368"/>
      <c r="Z175" s="369"/>
      <c r="AA175" s="368" t="s">
        <v>424</v>
      </c>
      <c r="AB175" s="368" t="s">
        <v>424</v>
      </c>
      <c r="AC175" s="362" t="s">
        <v>424</v>
      </c>
      <c r="AD175" s="274"/>
      <c r="AE175" s="273"/>
      <c r="AF175" s="273"/>
      <c r="AG175" s="420" t="s">
        <v>424</v>
      </c>
      <c r="AH175" s="368" t="s">
        <v>424</v>
      </c>
      <c r="AI175" s="369" t="s">
        <v>424</v>
      </c>
      <c r="AJ175" s="273"/>
      <c r="AK175" s="273"/>
      <c r="AL175" s="273"/>
      <c r="AM175" s="420" t="s">
        <v>424</v>
      </c>
      <c r="AN175" s="368" t="s">
        <v>424</v>
      </c>
      <c r="AO175" s="362" t="s">
        <v>424</v>
      </c>
      <c r="AP175" s="273"/>
      <c r="AQ175" s="273"/>
      <c r="AR175" s="372">
        <v>9</v>
      </c>
      <c r="AS175" s="368">
        <f>L175-20</f>
        <v>46452</v>
      </c>
      <c r="AT175" s="368">
        <f>AS175-192</f>
        <v>46260</v>
      </c>
      <c r="AU175" s="377">
        <f t="shared" si="116"/>
        <v>46230</v>
      </c>
      <c r="AV175" s="368">
        <f t="shared" si="117"/>
        <v>46468</v>
      </c>
      <c r="AW175" s="368">
        <f t="shared" si="115"/>
        <v>46458</v>
      </c>
      <c r="AX175" s="378"/>
      <c r="AY175" s="368"/>
      <c r="AZ175" s="362"/>
      <c r="BA175" s="375"/>
      <c r="BB175" s="487"/>
      <c r="BE175" s="277"/>
      <c r="BF175" s="278"/>
    </row>
    <row r="176" spans="1:58" s="269" customFormat="1" ht="23.45" customHeight="1">
      <c r="A176" s="270"/>
      <c r="B176" s="357" t="s">
        <v>578</v>
      </c>
      <c r="C176" s="357" t="s">
        <v>706</v>
      </c>
      <c r="D176" s="357" t="s">
        <v>700</v>
      </c>
      <c r="E176" s="357"/>
      <c r="F176" s="357" t="s">
        <v>645</v>
      </c>
      <c r="G176" s="357"/>
      <c r="H176" s="358">
        <v>6</v>
      </c>
      <c r="I176" s="517" t="s">
        <v>734</v>
      </c>
      <c r="J176" s="359">
        <v>47.95</v>
      </c>
      <c r="K176" s="360"/>
      <c r="L176" s="361">
        <f>SUMIFS('[36]frm P6'!$J:$J,'[36]frm P6'!D:D,[36]Schedule!B176,'[36]frm P6'!E:E,[36]Schedule!C176,'[36]frm P6'!F:F,[36]Schedule!D176,'[36]frm P6'!G:G,[36]Schedule!$K$138,'[36]frm P6'!H:H,[36]Schedule!F176)</f>
        <v>46472</v>
      </c>
      <c r="M176" s="361">
        <f>SUMIFS('[36]frm P6'!$K:$K,'[36]frm P6'!D:D,[36]Schedule!B176,'[36]frm P6'!E:E,[36]Schedule!C176,'[36]frm P6'!F:F,[36]Schedule!D176,'[36]frm P6'!G:G,[36]Schedule!$K$138,'[36]frm P6'!H:H,[36]Schedule!F176)</f>
        <v>46473</v>
      </c>
      <c r="N176" s="362">
        <f t="shared" si="110"/>
        <v>2</v>
      </c>
      <c r="O176" s="273"/>
      <c r="P176" s="273"/>
      <c r="Q176" s="273"/>
      <c r="R176" s="363"/>
      <c r="S176" s="364"/>
      <c r="T176" s="365"/>
      <c r="U176" s="366"/>
      <c r="V176" s="366"/>
      <c r="W176" s="367"/>
      <c r="X176" s="368" t="s">
        <v>80</v>
      </c>
      <c r="Y176" s="368"/>
      <c r="Z176" s="369"/>
      <c r="AA176" s="368" t="s">
        <v>424</v>
      </c>
      <c r="AB176" s="368" t="s">
        <v>424</v>
      </c>
      <c r="AC176" s="362" t="s">
        <v>424</v>
      </c>
      <c r="AD176" s="274"/>
      <c r="AE176" s="273"/>
      <c r="AF176" s="273"/>
      <c r="AG176" s="420" t="s">
        <v>424</v>
      </c>
      <c r="AH176" s="368" t="s">
        <v>424</v>
      </c>
      <c r="AI176" s="369" t="s">
        <v>424</v>
      </c>
      <c r="AJ176" s="273"/>
      <c r="AK176" s="273"/>
      <c r="AL176" s="273"/>
      <c r="AM176" s="420" t="s">
        <v>424</v>
      </c>
      <c r="AN176" s="368" t="s">
        <v>424</v>
      </c>
      <c r="AO176" s="362" t="s">
        <v>424</v>
      </c>
      <c r="AP176" s="273"/>
      <c r="AQ176" s="273"/>
      <c r="AR176" s="372">
        <v>4</v>
      </c>
      <c r="AS176" s="368">
        <f>L176-20</f>
        <v>46452</v>
      </c>
      <c r="AT176" s="368">
        <f>AS176-210</f>
        <v>46242</v>
      </c>
      <c r="AU176" s="377">
        <f t="shared" si="116"/>
        <v>46212</v>
      </c>
      <c r="AV176" s="368">
        <f t="shared" si="117"/>
        <v>46468</v>
      </c>
      <c r="AW176" s="368">
        <f t="shared" si="115"/>
        <v>46458</v>
      </c>
      <c r="AX176" s="378"/>
      <c r="AY176" s="368"/>
      <c r="AZ176" s="362"/>
      <c r="BA176" s="375"/>
      <c r="BB176" s="487"/>
      <c r="BE176" s="277"/>
      <c r="BF176" s="278"/>
    </row>
    <row r="177" spans="1:58" s="269" customFormat="1" ht="23.45" customHeight="1">
      <c r="A177" s="270"/>
      <c r="B177" s="357" t="s">
        <v>578</v>
      </c>
      <c r="C177" s="357" t="s">
        <v>735</v>
      </c>
      <c r="D177" s="357" t="s">
        <v>700</v>
      </c>
      <c r="E177" s="357"/>
      <c r="F177" s="357" t="s">
        <v>645</v>
      </c>
      <c r="G177" s="357" t="str">
        <f>F177&amp;C177</f>
        <v>02TV-11003</v>
      </c>
      <c r="H177" s="358">
        <v>1</v>
      </c>
      <c r="I177" s="517" t="s">
        <v>736</v>
      </c>
      <c r="J177" s="359">
        <v>8</v>
      </c>
      <c r="K177" s="360"/>
      <c r="L177" s="361">
        <f>SUMIFS('[36]frm P6'!$J:$J,'[36]frm P6'!D:D,[36]Schedule!B177,'[36]frm P6'!E:E,[36]Schedule!C177,'[36]frm P6'!F:F,[36]Schedule!D177,'[36]frm P6'!G:G,[36]Schedule!$K$138,'[36]frm P6'!H:H,[36]Schedule!F177)</f>
        <v>46473</v>
      </c>
      <c r="M177" s="361">
        <f>SUMIFS('[36]frm P6'!$K:$K,'[36]frm P6'!D:D,[36]Schedule!B177,'[36]frm P6'!E:E,[36]Schedule!C177,'[36]frm P6'!F:F,[36]Schedule!D177,'[36]frm P6'!G:G,[36]Schedule!$K$138,'[36]frm P6'!H:H,[36]Schedule!F177)</f>
        <v>46489</v>
      </c>
      <c r="N177" s="362">
        <f t="shared" si="110"/>
        <v>17</v>
      </c>
      <c r="O177" s="273"/>
      <c r="P177" s="273"/>
      <c r="Q177" s="273"/>
      <c r="R177" s="363"/>
      <c r="S177" s="364"/>
      <c r="T177" s="365"/>
      <c r="U177" s="366"/>
      <c r="V177" s="366"/>
      <c r="W177" s="367"/>
      <c r="X177" s="368" t="s">
        <v>80</v>
      </c>
      <c r="Y177" s="368"/>
      <c r="Z177" s="369"/>
      <c r="AA177" s="368" t="s">
        <v>424</v>
      </c>
      <c r="AB177" s="368" t="s">
        <v>424</v>
      </c>
      <c r="AC177" s="362" t="s">
        <v>424</v>
      </c>
      <c r="AD177" s="274"/>
      <c r="AE177" s="273"/>
      <c r="AF177" s="273"/>
      <c r="AG177" s="420" t="s">
        <v>424</v>
      </c>
      <c r="AH177" s="368" t="s">
        <v>424</v>
      </c>
      <c r="AI177" s="369" t="s">
        <v>424</v>
      </c>
      <c r="AJ177" s="273"/>
      <c r="AK177" s="273"/>
      <c r="AL177" s="273"/>
      <c r="AM177" s="420" t="s">
        <v>424</v>
      </c>
      <c r="AN177" s="368" t="s">
        <v>424</v>
      </c>
      <c r="AO177" s="362" t="s">
        <v>424</v>
      </c>
      <c r="AP177" s="273"/>
      <c r="AQ177" s="273"/>
      <c r="AR177" s="372">
        <v>8</v>
      </c>
      <c r="AS177" s="368">
        <f>L177-20</f>
        <v>46453</v>
      </c>
      <c r="AT177" s="368">
        <f>AS177-182</f>
        <v>46271</v>
      </c>
      <c r="AU177" s="377">
        <f t="shared" si="116"/>
        <v>46241</v>
      </c>
      <c r="AV177" s="368">
        <f t="shared" si="117"/>
        <v>46469</v>
      </c>
      <c r="AW177" s="368">
        <f t="shared" si="115"/>
        <v>46459</v>
      </c>
      <c r="AX177" s="378"/>
      <c r="AY177" s="368"/>
      <c r="AZ177" s="362"/>
      <c r="BA177" s="375"/>
      <c r="BB177" s="487"/>
      <c r="BE177" s="277"/>
      <c r="BF177" s="278"/>
    </row>
    <row r="178" spans="1:58" s="269" customFormat="1" ht="23.45" customHeight="1">
      <c r="A178" s="270"/>
      <c r="B178" s="357" t="s">
        <v>578</v>
      </c>
      <c r="C178" s="357" t="s">
        <v>737</v>
      </c>
      <c r="D178" s="357" t="s">
        <v>700</v>
      </c>
      <c r="E178" s="357"/>
      <c r="F178" s="357" t="s">
        <v>645</v>
      </c>
      <c r="G178" s="357" t="str">
        <f>F178&amp;C178</f>
        <v>02TSK11001</v>
      </c>
      <c r="H178" s="358">
        <v>2</v>
      </c>
      <c r="I178" s="517" t="s">
        <v>738</v>
      </c>
      <c r="J178" s="359">
        <v>2.5</v>
      </c>
      <c r="K178" s="360"/>
      <c r="L178" s="361">
        <f>SUMIFS('[36]frm P6'!$J:$J,'[36]frm P6'!D:D,[36]Schedule!B178,'[36]frm P6'!E:E,[36]Schedule!C178,'[36]frm P6'!F:F,[36]Schedule!D178,'[36]frm P6'!G:G,[36]Schedule!$K$138,'[36]frm P6'!H:H,[36]Schedule!F178)</f>
        <v>46472</v>
      </c>
      <c r="M178" s="361">
        <f>SUMIFS('[36]frm P6'!$K:$K,'[36]frm P6'!D:D,[36]Schedule!B178,'[36]frm P6'!E:E,[36]Schedule!C178,'[36]frm P6'!F:F,[36]Schedule!D178,'[36]frm P6'!G:G,[36]Schedule!$K$138,'[36]frm P6'!H:H,[36]Schedule!F178)</f>
        <v>46486</v>
      </c>
      <c r="N178" s="362">
        <f t="shared" si="110"/>
        <v>15</v>
      </c>
      <c r="O178" s="273"/>
      <c r="P178" s="273"/>
      <c r="Q178" s="273"/>
      <c r="R178" s="363"/>
      <c r="S178" s="364"/>
      <c r="T178" s="365"/>
      <c r="U178" s="366"/>
      <c r="V178" s="366"/>
      <c r="W178" s="367"/>
      <c r="X178" s="368" t="s">
        <v>80</v>
      </c>
      <c r="Y178" s="368"/>
      <c r="Z178" s="369"/>
      <c r="AA178" s="368" t="s">
        <v>424</v>
      </c>
      <c r="AB178" s="368" t="s">
        <v>424</v>
      </c>
      <c r="AC178" s="362" t="s">
        <v>424</v>
      </c>
      <c r="AD178" s="274"/>
      <c r="AE178" s="273"/>
      <c r="AF178" s="273"/>
      <c r="AG178" s="420" t="s">
        <v>424</v>
      </c>
      <c r="AH178" s="368" t="s">
        <v>424</v>
      </c>
      <c r="AI178" s="369" t="s">
        <v>424</v>
      </c>
      <c r="AJ178" s="273"/>
      <c r="AK178" s="273"/>
      <c r="AL178" s="273"/>
      <c r="AM178" s="420" t="s">
        <v>424</v>
      </c>
      <c r="AN178" s="368" t="s">
        <v>424</v>
      </c>
      <c r="AO178" s="362" t="s">
        <v>424</v>
      </c>
      <c r="AP178" s="273"/>
      <c r="AQ178" s="273"/>
      <c r="AR178" s="372">
        <v>5</v>
      </c>
      <c r="AS178" s="368">
        <f>L178-10</f>
        <v>46462</v>
      </c>
      <c r="AT178" s="368">
        <f>AS178-224</f>
        <v>46238</v>
      </c>
      <c r="AU178" s="377">
        <f t="shared" si="116"/>
        <v>46208</v>
      </c>
      <c r="AV178" s="368">
        <f t="shared" si="117"/>
        <v>46468</v>
      </c>
      <c r="AW178" s="368">
        <f t="shared" si="115"/>
        <v>46458</v>
      </c>
      <c r="AX178" s="378"/>
      <c r="AY178" s="368"/>
      <c r="AZ178" s="362"/>
      <c r="BA178" s="375"/>
      <c r="BB178" s="487"/>
      <c r="BE178" s="277"/>
      <c r="BF178" s="278"/>
    </row>
    <row r="179" spans="1:58" s="269" customFormat="1" ht="23.45" customHeight="1">
      <c r="A179" s="270"/>
      <c r="B179" s="357" t="s">
        <v>578</v>
      </c>
      <c r="C179" s="357" t="s">
        <v>739</v>
      </c>
      <c r="D179" s="357" t="s">
        <v>700</v>
      </c>
      <c r="E179" s="357"/>
      <c r="F179" s="357" t="s">
        <v>645</v>
      </c>
      <c r="G179" s="357"/>
      <c r="H179" s="358">
        <v>3</v>
      </c>
      <c r="I179" s="517" t="s">
        <v>740</v>
      </c>
      <c r="J179" s="359">
        <v>1</v>
      </c>
      <c r="K179" s="360"/>
      <c r="L179" s="361">
        <f>SUMIFS('[36]frm P6'!$J:$J,'[36]frm P6'!D:D,[36]Schedule!B179,'[36]frm P6'!E:E,[36]Schedule!C179,'[36]frm P6'!F:F,[36]Schedule!D179,'[36]frm P6'!G:G,[36]Schedule!$K$138,'[36]frm P6'!H:H,[36]Schedule!F179)</f>
        <v>46472</v>
      </c>
      <c r="M179" s="361">
        <f>SUMIFS('[36]frm P6'!$K:$K,'[36]frm P6'!D:D,[36]Schedule!B179,'[36]frm P6'!E:E,[36]Schedule!C179,'[36]frm P6'!F:F,[36]Schedule!D179,'[36]frm P6'!G:G,[36]Schedule!$K$138,'[36]frm P6'!H:H,[36]Schedule!F179)</f>
        <v>46473</v>
      </c>
      <c r="N179" s="362">
        <f t="shared" si="110"/>
        <v>2</v>
      </c>
      <c r="O179" s="273"/>
      <c r="P179" s="273"/>
      <c r="Q179" s="273"/>
      <c r="R179" s="363"/>
      <c r="S179" s="364"/>
      <c r="T179" s="365"/>
      <c r="U179" s="366"/>
      <c r="V179" s="366"/>
      <c r="W179" s="367"/>
      <c r="X179" s="368" t="s">
        <v>80</v>
      </c>
      <c r="Y179" s="368"/>
      <c r="Z179" s="369"/>
      <c r="AA179" s="368" t="s">
        <v>424</v>
      </c>
      <c r="AB179" s="368" t="s">
        <v>424</v>
      </c>
      <c r="AC179" s="362" t="s">
        <v>424</v>
      </c>
      <c r="AD179" s="274"/>
      <c r="AE179" s="273"/>
      <c r="AF179" s="273"/>
      <c r="AG179" s="420" t="s">
        <v>424</v>
      </c>
      <c r="AH179" s="368" t="s">
        <v>424</v>
      </c>
      <c r="AI179" s="369" t="s">
        <v>424</v>
      </c>
      <c r="AJ179" s="273"/>
      <c r="AK179" s="273"/>
      <c r="AL179" s="273"/>
      <c r="AM179" s="420" t="s">
        <v>424</v>
      </c>
      <c r="AN179" s="368" t="s">
        <v>424</v>
      </c>
      <c r="AO179" s="362" t="s">
        <v>424</v>
      </c>
      <c r="AP179" s="273"/>
      <c r="AQ179" s="273"/>
      <c r="AR179" s="372">
        <v>6</v>
      </c>
      <c r="AS179" s="368">
        <f>L179-10</f>
        <v>46462</v>
      </c>
      <c r="AT179" s="368">
        <f>AS179-238</f>
        <v>46224</v>
      </c>
      <c r="AU179" s="377">
        <f t="shared" si="116"/>
        <v>46194</v>
      </c>
      <c r="AV179" s="368">
        <f t="shared" si="117"/>
        <v>46468</v>
      </c>
      <c r="AW179" s="368">
        <f t="shared" si="115"/>
        <v>46458</v>
      </c>
      <c r="AX179" s="378"/>
      <c r="AY179" s="368"/>
      <c r="AZ179" s="362"/>
      <c r="BA179" s="375"/>
      <c r="BB179" s="487"/>
      <c r="BE179" s="277"/>
      <c r="BF179" s="278"/>
    </row>
    <row r="180" spans="1:58" s="269" customFormat="1" ht="23.45" customHeight="1">
      <c r="A180" s="270"/>
      <c r="B180" s="357" t="s">
        <v>578</v>
      </c>
      <c r="C180" s="357" t="s">
        <v>710</v>
      </c>
      <c r="D180" s="357" t="s">
        <v>700</v>
      </c>
      <c r="E180" s="357"/>
      <c r="F180" s="357" t="s">
        <v>645</v>
      </c>
      <c r="G180" s="357"/>
      <c r="H180" s="358">
        <v>6</v>
      </c>
      <c r="I180" s="517" t="s">
        <v>711</v>
      </c>
      <c r="J180" s="359">
        <v>0.15</v>
      </c>
      <c r="K180" s="360"/>
      <c r="L180" s="361">
        <f>SUMIFS('[36]frm P6'!$J:$J,'[36]frm P6'!D:D,[36]Schedule!B180,'[36]frm P6'!E:E,[36]Schedule!C180,'[36]frm P6'!F:F,[36]Schedule!D180,'[36]frm P6'!G:G,[36]Schedule!$K$138,'[36]frm P6'!H:H,[36]Schedule!F180)</f>
        <v>46486</v>
      </c>
      <c r="M180" s="361">
        <f>SUMIFS('[36]frm P6'!$K:$K,'[36]frm P6'!D:D,[36]Schedule!B180,'[36]frm P6'!E:E,[36]Schedule!C180,'[36]frm P6'!F:F,[36]Schedule!D180,'[36]frm P6'!G:G,[36]Schedule!$K$138,'[36]frm P6'!H:H,[36]Schedule!F180)</f>
        <v>46487</v>
      </c>
      <c r="N180" s="362">
        <f t="shared" si="110"/>
        <v>2</v>
      </c>
      <c r="O180" s="273"/>
      <c r="P180" s="273"/>
      <c r="Q180" s="273"/>
      <c r="R180" s="363"/>
      <c r="S180" s="364"/>
      <c r="T180" s="365"/>
      <c r="U180" s="366"/>
      <c r="V180" s="366"/>
      <c r="W180" s="367"/>
      <c r="X180" s="368" t="s">
        <v>80</v>
      </c>
      <c r="Y180" s="368"/>
      <c r="Z180" s="369"/>
      <c r="AA180" s="368" t="s">
        <v>424</v>
      </c>
      <c r="AB180" s="368" t="s">
        <v>424</v>
      </c>
      <c r="AC180" s="362" t="s">
        <v>424</v>
      </c>
      <c r="AD180" s="274"/>
      <c r="AE180" s="273"/>
      <c r="AF180" s="273"/>
      <c r="AG180" s="420" t="s">
        <v>424</v>
      </c>
      <c r="AH180" s="368" t="s">
        <v>424</v>
      </c>
      <c r="AI180" s="369" t="s">
        <v>424</v>
      </c>
      <c r="AJ180" s="273"/>
      <c r="AK180" s="273"/>
      <c r="AL180" s="273"/>
      <c r="AM180" s="420" t="s">
        <v>424</v>
      </c>
      <c r="AN180" s="368" t="s">
        <v>424</v>
      </c>
      <c r="AO180" s="362" t="s">
        <v>424</v>
      </c>
      <c r="AP180" s="273"/>
      <c r="AQ180" s="273"/>
      <c r="AR180" s="372">
        <v>15</v>
      </c>
      <c r="AS180" s="368">
        <f>L180-10</f>
        <v>46476</v>
      </c>
      <c r="AT180" s="368">
        <f>AS180-224</f>
        <v>46252</v>
      </c>
      <c r="AU180" s="377">
        <f t="shared" si="116"/>
        <v>46222</v>
      </c>
      <c r="AV180" s="368">
        <f t="shared" si="117"/>
        <v>46482</v>
      </c>
      <c r="AW180" s="368">
        <f t="shared" si="115"/>
        <v>46472</v>
      </c>
      <c r="AX180" s="378"/>
      <c r="AY180" s="368"/>
      <c r="AZ180" s="362"/>
      <c r="BA180" s="375"/>
      <c r="BB180" s="487"/>
      <c r="BE180" s="277"/>
      <c r="BF180" s="278"/>
    </row>
    <row r="181" spans="1:58" s="269" customFormat="1" ht="23.45" customHeight="1">
      <c r="A181" s="270"/>
      <c r="B181" s="357" t="s">
        <v>578</v>
      </c>
      <c r="C181" s="357" t="s">
        <v>719</v>
      </c>
      <c r="D181" s="357" t="s">
        <v>700</v>
      </c>
      <c r="E181" s="357"/>
      <c r="F181" s="357" t="s">
        <v>645</v>
      </c>
      <c r="G181" s="357"/>
      <c r="H181" s="358">
        <v>1</v>
      </c>
      <c r="I181" s="517" t="s">
        <v>741</v>
      </c>
      <c r="J181" s="359">
        <v>6.5</v>
      </c>
      <c r="K181" s="360"/>
      <c r="L181" s="361">
        <f>SUMIFS('[36]frm P6'!$J:$J,'[36]frm P6'!D:D,[36]Schedule!B181,'[36]frm P6'!E:E,[36]Schedule!C181,'[36]frm P6'!F:F,[36]Schedule!D181,'[36]frm P6'!G:G,[36]Schedule!$K$138,'[36]frm P6'!H:H,[36]Schedule!F181)</f>
        <v>46500</v>
      </c>
      <c r="M181" s="361">
        <f>SUMIFS('[36]frm P6'!$K:$K,'[36]frm P6'!D:D,[36]Schedule!B181,'[36]frm P6'!E:E,[36]Schedule!C181,'[36]frm P6'!F:F,[36]Schedule!D181,'[36]frm P6'!G:G,[36]Schedule!$K$138,'[36]frm P6'!H:H,[36]Schedule!F181)</f>
        <v>46503</v>
      </c>
      <c r="N181" s="362">
        <f t="shared" si="110"/>
        <v>4</v>
      </c>
      <c r="O181" s="273"/>
      <c r="P181" s="273"/>
      <c r="Q181" s="273"/>
      <c r="R181" s="363"/>
      <c r="S181" s="364"/>
      <c r="T181" s="365"/>
      <c r="U181" s="366"/>
      <c r="V181" s="366"/>
      <c r="W181" s="367"/>
      <c r="X181" s="368" t="s">
        <v>80</v>
      </c>
      <c r="Y181" s="368"/>
      <c r="Z181" s="369"/>
      <c r="AA181" s="368" t="s">
        <v>424</v>
      </c>
      <c r="AB181" s="368" t="s">
        <v>424</v>
      </c>
      <c r="AC181" s="362" t="s">
        <v>424</v>
      </c>
      <c r="AD181" s="274"/>
      <c r="AE181" s="273"/>
      <c r="AF181" s="273"/>
      <c r="AG181" s="420" t="s">
        <v>424</v>
      </c>
      <c r="AH181" s="368" t="s">
        <v>424</v>
      </c>
      <c r="AI181" s="369" t="s">
        <v>424</v>
      </c>
      <c r="AJ181" s="273"/>
      <c r="AK181" s="273"/>
      <c r="AL181" s="273"/>
      <c r="AM181" s="420" t="s">
        <v>424</v>
      </c>
      <c r="AN181" s="368" t="s">
        <v>424</v>
      </c>
      <c r="AO181" s="362" t="s">
        <v>424</v>
      </c>
      <c r="AP181" s="273"/>
      <c r="AQ181" s="273"/>
      <c r="AR181" s="372">
        <v>5</v>
      </c>
      <c r="AS181" s="368">
        <f>L181-10</f>
        <v>46490</v>
      </c>
      <c r="AT181" s="368">
        <f>AS181-224</f>
        <v>46266</v>
      </c>
      <c r="AU181" s="377">
        <f t="shared" si="116"/>
        <v>46236</v>
      </c>
      <c r="AV181" s="368">
        <f t="shared" si="117"/>
        <v>46496</v>
      </c>
      <c r="AW181" s="368">
        <f t="shared" si="115"/>
        <v>46486</v>
      </c>
      <c r="AX181" s="378"/>
      <c r="AY181" s="368"/>
      <c r="AZ181" s="362"/>
      <c r="BA181" s="375"/>
      <c r="BB181" s="487"/>
      <c r="BE181" s="277"/>
      <c r="BF181" s="278"/>
    </row>
    <row r="182" spans="1:58" s="269" customFormat="1" ht="23.45" customHeight="1">
      <c r="A182" s="270"/>
      <c r="B182" s="357" t="s">
        <v>578</v>
      </c>
      <c r="C182" s="357" t="s">
        <v>712</v>
      </c>
      <c r="D182" s="357" t="s">
        <v>700</v>
      </c>
      <c r="E182" s="357"/>
      <c r="F182" s="357" t="s">
        <v>645</v>
      </c>
      <c r="G182" s="357"/>
      <c r="H182" s="358">
        <v>2</v>
      </c>
      <c r="I182" s="517" t="s">
        <v>742</v>
      </c>
      <c r="J182" s="359">
        <v>0.24</v>
      </c>
      <c r="K182" s="360"/>
      <c r="L182" s="361">
        <f>SUMIFS('[36]frm P6'!$J:$J,'[36]frm P6'!D:D,[36]Schedule!B182,'[36]frm P6'!E:E,[36]Schedule!C182,'[36]frm P6'!F:F,[36]Schedule!D182,'[36]frm P6'!G:G,[36]Schedule!$K$138,'[36]frm P6'!H:H,[36]Schedule!F182)</f>
        <v>46501</v>
      </c>
      <c r="M182" s="361">
        <f>SUMIFS('[36]frm P6'!$K:$K,'[36]frm P6'!D:D,[36]Schedule!B182,'[36]frm P6'!E:E,[36]Schedule!C182,'[36]frm P6'!F:F,[36]Schedule!D182,'[36]frm P6'!G:G,[36]Schedule!$K$138,'[36]frm P6'!H:H,[36]Schedule!F182)</f>
        <v>46504</v>
      </c>
      <c r="N182" s="362">
        <f t="shared" si="110"/>
        <v>4</v>
      </c>
      <c r="O182" s="273"/>
      <c r="P182" s="273"/>
      <c r="Q182" s="273"/>
      <c r="R182" s="363"/>
      <c r="S182" s="364"/>
      <c r="T182" s="365"/>
      <c r="U182" s="366"/>
      <c r="V182" s="366"/>
      <c r="W182" s="367"/>
      <c r="X182" s="368" t="s">
        <v>80</v>
      </c>
      <c r="Y182" s="368"/>
      <c r="Z182" s="369"/>
      <c r="AA182" s="368" t="s">
        <v>424</v>
      </c>
      <c r="AB182" s="368" t="s">
        <v>424</v>
      </c>
      <c r="AC182" s="362" t="s">
        <v>424</v>
      </c>
      <c r="AD182" s="274"/>
      <c r="AE182" s="273"/>
      <c r="AF182" s="273"/>
      <c r="AG182" s="420" t="s">
        <v>424</v>
      </c>
      <c r="AH182" s="368" t="s">
        <v>424</v>
      </c>
      <c r="AI182" s="369" t="s">
        <v>424</v>
      </c>
      <c r="AJ182" s="273"/>
      <c r="AK182" s="273"/>
      <c r="AL182" s="273"/>
      <c r="AM182" s="420" t="s">
        <v>424</v>
      </c>
      <c r="AN182" s="368" t="s">
        <v>424</v>
      </c>
      <c r="AO182" s="362" t="s">
        <v>424</v>
      </c>
      <c r="AP182" s="273"/>
      <c r="AQ182" s="273"/>
      <c r="AR182" s="372"/>
      <c r="AS182" s="368">
        <f>L182-20</f>
        <v>46481</v>
      </c>
      <c r="AT182" s="368">
        <f t="shared" ref="AT182:AT186" si="118">AS182-168</f>
        <v>46313</v>
      </c>
      <c r="AU182" s="377">
        <f t="shared" si="116"/>
        <v>46283</v>
      </c>
      <c r="AV182" s="368">
        <f t="shared" si="117"/>
        <v>46497</v>
      </c>
      <c r="AW182" s="368">
        <f t="shared" si="115"/>
        <v>46487</v>
      </c>
      <c r="AX182" s="378"/>
      <c r="AY182" s="368"/>
      <c r="AZ182" s="362"/>
      <c r="BA182" s="375"/>
      <c r="BB182" s="487"/>
      <c r="BE182" s="277"/>
      <c r="BF182" s="278"/>
    </row>
    <row r="183" spans="1:58" s="269" customFormat="1" ht="23.45" customHeight="1">
      <c r="A183" s="270"/>
      <c r="B183" s="357" t="s">
        <v>578</v>
      </c>
      <c r="C183" s="357" t="s">
        <v>715</v>
      </c>
      <c r="D183" s="357" t="s">
        <v>700</v>
      </c>
      <c r="E183" s="357"/>
      <c r="F183" s="357" t="s">
        <v>645</v>
      </c>
      <c r="G183" s="357"/>
      <c r="H183" s="358">
        <v>3</v>
      </c>
      <c r="I183" s="517" t="s">
        <v>743</v>
      </c>
      <c r="J183" s="359">
        <v>0.5</v>
      </c>
      <c r="K183" s="360"/>
      <c r="L183" s="361">
        <f>SUMIFS('[36]frm P6'!$J:$J,'[36]frm P6'!D:D,[36]Schedule!B183,'[36]frm P6'!E:E,[36]Schedule!C183,'[36]frm P6'!F:F,[36]Schedule!D183,'[36]frm P6'!G:G,[36]Schedule!$K$138,'[36]frm P6'!H:H,[36]Schedule!F183)</f>
        <v>46501</v>
      </c>
      <c r="M183" s="361">
        <f>SUMIFS('[36]frm P6'!$K:$K,'[36]frm P6'!D:D,[36]Schedule!B183,'[36]frm P6'!E:E,[36]Schedule!C183,'[36]frm P6'!F:F,[36]Schedule!D183,'[36]frm P6'!G:G,[36]Schedule!$K$138,'[36]frm P6'!H:H,[36]Schedule!F183)</f>
        <v>46504</v>
      </c>
      <c r="N183" s="362">
        <f t="shared" si="110"/>
        <v>4</v>
      </c>
      <c r="O183" s="273"/>
      <c r="P183" s="273"/>
      <c r="Q183" s="273"/>
      <c r="R183" s="363"/>
      <c r="S183" s="364"/>
      <c r="T183" s="365"/>
      <c r="U183" s="366"/>
      <c r="V183" s="366"/>
      <c r="W183" s="367"/>
      <c r="X183" s="368" t="s">
        <v>714</v>
      </c>
      <c r="Y183" s="368"/>
      <c r="Z183" s="369"/>
      <c r="AA183" s="368" t="s">
        <v>424</v>
      </c>
      <c r="AB183" s="368" t="s">
        <v>424</v>
      </c>
      <c r="AC183" s="362" t="s">
        <v>424</v>
      </c>
      <c r="AD183" s="274"/>
      <c r="AE183" s="273"/>
      <c r="AF183" s="273"/>
      <c r="AG183" s="420" t="s">
        <v>424</v>
      </c>
      <c r="AH183" s="368" t="s">
        <v>424</v>
      </c>
      <c r="AI183" s="369" t="s">
        <v>424</v>
      </c>
      <c r="AJ183" s="273"/>
      <c r="AK183" s="273"/>
      <c r="AL183" s="273"/>
      <c r="AM183" s="420" t="s">
        <v>424</v>
      </c>
      <c r="AN183" s="368" t="s">
        <v>424</v>
      </c>
      <c r="AO183" s="362" t="s">
        <v>424</v>
      </c>
      <c r="AP183" s="273"/>
      <c r="AQ183" s="273"/>
      <c r="AR183" s="372"/>
      <c r="AS183" s="368">
        <f>L183-20</f>
        <v>46481</v>
      </c>
      <c r="AT183" s="368">
        <f t="shared" si="118"/>
        <v>46313</v>
      </c>
      <c r="AU183" s="377">
        <f t="shared" si="116"/>
        <v>46283</v>
      </c>
      <c r="AV183" s="368">
        <f t="shared" si="117"/>
        <v>46497</v>
      </c>
      <c r="AW183" s="368">
        <f t="shared" si="115"/>
        <v>46487</v>
      </c>
      <c r="AX183" s="378"/>
      <c r="AY183" s="368"/>
      <c r="AZ183" s="362"/>
      <c r="BA183" s="375"/>
      <c r="BB183" s="487"/>
      <c r="BE183" s="277"/>
      <c r="BF183" s="278"/>
    </row>
    <row r="184" spans="1:58" s="269" customFormat="1" ht="23.45" customHeight="1">
      <c r="A184" s="270"/>
      <c r="B184" s="357" t="s">
        <v>578</v>
      </c>
      <c r="C184" s="357" t="s">
        <v>717</v>
      </c>
      <c r="D184" s="357" t="s">
        <v>700</v>
      </c>
      <c r="E184" s="357"/>
      <c r="F184" s="357" t="s">
        <v>645</v>
      </c>
      <c r="G184" s="357" t="str">
        <f t="shared" ref="G184:G188" si="119">F184&amp;D184&amp;C184</f>
        <v>02TMAT7003</v>
      </c>
      <c r="H184" s="358">
        <v>4</v>
      </c>
      <c r="I184" s="517" t="s">
        <v>744</v>
      </c>
      <c r="J184" s="359">
        <v>0.24</v>
      </c>
      <c r="K184" s="360"/>
      <c r="L184" s="361">
        <f>SUMIFS('[36]frm P6'!$J:$J,'[36]frm P6'!D:D,[36]Schedule!B184,'[36]frm P6'!E:E,[36]Schedule!C184,'[36]frm P6'!F:F,[36]Schedule!D184,'[36]frm P6'!G:G,[36]Schedule!$K$138,'[36]frm P6'!H:H,[36]Schedule!F184)</f>
        <v>46503</v>
      </c>
      <c r="M184" s="361">
        <f>SUMIFS('[36]frm P6'!$K:$K,'[36]frm P6'!D:D,[36]Schedule!B184,'[36]frm P6'!E:E,[36]Schedule!C184,'[36]frm P6'!F:F,[36]Schedule!D184,'[36]frm P6'!G:G,[36]Schedule!$K$138,'[36]frm P6'!H:H,[36]Schedule!F184)</f>
        <v>46505</v>
      </c>
      <c r="N184" s="362">
        <f t="shared" si="110"/>
        <v>3</v>
      </c>
      <c r="O184" s="273"/>
      <c r="P184" s="273"/>
      <c r="Q184" s="273"/>
      <c r="R184" s="363"/>
      <c r="S184" s="364"/>
      <c r="T184" s="365"/>
      <c r="U184" s="366"/>
      <c r="V184" s="366"/>
      <c r="W184" s="367"/>
      <c r="X184" s="368" t="s">
        <v>714</v>
      </c>
      <c r="Y184" s="368"/>
      <c r="Z184" s="369"/>
      <c r="AA184" s="368" t="s">
        <v>424</v>
      </c>
      <c r="AB184" s="368" t="s">
        <v>424</v>
      </c>
      <c r="AC184" s="362" t="s">
        <v>424</v>
      </c>
      <c r="AD184" s="274"/>
      <c r="AE184" s="273"/>
      <c r="AF184" s="273"/>
      <c r="AG184" s="420" t="s">
        <v>424</v>
      </c>
      <c r="AH184" s="368" t="s">
        <v>424</v>
      </c>
      <c r="AI184" s="369" t="s">
        <v>424</v>
      </c>
      <c r="AJ184" s="273"/>
      <c r="AK184" s="273"/>
      <c r="AL184" s="273"/>
      <c r="AM184" s="420" t="s">
        <v>424</v>
      </c>
      <c r="AN184" s="368" t="s">
        <v>424</v>
      </c>
      <c r="AO184" s="362" t="s">
        <v>424</v>
      </c>
      <c r="AP184" s="273"/>
      <c r="AQ184" s="273"/>
      <c r="AR184" s="372"/>
      <c r="AS184" s="368">
        <f>L184-20</f>
        <v>46483</v>
      </c>
      <c r="AT184" s="368">
        <f t="shared" si="118"/>
        <v>46315</v>
      </c>
      <c r="AU184" s="377">
        <f t="shared" si="116"/>
        <v>46285</v>
      </c>
      <c r="AV184" s="368">
        <f t="shared" si="117"/>
        <v>46499</v>
      </c>
      <c r="AW184" s="368">
        <f t="shared" si="115"/>
        <v>46489</v>
      </c>
      <c r="AX184" s="378"/>
      <c r="AY184" s="368"/>
      <c r="AZ184" s="362"/>
      <c r="BA184" s="375"/>
      <c r="BB184" s="487"/>
      <c r="BE184" s="277"/>
      <c r="BF184" s="278"/>
    </row>
    <row r="185" spans="1:58" s="269" customFormat="1" ht="23.45" customHeight="1">
      <c r="A185" s="270"/>
      <c r="B185" s="357" t="s">
        <v>578</v>
      </c>
      <c r="C185" s="357" t="s">
        <v>745</v>
      </c>
      <c r="D185" s="357" t="s">
        <v>700</v>
      </c>
      <c r="E185" s="357"/>
      <c r="F185" s="357" t="s">
        <v>645</v>
      </c>
      <c r="G185" s="357" t="str">
        <f t="shared" si="119"/>
        <v>02TMAT-9003</v>
      </c>
      <c r="H185" s="358">
        <v>5</v>
      </c>
      <c r="I185" s="517" t="s">
        <v>746</v>
      </c>
      <c r="J185" s="359">
        <v>0.45</v>
      </c>
      <c r="K185" s="360"/>
      <c r="L185" s="361">
        <f>SUMIFS('[36]frm P6'!$J:$J,'[36]frm P6'!D:D,[36]Schedule!B185,'[36]frm P6'!E:E,[36]Schedule!C185,'[36]frm P6'!F:F,[36]Schedule!D185,'[36]frm P6'!G:G,[36]Schedule!$K$138,'[36]frm P6'!H:H,[36]Schedule!F185)</f>
        <v>46503</v>
      </c>
      <c r="M185" s="361">
        <f>SUMIFS('[36]frm P6'!$K:$K,'[36]frm P6'!D:D,[36]Schedule!B185,'[36]frm P6'!E:E,[36]Schedule!C185,'[36]frm P6'!F:F,[36]Schedule!D185,'[36]frm P6'!G:G,[36]Schedule!$K$138,'[36]frm P6'!H:H,[36]Schedule!F185)</f>
        <v>46505</v>
      </c>
      <c r="N185" s="362">
        <f t="shared" si="110"/>
        <v>3</v>
      </c>
      <c r="O185" s="273"/>
      <c r="P185" s="273"/>
      <c r="Q185" s="273"/>
      <c r="R185" s="363"/>
      <c r="S185" s="364"/>
      <c r="T185" s="365"/>
      <c r="U185" s="366"/>
      <c r="V185" s="366"/>
      <c r="W185" s="367"/>
      <c r="X185" s="368" t="s">
        <v>714</v>
      </c>
      <c r="Y185" s="368"/>
      <c r="Z185" s="369"/>
      <c r="AA185" s="368" t="s">
        <v>424</v>
      </c>
      <c r="AB185" s="368" t="s">
        <v>424</v>
      </c>
      <c r="AC185" s="362" t="s">
        <v>424</v>
      </c>
      <c r="AD185" s="274"/>
      <c r="AE185" s="273"/>
      <c r="AF185" s="273"/>
      <c r="AG185" s="420" t="s">
        <v>424</v>
      </c>
      <c r="AH185" s="368" t="s">
        <v>424</v>
      </c>
      <c r="AI185" s="369" t="s">
        <v>424</v>
      </c>
      <c r="AJ185" s="273"/>
      <c r="AK185" s="273"/>
      <c r="AL185" s="273"/>
      <c r="AM185" s="420" t="s">
        <v>424</v>
      </c>
      <c r="AN185" s="368" t="s">
        <v>424</v>
      </c>
      <c r="AO185" s="362" t="s">
        <v>424</v>
      </c>
      <c r="AP185" s="273"/>
      <c r="AQ185" s="273"/>
      <c r="AR185" s="372"/>
      <c r="AS185" s="368">
        <f>L185-20</f>
        <v>46483</v>
      </c>
      <c r="AT185" s="368">
        <f t="shared" si="118"/>
        <v>46315</v>
      </c>
      <c r="AU185" s="377">
        <f t="shared" si="116"/>
        <v>46285</v>
      </c>
      <c r="AV185" s="368">
        <f t="shared" si="117"/>
        <v>46499</v>
      </c>
      <c r="AW185" s="368">
        <f t="shared" si="115"/>
        <v>46489</v>
      </c>
      <c r="AX185" s="378"/>
      <c r="AY185" s="368"/>
      <c r="AZ185" s="362"/>
      <c r="BA185" s="375"/>
      <c r="BB185" s="487"/>
      <c r="BE185" s="277"/>
      <c r="BF185" s="278"/>
    </row>
    <row r="186" spans="1:58" s="269" customFormat="1" ht="23.45" customHeight="1">
      <c r="A186" s="270"/>
      <c r="B186" s="357" t="s">
        <v>578</v>
      </c>
      <c r="C186" s="357" t="s">
        <v>721</v>
      </c>
      <c r="D186" s="357" t="s">
        <v>700</v>
      </c>
      <c r="E186" s="357"/>
      <c r="F186" s="357" t="s">
        <v>645</v>
      </c>
      <c r="G186" s="357" t="str">
        <f t="shared" si="119"/>
        <v>02TMA07x/9x</v>
      </c>
      <c r="H186" s="358">
        <v>5</v>
      </c>
      <c r="I186" s="517" t="s">
        <v>747</v>
      </c>
      <c r="J186" s="359">
        <v>1</v>
      </c>
      <c r="K186" s="360"/>
      <c r="L186" s="361">
        <f>SUMIFS('[36]frm P6'!$J:$J,'[36]frm P6'!D:D,[36]Schedule!B186,'[36]frm P6'!E:E,[36]Schedule!C186,'[36]frm P6'!F:F,[36]Schedule!D186,'[36]frm P6'!G:G,[36]Schedule!$K$138,'[36]frm P6'!H:H,[36]Schedule!F186)</f>
        <v>46535</v>
      </c>
      <c r="M186" s="361">
        <f>SUMIFS('[36]frm P6'!$K:$K,'[36]frm P6'!D:D,[36]Schedule!B186,'[36]frm P6'!E:E,[36]Schedule!C186,'[36]frm P6'!F:F,[36]Schedule!D186,'[36]frm P6'!G:G,[36]Schedule!$K$138,'[36]frm P6'!H:H,[36]Schedule!F186)</f>
        <v>46536</v>
      </c>
      <c r="N186" s="362">
        <f t="shared" si="110"/>
        <v>2</v>
      </c>
      <c r="O186" s="273"/>
      <c r="P186" s="273"/>
      <c r="Q186" s="273"/>
      <c r="R186" s="363"/>
      <c r="S186" s="364"/>
      <c r="T186" s="365"/>
      <c r="U186" s="366"/>
      <c r="V186" s="366"/>
      <c r="W186" s="367"/>
      <c r="X186" s="368" t="s">
        <v>69</v>
      </c>
      <c r="Y186" s="368"/>
      <c r="Z186" s="369"/>
      <c r="AA186" s="368" t="s">
        <v>424</v>
      </c>
      <c r="AB186" s="368" t="s">
        <v>424</v>
      </c>
      <c r="AC186" s="362" t="s">
        <v>424</v>
      </c>
      <c r="AD186" s="274"/>
      <c r="AE186" s="273"/>
      <c r="AF186" s="273"/>
      <c r="AG186" s="420" t="s">
        <v>424</v>
      </c>
      <c r="AH186" s="368" t="s">
        <v>424</v>
      </c>
      <c r="AI186" s="369" t="s">
        <v>424</v>
      </c>
      <c r="AJ186" s="273"/>
      <c r="AK186" s="273"/>
      <c r="AL186" s="273"/>
      <c r="AM186" s="420" t="s">
        <v>424</v>
      </c>
      <c r="AN186" s="368" t="s">
        <v>424</v>
      </c>
      <c r="AO186" s="362" t="s">
        <v>424</v>
      </c>
      <c r="AP186" s="273"/>
      <c r="AQ186" s="273"/>
      <c r="AR186" s="372"/>
      <c r="AS186" s="368">
        <f>L186-20</f>
        <v>46515</v>
      </c>
      <c r="AT186" s="368">
        <f t="shared" si="118"/>
        <v>46347</v>
      </c>
      <c r="AU186" s="377">
        <f t="shared" si="116"/>
        <v>46317</v>
      </c>
      <c r="AV186" s="368">
        <f t="shared" si="117"/>
        <v>46531</v>
      </c>
      <c r="AW186" s="368">
        <f t="shared" si="115"/>
        <v>46521</v>
      </c>
      <c r="AX186" s="378"/>
      <c r="AY186" s="368"/>
      <c r="AZ186" s="362"/>
      <c r="BA186" s="375"/>
      <c r="BB186" s="487"/>
      <c r="BE186" s="277"/>
      <c r="BF186" s="278"/>
    </row>
    <row r="187" spans="1:58" s="269" customFormat="1" ht="23.45" customHeight="1">
      <c r="A187" s="270"/>
      <c r="B187" s="357" t="s">
        <v>578</v>
      </c>
      <c r="C187" s="357" t="s">
        <v>723</v>
      </c>
      <c r="D187" s="357" t="s">
        <v>700</v>
      </c>
      <c r="E187" s="357"/>
      <c r="F187" s="357" t="s">
        <v>645</v>
      </c>
      <c r="G187" s="357" t="str">
        <f t="shared" si="119"/>
        <v>02TMACR7001</v>
      </c>
      <c r="H187" s="358">
        <v>1</v>
      </c>
      <c r="I187" s="517" t="s">
        <v>748</v>
      </c>
      <c r="J187" s="359">
        <v>60</v>
      </c>
      <c r="K187" s="360"/>
      <c r="L187" s="361">
        <f>SUMIFS('[36]frm P6'!$J:$J,'[36]frm P6'!D:D,[36]Schedule!B187,'[36]frm P6'!E:E,[36]Schedule!C187,'[36]frm P6'!F:F,[36]Schedule!D187,'[36]frm P6'!G:G,[36]Schedule!$K$138,'[36]frm P6'!H:H,[36]Schedule!F187)</f>
        <v>46553</v>
      </c>
      <c r="M187" s="361">
        <f>SUMIFS('[36]frm P6'!$K:$K,'[36]frm P6'!D:D,[36]Schedule!B187,'[36]frm P6'!E:E,[36]Schedule!C187,'[36]frm P6'!F:F,[36]Schedule!D187,'[36]frm P6'!G:G,[36]Schedule!$K$138,'[36]frm P6'!H:H,[36]Schedule!F187)</f>
        <v>46581</v>
      </c>
      <c r="N187" s="362">
        <f t="shared" si="110"/>
        <v>29</v>
      </c>
      <c r="O187" s="273"/>
      <c r="P187" s="273"/>
      <c r="Q187" s="273"/>
      <c r="R187" s="363"/>
      <c r="S187" s="364"/>
      <c r="T187" s="365"/>
      <c r="U187" s="366"/>
      <c r="V187" s="366"/>
      <c r="W187" s="367"/>
      <c r="X187" s="368" t="s">
        <v>69</v>
      </c>
      <c r="Y187" s="368"/>
      <c r="Z187" s="369"/>
      <c r="AA187" s="368" t="s">
        <v>424</v>
      </c>
      <c r="AB187" s="368" t="s">
        <v>424</v>
      </c>
      <c r="AC187" s="362" t="s">
        <v>424</v>
      </c>
      <c r="AD187" s="274"/>
      <c r="AE187" s="273"/>
      <c r="AF187" s="273"/>
      <c r="AG187" s="420" t="s">
        <v>424</v>
      </c>
      <c r="AH187" s="368" t="s">
        <v>424</v>
      </c>
      <c r="AI187" s="369" t="s">
        <v>424</v>
      </c>
      <c r="AJ187" s="273"/>
      <c r="AK187" s="273"/>
      <c r="AL187" s="273"/>
      <c r="AM187" s="420" t="s">
        <v>424</v>
      </c>
      <c r="AN187" s="368" t="s">
        <v>424</v>
      </c>
      <c r="AO187" s="362" t="s">
        <v>424</v>
      </c>
      <c r="AP187" s="273"/>
      <c r="AQ187" s="273"/>
      <c r="AR187" s="372">
        <v>1</v>
      </c>
      <c r="AS187" s="368">
        <f>L187-10</f>
        <v>46543</v>
      </c>
      <c r="AT187" s="368">
        <f>AS187-350</f>
        <v>46193</v>
      </c>
      <c r="AU187" s="377">
        <f>AT187-60</f>
        <v>46133</v>
      </c>
      <c r="AV187" s="368">
        <f t="shared" si="117"/>
        <v>46549</v>
      </c>
      <c r="AW187" s="368">
        <f t="shared" si="115"/>
        <v>46539</v>
      </c>
      <c r="AX187" s="378"/>
      <c r="AY187" s="368"/>
      <c r="AZ187" s="362"/>
      <c r="BA187" s="375"/>
      <c r="BB187" s="487"/>
      <c r="BE187" s="277"/>
      <c r="BF187" s="278"/>
    </row>
    <row r="188" spans="1:58" s="269" customFormat="1" ht="23.45" customHeight="1">
      <c r="A188" s="270"/>
      <c r="B188" s="357" t="s">
        <v>578</v>
      </c>
      <c r="C188" s="357" t="s">
        <v>640</v>
      </c>
      <c r="D188" s="357" t="s">
        <v>700</v>
      </c>
      <c r="E188" s="357"/>
      <c r="F188" s="357" t="s">
        <v>645</v>
      </c>
      <c r="G188" s="357" t="str">
        <f t="shared" si="119"/>
        <v>02TMASA</v>
      </c>
      <c r="H188" s="358">
        <v>1</v>
      </c>
      <c r="I188" s="517" t="s">
        <v>725</v>
      </c>
      <c r="J188" s="359"/>
      <c r="K188" s="360"/>
      <c r="L188" s="361">
        <f>'[36]frm P6'!J4445</f>
        <v>46513</v>
      </c>
      <c r="M188" s="361">
        <f>'[36]frm P6'!K4445</f>
        <v>46570</v>
      </c>
      <c r="N188" s="362">
        <f t="shared" si="110"/>
        <v>58</v>
      </c>
      <c r="O188" s="273"/>
      <c r="P188" s="273"/>
      <c r="Q188" s="273"/>
      <c r="R188" s="363"/>
      <c r="S188" s="364"/>
      <c r="T188" s="365"/>
      <c r="U188" s="366"/>
      <c r="V188" s="366"/>
      <c r="W188" s="367"/>
      <c r="X188" s="368" t="s">
        <v>562</v>
      </c>
      <c r="Y188" s="368"/>
      <c r="Z188" s="369"/>
      <c r="AA188" s="368" t="s">
        <v>424</v>
      </c>
      <c r="AB188" s="368" t="s">
        <v>424</v>
      </c>
      <c r="AC188" s="362" t="s">
        <v>424</v>
      </c>
      <c r="AD188" s="274"/>
      <c r="AE188" s="273"/>
      <c r="AF188" s="273"/>
      <c r="AG188" s="420" t="s">
        <v>424</v>
      </c>
      <c r="AH188" s="368" t="s">
        <v>424</v>
      </c>
      <c r="AI188" s="369" t="s">
        <v>424</v>
      </c>
      <c r="AJ188" s="273"/>
      <c r="AK188" s="273"/>
      <c r="AL188" s="273"/>
      <c r="AM188" s="420" t="s">
        <v>424</v>
      </c>
      <c r="AN188" s="368" t="s">
        <v>424</v>
      </c>
      <c r="AO188" s="362" t="s">
        <v>424</v>
      </c>
      <c r="AP188" s="273"/>
      <c r="AQ188" s="273"/>
      <c r="AR188" s="372"/>
      <c r="AS188" s="368">
        <f>L188-20</f>
        <v>46493</v>
      </c>
      <c r="AT188" s="368">
        <f>AS188-210</f>
        <v>46283</v>
      </c>
      <c r="AU188" s="377">
        <f>AT188-60</f>
        <v>46223</v>
      </c>
      <c r="AV188" s="368">
        <f t="shared" si="117"/>
        <v>46509</v>
      </c>
      <c r="AW188" s="368">
        <f t="shared" si="115"/>
        <v>46499</v>
      </c>
      <c r="AX188" s="378"/>
      <c r="AY188" s="368"/>
      <c r="AZ188" s="362"/>
      <c r="BA188" s="375"/>
      <c r="BB188" s="487"/>
      <c r="BE188" s="277"/>
      <c r="BF188" s="278"/>
    </row>
    <row r="189" spans="1:58" s="269" customFormat="1" ht="9" customHeight="1">
      <c r="B189" s="357"/>
      <c r="C189" s="357"/>
      <c r="D189" s="357"/>
      <c r="E189" s="357"/>
      <c r="F189" s="357"/>
      <c r="G189" s="357"/>
      <c r="H189" s="387"/>
      <c r="I189" s="388"/>
      <c r="J189" s="389"/>
      <c r="K189" s="390"/>
      <c r="L189" s="391"/>
      <c r="M189" s="391"/>
      <c r="N189" s="392"/>
      <c r="O189" s="393"/>
      <c r="P189" s="393"/>
      <c r="Q189" s="393"/>
      <c r="R189" s="363"/>
      <c r="S189" s="364"/>
      <c r="T189" s="365"/>
      <c r="U189" s="366"/>
      <c r="V189" s="366"/>
      <c r="W189" s="367"/>
      <c r="X189" s="391"/>
      <c r="Y189" s="391"/>
      <c r="Z189" s="394"/>
      <c r="AA189" s="391"/>
      <c r="AB189" s="391"/>
      <c r="AC189" s="392"/>
      <c r="AD189" s="395"/>
      <c r="AE189" s="393"/>
      <c r="AF189" s="393"/>
      <c r="AG189" s="491"/>
      <c r="AH189" s="492"/>
      <c r="AI189" s="518"/>
      <c r="AJ189" s="494"/>
      <c r="AK189" s="494"/>
      <c r="AL189" s="494"/>
      <c r="AM189" s="491"/>
      <c r="AN189" s="492"/>
      <c r="AO189" s="493"/>
      <c r="AP189" s="494"/>
      <c r="AQ189" s="494"/>
      <c r="AR189" s="493"/>
      <c r="AS189" s="492"/>
      <c r="AT189" s="492"/>
      <c r="AU189" s="496"/>
      <c r="AV189" s="497"/>
      <c r="AW189" s="497"/>
      <c r="AX189" s="498"/>
      <c r="AY189" s="499"/>
      <c r="AZ189" s="497"/>
      <c r="BA189" s="497"/>
      <c r="BB189" s="500"/>
      <c r="BE189" s="277"/>
      <c r="BF189" s="278"/>
    </row>
    <row r="190" spans="1:58" ht="6" customHeight="1">
      <c r="R190" s="363"/>
      <c r="S190" s="364"/>
      <c r="T190" s="365"/>
      <c r="U190" s="366"/>
      <c r="V190" s="366"/>
      <c r="W190" s="367"/>
    </row>
    <row r="191" spans="1:58" ht="27" customHeight="1">
      <c r="B191" s="406" t="s">
        <v>749</v>
      </c>
      <c r="H191" s="407" t="s">
        <v>750</v>
      </c>
      <c r="I191" s="287"/>
      <c r="J191" s="288"/>
      <c r="K191" s="289"/>
      <c r="L191" s="408" t="s">
        <v>375</v>
      </c>
      <c r="M191" s="291" t="s">
        <v>696</v>
      </c>
      <c r="N191" s="292"/>
      <c r="O191" s="293"/>
      <c r="P191" s="293"/>
      <c r="Q191" s="293"/>
      <c r="R191" s="409"/>
      <c r="S191" s="410"/>
      <c r="T191" s="411"/>
      <c r="U191" s="412"/>
      <c r="V191" s="412"/>
      <c r="W191" s="413"/>
      <c r="X191" s="294" t="s">
        <v>381</v>
      </c>
      <c r="Y191" s="414"/>
      <c r="Z191" s="297"/>
      <c r="AA191" s="415" t="s">
        <v>385</v>
      </c>
      <c r="AB191" s="295"/>
      <c r="AC191" s="297"/>
      <c r="AD191" s="299"/>
      <c r="AE191" s="293"/>
      <c r="AF191" s="293"/>
      <c r="AG191" s="300" t="s">
        <v>385</v>
      </c>
      <c r="AH191" s="298" t="s">
        <v>475</v>
      </c>
      <c r="AI191" s="296"/>
      <c r="AJ191" s="293"/>
      <c r="AK191" s="293"/>
      <c r="AL191" s="293"/>
      <c r="AM191" s="300"/>
      <c r="AN191" s="416" t="s">
        <v>424</v>
      </c>
      <c r="AO191" s="297"/>
      <c r="AP191" s="293"/>
      <c r="AQ191" s="293"/>
      <c r="AR191" s="303"/>
      <c r="AS191" s="294">
        <v>3</v>
      </c>
      <c r="AT191" s="298">
        <v>60</v>
      </c>
      <c r="AU191" s="304">
        <v>15</v>
      </c>
      <c r="AV191" s="294">
        <v>4</v>
      </c>
      <c r="AW191" s="294">
        <v>10</v>
      </c>
      <c r="AX191" s="519" t="s">
        <v>389</v>
      </c>
      <c r="AY191" s="520"/>
      <c r="AZ191" s="307"/>
      <c r="BA191" s="308"/>
      <c r="BB191" s="485"/>
    </row>
    <row r="192" spans="1:58" ht="27" customHeight="1">
      <c r="B192" s="313" t="s">
        <v>391</v>
      </c>
      <c r="C192" s="313" t="s">
        <v>392</v>
      </c>
      <c r="D192" s="313" t="s">
        <v>393</v>
      </c>
      <c r="E192" s="313" t="s">
        <v>394</v>
      </c>
      <c r="F192" s="313" t="s">
        <v>395</v>
      </c>
      <c r="G192" s="313"/>
      <c r="H192" s="314" t="s">
        <v>396</v>
      </c>
      <c r="I192" s="315" t="s">
        <v>397</v>
      </c>
      <c r="J192" s="316" t="s">
        <v>398</v>
      </c>
      <c r="K192" s="317"/>
      <c r="L192" s="315" t="s">
        <v>399</v>
      </c>
      <c r="M192" s="315" t="s">
        <v>400</v>
      </c>
      <c r="N192" s="315" t="s">
        <v>401</v>
      </c>
      <c r="O192" s="417" t="s">
        <v>751</v>
      </c>
      <c r="P192" s="417" t="s">
        <v>752</v>
      </c>
      <c r="Q192" s="417" t="s">
        <v>753</v>
      </c>
      <c r="R192" s="380"/>
      <c r="S192" s="381"/>
      <c r="T192" s="382"/>
      <c r="U192" s="383"/>
      <c r="V192" s="383"/>
      <c r="W192" s="384"/>
      <c r="X192" s="319" t="s">
        <v>399</v>
      </c>
      <c r="Y192" s="319" t="s">
        <v>400</v>
      </c>
      <c r="Z192" s="319" t="s">
        <v>401</v>
      </c>
      <c r="AA192" s="326" t="s">
        <v>399</v>
      </c>
      <c r="AB192" s="319" t="s">
        <v>400</v>
      </c>
      <c r="AC192" s="319" t="s">
        <v>401</v>
      </c>
      <c r="AD192" s="418"/>
      <c r="AE192" s="417"/>
      <c r="AF192" s="417"/>
      <c r="AG192" s="326"/>
      <c r="AH192" s="319"/>
      <c r="AI192" s="327"/>
      <c r="AJ192" s="417"/>
      <c r="AK192" s="417"/>
      <c r="AL192" s="417"/>
      <c r="AM192" s="323"/>
      <c r="AN192" s="319"/>
      <c r="AO192" s="319"/>
      <c r="AP192" s="417"/>
      <c r="AQ192" s="417"/>
      <c r="AR192" s="326" t="s">
        <v>408</v>
      </c>
      <c r="AS192" s="319" t="s">
        <v>409</v>
      </c>
      <c r="AT192" s="319" t="s">
        <v>410</v>
      </c>
      <c r="AU192" s="327" t="s">
        <v>560</v>
      </c>
      <c r="AV192" s="328" t="s">
        <v>393</v>
      </c>
      <c r="AW192" s="328" t="s">
        <v>412</v>
      </c>
      <c r="AX192" s="521" t="s">
        <v>413</v>
      </c>
      <c r="AY192" s="522"/>
      <c r="AZ192" s="328" t="s">
        <v>478</v>
      </c>
      <c r="BA192" s="328" t="s">
        <v>416</v>
      </c>
      <c r="BB192" s="331"/>
    </row>
    <row r="193" spans="1:58" ht="30" customHeight="1">
      <c r="B193" s="438" t="s">
        <v>417</v>
      </c>
      <c r="C193" s="432"/>
      <c r="D193" s="432"/>
      <c r="E193" s="432"/>
      <c r="F193" s="432"/>
      <c r="G193" s="432"/>
      <c r="H193" s="336" t="s">
        <v>754</v>
      </c>
      <c r="I193" s="337"/>
      <c r="J193" s="338"/>
      <c r="K193" s="339"/>
      <c r="L193" s="340">
        <f>MIN(L194:L213)</f>
        <v>46357</v>
      </c>
      <c r="M193" s="340">
        <f>MAX(M194:M213)</f>
        <v>46612</v>
      </c>
      <c r="N193" s="337">
        <f t="shared" ref="N193:N212" si="120">M193-L193+1</f>
        <v>256</v>
      </c>
      <c r="O193" s="341"/>
      <c r="P193" s="341"/>
      <c r="Q193" s="341"/>
      <c r="R193" s="380"/>
      <c r="S193" s="381"/>
      <c r="T193" s="382"/>
      <c r="U193" s="383"/>
      <c r="V193" s="383"/>
      <c r="W193" s="384"/>
      <c r="X193" s="340"/>
      <c r="Y193" s="340"/>
      <c r="Z193" s="347"/>
      <c r="AA193" s="340"/>
      <c r="AB193" s="340"/>
      <c r="AC193" s="337"/>
      <c r="AD193" s="348"/>
      <c r="AE193" s="341"/>
      <c r="AF193" s="341"/>
      <c r="AG193" s="349"/>
      <c r="AH193" s="340"/>
      <c r="AI193" s="347"/>
      <c r="AJ193" s="341"/>
      <c r="AK193" s="341"/>
      <c r="AL193" s="341"/>
      <c r="AM193" s="349"/>
      <c r="AN193" s="340"/>
      <c r="AO193" s="337"/>
      <c r="AP193" s="341"/>
      <c r="AQ193" s="341"/>
      <c r="AR193" s="351"/>
      <c r="AS193" s="340">
        <f>MIN(AS194:AS199)</f>
        <v>46329</v>
      </c>
      <c r="AT193" s="340">
        <f>MIN(AT194:AT199)</f>
        <v>46269</v>
      </c>
      <c r="AU193" s="352">
        <f>MIN(AU194:AU199)</f>
        <v>46254</v>
      </c>
      <c r="AV193" s="353">
        <f>MIN(AV194:AV199)</f>
        <v>46332</v>
      </c>
      <c r="AW193" s="353">
        <f>MIN(AW194:AW199)</f>
        <v>46322</v>
      </c>
      <c r="AX193" s="486"/>
      <c r="AY193" s="340"/>
      <c r="AZ193" s="337"/>
      <c r="BA193" s="337"/>
      <c r="BB193" s="439"/>
      <c r="BC193" s="268"/>
      <c r="BD193" s="268"/>
      <c r="BE193" s="311"/>
      <c r="BF193" s="312"/>
    </row>
    <row r="194" spans="1:58" s="269" customFormat="1" ht="23.45" customHeight="1">
      <c r="A194" s="270"/>
      <c r="B194" s="357" t="s">
        <v>578</v>
      </c>
      <c r="C194" s="357" t="s">
        <v>489</v>
      </c>
      <c r="D194" s="357" t="s">
        <v>755</v>
      </c>
      <c r="E194" s="357"/>
      <c r="F194" s="357" t="s">
        <v>581</v>
      </c>
      <c r="G194" s="357"/>
      <c r="H194" s="358">
        <v>1</v>
      </c>
      <c r="I194" s="517" t="s">
        <v>756</v>
      </c>
      <c r="J194" s="359"/>
      <c r="K194" s="360"/>
      <c r="L194" s="361">
        <f>SUMIFS('[36]frm P6'!$J:$J,'[36]frm P6'!D:D,[36]Schedule!B194,'[36]frm P6'!E:E,[36]Schedule!C194,'[36]frm P6'!F:F,[36]Schedule!D194,'[36]frm P6'!G:G,[36]Schedule!$K$191,'[36]frm P6'!H:H,[36]Schedule!F194)</f>
        <v>46357</v>
      </c>
      <c r="M194" s="361">
        <f>SUMIFS('[36]frm P6'!$K:$K,'[36]frm P6'!D:D,[36]Schedule!B194,'[36]frm P6'!E:E,[36]Schedule!C194,'[36]frm P6'!F:F,[36]Schedule!D194,'[36]frm P6'!G:G,[36]Schedule!$K$191,'[36]frm P6'!H:H,[36]Schedule!F194)</f>
        <v>46459</v>
      </c>
      <c r="N194" s="362">
        <f t="shared" si="120"/>
        <v>103</v>
      </c>
      <c r="O194" s="273">
        <v>8.56</v>
      </c>
      <c r="P194" s="273"/>
      <c r="Q194" s="273"/>
      <c r="R194" s="363"/>
      <c r="S194" s="364"/>
      <c r="T194" s="365"/>
      <c r="U194" s="366"/>
      <c r="V194" s="366"/>
      <c r="W194" s="367"/>
      <c r="X194" s="361">
        <f>SUMIFS('[36]frm P6'!$J:$J,'[36]frm P6'!D:D,[36]Schedule!B194,'[36]frm P6'!E:E,[36]Schedule!C194,'[36]frm P6'!F:F,[36]Schedule!D194,'[36]frm P6'!G:G,[36]Schedule!$W$138,'[36]frm P6'!H:H,[36]Schedule!F194)</f>
        <v>46351</v>
      </c>
      <c r="Y194" s="361">
        <f>SUMIFS('[36]frm P6'!$K:$K,'[36]frm P6'!D:D,[36]Schedule!B194,'[36]frm P6'!E:E,[36]Schedule!C194,'[36]frm P6'!F:F,[36]Schedule!D194,'[36]frm P6'!G:G,[36]Schedule!$W$138,'[36]frm P6'!H:H,[36]Schedule!F194)</f>
        <v>46410</v>
      </c>
      <c r="Z194" s="369" t="s">
        <v>424</v>
      </c>
      <c r="AA194" s="368" t="s">
        <v>424</v>
      </c>
      <c r="AB194" s="368" t="s">
        <v>424</v>
      </c>
      <c r="AC194" s="362" t="s">
        <v>424</v>
      </c>
      <c r="AD194" s="274"/>
      <c r="AE194" s="273"/>
      <c r="AF194" s="273"/>
      <c r="AG194" s="370">
        <f>SUMIFS('[36]frm P6'!$J:$J,'[36]frm P6'!D:D,[36]Schedule!B194,'[36]frm P6'!E:E,[36]Schedule!C194,'[36]frm P6'!F:F,[36]Schedule!D194,'[36]frm P6'!G:G,[36]Schedule!$AF$98,'[36]frm P6'!H:H,[36]Schedule!F194)</f>
        <v>46336</v>
      </c>
      <c r="AH194" s="361">
        <f>SUMIFS('[36]frm P6'!$K:$K,'[36]frm P6'!D:D,[36]Schedule!B194,'[36]frm P6'!E:E,[36]Schedule!C194,'[36]frm P6'!F:F,[36]Schedule!D194,'[36]frm P6'!G:G,[36]Schedule!$AF$98,'[36]frm P6'!H:H,[36]Schedule!F194)</f>
        <v>46392</v>
      </c>
      <c r="AI194" s="369">
        <f t="shared" ref="AI194" si="121">AH194-AG194+1</f>
        <v>57</v>
      </c>
      <c r="AJ194" s="273"/>
      <c r="AK194" s="273"/>
      <c r="AL194" s="273"/>
      <c r="AM194" s="420" t="s">
        <v>424</v>
      </c>
      <c r="AN194" s="368" t="s">
        <v>424</v>
      </c>
      <c r="AO194" s="362" t="s">
        <v>424</v>
      </c>
      <c r="AP194" s="273"/>
      <c r="AQ194" s="273"/>
      <c r="AR194" s="372"/>
      <c r="AS194" s="368">
        <f>AG194-7</f>
        <v>46329</v>
      </c>
      <c r="AT194" s="368">
        <f>AS194-60</f>
        <v>46269</v>
      </c>
      <c r="AU194" s="377">
        <f>AT194-15</f>
        <v>46254</v>
      </c>
      <c r="AV194" s="368">
        <f>AG194-$AV$3</f>
        <v>46332</v>
      </c>
      <c r="AW194" s="368">
        <f t="shared" ref="AW194:AW212" si="122">AV194-$AW$3</f>
        <v>46322</v>
      </c>
      <c r="AX194" s="378">
        <f t="shared" ref="AX194:AX202" si="123">AW194-AY194</f>
        <v>55</v>
      </c>
      <c r="AY194" s="368">
        <v>46267</v>
      </c>
      <c r="AZ194" s="362" t="s">
        <v>757</v>
      </c>
      <c r="BA194" s="375" t="s">
        <v>758</v>
      </c>
      <c r="BB194" s="487"/>
      <c r="BE194" s="277"/>
      <c r="BF194" s="278"/>
    </row>
    <row r="195" spans="1:58" s="269" customFormat="1" ht="23.45" customHeight="1">
      <c r="A195" s="270"/>
      <c r="B195" s="357" t="s">
        <v>578</v>
      </c>
      <c r="C195" s="357" t="s">
        <v>759</v>
      </c>
      <c r="D195" s="357" t="s">
        <v>755</v>
      </c>
      <c r="E195" s="357"/>
      <c r="F195" s="357" t="s">
        <v>581</v>
      </c>
      <c r="G195" s="357"/>
      <c r="H195" s="358">
        <v>2</v>
      </c>
      <c r="I195" s="517" t="s">
        <v>760</v>
      </c>
      <c r="J195" s="359"/>
      <c r="K195" s="360"/>
      <c r="L195" s="361">
        <f>SUMIFS('[36]frm P6'!$J:$J,'[36]frm P6'!D:D,[36]Schedule!B195,'[36]frm P6'!E:E,[36]Schedule!C195,'[36]frm P6'!F:F,[36]Schedule!D195,'[36]frm P6'!G:G,[36]Schedule!$K$191,'[36]frm P6'!H:H,[36]Schedule!F195)</f>
        <v>46433</v>
      </c>
      <c r="M195" s="361">
        <f>SUMIFS('[36]frm P6'!$K:$K,'[36]frm P6'!D:D,[36]Schedule!B195,'[36]frm P6'!E:E,[36]Schedule!C195,'[36]frm P6'!F:F,[36]Schedule!D195,'[36]frm P6'!G:G,[36]Schedule!$K$191,'[36]frm P6'!H:H,[36]Schedule!F195)</f>
        <v>46510</v>
      </c>
      <c r="N195" s="362">
        <f t="shared" si="120"/>
        <v>78</v>
      </c>
      <c r="O195" s="273"/>
      <c r="P195" s="273">
        <v>2861</v>
      </c>
      <c r="Q195" s="273"/>
      <c r="R195" s="363"/>
      <c r="S195" s="364"/>
      <c r="T195" s="365"/>
      <c r="U195" s="366"/>
      <c r="V195" s="366"/>
      <c r="W195" s="367"/>
      <c r="X195" s="368" t="s">
        <v>424</v>
      </c>
      <c r="Y195" s="368" t="s">
        <v>424</v>
      </c>
      <c r="Z195" s="369" t="s">
        <v>424</v>
      </c>
      <c r="AA195" s="368" t="s">
        <v>424</v>
      </c>
      <c r="AB195" s="368" t="s">
        <v>424</v>
      </c>
      <c r="AC195" s="362" t="s">
        <v>424</v>
      </c>
      <c r="AD195" s="274"/>
      <c r="AE195" s="273"/>
      <c r="AF195" s="273"/>
      <c r="AG195" s="420" t="s">
        <v>424</v>
      </c>
      <c r="AH195" s="368" t="s">
        <v>424</v>
      </c>
      <c r="AI195" s="369" t="s">
        <v>424</v>
      </c>
      <c r="AJ195" s="273"/>
      <c r="AK195" s="273"/>
      <c r="AL195" s="273"/>
      <c r="AM195" s="420" t="s">
        <v>424</v>
      </c>
      <c r="AN195" s="368" t="s">
        <v>424</v>
      </c>
      <c r="AO195" s="362" t="s">
        <v>424</v>
      </c>
      <c r="AP195" s="273"/>
      <c r="AQ195" s="273"/>
      <c r="AR195" s="372"/>
      <c r="AS195" s="368">
        <f>L195-10</f>
        <v>46423</v>
      </c>
      <c r="AT195" s="368">
        <f>AS195-90</f>
        <v>46333</v>
      </c>
      <c r="AU195" s="377">
        <f t="shared" ref="AU195:AU202" si="124">AT195-20</f>
        <v>46313</v>
      </c>
      <c r="AV195" s="368">
        <f t="shared" ref="AV195:AV202" si="125">L195-$AV$3</f>
        <v>46429</v>
      </c>
      <c r="AW195" s="368">
        <f t="shared" si="122"/>
        <v>46419</v>
      </c>
      <c r="AX195" s="378">
        <f t="shared" si="123"/>
        <v>131</v>
      </c>
      <c r="AY195" s="368">
        <v>46288</v>
      </c>
      <c r="AZ195" s="362" t="s">
        <v>761</v>
      </c>
      <c r="BA195" s="375" t="s">
        <v>762</v>
      </c>
      <c r="BB195" s="487"/>
      <c r="BE195" s="277"/>
      <c r="BF195" s="278"/>
    </row>
    <row r="196" spans="1:58" s="269" customFormat="1" ht="23.45" customHeight="1">
      <c r="A196" s="270"/>
      <c r="B196" s="357" t="s">
        <v>578</v>
      </c>
      <c r="C196" s="357" t="s">
        <v>763</v>
      </c>
      <c r="D196" s="357" t="s">
        <v>755</v>
      </c>
      <c r="E196" s="357"/>
      <c r="F196" s="357" t="s">
        <v>581</v>
      </c>
      <c r="G196" s="357" t="str">
        <f>F196&amp;D196&amp;C196</f>
        <v>01TELCABLE</v>
      </c>
      <c r="H196" s="358">
        <v>3</v>
      </c>
      <c r="I196" s="517" t="s">
        <v>764</v>
      </c>
      <c r="J196" s="359"/>
      <c r="K196" s="360"/>
      <c r="L196" s="361">
        <f>SUMIFS('[36]frm P6'!$J:$J,'[36]frm P6'!D:D,[36]Schedule!B196,'[36]frm P6'!E:E,[36]Schedule!C196,'[36]frm P6'!F:F,[36]Schedule!D196,'[36]frm P6'!G:G,[36]Schedule!$K$191,'[36]frm P6'!H:H,[36]Schedule!F196)</f>
        <v>46490</v>
      </c>
      <c r="M196" s="361">
        <f>SUMIFS('[36]frm P6'!$K:$K,'[36]frm P6'!D:D,[36]Schedule!B196,'[36]frm P6'!E:E,[36]Schedule!C196,'[36]frm P6'!F:F,[36]Schedule!D196,'[36]frm P6'!G:G,[36]Schedule!$K$191,'[36]frm P6'!H:H,[36]Schedule!F196)</f>
        <v>46562</v>
      </c>
      <c r="N196" s="362">
        <f t="shared" si="120"/>
        <v>73</v>
      </c>
      <c r="O196" s="273"/>
      <c r="P196" s="273">
        <v>7569</v>
      </c>
      <c r="Q196" s="273"/>
      <c r="R196" s="363"/>
      <c r="S196" s="364"/>
      <c r="T196" s="365"/>
      <c r="U196" s="366"/>
      <c r="V196" s="366"/>
      <c r="W196" s="367"/>
      <c r="X196" s="368" t="s">
        <v>424</v>
      </c>
      <c r="Y196" s="368" t="s">
        <v>424</v>
      </c>
      <c r="Z196" s="369" t="s">
        <v>424</v>
      </c>
      <c r="AA196" s="368" t="s">
        <v>424</v>
      </c>
      <c r="AB196" s="368" t="s">
        <v>424</v>
      </c>
      <c r="AC196" s="362" t="s">
        <v>424</v>
      </c>
      <c r="AD196" s="274"/>
      <c r="AE196" s="273"/>
      <c r="AF196" s="273"/>
      <c r="AG196" s="420" t="s">
        <v>424</v>
      </c>
      <c r="AH196" s="368" t="s">
        <v>424</v>
      </c>
      <c r="AI196" s="369" t="s">
        <v>424</v>
      </c>
      <c r="AJ196" s="273"/>
      <c r="AK196" s="273"/>
      <c r="AL196" s="273"/>
      <c r="AM196" s="420" t="s">
        <v>424</v>
      </c>
      <c r="AN196" s="368" t="s">
        <v>424</v>
      </c>
      <c r="AO196" s="362" t="s">
        <v>424</v>
      </c>
      <c r="AP196" s="273"/>
      <c r="AQ196" s="273"/>
      <c r="AR196" s="372"/>
      <c r="AS196" s="368">
        <f t="shared" ref="AS196:AS202" si="126">L196-20</f>
        <v>46470</v>
      </c>
      <c r="AT196" s="368">
        <f>AS196-150</f>
        <v>46320</v>
      </c>
      <c r="AU196" s="377">
        <f>AT196-30</f>
        <v>46290</v>
      </c>
      <c r="AV196" s="368">
        <f t="shared" si="125"/>
        <v>46486</v>
      </c>
      <c r="AW196" s="368">
        <f t="shared" si="122"/>
        <v>46476</v>
      </c>
      <c r="AX196" s="378">
        <f t="shared" si="123"/>
        <v>151</v>
      </c>
      <c r="AY196" s="368">
        <v>46325</v>
      </c>
      <c r="AZ196" s="362" t="s">
        <v>765</v>
      </c>
      <c r="BA196" s="375" t="s">
        <v>766</v>
      </c>
      <c r="BB196" s="487"/>
      <c r="BE196" s="277"/>
      <c r="BF196" s="278"/>
    </row>
    <row r="197" spans="1:58" s="269" customFormat="1" ht="23.45" customHeight="1">
      <c r="A197" s="270"/>
      <c r="B197" s="357" t="s">
        <v>578</v>
      </c>
      <c r="C197" s="357" t="s">
        <v>767</v>
      </c>
      <c r="D197" s="357" t="s">
        <v>755</v>
      </c>
      <c r="E197" s="357"/>
      <c r="F197" s="357" t="s">
        <v>581</v>
      </c>
      <c r="G197" s="357"/>
      <c r="H197" s="358">
        <v>4</v>
      </c>
      <c r="I197" s="517" t="s">
        <v>768</v>
      </c>
      <c r="J197" s="359"/>
      <c r="K197" s="360"/>
      <c r="L197" s="361">
        <f>SUMIFS('[36]frm P6'!$J:$J,'[36]frm P6'!D:D,[36]Schedule!B197,'[36]frm P6'!E:E,[36]Schedule!C197,'[36]frm P6'!F:F,[36]Schedule!D197,'[36]frm P6'!G:G,[36]Schedule!$K$191,'[36]frm P6'!H:H,[36]Schedule!F197)</f>
        <v>46512</v>
      </c>
      <c r="M197" s="361">
        <f>SUMIFS('[36]frm P6'!$K:$K,'[36]frm P6'!D:D,[36]Schedule!B197,'[36]frm P6'!E:E,[36]Schedule!C197,'[36]frm P6'!F:F,[36]Schedule!D197,'[36]frm P6'!G:G,[36]Schedule!$K$191,'[36]frm P6'!H:H,[36]Schedule!F197)</f>
        <v>46569</v>
      </c>
      <c r="N197" s="362">
        <f t="shared" si="120"/>
        <v>58</v>
      </c>
      <c r="O197" s="273"/>
      <c r="P197" s="273"/>
      <c r="Q197" s="273">
        <v>336</v>
      </c>
      <c r="R197" s="363"/>
      <c r="S197" s="364"/>
      <c r="T197" s="365"/>
      <c r="U197" s="366"/>
      <c r="V197" s="366"/>
      <c r="W197" s="367"/>
      <c r="X197" s="368" t="s">
        <v>424</v>
      </c>
      <c r="Y197" s="368" t="s">
        <v>424</v>
      </c>
      <c r="Z197" s="369" t="s">
        <v>424</v>
      </c>
      <c r="AA197" s="368" t="s">
        <v>424</v>
      </c>
      <c r="AB197" s="368" t="s">
        <v>424</v>
      </c>
      <c r="AC197" s="362" t="s">
        <v>424</v>
      </c>
      <c r="AD197" s="274"/>
      <c r="AE197" s="273"/>
      <c r="AF197" s="273"/>
      <c r="AG197" s="420" t="s">
        <v>424</v>
      </c>
      <c r="AH197" s="368" t="s">
        <v>424</v>
      </c>
      <c r="AI197" s="369" t="s">
        <v>424</v>
      </c>
      <c r="AJ197" s="273"/>
      <c r="AK197" s="273"/>
      <c r="AL197" s="273"/>
      <c r="AM197" s="420" t="s">
        <v>424</v>
      </c>
      <c r="AN197" s="368" t="s">
        <v>424</v>
      </c>
      <c r="AO197" s="362" t="s">
        <v>424</v>
      </c>
      <c r="AP197" s="273"/>
      <c r="AQ197" s="273"/>
      <c r="AR197" s="372"/>
      <c r="AS197" s="368">
        <f t="shared" si="126"/>
        <v>46492</v>
      </c>
      <c r="AT197" s="368">
        <f t="shared" ref="AT197:AT202" si="127">AS197-94</f>
        <v>46398</v>
      </c>
      <c r="AU197" s="377">
        <f t="shared" si="124"/>
        <v>46378</v>
      </c>
      <c r="AV197" s="368">
        <f t="shared" si="125"/>
        <v>46508</v>
      </c>
      <c r="AW197" s="368">
        <f t="shared" si="122"/>
        <v>46498</v>
      </c>
      <c r="AX197" s="378">
        <f t="shared" si="123"/>
        <v>173</v>
      </c>
      <c r="AY197" s="368">
        <v>46325</v>
      </c>
      <c r="AZ197" s="362" t="s">
        <v>765</v>
      </c>
      <c r="BA197" s="375" t="s">
        <v>766</v>
      </c>
      <c r="BB197" s="487"/>
      <c r="BE197" s="277"/>
      <c r="BF197" s="278"/>
    </row>
    <row r="198" spans="1:58" s="269" customFormat="1" ht="23.45" customHeight="1">
      <c r="A198" s="270"/>
      <c r="B198" s="357" t="s">
        <v>578</v>
      </c>
      <c r="C198" s="357" t="s">
        <v>769</v>
      </c>
      <c r="D198" s="357" t="s">
        <v>755</v>
      </c>
      <c r="E198" s="357"/>
      <c r="F198" s="357" t="s">
        <v>581</v>
      </c>
      <c r="G198" s="357"/>
      <c r="H198" s="358">
        <v>5</v>
      </c>
      <c r="I198" s="517" t="s">
        <v>770</v>
      </c>
      <c r="J198" s="359"/>
      <c r="K198" s="360"/>
      <c r="L198" s="361">
        <f>SUMIFS('[36]frm P6'!$J:$J,'[36]frm P6'!D:D,[36]Schedule!B198,'[36]frm P6'!E:E,[36]Schedule!C198,'[36]frm P6'!F:F,[36]Schedule!D198,'[36]frm P6'!G:G,[36]Schedule!$K$191,'[36]frm P6'!H:H,[36]Schedule!F198)</f>
        <v>46526</v>
      </c>
      <c r="M198" s="361">
        <f>SUMIFS('[36]frm P6'!$K:$K,'[36]frm P6'!D:D,[36]Schedule!B198,'[36]frm P6'!E:E,[36]Schedule!C198,'[36]frm P6'!F:F,[36]Schedule!D198,'[36]frm P6'!G:G,[36]Schedule!$K$191,'[36]frm P6'!H:H,[36]Schedule!F198)</f>
        <v>46583</v>
      </c>
      <c r="N198" s="362">
        <f t="shared" si="120"/>
        <v>58</v>
      </c>
      <c r="O198" s="273"/>
      <c r="P198" s="273"/>
      <c r="Q198" s="273"/>
      <c r="R198" s="363"/>
      <c r="S198" s="364"/>
      <c r="T198" s="365"/>
      <c r="U198" s="366"/>
      <c r="V198" s="366"/>
      <c r="W198" s="367"/>
      <c r="X198" s="368" t="s">
        <v>424</v>
      </c>
      <c r="Y198" s="368" t="s">
        <v>424</v>
      </c>
      <c r="Z198" s="369" t="s">
        <v>424</v>
      </c>
      <c r="AA198" s="368" t="s">
        <v>424</v>
      </c>
      <c r="AB198" s="368" t="s">
        <v>424</v>
      </c>
      <c r="AC198" s="362" t="s">
        <v>424</v>
      </c>
      <c r="AD198" s="274"/>
      <c r="AE198" s="273"/>
      <c r="AF198" s="273"/>
      <c r="AG198" s="420" t="s">
        <v>424</v>
      </c>
      <c r="AH198" s="368" t="s">
        <v>424</v>
      </c>
      <c r="AI198" s="369" t="s">
        <v>424</v>
      </c>
      <c r="AJ198" s="273"/>
      <c r="AK198" s="273"/>
      <c r="AL198" s="273"/>
      <c r="AM198" s="420" t="s">
        <v>424</v>
      </c>
      <c r="AN198" s="368" t="s">
        <v>424</v>
      </c>
      <c r="AO198" s="362" t="s">
        <v>424</v>
      </c>
      <c r="AP198" s="273"/>
      <c r="AQ198" s="273"/>
      <c r="AR198" s="372"/>
      <c r="AS198" s="368">
        <f t="shared" si="126"/>
        <v>46506</v>
      </c>
      <c r="AT198" s="368">
        <f t="shared" si="127"/>
        <v>46412</v>
      </c>
      <c r="AU198" s="377">
        <f t="shared" si="124"/>
        <v>46392</v>
      </c>
      <c r="AV198" s="368">
        <f t="shared" si="125"/>
        <v>46522</v>
      </c>
      <c r="AW198" s="368">
        <f t="shared" si="122"/>
        <v>46512</v>
      </c>
      <c r="AX198" s="378">
        <f t="shared" si="123"/>
        <v>187</v>
      </c>
      <c r="AY198" s="368">
        <v>46325</v>
      </c>
      <c r="AZ198" s="362" t="s">
        <v>765</v>
      </c>
      <c r="BA198" s="375" t="s">
        <v>766</v>
      </c>
      <c r="BB198" s="487"/>
      <c r="BE198" s="277"/>
      <c r="BF198" s="278"/>
    </row>
    <row r="199" spans="1:58" s="269" customFormat="1" ht="23.45" customHeight="1">
      <c r="A199" s="270"/>
      <c r="B199" s="357" t="s">
        <v>578</v>
      </c>
      <c r="C199" s="357" t="s">
        <v>771</v>
      </c>
      <c r="D199" s="357" t="s">
        <v>755</v>
      </c>
      <c r="E199" s="357"/>
      <c r="F199" s="357" t="s">
        <v>581</v>
      </c>
      <c r="G199" s="357" t="str">
        <f>F199&amp;D199&amp;C199</f>
        <v>01TELEQUIP</v>
      </c>
      <c r="H199" s="358">
        <v>6</v>
      </c>
      <c r="I199" s="517" t="s">
        <v>772</v>
      </c>
      <c r="J199" s="359"/>
      <c r="K199" s="360"/>
      <c r="L199" s="361">
        <f>SUMIFS('[36]frm P6'!$J:$J,'[36]frm P6'!D:D,[36]Schedule!B199,'[36]frm P6'!E:E,[36]Schedule!C199,'[36]frm P6'!F:F,[36]Schedule!D199,'[36]frm P6'!G:G,[36]Schedule!$K$191,'[36]frm P6'!H:H,[36]Schedule!F199)</f>
        <v>46470</v>
      </c>
      <c r="M199" s="361">
        <f>SUMIFS('[36]frm P6'!$K:$K,'[36]frm P6'!D:D,[36]Schedule!B199,'[36]frm P6'!E:E,[36]Schedule!C199,'[36]frm P6'!F:F,[36]Schedule!D199,'[36]frm P6'!G:G,[36]Schedule!$K$191,'[36]frm P6'!H:H,[36]Schedule!F199)</f>
        <v>46542</v>
      </c>
      <c r="N199" s="362">
        <f t="shared" si="120"/>
        <v>73</v>
      </c>
      <c r="O199" s="273"/>
      <c r="P199" s="273"/>
      <c r="Q199" s="273"/>
      <c r="R199" s="363"/>
      <c r="S199" s="364"/>
      <c r="T199" s="365"/>
      <c r="U199" s="366"/>
      <c r="V199" s="366"/>
      <c r="W199" s="367"/>
      <c r="X199" s="368" t="s">
        <v>424</v>
      </c>
      <c r="Y199" s="368" t="s">
        <v>424</v>
      </c>
      <c r="Z199" s="369" t="s">
        <v>424</v>
      </c>
      <c r="AA199" s="368" t="s">
        <v>424</v>
      </c>
      <c r="AB199" s="368" t="s">
        <v>424</v>
      </c>
      <c r="AC199" s="362" t="s">
        <v>424</v>
      </c>
      <c r="AD199" s="274"/>
      <c r="AE199" s="273"/>
      <c r="AF199" s="273"/>
      <c r="AG199" s="420" t="s">
        <v>424</v>
      </c>
      <c r="AH199" s="368" t="s">
        <v>424</v>
      </c>
      <c r="AI199" s="369" t="s">
        <v>424</v>
      </c>
      <c r="AJ199" s="273"/>
      <c r="AK199" s="273"/>
      <c r="AL199" s="273"/>
      <c r="AM199" s="420" t="s">
        <v>424</v>
      </c>
      <c r="AN199" s="368" t="s">
        <v>424</v>
      </c>
      <c r="AO199" s="362" t="s">
        <v>424</v>
      </c>
      <c r="AP199" s="273"/>
      <c r="AQ199" s="273"/>
      <c r="AR199" s="372"/>
      <c r="AS199" s="368">
        <f t="shared" si="126"/>
        <v>46450</v>
      </c>
      <c r="AT199" s="368">
        <f t="shared" si="127"/>
        <v>46356</v>
      </c>
      <c r="AU199" s="377">
        <f t="shared" si="124"/>
        <v>46336</v>
      </c>
      <c r="AV199" s="368">
        <f t="shared" si="125"/>
        <v>46466</v>
      </c>
      <c r="AW199" s="368">
        <f t="shared" si="122"/>
        <v>46456</v>
      </c>
      <c r="AX199" s="378">
        <f t="shared" si="123"/>
        <v>131</v>
      </c>
      <c r="AY199" s="368">
        <v>46325</v>
      </c>
      <c r="AZ199" s="362" t="s">
        <v>765</v>
      </c>
      <c r="BA199" s="375" t="s">
        <v>766</v>
      </c>
      <c r="BB199" s="487"/>
      <c r="BE199" s="277"/>
      <c r="BF199" s="278"/>
    </row>
    <row r="200" spans="1:58" s="269" customFormat="1" ht="23.45" customHeight="1">
      <c r="A200" s="270"/>
      <c r="B200" s="357" t="s">
        <v>578</v>
      </c>
      <c r="C200" s="357" t="s">
        <v>773</v>
      </c>
      <c r="D200" s="357" t="s">
        <v>755</v>
      </c>
      <c r="E200" s="357"/>
      <c r="F200" s="357" t="s">
        <v>581</v>
      </c>
      <c r="G200" s="357"/>
      <c r="H200" s="358">
        <v>4</v>
      </c>
      <c r="I200" s="517" t="s">
        <v>774</v>
      </c>
      <c r="J200" s="359"/>
      <c r="K200" s="360"/>
      <c r="L200" s="361">
        <f>SUMIFS('[36]frm P6'!$J:$J,'[36]frm P6'!D:D,[36]Schedule!B200,'[36]frm P6'!E:E,[36]Schedule!C200,'[36]frm P6'!F:F,[36]Schedule!D200,'[36]frm P6'!G:G,[36]Schedule!$K$191,'[36]frm P6'!H:H,[36]Schedule!F200)</f>
        <v>46484</v>
      </c>
      <c r="M200" s="361">
        <f>SUMIFS('[36]frm P6'!$K:$K,'[36]frm P6'!D:D,[36]Schedule!B200,'[36]frm P6'!E:E,[36]Schedule!C200,'[36]frm P6'!F:F,[36]Schedule!D200,'[36]frm P6'!G:G,[36]Schedule!$K$191,'[36]frm P6'!H:H,[36]Schedule!F200)</f>
        <v>46506</v>
      </c>
      <c r="N200" s="362">
        <f t="shared" si="120"/>
        <v>23</v>
      </c>
      <c r="O200" s="273"/>
      <c r="P200" s="273"/>
      <c r="Q200" s="273"/>
      <c r="R200" s="363"/>
      <c r="S200" s="364"/>
      <c r="T200" s="365"/>
      <c r="U200" s="366"/>
      <c r="V200" s="366"/>
      <c r="W200" s="367"/>
      <c r="X200" s="368" t="s">
        <v>424</v>
      </c>
      <c r="Y200" s="368" t="s">
        <v>424</v>
      </c>
      <c r="Z200" s="369" t="s">
        <v>424</v>
      </c>
      <c r="AA200" s="368" t="s">
        <v>424</v>
      </c>
      <c r="AB200" s="368" t="s">
        <v>424</v>
      </c>
      <c r="AC200" s="362" t="s">
        <v>424</v>
      </c>
      <c r="AD200" s="274"/>
      <c r="AE200" s="273"/>
      <c r="AF200" s="273"/>
      <c r="AG200" s="420" t="s">
        <v>424</v>
      </c>
      <c r="AH200" s="368" t="s">
        <v>424</v>
      </c>
      <c r="AI200" s="369" t="s">
        <v>424</v>
      </c>
      <c r="AJ200" s="273"/>
      <c r="AK200" s="273"/>
      <c r="AL200" s="273"/>
      <c r="AM200" s="420" t="s">
        <v>424</v>
      </c>
      <c r="AN200" s="368" t="s">
        <v>424</v>
      </c>
      <c r="AO200" s="362" t="s">
        <v>424</v>
      </c>
      <c r="AP200" s="273"/>
      <c r="AQ200" s="273"/>
      <c r="AR200" s="372"/>
      <c r="AS200" s="368">
        <f t="shared" si="126"/>
        <v>46464</v>
      </c>
      <c r="AT200" s="368">
        <f t="shared" si="127"/>
        <v>46370</v>
      </c>
      <c r="AU200" s="377">
        <f t="shared" si="124"/>
        <v>46350</v>
      </c>
      <c r="AV200" s="368">
        <f t="shared" si="125"/>
        <v>46480</v>
      </c>
      <c r="AW200" s="368">
        <f t="shared" si="122"/>
        <v>46470</v>
      </c>
      <c r="AX200" s="378">
        <f t="shared" si="123"/>
        <v>145</v>
      </c>
      <c r="AY200" s="368">
        <v>46325</v>
      </c>
      <c r="AZ200" s="362" t="s">
        <v>765</v>
      </c>
      <c r="BA200" s="375" t="s">
        <v>766</v>
      </c>
      <c r="BB200" s="487"/>
      <c r="BE200" s="277"/>
      <c r="BF200" s="278"/>
    </row>
    <row r="201" spans="1:58" s="269" customFormat="1" ht="23.45" customHeight="1">
      <c r="A201" s="270"/>
      <c r="B201" s="357" t="s">
        <v>578</v>
      </c>
      <c r="C201" s="357" t="s">
        <v>775</v>
      </c>
      <c r="D201" s="357" t="s">
        <v>755</v>
      </c>
      <c r="E201" s="357"/>
      <c r="F201" s="357" t="s">
        <v>581</v>
      </c>
      <c r="G201" s="357" t="str">
        <f>F201&amp;D201&amp;C201</f>
        <v>01TELLIGHT</v>
      </c>
      <c r="H201" s="358">
        <v>5</v>
      </c>
      <c r="I201" s="517" t="s">
        <v>776</v>
      </c>
      <c r="J201" s="359"/>
      <c r="K201" s="360"/>
      <c r="L201" s="361">
        <f>SUMIFS('[36]frm P6'!$J:$J,'[36]frm P6'!D:D,[36]Schedule!B201,'[36]frm P6'!E:E,[36]Schedule!C201,'[36]frm P6'!F:F,[36]Schedule!D201,'[36]frm P6'!G:G,[36]Schedule!$K$191,'[36]frm P6'!H:H,[36]Schedule!F201)</f>
        <v>46487</v>
      </c>
      <c r="M201" s="361">
        <f>SUMIFS('[36]frm P6'!$K:$K,'[36]frm P6'!D:D,[36]Schedule!B201,'[36]frm P6'!E:E,[36]Schedule!C201,'[36]frm P6'!F:F,[36]Schedule!D201,'[36]frm P6'!G:G,[36]Schedule!$K$191,'[36]frm P6'!H:H,[36]Schedule!F201)</f>
        <v>46548</v>
      </c>
      <c r="N201" s="362">
        <f t="shared" si="120"/>
        <v>62</v>
      </c>
      <c r="O201" s="273"/>
      <c r="P201" s="273"/>
      <c r="Q201" s="273"/>
      <c r="R201" s="363"/>
      <c r="S201" s="364"/>
      <c r="T201" s="365"/>
      <c r="U201" s="366"/>
      <c r="V201" s="366"/>
      <c r="W201" s="367"/>
      <c r="X201" s="368" t="s">
        <v>424</v>
      </c>
      <c r="Y201" s="368" t="s">
        <v>424</v>
      </c>
      <c r="Z201" s="369" t="s">
        <v>424</v>
      </c>
      <c r="AA201" s="368" t="s">
        <v>424</v>
      </c>
      <c r="AB201" s="368" t="s">
        <v>424</v>
      </c>
      <c r="AC201" s="362" t="s">
        <v>424</v>
      </c>
      <c r="AD201" s="274"/>
      <c r="AE201" s="273"/>
      <c r="AF201" s="273"/>
      <c r="AG201" s="420" t="s">
        <v>424</v>
      </c>
      <c r="AH201" s="368" t="s">
        <v>424</v>
      </c>
      <c r="AI201" s="369" t="s">
        <v>424</v>
      </c>
      <c r="AJ201" s="273"/>
      <c r="AK201" s="273"/>
      <c r="AL201" s="273"/>
      <c r="AM201" s="420" t="s">
        <v>424</v>
      </c>
      <c r="AN201" s="368" t="s">
        <v>424</v>
      </c>
      <c r="AO201" s="362" t="s">
        <v>424</v>
      </c>
      <c r="AP201" s="273"/>
      <c r="AQ201" s="273"/>
      <c r="AR201" s="372"/>
      <c r="AS201" s="368">
        <f t="shared" si="126"/>
        <v>46467</v>
      </c>
      <c r="AT201" s="368">
        <f t="shared" si="127"/>
        <v>46373</v>
      </c>
      <c r="AU201" s="377">
        <f t="shared" si="124"/>
        <v>46353</v>
      </c>
      <c r="AV201" s="368">
        <f t="shared" si="125"/>
        <v>46483</v>
      </c>
      <c r="AW201" s="368">
        <f t="shared" si="122"/>
        <v>46473</v>
      </c>
      <c r="AX201" s="378">
        <f t="shared" si="123"/>
        <v>148</v>
      </c>
      <c r="AY201" s="368">
        <v>46325</v>
      </c>
      <c r="AZ201" s="362" t="s">
        <v>765</v>
      </c>
      <c r="BA201" s="375" t="s">
        <v>766</v>
      </c>
      <c r="BB201" s="487"/>
      <c r="BE201" s="277"/>
      <c r="BF201" s="278"/>
    </row>
    <row r="202" spans="1:58" s="269" customFormat="1" ht="23.45" customHeight="1">
      <c r="A202" s="270"/>
      <c r="B202" s="357" t="s">
        <v>578</v>
      </c>
      <c r="C202" s="357" t="s">
        <v>628</v>
      </c>
      <c r="D202" s="357" t="s">
        <v>755</v>
      </c>
      <c r="E202" s="357"/>
      <c r="F202" s="357" t="s">
        <v>581</v>
      </c>
      <c r="G202" s="357" t="str">
        <f>F202&amp;D202&amp;C202</f>
        <v>01TELSolar</v>
      </c>
      <c r="H202" s="358">
        <v>6</v>
      </c>
      <c r="I202" s="517" t="s">
        <v>777</v>
      </c>
      <c r="J202" s="359"/>
      <c r="K202" s="360"/>
      <c r="L202" s="361">
        <f>SUMIFS('[36]frm P6'!$J:$J,'[36]frm P6'!D:D,[36]Schedule!B202,'[36]frm P6'!E:E,[36]Schedule!C202,'[36]frm P6'!F:F,[36]Schedule!D202,'[36]frm P6'!G:G,[36]Schedule!$K$191,'[36]frm P6'!H:H,[36]Schedule!F202)</f>
        <v>46568</v>
      </c>
      <c r="M202" s="361">
        <f>SUMIFS('[36]frm P6'!$K:$K,'[36]frm P6'!D:D,[36]Schedule!B202,'[36]frm P6'!E:E,[36]Schedule!C202,'[36]frm P6'!F:F,[36]Schedule!D202,'[36]frm P6'!G:G,[36]Schedule!$K$191,'[36]frm P6'!H:H,[36]Schedule!F202)</f>
        <v>46576</v>
      </c>
      <c r="N202" s="362">
        <f t="shared" si="120"/>
        <v>9</v>
      </c>
      <c r="O202" s="273"/>
      <c r="P202" s="273"/>
      <c r="Q202" s="273"/>
      <c r="R202" s="363"/>
      <c r="S202" s="364"/>
      <c r="T202" s="365"/>
      <c r="U202" s="366"/>
      <c r="V202" s="366"/>
      <c r="W202" s="367"/>
      <c r="X202" s="368" t="s">
        <v>424</v>
      </c>
      <c r="Y202" s="368" t="s">
        <v>424</v>
      </c>
      <c r="Z202" s="369" t="s">
        <v>424</v>
      </c>
      <c r="AA202" s="368" t="s">
        <v>424</v>
      </c>
      <c r="AB202" s="368" t="s">
        <v>424</v>
      </c>
      <c r="AC202" s="362" t="s">
        <v>424</v>
      </c>
      <c r="AD202" s="274"/>
      <c r="AE202" s="273"/>
      <c r="AF202" s="273"/>
      <c r="AG202" s="420" t="s">
        <v>424</v>
      </c>
      <c r="AH202" s="368" t="s">
        <v>424</v>
      </c>
      <c r="AI202" s="369" t="s">
        <v>424</v>
      </c>
      <c r="AJ202" s="273"/>
      <c r="AK202" s="273"/>
      <c r="AL202" s="273"/>
      <c r="AM202" s="420" t="s">
        <v>424</v>
      </c>
      <c r="AN202" s="368" t="s">
        <v>424</v>
      </c>
      <c r="AO202" s="362" t="s">
        <v>424</v>
      </c>
      <c r="AP202" s="273"/>
      <c r="AQ202" s="273"/>
      <c r="AR202" s="372"/>
      <c r="AS202" s="368">
        <f t="shared" si="126"/>
        <v>46548</v>
      </c>
      <c r="AT202" s="368">
        <f t="shared" si="127"/>
        <v>46454</v>
      </c>
      <c r="AU202" s="377">
        <f t="shared" si="124"/>
        <v>46434</v>
      </c>
      <c r="AV202" s="368">
        <f t="shared" si="125"/>
        <v>46564</v>
      </c>
      <c r="AW202" s="368">
        <f t="shared" si="122"/>
        <v>46554</v>
      </c>
      <c r="AX202" s="378">
        <f t="shared" si="123"/>
        <v>229</v>
      </c>
      <c r="AY202" s="368">
        <v>46325</v>
      </c>
      <c r="AZ202" s="362" t="s">
        <v>765</v>
      </c>
      <c r="BA202" s="375" t="s">
        <v>766</v>
      </c>
      <c r="BB202" s="487"/>
      <c r="BE202" s="277"/>
      <c r="BF202" s="278"/>
    </row>
    <row r="203" spans="1:58" ht="30" customHeight="1">
      <c r="B203" s="438" t="s">
        <v>462</v>
      </c>
      <c r="C203" s="432"/>
      <c r="D203" s="432"/>
      <c r="E203" s="432"/>
      <c r="F203" s="432"/>
      <c r="G203" s="432"/>
      <c r="H203" s="336" t="s">
        <v>778</v>
      </c>
      <c r="I203" s="337"/>
      <c r="J203" s="338"/>
      <c r="K203" s="339"/>
      <c r="L203" s="340">
        <f>MIN(L204:L226)</f>
        <v>46373</v>
      </c>
      <c r="M203" s="340">
        <f>MAX(M204:M226)</f>
        <v>46612</v>
      </c>
      <c r="N203" s="337">
        <f t="shared" si="120"/>
        <v>240</v>
      </c>
      <c r="O203" s="341"/>
      <c r="P203" s="341"/>
      <c r="Q203" s="341"/>
      <c r="R203" s="380"/>
      <c r="S203" s="381"/>
      <c r="T203" s="382"/>
      <c r="U203" s="383"/>
      <c r="V203" s="383"/>
      <c r="W203" s="384"/>
      <c r="X203" s="340"/>
      <c r="Y203" s="340"/>
      <c r="Z203" s="347"/>
      <c r="AA203" s="340"/>
      <c r="AB203" s="340"/>
      <c r="AC203" s="337"/>
      <c r="AD203" s="348"/>
      <c r="AE203" s="341"/>
      <c r="AF203" s="341"/>
      <c r="AG203" s="349"/>
      <c r="AH203" s="340"/>
      <c r="AI203" s="347"/>
      <c r="AJ203" s="341"/>
      <c r="AK203" s="341"/>
      <c r="AL203" s="341"/>
      <c r="AM203" s="349"/>
      <c r="AN203" s="340"/>
      <c r="AO203" s="337"/>
      <c r="AP203" s="341"/>
      <c r="AQ203" s="341"/>
      <c r="AR203" s="351"/>
      <c r="AS203" s="340">
        <f>MIN(AS204:AS209)</f>
        <v>46339</v>
      </c>
      <c r="AT203" s="340">
        <f>MIN(AT204:AT209)</f>
        <v>46279</v>
      </c>
      <c r="AU203" s="352">
        <f>MIN(AU204:AU209)</f>
        <v>46264</v>
      </c>
      <c r="AV203" s="353">
        <f>MIN(AV204:AV209)</f>
        <v>46342</v>
      </c>
      <c r="AW203" s="353">
        <f>MIN(AW204:AW209)</f>
        <v>46332</v>
      </c>
      <c r="AX203" s="486"/>
      <c r="AY203" s="340"/>
      <c r="AZ203" s="337"/>
      <c r="BA203" s="337"/>
      <c r="BB203" s="439"/>
      <c r="BC203" s="268"/>
      <c r="BD203" s="268"/>
      <c r="BE203" s="311"/>
      <c r="BF203" s="312"/>
    </row>
    <row r="204" spans="1:58" s="269" customFormat="1" ht="23.45" customHeight="1">
      <c r="A204" s="270"/>
      <c r="B204" s="357" t="s">
        <v>578</v>
      </c>
      <c r="C204" s="357" t="s">
        <v>489</v>
      </c>
      <c r="D204" s="357" t="s">
        <v>755</v>
      </c>
      <c r="E204" s="357"/>
      <c r="F204" s="357" t="s">
        <v>645</v>
      </c>
      <c r="G204" s="357"/>
      <c r="H204" s="358">
        <v>1</v>
      </c>
      <c r="I204" s="517" t="s">
        <v>779</v>
      </c>
      <c r="J204" s="359"/>
      <c r="K204" s="360"/>
      <c r="L204" s="361">
        <f>SUMIFS('[36]frm P6'!$J:$J,'[36]frm P6'!D:D,[36]Schedule!B204,'[36]frm P6'!E:E,[36]Schedule!C204,'[36]frm P6'!F:F,[36]Schedule!D204,'[36]frm P6'!G:G,[36]Schedule!$K$191,'[36]frm P6'!H:H,[36]Schedule!F204)</f>
        <v>46373</v>
      </c>
      <c r="M204" s="361">
        <f>SUMIFS('[36]frm P6'!$K:$K,'[36]frm P6'!D:D,[36]Schedule!B204,'[36]frm P6'!E:E,[36]Schedule!C204,'[36]frm P6'!F:F,[36]Schedule!D204,'[36]frm P6'!G:G,[36]Schedule!$K$191,'[36]frm P6'!H:H,[36]Schedule!F204)</f>
        <v>46476</v>
      </c>
      <c r="N204" s="362">
        <f t="shared" si="120"/>
        <v>104</v>
      </c>
      <c r="O204" s="273">
        <v>9.27</v>
      </c>
      <c r="P204" s="273"/>
      <c r="Q204" s="273"/>
      <c r="R204" s="363"/>
      <c r="S204" s="364"/>
      <c r="T204" s="365"/>
      <c r="U204" s="366"/>
      <c r="V204" s="366"/>
      <c r="W204" s="367"/>
      <c r="X204" s="361">
        <f>SUMIFS('[36]frm P6'!$J:$J,'[36]frm P6'!D:D,[36]Schedule!B204,'[36]frm P6'!E:E,[36]Schedule!C204,'[36]frm P6'!F:F,[36]Schedule!D204,'[36]frm P6'!G:G,[36]Schedule!$W$138,'[36]frm P6'!H:H,[36]Schedule!F204)</f>
        <v>46365</v>
      </c>
      <c r="Y204" s="361">
        <f>SUMIFS('[36]frm P6'!$K:$K,'[36]frm P6'!D:D,[36]Schedule!B204,'[36]frm P6'!E:E,[36]Schedule!C204,'[36]frm P6'!F:F,[36]Schedule!D204,'[36]frm P6'!G:G,[36]Schedule!$W$138,'[36]frm P6'!H:H,[36]Schedule!F204)</f>
        <v>46416</v>
      </c>
      <c r="Z204" s="369" t="s">
        <v>424</v>
      </c>
      <c r="AA204" s="368" t="s">
        <v>424</v>
      </c>
      <c r="AB204" s="368" t="s">
        <v>424</v>
      </c>
      <c r="AC204" s="362" t="s">
        <v>424</v>
      </c>
      <c r="AD204" s="274"/>
      <c r="AE204" s="273"/>
      <c r="AF204" s="273"/>
      <c r="AG204" s="370">
        <f>SUMIFS('[36]frm P6'!$J:$J,'[36]frm P6'!D:D,[36]Schedule!B204,'[36]frm P6'!E:E,[36]Schedule!C204,'[36]frm P6'!F:F,[36]Schedule!D204,'[36]frm P6'!G:G,[36]Schedule!$AF$98,'[36]frm P6'!H:H,[36]Schedule!F204)</f>
        <v>46346</v>
      </c>
      <c r="AH204" s="361">
        <f>SUMIFS('[36]frm P6'!$K:$K,'[36]frm P6'!D:D,[36]Schedule!B204,'[36]frm P6'!E:E,[36]Schedule!C204,'[36]frm P6'!F:F,[36]Schedule!D204,'[36]frm P6'!G:G,[36]Schedule!$AF$98,'[36]frm P6'!H:H,[36]Schedule!F204)</f>
        <v>46402</v>
      </c>
      <c r="AI204" s="369">
        <f t="shared" ref="AI204" si="128">AH204-AG204+1</f>
        <v>57</v>
      </c>
      <c r="AJ204" s="273"/>
      <c r="AK204" s="273"/>
      <c r="AL204" s="273"/>
      <c r="AM204" s="420" t="s">
        <v>424</v>
      </c>
      <c r="AN204" s="368" t="s">
        <v>424</v>
      </c>
      <c r="AO204" s="362" t="s">
        <v>424</v>
      </c>
      <c r="AP204" s="273"/>
      <c r="AQ204" s="273"/>
      <c r="AR204" s="372"/>
      <c r="AS204" s="368">
        <f>AG204-7</f>
        <v>46339</v>
      </c>
      <c r="AT204" s="368">
        <f>AS204-60</f>
        <v>46279</v>
      </c>
      <c r="AU204" s="377">
        <f>AT204-15</f>
        <v>46264</v>
      </c>
      <c r="AV204" s="368">
        <f>AG204-$AV$3</f>
        <v>46342</v>
      </c>
      <c r="AW204" s="368">
        <f t="shared" si="122"/>
        <v>46332</v>
      </c>
      <c r="AX204" s="378">
        <f t="shared" ref="AX204:AX212" si="129">AW204-AY204</f>
        <v>65</v>
      </c>
      <c r="AY204" s="368">
        <v>46267</v>
      </c>
      <c r="AZ204" s="362" t="s">
        <v>757</v>
      </c>
      <c r="BA204" s="375" t="s">
        <v>758</v>
      </c>
      <c r="BB204" s="487"/>
      <c r="BE204" s="277"/>
      <c r="BF204" s="278"/>
    </row>
    <row r="205" spans="1:58" s="269" customFormat="1" ht="23.45" customHeight="1">
      <c r="A205" s="270"/>
      <c r="B205" s="357" t="s">
        <v>578</v>
      </c>
      <c r="C205" s="357" t="s">
        <v>759</v>
      </c>
      <c r="D205" s="357" t="s">
        <v>755</v>
      </c>
      <c r="E205" s="357"/>
      <c r="F205" s="357" t="s">
        <v>645</v>
      </c>
      <c r="G205" s="357" t="str">
        <f t="shared" ref="G205:G212" si="130">F205&amp;D205&amp;C205</f>
        <v>02TELTRARY</v>
      </c>
      <c r="H205" s="358">
        <v>2</v>
      </c>
      <c r="I205" s="517" t="s">
        <v>780</v>
      </c>
      <c r="J205" s="359"/>
      <c r="K205" s="360"/>
      <c r="L205" s="361">
        <f>SUMIFS('[36]frm P6'!$J:$J,'[36]frm P6'!D:D,[36]Schedule!B205,'[36]frm P6'!E:E,[36]Schedule!C205,'[36]frm P6'!F:F,[36]Schedule!D205,'[36]frm P6'!G:G,[36]Schedule!$K$191,'[36]frm P6'!H:H,[36]Schedule!F205)</f>
        <v>46433</v>
      </c>
      <c r="M205" s="361">
        <f>SUMIFS('[36]frm P6'!$K:$K,'[36]frm P6'!D:D,[36]Schedule!B205,'[36]frm P6'!E:E,[36]Schedule!C205,'[36]frm P6'!F:F,[36]Schedule!D205,'[36]frm P6'!G:G,[36]Schedule!$K$191,'[36]frm P6'!H:H,[36]Schedule!F205)</f>
        <v>46518</v>
      </c>
      <c r="N205" s="362">
        <f t="shared" si="120"/>
        <v>86</v>
      </c>
      <c r="O205" s="273"/>
      <c r="P205" s="273">
        <v>3140</v>
      </c>
      <c r="Q205" s="273"/>
      <c r="R205" s="363"/>
      <c r="S205" s="364"/>
      <c r="T205" s="365"/>
      <c r="U205" s="366"/>
      <c r="V205" s="366"/>
      <c r="W205" s="367"/>
      <c r="X205" s="368" t="s">
        <v>424</v>
      </c>
      <c r="Y205" s="368" t="s">
        <v>424</v>
      </c>
      <c r="Z205" s="369" t="s">
        <v>424</v>
      </c>
      <c r="AA205" s="368" t="s">
        <v>424</v>
      </c>
      <c r="AB205" s="368" t="s">
        <v>424</v>
      </c>
      <c r="AC205" s="362" t="s">
        <v>424</v>
      </c>
      <c r="AD205" s="274"/>
      <c r="AE205" s="273"/>
      <c r="AF205" s="273"/>
      <c r="AG205" s="420" t="s">
        <v>424</v>
      </c>
      <c r="AH205" s="368" t="s">
        <v>424</v>
      </c>
      <c r="AI205" s="369" t="s">
        <v>424</v>
      </c>
      <c r="AJ205" s="273"/>
      <c r="AK205" s="273"/>
      <c r="AL205" s="273"/>
      <c r="AM205" s="420" t="s">
        <v>424</v>
      </c>
      <c r="AN205" s="368" t="s">
        <v>424</v>
      </c>
      <c r="AO205" s="362" t="s">
        <v>424</v>
      </c>
      <c r="AP205" s="273"/>
      <c r="AQ205" s="273"/>
      <c r="AR205" s="372"/>
      <c r="AS205" s="368">
        <f>L205-10</f>
        <v>46423</v>
      </c>
      <c r="AT205" s="368">
        <f>AS205-90</f>
        <v>46333</v>
      </c>
      <c r="AU205" s="377">
        <f t="shared" ref="AU205:AU209" si="131">AT205-20</f>
        <v>46313</v>
      </c>
      <c r="AV205" s="368">
        <f t="shared" ref="AV205:AV212" si="132">L205-$AV$3</f>
        <v>46429</v>
      </c>
      <c r="AW205" s="368">
        <f t="shared" si="122"/>
        <v>46419</v>
      </c>
      <c r="AX205" s="378">
        <f t="shared" si="129"/>
        <v>131</v>
      </c>
      <c r="AY205" s="368">
        <v>46288</v>
      </c>
      <c r="AZ205" s="362" t="s">
        <v>761</v>
      </c>
      <c r="BA205" s="375" t="s">
        <v>762</v>
      </c>
      <c r="BB205" s="487"/>
      <c r="BE205" s="277"/>
      <c r="BF205" s="278"/>
    </row>
    <row r="206" spans="1:58" s="269" customFormat="1" ht="23.45" customHeight="1">
      <c r="A206" s="270"/>
      <c r="B206" s="357" t="s">
        <v>578</v>
      </c>
      <c r="C206" s="357" t="s">
        <v>763</v>
      </c>
      <c r="D206" s="357" t="s">
        <v>755</v>
      </c>
      <c r="E206" s="357"/>
      <c r="F206" s="357" t="s">
        <v>645</v>
      </c>
      <c r="G206" s="357" t="str">
        <f t="shared" si="130"/>
        <v>02TELCABLE</v>
      </c>
      <c r="H206" s="358">
        <v>3</v>
      </c>
      <c r="I206" s="517" t="s">
        <v>781</v>
      </c>
      <c r="J206" s="359"/>
      <c r="K206" s="360"/>
      <c r="L206" s="361">
        <f>SUMIFS('[36]frm P6'!$J:$J,'[36]frm P6'!D:D,[36]Schedule!B206,'[36]frm P6'!E:E,[36]Schedule!C206,'[36]frm P6'!F:F,[36]Schedule!D206,'[36]frm P6'!G:G,[36]Schedule!$K$191,'[36]frm P6'!H:H,[36]Schedule!F206)</f>
        <v>46514</v>
      </c>
      <c r="M206" s="361">
        <f>SUMIFS('[36]frm P6'!$K:$K,'[36]frm P6'!D:D,[36]Schedule!B206,'[36]frm P6'!E:E,[36]Schedule!C206,'[36]frm P6'!F:F,[36]Schedule!D206,'[36]frm P6'!G:G,[36]Schedule!$K$191,'[36]frm P6'!H:H,[36]Schedule!F206)</f>
        <v>46585</v>
      </c>
      <c r="N206" s="362">
        <f t="shared" si="120"/>
        <v>72</v>
      </c>
      <c r="O206" s="273"/>
      <c r="P206" s="273">
        <v>8396</v>
      </c>
      <c r="Q206" s="273"/>
      <c r="R206" s="363"/>
      <c r="S206" s="364"/>
      <c r="T206" s="365"/>
      <c r="U206" s="366"/>
      <c r="V206" s="366"/>
      <c r="W206" s="367"/>
      <c r="X206" s="368" t="s">
        <v>424</v>
      </c>
      <c r="Y206" s="368" t="s">
        <v>424</v>
      </c>
      <c r="Z206" s="369" t="s">
        <v>424</v>
      </c>
      <c r="AA206" s="368" t="s">
        <v>424</v>
      </c>
      <c r="AB206" s="368" t="s">
        <v>424</v>
      </c>
      <c r="AC206" s="362" t="s">
        <v>424</v>
      </c>
      <c r="AD206" s="274"/>
      <c r="AE206" s="273"/>
      <c r="AF206" s="273"/>
      <c r="AG206" s="420" t="s">
        <v>424</v>
      </c>
      <c r="AH206" s="368" t="s">
        <v>424</v>
      </c>
      <c r="AI206" s="369" t="s">
        <v>424</v>
      </c>
      <c r="AJ206" s="273"/>
      <c r="AK206" s="273"/>
      <c r="AL206" s="273"/>
      <c r="AM206" s="420" t="s">
        <v>424</v>
      </c>
      <c r="AN206" s="368" t="s">
        <v>424</v>
      </c>
      <c r="AO206" s="362" t="s">
        <v>424</v>
      </c>
      <c r="AP206" s="273"/>
      <c r="AQ206" s="273"/>
      <c r="AR206" s="372"/>
      <c r="AS206" s="368">
        <f t="shared" ref="AS206:AS212" si="133">L206-20</f>
        <v>46494</v>
      </c>
      <c r="AT206" s="368">
        <f>AS206-150</f>
        <v>46344</v>
      </c>
      <c r="AU206" s="377">
        <f>AT206-30</f>
        <v>46314</v>
      </c>
      <c r="AV206" s="368">
        <f t="shared" si="132"/>
        <v>46510</v>
      </c>
      <c r="AW206" s="368">
        <f t="shared" si="122"/>
        <v>46500</v>
      </c>
      <c r="AX206" s="378">
        <f t="shared" si="129"/>
        <v>175</v>
      </c>
      <c r="AY206" s="368">
        <v>46325</v>
      </c>
      <c r="AZ206" s="362" t="s">
        <v>765</v>
      </c>
      <c r="BA206" s="375" t="s">
        <v>766</v>
      </c>
      <c r="BB206" s="487"/>
      <c r="BE206" s="277"/>
      <c r="BF206" s="278"/>
    </row>
    <row r="207" spans="1:58" s="269" customFormat="1" ht="23.45" customHeight="1">
      <c r="A207" s="270"/>
      <c r="B207" s="357" t="s">
        <v>578</v>
      </c>
      <c r="C207" s="357" t="s">
        <v>767</v>
      </c>
      <c r="D207" s="357" t="s">
        <v>755</v>
      </c>
      <c r="E207" s="357"/>
      <c r="F207" s="357" t="s">
        <v>645</v>
      </c>
      <c r="G207" s="357" t="str">
        <f t="shared" si="130"/>
        <v>02TELGLAND</v>
      </c>
      <c r="H207" s="358">
        <v>4</v>
      </c>
      <c r="I207" s="517" t="s">
        <v>782</v>
      </c>
      <c r="J207" s="359"/>
      <c r="K207" s="360"/>
      <c r="L207" s="361">
        <f>SUMIFS('[36]frm P6'!$J:$J,'[36]frm P6'!D:D,[36]Schedule!B207,'[36]frm P6'!E:E,[36]Schedule!C207,'[36]frm P6'!F:F,[36]Schedule!D207,'[36]frm P6'!G:G,[36]Schedule!$K$191,'[36]frm P6'!H:H,[36]Schedule!F207)</f>
        <v>46550</v>
      </c>
      <c r="M207" s="361">
        <f>SUMIFS('[36]frm P6'!$K:$K,'[36]frm P6'!D:D,[36]Schedule!B207,'[36]frm P6'!E:E,[36]Schedule!C207,'[36]frm P6'!F:F,[36]Schedule!D207,'[36]frm P6'!G:G,[36]Schedule!$K$191,'[36]frm P6'!H:H,[36]Schedule!F207)</f>
        <v>46606</v>
      </c>
      <c r="N207" s="362">
        <f t="shared" si="120"/>
        <v>57</v>
      </c>
      <c r="O207" s="273"/>
      <c r="P207" s="273"/>
      <c r="Q207" s="273">
        <v>360</v>
      </c>
      <c r="R207" s="363"/>
      <c r="S207" s="364"/>
      <c r="T207" s="365"/>
      <c r="U207" s="366"/>
      <c r="V207" s="366"/>
      <c r="W207" s="367"/>
      <c r="X207" s="368" t="s">
        <v>424</v>
      </c>
      <c r="Y207" s="368" t="s">
        <v>424</v>
      </c>
      <c r="Z207" s="369" t="s">
        <v>424</v>
      </c>
      <c r="AA207" s="368" t="s">
        <v>424</v>
      </c>
      <c r="AB207" s="368" t="s">
        <v>424</v>
      </c>
      <c r="AC207" s="362" t="s">
        <v>424</v>
      </c>
      <c r="AD207" s="274"/>
      <c r="AE207" s="273"/>
      <c r="AF207" s="273"/>
      <c r="AG207" s="420" t="s">
        <v>424</v>
      </c>
      <c r="AH207" s="368" t="s">
        <v>424</v>
      </c>
      <c r="AI207" s="369" t="s">
        <v>424</v>
      </c>
      <c r="AJ207" s="273"/>
      <c r="AK207" s="273"/>
      <c r="AL207" s="273"/>
      <c r="AM207" s="420" t="s">
        <v>424</v>
      </c>
      <c r="AN207" s="368" t="s">
        <v>424</v>
      </c>
      <c r="AO207" s="362" t="s">
        <v>424</v>
      </c>
      <c r="AP207" s="273"/>
      <c r="AQ207" s="273"/>
      <c r="AR207" s="372"/>
      <c r="AS207" s="368">
        <f t="shared" si="133"/>
        <v>46530</v>
      </c>
      <c r="AT207" s="368">
        <f>AS207-94</f>
        <v>46436</v>
      </c>
      <c r="AU207" s="377">
        <f t="shared" si="131"/>
        <v>46416</v>
      </c>
      <c r="AV207" s="368">
        <f t="shared" si="132"/>
        <v>46546</v>
      </c>
      <c r="AW207" s="368">
        <f t="shared" si="122"/>
        <v>46536</v>
      </c>
      <c r="AX207" s="378">
        <f t="shared" si="129"/>
        <v>211</v>
      </c>
      <c r="AY207" s="368">
        <v>46325</v>
      </c>
      <c r="AZ207" s="362" t="s">
        <v>765</v>
      </c>
      <c r="BA207" s="375" t="s">
        <v>766</v>
      </c>
      <c r="BB207" s="487"/>
      <c r="BE207" s="277"/>
      <c r="BF207" s="278"/>
    </row>
    <row r="208" spans="1:58" s="269" customFormat="1" ht="23.45" customHeight="1">
      <c r="A208" s="270"/>
      <c r="B208" s="357" t="s">
        <v>578</v>
      </c>
      <c r="C208" s="357" t="s">
        <v>769</v>
      </c>
      <c r="D208" s="357" t="s">
        <v>755</v>
      </c>
      <c r="E208" s="357"/>
      <c r="F208" s="357" t="s">
        <v>645</v>
      </c>
      <c r="G208" s="357" t="str">
        <f t="shared" si="130"/>
        <v>02TELTERM</v>
      </c>
      <c r="H208" s="358">
        <v>5</v>
      </c>
      <c r="I208" s="517" t="s">
        <v>783</v>
      </c>
      <c r="J208" s="359"/>
      <c r="K208" s="360"/>
      <c r="L208" s="361">
        <f>SUMIFS('[36]frm P6'!$J:$J,'[36]frm P6'!D:D,[36]Schedule!B208,'[36]frm P6'!E:E,[36]Schedule!C208,'[36]frm P6'!F:F,[36]Schedule!D208,'[36]frm P6'!G:G,[36]Schedule!$K$191,'[36]frm P6'!H:H,[36]Schedule!F208)</f>
        <v>46556</v>
      </c>
      <c r="M208" s="361">
        <f>SUMIFS('[36]frm P6'!$K:$K,'[36]frm P6'!D:D,[36]Schedule!B208,'[36]frm P6'!E:E,[36]Schedule!C208,'[36]frm P6'!F:F,[36]Schedule!D208,'[36]frm P6'!G:G,[36]Schedule!$K$191,'[36]frm P6'!H:H,[36]Schedule!F208)</f>
        <v>46612</v>
      </c>
      <c r="N208" s="362">
        <f t="shared" si="120"/>
        <v>57</v>
      </c>
      <c r="O208" s="273"/>
      <c r="P208" s="273"/>
      <c r="Q208" s="273"/>
      <c r="R208" s="363"/>
      <c r="S208" s="364"/>
      <c r="T208" s="365"/>
      <c r="U208" s="366"/>
      <c r="V208" s="366"/>
      <c r="W208" s="367"/>
      <c r="X208" s="368" t="s">
        <v>424</v>
      </c>
      <c r="Y208" s="368" t="s">
        <v>424</v>
      </c>
      <c r="Z208" s="369" t="s">
        <v>424</v>
      </c>
      <c r="AA208" s="368" t="s">
        <v>424</v>
      </c>
      <c r="AB208" s="368" t="s">
        <v>424</v>
      </c>
      <c r="AC208" s="362" t="s">
        <v>424</v>
      </c>
      <c r="AD208" s="274"/>
      <c r="AE208" s="273"/>
      <c r="AF208" s="273"/>
      <c r="AG208" s="420" t="s">
        <v>424</v>
      </c>
      <c r="AH208" s="368" t="s">
        <v>424</v>
      </c>
      <c r="AI208" s="369" t="s">
        <v>424</v>
      </c>
      <c r="AJ208" s="273"/>
      <c r="AK208" s="273"/>
      <c r="AL208" s="273"/>
      <c r="AM208" s="420" t="s">
        <v>424</v>
      </c>
      <c r="AN208" s="368" t="s">
        <v>424</v>
      </c>
      <c r="AO208" s="362" t="s">
        <v>424</v>
      </c>
      <c r="AP208" s="273"/>
      <c r="AQ208" s="273"/>
      <c r="AR208" s="372"/>
      <c r="AS208" s="368">
        <f t="shared" si="133"/>
        <v>46536</v>
      </c>
      <c r="AT208" s="368">
        <f>AS208-94</f>
        <v>46442</v>
      </c>
      <c r="AU208" s="377">
        <f t="shared" si="131"/>
        <v>46422</v>
      </c>
      <c r="AV208" s="368">
        <f t="shared" si="132"/>
        <v>46552</v>
      </c>
      <c r="AW208" s="368">
        <f t="shared" si="122"/>
        <v>46542</v>
      </c>
      <c r="AX208" s="378">
        <f t="shared" si="129"/>
        <v>217</v>
      </c>
      <c r="AY208" s="368">
        <v>46325</v>
      </c>
      <c r="AZ208" s="362" t="s">
        <v>765</v>
      </c>
      <c r="BA208" s="375" t="s">
        <v>766</v>
      </c>
      <c r="BB208" s="487"/>
      <c r="BE208" s="277"/>
      <c r="BF208" s="278"/>
    </row>
    <row r="209" spans="1:58" s="269" customFormat="1" ht="23.45" customHeight="1">
      <c r="A209" s="270"/>
      <c r="B209" s="357" t="s">
        <v>578</v>
      </c>
      <c r="C209" s="357" t="s">
        <v>771</v>
      </c>
      <c r="D209" s="357" t="s">
        <v>755</v>
      </c>
      <c r="E209" s="357"/>
      <c r="F209" s="357" t="s">
        <v>645</v>
      </c>
      <c r="G209" s="357" t="str">
        <f t="shared" si="130"/>
        <v>02TELEQUIP</v>
      </c>
      <c r="H209" s="358">
        <v>6</v>
      </c>
      <c r="I209" s="517" t="s">
        <v>784</v>
      </c>
      <c r="J209" s="359"/>
      <c r="K209" s="360"/>
      <c r="L209" s="361">
        <f>SUMIFS('[36]frm P6'!$J:$J,'[36]frm P6'!D:D,[36]Schedule!B209,'[36]frm P6'!E:E,[36]Schedule!C209,'[36]frm P6'!F:F,[36]Schedule!D209,'[36]frm P6'!G:G,[36]Schedule!$K$191,'[36]frm P6'!H:H,[36]Schedule!F209)</f>
        <v>46487</v>
      </c>
      <c r="M209" s="361">
        <f>SUMIFS('[36]frm P6'!$K:$K,'[36]frm P6'!D:D,[36]Schedule!B209,'[36]frm P6'!E:E,[36]Schedule!C209,'[36]frm P6'!F:F,[36]Schedule!D209,'[36]frm P6'!G:G,[36]Schedule!$K$191,'[36]frm P6'!H:H,[36]Schedule!F209)</f>
        <v>46560</v>
      </c>
      <c r="N209" s="362">
        <f t="shared" si="120"/>
        <v>74</v>
      </c>
      <c r="O209" s="273"/>
      <c r="P209" s="273"/>
      <c r="Q209" s="273"/>
      <c r="R209" s="363"/>
      <c r="S209" s="364"/>
      <c r="T209" s="365"/>
      <c r="U209" s="366"/>
      <c r="V209" s="366"/>
      <c r="W209" s="367"/>
      <c r="X209" s="368" t="s">
        <v>424</v>
      </c>
      <c r="Y209" s="368" t="s">
        <v>424</v>
      </c>
      <c r="Z209" s="369" t="s">
        <v>424</v>
      </c>
      <c r="AA209" s="368" t="s">
        <v>424</v>
      </c>
      <c r="AB209" s="368" t="s">
        <v>424</v>
      </c>
      <c r="AC209" s="362" t="s">
        <v>424</v>
      </c>
      <c r="AD209" s="274"/>
      <c r="AE209" s="273"/>
      <c r="AF209" s="273"/>
      <c r="AG209" s="420" t="s">
        <v>424</v>
      </c>
      <c r="AH209" s="368" t="s">
        <v>424</v>
      </c>
      <c r="AI209" s="369" t="s">
        <v>424</v>
      </c>
      <c r="AJ209" s="273"/>
      <c r="AK209" s="273"/>
      <c r="AL209" s="273"/>
      <c r="AM209" s="420" t="s">
        <v>424</v>
      </c>
      <c r="AN209" s="368" t="s">
        <v>424</v>
      </c>
      <c r="AO209" s="362" t="s">
        <v>424</v>
      </c>
      <c r="AP209" s="273"/>
      <c r="AQ209" s="273"/>
      <c r="AR209" s="372"/>
      <c r="AS209" s="368">
        <f t="shared" si="133"/>
        <v>46467</v>
      </c>
      <c r="AT209" s="368">
        <f>AS209-94</f>
        <v>46373</v>
      </c>
      <c r="AU209" s="377">
        <f t="shared" si="131"/>
        <v>46353</v>
      </c>
      <c r="AV209" s="368">
        <f t="shared" si="132"/>
        <v>46483</v>
      </c>
      <c r="AW209" s="368">
        <f t="shared" si="122"/>
        <v>46473</v>
      </c>
      <c r="AX209" s="378">
        <f t="shared" si="129"/>
        <v>148</v>
      </c>
      <c r="AY209" s="368">
        <v>46325</v>
      </c>
      <c r="AZ209" s="362" t="s">
        <v>765</v>
      </c>
      <c r="BA209" s="375" t="s">
        <v>766</v>
      </c>
      <c r="BB209" s="487"/>
      <c r="BE209" s="277"/>
      <c r="BF209" s="278"/>
    </row>
    <row r="210" spans="1:58" s="269" customFormat="1" ht="23.45" customHeight="1">
      <c r="A210" s="270"/>
      <c r="B210" s="357" t="s">
        <v>578</v>
      </c>
      <c r="C210" s="357" t="s">
        <v>773</v>
      </c>
      <c r="D210" s="357" t="s">
        <v>755</v>
      </c>
      <c r="E210" s="357"/>
      <c r="F210" s="357" t="s">
        <v>645</v>
      </c>
      <c r="G210" s="357" t="str">
        <f t="shared" si="130"/>
        <v>02TELEIRoom</v>
      </c>
      <c r="H210" s="358">
        <v>3</v>
      </c>
      <c r="I210" s="517" t="s">
        <v>785</v>
      </c>
      <c r="J210" s="359"/>
      <c r="K210" s="360"/>
      <c r="L210" s="361">
        <f>SUMIFS('[36]frm P6'!$J:$J,'[36]frm P6'!D:D,[36]Schedule!B210,'[36]frm P6'!E:E,[36]Schedule!C210,'[36]frm P6'!F:F,[36]Schedule!D210,'[36]frm P6'!G:G,[36]Schedule!$K$191,'[36]frm P6'!H:H,[36]Schedule!F210)</f>
        <v>46492</v>
      </c>
      <c r="M210" s="361">
        <f>SUMIFS('[36]frm P6'!$K:$K,'[36]frm P6'!D:D,[36]Schedule!B210,'[36]frm P6'!E:E,[36]Schedule!C210,'[36]frm P6'!F:F,[36]Schedule!D210,'[36]frm P6'!G:G,[36]Schedule!$K$191,'[36]frm P6'!H:H,[36]Schedule!F210)</f>
        <v>46517</v>
      </c>
      <c r="N210" s="362">
        <f t="shared" si="120"/>
        <v>26</v>
      </c>
      <c r="O210" s="273"/>
      <c r="P210" s="273"/>
      <c r="Q210" s="273"/>
      <c r="R210" s="363"/>
      <c r="S210" s="364"/>
      <c r="T210" s="365"/>
      <c r="U210" s="366"/>
      <c r="V210" s="366"/>
      <c r="W210" s="367"/>
      <c r="X210" s="368" t="s">
        <v>424</v>
      </c>
      <c r="Y210" s="368" t="s">
        <v>424</v>
      </c>
      <c r="Z210" s="369" t="s">
        <v>424</v>
      </c>
      <c r="AA210" s="368" t="s">
        <v>424</v>
      </c>
      <c r="AB210" s="368" t="s">
        <v>424</v>
      </c>
      <c r="AC210" s="362" t="s">
        <v>424</v>
      </c>
      <c r="AD210" s="274"/>
      <c r="AE210" s="273"/>
      <c r="AF210" s="273"/>
      <c r="AG210" s="420" t="s">
        <v>424</v>
      </c>
      <c r="AH210" s="368" t="s">
        <v>424</v>
      </c>
      <c r="AI210" s="369" t="s">
        <v>424</v>
      </c>
      <c r="AJ210" s="273"/>
      <c r="AK210" s="273"/>
      <c r="AL210" s="273"/>
      <c r="AM210" s="420" t="s">
        <v>424</v>
      </c>
      <c r="AN210" s="368" t="s">
        <v>424</v>
      </c>
      <c r="AO210" s="362" t="s">
        <v>424</v>
      </c>
      <c r="AP210" s="273"/>
      <c r="AQ210" s="273"/>
      <c r="AR210" s="372"/>
      <c r="AS210" s="368">
        <f t="shared" si="133"/>
        <v>46472</v>
      </c>
      <c r="AT210" s="368">
        <f>AS210-150</f>
        <v>46322</v>
      </c>
      <c r="AU210" s="377">
        <f>AT210-30</f>
        <v>46292</v>
      </c>
      <c r="AV210" s="368">
        <f t="shared" si="132"/>
        <v>46488</v>
      </c>
      <c r="AW210" s="368">
        <f t="shared" si="122"/>
        <v>46478</v>
      </c>
      <c r="AX210" s="378">
        <f t="shared" si="129"/>
        <v>153</v>
      </c>
      <c r="AY210" s="368">
        <v>46325</v>
      </c>
      <c r="AZ210" s="362" t="s">
        <v>765</v>
      </c>
      <c r="BA210" s="375" t="s">
        <v>766</v>
      </c>
      <c r="BB210" s="487"/>
      <c r="BE210" s="277"/>
      <c r="BF210" s="278"/>
    </row>
    <row r="211" spans="1:58" s="269" customFormat="1" ht="23.45" customHeight="1">
      <c r="A211" s="270"/>
      <c r="B211" s="357" t="s">
        <v>578</v>
      </c>
      <c r="C211" s="357" t="s">
        <v>775</v>
      </c>
      <c r="D211" s="357" t="s">
        <v>755</v>
      </c>
      <c r="E211" s="357"/>
      <c r="F211" s="357" t="s">
        <v>645</v>
      </c>
      <c r="G211" s="357" t="str">
        <f t="shared" si="130"/>
        <v>02TELLIGHT</v>
      </c>
      <c r="H211" s="358">
        <v>4</v>
      </c>
      <c r="I211" s="517" t="s">
        <v>786</v>
      </c>
      <c r="J211" s="359"/>
      <c r="K211" s="360"/>
      <c r="L211" s="361">
        <f>SUMIFS('[36]frm P6'!$J:$J,'[36]frm P6'!D:D,[36]Schedule!B211,'[36]frm P6'!E:E,[36]Schedule!C211,'[36]frm P6'!F:F,[36]Schedule!D211,'[36]frm P6'!G:G,[36]Schedule!$K$191,'[36]frm P6'!H:H,[36]Schedule!F211)</f>
        <v>46512</v>
      </c>
      <c r="M211" s="361">
        <f>SUMIFS('[36]frm P6'!$K:$K,'[36]frm P6'!D:D,[36]Schedule!B211,'[36]frm P6'!E:E,[36]Schedule!C211,'[36]frm P6'!F:F,[36]Schedule!D211,'[36]frm P6'!G:G,[36]Schedule!$K$191,'[36]frm P6'!H:H,[36]Schedule!F211)</f>
        <v>46571</v>
      </c>
      <c r="N211" s="362">
        <f t="shared" si="120"/>
        <v>60</v>
      </c>
      <c r="O211" s="273"/>
      <c r="P211" s="273"/>
      <c r="Q211" s="273"/>
      <c r="R211" s="363"/>
      <c r="S211" s="364"/>
      <c r="T211" s="365"/>
      <c r="U211" s="366"/>
      <c r="V211" s="366"/>
      <c r="W211" s="367"/>
      <c r="X211" s="368" t="s">
        <v>424</v>
      </c>
      <c r="Y211" s="368" t="s">
        <v>424</v>
      </c>
      <c r="Z211" s="369" t="s">
        <v>424</v>
      </c>
      <c r="AA211" s="368" t="s">
        <v>424</v>
      </c>
      <c r="AB211" s="368" t="s">
        <v>424</v>
      </c>
      <c r="AC211" s="362" t="s">
        <v>424</v>
      </c>
      <c r="AD211" s="274"/>
      <c r="AE211" s="273"/>
      <c r="AF211" s="273"/>
      <c r="AG211" s="420" t="s">
        <v>424</v>
      </c>
      <c r="AH211" s="368" t="s">
        <v>424</v>
      </c>
      <c r="AI211" s="369" t="s">
        <v>424</v>
      </c>
      <c r="AJ211" s="273"/>
      <c r="AK211" s="273"/>
      <c r="AL211" s="273"/>
      <c r="AM211" s="420" t="s">
        <v>424</v>
      </c>
      <c r="AN211" s="368" t="s">
        <v>424</v>
      </c>
      <c r="AO211" s="362" t="s">
        <v>424</v>
      </c>
      <c r="AP211" s="273"/>
      <c r="AQ211" s="273"/>
      <c r="AR211" s="372"/>
      <c r="AS211" s="368">
        <f t="shared" si="133"/>
        <v>46492</v>
      </c>
      <c r="AT211" s="368">
        <f>AS211-94</f>
        <v>46398</v>
      </c>
      <c r="AU211" s="377">
        <f t="shared" ref="AU211:AU212" si="134">AT211-20</f>
        <v>46378</v>
      </c>
      <c r="AV211" s="368">
        <f t="shared" si="132"/>
        <v>46508</v>
      </c>
      <c r="AW211" s="368">
        <f t="shared" si="122"/>
        <v>46498</v>
      </c>
      <c r="AX211" s="378">
        <f t="shared" si="129"/>
        <v>173</v>
      </c>
      <c r="AY211" s="368">
        <v>46325</v>
      </c>
      <c r="AZ211" s="362" t="s">
        <v>765</v>
      </c>
      <c r="BA211" s="375" t="s">
        <v>766</v>
      </c>
      <c r="BB211" s="487"/>
      <c r="BE211" s="277"/>
      <c r="BF211" s="278"/>
    </row>
    <row r="212" spans="1:58" s="269" customFormat="1" ht="23.45" customHeight="1">
      <c r="A212" s="270"/>
      <c r="B212" s="357" t="s">
        <v>578</v>
      </c>
      <c r="C212" s="357" t="s">
        <v>628</v>
      </c>
      <c r="D212" s="357" t="s">
        <v>755</v>
      </c>
      <c r="E212" s="357"/>
      <c r="F212" s="357" t="s">
        <v>645</v>
      </c>
      <c r="G212" s="357" t="str">
        <f t="shared" si="130"/>
        <v>02TELSolar</v>
      </c>
      <c r="H212" s="358">
        <v>5</v>
      </c>
      <c r="I212" s="517" t="s">
        <v>787</v>
      </c>
      <c r="J212" s="359"/>
      <c r="K212" s="360"/>
      <c r="L212" s="361">
        <f>SUMIFS('[36]frm P6'!$J:$J,'[36]frm P6'!D:D,[36]Schedule!B212,'[36]frm P6'!E:E,[36]Schedule!C212,'[36]frm P6'!F:F,[36]Schedule!D212,'[36]frm P6'!G:G,[36]Schedule!$K$191,'[36]frm P6'!H:H,[36]Schedule!F212)</f>
        <v>46584</v>
      </c>
      <c r="M212" s="361">
        <f>SUMIFS('[36]frm P6'!$K:$K,'[36]frm P6'!D:D,[36]Schedule!B212,'[36]frm P6'!E:E,[36]Schedule!C212,'[36]frm P6'!F:F,[36]Schedule!D212,'[36]frm P6'!G:G,[36]Schedule!$K$191,'[36]frm P6'!H:H,[36]Schedule!F212)</f>
        <v>46592</v>
      </c>
      <c r="N212" s="362">
        <f t="shared" si="120"/>
        <v>9</v>
      </c>
      <c r="O212" s="273"/>
      <c r="P212" s="273"/>
      <c r="Q212" s="273"/>
      <c r="R212" s="363"/>
      <c r="S212" s="364"/>
      <c r="T212" s="365"/>
      <c r="U212" s="366"/>
      <c r="V212" s="366"/>
      <c r="W212" s="367"/>
      <c r="X212" s="368" t="s">
        <v>424</v>
      </c>
      <c r="Y212" s="368" t="s">
        <v>424</v>
      </c>
      <c r="Z212" s="369" t="s">
        <v>424</v>
      </c>
      <c r="AA212" s="368" t="s">
        <v>424</v>
      </c>
      <c r="AB212" s="368" t="s">
        <v>424</v>
      </c>
      <c r="AC212" s="362" t="s">
        <v>424</v>
      </c>
      <c r="AD212" s="274"/>
      <c r="AE212" s="273"/>
      <c r="AF212" s="273"/>
      <c r="AG212" s="420" t="s">
        <v>424</v>
      </c>
      <c r="AH212" s="368" t="s">
        <v>424</v>
      </c>
      <c r="AI212" s="369" t="s">
        <v>424</v>
      </c>
      <c r="AJ212" s="273"/>
      <c r="AK212" s="273"/>
      <c r="AL212" s="273"/>
      <c r="AM212" s="420" t="s">
        <v>424</v>
      </c>
      <c r="AN212" s="368" t="s">
        <v>424</v>
      </c>
      <c r="AO212" s="362" t="s">
        <v>424</v>
      </c>
      <c r="AP212" s="273"/>
      <c r="AQ212" s="273"/>
      <c r="AR212" s="372"/>
      <c r="AS212" s="368">
        <f t="shared" si="133"/>
        <v>46564</v>
      </c>
      <c r="AT212" s="368">
        <f>AS212-94</f>
        <v>46470</v>
      </c>
      <c r="AU212" s="377">
        <f t="shared" si="134"/>
        <v>46450</v>
      </c>
      <c r="AV212" s="368">
        <f t="shared" si="132"/>
        <v>46580</v>
      </c>
      <c r="AW212" s="368">
        <f t="shared" si="122"/>
        <v>46570</v>
      </c>
      <c r="AX212" s="378">
        <f t="shared" si="129"/>
        <v>245</v>
      </c>
      <c r="AY212" s="368">
        <v>46325</v>
      </c>
      <c r="AZ212" s="362" t="s">
        <v>765</v>
      </c>
      <c r="BA212" s="375" t="s">
        <v>766</v>
      </c>
      <c r="BB212" s="487"/>
      <c r="BE212" s="277"/>
      <c r="BF212" s="278"/>
    </row>
    <row r="213" spans="1:58" s="269" customFormat="1" ht="13.25" customHeight="1">
      <c r="B213" s="357"/>
      <c r="C213" s="357"/>
      <c r="D213" s="357"/>
      <c r="E213" s="357"/>
      <c r="F213" s="357"/>
      <c r="G213" s="357"/>
      <c r="H213" s="387"/>
      <c r="I213" s="388"/>
      <c r="J213" s="389"/>
      <c r="K213" s="390"/>
      <c r="L213" s="391"/>
      <c r="M213" s="391"/>
      <c r="N213" s="392"/>
      <c r="O213" s="393"/>
      <c r="P213" s="393"/>
      <c r="Q213" s="393"/>
      <c r="R213" s="363"/>
      <c r="S213" s="364"/>
      <c r="T213" s="365"/>
      <c r="U213" s="366"/>
      <c r="V213" s="366"/>
      <c r="W213" s="367"/>
      <c r="X213" s="391"/>
      <c r="Y213" s="391"/>
      <c r="Z213" s="392"/>
      <c r="AA213" s="523"/>
      <c r="AB213" s="391"/>
      <c r="AC213" s="392"/>
      <c r="AD213" s="395"/>
      <c r="AE213" s="393"/>
      <c r="AF213" s="393"/>
      <c r="AG213" s="524"/>
      <c r="AH213" s="492"/>
      <c r="AI213" s="496"/>
      <c r="AJ213" s="494"/>
      <c r="AK213" s="494"/>
      <c r="AL213" s="494"/>
      <c r="AM213" s="491"/>
      <c r="AN213" s="492"/>
      <c r="AO213" s="493"/>
      <c r="AP213" s="494"/>
      <c r="AQ213" s="494"/>
      <c r="AR213" s="493"/>
      <c r="AS213" s="492"/>
      <c r="AT213" s="492"/>
      <c r="AU213" s="496"/>
      <c r="AV213" s="497"/>
      <c r="AW213" s="497"/>
      <c r="AX213" s="525"/>
      <c r="AY213" s="526"/>
      <c r="AZ213" s="497"/>
      <c r="BA213" s="497"/>
      <c r="BB213" s="500"/>
      <c r="BE213" s="277"/>
      <c r="BF213" s="278"/>
    </row>
    <row r="214" spans="1:58" ht="6" customHeight="1">
      <c r="R214" s="363"/>
      <c r="S214" s="364"/>
      <c r="T214" s="365"/>
      <c r="U214" s="366"/>
      <c r="V214" s="366"/>
      <c r="W214" s="367"/>
    </row>
    <row r="215" spans="1:58" ht="27" customHeight="1">
      <c r="B215" s="406" t="s">
        <v>788</v>
      </c>
      <c r="H215" s="407" t="s">
        <v>137</v>
      </c>
      <c r="I215" s="287"/>
      <c r="J215" s="288"/>
      <c r="K215" s="289"/>
      <c r="L215" s="408" t="s">
        <v>375</v>
      </c>
      <c r="M215" s="291" t="s">
        <v>696</v>
      </c>
      <c r="N215" s="292"/>
      <c r="O215" s="293"/>
      <c r="P215" s="293"/>
      <c r="Q215" s="293"/>
      <c r="R215" s="409"/>
      <c r="S215" s="410"/>
      <c r="T215" s="411"/>
      <c r="U215" s="412"/>
      <c r="V215" s="412"/>
      <c r="W215" s="413"/>
      <c r="X215" s="294" t="s">
        <v>381</v>
      </c>
      <c r="Y215" s="414"/>
      <c r="Z215" s="297"/>
      <c r="AA215" s="415" t="s">
        <v>385</v>
      </c>
      <c r="AB215" s="295"/>
      <c r="AC215" s="297"/>
      <c r="AD215" s="299"/>
      <c r="AE215" s="293"/>
      <c r="AF215" s="293"/>
      <c r="AG215" s="300" t="s">
        <v>385</v>
      </c>
      <c r="AH215" s="298" t="s">
        <v>475</v>
      </c>
      <c r="AI215" s="296"/>
      <c r="AJ215" s="293"/>
      <c r="AK215" s="293"/>
      <c r="AL215" s="293"/>
      <c r="AM215" s="300"/>
      <c r="AN215" s="416" t="s">
        <v>424</v>
      </c>
      <c r="AO215" s="297"/>
      <c r="AP215" s="293"/>
      <c r="AQ215" s="293"/>
      <c r="AR215" s="297"/>
      <c r="AS215" s="294"/>
      <c r="AT215" s="484"/>
      <c r="AU215" s="304"/>
      <c r="AV215" s="294">
        <v>4</v>
      </c>
      <c r="AW215" s="294">
        <v>10</v>
      </c>
      <c r="AX215" s="519" t="s">
        <v>389</v>
      </c>
      <c r="AY215" s="520"/>
      <c r="AZ215" s="307"/>
      <c r="BA215" s="308"/>
      <c r="BB215" s="485"/>
    </row>
    <row r="216" spans="1:58" ht="27" customHeight="1">
      <c r="B216" s="313" t="s">
        <v>391</v>
      </c>
      <c r="C216" s="313" t="s">
        <v>392</v>
      </c>
      <c r="D216" s="313" t="s">
        <v>393</v>
      </c>
      <c r="E216" s="313" t="s">
        <v>394</v>
      </c>
      <c r="F216" s="313" t="s">
        <v>395</v>
      </c>
      <c r="G216" s="313"/>
      <c r="H216" s="314" t="s">
        <v>396</v>
      </c>
      <c r="I216" s="315" t="s">
        <v>397</v>
      </c>
      <c r="J216" s="316" t="s">
        <v>398</v>
      </c>
      <c r="K216" s="317"/>
      <c r="L216" s="315" t="s">
        <v>399</v>
      </c>
      <c r="M216" s="315" t="s">
        <v>400</v>
      </c>
      <c r="N216" s="315" t="s">
        <v>401</v>
      </c>
      <c r="O216" s="503" t="s">
        <v>473</v>
      </c>
      <c r="P216" s="318" t="s">
        <v>789</v>
      </c>
      <c r="Q216" s="318" t="s">
        <v>753</v>
      </c>
      <c r="R216" s="380"/>
      <c r="S216" s="381"/>
      <c r="T216" s="382"/>
      <c r="U216" s="383"/>
      <c r="V216" s="383"/>
      <c r="W216" s="384"/>
      <c r="X216" s="319" t="s">
        <v>399</v>
      </c>
      <c r="Y216" s="319" t="s">
        <v>400</v>
      </c>
      <c r="Z216" s="319" t="s">
        <v>401</v>
      </c>
      <c r="AA216" s="326" t="s">
        <v>399</v>
      </c>
      <c r="AB216" s="319" t="s">
        <v>400</v>
      </c>
      <c r="AC216" s="319" t="s">
        <v>401</v>
      </c>
      <c r="AD216" s="418"/>
      <c r="AE216" s="417"/>
      <c r="AF216" s="417"/>
      <c r="AG216" s="326"/>
      <c r="AH216" s="319"/>
      <c r="AI216" s="327"/>
      <c r="AJ216" s="417"/>
      <c r="AK216" s="417"/>
      <c r="AL216" s="417"/>
      <c r="AM216" s="323"/>
      <c r="AN216" s="319"/>
      <c r="AO216" s="319"/>
      <c r="AP216" s="417"/>
      <c r="AQ216" s="417"/>
      <c r="AR216" s="326" t="s">
        <v>408</v>
      </c>
      <c r="AS216" s="319" t="s">
        <v>409</v>
      </c>
      <c r="AT216" s="319" t="s">
        <v>410</v>
      </c>
      <c r="AU216" s="327" t="s">
        <v>560</v>
      </c>
      <c r="AV216" s="328" t="s">
        <v>393</v>
      </c>
      <c r="AW216" s="328" t="s">
        <v>412</v>
      </c>
      <c r="AX216" s="521" t="s">
        <v>413</v>
      </c>
      <c r="AY216" s="522"/>
      <c r="AZ216" s="328" t="s">
        <v>478</v>
      </c>
      <c r="BA216" s="328" t="s">
        <v>416</v>
      </c>
      <c r="BB216" s="331"/>
    </row>
    <row r="217" spans="1:58" ht="30" customHeight="1">
      <c r="B217" s="438" t="s">
        <v>417</v>
      </c>
      <c r="C217" s="432"/>
      <c r="D217" s="432"/>
      <c r="E217" s="432"/>
      <c r="F217" s="432"/>
      <c r="G217" s="432"/>
      <c r="H217" s="336" t="s">
        <v>790</v>
      </c>
      <c r="I217" s="337"/>
      <c r="J217" s="338"/>
      <c r="K217" s="339"/>
      <c r="L217" s="340">
        <f>MIN(L218:L230)</f>
        <v>46379</v>
      </c>
      <c r="M217" s="340">
        <f>MAX(M218:M230)</f>
        <v>46612</v>
      </c>
      <c r="N217" s="337">
        <f t="shared" ref="N217:N236" si="135">M217-L217+1</f>
        <v>234</v>
      </c>
      <c r="O217" s="341"/>
      <c r="P217" s="341"/>
      <c r="Q217" s="341"/>
      <c r="R217" s="380"/>
      <c r="S217" s="381"/>
      <c r="T217" s="382"/>
      <c r="U217" s="383"/>
      <c r="V217" s="383"/>
      <c r="W217" s="384"/>
      <c r="X217" s="340"/>
      <c r="Y217" s="340"/>
      <c r="Z217" s="347"/>
      <c r="AA217" s="340"/>
      <c r="AB217" s="340"/>
      <c r="AC217" s="337"/>
      <c r="AD217" s="348"/>
      <c r="AE217" s="341"/>
      <c r="AF217" s="341"/>
      <c r="AG217" s="349"/>
      <c r="AH217" s="340"/>
      <c r="AI217" s="347"/>
      <c r="AJ217" s="341"/>
      <c r="AK217" s="341"/>
      <c r="AL217" s="341"/>
      <c r="AM217" s="349"/>
      <c r="AN217" s="340"/>
      <c r="AO217" s="337"/>
      <c r="AP217" s="341"/>
      <c r="AQ217" s="341"/>
      <c r="AR217" s="351"/>
      <c r="AS217" s="340">
        <f>MIN(AS218:AS226)</f>
        <v>46350</v>
      </c>
      <c r="AT217" s="340">
        <f t="shared" ref="AT217:AW217" si="136">MIN(AT218:AT226)</f>
        <v>46195</v>
      </c>
      <c r="AU217" s="352">
        <f t="shared" si="136"/>
        <v>46175</v>
      </c>
      <c r="AV217" s="353">
        <f t="shared" si="136"/>
        <v>46353</v>
      </c>
      <c r="AW217" s="353">
        <f t="shared" si="136"/>
        <v>46343</v>
      </c>
      <c r="AX217" s="486"/>
      <c r="AY217" s="340"/>
      <c r="AZ217" s="337"/>
      <c r="BA217" s="337"/>
      <c r="BB217" s="439"/>
      <c r="BC217" s="268"/>
      <c r="BD217" s="268"/>
      <c r="BE217" s="311"/>
      <c r="BF217" s="312"/>
    </row>
    <row r="218" spans="1:58" s="269" customFormat="1" ht="23.45" customHeight="1">
      <c r="A218" s="270"/>
      <c r="B218" s="357" t="s">
        <v>578</v>
      </c>
      <c r="C218" s="357" t="s">
        <v>489</v>
      </c>
      <c r="D218" s="357" t="s">
        <v>791</v>
      </c>
      <c r="E218" s="357"/>
      <c r="F218" s="357" t="s">
        <v>581</v>
      </c>
      <c r="G218" s="357"/>
      <c r="H218" s="358">
        <v>1</v>
      </c>
      <c r="I218" s="517" t="s">
        <v>792</v>
      </c>
      <c r="J218" s="359"/>
      <c r="K218" s="360"/>
      <c r="L218" s="361">
        <f>SUMIFS('[36]frm P6'!$J:$J,'[36]frm P6'!D:D,[36]Schedule!B218,'[36]frm P6'!E:E,[36]Schedule!C218,'[36]frm P6'!F:F,[36]Schedule!D218,'[36]frm P6'!G:G,[36]Schedule!$K$215,'[36]frm P6'!H:H,[36]Schedule!F218)</f>
        <v>46379</v>
      </c>
      <c r="M218" s="361">
        <f>SUMIFS('[36]frm P6'!$K:$K,'[36]frm P6'!D:D,[36]Schedule!B218,'[36]frm P6'!E:E,[36]Schedule!C218,'[36]frm P6'!F:F,[36]Schedule!D218,'[36]frm P6'!G:G,[36]Schedule!$K$191,'[36]frm P6'!H:H,[36]Schedule!F218)</f>
        <v>46499</v>
      </c>
      <c r="N218" s="362">
        <f t="shared" si="135"/>
        <v>121</v>
      </c>
      <c r="O218" s="273">
        <v>5</v>
      </c>
      <c r="P218" s="273"/>
      <c r="Q218" s="273"/>
      <c r="R218" s="363"/>
      <c r="S218" s="364"/>
      <c r="T218" s="365"/>
      <c r="U218" s="366"/>
      <c r="V218" s="366"/>
      <c r="W218" s="367"/>
      <c r="X218" s="361">
        <f>SUMIFS('[36]frm P6'!$J:$J,'[36]frm P6'!D:D,[36]Schedule!B218,'[36]frm P6'!E:E,[36]Schedule!C218,'[36]frm P6'!F:F,[36]Schedule!D218,'[36]frm P6'!G:G,[36]Schedule!$W$138,'[36]frm P6'!H:H,[36]Schedule!F218)</f>
        <v>46372</v>
      </c>
      <c r="Y218" s="361">
        <f>SUMIFS('[36]frm P6'!$K:$K,'[36]frm P6'!D:D,[36]Schedule!B218,'[36]frm P6'!E:E,[36]Schedule!C218,'[36]frm P6'!F:F,[36]Schedule!D218,'[36]frm P6'!G:G,[36]Schedule!$W$138,'[36]frm P6'!H:H,[36]Schedule!F218)</f>
        <v>46440</v>
      </c>
      <c r="Z218" s="369" t="s">
        <v>424</v>
      </c>
      <c r="AA218" s="368" t="s">
        <v>424</v>
      </c>
      <c r="AB218" s="368" t="s">
        <v>424</v>
      </c>
      <c r="AC218" s="362" t="s">
        <v>424</v>
      </c>
      <c r="AD218" s="274"/>
      <c r="AE218" s="273"/>
      <c r="AF218" s="273"/>
      <c r="AG218" s="370">
        <f>SUMIFS('[36]frm P6'!$J:$J,'[36]frm P6'!D:D,[36]Schedule!B218,'[36]frm P6'!E:E,[36]Schedule!C218,'[36]frm P6'!F:F,[36]Schedule!D218,'[36]frm P6'!G:G,[36]Schedule!$AF$98,'[36]frm P6'!H:H,[36]Schedule!F218)</f>
        <v>46357</v>
      </c>
      <c r="AH218" s="361">
        <f>SUMIFS('[36]frm P6'!$K:$K,'[36]frm P6'!D:D,[36]Schedule!B218,'[36]frm P6'!E:E,[36]Schedule!C218,'[36]frm P6'!F:F,[36]Schedule!D218,'[36]frm P6'!G:G,[36]Schedule!$AF$98,'[36]frm P6'!H:H,[36]Schedule!F218)</f>
        <v>46413</v>
      </c>
      <c r="AI218" s="369">
        <f t="shared" ref="AI218" si="137">AH218-AG218+1</f>
        <v>57</v>
      </c>
      <c r="AJ218" s="273"/>
      <c r="AK218" s="273"/>
      <c r="AL218" s="273"/>
      <c r="AM218" s="420" t="s">
        <v>424</v>
      </c>
      <c r="AN218" s="368" t="s">
        <v>424</v>
      </c>
      <c r="AO218" s="362" t="s">
        <v>424</v>
      </c>
      <c r="AP218" s="273"/>
      <c r="AQ218" s="273"/>
      <c r="AR218" s="372"/>
      <c r="AS218" s="368">
        <f>AG218-7</f>
        <v>46350</v>
      </c>
      <c r="AT218" s="368">
        <f>AS218-60</f>
        <v>46290</v>
      </c>
      <c r="AU218" s="377">
        <f>AT218-15</f>
        <v>46275</v>
      </c>
      <c r="AV218" s="368">
        <f>AG218-$AV$3</f>
        <v>46353</v>
      </c>
      <c r="AW218" s="368">
        <f t="shared" ref="AW218:AW236" si="138">AV218-$AW$3</f>
        <v>46343</v>
      </c>
      <c r="AX218" s="378">
        <f t="shared" ref="AX218:AX226" si="139">AW218-AY218</f>
        <v>5</v>
      </c>
      <c r="AY218" s="368">
        <v>46338</v>
      </c>
      <c r="AZ218" s="362" t="s">
        <v>793</v>
      </c>
      <c r="BA218" s="375" t="s">
        <v>794</v>
      </c>
      <c r="BB218" s="487"/>
      <c r="BE218" s="277"/>
      <c r="BF218" s="278"/>
    </row>
    <row r="219" spans="1:58" s="269" customFormat="1" ht="23.45" customHeight="1">
      <c r="A219" s="270"/>
      <c r="B219" s="357" t="s">
        <v>578</v>
      </c>
      <c r="C219" s="357" t="s">
        <v>759</v>
      </c>
      <c r="D219" s="357" t="s">
        <v>791</v>
      </c>
      <c r="E219" s="357"/>
      <c r="F219" s="357" t="s">
        <v>581</v>
      </c>
      <c r="G219" s="357" t="str">
        <f t="shared" ref="G219:G226" si="140">F219&amp;D219&amp;C219</f>
        <v>01TINTRARY</v>
      </c>
      <c r="H219" s="358">
        <v>2</v>
      </c>
      <c r="I219" s="517" t="s">
        <v>795</v>
      </c>
      <c r="J219" s="359"/>
      <c r="K219" s="360"/>
      <c r="L219" s="361">
        <f>SUMIFS('[36]frm P6'!$J:$J,'[36]frm P6'!D:D,[36]Schedule!B219,'[36]frm P6'!E:E,[36]Schedule!C219,'[36]frm P6'!F:F,[36]Schedule!D219,'[36]frm P6'!G:G,[36]Schedule!$K$215,'[36]frm P6'!H:H,[36]Schedule!F219)</f>
        <v>46441</v>
      </c>
      <c r="M219" s="361">
        <f>SUMIFS('[36]frm P6'!$K:$K,'[36]frm P6'!D:D,[36]Schedule!B219,'[36]frm P6'!E:E,[36]Schedule!C219,'[36]frm P6'!F:F,[36]Schedule!D219,'[36]frm P6'!G:G,[36]Schedule!$K$191,'[36]frm P6'!H:H,[36]Schedule!F219)</f>
        <v>46517</v>
      </c>
      <c r="N219" s="362">
        <f t="shared" si="135"/>
        <v>77</v>
      </c>
      <c r="O219" s="273"/>
      <c r="P219" s="273">
        <v>751</v>
      </c>
      <c r="Q219" s="273"/>
      <c r="R219" s="363"/>
      <c r="S219" s="364"/>
      <c r="T219" s="365"/>
      <c r="U219" s="366"/>
      <c r="V219" s="366"/>
      <c r="W219" s="367"/>
      <c r="X219" s="368" t="s">
        <v>424</v>
      </c>
      <c r="Y219" s="368" t="s">
        <v>424</v>
      </c>
      <c r="Z219" s="369" t="s">
        <v>424</v>
      </c>
      <c r="AA219" s="368" t="s">
        <v>424</v>
      </c>
      <c r="AB219" s="368" t="s">
        <v>424</v>
      </c>
      <c r="AC219" s="362" t="s">
        <v>424</v>
      </c>
      <c r="AD219" s="274"/>
      <c r="AE219" s="273"/>
      <c r="AF219" s="273"/>
      <c r="AG219" s="420" t="s">
        <v>424</v>
      </c>
      <c r="AH219" s="368" t="s">
        <v>424</v>
      </c>
      <c r="AI219" s="369" t="s">
        <v>424</v>
      </c>
      <c r="AJ219" s="273"/>
      <c r="AK219" s="273"/>
      <c r="AL219" s="273"/>
      <c r="AM219" s="420" t="s">
        <v>424</v>
      </c>
      <c r="AN219" s="368" t="s">
        <v>424</v>
      </c>
      <c r="AO219" s="362" t="s">
        <v>424</v>
      </c>
      <c r="AP219" s="273"/>
      <c r="AQ219" s="273"/>
      <c r="AR219" s="372"/>
      <c r="AS219" s="368">
        <f>L219-10</f>
        <v>46431</v>
      </c>
      <c r="AT219" s="368">
        <f>AS219-90</f>
        <v>46341</v>
      </c>
      <c r="AU219" s="377">
        <f t="shared" ref="AU219:AU226" si="141">AT219-20</f>
        <v>46321</v>
      </c>
      <c r="AV219" s="368">
        <f t="shared" ref="AV219:AV226" si="142">L219-$AV$3</f>
        <v>46437</v>
      </c>
      <c r="AW219" s="368">
        <f t="shared" si="138"/>
        <v>46427</v>
      </c>
      <c r="AX219" s="378">
        <f t="shared" si="139"/>
        <v>89</v>
      </c>
      <c r="AY219" s="368">
        <v>46338</v>
      </c>
      <c r="AZ219" s="362" t="s">
        <v>796</v>
      </c>
      <c r="BA219" s="375" t="s">
        <v>797</v>
      </c>
      <c r="BB219" s="487"/>
      <c r="BE219" s="277"/>
      <c r="BF219" s="278"/>
    </row>
    <row r="220" spans="1:58" s="269" customFormat="1" ht="23.45" customHeight="1">
      <c r="A220" s="270"/>
      <c r="B220" s="357" t="s">
        <v>578</v>
      </c>
      <c r="C220" s="357" t="s">
        <v>763</v>
      </c>
      <c r="D220" s="357" t="s">
        <v>791</v>
      </c>
      <c r="E220" s="357"/>
      <c r="F220" s="357" t="s">
        <v>581</v>
      </c>
      <c r="G220" s="357" t="str">
        <f t="shared" si="140"/>
        <v>01TINCABLE</v>
      </c>
      <c r="H220" s="358">
        <v>3</v>
      </c>
      <c r="I220" s="517" t="s">
        <v>798</v>
      </c>
      <c r="J220" s="359"/>
      <c r="K220" s="360"/>
      <c r="L220" s="361">
        <f>SUMIFS('[36]frm P6'!$J:$J,'[36]frm P6'!D:D,[36]Schedule!B220,'[36]frm P6'!E:E,[36]Schedule!C220,'[36]frm P6'!F:F,[36]Schedule!D220,'[36]frm P6'!G:G,[36]Schedule!$K$215,'[36]frm P6'!H:H,[36]Schedule!F220)</f>
        <v>46504</v>
      </c>
      <c r="M220" s="361">
        <f>SUMIFS('[36]frm P6'!$K:$K,'[36]frm P6'!D:D,[36]Schedule!B220,'[36]frm P6'!E:E,[36]Schedule!C220,'[36]frm P6'!F:F,[36]Schedule!D220,'[36]frm P6'!G:G,[36]Schedule!$K$191,'[36]frm P6'!H:H,[36]Schedule!F220)</f>
        <v>46570</v>
      </c>
      <c r="N220" s="362">
        <f t="shared" si="135"/>
        <v>67</v>
      </c>
      <c r="O220" s="273"/>
      <c r="P220" s="273">
        <v>5053</v>
      </c>
      <c r="Q220" s="273"/>
      <c r="R220" s="363"/>
      <c r="S220" s="364"/>
      <c r="T220" s="365"/>
      <c r="U220" s="366"/>
      <c r="V220" s="366"/>
      <c r="W220" s="367"/>
      <c r="X220" s="368" t="s">
        <v>424</v>
      </c>
      <c r="Y220" s="368" t="s">
        <v>424</v>
      </c>
      <c r="Z220" s="369" t="s">
        <v>424</v>
      </c>
      <c r="AA220" s="368" t="s">
        <v>424</v>
      </c>
      <c r="AB220" s="368" t="s">
        <v>424</v>
      </c>
      <c r="AC220" s="362" t="s">
        <v>424</v>
      </c>
      <c r="AD220" s="274"/>
      <c r="AE220" s="273"/>
      <c r="AF220" s="273"/>
      <c r="AG220" s="420" t="s">
        <v>424</v>
      </c>
      <c r="AH220" s="368" t="s">
        <v>424</v>
      </c>
      <c r="AI220" s="369" t="s">
        <v>424</v>
      </c>
      <c r="AJ220" s="273"/>
      <c r="AK220" s="273"/>
      <c r="AL220" s="273"/>
      <c r="AM220" s="420" t="s">
        <v>424</v>
      </c>
      <c r="AN220" s="368" t="s">
        <v>424</v>
      </c>
      <c r="AO220" s="362" t="s">
        <v>424</v>
      </c>
      <c r="AP220" s="273"/>
      <c r="AQ220" s="273"/>
      <c r="AR220" s="372"/>
      <c r="AS220" s="368">
        <f t="shared" ref="AS220:AS226" si="143">L220-20</f>
        <v>46484</v>
      </c>
      <c r="AT220" s="368">
        <f>AS220-200</f>
        <v>46284</v>
      </c>
      <c r="AU220" s="377">
        <f t="shared" si="141"/>
        <v>46264</v>
      </c>
      <c r="AV220" s="368">
        <f t="shared" si="142"/>
        <v>46500</v>
      </c>
      <c r="AW220" s="368">
        <f t="shared" si="138"/>
        <v>46490</v>
      </c>
      <c r="AX220" s="378">
        <f t="shared" si="139"/>
        <v>152</v>
      </c>
      <c r="AY220" s="368">
        <v>46338</v>
      </c>
      <c r="AZ220" s="362" t="s">
        <v>793</v>
      </c>
      <c r="BA220" s="375" t="s">
        <v>794</v>
      </c>
      <c r="BB220" s="487"/>
      <c r="BE220" s="277"/>
      <c r="BF220" s="278"/>
    </row>
    <row r="221" spans="1:58" s="269" customFormat="1" ht="23.45" customHeight="1">
      <c r="A221" s="270"/>
      <c r="B221" s="357" t="s">
        <v>578</v>
      </c>
      <c r="C221" s="357" t="s">
        <v>767</v>
      </c>
      <c r="D221" s="357" t="s">
        <v>791</v>
      </c>
      <c r="E221" s="357"/>
      <c r="F221" s="357" t="s">
        <v>581</v>
      </c>
      <c r="G221" s="357" t="str">
        <f t="shared" si="140"/>
        <v>01TINGLAND</v>
      </c>
      <c r="H221" s="358">
        <v>4</v>
      </c>
      <c r="I221" s="517" t="s">
        <v>799</v>
      </c>
      <c r="J221" s="359"/>
      <c r="K221" s="360"/>
      <c r="L221" s="361">
        <f>SUMIFS('[36]frm P6'!$J:$J,'[36]frm P6'!D:D,[36]Schedule!B221,'[36]frm P6'!E:E,[36]Schedule!C221,'[36]frm P6'!F:F,[36]Schedule!D221,'[36]frm P6'!G:G,[36]Schedule!$K$215,'[36]frm P6'!H:H,[36]Schedule!F221)</f>
        <v>46515</v>
      </c>
      <c r="M221" s="361">
        <f>SUMIFS('[36]frm P6'!$K:$K,'[36]frm P6'!D:D,[36]Schedule!B221,'[36]frm P6'!E:E,[36]Schedule!C221,'[36]frm P6'!F:F,[36]Schedule!D221,'[36]frm P6'!G:G,[36]Schedule!$K$191,'[36]frm P6'!H:H,[36]Schedule!F221)</f>
        <v>46573</v>
      </c>
      <c r="N221" s="362">
        <f t="shared" si="135"/>
        <v>59</v>
      </c>
      <c r="O221" s="273"/>
      <c r="P221" s="273"/>
      <c r="Q221" s="273">
        <v>761</v>
      </c>
      <c r="R221" s="363"/>
      <c r="S221" s="364"/>
      <c r="T221" s="365"/>
      <c r="U221" s="366"/>
      <c r="V221" s="366"/>
      <c r="W221" s="367"/>
      <c r="X221" s="368" t="s">
        <v>424</v>
      </c>
      <c r="Y221" s="368" t="s">
        <v>424</v>
      </c>
      <c r="Z221" s="369" t="s">
        <v>424</v>
      </c>
      <c r="AA221" s="368" t="s">
        <v>424</v>
      </c>
      <c r="AB221" s="368" t="s">
        <v>424</v>
      </c>
      <c r="AC221" s="362" t="s">
        <v>424</v>
      </c>
      <c r="AD221" s="274"/>
      <c r="AE221" s="273"/>
      <c r="AF221" s="273"/>
      <c r="AG221" s="420" t="s">
        <v>424</v>
      </c>
      <c r="AH221" s="368" t="s">
        <v>424</v>
      </c>
      <c r="AI221" s="369" t="s">
        <v>424</v>
      </c>
      <c r="AJ221" s="273"/>
      <c r="AK221" s="273"/>
      <c r="AL221" s="273"/>
      <c r="AM221" s="420" t="s">
        <v>424</v>
      </c>
      <c r="AN221" s="368" t="s">
        <v>424</v>
      </c>
      <c r="AO221" s="362" t="s">
        <v>424</v>
      </c>
      <c r="AP221" s="273"/>
      <c r="AQ221" s="273"/>
      <c r="AR221" s="372"/>
      <c r="AS221" s="368">
        <f t="shared" si="143"/>
        <v>46495</v>
      </c>
      <c r="AT221" s="368">
        <f>AS221-300</f>
        <v>46195</v>
      </c>
      <c r="AU221" s="377">
        <f t="shared" si="141"/>
        <v>46175</v>
      </c>
      <c r="AV221" s="368">
        <f t="shared" si="142"/>
        <v>46511</v>
      </c>
      <c r="AW221" s="368">
        <f t="shared" si="138"/>
        <v>46501</v>
      </c>
      <c r="AX221" s="378">
        <f t="shared" si="139"/>
        <v>163</v>
      </c>
      <c r="AY221" s="368">
        <v>46338</v>
      </c>
      <c r="AZ221" s="362" t="s">
        <v>793</v>
      </c>
      <c r="BA221" s="375" t="s">
        <v>794</v>
      </c>
      <c r="BB221" s="487"/>
      <c r="BE221" s="277"/>
      <c r="BF221" s="278"/>
    </row>
    <row r="222" spans="1:58" s="269" customFormat="1" ht="23.45" customHeight="1">
      <c r="A222" s="270"/>
      <c r="B222" s="357" t="s">
        <v>578</v>
      </c>
      <c r="C222" s="357" t="s">
        <v>769</v>
      </c>
      <c r="D222" s="357" t="s">
        <v>791</v>
      </c>
      <c r="E222" s="357"/>
      <c r="F222" s="357" t="s">
        <v>581</v>
      </c>
      <c r="G222" s="357" t="str">
        <f t="shared" si="140"/>
        <v>01TINTERM</v>
      </c>
      <c r="H222" s="358">
        <v>5</v>
      </c>
      <c r="I222" s="517" t="s">
        <v>800</v>
      </c>
      <c r="J222" s="359"/>
      <c r="K222" s="360"/>
      <c r="L222" s="361">
        <f>SUMIFS('[36]frm P6'!$J:$J,'[36]frm P6'!D:D,[36]Schedule!B222,'[36]frm P6'!E:E,[36]Schedule!C222,'[36]frm P6'!F:F,[36]Schedule!D222,'[36]frm P6'!G:G,[36]Schedule!$K$215,'[36]frm P6'!H:H,[36]Schedule!F222)</f>
        <v>46520</v>
      </c>
      <c r="M222" s="361">
        <f>SUMIFS('[36]frm P6'!$K:$K,'[36]frm P6'!D:D,[36]Schedule!B222,'[36]frm P6'!E:E,[36]Schedule!C222,'[36]frm P6'!F:F,[36]Schedule!D222,'[36]frm P6'!G:G,[36]Schedule!$K$191,'[36]frm P6'!H:H,[36]Schedule!F222)</f>
        <v>46577</v>
      </c>
      <c r="N222" s="362">
        <f t="shared" si="135"/>
        <v>58</v>
      </c>
      <c r="O222" s="273"/>
      <c r="P222" s="273"/>
      <c r="Q222" s="273"/>
      <c r="R222" s="363"/>
      <c r="S222" s="364"/>
      <c r="T222" s="365"/>
      <c r="U222" s="366"/>
      <c r="V222" s="366"/>
      <c r="W222" s="367"/>
      <c r="X222" s="368" t="s">
        <v>424</v>
      </c>
      <c r="Y222" s="368" t="s">
        <v>424</v>
      </c>
      <c r="Z222" s="369" t="s">
        <v>424</v>
      </c>
      <c r="AA222" s="368" t="s">
        <v>424</v>
      </c>
      <c r="AB222" s="368" t="s">
        <v>424</v>
      </c>
      <c r="AC222" s="362" t="s">
        <v>424</v>
      </c>
      <c r="AD222" s="274"/>
      <c r="AE222" s="273"/>
      <c r="AF222" s="273"/>
      <c r="AG222" s="420" t="s">
        <v>424</v>
      </c>
      <c r="AH222" s="368" t="s">
        <v>424</v>
      </c>
      <c r="AI222" s="369" t="s">
        <v>424</v>
      </c>
      <c r="AJ222" s="273"/>
      <c r="AK222" s="273"/>
      <c r="AL222" s="273"/>
      <c r="AM222" s="420" t="s">
        <v>424</v>
      </c>
      <c r="AN222" s="368" t="s">
        <v>424</v>
      </c>
      <c r="AO222" s="362" t="s">
        <v>424</v>
      </c>
      <c r="AP222" s="273"/>
      <c r="AQ222" s="273"/>
      <c r="AR222" s="372"/>
      <c r="AS222" s="368">
        <f t="shared" si="143"/>
        <v>46500</v>
      </c>
      <c r="AT222" s="368">
        <f>AS222-94</f>
        <v>46406</v>
      </c>
      <c r="AU222" s="377">
        <f t="shared" si="141"/>
        <v>46386</v>
      </c>
      <c r="AV222" s="368">
        <f t="shared" si="142"/>
        <v>46516</v>
      </c>
      <c r="AW222" s="368">
        <f t="shared" si="138"/>
        <v>46506</v>
      </c>
      <c r="AX222" s="378">
        <f t="shared" si="139"/>
        <v>154</v>
      </c>
      <c r="AY222" s="368">
        <v>46352</v>
      </c>
      <c r="AZ222" s="362" t="s">
        <v>801</v>
      </c>
      <c r="BA222" s="375" t="s">
        <v>802</v>
      </c>
      <c r="BB222" s="487"/>
      <c r="BE222" s="277"/>
      <c r="BF222" s="278"/>
    </row>
    <row r="223" spans="1:58" s="269" customFormat="1" ht="23.45" customHeight="1">
      <c r="A223" s="270"/>
      <c r="B223" s="357" t="s">
        <v>578</v>
      </c>
      <c r="C223" s="357" t="s">
        <v>803</v>
      </c>
      <c r="D223" s="357" t="s">
        <v>791</v>
      </c>
      <c r="E223" s="357"/>
      <c r="F223" s="357" t="s">
        <v>581</v>
      </c>
      <c r="G223" s="357" t="str">
        <f t="shared" si="140"/>
        <v>01TINTUBE</v>
      </c>
      <c r="H223" s="358">
        <v>6</v>
      </c>
      <c r="I223" s="517" t="s">
        <v>804</v>
      </c>
      <c r="J223" s="359"/>
      <c r="K223" s="360"/>
      <c r="L223" s="361">
        <f>SUMIFS('[36]frm P6'!$J:$J,'[36]frm P6'!D:D,[36]Schedule!B223,'[36]frm P6'!E:E,[36]Schedule!C223,'[36]frm P6'!F:F,[36]Schedule!D223,'[36]frm P6'!G:G,[36]Schedule!$K$215,'[36]frm P6'!H:H,[36]Schedule!F223)</f>
        <v>46534</v>
      </c>
      <c r="M223" s="361">
        <f>SUMIFS('[36]frm P6'!$K:$K,'[36]frm P6'!D:D,[36]Schedule!B223,'[36]frm P6'!E:E,[36]Schedule!C223,'[36]frm P6'!F:F,[36]Schedule!D223,'[36]frm P6'!G:G,[36]Schedule!$K$191,'[36]frm P6'!H:H,[36]Schedule!F223)</f>
        <v>46577</v>
      </c>
      <c r="N223" s="362">
        <f t="shared" si="135"/>
        <v>44</v>
      </c>
      <c r="O223" s="273"/>
      <c r="P223" s="273">
        <v>2934</v>
      </c>
      <c r="Q223" s="273"/>
      <c r="R223" s="363"/>
      <c r="S223" s="364"/>
      <c r="T223" s="365"/>
      <c r="U223" s="366"/>
      <c r="V223" s="366"/>
      <c r="W223" s="367"/>
      <c r="X223" s="368" t="s">
        <v>424</v>
      </c>
      <c r="Y223" s="368" t="s">
        <v>424</v>
      </c>
      <c r="Z223" s="369" t="s">
        <v>424</v>
      </c>
      <c r="AA223" s="368" t="s">
        <v>424</v>
      </c>
      <c r="AB223" s="368" t="s">
        <v>424</v>
      </c>
      <c r="AC223" s="362" t="s">
        <v>424</v>
      </c>
      <c r="AD223" s="274"/>
      <c r="AE223" s="273"/>
      <c r="AF223" s="273"/>
      <c r="AG223" s="420" t="s">
        <v>424</v>
      </c>
      <c r="AH223" s="368" t="s">
        <v>424</v>
      </c>
      <c r="AI223" s="369" t="s">
        <v>424</v>
      </c>
      <c r="AJ223" s="273"/>
      <c r="AK223" s="273"/>
      <c r="AL223" s="273"/>
      <c r="AM223" s="420" t="s">
        <v>424</v>
      </c>
      <c r="AN223" s="368" t="s">
        <v>424</v>
      </c>
      <c r="AO223" s="362" t="s">
        <v>424</v>
      </c>
      <c r="AP223" s="273"/>
      <c r="AQ223" s="273"/>
      <c r="AR223" s="372"/>
      <c r="AS223" s="368">
        <f t="shared" si="143"/>
        <v>46514</v>
      </c>
      <c r="AT223" s="368">
        <f>AS223-94</f>
        <v>46420</v>
      </c>
      <c r="AU223" s="377">
        <f t="shared" si="141"/>
        <v>46400</v>
      </c>
      <c r="AV223" s="368">
        <f t="shared" si="142"/>
        <v>46530</v>
      </c>
      <c r="AW223" s="368">
        <f t="shared" si="138"/>
        <v>46520</v>
      </c>
      <c r="AX223" s="378">
        <f t="shared" si="139"/>
        <v>161</v>
      </c>
      <c r="AY223" s="368">
        <v>46359</v>
      </c>
      <c r="AZ223" s="362" t="s">
        <v>805</v>
      </c>
      <c r="BA223" s="375" t="s">
        <v>806</v>
      </c>
      <c r="BB223" s="487"/>
      <c r="BE223" s="277"/>
      <c r="BF223" s="278"/>
    </row>
    <row r="224" spans="1:58" s="269" customFormat="1" ht="23.45" customHeight="1">
      <c r="A224" s="270"/>
      <c r="B224" s="357" t="s">
        <v>578</v>
      </c>
      <c r="C224" s="357" t="s">
        <v>807</v>
      </c>
      <c r="D224" s="357" t="s">
        <v>791</v>
      </c>
      <c r="E224" s="357"/>
      <c r="F224" s="357" t="s">
        <v>581</v>
      </c>
      <c r="G224" s="357" t="str">
        <f t="shared" si="140"/>
        <v>01TINPANEL</v>
      </c>
      <c r="H224" s="358">
        <v>7</v>
      </c>
      <c r="I224" s="517" t="s">
        <v>808</v>
      </c>
      <c r="J224" s="359"/>
      <c r="K224" s="360"/>
      <c r="L224" s="361">
        <f>SUMIFS('[36]frm P6'!$J:$J,'[36]frm P6'!D:D,[36]Schedule!B224,'[36]frm P6'!E:E,[36]Schedule!C224,'[36]frm P6'!F:F,[36]Schedule!D224,'[36]frm P6'!G:G,[36]Schedule!$K$215,'[36]frm P6'!H:H,[36]Schedule!F224)</f>
        <v>46471</v>
      </c>
      <c r="M224" s="361">
        <f>SUMIFS('[36]frm P6'!$K:$K,'[36]frm P6'!D:D,[36]Schedule!B224,'[36]frm P6'!E:E,[36]Schedule!C224,'[36]frm P6'!F:F,[36]Schedule!D224,'[36]frm P6'!G:G,[36]Schedule!$K$191,'[36]frm P6'!H:H,[36]Schedule!F224)</f>
        <v>46542</v>
      </c>
      <c r="N224" s="362">
        <f t="shared" si="135"/>
        <v>72</v>
      </c>
      <c r="O224" s="273"/>
      <c r="P224" s="273"/>
      <c r="Q224" s="273"/>
      <c r="R224" s="363"/>
      <c r="S224" s="364"/>
      <c r="T224" s="365"/>
      <c r="U224" s="366"/>
      <c r="V224" s="366"/>
      <c r="W224" s="367"/>
      <c r="X224" s="368" t="s">
        <v>424</v>
      </c>
      <c r="Y224" s="368" t="s">
        <v>424</v>
      </c>
      <c r="Z224" s="369" t="s">
        <v>424</v>
      </c>
      <c r="AA224" s="368" t="s">
        <v>424</v>
      </c>
      <c r="AB224" s="368" t="s">
        <v>424</v>
      </c>
      <c r="AC224" s="362" t="s">
        <v>424</v>
      </c>
      <c r="AD224" s="274"/>
      <c r="AE224" s="273"/>
      <c r="AF224" s="273"/>
      <c r="AG224" s="420" t="s">
        <v>424</v>
      </c>
      <c r="AH224" s="368" t="s">
        <v>424</v>
      </c>
      <c r="AI224" s="369" t="s">
        <v>424</v>
      </c>
      <c r="AJ224" s="273"/>
      <c r="AK224" s="273"/>
      <c r="AL224" s="273"/>
      <c r="AM224" s="420" t="s">
        <v>424</v>
      </c>
      <c r="AN224" s="368" t="s">
        <v>424</v>
      </c>
      <c r="AO224" s="362" t="s">
        <v>424</v>
      </c>
      <c r="AP224" s="273"/>
      <c r="AQ224" s="273"/>
      <c r="AR224" s="372"/>
      <c r="AS224" s="368">
        <f t="shared" si="143"/>
        <v>46451</v>
      </c>
      <c r="AT224" s="368">
        <f>AS224-94</f>
        <v>46357</v>
      </c>
      <c r="AU224" s="377">
        <f t="shared" si="141"/>
        <v>46337</v>
      </c>
      <c r="AV224" s="368">
        <f t="shared" si="142"/>
        <v>46467</v>
      </c>
      <c r="AW224" s="368">
        <f t="shared" si="138"/>
        <v>46457</v>
      </c>
      <c r="AX224" s="378">
        <f t="shared" si="139"/>
        <v>98</v>
      </c>
      <c r="AY224" s="368">
        <v>46359</v>
      </c>
      <c r="AZ224" s="362" t="s">
        <v>805</v>
      </c>
      <c r="BA224" s="375" t="s">
        <v>806</v>
      </c>
      <c r="BB224" s="487"/>
      <c r="BE224" s="277"/>
      <c r="BF224" s="278"/>
    </row>
    <row r="225" spans="1:58" s="269" customFormat="1" ht="23.45" customHeight="1">
      <c r="A225" s="270"/>
      <c r="B225" s="357" t="s">
        <v>578</v>
      </c>
      <c r="C225" s="357" t="s">
        <v>809</v>
      </c>
      <c r="D225" s="357" t="s">
        <v>791</v>
      </c>
      <c r="E225" s="357"/>
      <c r="F225" s="357" t="s">
        <v>581</v>
      </c>
      <c r="G225" s="357" t="str">
        <f t="shared" si="140"/>
        <v>01TINCALIB</v>
      </c>
      <c r="H225" s="358">
        <v>8</v>
      </c>
      <c r="I225" s="517" t="s">
        <v>810</v>
      </c>
      <c r="J225" s="359"/>
      <c r="K225" s="360"/>
      <c r="L225" s="361">
        <f>SUMIFS('[36]frm P6'!$J:$J,'[36]frm P6'!D:D,[36]Schedule!B225,'[36]frm P6'!E:E,[36]Schedule!C225,'[36]frm P6'!F:F,[36]Schedule!D225,'[36]frm P6'!G:G,[36]Schedule!$K$215,'[36]frm P6'!H:H,[36]Schedule!F225)</f>
        <v>46476</v>
      </c>
      <c r="M225" s="361">
        <f>SUMIFS('[36]frm P6'!$K:$K,'[36]frm P6'!D:D,[36]Schedule!B225,'[36]frm P6'!E:E,[36]Schedule!C225,'[36]frm P6'!F:F,[36]Schedule!D225,'[36]frm P6'!G:G,[36]Schedule!$K$191,'[36]frm P6'!H:H,[36]Schedule!F225)</f>
        <v>46549</v>
      </c>
      <c r="N225" s="362">
        <f t="shared" si="135"/>
        <v>74</v>
      </c>
      <c r="O225" s="273"/>
      <c r="P225" s="273"/>
      <c r="Q225" s="273">
        <v>2591</v>
      </c>
      <c r="R225" s="363"/>
      <c r="S225" s="364"/>
      <c r="T225" s="365"/>
      <c r="U225" s="366"/>
      <c r="V225" s="366"/>
      <c r="W225" s="367"/>
      <c r="X225" s="368" t="s">
        <v>424</v>
      </c>
      <c r="Y225" s="368" t="s">
        <v>424</v>
      </c>
      <c r="Z225" s="369" t="s">
        <v>424</v>
      </c>
      <c r="AA225" s="368" t="s">
        <v>424</v>
      </c>
      <c r="AB225" s="368" t="s">
        <v>424</v>
      </c>
      <c r="AC225" s="362" t="s">
        <v>424</v>
      </c>
      <c r="AD225" s="274"/>
      <c r="AE225" s="273"/>
      <c r="AF225" s="273"/>
      <c r="AG225" s="420" t="s">
        <v>424</v>
      </c>
      <c r="AH225" s="368" t="s">
        <v>424</v>
      </c>
      <c r="AI225" s="369" t="s">
        <v>424</v>
      </c>
      <c r="AJ225" s="273"/>
      <c r="AK225" s="273"/>
      <c r="AL225" s="273"/>
      <c r="AM225" s="420" t="s">
        <v>424</v>
      </c>
      <c r="AN225" s="368" t="s">
        <v>424</v>
      </c>
      <c r="AO225" s="362" t="s">
        <v>424</v>
      </c>
      <c r="AP225" s="273"/>
      <c r="AQ225" s="273"/>
      <c r="AR225" s="372"/>
      <c r="AS225" s="368">
        <f t="shared" si="143"/>
        <v>46456</v>
      </c>
      <c r="AT225" s="368">
        <f>AS225-94</f>
        <v>46362</v>
      </c>
      <c r="AU225" s="377">
        <f t="shared" si="141"/>
        <v>46342</v>
      </c>
      <c r="AV225" s="368">
        <f t="shared" si="142"/>
        <v>46472</v>
      </c>
      <c r="AW225" s="368">
        <f t="shared" si="138"/>
        <v>46462</v>
      </c>
      <c r="AX225" s="378">
        <f t="shared" si="139"/>
        <v>117</v>
      </c>
      <c r="AY225" s="368">
        <v>46345</v>
      </c>
      <c r="AZ225" s="362" t="s">
        <v>811</v>
      </c>
      <c r="BA225" s="375" t="s">
        <v>812</v>
      </c>
      <c r="BB225" s="487"/>
      <c r="BE225" s="277"/>
      <c r="BF225" s="278"/>
    </row>
    <row r="226" spans="1:58" s="269" customFormat="1" ht="23.45" customHeight="1">
      <c r="A226" s="270"/>
      <c r="B226" s="357" t="s">
        <v>578</v>
      </c>
      <c r="C226" s="357" t="s">
        <v>771</v>
      </c>
      <c r="D226" s="357" t="s">
        <v>791</v>
      </c>
      <c r="E226" s="357"/>
      <c r="F226" s="357" t="s">
        <v>581</v>
      </c>
      <c r="G226" s="357" t="str">
        <f t="shared" si="140"/>
        <v>01TINEQUIP</v>
      </c>
      <c r="H226" s="358">
        <v>8</v>
      </c>
      <c r="I226" s="517" t="s">
        <v>813</v>
      </c>
      <c r="J226" s="359"/>
      <c r="K226" s="360"/>
      <c r="L226" s="361">
        <f>SUMIFS('[36]frm P6'!$J:$J,'[36]frm P6'!D:D,[36]Schedule!B226,'[36]frm P6'!E:E,[36]Schedule!C226,'[36]frm P6'!F:F,[36]Schedule!D226,'[36]frm P6'!G:G,[36]Schedule!$K$215,'[36]frm P6'!H:H,[36]Schedule!F226)</f>
        <v>46491</v>
      </c>
      <c r="M226" s="361">
        <f>SUMIFS('[36]frm P6'!$K:$K,'[36]frm P6'!D:D,[36]Schedule!B226,'[36]frm P6'!E:E,[36]Schedule!C226,'[36]frm P6'!F:F,[36]Schedule!D226,'[36]frm P6'!G:G,[36]Schedule!$K$191,'[36]frm P6'!H:H,[36]Schedule!F226)</f>
        <v>46563</v>
      </c>
      <c r="N226" s="362">
        <f t="shared" si="135"/>
        <v>73</v>
      </c>
      <c r="O226" s="273"/>
      <c r="P226" s="273"/>
      <c r="Q226" s="273"/>
      <c r="R226" s="363"/>
      <c r="S226" s="364"/>
      <c r="T226" s="365"/>
      <c r="U226" s="366"/>
      <c r="V226" s="366"/>
      <c r="W226" s="367"/>
      <c r="X226" s="368" t="s">
        <v>424</v>
      </c>
      <c r="Y226" s="368" t="s">
        <v>424</v>
      </c>
      <c r="Z226" s="369" t="s">
        <v>424</v>
      </c>
      <c r="AA226" s="368" t="s">
        <v>424</v>
      </c>
      <c r="AB226" s="368" t="s">
        <v>424</v>
      </c>
      <c r="AC226" s="362" t="s">
        <v>424</v>
      </c>
      <c r="AD226" s="274"/>
      <c r="AE226" s="273"/>
      <c r="AF226" s="273"/>
      <c r="AG226" s="420" t="s">
        <v>424</v>
      </c>
      <c r="AH226" s="368" t="s">
        <v>424</v>
      </c>
      <c r="AI226" s="369" t="s">
        <v>424</v>
      </c>
      <c r="AJ226" s="273"/>
      <c r="AK226" s="273"/>
      <c r="AL226" s="273"/>
      <c r="AM226" s="420" t="s">
        <v>424</v>
      </c>
      <c r="AN226" s="368" t="s">
        <v>424</v>
      </c>
      <c r="AO226" s="362" t="s">
        <v>424</v>
      </c>
      <c r="AP226" s="273"/>
      <c r="AQ226" s="273"/>
      <c r="AR226" s="372"/>
      <c r="AS226" s="368">
        <f t="shared" si="143"/>
        <v>46471</v>
      </c>
      <c r="AT226" s="368">
        <f>AS226-94</f>
        <v>46377</v>
      </c>
      <c r="AU226" s="377">
        <f t="shared" si="141"/>
        <v>46357</v>
      </c>
      <c r="AV226" s="368">
        <f t="shared" si="142"/>
        <v>46487</v>
      </c>
      <c r="AW226" s="368">
        <f t="shared" si="138"/>
        <v>46477</v>
      </c>
      <c r="AX226" s="378">
        <f t="shared" si="139"/>
        <v>132</v>
      </c>
      <c r="AY226" s="368">
        <v>46345</v>
      </c>
      <c r="AZ226" s="362" t="s">
        <v>811</v>
      </c>
      <c r="BA226" s="375" t="s">
        <v>812</v>
      </c>
      <c r="BB226" s="487"/>
      <c r="BE226" s="277"/>
      <c r="BF226" s="278"/>
    </row>
    <row r="227" spans="1:58" ht="24.6" customHeight="1">
      <c r="B227" s="438" t="s">
        <v>417</v>
      </c>
      <c r="C227" s="432"/>
      <c r="D227" s="432"/>
      <c r="E227" s="432"/>
      <c r="F227" s="432"/>
      <c r="G227" s="432"/>
      <c r="H227" s="336" t="s">
        <v>814</v>
      </c>
      <c r="I227" s="337"/>
      <c r="J227" s="338"/>
      <c r="K227" s="339"/>
      <c r="L227" s="340">
        <f>MIN(L228:L245)</f>
        <v>46379</v>
      </c>
      <c r="M227" s="340">
        <f>MAX(M228:M245)</f>
        <v>46612</v>
      </c>
      <c r="N227" s="337">
        <f t="shared" si="135"/>
        <v>234</v>
      </c>
      <c r="O227" s="341"/>
      <c r="P227" s="341"/>
      <c r="Q227" s="341"/>
      <c r="R227" s="380"/>
      <c r="S227" s="381"/>
      <c r="T227" s="382"/>
      <c r="U227" s="383"/>
      <c r="V227" s="383"/>
      <c r="W227" s="384"/>
      <c r="X227" s="340"/>
      <c r="Y227" s="340"/>
      <c r="Z227" s="347"/>
      <c r="AA227" s="340"/>
      <c r="AB227" s="340"/>
      <c r="AC227" s="337"/>
      <c r="AD227" s="348"/>
      <c r="AE227" s="341"/>
      <c r="AF227" s="341"/>
      <c r="AG227" s="349"/>
      <c r="AH227" s="340"/>
      <c r="AI227" s="347"/>
      <c r="AJ227" s="341"/>
      <c r="AK227" s="341"/>
      <c r="AL227" s="341"/>
      <c r="AM227" s="349"/>
      <c r="AN227" s="340"/>
      <c r="AO227" s="337"/>
      <c r="AP227" s="341"/>
      <c r="AQ227" s="341"/>
      <c r="AR227" s="351"/>
      <c r="AS227" s="340">
        <f>MIN(AS228:AS236)</f>
        <v>46361</v>
      </c>
      <c r="AT227" s="340">
        <f t="shared" ref="AT227:AW227" si="144">MIN(AT228:AT236)</f>
        <v>46219</v>
      </c>
      <c r="AU227" s="352">
        <f t="shared" si="144"/>
        <v>46199</v>
      </c>
      <c r="AV227" s="353">
        <f t="shared" si="144"/>
        <v>46364</v>
      </c>
      <c r="AW227" s="353">
        <f t="shared" si="144"/>
        <v>46354</v>
      </c>
      <c r="AX227" s="486"/>
      <c r="AY227" s="340"/>
      <c r="AZ227" s="337"/>
      <c r="BA227" s="337"/>
      <c r="BB227" s="439"/>
      <c r="BC227" s="268"/>
      <c r="BD227" s="268"/>
      <c r="BE227" s="311"/>
      <c r="BF227" s="312"/>
    </row>
    <row r="228" spans="1:58" s="269" customFormat="1" ht="23.45" customHeight="1">
      <c r="A228" s="270"/>
      <c r="B228" s="357" t="s">
        <v>578</v>
      </c>
      <c r="C228" s="357" t="s">
        <v>489</v>
      </c>
      <c r="D228" s="357" t="s">
        <v>791</v>
      </c>
      <c r="E228" s="357"/>
      <c r="F228" s="357" t="s">
        <v>645</v>
      </c>
      <c r="G228" s="357"/>
      <c r="H228" s="358">
        <v>1</v>
      </c>
      <c r="I228" s="517" t="s">
        <v>815</v>
      </c>
      <c r="J228" s="359"/>
      <c r="K228" s="360"/>
      <c r="L228" s="361">
        <f>SUMIFS('[36]frm P6'!$J:$J,'[36]frm P6'!D:D,[36]Schedule!B228,'[36]frm P6'!E:E,[36]Schedule!C228,'[36]frm P6'!F:F,[36]Schedule!D228,'[36]frm P6'!G:G,[36]Schedule!$K$215,'[36]frm P6'!H:H,[36]Schedule!F228)</f>
        <v>46389</v>
      </c>
      <c r="M228" s="361">
        <f>SUMIFS('[36]frm P6'!$K:$K,'[36]frm P6'!D:D,[36]Schedule!B228,'[36]frm P6'!E:E,[36]Schedule!C228,'[36]frm P6'!F:F,[36]Schedule!D228,'[36]frm P6'!G:G,[36]Schedule!$K$191,'[36]frm P6'!H:H,[36]Schedule!F228)</f>
        <v>46504</v>
      </c>
      <c r="N228" s="362">
        <f t="shared" si="135"/>
        <v>116</v>
      </c>
      <c r="O228" s="273">
        <v>6</v>
      </c>
      <c r="P228" s="273"/>
      <c r="Q228" s="273"/>
      <c r="R228" s="363"/>
      <c r="S228" s="364"/>
      <c r="T228" s="365"/>
      <c r="U228" s="366"/>
      <c r="V228" s="366"/>
      <c r="W228" s="367"/>
      <c r="X228" s="361">
        <f>SUMIFS('[36]frm P6'!$J:$J,'[36]frm P6'!D:D,[36]Schedule!B228,'[36]frm P6'!E:E,[36]Schedule!C228,'[36]frm P6'!F:F,[36]Schedule!D228,'[36]frm P6'!G:G,[36]Schedule!$W$138,'[36]frm P6'!H:H,[36]Schedule!F228)</f>
        <v>46382</v>
      </c>
      <c r="Y228" s="361">
        <f>SUMIFS('[36]frm P6'!$K:$K,'[36]frm P6'!D:D,[36]Schedule!B228,'[36]frm P6'!E:E,[36]Schedule!C228,'[36]frm P6'!F:F,[36]Schedule!D228,'[36]frm P6'!G:G,[36]Schedule!$W$138,'[36]frm P6'!H:H,[36]Schedule!F228)</f>
        <v>46443</v>
      </c>
      <c r="Z228" s="369" t="s">
        <v>424</v>
      </c>
      <c r="AA228" s="368" t="s">
        <v>424</v>
      </c>
      <c r="AB228" s="368" t="s">
        <v>424</v>
      </c>
      <c r="AC228" s="362" t="s">
        <v>424</v>
      </c>
      <c r="AD228" s="274"/>
      <c r="AE228" s="273"/>
      <c r="AF228" s="273"/>
      <c r="AG228" s="370">
        <f>SUMIFS('[36]frm P6'!$J:$J,'[36]frm P6'!D:D,[36]Schedule!B228,'[36]frm P6'!E:E,[36]Schedule!C228,'[36]frm P6'!F:F,[36]Schedule!D228,'[36]frm P6'!G:G,[36]Schedule!$AF$98,'[36]frm P6'!H:H,[36]Schedule!F228)</f>
        <v>46368</v>
      </c>
      <c r="AH228" s="361">
        <f>SUMIFS('[36]frm P6'!$K:$K,'[36]frm P6'!D:D,[36]Schedule!B228,'[36]frm P6'!E:E,[36]Schedule!C228,'[36]frm P6'!F:F,[36]Schedule!D228,'[36]frm P6'!G:G,[36]Schedule!$AF$98,'[36]frm P6'!H:H,[36]Schedule!F228)</f>
        <v>46434</v>
      </c>
      <c r="AI228" s="369">
        <f t="shared" ref="AI228" si="145">AH228-AG228+1</f>
        <v>67</v>
      </c>
      <c r="AJ228" s="273"/>
      <c r="AK228" s="273"/>
      <c r="AL228" s="273"/>
      <c r="AM228" s="420" t="s">
        <v>424</v>
      </c>
      <c r="AN228" s="368" t="s">
        <v>424</v>
      </c>
      <c r="AO228" s="362" t="s">
        <v>424</v>
      </c>
      <c r="AP228" s="273"/>
      <c r="AQ228" s="273"/>
      <c r="AR228" s="372"/>
      <c r="AS228" s="368">
        <f>AG228-7</f>
        <v>46361</v>
      </c>
      <c r="AT228" s="368">
        <f>AS228-60</f>
        <v>46301</v>
      </c>
      <c r="AU228" s="377">
        <f>AT228-15</f>
        <v>46286</v>
      </c>
      <c r="AV228" s="368">
        <f>AG228-$AV$3</f>
        <v>46364</v>
      </c>
      <c r="AW228" s="368">
        <f t="shared" si="138"/>
        <v>46354</v>
      </c>
      <c r="AX228" s="378">
        <f t="shared" ref="AX228:AX236" si="146">AW228-AY228</f>
        <v>16</v>
      </c>
      <c r="AY228" s="368">
        <v>46338</v>
      </c>
      <c r="AZ228" s="362" t="s">
        <v>793</v>
      </c>
      <c r="BA228" s="375" t="s">
        <v>794</v>
      </c>
      <c r="BB228" s="487"/>
      <c r="BE228" s="277"/>
      <c r="BF228" s="278"/>
    </row>
    <row r="229" spans="1:58" s="269" customFormat="1" ht="23.45" customHeight="1">
      <c r="A229" s="270"/>
      <c r="B229" s="357" t="s">
        <v>578</v>
      </c>
      <c r="C229" s="357" t="s">
        <v>759</v>
      </c>
      <c r="D229" s="357" t="s">
        <v>791</v>
      </c>
      <c r="E229" s="357"/>
      <c r="F229" s="357" t="s">
        <v>645</v>
      </c>
      <c r="G229" s="357"/>
      <c r="H229" s="358">
        <v>2</v>
      </c>
      <c r="I229" s="517" t="s">
        <v>816</v>
      </c>
      <c r="J229" s="359"/>
      <c r="K229" s="360"/>
      <c r="L229" s="361">
        <f>SUMIFS('[36]frm P6'!$J:$J,'[36]frm P6'!D:D,[36]Schedule!B229,'[36]frm P6'!E:E,[36]Schedule!C229,'[36]frm P6'!F:F,[36]Schedule!D229,'[36]frm P6'!G:G,[36]Schedule!$K$215,'[36]frm P6'!H:H,[36]Schedule!F229)</f>
        <v>46443</v>
      </c>
      <c r="M229" s="361">
        <f>SUMIFS('[36]frm P6'!$K:$K,'[36]frm P6'!D:D,[36]Schedule!B229,'[36]frm P6'!E:E,[36]Schedule!C229,'[36]frm P6'!F:F,[36]Schedule!D229,'[36]frm P6'!G:G,[36]Schedule!$K$191,'[36]frm P6'!H:H,[36]Schedule!F229)</f>
        <v>46519</v>
      </c>
      <c r="N229" s="362">
        <f t="shared" si="135"/>
        <v>77</v>
      </c>
      <c r="O229" s="273"/>
      <c r="P229" s="273">
        <v>867</v>
      </c>
      <c r="Q229" s="273"/>
      <c r="R229" s="363"/>
      <c r="S229" s="364"/>
      <c r="T229" s="365"/>
      <c r="U229" s="366"/>
      <c r="V229" s="366"/>
      <c r="W229" s="367"/>
      <c r="X229" s="368" t="s">
        <v>424</v>
      </c>
      <c r="Y229" s="368" t="s">
        <v>424</v>
      </c>
      <c r="Z229" s="369" t="s">
        <v>424</v>
      </c>
      <c r="AA229" s="368" t="s">
        <v>424</v>
      </c>
      <c r="AB229" s="368" t="s">
        <v>424</v>
      </c>
      <c r="AC229" s="362" t="s">
        <v>424</v>
      </c>
      <c r="AD229" s="274"/>
      <c r="AE229" s="273"/>
      <c r="AF229" s="273"/>
      <c r="AG229" s="420" t="s">
        <v>424</v>
      </c>
      <c r="AH229" s="368" t="s">
        <v>424</v>
      </c>
      <c r="AI229" s="369" t="s">
        <v>424</v>
      </c>
      <c r="AJ229" s="273"/>
      <c r="AK229" s="273"/>
      <c r="AL229" s="273"/>
      <c r="AM229" s="420" t="s">
        <v>424</v>
      </c>
      <c r="AN229" s="368" t="s">
        <v>424</v>
      </c>
      <c r="AO229" s="362" t="s">
        <v>424</v>
      </c>
      <c r="AP229" s="273"/>
      <c r="AQ229" s="273"/>
      <c r="AR229" s="372"/>
      <c r="AS229" s="368">
        <f>L229-10</f>
        <v>46433</v>
      </c>
      <c r="AT229" s="368">
        <f>AS229-90</f>
        <v>46343</v>
      </c>
      <c r="AU229" s="377">
        <f t="shared" ref="AU229:AU236" si="147">AT229-20</f>
        <v>46323</v>
      </c>
      <c r="AV229" s="368">
        <f t="shared" ref="AV229:AV236" si="148">L229-$AV$3</f>
        <v>46439</v>
      </c>
      <c r="AW229" s="368">
        <f t="shared" si="138"/>
        <v>46429</v>
      </c>
      <c r="AX229" s="378">
        <f t="shared" si="146"/>
        <v>91</v>
      </c>
      <c r="AY229" s="368">
        <v>46338</v>
      </c>
      <c r="AZ229" s="362" t="s">
        <v>796</v>
      </c>
      <c r="BA229" s="375" t="s">
        <v>797</v>
      </c>
      <c r="BB229" s="487"/>
      <c r="BE229" s="277"/>
      <c r="BF229" s="278"/>
    </row>
    <row r="230" spans="1:58" s="269" customFormat="1" ht="23.45" customHeight="1">
      <c r="A230" s="270"/>
      <c r="B230" s="357" t="s">
        <v>578</v>
      </c>
      <c r="C230" s="357" t="s">
        <v>763</v>
      </c>
      <c r="D230" s="357" t="s">
        <v>791</v>
      </c>
      <c r="E230" s="357"/>
      <c r="F230" s="357" t="s">
        <v>645</v>
      </c>
      <c r="G230" s="357"/>
      <c r="H230" s="358">
        <v>3</v>
      </c>
      <c r="I230" s="517" t="s">
        <v>817</v>
      </c>
      <c r="J230" s="359"/>
      <c r="K230" s="360"/>
      <c r="L230" s="361">
        <f>SUMIFS('[36]frm P6'!$J:$J,'[36]frm P6'!D:D,[36]Schedule!B230,'[36]frm P6'!E:E,[36]Schedule!C230,'[36]frm P6'!F:F,[36]Schedule!D230,'[36]frm P6'!G:G,[36]Schedule!$K$215,'[36]frm P6'!H:H,[36]Schedule!F230)</f>
        <v>46526</v>
      </c>
      <c r="M230" s="361">
        <f>SUMIFS('[36]frm P6'!$K:$K,'[36]frm P6'!D:D,[36]Schedule!B230,'[36]frm P6'!E:E,[36]Schedule!C230,'[36]frm P6'!F:F,[36]Schedule!D230,'[36]frm P6'!G:G,[36]Schedule!$K$191,'[36]frm P6'!H:H,[36]Schedule!F230)</f>
        <v>46591</v>
      </c>
      <c r="N230" s="362">
        <f t="shared" si="135"/>
        <v>66</v>
      </c>
      <c r="O230" s="273"/>
      <c r="P230" s="273">
        <v>7682</v>
      </c>
      <c r="Q230" s="273"/>
      <c r="R230" s="363"/>
      <c r="S230" s="364"/>
      <c r="T230" s="365"/>
      <c r="U230" s="366"/>
      <c r="V230" s="366"/>
      <c r="W230" s="367"/>
      <c r="X230" s="368" t="s">
        <v>424</v>
      </c>
      <c r="Y230" s="368" t="s">
        <v>424</v>
      </c>
      <c r="Z230" s="369" t="s">
        <v>424</v>
      </c>
      <c r="AA230" s="368" t="s">
        <v>424</v>
      </c>
      <c r="AB230" s="368" t="s">
        <v>424</v>
      </c>
      <c r="AC230" s="362" t="s">
        <v>424</v>
      </c>
      <c r="AD230" s="274"/>
      <c r="AE230" s="273"/>
      <c r="AF230" s="273"/>
      <c r="AG230" s="420" t="s">
        <v>424</v>
      </c>
      <c r="AH230" s="368" t="s">
        <v>424</v>
      </c>
      <c r="AI230" s="369" t="s">
        <v>424</v>
      </c>
      <c r="AJ230" s="273"/>
      <c r="AK230" s="273"/>
      <c r="AL230" s="273"/>
      <c r="AM230" s="420" t="s">
        <v>424</v>
      </c>
      <c r="AN230" s="368" t="s">
        <v>424</v>
      </c>
      <c r="AO230" s="362" t="s">
        <v>424</v>
      </c>
      <c r="AP230" s="273"/>
      <c r="AQ230" s="273"/>
      <c r="AR230" s="372"/>
      <c r="AS230" s="368">
        <f t="shared" ref="AS230:AS236" si="149">L230-20</f>
        <v>46506</v>
      </c>
      <c r="AT230" s="368">
        <f>AS230-200</f>
        <v>46306</v>
      </c>
      <c r="AU230" s="377">
        <f t="shared" si="147"/>
        <v>46286</v>
      </c>
      <c r="AV230" s="368">
        <f t="shared" si="148"/>
        <v>46522</v>
      </c>
      <c r="AW230" s="368">
        <f t="shared" si="138"/>
        <v>46512</v>
      </c>
      <c r="AX230" s="378">
        <f t="shared" si="146"/>
        <v>174</v>
      </c>
      <c r="AY230" s="368">
        <v>46338</v>
      </c>
      <c r="AZ230" s="362" t="s">
        <v>793</v>
      </c>
      <c r="BA230" s="375" t="s">
        <v>794</v>
      </c>
      <c r="BB230" s="487"/>
      <c r="BE230" s="277"/>
      <c r="BF230" s="278"/>
    </row>
    <row r="231" spans="1:58" s="269" customFormat="1" ht="23.45" customHeight="1">
      <c r="A231" s="270"/>
      <c r="B231" s="357" t="s">
        <v>578</v>
      </c>
      <c r="C231" s="357" t="s">
        <v>767</v>
      </c>
      <c r="D231" s="357" t="s">
        <v>791</v>
      </c>
      <c r="E231" s="357"/>
      <c r="F231" s="357" t="s">
        <v>645</v>
      </c>
      <c r="G231" s="357" t="str">
        <f t="shared" ref="G231:G236" si="150">F231&amp;D231&amp;C231</f>
        <v>02TINGLAND</v>
      </c>
      <c r="H231" s="358">
        <v>4</v>
      </c>
      <c r="I231" s="517" t="s">
        <v>818</v>
      </c>
      <c r="J231" s="359"/>
      <c r="K231" s="360"/>
      <c r="L231" s="361">
        <f>SUMIFS('[36]frm P6'!$J:$J,'[36]frm P6'!D:D,[36]Schedule!B231,'[36]frm P6'!E:E,[36]Schedule!C231,'[36]frm P6'!F:F,[36]Schedule!D231,'[36]frm P6'!G:G,[36]Schedule!$K$215,'[36]frm P6'!H:H,[36]Schedule!F231)</f>
        <v>46539</v>
      </c>
      <c r="M231" s="361">
        <f>SUMIFS('[36]frm P6'!$K:$K,'[36]frm P6'!D:D,[36]Schedule!B231,'[36]frm P6'!E:E,[36]Schedule!C231,'[36]frm P6'!F:F,[36]Schedule!D231,'[36]frm P6'!G:G,[36]Schedule!$K$191,'[36]frm P6'!H:H,[36]Schedule!F231)</f>
        <v>46596</v>
      </c>
      <c r="N231" s="362">
        <f t="shared" si="135"/>
        <v>58</v>
      </c>
      <c r="O231" s="273"/>
      <c r="P231" s="273"/>
      <c r="Q231" s="273">
        <v>1056</v>
      </c>
      <c r="R231" s="363"/>
      <c r="S231" s="364"/>
      <c r="T231" s="365"/>
      <c r="U231" s="366"/>
      <c r="V231" s="366"/>
      <c r="W231" s="367"/>
      <c r="X231" s="368" t="s">
        <v>424</v>
      </c>
      <c r="Y231" s="368" t="s">
        <v>424</v>
      </c>
      <c r="Z231" s="369" t="s">
        <v>424</v>
      </c>
      <c r="AA231" s="368" t="s">
        <v>424</v>
      </c>
      <c r="AB231" s="368" t="s">
        <v>424</v>
      </c>
      <c r="AC231" s="362" t="s">
        <v>424</v>
      </c>
      <c r="AD231" s="274"/>
      <c r="AE231" s="273"/>
      <c r="AF231" s="273"/>
      <c r="AG231" s="420" t="s">
        <v>424</v>
      </c>
      <c r="AH231" s="368" t="s">
        <v>424</v>
      </c>
      <c r="AI231" s="369" t="s">
        <v>424</v>
      </c>
      <c r="AJ231" s="273"/>
      <c r="AK231" s="273"/>
      <c r="AL231" s="273"/>
      <c r="AM231" s="420" t="s">
        <v>424</v>
      </c>
      <c r="AN231" s="368" t="s">
        <v>424</v>
      </c>
      <c r="AO231" s="362" t="s">
        <v>424</v>
      </c>
      <c r="AP231" s="273"/>
      <c r="AQ231" s="273"/>
      <c r="AR231" s="372"/>
      <c r="AS231" s="368">
        <f t="shared" si="149"/>
        <v>46519</v>
      </c>
      <c r="AT231" s="368">
        <f>AS231-300</f>
        <v>46219</v>
      </c>
      <c r="AU231" s="377">
        <f t="shared" si="147"/>
        <v>46199</v>
      </c>
      <c r="AV231" s="368">
        <f t="shared" si="148"/>
        <v>46535</v>
      </c>
      <c r="AW231" s="368">
        <f t="shared" si="138"/>
        <v>46525</v>
      </c>
      <c r="AX231" s="378">
        <f t="shared" si="146"/>
        <v>187</v>
      </c>
      <c r="AY231" s="368">
        <v>46338</v>
      </c>
      <c r="AZ231" s="362" t="s">
        <v>793</v>
      </c>
      <c r="BA231" s="375" t="s">
        <v>794</v>
      </c>
      <c r="BB231" s="487"/>
      <c r="BE231" s="277"/>
      <c r="BF231" s="278"/>
    </row>
    <row r="232" spans="1:58" s="269" customFormat="1" ht="23.45" customHeight="1">
      <c r="A232" s="270"/>
      <c r="B232" s="357" t="s">
        <v>578</v>
      </c>
      <c r="C232" s="357" t="s">
        <v>769</v>
      </c>
      <c r="D232" s="357" t="s">
        <v>791</v>
      </c>
      <c r="E232" s="357"/>
      <c r="F232" s="357" t="s">
        <v>645</v>
      </c>
      <c r="G232" s="357" t="str">
        <f t="shared" si="150"/>
        <v>02TINTERM</v>
      </c>
      <c r="H232" s="358">
        <v>5</v>
      </c>
      <c r="I232" s="517" t="s">
        <v>819</v>
      </c>
      <c r="J232" s="359"/>
      <c r="K232" s="360"/>
      <c r="L232" s="361">
        <f>SUMIFS('[36]frm P6'!$J:$J,'[36]frm P6'!D:D,[36]Schedule!B232,'[36]frm P6'!E:E,[36]Schedule!C232,'[36]frm P6'!F:F,[36]Schedule!D232,'[36]frm P6'!G:G,[36]Schedule!$K$215,'[36]frm P6'!H:H,[36]Schedule!F232)</f>
        <v>46548</v>
      </c>
      <c r="M232" s="361">
        <f>SUMIFS('[36]frm P6'!$K:$K,'[36]frm P6'!D:D,[36]Schedule!B232,'[36]frm P6'!E:E,[36]Schedule!C232,'[36]frm P6'!F:F,[36]Schedule!D232,'[36]frm P6'!G:G,[36]Schedule!$K$191,'[36]frm P6'!H:H,[36]Schedule!F232)</f>
        <v>46603</v>
      </c>
      <c r="N232" s="362">
        <f t="shared" si="135"/>
        <v>56</v>
      </c>
      <c r="O232" s="273"/>
      <c r="P232" s="273"/>
      <c r="Q232" s="273"/>
      <c r="R232" s="363"/>
      <c r="S232" s="364"/>
      <c r="T232" s="365"/>
      <c r="U232" s="366"/>
      <c r="V232" s="366"/>
      <c r="W232" s="367"/>
      <c r="X232" s="368" t="s">
        <v>424</v>
      </c>
      <c r="Y232" s="368" t="s">
        <v>424</v>
      </c>
      <c r="Z232" s="369" t="s">
        <v>424</v>
      </c>
      <c r="AA232" s="368" t="s">
        <v>424</v>
      </c>
      <c r="AB232" s="368" t="s">
        <v>424</v>
      </c>
      <c r="AC232" s="362" t="s">
        <v>424</v>
      </c>
      <c r="AD232" s="274"/>
      <c r="AE232" s="273"/>
      <c r="AF232" s="273"/>
      <c r="AG232" s="420" t="s">
        <v>424</v>
      </c>
      <c r="AH232" s="368" t="s">
        <v>424</v>
      </c>
      <c r="AI232" s="369" t="s">
        <v>424</v>
      </c>
      <c r="AJ232" s="273"/>
      <c r="AK232" s="273"/>
      <c r="AL232" s="273"/>
      <c r="AM232" s="420" t="s">
        <v>424</v>
      </c>
      <c r="AN232" s="368" t="s">
        <v>424</v>
      </c>
      <c r="AO232" s="362" t="s">
        <v>424</v>
      </c>
      <c r="AP232" s="273"/>
      <c r="AQ232" s="273"/>
      <c r="AR232" s="372"/>
      <c r="AS232" s="368">
        <f t="shared" si="149"/>
        <v>46528</v>
      </c>
      <c r="AT232" s="368">
        <f>AS232-94</f>
        <v>46434</v>
      </c>
      <c r="AU232" s="377">
        <f t="shared" si="147"/>
        <v>46414</v>
      </c>
      <c r="AV232" s="368">
        <f t="shared" si="148"/>
        <v>46544</v>
      </c>
      <c r="AW232" s="368">
        <f t="shared" si="138"/>
        <v>46534</v>
      </c>
      <c r="AX232" s="378">
        <f t="shared" si="146"/>
        <v>182</v>
      </c>
      <c r="AY232" s="368">
        <v>46352</v>
      </c>
      <c r="AZ232" s="362" t="s">
        <v>801</v>
      </c>
      <c r="BA232" s="375" t="s">
        <v>802</v>
      </c>
      <c r="BB232" s="487"/>
      <c r="BE232" s="277"/>
      <c r="BF232" s="278"/>
    </row>
    <row r="233" spans="1:58" s="269" customFormat="1" ht="23.45" customHeight="1">
      <c r="A233" s="270"/>
      <c r="B233" s="357" t="s">
        <v>578</v>
      </c>
      <c r="C233" s="357" t="s">
        <v>803</v>
      </c>
      <c r="D233" s="357" t="s">
        <v>791</v>
      </c>
      <c r="E233" s="357"/>
      <c r="F233" s="357" t="s">
        <v>645</v>
      </c>
      <c r="G233" s="357" t="str">
        <f t="shared" si="150"/>
        <v>02TINTUBE</v>
      </c>
      <c r="H233" s="358">
        <v>6</v>
      </c>
      <c r="I233" s="517" t="s">
        <v>820</v>
      </c>
      <c r="J233" s="359"/>
      <c r="K233" s="360"/>
      <c r="L233" s="361">
        <f>SUMIFS('[36]frm P6'!$J:$J,'[36]frm P6'!D:D,[36]Schedule!B233,'[36]frm P6'!E:E,[36]Schedule!C233,'[36]frm P6'!F:F,[36]Schedule!D233,'[36]frm P6'!G:G,[36]Schedule!$K$215,'[36]frm P6'!H:H,[36]Schedule!F233)</f>
        <v>46555</v>
      </c>
      <c r="M233" s="361">
        <f>SUMIFS('[36]frm P6'!$K:$K,'[36]frm P6'!D:D,[36]Schedule!B233,'[36]frm P6'!E:E,[36]Schedule!C233,'[36]frm P6'!F:F,[36]Schedule!D233,'[36]frm P6'!G:G,[36]Schedule!$K$191,'[36]frm P6'!H:H,[36]Schedule!F233)</f>
        <v>46612</v>
      </c>
      <c r="N233" s="362">
        <f t="shared" si="135"/>
        <v>58</v>
      </c>
      <c r="O233" s="273"/>
      <c r="P233" s="273"/>
      <c r="Q233" s="273"/>
      <c r="R233" s="363"/>
      <c r="S233" s="364"/>
      <c r="T233" s="365"/>
      <c r="U233" s="366"/>
      <c r="V233" s="366"/>
      <c r="W233" s="367"/>
      <c r="X233" s="368" t="s">
        <v>424</v>
      </c>
      <c r="Y233" s="368" t="s">
        <v>424</v>
      </c>
      <c r="Z233" s="369" t="s">
        <v>424</v>
      </c>
      <c r="AA233" s="368" t="s">
        <v>424</v>
      </c>
      <c r="AB233" s="368" t="s">
        <v>424</v>
      </c>
      <c r="AC233" s="362" t="s">
        <v>424</v>
      </c>
      <c r="AD233" s="274"/>
      <c r="AE233" s="273"/>
      <c r="AF233" s="273"/>
      <c r="AG233" s="420" t="s">
        <v>424</v>
      </c>
      <c r="AH233" s="368" t="s">
        <v>424</v>
      </c>
      <c r="AI233" s="369" t="s">
        <v>424</v>
      </c>
      <c r="AJ233" s="273"/>
      <c r="AK233" s="273"/>
      <c r="AL233" s="273"/>
      <c r="AM233" s="420" t="s">
        <v>424</v>
      </c>
      <c r="AN233" s="368" t="s">
        <v>424</v>
      </c>
      <c r="AO233" s="362" t="s">
        <v>424</v>
      </c>
      <c r="AP233" s="273"/>
      <c r="AQ233" s="273"/>
      <c r="AR233" s="372"/>
      <c r="AS233" s="368">
        <f t="shared" si="149"/>
        <v>46535</v>
      </c>
      <c r="AT233" s="368">
        <f>AS233-94</f>
        <v>46441</v>
      </c>
      <c r="AU233" s="377">
        <f t="shared" si="147"/>
        <v>46421</v>
      </c>
      <c r="AV233" s="368">
        <f t="shared" si="148"/>
        <v>46551</v>
      </c>
      <c r="AW233" s="368">
        <f t="shared" si="138"/>
        <v>46541</v>
      </c>
      <c r="AX233" s="378">
        <f t="shared" si="146"/>
        <v>182</v>
      </c>
      <c r="AY233" s="368">
        <v>46359</v>
      </c>
      <c r="AZ233" s="362" t="s">
        <v>805</v>
      </c>
      <c r="BA233" s="375" t="s">
        <v>806</v>
      </c>
      <c r="BB233" s="487"/>
      <c r="BE233" s="277"/>
      <c r="BF233" s="278"/>
    </row>
    <row r="234" spans="1:58" s="269" customFormat="1" ht="23.45" customHeight="1">
      <c r="A234" s="270"/>
      <c r="B234" s="357" t="s">
        <v>578</v>
      </c>
      <c r="C234" s="357" t="s">
        <v>809</v>
      </c>
      <c r="D234" s="357" t="s">
        <v>791</v>
      </c>
      <c r="E234" s="357"/>
      <c r="F234" s="357" t="s">
        <v>645</v>
      </c>
      <c r="G234" s="357" t="str">
        <f t="shared" si="150"/>
        <v>02TINCALIB</v>
      </c>
      <c r="H234" s="358">
        <v>7</v>
      </c>
      <c r="I234" s="517" t="s">
        <v>821</v>
      </c>
      <c r="J234" s="359"/>
      <c r="K234" s="360"/>
      <c r="L234" s="361">
        <f>SUMIFS('[36]frm P6'!$J:$J,'[36]frm P6'!D:D,[36]Schedule!B234,'[36]frm P6'!E:E,[36]Schedule!C234,'[36]frm P6'!F:F,[36]Schedule!D234,'[36]frm P6'!G:G,[36]Schedule!$K$215,'[36]frm P6'!H:H,[36]Schedule!F234)</f>
        <v>46479</v>
      </c>
      <c r="M234" s="361">
        <f>SUMIFS('[36]frm P6'!$K:$K,'[36]frm P6'!D:D,[36]Schedule!B234,'[36]frm P6'!E:E,[36]Schedule!C234,'[36]frm P6'!F:F,[36]Schedule!D234,'[36]frm P6'!G:G,[36]Schedule!$K$191,'[36]frm P6'!H:H,[36]Schedule!F234)</f>
        <v>46553</v>
      </c>
      <c r="N234" s="362">
        <f t="shared" si="135"/>
        <v>75</v>
      </c>
      <c r="O234" s="273"/>
      <c r="P234" s="273"/>
      <c r="Q234" s="273"/>
      <c r="R234" s="363"/>
      <c r="S234" s="364"/>
      <c r="T234" s="365"/>
      <c r="U234" s="366"/>
      <c r="V234" s="366"/>
      <c r="W234" s="367"/>
      <c r="X234" s="368" t="s">
        <v>424</v>
      </c>
      <c r="Y234" s="368" t="s">
        <v>424</v>
      </c>
      <c r="Z234" s="369" t="s">
        <v>424</v>
      </c>
      <c r="AA234" s="368" t="s">
        <v>424</v>
      </c>
      <c r="AB234" s="368" t="s">
        <v>424</v>
      </c>
      <c r="AC234" s="362" t="s">
        <v>424</v>
      </c>
      <c r="AD234" s="274"/>
      <c r="AE234" s="273"/>
      <c r="AF234" s="273"/>
      <c r="AG234" s="420" t="s">
        <v>424</v>
      </c>
      <c r="AH234" s="368" t="s">
        <v>424</v>
      </c>
      <c r="AI234" s="369" t="s">
        <v>424</v>
      </c>
      <c r="AJ234" s="273"/>
      <c r="AK234" s="273"/>
      <c r="AL234" s="273"/>
      <c r="AM234" s="420" t="s">
        <v>424</v>
      </c>
      <c r="AN234" s="368" t="s">
        <v>424</v>
      </c>
      <c r="AO234" s="362" t="s">
        <v>424</v>
      </c>
      <c r="AP234" s="273"/>
      <c r="AQ234" s="273"/>
      <c r="AR234" s="372"/>
      <c r="AS234" s="368">
        <f t="shared" si="149"/>
        <v>46459</v>
      </c>
      <c r="AT234" s="368">
        <f>AS234-94</f>
        <v>46365</v>
      </c>
      <c r="AU234" s="377">
        <f t="shared" si="147"/>
        <v>46345</v>
      </c>
      <c r="AV234" s="368">
        <f t="shared" si="148"/>
        <v>46475</v>
      </c>
      <c r="AW234" s="368">
        <f t="shared" si="138"/>
        <v>46465</v>
      </c>
      <c r="AX234" s="378">
        <f t="shared" si="146"/>
        <v>106</v>
      </c>
      <c r="AY234" s="368">
        <v>46359</v>
      </c>
      <c r="AZ234" s="362" t="s">
        <v>805</v>
      </c>
      <c r="BA234" s="375" t="s">
        <v>806</v>
      </c>
      <c r="BB234" s="487"/>
      <c r="BE234" s="277"/>
      <c r="BF234" s="278"/>
    </row>
    <row r="235" spans="1:58" s="269" customFormat="1" ht="23.45" customHeight="1">
      <c r="A235" s="270"/>
      <c r="B235" s="357" t="s">
        <v>578</v>
      </c>
      <c r="C235" s="357" t="s">
        <v>807</v>
      </c>
      <c r="D235" s="357" t="s">
        <v>791</v>
      </c>
      <c r="E235" s="357"/>
      <c r="F235" s="357" t="s">
        <v>645</v>
      </c>
      <c r="G235" s="357" t="str">
        <f t="shared" si="150"/>
        <v>02TINPANEL</v>
      </c>
      <c r="H235" s="358">
        <v>8</v>
      </c>
      <c r="I235" s="517" t="s">
        <v>822</v>
      </c>
      <c r="J235" s="359"/>
      <c r="K235" s="360"/>
      <c r="L235" s="361">
        <f>SUMIFS('[36]frm P6'!$J:$J,'[36]frm P6'!D:D,[36]Schedule!B235,'[36]frm P6'!E:E,[36]Schedule!C235,'[36]frm P6'!F:F,[36]Schedule!D235,'[36]frm P6'!G:G,[36]Schedule!$K$215,'[36]frm P6'!H:H,[36]Schedule!F235)</f>
        <v>46496</v>
      </c>
      <c r="M235" s="361">
        <f>SUMIFS('[36]frm P6'!$K:$K,'[36]frm P6'!D:D,[36]Schedule!B235,'[36]frm P6'!E:E,[36]Schedule!C235,'[36]frm P6'!F:F,[36]Schedule!D235,'[36]frm P6'!G:G,[36]Schedule!$K$191,'[36]frm P6'!H:H,[36]Schedule!F235)</f>
        <v>46568</v>
      </c>
      <c r="N235" s="362">
        <f t="shared" si="135"/>
        <v>73</v>
      </c>
      <c r="O235" s="273"/>
      <c r="P235" s="273"/>
      <c r="Q235" s="273"/>
      <c r="R235" s="363"/>
      <c r="S235" s="364"/>
      <c r="T235" s="365"/>
      <c r="U235" s="366"/>
      <c r="V235" s="366"/>
      <c r="W235" s="367"/>
      <c r="X235" s="368" t="s">
        <v>424</v>
      </c>
      <c r="Y235" s="368" t="s">
        <v>424</v>
      </c>
      <c r="Z235" s="369" t="s">
        <v>424</v>
      </c>
      <c r="AA235" s="368" t="s">
        <v>424</v>
      </c>
      <c r="AB235" s="368" t="s">
        <v>424</v>
      </c>
      <c r="AC235" s="362" t="s">
        <v>424</v>
      </c>
      <c r="AD235" s="274"/>
      <c r="AE235" s="273"/>
      <c r="AF235" s="273"/>
      <c r="AG235" s="420" t="s">
        <v>424</v>
      </c>
      <c r="AH235" s="368" t="s">
        <v>424</v>
      </c>
      <c r="AI235" s="369" t="s">
        <v>424</v>
      </c>
      <c r="AJ235" s="273"/>
      <c r="AK235" s="273"/>
      <c r="AL235" s="273"/>
      <c r="AM235" s="420" t="s">
        <v>424</v>
      </c>
      <c r="AN235" s="368" t="s">
        <v>424</v>
      </c>
      <c r="AO235" s="362" t="s">
        <v>424</v>
      </c>
      <c r="AP235" s="273"/>
      <c r="AQ235" s="273"/>
      <c r="AR235" s="372"/>
      <c r="AS235" s="368">
        <f t="shared" si="149"/>
        <v>46476</v>
      </c>
      <c r="AT235" s="368">
        <f>AS235-94</f>
        <v>46382</v>
      </c>
      <c r="AU235" s="377">
        <f t="shared" si="147"/>
        <v>46362</v>
      </c>
      <c r="AV235" s="368">
        <f t="shared" si="148"/>
        <v>46492</v>
      </c>
      <c r="AW235" s="368">
        <f t="shared" si="138"/>
        <v>46482</v>
      </c>
      <c r="AX235" s="378">
        <f t="shared" si="146"/>
        <v>137</v>
      </c>
      <c r="AY235" s="368">
        <v>46345</v>
      </c>
      <c r="AZ235" s="362" t="s">
        <v>811</v>
      </c>
      <c r="BA235" s="375" t="s">
        <v>812</v>
      </c>
      <c r="BB235" s="487"/>
      <c r="BE235" s="277"/>
      <c r="BF235" s="278"/>
    </row>
    <row r="236" spans="1:58" s="269" customFormat="1" ht="23.45" customHeight="1">
      <c r="A236" s="270"/>
      <c r="B236" s="357" t="s">
        <v>578</v>
      </c>
      <c r="C236" s="357" t="s">
        <v>771</v>
      </c>
      <c r="D236" s="357" t="s">
        <v>791</v>
      </c>
      <c r="E236" s="357"/>
      <c r="F236" s="357" t="s">
        <v>645</v>
      </c>
      <c r="G236" s="357" t="str">
        <f t="shared" si="150"/>
        <v>02TINEQUIP</v>
      </c>
      <c r="H236" s="358">
        <v>8</v>
      </c>
      <c r="I236" s="517" t="s">
        <v>823</v>
      </c>
      <c r="J236" s="359"/>
      <c r="K236" s="360"/>
      <c r="L236" s="361">
        <f>SUMIFS('[36]frm P6'!$J:$J,'[36]frm P6'!D:D,[36]Schedule!B236,'[36]frm P6'!E:E,[36]Schedule!C236,'[36]frm P6'!F:F,[36]Schedule!D236,'[36]frm P6'!G:G,[36]Schedule!$K$215,'[36]frm P6'!H:H,[36]Schedule!F236)</f>
        <v>46511</v>
      </c>
      <c r="M236" s="361">
        <f>SUMIFS('[36]frm P6'!$K:$K,'[36]frm P6'!D:D,[36]Schedule!B236,'[36]frm P6'!E:E,[36]Schedule!C236,'[36]frm P6'!F:F,[36]Schedule!D236,'[36]frm P6'!G:G,[36]Schedule!$K$191,'[36]frm P6'!H:H,[36]Schedule!F236)</f>
        <v>46582</v>
      </c>
      <c r="N236" s="362">
        <f t="shared" si="135"/>
        <v>72</v>
      </c>
      <c r="O236" s="273"/>
      <c r="P236" s="273"/>
      <c r="Q236" s="273"/>
      <c r="R236" s="363"/>
      <c r="S236" s="364"/>
      <c r="T236" s="365"/>
      <c r="U236" s="366"/>
      <c r="V236" s="366"/>
      <c r="W236" s="367"/>
      <c r="X236" s="368" t="s">
        <v>424</v>
      </c>
      <c r="Y236" s="368" t="s">
        <v>424</v>
      </c>
      <c r="Z236" s="369" t="s">
        <v>424</v>
      </c>
      <c r="AA236" s="368" t="s">
        <v>424</v>
      </c>
      <c r="AB236" s="368" t="s">
        <v>424</v>
      </c>
      <c r="AC236" s="362" t="s">
        <v>424</v>
      </c>
      <c r="AD236" s="274"/>
      <c r="AE236" s="273"/>
      <c r="AF236" s="273"/>
      <c r="AG236" s="420" t="s">
        <v>424</v>
      </c>
      <c r="AH236" s="368" t="s">
        <v>424</v>
      </c>
      <c r="AI236" s="369" t="s">
        <v>424</v>
      </c>
      <c r="AJ236" s="273"/>
      <c r="AK236" s="273"/>
      <c r="AL236" s="273"/>
      <c r="AM236" s="420" t="s">
        <v>424</v>
      </c>
      <c r="AN236" s="368" t="s">
        <v>424</v>
      </c>
      <c r="AO236" s="362" t="s">
        <v>424</v>
      </c>
      <c r="AP236" s="273"/>
      <c r="AQ236" s="273"/>
      <c r="AR236" s="372"/>
      <c r="AS236" s="368">
        <f t="shared" si="149"/>
        <v>46491</v>
      </c>
      <c r="AT236" s="368">
        <f>AS236-94</f>
        <v>46397</v>
      </c>
      <c r="AU236" s="377">
        <f t="shared" si="147"/>
        <v>46377</v>
      </c>
      <c r="AV236" s="368">
        <f t="shared" si="148"/>
        <v>46507</v>
      </c>
      <c r="AW236" s="368">
        <f t="shared" si="138"/>
        <v>46497</v>
      </c>
      <c r="AX236" s="378">
        <f t="shared" si="146"/>
        <v>152</v>
      </c>
      <c r="AY236" s="368">
        <v>46345</v>
      </c>
      <c r="AZ236" s="362" t="s">
        <v>811</v>
      </c>
      <c r="BA236" s="375" t="s">
        <v>812</v>
      </c>
      <c r="BB236" s="487"/>
      <c r="BE236" s="277"/>
      <c r="BF236" s="278"/>
    </row>
    <row r="237" spans="1:58" ht="6" customHeight="1">
      <c r="B237" s="527"/>
      <c r="C237" s="527"/>
      <c r="D237" s="527"/>
      <c r="E237" s="527"/>
      <c r="F237" s="527"/>
      <c r="G237" s="527"/>
      <c r="H237" s="527"/>
      <c r="I237" s="527"/>
      <c r="J237" s="527"/>
      <c r="K237" s="528"/>
      <c r="L237" s="527"/>
      <c r="M237" s="527"/>
      <c r="N237" s="527"/>
      <c r="O237" s="435"/>
      <c r="P237" s="435"/>
      <c r="Q237" s="435"/>
      <c r="R237" s="380"/>
      <c r="S237" s="381"/>
      <c r="T237" s="382"/>
      <c r="U237" s="383"/>
      <c r="V237" s="383"/>
      <c r="W237" s="384"/>
      <c r="X237" s="527"/>
      <c r="Y237" s="527"/>
      <c r="Z237" s="527"/>
      <c r="AA237" s="527"/>
      <c r="AB237" s="527"/>
      <c r="AC237" s="527"/>
      <c r="AD237" s="434"/>
      <c r="AE237" s="435"/>
      <c r="AF237" s="435"/>
      <c r="AG237" s="527"/>
      <c r="AH237" s="527"/>
      <c r="AI237" s="527"/>
      <c r="AJ237" s="435"/>
      <c r="AK237" s="435"/>
      <c r="AL237" s="435"/>
      <c r="AM237" s="529"/>
      <c r="AN237" s="530"/>
      <c r="AO237" s="530"/>
      <c r="AP237" s="494"/>
      <c r="AQ237" s="494"/>
      <c r="AR237" s="527"/>
      <c r="AS237" s="527"/>
      <c r="AT237" s="527"/>
      <c r="AU237" s="527"/>
      <c r="AV237" s="527"/>
      <c r="AW237" s="527"/>
      <c r="AX237" s="527"/>
      <c r="AY237" s="527"/>
      <c r="AZ237" s="527"/>
      <c r="BA237" s="527"/>
      <c r="BB237" s="527"/>
      <c r="BC237" s="527"/>
      <c r="BD237" s="527"/>
    </row>
    <row r="238" spans="1:58" ht="27" customHeight="1">
      <c r="B238" s="406" t="s">
        <v>824</v>
      </c>
      <c r="H238" s="407" t="s">
        <v>825</v>
      </c>
      <c r="I238" s="287"/>
      <c r="J238" s="288"/>
      <c r="K238" s="289"/>
      <c r="L238" s="408" t="s">
        <v>375</v>
      </c>
      <c r="M238" s="291" t="s">
        <v>696</v>
      </c>
      <c r="N238" s="292"/>
      <c r="O238" s="293"/>
      <c r="P238" s="293"/>
      <c r="Q238" s="293"/>
      <c r="R238" s="409"/>
      <c r="S238" s="410"/>
      <c r="T238" s="411"/>
      <c r="U238" s="412"/>
      <c r="V238" s="412"/>
      <c r="W238" s="413"/>
      <c r="X238" s="294" t="s">
        <v>381</v>
      </c>
      <c r="Y238" s="414"/>
      <c r="Z238" s="297"/>
      <c r="AA238" s="415" t="s">
        <v>385</v>
      </c>
      <c r="AB238" s="295"/>
      <c r="AC238" s="297"/>
      <c r="AD238" s="299"/>
      <c r="AE238" s="293"/>
      <c r="AF238" s="293"/>
      <c r="AG238" s="300" t="s">
        <v>385</v>
      </c>
      <c r="AH238" s="298" t="s">
        <v>475</v>
      </c>
      <c r="AI238" s="296"/>
      <c r="AJ238" s="293"/>
      <c r="AK238" s="293"/>
      <c r="AL238" s="293"/>
      <c r="AM238" s="300"/>
      <c r="AN238" s="416" t="s">
        <v>424</v>
      </c>
      <c r="AO238" s="297"/>
      <c r="AP238" s="293"/>
      <c r="AQ238" s="293"/>
      <c r="AR238" s="297"/>
      <c r="AS238" s="294"/>
      <c r="AT238" s="484"/>
      <c r="AU238" s="304"/>
      <c r="AV238" s="294">
        <v>4</v>
      </c>
      <c r="AW238" s="294">
        <v>10</v>
      </c>
      <c r="AX238" s="519" t="s">
        <v>389</v>
      </c>
      <c r="AY238" s="520"/>
      <c r="AZ238" s="307"/>
      <c r="BA238" s="308"/>
      <c r="BB238" s="485"/>
    </row>
    <row r="239" spans="1:58" ht="27" customHeight="1">
      <c r="B239" s="313" t="s">
        <v>391</v>
      </c>
      <c r="C239" s="313" t="s">
        <v>392</v>
      </c>
      <c r="D239" s="313" t="s">
        <v>393</v>
      </c>
      <c r="E239" s="313" t="s">
        <v>394</v>
      </c>
      <c r="F239" s="313" t="s">
        <v>395</v>
      </c>
      <c r="G239" s="313"/>
      <c r="H239" s="314" t="s">
        <v>396</v>
      </c>
      <c r="I239" s="315" t="s">
        <v>397</v>
      </c>
      <c r="J239" s="316" t="s">
        <v>398</v>
      </c>
      <c r="K239" s="317"/>
      <c r="L239" s="315" t="s">
        <v>399</v>
      </c>
      <c r="M239" s="315" t="s">
        <v>400</v>
      </c>
      <c r="N239" s="315" t="s">
        <v>401</v>
      </c>
      <c r="O239" s="503" t="s">
        <v>473</v>
      </c>
      <c r="P239" s="318" t="s">
        <v>789</v>
      </c>
      <c r="Q239" s="318" t="s">
        <v>753</v>
      </c>
      <c r="R239" s="380"/>
      <c r="S239" s="381"/>
      <c r="T239" s="382"/>
      <c r="U239" s="383"/>
      <c r="V239" s="383"/>
      <c r="W239" s="384"/>
      <c r="X239" s="319" t="s">
        <v>399</v>
      </c>
      <c r="Y239" s="319" t="s">
        <v>400</v>
      </c>
      <c r="Z239" s="319" t="s">
        <v>401</v>
      </c>
      <c r="AA239" s="326" t="s">
        <v>399</v>
      </c>
      <c r="AB239" s="319" t="s">
        <v>400</v>
      </c>
      <c r="AC239" s="319" t="s">
        <v>401</v>
      </c>
      <c r="AD239" s="418"/>
      <c r="AE239" s="417"/>
      <c r="AF239" s="417"/>
      <c r="AG239" s="326"/>
      <c r="AH239" s="319"/>
      <c r="AI239" s="327"/>
      <c r="AJ239" s="417"/>
      <c r="AK239" s="417"/>
      <c r="AL239" s="417"/>
      <c r="AM239" s="323"/>
      <c r="AN239" s="319"/>
      <c r="AO239" s="319"/>
      <c r="AP239" s="417"/>
      <c r="AQ239" s="417"/>
      <c r="AR239" s="326" t="s">
        <v>408</v>
      </c>
      <c r="AS239" s="319" t="s">
        <v>409</v>
      </c>
      <c r="AT239" s="319" t="s">
        <v>410</v>
      </c>
      <c r="AU239" s="327" t="s">
        <v>560</v>
      </c>
      <c r="AV239" s="328" t="s">
        <v>393</v>
      </c>
      <c r="AW239" s="328" t="s">
        <v>412</v>
      </c>
      <c r="AX239" s="521" t="s">
        <v>413</v>
      </c>
      <c r="AY239" s="522"/>
      <c r="AZ239" s="328" t="s">
        <v>478</v>
      </c>
      <c r="BA239" s="328" t="s">
        <v>416</v>
      </c>
      <c r="BB239" s="331"/>
    </row>
    <row r="240" spans="1:58" ht="30" customHeight="1">
      <c r="B240" s="438" t="s">
        <v>417</v>
      </c>
      <c r="C240" s="432"/>
      <c r="D240" s="432"/>
      <c r="E240" s="432"/>
      <c r="F240" s="432"/>
      <c r="G240" s="432"/>
      <c r="H240" s="336" t="s">
        <v>826</v>
      </c>
      <c r="I240" s="337"/>
      <c r="J240" s="338"/>
      <c r="K240" s="339"/>
      <c r="L240" s="340">
        <f>MIN(L241:L253)</f>
        <v>46379</v>
      </c>
      <c r="M240" s="340">
        <f>MAX(M241:M253)</f>
        <v>46574</v>
      </c>
      <c r="N240" s="337">
        <f t="shared" ref="N240:N253" si="151">M240-L240+1</f>
        <v>196</v>
      </c>
      <c r="O240" s="341"/>
      <c r="P240" s="341"/>
      <c r="Q240" s="341"/>
      <c r="R240" s="380"/>
      <c r="S240" s="381"/>
      <c r="T240" s="382"/>
      <c r="U240" s="383"/>
      <c r="V240" s="383"/>
      <c r="W240" s="384"/>
      <c r="X240" s="340"/>
      <c r="Y240" s="340"/>
      <c r="Z240" s="347"/>
      <c r="AA240" s="340"/>
      <c r="AB240" s="340"/>
      <c r="AC240" s="337"/>
      <c r="AD240" s="348"/>
      <c r="AE240" s="341"/>
      <c r="AF240" s="341"/>
      <c r="AG240" s="349"/>
      <c r="AH240" s="340"/>
      <c r="AI240" s="347"/>
      <c r="AJ240" s="341"/>
      <c r="AK240" s="341"/>
      <c r="AL240" s="341"/>
      <c r="AM240" s="349"/>
      <c r="AN240" s="340"/>
      <c r="AO240" s="337"/>
      <c r="AP240" s="341"/>
      <c r="AQ240" s="341"/>
      <c r="AR240" s="351"/>
      <c r="AS240" s="340">
        <f>MIN(AS241:AS246)</f>
        <v>46350</v>
      </c>
      <c r="AT240" s="340">
        <f t="shared" ref="AT240:AW240" si="152">MIN(AT241:AT246)</f>
        <v>46270</v>
      </c>
      <c r="AU240" s="352">
        <f t="shared" si="152"/>
        <v>46250</v>
      </c>
      <c r="AV240" s="353">
        <f t="shared" si="152"/>
        <v>46353</v>
      </c>
      <c r="AW240" s="353">
        <f t="shared" si="152"/>
        <v>46343</v>
      </c>
      <c r="AX240" s="486"/>
      <c r="AY240" s="340"/>
      <c r="AZ240" s="337"/>
      <c r="BA240" s="337"/>
      <c r="BB240" s="439"/>
      <c r="BC240" s="268"/>
      <c r="BD240" s="268"/>
      <c r="BE240" s="311"/>
      <c r="BF240" s="312"/>
    </row>
    <row r="241" spans="1:58" s="269" customFormat="1" ht="23.45" customHeight="1">
      <c r="A241" s="270"/>
      <c r="B241" s="357" t="s">
        <v>578</v>
      </c>
      <c r="C241" s="357" t="s">
        <v>489</v>
      </c>
      <c r="D241" s="357" t="s">
        <v>827</v>
      </c>
      <c r="E241" s="357"/>
      <c r="F241" s="357" t="s">
        <v>581</v>
      </c>
      <c r="G241" s="357"/>
      <c r="H241" s="358">
        <v>1</v>
      </c>
      <c r="I241" s="517" t="s">
        <v>828</v>
      </c>
      <c r="J241" s="359"/>
      <c r="K241" s="360"/>
      <c r="L241" s="361">
        <f>SUMIFS('[36]frm P6'!$J:$J,'[36]frm P6'!D:D,[36]Schedule!B241,'[36]frm P6'!E:E,[36]Schedule!C241,'[36]frm P6'!F:F,[36]Schedule!D241,'[36]frm P6'!G:G,[36]Schedule!$K$215,'[36]frm P6'!H:H,[36]Schedule!F241)</f>
        <v>46379</v>
      </c>
      <c r="M241" s="361">
        <f>SUMIFS('[36]frm P6'!$K:$K,'[36]frm P6'!D:D,[36]Schedule!B241,'[36]frm P6'!E:E,[36]Schedule!C241,'[36]frm P6'!F:F,[36]Schedule!D241,'[36]frm P6'!G:G,[36]Schedule!$K$191,'[36]frm P6'!H:H,[36]Schedule!F241)</f>
        <v>46483</v>
      </c>
      <c r="N241" s="362">
        <f t="shared" si="151"/>
        <v>105</v>
      </c>
      <c r="O241" s="273">
        <v>2.0499999999999998</v>
      </c>
      <c r="P241" s="273"/>
      <c r="Q241" s="273"/>
      <c r="R241" s="363"/>
      <c r="S241" s="364"/>
      <c r="T241" s="365"/>
      <c r="U241" s="366"/>
      <c r="V241" s="366"/>
      <c r="W241" s="367"/>
      <c r="X241" s="361">
        <f>SUMIFS('[36]frm P6'!$J:$J,'[36]frm P6'!D:D,[36]Schedule!B241,'[36]frm P6'!E:E,[36]Schedule!C241,'[36]frm P6'!F:F,[36]Schedule!D241,'[36]frm P6'!G:G,[36]Schedule!$W$138,'[36]frm P6'!H:H,[36]Schedule!F241)</f>
        <v>46371</v>
      </c>
      <c r="Y241" s="361">
        <f>SUMIFS('[36]frm P6'!$K:$K,'[36]frm P6'!D:D,[36]Schedule!B241,'[36]frm P6'!E:E,[36]Schedule!C241,'[36]frm P6'!F:F,[36]Schedule!D241,'[36]frm P6'!G:G,[36]Schedule!$W$138,'[36]frm P6'!H:H,[36]Schedule!F241)</f>
        <v>46434</v>
      </c>
      <c r="Z241" s="369" t="s">
        <v>424</v>
      </c>
      <c r="AA241" s="368" t="s">
        <v>424</v>
      </c>
      <c r="AB241" s="368" t="s">
        <v>424</v>
      </c>
      <c r="AC241" s="362" t="s">
        <v>424</v>
      </c>
      <c r="AD241" s="274"/>
      <c r="AE241" s="273"/>
      <c r="AF241" s="273"/>
      <c r="AG241" s="370">
        <f>SUMIFS('[36]frm P6'!$J:$J,'[36]frm P6'!D:D,[36]Schedule!B241,'[36]frm P6'!E:E,[36]Schedule!C241,'[36]frm P6'!F:F,[36]Schedule!D241,'[36]frm P6'!G:G,[36]Schedule!$AF$98,'[36]frm P6'!H:H,[36]Schedule!F241)</f>
        <v>46357</v>
      </c>
      <c r="AH241" s="361">
        <f>SUMIFS('[36]frm P6'!$K:$K,'[36]frm P6'!D:D,[36]Schedule!B241,'[36]frm P6'!E:E,[36]Schedule!C241,'[36]frm P6'!F:F,[36]Schedule!D241,'[36]frm P6'!G:G,[36]Schedule!$AF$98,'[36]frm P6'!H:H,[36]Schedule!F241)</f>
        <v>46413</v>
      </c>
      <c r="AI241" s="369">
        <f t="shared" ref="AI241" si="153">AH241-AG241+1</f>
        <v>57</v>
      </c>
      <c r="AJ241" s="273"/>
      <c r="AK241" s="273"/>
      <c r="AL241" s="273"/>
      <c r="AM241" s="420" t="s">
        <v>424</v>
      </c>
      <c r="AN241" s="368" t="s">
        <v>424</v>
      </c>
      <c r="AO241" s="362" t="s">
        <v>424</v>
      </c>
      <c r="AP241" s="273"/>
      <c r="AQ241" s="273"/>
      <c r="AR241" s="372"/>
      <c r="AS241" s="368">
        <f>AG241-7</f>
        <v>46350</v>
      </c>
      <c r="AT241" s="368">
        <f>AS241-60</f>
        <v>46290</v>
      </c>
      <c r="AU241" s="377">
        <f>AT241-15</f>
        <v>46275</v>
      </c>
      <c r="AV241" s="368">
        <f>AG241-$AV$3</f>
        <v>46353</v>
      </c>
      <c r="AW241" s="368">
        <f t="shared" ref="AW241:AW253" si="154">AV241-$AW$3</f>
        <v>46343</v>
      </c>
      <c r="AX241" s="378">
        <f t="shared" ref="AX241:AX246" si="155">AW241-AY241</f>
        <v>42</v>
      </c>
      <c r="AY241" s="368">
        <v>46301</v>
      </c>
      <c r="AZ241" s="362" t="s">
        <v>829</v>
      </c>
      <c r="BA241" s="375" t="s">
        <v>830</v>
      </c>
      <c r="BB241" s="487"/>
      <c r="BE241" s="277"/>
      <c r="BF241" s="278"/>
    </row>
    <row r="242" spans="1:58" s="269" customFormat="1" ht="23.45" customHeight="1">
      <c r="A242" s="270"/>
      <c r="B242" s="357" t="s">
        <v>578</v>
      </c>
      <c r="C242" s="357" t="s">
        <v>759</v>
      </c>
      <c r="D242" s="357" t="s">
        <v>827</v>
      </c>
      <c r="E242" s="357"/>
      <c r="F242" s="357" t="s">
        <v>581</v>
      </c>
      <c r="G242" s="357"/>
      <c r="H242" s="358">
        <v>2</v>
      </c>
      <c r="I242" s="517" t="s">
        <v>831</v>
      </c>
      <c r="J242" s="359"/>
      <c r="K242" s="360"/>
      <c r="L242" s="361">
        <f>SUMIFS('[36]frm P6'!$J:$J,'[36]frm P6'!D:D,[36]Schedule!B242,'[36]frm P6'!E:E,[36]Schedule!C242,'[36]frm P6'!F:F,[36]Schedule!D242,'[36]frm P6'!G:G,[36]Schedule!$K$215,'[36]frm P6'!H:H,[36]Schedule!F242)</f>
        <v>46433</v>
      </c>
      <c r="M242" s="361">
        <f>SUMIFS('[36]frm P6'!$K:$K,'[36]frm P6'!D:D,[36]Schedule!B242,'[36]frm P6'!E:E,[36]Schedule!C242,'[36]frm P6'!F:F,[36]Schedule!D242,'[36]frm P6'!G:G,[36]Schedule!$K$191,'[36]frm P6'!H:H,[36]Schedule!F242)</f>
        <v>46507</v>
      </c>
      <c r="N242" s="362">
        <f t="shared" si="151"/>
        <v>75</v>
      </c>
      <c r="O242" s="273"/>
      <c r="P242" s="273">
        <v>214</v>
      </c>
      <c r="Q242" s="273"/>
      <c r="R242" s="363"/>
      <c r="S242" s="364"/>
      <c r="T242" s="365"/>
      <c r="U242" s="366"/>
      <c r="V242" s="366"/>
      <c r="W242" s="367"/>
      <c r="X242" s="368" t="s">
        <v>424</v>
      </c>
      <c r="Y242" s="368" t="s">
        <v>424</v>
      </c>
      <c r="Z242" s="369" t="s">
        <v>424</v>
      </c>
      <c r="AA242" s="368" t="s">
        <v>424</v>
      </c>
      <c r="AB242" s="368" t="s">
        <v>424</v>
      </c>
      <c r="AC242" s="362" t="s">
        <v>424</v>
      </c>
      <c r="AD242" s="274"/>
      <c r="AE242" s="273"/>
      <c r="AF242" s="273"/>
      <c r="AG242" s="420" t="s">
        <v>424</v>
      </c>
      <c r="AH242" s="368" t="s">
        <v>424</v>
      </c>
      <c r="AI242" s="369" t="s">
        <v>424</v>
      </c>
      <c r="AJ242" s="273"/>
      <c r="AK242" s="273"/>
      <c r="AL242" s="273"/>
      <c r="AM242" s="420" t="s">
        <v>424</v>
      </c>
      <c r="AN242" s="368" t="s">
        <v>424</v>
      </c>
      <c r="AO242" s="362" t="s">
        <v>424</v>
      </c>
      <c r="AP242" s="273"/>
      <c r="AQ242" s="273"/>
      <c r="AR242" s="372"/>
      <c r="AS242" s="368">
        <f>L242-10</f>
        <v>46423</v>
      </c>
      <c r="AT242" s="368">
        <f>AS242-90</f>
        <v>46333</v>
      </c>
      <c r="AU242" s="377">
        <f>AT242-20</f>
        <v>46313</v>
      </c>
      <c r="AV242" s="368">
        <f>L242-$AV$3</f>
        <v>46429</v>
      </c>
      <c r="AW242" s="368">
        <f t="shared" si="154"/>
        <v>46419</v>
      </c>
      <c r="AX242" s="378">
        <f t="shared" si="155"/>
        <v>88</v>
      </c>
      <c r="AY242" s="368">
        <v>46331</v>
      </c>
      <c r="AZ242" s="362" t="s">
        <v>832</v>
      </c>
      <c r="BA242" s="375" t="s">
        <v>833</v>
      </c>
      <c r="BB242" s="487"/>
      <c r="BE242" s="277"/>
      <c r="BF242" s="278"/>
    </row>
    <row r="243" spans="1:58" s="269" customFormat="1" ht="23.45" customHeight="1">
      <c r="A243" s="270"/>
      <c r="B243" s="357" t="s">
        <v>578</v>
      </c>
      <c r="C243" s="357" t="s">
        <v>763</v>
      </c>
      <c r="D243" s="357" t="s">
        <v>827</v>
      </c>
      <c r="E243" s="357"/>
      <c r="F243" s="357" t="s">
        <v>581</v>
      </c>
      <c r="G243" s="357"/>
      <c r="H243" s="358">
        <v>3</v>
      </c>
      <c r="I243" s="517" t="s">
        <v>834</v>
      </c>
      <c r="J243" s="359"/>
      <c r="K243" s="360"/>
      <c r="L243" s="361">
        <f>SUMIFS('[36]frm P6'!$J:$J,'[36]frm P6'!D:D,[36]Schedule!B243,'[36]frm P6'!E:E,[36]Schedule!C243,'[36]frm P6'!F:F,[36]Schedule!D243,'[36]frm P6'!G:G,[36]Schedule!$K$215,'[36]frm P6'!H:H,[36]Schedule!F243)</f>
        <v>46490</v>
      </c>
      <c r="M243" s="361">
        <f>SUMIFS('[36]frm P6'!$K:$K,'[36]frm P6'!D:D,[36]Schedule!B243,'[36]frm P6'!E:E,[36]Schedule!C243,'[36]frm P6'!F:F,[36]Schedule!D243,'[36]frm P6'!G:G,[36]Schedule!$K$191,'[36]frm P6'!H:H,[36]Schedule!F243)</f>
        <v>46553</v>
      </c>
      <c r="N243" s="362">
        <f t="shared" si="151"/>
        <v>64</v>
      </c>
      <c r="O243" s="273"/>
      <c r="P243" s="273">
        <v>618</v>
      </c>
      <c r="Q243" s="273"/>
      <c r="R243" s="363"/>
      <c r="S243" s="364"/>
      <c r="T243" s="365"/>
      <c r="U243" s="366"/>
      <c r="V243" s="366"/>
      <c r="W243" s="367"/>
      <c r="X243" s="368" t="s">
        <v>424</v>
      </c>
      <c r="Y243" s="368" t="s">
        <v>424</v>
      </c>
      <c r="Z243" s="369" t="s">
        <v>424</v>
      </c>
      <c r="AA243" s="368" t="s">
        <v>424</v>
      </c>
      <c r="AB243" s="368" t="s">
        <v>424</v>
      </c>
      <c r="AC243" s="362" t="s">
        <v>424</v>
      </c>
      <c r="AD243" s="274"/>
      <c r="AE243" s="273"/>
      <c r="AF243" s="273"/>
      <c r="AG243" s="420" t="s">
        <v>424</v>
      </c>
      <c r="AH243" s="368" t="s">
        <v>424</v>
      </c>
      <c r="AI243" s="369" t="s">
        <v>424</v>
      </c>
      <c r="AJ243" s="273"/>
      <c r="AK243" s="273"/>
      <c r="AL243" s="273"/>
      <c r="AM243" s="420" t="s">
        <v>424</v>
      </c>
      <c r="AN243" s="368" t="s">
        <v>424</v>
      </c>
      <c r="AO243" s="362" t="s">
        <v>424</v>
      </c>
      <c r="AP243" s="273"/>
      <c r="AQ243" s="273"/>
      <c r="AR243" s="372"/>
      <c r="AS243" s="368">
        <f>L243-20</f>
        <v>46470</v>
      </c>
      <c r="AT243" s="368">
        <f>AS243-200</f>
        <v>46270</v>
      </c>
      <c r="AU243" s="377">
        <f t="shared" ref="AU243:AU246" si="156">AT243-20</f>
        <v>46250</v>
      </c>
      <c r="AV243" s="368">
        <f>L243-$AV$3</f>
        <v>46486</v>
      </c>
      <c r="AW243" s="368">
        <f t="shared" si="154"/>
        <v>46476</v>
      </c>
      <c r="AX243" s="378">
        <f t="shared" si="155"/>
        <v>145</v>
      </c>
      <c r="AY243" s="368">
        <v>46331</v>
      </c>
      <c r="AZ243" s="362" t="s">
        <v>832</v>
      </c>
      <c r="BA243" s="375" t="s">
        <v>833</v>
      </c>
      <c r="BB243" s="487"/>
      <c r="BE243" s="277"/>
      <c r="BF243" s="278"/>
    </row>
    <row r="244" spans="1:58" s="269" customFormat="1" ht="23.45" customHeight="1">
      <c r="A244" s="270"/>
      <c r="B244" s="357" t="s">
        <v>578</v>
      </c>
      <c r="C244" s="357" t="s">
        <v>767</v>
      </c>
      <c r="D244" s="357" t="s">
        <v>827</v>
      </c>
      <c r="E244" s="357"/>
      <c r="F244" s="357" t="s">
        <v>581</v>
      </c>
      <c r="G244" s="357"/>
      <c r="H244" s="358">
        <v>4</v>
      </c>
      <c r="I244" s="517" t="s">
        <v>835</v>
      </c>
      <c r="J244" s="359"/>
      <c r="K244" s="360"/>
      <c r="L244" s="361">
        <f>SUMIFS('[36]frm P6'!$J:$J,'[36]frm P6'!D:D,[36]Schedule!B244,'[36]frm P6'!E:E,[36]Schedule!C244,'[36]frm P6'!F:F,[36]Schedule!D244,'[36]frm P6'!G:G,[36]Schedule!$K$215,'[36]frm P6'!H:H,[36]Schedule!F244)</f>
        <v>46510</v>
      </c>
      <c r="M244" s="361">
        <f>SUMIFS('[36]frm P6'!$K:$K,'[36]frm P6'!D:D,[36]Schedule!B244,'[36]frm P6'!E:E,[36]Schedule!C244,'[36]frm P6'!F:F,[36]Schedule!D244,'[36]frm P6'!G:G,[36]Schedule!$K$191,'[36]frm P6'!H:H,[36]Schedule!F244)</f>
        <v>46567</v>
      </c>
      <c r="N244" s="362">
        <f t="shared" si="151"/>
        <v>58</v>
      </c>
      <c r="O244" s="273"/>
      <c r="P244" s="273"/>
      <c r="Q244" s="273">
        <v>206</v>
      </c>
      <c r="R244" s="363"/>
      <c r="S244" s="364"/>
      <c r="T244" s="365"/>
      <c r="U244" s="366"/>
      <c r="V244" s="366"/>
      <c r="W244" s="367"/>
      <c r="X244" s="368" t="s">
        <v>424</v>
      </c>
      <c r="Y244" s="368" t="s">
        <v>424</v>
      </c>
      <c r="Z244" s="369" t="s">
        <v>424</v>
      </c>
      <c r="AA244" s="368" t="s">
        <v>424</v>
      </c>
      <c r="AB244" s="368" t="s">
        <v>424</v>
      </c>
      <c r="AC244" s="362" t="s">
        <v>424</v>
      </c>
      <c r="AD244" s="274"/>
      <c r="AE244" s="273"/>
      <c r="AF244" s="273"/>
      <c r="AG244" s="420" t="s">
        <v>424</v>
      </c>
      <c r="AH244" s="368" t="s">
        <v>424</v>
      </c>
      <c r="AI244" s="369" t="s">
        <v>424</v>
      </c>
      <c r="AJ244" s="273"/>
      <c r="AK244" s="273"/>
      <c r="AL244" s="273"/>
      <c r="AM244" s="420" t="s">
        <v>424</v>
      </c>
      <c r="AN244" s="368" t="s">
        <v>424</v>
      </c>
      <c r="AO244" s="362" t="s">
        <v>424</v>
      </c>
      <c r="AP244" s="273"/>
      <c r="AQ244" s="273"/>
      <c r="AR244" s="372"/>
      <c r="AS244" s="368">
        <f>L244-20</f>
        <v>46490</v>
      </c>
      <c r="AT244" s="368">
        <f t="shared" ref="AT244:AT246" si="157">AS244-94</f>
        <v>46396</v>
      </c>
      <c r="AU244" s="377">
        <f t="shared" si="156"/>
        <v>46376</v>
      </c>
      <c r="AV244" s="368">
        <f>L244-$AV$3</f>
        <v>46506</v>
      </c>
      <c r="AW244" s="368">
        <f t="shared" si="154"/>
        <v>46496</v>
      </c>
      <c r="AX244" s="378">
        <f t="shared" si="155"/>
        <v>165</v>
      </c>
      <c r="AY244" s="368">
        <v>46331</v>
      </c>
      <c r="AZ244" s="362" t="s">
        <v>832</v>
      </c>
      <c r="BA244" s="375" t="s">
        <v>833</v>
      </c>
      <c r="BB244" s="487"/>
      <c r="BE244" s="277"/>
      <c r="BF244" s="278"/>
    </row>
    <row r="245" spans="1:58" s="269" customFormat="1" ht="23.45" customHeight="1">
      <c r="A245" s="270"/>
      <c r="B245" s="357" t="s">
        <v>578</v>
      </c>
      <c r="C245" s="357" t="s">
        <v>769</v>
      </c>
      <c r="D245" s="357" t="s">
        <v>827</v>
      </c>
      <c r="E245" s="357"/>
      <c r="F245" s="357" t="s">
        <v>581</v>
      </c>
      <c r="G245" s="357"/>
      <c r="H245" s="358">
        <v>5</v>
      </c>
      <c r="I245" s="517" t="s">
        <v>836</v>
      </c>
      <c r="J245" s="359"/>
      <c r="K245" s="360"/>
      <c r="L245" s="361">
        <f>SUMIFS('[36]frm P6'!$J:$J,'[36]frm P6'!D:D,[36]Schedule!B245,'[36]frm P6'!E:E,[36]Schedule!C245,'[36]frm P6'!F:F,[36]Schedule!D245,'[36]frm P6'!G:G,[36]Schedule!$K$215,'[36]frm P6'!H:H,[36]Schedule!F245)</f>
        <v>46512</v>
      </c>
      <c r="M245" s="361">
        <f>SUMIFS('[36]frm P6'!$K:$K,'[36]frm P6'!D:D,[36]Schedule!B245,'[36]frm P6'!E:E,[36]Schedule!C245,'[36]frm P6'!F:F,[36]Schedule!D245,'[36]frm P6'!G:G,[36]Schedule!$K$191,'[36]frm P6'!H:H,[36]Schedule!F245)</f>
        <v>46569</v>
      </c>
      <c r="N245" s="362">
        <f t="shared" si="151"/>
        <v>58</v>
      </c>
      <c r="O245" s="273"/>
      <c r="P245" s="273"/>
      <c r="Q245" s="273"/>
      <c r="R245" s="363"/>
      <c r="S245" s="364"/>
      <c r="T245" s="365"/>
      <c r="U245" s="366"/>
      <c r="V245" s="366"/>
      <c r="W245" s="367"/>
      <c r="X245" s="368" t="s">
        <v>424</v>
      </c>
      <c r="Y245" s="368" t="s">
        <v>424</v>
      </c>
      <c r="Z245" s="369" t="s">
        <v>424</v>
      </c>
      <c r="AA245" s="368" t="s">
        <v>424</v>
      </c>
      <c r="AB245" s="368" t="s">
        <v>424</v>
      </c>
      <c r="AC245" s="362" t="s">
        <v>424</v>
      </c>
      <c r="AD245" s="274"/>
      <c r="AE245" s="273"/>
      <c r="AF245" s="273"/>
      <c r="AG245" s="420" t="s">
        <v>424</v>
      </c>
      <c r="AH245" s="368" t="s">
        <v>424</v>
      </c>
      <c r="AI245" s="369" t="s">
        <v>424</v>
      </c>
      <c r="AJ245" s="273"/>
      <c r="AK245" s="273"/>
      <c r="AL245" s="273"/>
      <c r="AM245" s="420" t="s">
        <v>424</v>
      </c>
      <c r="AN245" s="368" t="s">
        <v>424</v>
      </c>
      <c r="AO245" s="362" t="s">
        <v>424</v>
      </c>
      <c r="AP245" s="273"/>
      <c r="AQ245" s="273"/>
      <c r="AR245" s="372"/>
      <c r="AS245" s="368">
        <f>L245-20</f>
        <v>46492</v>
      </c>
      <c r="AT245" s="368">
        <f t="shared" si="157"/>
        <v>46398</v>
      </c>
      <c r="AU245" s="377">
        <f t="shared" si="156"/>
        <v>46378</v>
      </c>
      <c r="AV245" s="368">
        <f>L245-$AV$3</f>
        <v>46508</v>
      </c>
      <c r="AW245" s="368">
        <f t="shared" si="154"/>
        <v>46498</v>
      </c>
      <c r="AX245" s="378">
        <f t="shared" si="155"/>
        <v>167</v>
      </c>
      <c r="AY245" s="368">
        <v>46331</v>
      </c>
      <c r="AZ245" s="362" t="s">
        <v>832</v>
      </c>
      <c r="BA245" s="375" t="s">
        <v>833</v>
      </c>
      <c r="BB245" s="487"/>
      <c r="BE245" s="277"/>
      <c r="BF245" s="278"/>
    </row>
    <row r="246" spans="1:58" s="269" customFormat="1" ht="23.45" customHeight="1">
      <c r="A246" s="270"/>
      <c r="B246" s="357" t="s">
        <v>578</v>
      </c>
      <c r="C246" s="357" t="s">
        <v>771</v>
      </c>
      <c r="D246" s="357" t="s">
        <v>827</v>
      </c>
      <c r="E246" s="357"/>
      <c r="F246" s="357" t="s">
        <v>581</v>
      </c>
      <c r="G246" s="357" t="str">
        <f>F246&amp;D246&amp;C246</f>
        <v>01TTELEEQUIP</v>
      </c>
      <c r="H246" s="358">
        <v>6</v>
      </c>
      <c r="I246" s="517" t="s">
        <v>837</v>
      </c>
      <c r="J246" s="359"/>
      <c r="K246" s="360"/>
      <c r="L246" s="361">
        <f>SUMIFS('[36]frm P6'!$J:$J,'[36]frm P6'!D:D,[36]Schedule!B246,'[36]frm P6'!E:E,[36]Schedule!C246,'[36]frm P6'!F:F,[36]Schedule!D246,'[36]frm P6'!G:G,[36]Schedule!$K$215,'[36]frm P6'!H:H,[36]Schedule!F246)</f>
        <v>46456</v>
      </c>
      <c r="M246" s="361">
        <f>SUMIFS('[36]frm P6'!$K:$K,'[36]frm P6'!D:D,[36]Schedule!B246,'[36]frm P6'!E:E,[36]Schedule!C246,'[36]frm P6'!F:F,[36]Schedule!D246,'[36]frm P6'!G:G,[36]Schedule!$K$191,'[36]frm P6'!H:H,[36]Schedule!F246)</f>
        <v>46527</v>
      </c>
      <c r="N246" s="362">
        <f t="shared" si="151"/>
        <v>72</v>
      </c>
      <c r="O246" s="273"/>
      <c r="P246" s="273"/>
      <c r="Q246" s="273"/>
      <c r="R246" s="363"/>
      <c r="S246" s="364"/>
      <c r="T246" s="365"/>
      <c r="U246" s="366"/>
      <c r="V246" s="366"/>
      <c r="W246" s="367"/>
      <c r="X246" s="368" t="s">
        <v>424</v>
      </c>
      <c r="Y246" s="368" t="s">
        <v>424</v>
      </c>
      <c r="Z246" s="369" t="s">
        <v>424</v>
      </c>
      <c r="AA246" s="368" t="s">
        <v>424</v>
      </c>
      <c r="AB246" s="368" t="s">
        <v>424</v>
      </c>
      <c r="AC246" s="362" t="s">
        <v>424</v>
      </c>
      <c r="AD246" s="274"/>
      <c r="AE246" s="273"/>
      <c r="AF246" s="273"/>
      <c r="AG246" s="420" t="s">
        <v>424</v>
      </c>
      <c r="AH246" s="368" t="s">
        <v>424</v>
      </c>
      <c r="AI246" s="369" t="s">
        <v>424</v>
      </c>
      <c r="AJ246" s="273"/>
      <c r="AK246" s="273"/>
      <c r="AL246" s="273"/>
      <c r="AM246" s="420" t="s">
        <v>424</v>
      </c>
      <c r="AN246" s="368" t="s">
        <v>424</v>
      </c>
      <c r="AO246" s="362" t="s">
        <v>424</v>
      </c>
      <c r="AP246" s="273"/>
      <c r="AQ246" s="273"/>
      <c r="AR246" s="372"/>
      <c r="AS246" s="368">
        <f>L246-20</f>
        <v>46436</v>
      </c>
      <c r="AT246" s="368">
        <f t="shared" si="157"/>
        <v>46342</v>
      </c>
      <c r="AU246" s="377">
        <f t="shared" si="156"/>
        <v>46322</v>
      </c>
      <c r="AV246" s="368">
        <f>L246-$AV$3</f>
        <v>46452</v>
      </c>
      <c r="AW246" s="368">
        <f t="shared" si="154"/>
        <v>46442</v>
      </c>
      <c r="AX246" s="378">
        <f t="shared" si="155"/>
        <v>111</v>
      </c>
      <c r="AY246" s="368">
        <v>46331</v>
      </c>
      <c r="AZ246" s="362" t="s">
        <v>832</v>
      </c>
      <c r="BA246" s="375" t="s">
        <v>833</v>
      </c>
      <c r="BB246" s="487"/>
      <c r="BE246" s="277"/>
      <c r="BF246" s="278"/>
    </row>
    <row r="247" spans="1:58" ht="30" customHeight="1">
      <c r="B247" s="438" t="s">
        <v>417</v>
      </c>
      <c r="C247" s="432"/>
      <c r="D247" s="432"/>
      <c r="E247" s="432"/>
      <c r="F247" s="432"/>
      <c r="G247" s="432"/>
      <c r="H247" s="336" t="s">
        <v>838</v>
      </c>
      <c r="I247" s="337"/>
      <c r="J247" s="338"/>
      <c r="K247" s="339"/>
      <c r="L247" s="340">
        <f>MIN(L248:L253)</f>
        <v>46395</v>
      </c>
      <c r="M247" s="340">
        <f>MAX(M248:M253)</f>
        <v>46574</v>
      </c>
      <c r="N247" s="337">
        <f t="shared" si="151"/>
        <v>180</v>
      </c>
      <c r="O247" s="341"/>
      <c r="P247" s="341"/>
      <c r="Q247" s="341"/>
      <c r="R247" s="380"/>
      <c r="S247" s="381"/>
      <c r="T247" s="382"/>
      <c r="U247" s="383"/>
      <c r="V247" s="383"/>
      <c r="W247" s="384"/>
      <c r="X247" s="340"/>
      <c r="Y247" s="340"/>
      <c r="Z247" s="347"/>
      <c r="AA247" s="340"/>
      <c r="AB247" s="340"/>
      <c r="AC247" s="337"/>
      <c r="AD247" s="348"/>
      <c r="AE247" s="341"/>
      <c r="AF247" s="341"/>
      <c r="AG247" s="349"/>
      <c r="AH247" s="340"/>
      <c r="AI247" s="347"/>
      <c r="AJ247" s="341"/>
      <c r="AK247" s="341"/>
      <c r="AL247" s="341"/>
      <c r="AM247" s="349"/>
      <c r="AN247" s="340"/>
      <c r="AO247" s="337"/>
      <c r="AP247" s="341"/>
      <c r="AQ247" s="341"/>
      <c r="AR247" s="351"/>
      <c r="AS247" s="340">
        <f>MIN(AS248:AS253)</f>
        <v>46370</v>
      </c>
      <c r="AT247" s="340">
        <f t="shared" ref="AT247:AW247" si="158">MIN(AT248:AT253)</f>
        <v>46270</v>
      </c>
      <c r="AU247" s="352">
        <f t="shared" si="158"/>
        <v>46250</v>
      </c>
      <c r="AV247" s="353">
        <f t="shared" si="158"/>
        <v>46373</v>
      </c>
      <c r="AW247" s="353">
        <f t="shared" si="158"/>
        <v>46363</v>
      </c>
      <c r="AX247" s="486"/>
      <c r="AY247" s="340"/>
      <c r="AZ247" s="337"/>
      <c r="BA247" s="337"/>
      <c r="BB247" s="439"/>
      <c r="BC247" s="268"/>
      <c r="BD247" s="268"/>
      <c r="BE247" s="311"/>
      <c r="BF247" s="312"/>
    </row>
    <row r="248" spans="1:58" s="269" customFormat="1" ht="23.45" customHeight="1">
      <c r="A248" s="270"/>
      <c r="B248" s="357" t="s">
        <v>578</v>
      </c>
      <c r="C248" s="357" t="s">
        <v>489</v>
      </c>
      <c r="D248" s="357" t="s">
        <v>827</v>
      </c>
      <c r="E248" s="357"/>
      <c r="F248" s="357" t="s">
        <v>645</v>
      </c>
      <c r="G248" s="357"/>
      <c r="H248" s="358">
        <v>1</v>
      </c>
      <c r="I248" s="517" t="s">
        <v>839</v>
      </c>
      <c r="J248" s="359"/>
      <c r="K248" s="360"/>
      <c r="L248" s="361">
        <f>SUMIFS('[36]frm P6'!$J:$J,'[36]frm P6'!D:D,[36]Schedule!B248,'[36]frm P6'!E:E,[36]Schedule!C248,'[36]frm P6'!F:F,[36]Schedule!D248,'[36]frm P6'!G:G,[36]Schedule!$K$215,'[36]frm P6'!H:H,[36]Schedule!F248)</f>
        <v>46395</v>
      </c>
      <c r="M248" s="361">
        <f>SUMIFS('[36]frm P6'!$K:$K,'[36]frm P6'!D:D,[36]Schedule!B248,'[36]frm P6'!E:E,[36]Schedule!C248,'[36]frm P6'!F:F,[36]Schedule!D248,'[36]frm P6'!G:G,[36]Schedule!$K$191,'[36]frm P6'!H:H,[36]Schedule!F248)</f>
        <v>46498</v>
      </c>
      <c r="N248" s="362">
        <f t="shared" si="151"/>
        <v>104</v>
      </c>
      <c r="O248" s="273">
        <v>2.95</v>
      </c>
      <c r="P248" s="273"/>
      <c r="Q248" s="273"/>
      <c r="R248" s="363"/>
      <c r="S248" s="364"/>
      <c r="T248" s="365"/>
      <c r="U248" s="366"/>
      <c r="V248" s="366"/>
      <c r="W248" s="367"/>
      <c r="X248" s="361">
        <f>SUMIFS('[36]frm P6'!$J:$J,'[36]frm P6'!D:D,[36]Schedule!B248,'[36]frm P6'!E:E,[36]Schedule!C248,'[36]frm P6'!F:F,[36]Schedule!D248,'[36]frm P6'!G:G,[36]Schedule!$W$138,'[36]frm P6'!H:H,[36]Schedule!F248)</f>
        <v>46385</v>
      </c>
      <c r="Y248" s="361">
        <f>SUMIFS('[36]frm P6'!$K:$K,'[36]frm P6'!D:D,[36]Schedule!B248,'[36]frm P6'!E:E,[36]Schedule!C248,'[36]frm P6'!F:F,[36]Schedule!D248,'[36]frm P6'!G:G,[36]Schedule!$W$138,'[36]frm P6'!H:H,[36]Schedule!F248)</f>
        <v>46445</v>
      </c>
      <c r="Z248" s="369" t="s">
        <v>424</v>
      </c>
      <c r="AA248" s="368" t="s">
        <v>424</v>
      </c>
      <c r="AB248" s="368" t="s">
        <v>424</v>
      </c>
      <c r="AC248" s="362" t="s">
        <v>424</v>
      </c>
      <c r="AD248" s="274"/>
      <c r="AE248" s="273"/>
      <c r="AF248" s="273"/>
      <c r="AG248" s="370">
        <f>SUMIFS('[36]frm P6'!$J:$J,'[36]frm P6'!D:D,[36]Schedule!B248,'[36]frm P6'!E:E,[36]Schedule!C248,'[36]frm P6'!F:F,[36]Schedule!D248,'[36]frm P6'!G:G,[36]Schedule!$AF$98,'[36]frm P6'!H:H,[36]Schedule!F248)</f>
        <v>46377</v>
      </c>
      <c r="AH248" s="361">
        <f>SUMIFS('[36]frm P6'!$K:$K,'[36]frm P6'!D:D,[36]Schedule!B248,'[36]frm P6'!E:E,[36]Schedule!C248,'[36]frm P6'!F:F,[36]Schedule!D248,'[36]frm P6'!G:G,[36]Schedule!$AF$98,'[36]frm P6'!H:H,[36]Schedule!F248)</f>
        <v>46442</v>
      </c>
      <c r="AI248" s="369">
        <f t="shared" ref="AI248" si="159">AH248-AG248+1</f>
        <v>66</v>
      </c>
      <c r="AJ248" s="273"/>
      <c r="AK248" s="273"/>
      <c r="AL248" s="273"/>
      <c r="AM248" s="420" t="s">
        <v>424</v>
      </c>
      <c r="AN248" s="368" t="s">
        <v>424</v>
      </c>
      <c r="AO248" s="362" t="s">
        <v>424</v>
      </c>
      <c r="AP248" s="273"/>
      <c r="AQ248" s="273"/>
      <c r="AR248" s="372"/>
      <c r="AS248" s="368">
        <f>AG248-7</f>
        <v>46370</v>
      </c>
      <c r="AT248" s="368">
        <f>AS248-60</f>
        <v>46310</v>
      </c>
      <c r="AU248" s="377">
        <f>AT248-15</f>
        <v>46295</v>
      </c>
      <c r="AV248" s="368">
        <f>AG248-$AV$3</f>
        <v>46373</v>
      </c>
      <c r="AW248" s="368">
        <f t="shared" si="154"/>
        <v>46363</v>
      </c>
      <c r="AX248" s="378">
        <f t="shared" ref="AX248:AX253" si="160">AW248-AY248</f>
        <v>62</v>
      </c>
      <c r="AY248" s="368">
        <v>46301</v>
      </c>
      <c r="AZ248" s="362" t="s">
        <v>829</v>
      </c>
      <c r="BA248" s="375" t="s">
        <v>830</v>
      </c>
      <c r="BB248" s="487"/>
      <c r="BE248" s="277"/>
      <c r="BF248" s="278"/>
    </row>
    <row r="249" spans="1:58" s="269" customFormat="1" ht="23.45" customHeight="1">
      <c r="A249" s="270"/>
      <c r="B249" s="357" t="s">
        <v>578</v>
      </c>
      <c r="C249" s="357" t="s">
        <v>759</v>
      </c>
      <c r="D249" s="357" t="s">
        <v>827</v>
      </c>
      <c r="E249" s="357"/>
      <c r="F249" s="357" t="s">
        <v>645</v>
      </c>
      <c r="G249" s="357"/>
      <c r="H249" s="358">
        <v>2</v>
      </c>
      <c r="I249" s="517" t="s">
        <v>840</v>
      </c>
      <c r="J249" s="359"/>
      <c r="K249" s="360"/>
      <c r="L249" s="361">
        <f>SUMIFS('[36]frm P6'!$J:$J,'[36]frm P6'!D:D,[36]Schedule!B249,'[36]frm P6'!E:E,[36]Schedule!C249,'[36]frm P6'!F:F,[36]Schedule!D249,'[36]frm P6'!G:G,[36]Schedule!$K$215,'[36]frm P6'!H:H,[36]Schedule!F249)</f>
        <v>46433</v>
      </c>
      <c r="M249" s="361">
        <f>SUMIFS('[36]frm P6'!$K:$K,'[36]frm P6'!D:D,[36]Schedule!B249,'[36]frm P6'!E:E,[36]Schedule!C249,'[36]frm P6'!F:F,[36]Schedule!D249,'[36]frm P6'!G:G,[36]Schedule!$K$191,'[36]frm P6'!H:H,[36]Schedule!F249)</f>
        <v>46507</v>
      </c>
      <c r="N249" s="362">
        <f t="shared" si="151"/>
        <v>75</v>
      </c>
      <c r="O249" s="273"/>
      <c r="P249" s="273">
        <v>254</v>
      </c>
      <c r="Q249" s="273"/>
      <c r="R249" s="363"/>
      <c r="S249" s="364"/>
      <c r="T249" s="365"/>
      <c r="U249" s="366"/>
      <c r="V249" s="366"/>
      <c r="W249" s="367"/>
      <c r="X249" s="368" t="s">
        <v>424</v>
      </c>
      <c r="Y249" s="368" t="s">
        <v>424</v>
      </c>
      <c r="Z249" s="369" t="s">
        <v>424</v>
      </c>
      <c r="AA249" s="368" t="s">
        <v>424</v>
      </c>
      <c r="AB249" s="368" t="s">
        <v>424</v>
      </c>
      <c r="AC249" s="362" t="s">
        <v>424</v>
      </c>
      <c r="AD249" s="274"/>
      <c r="AE249" s="273"/>
      <c r="AF249" s="273"/>
      <c r="AG249" s="420" t="s">
        <v>424</v>
      </c>
      <c r="AH249" s="368" t="s">
        <v>424</v>
      </c>
      <c r="AI249" s="369" t="s">
        <v>424</v>
      </c>
      <c r="AJ249" s="273"/>
      <c r="AK249" s="273"/>
      <c r="AL249" s="273"/>
      <c r="AM249" s="420" t="s">
        <v>424</v>
      </c>
      <c r="AN249" s="368" t="s">
        <v>424</v>
      </c>
      <c r="AO249" s="362" t="s">
        <v>424</v>
      </c>
      <c r="AP249" s="273"/>
      <c r="AQ249" s="273"/>
      <c r="AR249" s="372"/>
      <c r="AS249" s="368">
        <f>L249-10</f>
        <v>46423</v>
      </c>
      <c r="AT249" s="368">
        <f>AS249-90</f>
        <v>46333</v>
      </c>
      <c r="AU249" s="377">
        <f>AT249-20</f>
        <v>46313</v>
      </c>
      <c r="AV249" s="368">
        <f>L249-$AV$3</f>
        <v>46429</v>
      </c>
      <c r="AW249" s="368">
        <f t="shared" si="154"/>
        <v>46419</v>
      </c>
      <c r="AX249" s="378">
        <f t="shared" si="160"/>
        <v>88</v>
      </c>
      <c r="AY249" s="368">
        <v>46331</v>
      </c>
      <c r="AZ249" s="362" t="s">
        <v>832</v>
      </c>
      <c r="BA249" s="375" t="s">
        <v>833</v>
      </c>
      <c r="BB249" s="487"/>
      <c r="BE249" s="277"/>
      <c r="BF249" s="278"/>
    </row>
    <row r="250" spans="1:58" s="269" customFormat="1" ht="23.45" customHeight="1">
      <c r="A250" s="270"/>
      <c r="B250" s="357" t="s">
        <v>578</v>
      </c>
      <c r="C250" s="357" t="s">
        <v>763</v>
      </c>
      <c r="D250" s="357" t="s">
        <v>827</v>
      </c>
      <c r="E250" s="357"/>
      <c r="F250" s="357" t="s">
        <v>645</v>
      </c>
      <c r="G250" s="357"/>
      <c r="H250" s="358">
        <v>3</v>
      </c>
      <c r="I250" s="517" t="s">
        <v>841</v>
      </c>
      <c r="J250" s="359"/>
      <c r="K250" s="360"/>
      <c r="L250" s="361">
        <f>SUMIFS('[36]frm P6'!$J:$J,'[36]frm P6'!D:D,[36]Schedule!B250,'[36]frm P6'!E:E,[36]Schedule!C250,'[36]frm P6'!F:F,[36]Schedule!D250,'[36]frm P6'!G:G,[36]Schedule!$K$215,'[36]frm P6'!H:H,[36]Schedule!F250)</f>
        <v>46490</v>
      </c>
      <c r="M250" s="361">
        <f>SUMIFS('[36]frm P6'!$K:$K,'[36]frm P6'!D:D,[36]Schedule!B250,'[36]frm P6'!E:E,[36]Schedule!C250,'[36]frm P6'!F:F,[36]Schedule!D250,'[36]frm P6'!G:G,[36]Schedule!$K$191,'[36]frm P6'!H:H,[36]Schedule!F250)</f>
        <v>46553</v>
      </c>
      <c r="N250" s="362">
        <f t="shared" si="151"/>
        <v>64</v>
      </c>
      <c r="O250" s="273"/>
      <c r="P250" s="273">
        <v>594</v>
      </c>
      <c r="Q250" s="273"/>
      <c r="R250" s="363"/>
      <c r="S250" s="364"/>
      <c r="T250" s="365"/>
      <c r="U250" s="366"/>
      <c r="V250" s="366"/>
      <c r="W250" s="367"/>
      <c r="X250" s="368" t="s">
        <v>424</v>
      </c>
      <c r="Y250" s="368" t="s">
        <v>424</v>
      </c>
      <c r="Z250" s="369" t="s">
        <v>424</v>
      </c>
      <c r="AA250" s="368" t="s">
        <v>424</v>
      </c>
      <c r="AB250" s="368" t="s">
        <v>424</v>
      </c>
      <c r="AC250" s="362" t="s">
        <v>424</v>
      </c>
      <c r="AD250" s="274"/>
      <c r="AE250" s="273"/>
      <c r="AF250" s="273"/>
      <c r="AG250" s="420" t="s">
        <v>424</v>
      </c>
      <c r="AH250" s="368" t="s">
        <v>424</v>
      </c>
      <c r="AI250" s="369" t="s">
        <v>424</v>
      </c>
      <c r="AJ250" s="273"/>
      <c r="AK250" s="273"/>
      <c r="AL250" s="273"/>
      <c r="AM250" s="420" t="s">
        <v>424</v>
      </c>
      <c r="AN250" s="368" t="s">
        <v>424</v>
      </c>
      <c r="AO250" s="362" t="s">
        <v>424</v>
      </c>
      <c r="AP250" s="273"/>
      <c r="AQ250" s="273"/>
      <c r="AR250" s="372"/>
      <c r="AS250" s="368">
        <f>L250-20</f>
        <v>46470</v>
      </c>
      <c r="AT250" s="368">
        <f>AS250-200</f>
        <v>46270</v>
      </c>
      <c r="AU250" s="377">
        <f t="shared" ref="AU250:AU253" si="161">AT250-20</f>
        <v>46250</v>
      </c>
      <c r="AV250" s="368">
        <f>L250-$AV$3</f>
        <v>46486</v>
      </c>
      <c r="AW250" s="368">
        <f t="shared" si="154"/>
        <v>46476</v>
      </c>
      <c r="AX250" s="378">
        <f t="shared" si="160"/>
        <v>145</v>
      </c>
      <c r="AY250" s="368">
        <v>46331</v>
      </c>
      <c r="AZ250" s="362" t="s">
        <v>832</v>
      </c>
      <c r="BA250" s="375" t="s">
        <v>833</v>
      </c>
      <c r="BB250" s="487"/>
      <c r="BE250" s="277"/>
      <c r="BF250" s="278"/>
    </row>
    <row r="251" spans="1:58" s="269" customFormat="1" ht="23.45" customHeight="1">
      <c r="A251" s="270"/>
      <c r="B251" s="357" t="s">
        <v>578</v>
      </c>
      <c r="C251" s="357" t="s">
        <v>767</v>
      </c>
      <c r="D251" s="357" t="s">
        <v>827</v>
      </c>
      <c r="E251" s="357"/>
      <c r="F251" s="357" t="s">
        <v>645</v>
      </c>
      <c r="G251" s="357"/>
      <c r="H251" s="358">
        <v>4</v>
      </c>
      <c r="I251" s="517" t="s">
        <v>842</v>
      </c>
      <c r="J251" s="359"/>
      <c r="K251" s="360"/>
      <c r="L251" s="361">
        <f>SUMIFS('[36]frm P6'!$J:$J,'[36]frm P6'!D:D,[36]Schedule!B251,'[36]frm P6'!E:E,[36]Schedule!C251,'[36]frm P6'!F:F,[36]Schedule!D251,'[36]frm P6'!G:G,[36]Schedule!$K$215,'[36]frm P6'!H:H,[36]Schedule!F251)</f>
        <v>46512</v>
      </c>
      <c r="M251" s="361">
        <f>SUMIFS('[36]frm P6'!$K:$K,'[36]frm P6'!D:D,[36]Schedule!B251,'[36]frm P6'!E:E,[36]Schedule!C251,'[36]frm P6'!F:F,[36]Schedule!D251,'[36]frm P6'!G:G,[36]Schedule!$K$191,'[36]frm P6'!H:H,[36]Schedule!F251)</f>
        <v>46569</v>
      </c>
      <c r="N251" s="362">
        <f t="shared" si="151"/>
        <v>58</v>
      </c>
      <c r="O251" s="273"/>
      <c r="P251" s="273"/>
      <c r="Q251" s="273">
        <v>206</v>
      </c>
      <c r="R251" s="363"/>
      <c r="S251" s="364"/>
      <c r="T251" s="365"/>
      <c r="U251" s="366"/>
      <c r="V251" s="366"/>
      <c r="W251" s="367"/>
      <c r="X251" s="368" t="s">
        <v>424</v>
      </c>
      <c r="Y251" s="368" t="s">
        <v>424</v>
      </c>
      <c r="Z251" s="369" t="s">
        <v>424</v>
      </c>
      <c r="AA251" s="368" t="s">
        <v>424</v>
      </c>
      <c r="AB251" s="368" t="s">
        <v>424</v>
      </c>
      <c r="AC251" s="362" t="s">
        <v>424</v>
      </c>
      <c r="AD251" s="274"/>
      <c r="AE251" s="273"/>
      <c r="AF251" s="273"/>
      <c r="AG251" s="420" t="s">
        <v>424</v>
      </c>
      <c r="AH251" s="368" t="s">
        <v>424</v>
      </c>
      <c r="AI251" s="369" t="s">
        <v>424</v>
      </c>
      <c r="AJ251" s="273"/>
      <c r="AK251" s="273"/>
      <c r="AL251" s="273"/>
      <c r="AM251" s="420" t="s">
        <v>424</v>
      </c>
      <c r="AN251" s="368" t="s">
        <v>424</v>
      </c>
      <c r="AO251" s="362" t="s">
        <v>424</v>
      </c>
      <c r="AP251" s="273"/>
      <c r="AQ251" s="273"/>
      <c r="AR251" s="372"/>
      <c r="AS251" s="368">
        <f>L251-20</f>
        <v>46492</v>
      </c>
      <c r="AT251" s="368">
        <f t="shared" ref="AT251:AT253" si="162">AS251-94</f>
        <v>46398</v>
      </c>
      <c r="AU251" s="377">
        <f t="shared" si="161"/>
        <v>46378</v>
      </c>
      <c r="AV251" s="368">
        <f>L251-$AV$3</f>
        <v>46508</v>
      </c>
      <c r="AW251" s="368">
        <f t="shared" si="154"/>
        <v>46498</v>
      </c>
      <c r="AX251" s="378">
        <f t="shared" si="160"/>
        <v>167</v>
      </c>
      <c r="AY251" s="368">
        <v>46331</v>
      </c>
      <c r="AZ251" s="362" t="s">
        <v>832</v>
      </c>
      <c r="BA251" s="375" t="s">
        <v>833</v>
      </c>
      <c r="BB251" s="487"/>
      <c r="BE251" s="277"/>
      <c r="BF251" s="278"/>
    </row>
    <row r="252" spans="1:58" s="269" customFormat="1" ht="23.45" customHeight="1">
      <c r="A252" s="270"/>
      <c r="B252" s="357" t="s">
        <v>578</v>
      </c>
      <c r="C252" s="357" t="s">
        <v>769</v>
      </c>
      <c r="D252" s="357" t="s">
        <v>827</v>
      </c>
      <c r="E252" s="357"/>
      <c r="F252" s="357" t="s">
        <v>645</v>
      </c>
      <c r="G252" s="357"/>
      <c r="H252" s="358">
        <v>5</v>
      </c>
      <c r="I252" s="517" t="s">
        <v>843</v>
      </c>
      <c r="J252" s="359"/>
      <c r="K252" s="360"/>
      <c r="L252" s="361">
        <f>SUMIFS('[36]frm P6'!$J:$J,'[36]frm P6'!D:D,[36]Schedule!B252,'[36]frm P6'!E:E,[36]Schedule!C252,'[36]frm P6'!F:F,[36]Schedule!D252,'[36]frm P6'!G:G,[36]Schedule!$K$215,'[36]frm P6'!H:H,[36]Schedule!F252)</f>
        <v>46517</v>
      </c>
      <c r="M252" s="361">
        <f>SUMIFS('[36]frm P6'!$K:$K,'[36]frm P6'!D:D,[36]Schedule!B252,'[36]frm P6'!E:E,[36]Schedule!C252,'[36]frm P6'!F:F,[36]Schedule!D252,'[36]frm P6'!G:G,[36]Schedule!$K$191,'[36]frm P6'!H:H,[36]Schedule!F252)</f>
        <v>46574</v>
      </c>
      <c r="N252" s="362">
        <f t="shared" si="151"/>
        <v>58</v>
      </c>
      <c r="O252" s="273"/>
      <c r="P252" s="273"/>
      <c r="Q252" s="273"/>
      <c r="R252" s="363"/>
      <c r="S252" s="364"/>
      <c r="T252" s="365"/>
      <c r="U252" s="366"/>
      <c r="V252" s="366"/>
      <c r="W252" s="367"/>
      <c r="X252" s="368" t="s">
        <v>424</v>
      </c>
      <c r="Y252" s="368" t="s">
        <v>424</v>
      </c>
      <c r="Z252" s="369" t="s">
        <v>424</v>
      </c>
      <c r="AA252" s="368" t="s">
        <v>424</v>
      </c>
      <c r="AB252" s="368" t="s">
        <v>424</v>
      </c>
      <c r="AC252" s="362" t="s">
        <v>424</v>
      </c>
      <c r="AD252" s="274"/>
      <c r="AE252" s="273"/>
      <c r="AF252" s="273"/>
      <c r="AG252" s="420" t="s">
        <v>424</v>
      </c>
      <c r="AH252" s="368" t="s">
        <v>424</v>
      </c>
      <c r="AI252" s="369" t="s">
        <v>424</v>
      </c>
      <c r="AJ252" s="273"/>
      <c r="AK252" s="273"/>
      <c r="AL252" s="273"/>
      <c r="AM252" s="420" t="s">
        <v>424</v>
      </c>
      <c r="AN252" s="368" t="s">
        <v>424</v>
      </c>
      <c r="AO252" s="362" t="s">
        <v>424</v>
      </c>
      <c r="AP252" s="273"/>
      <c r="AQ252" s="273"/>
      <c r="AR252" s="372"/>
      <c r="AS252" s="368">
        <f>L252-20</f>
        <v>46497</v>
      </c>
      <c r="AT252" s="368">
        <f t="shared" si="162"/>
        <v>46403</v>
      </c>
      <c r="AU252" s="377">
        <f t="shared" si="161"/>
        <v>46383</v>
      </c>
      <c r="AV252" s="368">
        <f>L252-$AV$3</f>
        <v>46513</v>
      </c>
      <c r="AW252" s="368">
        <f t="shared" si="154"/>
        <v>46503</v>
      </c>
      <c r="AX252" s="378">
        <f t="shared" si="160"/>
        <v>172</v>
      </c>
      <c r="AY252" s="368">
        <v>46331</v>
      </c>
      <c r="AZ252" s="362" t="s">
        <v>832</v>
      </c>
      <c r="BA252" s="375" t="s">
        <v>833</v>
      </c>
      <c r="BB252" s="487"/>
      <c r="BE252" s="277"/>
      <c r="BF252" s="278"/>
    </row>
    <row r="253" spans="1:58" s="269" customFormat="1" ht="23.45" customHeight="1">
      <c r="A253" s="270"/>
      <c r="B253" s="357" t="s">
        <v>578</v>
      </c>
      <c r="C253" s="357" t="s">
        <v>771</v>
      </c>
      <c r="D253" s="357" t="s">
        <v>827</v>
      </c>
      <c r="E253" s="357"/>
      <c r="F253" s="357" t="s">
        <v>645</v>
      </c>
      <c r="G253" s="357" t="str">
        <f t="shared" ref="G253" si="163">F253&amp;D253&amp;C253</f>
        <v>02TTELEEQUIP</v>
      </c>
      <c r="H253" s="387">
        <v>6</v>
      </c>
      <c r="I253" s="531" t="s">
        <v>844</v>
      </c>
      <c r="J253" s="389"/>
      <c r="K253" s="390"/>
      <c r="L253" s="507">
        <f>SUMIFS('[36]frm P6'!$J:$J,'[36]frm P6'!D:D,[36]Schedule!B253,'[36]frm P6'!E:E,[36]Schedule!C253,'[36]frm P6'!F:F,[36]Schedule!D253,'[36]frm P6'!G:G,[36]Schedule!$K$215,'[36]frm P6'!H:H,[36]Schedule!F253)</f>
        <v>46456</v>
      </c>
      <c r="M253" s="507">
        <f>SUMIFS('[36]frm P6'!$K:$K,'[36]frm P6'!D:D,[36]Schedule!B253,'[36]frm P6'!E:E,[36]Schedule!C253,'[36]frm P6'!F:F,[36]Schedule!D253,'[36]frm P6'!G:G,[36]Schedule!$K$191,'[36]frm P6'!H:H,[36]Schedule!F253)</f>
        <v>46527</v>
      </c>
      <c r="N253" s="508">
        <f t="shared" si="151"/>
        <v>72</v>
      </c>
      <c r="O253" s="393"/>
      <c r="P253" s="393"/>
      <c r="Q253" s="393"/>
      <c r="R253" s="363"/>
      <c r="S253" s="364"/>
      <c r="T253" s="365"/>
      <c r="U253" s="366"/>
      <c r="V253" s="366"/>
      <c r="W253" s="367"/>
      <c r="X253" s="509" t="s">
        <v>424</v>
      </c>
      <c r="Y253" s="509" t="s">
        <v>424</v>
      </c>
      <c r="Z253" s="510" t="s">
        <v>424</v>
      </c>
      <c r="AA253" s="509" t="s">
        <v>424</v>
      </c>
      <c r="AB253" s="509" t="s">
        <v>424</v>
      </c>
      <c r="AC253" s="508" t="s">
        <v>424</v>
      </c>
      <c r="AD253" s="395"/>
      <c r="AE253" s="393"/>
      <c r="AF253" s="393"/>
      <c r="AG253" s="511" t="s">
        <v>424</v>
      </c>
      <c r="AH253" s="509" t="s">
        <v>424</v>
      </c>
      <c r="AI253" s="510" t="s">
        <v>424</v>
      </c>
      <c r="AJ253" s="393"/>
      <c r="AK253" s="393"/>
      <c r="AL253" s="393"/>
      <c r="AM253" s="511" t="s">
        <v>424</v>
      </c>
      <c r="AN253" s="509" t="s">
        <v>424</v>
      </c>
      <c r="AO253" s="508" t="s">
        <v>424</v>
      </c>
      <c r="AP253" s="393"/>
      <c r="AQ253" s="393"/>
      <c r="AR253" s="513"/>
      <c r="AS253" s="509">
        <f>L253-20</f>
        <v>46436</v>
      </c>
      <c r="AT253" s="509">
        <f t="shared" si="162"/>
        <v>46342</v>
      </c>
      <c r="AU253" s="514">
        <f t="shared" si="161"/>
        <v>46322</v>
      </c>
      <c r="AV253" s="509">
        <f>L253-$AV$3</f>
        <v>46452</v>
      </c>
      <c r="AW253" s="509">
        <f t="shared" si="154"/>
        <v>46442</v>
      </c>
      <c r="AX253" s="515">
        <f t="shared" si="160"/>
        <v>111</v>
      </c>
      <c r="AY253" s="509">
        <v>46331</v>
      </c>
      <c r="AZ253" s="508" t="s">
        <v>832</v>
      </c>
      <c r="BA253" s="516" t="s">
        <v>833</v>
      </c>
      <c r="BB253" s="500"/>
      <c r="BE253" s="277"/>
      <c r="BF253" s="278"/>
    </row>
    <row r="254" spans="1:58" ht="6" customHeight="1">
      <c r="I254" s="271"/>
      <c r="J254" s="271"/>
      <c r="K254" s="360"/>
      <c r="L254" s="271"/>
      <c r="M254" s="271"/>
      <c r="N254" s="271"/>
      <c r="R254" s="363"/>
      <c r="S254" s="364"/>
      <c r="T254" s="365"/>
      <c r="U254" s="366"/>
      <c r="V254" s="366"/>
      <c r="W254" s="367"/>
      <c r="X254" s="271"/>
      <c r="Y254" s="271"/>
      <c r="AA254" s="271"/>
      <c r="AB254" s="271"/>
      <c r="AC254" s="271"/>
      <c r="AG254" s="271"/>
      <c r="AH254" s="271"/>
      <c r="AI254" s="271"/>
      <c r="AM254" s="271"/>
      <c r="AN254" s="271"/>
      <c r="AO254" s="271"/>
      <c r="AR254" s="271"/>
      <c r="AS254" s="271"/>
      <c r="AT254" s="271"/>
      <c r="AU254" s="271"/>
      <c r="AV254" s="271"/>
      <c r="AW254" s="271"/>
      <c r="AX254" s="271"/>
      <c r="AY254" s="271"/>
      <c r="AZ254" s="271"/>
      <c r="BA254" s="271"/>
      <c r="BB254" s="271"/>
      <c r="BC254" s="271"/>
      <c r="BD254" s="271"/>
      <c r="BE254" s="532"/>
    </row>
    <row r="255" spans="1:58" ht="27" customHeight="1">
      <c r="B255" s="527"/>
      <c r="C255" s="527"/>
      <c r="D255" s="527"/>
      <c r="E255" s="527"/>
      <c r="F255" s="527"/>
      <c r="G255" s="527"/>
      <c r="H255" s="527"/>
      <c r="I255" s="527"/>
      <c r="J255" s="527"/>
      <c r="K255" s="528"/>
      <c r="L255" s="527"/>
      <c r="M255" s="527"/>
      <c r="N255" s="527"/>
      <c r="O255" s="435"/>
      <c r="P255" s="435"/>
      <c r="Q255" s="435"/>
      <c r="R255" s="380"/>
      <c r="S255" s="381"/>
      <c r="T255" s="382"/>
      <c r="U255" s="383"/>
      <c r="V255" s="383"/>
      <c r="W255" s="384"/>
      <c r="X255" s="271"/>
      <c r="Y255" s="271"/>
      <c r="AA255" s="271"/>
      <c r="AB255" s="271"/>
      <c r="AC255" s="271"/>
      <c r="AG255" s="271"/>
      <c r="AH255" s="271"/>
      <c r="AI255" s="271"/>
      <c r="AM255" s="271"/>
      <c r="AN255" s="271"/>
      <c r="AO255" s="271"/>
      <c r="AR255" s="271"/>
      <c r="AS255" s="271"/>
      <c r="AT255" s="271"/>
      <c r="AU255" s="271"/>
      <c r="AV255" s="271"/>
      <c r="AW255" s="271"/>
      <c r="AX255" s="271"/>
      <c r="AY255" s="271"/>
      <c r="AZ255" s="271"/>
      <c r="BA255" s="271"/>
      <c r="BB255" s="271"/>
      <c r="BC255" s="271"/>
      <c r="BD255" s="271"/>
      <c r="BE255" s="532"/>
    </row>
    <row r="256" spans="1:58" ht="27" customHeight="1">
      <c r="B256" s="406" t="s">
        <v>845</v>
      </c>
      <c r="H256" s="407" t="s">
        <v>846</v>
      </c>
      <c r="I256" s="287"/>
      <c r="J256" s="288"/>
      <c r="K256" s="289"/>
      <c r="L256" s="408" t="s">
        <v>847</v>
      </c>
      <c r="M256" s="291"/>
      <c r="N256" s="431"/>
      <c r="O256" s="435"/>
      <c r="P256" s="435"/>
      <c r="Q256" s="435"/>
      <c r="R256" s="380"/>
      <c r="S256" s="381"/>
      <c r="T256" s="382"/>
      <c r="U256" s="383"/>
      <c r="V256" s="383"/>
      <c r="W256" s="384"/>
      <c r="X256" s="271"/>
      <c r="Y256" s="271"/>
      <c r="AA256" s="271"/>
      <c r="AB256" s="271"/>
      <c r="AC256" s="271"/>
      <c r="AG256" s="271"/>
      <c r="AH256" s="271"/>
      <c r="AI256" s="271"/>
      <c r="AM256" s="271"/>
      <c r="AN256" s="271"/>
      <c r="AO256" s="271"/>
      <c r="AR256" s="271"/>
      <c r="AS256" s="271"/>
      <c r="AT256" s="271"/>
      <c r="AU256" s="271"/>
      <c r="AV256" s="271"/>
      <c r="AW256" s="271"/>
      <c r="AX256" s="271"/>
      <c r="AY256" s="271"/>
      <c r="AZ256" s="271"/>
      <c r="BA256" s="271"/>
      <c r="BB256" s="271"/>
      <c r="BC256" s="271"/>
      <c r="BD256" s="271"/>
      <c r="BE256" s="532"/>
    </row>
    <row r="257" spans="2:58" ht="27" customHeight="1">
      <c r="B257" s="313" t="s">
        <v>391</v>
      </c>
      <c r="C257" s="313" t="s">
        <v>392</v>
      </c>
      <c r="D257" s="313" t="s">
        <v>393</v>
      </c>
      <c r="E257" s="313" t="s">
        <v>394</v>
      </c>
      <c r="F257" s="313" t="s">
        <v>395</v>
      </c>
      <c r="G257" s="313"/>
      <c r="H257" s="314" t="s">
        <v>396</v>
      </c>
      <c r="I257" s="315" t="s">
        <v>397</v>
      </c>
      <c r="J257" s="316" t="s">
        <v>398</v>
      </c>
      <c r="K257" s="317"/>
      <c r="L257" s="315" t="s">
        <v>399</v>
      </c>
      <c r="M257" s="315" t="s">
        <v>400</v>
      </c>
      <c r="N257" s="436" t="s">
        <v>401</v>
      </c>
      <c r="O257" s="435"/>
      <c r="P257" s="435"/>
      <c r="Q257" s="435"/>
      <c r="R257" s="380"/>
      <c r="S257" s="381"/>
      <c r="T257" s="382"/>
      <c r="U257" s="383"/>
      <c r="V257" s="383"/>
      <c r="W257" s="384"/>
      <c r="X257" s="271"/>
      <c r="Y257" s="271"/>
      <c r="AA257" s="271"/>
      <c r="AB257" s="271"/>
      <c r="AC257" s="271"/>
      <c r="AG257" s="271"/>
      <c r="AH257" s="271"/>
      <c r="AI257" s="271"/>
      <c r="AM257" s="271"/>
      <c r="AN257" s="271"/>
      <c r="AO257" s="271"/>
      <c r="AR257" s="271"/>
      <c r="AS257" s="271"/>
      <c r="AT257" s="271"/>
      <c r="AU257" s="271"/>
      <c r="AV257" s="271"/>
      <c r="AW257" s="271"/>
      <c r="AX257" s="271"/>
      <c r="AY257" s="271"/>
      <c r="AZ257" s="271"/>
      <c r="BA257" s="271"/>
      <c r="BB257" s="271"/>
      <c r="BC257" s="271"/>
      <c r="BD257" s="271"/>
      <c r="BE257" s="532"/>
    </row>
    <row r="258" spans="2:58" ht="25.25" customHeight="1">
      <c r="B258" s="438" t="s">
        <v>417</v>
      </c>
      <c r="C258" s="432"/>
      <c r="D258" s="432"/>
      <c r="E258" s="432"/>
      <c r="F258" s="432"/>
      <c r="G258" s="432"/>
      <c r="H258" s="336" t="s">
        <v>848</v>
      </c>
      <c r="I258" s="337"/>
      <c r="J258" s="338"/>
      <c r="K258" s="339"/>
      <c r="L258" s="340">
        <f>MIN(L259:L267)</f>
        <v>46536</v>
      </c>
      <c r="M258" s="340">
        <f>MAX(M259:M267)</f>
        <v>46644</v>
      </c>
      <c r="N258" s="439">
        <f>M258-L258+1</f>
        <v>109</v>
      </c>
      <c r="O258" s="435"/>
      <c r="P258" s="435"/>
      <c r="Q258" s="435"/>
      <c r="R258" s="380"/>
      <c r="S258" s="381"/>
      <c r="T258" s="382"/>
      <c r="U258" s="383"/>
      <c r="V258" s="383"/>
      <c r="W258" s="384"/>
      <c r="X258" s="271"/>
      <c r="Y258" s="271"/>
      <c r="AA258" s="271"/>
      <c r="AB258" s="271"/>
      <c r="AC258" s="271"/>
      <c r="AG258" s="271"/>
      <c r="AH258" s="271"/>
      <c r="AI258" s="271"/>
      <c r="AM258" s="271"/>
      <c r="AN258" s="271"/>
      <c r="AO258" s="271"/>
      <c r="AR258" s="271"/>
      <c r="AS258" s="271"/>
      <c r="AT258" s="271"/>
      <c r="AU258" s="271"/>
      <c r="AV258" s="271"/>
      <c r="AW258" s="271"/>
      <c r="AX258" s="271"/>
      <c r="AY258" s="271"/>
      <c r="AZ258" s="271"/>
      <c r="BA258" s="271"/>
      <c r="BB258" s="271"/>
      <c r="BC258" s="271"/>
      <c r="BD258" s="271"/>
      <c r="BE258" s="532"/>
      <c r="BF258" s="312"/>
    </row>
    <row r="259" spans="2:58" s="269" customFormat="1" ht="27" customHeight="1">
      <c r="B259" s="357" t="s">
        <v>578</v>
      </c>
      <c r="C259" s="357" t="s">
        <v>849</v>
      </c>
      <c r="D259" s="357" t="s">
        <v>687</v>
      </c>
      <c r="E259" s="357"/>
      <c r="F259" s="357" t="s">
        <v>581</v>
      </c>
      <c r="G259" s="357"/>
      <c r="H259" s="358">
        <v>1</v>
      </c>
      <c r="I259" s="271" t="s">
        <v>850</v>
      </c>
      <c r="J259" s="359"/>
      <c r="K259" s="360"/>
      <c r="L259" s="441">
        <f>SUMIFS('[36]frm P6'!$J:$J,'[36]frm P6'!D:D,[36]Schedule!B259,'[36]frm P6'!E:E,[36]Schedule!C259,'[36]frm P6'!F:F,[36]Schedule!D259,'[36]frm P6'!G:G,[36]Schedule!$K$256,'[36]frm P6'!H:H,[36]Schedule!F259)</f>
        <v>46536</v>
      </c>
      <c r="M259" s="441">
        <f>SUMIFS('[36]frm P6'!$K:$K,'[36]frm P6'!D:D,[36]Schedule!B259,'[36]frm P6'!E:E,[36]Schedule!C259,'[36]frm P6'!F:F,[36]Schedule!D259,'[36]frm P6'!G:G,[36]Schedule!$K$256,'[36]frm P6'!H:H,[36]Schedule!F259)</f>
        <v>46594</v>
      </c>
      <c r="N259" s="376">
        <f>M259-L259+1</f>
        <v>59</v>
      </c>
      <c r="O259" s="435"/>
      <c r="P259" s="435"/>
      <c r="Q259" s="435"/>
      <c r="R259" s="380"/>
      <c r="S259" s="381"/>
      <c r="T259" s="382"/>
      <c r="U259" s="383"/>
      <c r="V259" s="383"/>
      <c r="W259" s="384"/>
      <c r="X259" s="271"/>
      <c r="Y259" s="271"/>
      <c r="Z259" s="270"/>
      <c r="AA259" s="271"/>
      <c r="AB259" s="271"/>
      <c r="AC259" s="271"/>
      <c r="AD259" s="274"/>
      <c r="AE259" s="273"/>
      <c r="AF259" s="273"/>
      <c r="AG259" s="271"/>
      <c r="AH259" s="271"/>
      <c r="AI259" s="271"/>
      <c r="AJ259" s="273"/>
      <c r="AK259" s="273"/>
      <c r="AL259" s="273"/>
      <c r="AM259" s="271"/>
      <c r="AN259" s="271"/>
      <c r="AO259" s="271"/>
      <c r="AP259" s="273"/>
      <c r="AQ259" s="273"/>
      <c r="AR259" s="271"/>
      <c r="AS259" s="271"/>
      <c r="AT259" s="271"/>
      <c r="AU259" s="271"/>
      <c r="AV259" s="271"/>
      <c r="AW259" s="271"/>
      <c r="AX259" s="271"/>
      <c r="AY259" s="271"/>
      <c r="AZ259" s="271"/>
      <c r="BA259" s="271"/>
      <c r="BB259" s="271"/>
      <c r="BC259" s="271"/>
      <c r="BD259" s="271"/>
      <c r="BE259" s="532"/>
      <c r="BF259" s="278"/>
    </row>
    <row r="260" spans="2:58" s="269" customFormat="1" ht="27" customHeight="1">
      <c r="B260" s="357" t="s">
        <v>578</v>
      </c>
      <c r="C260" s="357" t="s">
        <v>851</v>
      </c>
      <c r="D260" s="357" t="s">
        <v>687</v>
      </c>
      <c r="E260" s="357"/>
      <c r="F260" s="357" t="s">
        <v>581</v>
      </c>
      <c r="G260" s="357"/>
      <c r="H260" s="358">
        <v>2</v>
      </c>
      <c r="I260" s="271" t="s">
        <v>852</v>
      </c>
      <c r="J260" s="359"/>
      <c r="K260" s="360"/>
      <c r="L260" s="441">
        <f>SUMIFS('[36]frm P6'!$J:$J,'[36]frm P6'!D:D,[36]Schedule!B260,'[36]frm P6'!E:E,[36]Schedule!C260,'[36]frm P6'!F:F,[36]Schedule!D260,'[36]frm P6'!G:G,[36]Schedule!$K$256,'[36]frm P6'!H:H,[36]Schedule!F260)</f>
        <v>46554</v>
      </c>
      <c r="M260" s="441">
        <f>SUMIFS('[36]frm P6'!$K:$K,'[36]frm P6'!D:D,[36]Schedule!B260,'[36]frm P6'!E:E,[36]Schedule!C260,'[36]frm P6'!F:F,[36]Schedule!D260,'[36]frm P6'!G:G,[36]Schedule!$K$256,'[36]frm P6'!H:H,[36]Schedule!F260)</f>
        <v>46612</v>
      </c>
      <c r="N260" s="376">
        <f>M260-L260+1</f>
        <v>59</v>
      </c>
      <c r="O260" s="435"/>
      <c r="P260" s="435"/>
      <c r="Q260" s="435"/>
      <c r="R260" s="380"/>
      <c r="S260" s="381"/>
      <c r="T260" s="382"/>
      <c r="U260" s="383"/>
      <c r="V260" s="383"/>
      <c r="W260" s="384"/>
      <c r="X260" s="271"/>
      <c r="Y260" s="271"/>
      <c r="Z260" s="270"/>
      <c r="AA260" s="271"/>
      <c r="AB260" s="271"/>
      <c r="AC260" s="271"/>
      <c r="AD260" s="274"/>
      <c r="AE260" s="273"/>
      <c r="AF260" s="273"/>
      <c r="AG260" s="271"/>
      <c r="AH260" s="271"/>
      <c r="AI260" s="271"/>
      <c r="AJ260" s="273"/>
      <c r="AK260" s="273"/>
      <c r="AL260" s="273"/>
      <c r="AM260" s="271"/>
      <c r="AN260" s="271"/>
      <c r="AO260" s="271"/>
      <c r="AP260" s="273"/>
      <c r="AQ260" s="273"/>
      <c r="AR260" s="271"/>
      <c r="AS260" s="271"/>
      <c r="AT260" s="271"/>
      <c r="AU260" s="271"/>
      <c r="AV260" s="271"/>
      <c r="AW260" s="271"/>
      <c r="AX260" s="271"/>
      <c r="AY260" s="271"/>
      <c r="AZ260" s="271"/>
      <c r="BA260" s="271"/>
      <c r="BB260" s="271"/>
      <c r="BC260" s="271"/>
      <c r="BD260" s="271"/>
      <c r="BE260" s="532"/>
      <c r="BF260" s="278"/>
    </row>
    <row r="261" spans="2:58" s="269" customFormat="1" ht="27" customHeight="1">
      <c r="B261" s="357" t="s">
        <v>578</v>
      </c>
      <c r="C261" s="357" t="s">
        <v>549</v>
      </c>
      <c r="D261" s="357" t="s">
        <v>687</v>
      </c>
      <c r="E261" s="357"/>
      <c r="F261" s="357" t="s">
        <v>581</v>
      </c>
      <c r="G261" s="357"/>
      <c r="H261" s="358">
        <v>3</v>
      </c>
      <c r="I261" s="271" t="s">
        <v>853</v>
      </c>
      <c r="J261" s="359"/>
      <c r="K261" s="360"/>
      <c r="L261" s="443"/>
      <c r="M261" s="443">
        <f>M260</f>
        <v>46612</v>
      </c>
      <c r="N261" s="376"/>
      <c r="O261" s="435"/>
      <c r="P261" s="435"/>
      <c r="Q261" s="435"/>
      <c r="R261" s="380"/>
      <c r="S261" s="381"/>
      <c r="T261" s="382"/>
      <c r="U261" s="383"/>
      <c r="V261" s="383"/>
      <c r="W261" s="384"/>
      <c r="X261" s="271"/>
      <c r="Y261" s="271"/>
      <c r="Z261" s="270"/>
      <c r="AA261" s="271"/>
      <c r="AB261" s="271"/>
      <c r="AC261" s="271"/>
      <c r="AD261" s="274"/>
      <c r="AE261" s="273"/>
      <c r="AF261" s="273"/>
      <c r="AG261" s="271"/>
      <c r="AH261" s="271"/>
      <c r="AI261" s="271"/>
      <c r="AJ261" s="273"/>
      <c r="AK261" s="273"/>
      <c r="AL261" s="273"/>
      <c r="AM261" s="271"/>
      <c r="AN261" s="271"/>
      <c r="AO261" s="271"/>
      <c r="AP261" s="273"/>
      <c r="AQ261" s="273"/>
      <c r="AR261" s="271"/>
      <c r="AS261" s="271"/>
      <c r="AT261" s="271"/>
      <c r="AU261" s="271"/>
      <c r="AV261" s="271"/>
      <c r="AW261" s="271"/>
      <c r="AX261" s="271"/>
      <c r="AY261" s="271"/>
      <c r="AZ261" s="271"/>
      <c r="BA261" s="271"/>
      <c r="BB261" s="271"/>
      <c r="BC261" s="271"/>
      <c r="BD261" s="271"/>
      <c r="BE261" s="532"/>
      <c r="BF261" s="278"/>
    </row>
    <row r="262" spans="2:58" ht="25.25" customHeight="1">
      <c r="B262" s="438" t="s">
        <v>462</v>
      </c>
      <c r="C262" s="432"/>
      <c r="D262" s="432"/>
      <c r="E262" s="432"/>
      <c r="F262" s="432"/>
      <c r="G262" s="432"/>
      <c r="H262" s="336" t="s">
        <v>854</v>
      </c>
      <c r="I262" s="337"/>
      <c r="J262" s="338"/>
      <c r="K262" s="339"/>
      <c r="L262" s="340">
        <f>MIN(L263:L274)</f>
        <v>46569</v>
      </c>
      <c r="M262" s="340">
        <f>MAX(M263:M274)</f>
        <v>46644</v>
      </c>
      <c r="N262" s="439">
        <f>M262-L262+1</f>
        <v>76</v>
      </c>
      <c r="O262" s="435"/>
      <c r="P262" s="435"/>
      <c r="Q262" s="435"/>
      <c r="R262" s="380"/>
      <c r="S262" s="381"/>
      <c r="T262" s="382"/>
      <c r="U262" s="383"/>
      <c r="V262" s="383"/>
      <c r="W262" s="384"/>
      <c r="X262" s="271"/>
      <c r="Y262" s="271"/>
      <c r="AA262" s="271"/>
      <c r="AB262" s="271"/>
      <c r="AC262" s="271"/>
      <c r="AG262" s="271"/>
      <c r="AH262" s="271"/>
      <c r="AI262" s="271"/>
      <c r="AM262" s="271"/>
      <c r="AN262" s="271"/>
      <c r="AO262" s="271"/>
      <c r="AR262" s="271"/>
      <c r="AS262" s="271"/>
      <c r="AT262" s="271"/>
      <c r="AU262" s="271"/>
      <c r="AV262" s="271"/>
      <c r="AW262" s="271"/>
      <c r="AX262" s="271"/>
      <c r="AY262" s="271"/>
      <c r="AZ262" s="271"/>
      <c r="BA262" s="271"/>
      <c r="BB262" s="271"/>
      <c r="BC262" s="271"/>
      <c r="BD262" s="271"/>
      <c r="BE262" s="532"/>
      <c r="BF262" s="312"/>
    </row>
    <row r="263" spans="2:58" s="269" customFormat="1" ht="27" customHeight="1">
      <c r="B263" s="357" t="s">
        <v>578</v>
      </c>
      <c r="C263" s="357" t="s">
        <v>849</v>
      </c>
      <c r="D263" s="357" t="s">
        <v>687</v>
      </c>
      <c r="E263" s="357"/>
      <c r="F263" s="357" t="s">
        <v>645</v>
      </c>
      <c r="G263" s="357"/>
      <c r="H263" s="358">
        <v>1</v>
      </c>
      <c r="I263" s="271" t="s">
        <v>850</v>
      </c>
      <c r="J263" s="359"/>
      <c r="K263" s="360"/>
      <c r="L263" s="441">
        <f>SUMIFS('[36]frm P6'!$J:$J,'[36]frm P6'!D:D,[36]Schedule!B263,'[36]frm P6'!E:E,[36]Schedule!C263,'[36]frm P6'!F:F,[36]Schedule!D263,'[36]frm P6'!G:G,[36]Schedule!$K$256,'[36]frm P6'!H:H,[36]Schedule!F263)</f>
        <v>46569</v>
      </c>
      <c r="M263" s="441">
        <f>SUMIFS('[36]frm P6'!$K:$K,'[36]frm P6'!D:D,[36]Schedule!B263,'[36]frm P6'!E:E,[36]Schedule!C263,'[36]frm P6'!F:F,[36]Schedule!D263,'[36]frm P6'!G:G,[36]Schedule!$K$256,'[36]frm P6'!H:H,[36]Schedule!F263)</f>
        <v>46625</v>
      </c>
      <c r="N263" s="376">
        <f>M263-L263+1</f>
        <v>57</v>
      </c>
      <c r="O263" s="435"/>
      <c r="P263" s="435"/>
      <c r="Q263" s="435"/>
      <c r="R263" s="380"/>
      <c r="S263" s="381"/>
      <c r="T263" s="382"/>
      <c r="U263" s="383"/>
      <c r="V263" s="383"/>
      <c r="W263" s="384"/>
      <c r="X263" s="271"/>
      <c r="Y263" s="271"/>
      <c r="Z263" s="270"/>
      <c r="AA263" s="271"/>
      <c r="AB263" s="271"/>
      <c r="AC263" s="271"/>
      <c r="AD263" s="274"/>
      <c r="AE263" s="273"/>
      <c r="AF263" s="273"/>
      <c r="AG263" s="271"/>
      <c r="AH263" s="271"/>
      <c r="AI263" s="271"/>
      <c r="AJ263" s="273"/>
      <c r="AK263" s="273"/>
      <c r="AL263" s="273"/>
      <c r="AM263" s="271"/>
      <c r="AN263" s="271"/>
      <c r="AO263" s="271"/>
      <c r="AP263" s="273"/>
      <c r="AQ263" s="273"/>
      <c r="AR263" s="271"/>
      <c r="AS263" s="271"/>
      <c r="AT263" s="271"/>
      <c r="AU263" s="271"/>
      <c r="AV263" s="271"/>
      <c r="AW263" s="271"/>
      <c r="AX263" s="271"/>
      <c r="AY263" s="271"/>
      <c r="AZ263" s="271"/>
      <c r="BA263" s="271"/>
      <c r="BB263" s="271"/>
      <c r="BC263" s="271"/>
      <c r="BD263" s="271"/>
      <c r="BE263" s="532"/>
      <c r="BF263" s="278"/>
    </row>
    <row r="264" spans="2:58" s="269" customFormat="1" ht="26.45" customHeight="1">
      <c r="B264" s="357" t="s">
        <v>578</v>
      </c>
      <c r="C264" s="357" t="s">
        <v>851</v>
      </c>
      <c r="D264" s="357" t="s">
        <v>687</v>
      </c>
      <c r="E264" s="357"/>
      <c r="F264" s="357" t="s">
        <v>645</v>
      </c>
      <c r="G264" s="357"/>
      <c r="H264" s="358">
        <v>2</v>
      </c>
      <c r="I264" s="271" t="s">
        <v>852</v>
      </c>
      <c r="J264" s="359"/>
      <c r="K264" s="360"/>
      <c r="L264" s="441">
        <f>SUMIFS('[36]frm P6'!$J:$J,'[36]frm P6'!D:D,[36]Schedule!B264,'[36]frm P6'!E:E,[36]Schedule!C264,'[36]frm P6'!F:F,[36]Schedule!D264,'[36]frm P6'!G:G,[36]Schedule!$K$256,'[36]frm P6'!H:H,[36]Schedule!F264)</f>
        <v>46585</v>
      </c>
      <c r="M264" s="441">
        <f>SUMIFS('[36]frm P6'!$K:$K,'[36]frm P6'!D:D,[36]Schedule!B264,'[36]frm P6'!E:E,[36]Schedule!C264,'[36]frm P6'!F:F,[36]Schedule!D264,'[36]frm P6'!G:G,[36]Schedule!$K$256,'[36]frm P6'!H:H,[36]Schedule!F264)</f>
        <v>46644</v>
      </c>
      <c r="N264" s="376">
        <f>M264-L264+1</f>
        <v>60</v>
      </c>
      <c r="O264" s="273"/>
      <c r="P264" s="273"/>
      <c r="Q264" s="273"/>
      <c r="R264" s="363"/>
      <c r="S264" s="364"/>
      <c r="T264" s="365"/>
      <c r="U264" s="366"/>
      <c r="V264" s="366"/>
      <c r="W264" s="367"/>
      <c r="X264" s="271"/>
      <c r="Y264" s="271"/>
      <c r="Z264" s="270"/>
      <c r="AA264" s="271"/>
      <c r="AB264" s="271"/>
      <c r="AC264" s="271"/>
      <c r="AD264" s="274"/>
      <c r="AE264" s="273"/>
      <c r="AF264" s="273"/>
      <c r="AG264" s="271"/>
      <c r="AH264" s="271"/>
      <c r="AI264" s="271"/>
      <c r="AJ264" s="273"/>
      <c r="AK264" s="273"/>
      <c r="AL264" s="273"/>
      <c r="AM264" s="271"/>
      <c r="AN264" s="271"/>
      <c r="AO264" s="271"/>
      <c r="AP264" s="273"/>
      <c r="AQ264" s="273"/>
      <c r="AR264" s="271"/>
      <c r="AS264" s="271"/>
      <c r="AT264" s="271"/>
      <c r="AU264" s="271"/>
      <c r="AV264" s="271"/>
      <c r="AW264" s="271"/>
      <c r="AX264" s="271"/>
      <c r="AY264" s="271"/>
      <c r="AZ264" s="271"/>
      <c r="BA264" s="271"/>
      <c r="BB264" s="271"/>
      <c r="BC264" s="271"/>
      <c r="BD264" s="271"/>
      <c r="BE264" s="532"/>
      <c r="BF264" s="278"/>
    </row>
    <row r="265" spans="2:58" s="269" customFormat="1" ht="27" customHeight="1">
      <c r="B265" s="357" t="s">
        <v>578</v>
      </c>
      <c r="C265" s="357" t="s">
        <v>549</v>
      </c>
      <c r="D265" s="357" t="s">
        <v>687</v>
      </c>
      <c r="E265" s="357"/>
      <c r="F265" s="357" t="s">
        <v>645</v>
      </c>
      <c r="G265" s="357"/>
      <c r="H265" s="358">
        <v>3</v>
      </c>
      <c r="I265" s="388" t="s">
        <v>855</v>
      </c>
      <c r="J265" s="359"/>
      <c r="K265" s="360"/>
      <c r="L265" s="443"/>
      <c r="M265" s="443">
        <f>M264</f>
        <v>46644</v>
      </c>
      <c r="N265" s="376"/>
      <c r="O265" s="273"/>
      <c r="P265" s="273"/>
      <c r="Q265" s="273"/>
      <c r="R265" s="533"/>
      <c r="S265" s="534"/>
      <c r="T265" s="535"/>
      <c r="U265" s="536"/>
      <c r="V265" s="536"/>
      <c r="W265" s="537"/>
      <c r="X265" s="271"/>
      <c r="Y265" s="271"/>
      <c r="Z265" s="270"/>
      <c r="AA265" s="271"/>
      <c r="AB265" s="271"/>
      <c r="AC265" s="271"/>
      <c r="AD265" s="274"/>
      <c r="AE265" s="273"/>
      <c r="AF265" s="273"/>
      <c r="AG265" s="271"/>
      <c r="AH265" s="271"/>
      <c r="AI265" s="271"/>
      <c r="AJ265" s="273"/>
      <c r="AK265" s="273"/>
      <c r="AL265" s="273"/>
      <c r="AM265" s="271"/>
      <c r="AN265" s="271"/>
      <c r="AO265" s="271"/>
      <c r="AP265" s="273"/>
      <c r="AQ265" s="273"/>
      <c r="AR265" s="271"/>
      <c r="AS265" s="271"/>
      <c r="AT265" s="271"/>
      <c r="AU265" s="271"/>
      <c r="AV265" s="271"/>
      <c r="AW265" s="271"/>
      <c r="AX265" s="271"/>
      <c r="AY265" s="271"/>
      <c r="AZ265" s="271"/>
      <c r="BA265" s="271"/>
      <c r="BB265" s="271"/>
      <c r="BC265" s="271"/>
      <c r="BD265" s="271"/>
      <c r="BE265" s="532"/>
      <c r="BF265" s="278"/>
    </row>
    <row r="266" spans="2:58" ht="27" customHeight="1">
      <c r="H266" s="538"/>
      <c r="I266" s="538"/>
      <c r="J266" s="538"/>
      <c r="K266" s="539"/>
      <c r="L266" s="538"/>
      <c r="M266" s="538"/>
      <c r="N266" s="538"/>
      <c r="X266" s="271"/>
      <c r="Y266" s="271"/>
      <c r="AA266" s="271"/>
      <c r="AB266" s="271"/>
      <c r="AC266" s="271"/>
      <c r="AG266" s="271"/>
      <c r="AH266" s="271"/>
      <c r="AI266" s="271"/>
      <c r="AM266" s="271"/>
      <c r="AN266" s="271"/>
      <c r="AO266" s="271"/>
      <c r="AR266" s="271"/>
      <c r="AS266" s="271"/>
      <c r="AT266" s="271"/>
      <c r="AU266" s="271"/>
      <c r="AV266" s="271"/>
      <c r="AW266" s="271"/>
      <c r="AX266" s="271"/>
      <c r="AY266" s="271"/>
      <c r="AZ266" s="271"/>
      <c r="BA266" s="271"/>
      <c r="BB266" s="271"/>
      <c r="BC266" s="271"/>
      <c r="BD266" s="271"/>
      <c r="BE266" s="532"/>
    </row>
    <row r="267" spans="2:58" ht="27" customHeight="1">
      <c r="I267" s="271"/>
      <c r="J267" s="271"/>
      <c r="K267" s="360"/>
      <c r="L267" s="271"/>
      <c r="M267" s="271"/>
      <c r="N267" s="271"/>
      <c r="X267" s="271"/>
      <c r="Y267" s="271"/>
      <c r="Z267" s="271"/>
      <c r="AA267" s="271"/>
      <c r="AB267" s="271"/>
      <c r="AC267" s="271"/>
      <c r="AG267" s="271"/>
      <c r="AH267" s="271"/>
      <c r="AI267" s="271"/>
      <c r="AM267" s="271"/>
      <c r="AN267" s="271"/>
      <c r="AO267" s="271"/>
      <c r="AR267" s="271"/>
      <c r="AS267" s="271"/>
      <c r="AT267" s="271"/>
      <c r="AU267" s="271"/>
      <c r="AV267" s="271"/>
      <c r="AW267" s="271"/>
      <c r="AX267" s="271"/>
      <c r="AY267" s="271"/>
      <c r="AZ267" s="271"/>
      <c r="BA267" s="271"/>
      <c r="BB267" s="271"/>
      <c r="BC267" s="271"/>
      <c r="BD267" s="271"/>
      <c r="BE267" s="532"/>
    </row>
    <row r="268" spans="2:58" ht="27" customHeight="1">
      <c r="I268" s="271"/>
      <c r="J268" s="271"/>
      <c r="K268" s="360"/>
      <c r="L268" s="271"/>
      <c r="M268" s="271"/>
      <c r="N268" s="271"/>
      <c r="X268" s="271"/>
      <c r="Y268" s="271"/>
      <c r="Z268" s="271"/>
      <c r="AA268" s="271"/>
      <c r="AB268" s="271"/>
      <c r="AC268" s="271"/>
      <c r="AG268" s="271"/>
      <c r="AH268" s="271"/>
      <c r="AI268" s="271"/>
      <c r="AM268" s="271"/>
      <c r="AN268" s="271"/>
      <c r="AO268" s="271"/>
      <c r="AR268" s="271"/>
      <c r="AS268" s="271"/>
      <c r="AT268" s="271"/>
      <c r="AU268" s="271"/>
      <c r="AV268" s="271"/>
      <c r="AW268" s="271"/>
      <c r="AX268" s="271"/>
      <c r="AY268" s="271"/>
      <c r="AZ268" s="271"/>
      <c r="BA268" s="271"/>
      <c r="BB268" s="271"/>
      <c r="BC268" s="271"/>
      <c r="BD268" s="271"/>
      <c r="BE268" s="532"/>
    </row>
    <row r="269" spans="2:58" ht="27" customHeight="1">
      <c r="I269" s="271"/>
      <c r="J269" s="271"/>
      <c r="K269" s="360"/>
      <c r="L269" s="271"/>
      <c r="M269" s="271"/>
      <c r="N269" s="271"/>
      <c r="X269" s="271"/>
      <c r="Y269" s="271"/>
      <c r="Z269" s="271"/>
      <c r="AA269" s="271"/>
      <c r="AB269" s="271"/>
      <c r="AC269" s="271"/>
      <c r="AG269" s="271"/>
      <c r="AH269" s="271"/>
      <c r="AI269" s="271"/>
      <c r="AM269" s="271"/>
      <c r="AN269" s="271"/>
      <c r="AO269" s="271"/>
      <c r="AR269" s="271"/>
      <c r="AS269" s="271"/>
      <c r="AT269" s="271"/>
      <c r="AU269" s="271"/>
      <c r="AV269" s="271"/>
      <c r="AW269" s="271"/>
      <c r="AX269" s="271"/>
      <c r="AY269" s="271"/>
      <c r="AZ269" s="271"/>
      <c r="BA269" s="271"/>
      <c r="BB269" s="271"/>
      <c r="BC269" s="271"/>
      <c r="BD269" s="271"/>
      <c r="BE269" s="532"/>
    </row>
    <row r="270" spans="2:58" ht="27" customHeight="1">
      <c r="I270" s="271"/>
      <c r="J270" s="271"/>
      <c r="K270" s="360"/>
      <c r="L270" s="271"/>
      <c r="M270" s="271"/>
      <c r="N270" s="271"/>
      <c r="X270" s="271"/>
      <c r="Y270" s="271"/>
      <c r="Z270" s="271"/>
      <c r="AA270" s="271"/>
      <c r="AB270" s="271"/>
      <c r="AC270" s="271"/>
      <c r="AG270" s="271"/>
      <c r="AH270" s="271"/>
      <c r="AI270" s="271"/>
      <c r="AM270" s="271"/>
      <c r="AN270" s="271"/>
      <c r="AO270" s="271"/>
      <c r="AR270" s="271"/>
      <c r="AS270" s="271"/>
      <c r="AT270" s="271"/>
      <c r="AU270" s="271"/>
      <c r="AV270" s="271"/>
      <c r="AW270" s="271"/>
      <c r="AX270" s="271"/>
      <c r="AY270" s="271"/>
      <c r="AZ270" s="271"/>
      <c r="BA270" s="271"/>
      <c r="BB270" s="271"/>
      <c r="BC270" s="271"/>
      <c r="BD270" s="271"/>
      <c r="BE270" s="532"/>
    </row>
    <row r="271" spans="2:58" ht="27" customHeight="1">
      <c r="I271" s="271"/>
      <c r="J271" s="271"/>
      <c r="K271" s="360"/>
      <c r="L271" s="271"/>
      <c r="M271" s="271"/>
      <c r="N271" s="271"/>
      <c r="X271" s="271"/>
      <c r="Y271" s="271"/>
      <c r="Z271" s="271"/>
      <c r="AA271" s="271"/>
      <c r="AB271" s="271"/>
      <c r="AC271" s="271"/>
      <c r="AG271" s="271"/>
      <c r="AH271" s="271"/>
      <c r="AI271" s="271"/>
      <c r="AM271" s="271"/>
      <c r="AN271" s="271"/>
      <c r="AO271" s="271"/>
      <c r="AR271" s="271"/>
      <c r="AS271" s="271"/>
      <c r="AT271" s="271"/>
      <c r="AU271" s="271"/>
      <c r="AV271" s="271"/>
      <c r="AW271" s="271"/>
      <c r="AX271" s="271"/>
      <c r="AY271" s="271"/>
      <c r="AZ271" s="271"/>
      <c r="BA271" s="271"/>
      <c r="BB271" s="271"/>
      <c r="BC271" s="271"/>
      <c r="BD271" s="271"/>
      <c r="BE271" s="532"/>
    </row>
    <row r="272" spans="2:58" ht="27" customHeight="1">
      <c r="I272" s="271"/>
      <c r="J272" s="271"/>
      <c r="K272" s="360"/>
      <c r="L272" s="271"/>
      <c r="M272" s="271"/>
      <c r="N272" s="271"/>
      <c r="X272" s="271"/>
      <c r="Y272" s="271"/>
      <c r="Z272" s="271"/>
      <c r="AA272" s="271"/>
      <c r="AB272" s="271"/>
      <c r="AC272" s="271"/>
      <c r="AG272" s="271"/>
      <c r="AH272" s="271"/>
      <c r="AI272" s="271"/>
      <c r="AM272" s="271"/>
      <c r="AN272" s="271"/>
      <c r="AO272" s="271"/>
      <c r="AR272" s="271"/>
      <c r="AS272" s="271"/>
      <c r="AT272" s="271"/>
      <c r="AU272" s="271"/>
      <c r="AV272" s="271"/>
      <c r="AW272" s="271"/>
      <c r="AX272" s="271"/>
      <c r="AY272" s="271"/>
      <c r="AZ272" s="271"/>
      <c r="BA272" s="271"/>
      <c r="BB272" s="271"/>
      <c r="BC272" s="271"/>
      <c r="BD272" s="271"/>
      <c r="BE272" s="532"/>
    </row>
    <row r="273" spans="2:57" ht="27" customHeight="1">
      <c r="I273" s="271"/>
      <c r="J273" s="271"/>
      <c r="K273" s="360"/>
      <c r="L273" s="271"/>
      <c r="M273" s="271"/>
      <c r="N273" s="271"/>
      <c r="X273" s="271"/>
      <c r="Y273" s="271"/>
      <c r="Z273" s="271"/>
      <c r="AA273" s="271"/>
      <c r="AB273" s="271"/>
      <c r="AC273" s="271"/>
      <c r="AG273" s="271"/>
      <c r="AH273" s="271"/>
      <c r="AI273" s="271"/>
      <c r="AM273" s="271"/>
      <c r="AN273" s="271"/>
      <c r="AO273" s="271"/>
      <c r="AR273" s="271"/>
      <c r="AS273" s="271"/>
      <c r="AT273" s="271"/>
      <c r="AU273" s="271"/>
      <c r="AV273" s="271"/>
      <c r="AW273" s="271"/>
      <c r="AX273" s="271"/>
      <c r="AY273" s="271"/>
      <c r="AZ273" s="271"/>
      <c r="BA273" s="271"/>
      <c r="BB273" s="271"/>
      <c r="BC273" s="271"/>
      <c r="BD273" s="271"/>
      <c r="BE273" s="532"/>
    </row>
    <row r="274" spans="2:57" ht="27" customHeight="1">
      <c r="I274" s="271"/>
      <c r="J274" s="271"/>
      <c r="K274" s="360"/>
      <c r="L274" s="271"/>
      <c r="M274" s="271"/>
      <c r="N274" s="271"/>
      <c r="X274" s="271"/>
      <c r="Y274" s="271"/>
      <c r="Z274" s="271"/>
      <c r="AA274" s="271"/>
      <c r="AB274" s="271"/>
      <c r="AC274" s="271"/>
      <c r="AG274" s="271"/>
      <c r="AH274" s="271"/>
      <c r="AI274" s="271"/>
      <c r="AM274" s="271"/>
      <c r="AN274" s="271"/>
      <c r="AO274" s="271"/>
      <c r="AR274" s="271"/>
      <c r="AS274" s="271"/>
      <c r="AT274" s="271"/>
      <c r="AU274" s="271"/>
      <c r="AV274" s="271"/>
      <c r="AW274" s="271"/>
      <c r="AX274" s="271"/>
      <c r="AY274" s="271"/>
      <c r="AZ274" s="271"/>
      <c r="BA274" s="271"/>
      <c r="BB274" s="271"/>
      <c r="BC274" s="271"/>
      <c r="BD274" s="271"/>
      <c r="BE274" s="532"/>
    </row>
    <row r="275" spans="2:57" ht="27" customHeight="1">
      <c r="AA275" s="271"/>
      <c r="AB275" s="271"/>
      <c r="AC275" s="271"/>
      <c r="AG275" s="271"/>
      <c r="AH275" s="271"/>
      <c r="AI275" s="271"/>
      <c r="AM275" s="271"/>
      <c r="AN275" s="271"/>
      <c r="AO275" s="271"/>
      <c r="AR275" s="271"/>
      <c r="AS275" s="271"/>
      <c r="AT275" s="271"/>
      <c r="AU275" s="271"/>
      <c r="AV275" s="271"/>
      <c r="AW275" s="271"/>
      <c r="AX275" s="271"/>
      <c r="AY275" s="271"/>
      <c r="AZ275" s="271"/>
      <c r="BA275" s="271"/>
      <c r="BB275" s="271"/>
      <c r="BC275" s="271"/>
      <c r="BD275" s="271"/>
      <c r="BE275" s="532"/>
    </row>
    <row r="276" spans="2:57" ht="27" customHeight="1">
      <c r="AA276" s="271"/>
      <c r="AB276" s="271"/>
      <c r="AC276" s="271"/>
      <c r="AG276" s="271"/>
      <c r="AH276" s="271"/>
      <c r="AI276" s="271"/>
      <c r="AM276" s="271"/>
      <c r="AN276" s="271"/>
      <c r="AO276" s="271"/>
      <c r="AR276" s="271"/>
      <c r="AS276" s="271"/>
      <c r="AT276" s="271"/>
      <c r="AU276" s="271"/>
      <c r="AV276" s="271"/>
      <c r="AW276" s="271"/>
      <c r="AX276" s="271"/>
      <c r="AY276" s="271"/>
      <c r="AZ276" s="271"/>
      <c r="BA276" s="271"/>
      <c r="BB276" s="271"/>
      <c r="BC276" s="271"/>
      <c r="BD276" s="271"/>
      <c r="BE276" s="532"/>
    </row>
    <row r="277" spans="2:57" ht="27" customHeight="1">
      <c r="AA277" s="271"/>
      <c r="AB277" s="271"/>
      <c r="AC277" s="271"/>
      <c r="AG277" s="271"/>
      <c r="AH277" s="271"/>
      <c r="AI277" s="271"/>
      <c r="AM277" s="271"/>
      <c r="AN277" s="271"/>
      <c r="AO277" s="271"/>
      <c r="AR277" s="271"/>
      <c r="AS277" s="271"/>
      <c r="AT277" s="271"/>
      <c r="AU277" s="271"/>
      <c r="AV277" s="271"/>
      <c r="AW277" s="271"/>
      <c r="AX277" s="271"/>
      <c r="AY277" s="271"/>
      <c r="AZ277" s="271"/>
      <c r="BA277" s="271"/>
      <c r="BB277" s="271"/>
      <c r="BC277" s="271"/>
      <c r="BD277" s="271"/>
      <c r="BE277" s="532"/>
    </row>
    <row r="278" spans="2:57" ht="27" customHeight="1">
      <c r="B278" s="527"/>
      <c r="C278" s="527"/>
      <c r="D278" s="527"/>
      <c r="E278" s="527"/>
      <c r="F278" s="527"/>
      <c r="G278" s="527"/>
      <c r="H278" s="527"/>
      <c r="I278" s="540"/>
      <c r="J278" s="540"/>
      <c r="K278" s="541"/>
      <c r="L278" s="540"/>
      <c r="M278" s="540"/>
      <c r="N278" s="540"/>
      <c r="O278" s="435"/>
      <c r="P278" s="435"/>
      <c r="Q278" s="435"/>
      <c r="R278" s="435"/>
      <c r="S278" s="435"/>
      <c r="T278" s="435"/>
      <c r="U278" s="435"/>
      <c r="V278" s="435"/>
      <c r="W278" s="435"/>
      <c r="X278" s="540"/>
      <c r="Y278" s="540"/>
      <c r="Z278" s="540"/>
      <c r="AA278" s="271"/>
      <c r="AB278" s="271"/>
      <c r="AC278" s="271"/>
      <c r="AG278" s="271"/>
      <c r="AH278" s="271"/>
      <c r="AI278" s="271"/>
      <c r="AM278" s="271"/>
      <c r="AN278" s="271"/>
      <c r="AO278" s="271"/>
      <c r="AR278" s="271"/>
      <c r="AS278" s="271"/>
      <c r="AT278" s="271"/>
      <c r="AU278" s="271"/>
      <c r="AV278" s="271"/>
      <c r="AW278" s="271"/>
      <c r="AX278" s="271"/>
      <c r="AY278" s="271"/>
      <c r="AZ278" s="271"/>
      <c r="BA278" s="271"/>
      <c r="BB278" s="271"/>
      <c r="BC278" s="271"/>
      <c r="BD278" s="271"/>
      <c r="BE278" s="532"/>
    </row>
    <row r="279" spans="2:57" ht="27" customHeight="1">
      <c r="B279" s="527"/>
      <c r="C279" s="527"/>
      <c r="D279" s="527"/>
      <c r="E279" s="527"/>
      <c r="F279" s="527"/>
      <c r="G279" s="527"/>
      <c r="H279" s="527"/>
      <c r="I279" s="540"/>
      <c r="J279" s="540"/>
      <c r="K279" s="541"/>
      <c r="L279" s="540"/>
      <c r="M279" s="540"/>
      <c r="N279" s="540"/>
      <c r="O279" s="435"/>
      <c r="P279" s="435"/>
      <c r="Q279" s="435"/>
      <c r="R279" s="435"/>
      <c r="S279" s="435"/>
      <c r="T279" s="435"/>
      <c r="U279" s="435"/>
      <c r="V279" s="435"/>
      <c r="W279" s="435"/>
      <c r="X279" s="540"/>
      <c r="Y279" s="540"/>
      <c r="Z279" s="540"/>
      <c r="AA279" s="540"/>
      <c r="AB279" s="540"/>
      <c r="AC279" s="540"/>
      <c r="AD279" s="434"/>
      <c r="AE279" s="435"/>
      <c r="AF279" s="435"/>
      <c r="AG279" s="540"/>
      <c r="AH279" s="540"/>
      <c r="AI279" s="540"/>
      <c r="AJ279" s="435"/>
      <c r="AK279" s="435"/>
      <c r="AL279" s="435"/>
      <c r="AM279" s="540"/>
      <c r="AN279" s="540"/>
      <c r="AS279" s="540"/>
      <c r="AT279" s="540"/>
      <c r="BA279" s="271"/>
      <c r="BB279" s="271"/>
      <c r="BC279" s="271"/>
      <c r="BD279" s="271"/>
    </row>
    <row r="280" spans="2:57" ht="27" customHeight="1">
      <c r="B280" s="527"/>
      <c r="C280" s="527"/>
      <c r="D280" s="527"/>
      <c r="E280" s="527"/>
      <c r="F280" s="527"/>
      <c r="G280" s="527"/>
      <c r="H280" s="527"/>
      <c r="I280" s="540"/>
      <c r="J280" s="540"/>
      <c r="K280" s="541"/>
      <c r="L280" s="540"/>
      <c r="M280" s="540"/>
      <c r="N280" s="540"/>
      <c r="O280" s="435"/>
      <c r="P280" s="435"/>
      <c r="Q280" s="435"/>
      <c r="R280" s="435"/>
      <c r="S280" s="435"/>
      <c r="T280" s="435"/>
      <c r="U280" s="435"/>
      <c r="V280" s="435"/>
      <c r="W280" s="435"/>
      <c r="X280" s="540"/>
      <c r="Y280" s="540"/>
      <c r="Z280" s="540"/>
      <c r="AA280" s="540"/>
      <c r="AB280" s="540"/>
      <c r="AC280" s="540"/>
      <c r="AD280" s="434"/>
      <c r="AE280" s="435"/>
      <c r="AF280" s="435"/>
      <c r="AG280" s="540"/>
      <c r="AH280" s="540"/>
      <c r="AI280" s="540"/>
      <c r="AJ280" s="435"/>
      <c r="AK280" s="435"/>
      <c r="AL280" s="435"/>
      <c r="AM280" s="540"/>
      <c r="AN280" s="540"/>
      <c r="AS280" s="540"/>
      <c r="AT280" s="540"/>
      <c r="BA280" s="271"/>
      <c r="BB280" s="271"/>
      <c r="BC280" s="271"/>
      <c r="BD280" s="271"/>
    </row>
    <row r="281" spans="2:57" ht="27" customHeight="1">
      <c r="B281" s="527"/>
      <c r="C281" s="527"/>
      <c r="D281" s="527"/>
      <c r="E281" s="527"/>
      <c r="F281" s="527"/>
      <c r="G281" s="527"/>
      <c r="H281" s="527"/>
      <c r="I281" s="540"/>
      <c r="J281" s="540"/>
      <c r="K281" s="541"/>
      <c r="L281" s="540"/>
      <c r="M281" s="540"/>
      <c r="N281" s="540"/>
      <c r="O281" s="435"/>
      <c r="P281" s="435"/>
      <c r="Q281" s="435"/>
      <c r="R281" s="435"/>
      <c r="S281" s="435"/>
      <c r="T281" s="435"/>
      <c r="U281" s="435"/>
      <c r="V281" s="435"/>
      <c r="W281" s="435"/>
      <c r="X281" s="540"/>
      <c r="Y281" s="540"/>
      <c r="Z281" s="540"/>
      <c r="AA281" s="540"/>
      <c r="AB281" s="540"/>
      <c r="AC281" s="540"/>
      <c r="AD281" s="434"/>
      <c r="AE281" s="435"/>
      <c r="AF281" s="435"/>
      <c r="AG281" s="540"/>
      <c r="AH281" s="540"/>
      <c r="AI281" s="540"/>
      <c r="AJ281" s="435"/>
      <c r="AK281" s="435"/>
      <c r="AL281" s="435"/>
      <c r="AM281" s="540"/>
      <c r="AN281" s="540"/>
      <c r="AO281" s="540"/>
      <c r="AP281" s="435"/>
      <c r="AQ281" s="435"/>
      <c r="AR281" s="540"/>
      <c r="AS281" s="540"/>
      <c r="AT281" s="540"/>
      <c r="AU281" s="540"/>
      <c r="BA281" s="271"/>
      <c r="BB281" s="271"/>
      <c r="BC281" s="271"/>
      <c r="BD281" s="271"/>
    </row>
    <row r="282" spans="2:57" ht="27" customHeight="1">
      <c r="B282" s="527"/>
      <c r="C282" s="527"/>
      <c r="D282" s="527"/>
      <c r="E282" s="527"/>
      <c r="F282" s="527"/>
      <c r="G282" s="527"/>
      <c r="H282" s="527"/>
      <c r="I282" s="540"/>
      <c r="J282" s="540"/>
      <c r="K282" s="541"/>
      <c r="L282" s="540"/>
      <c r="M282" s="540"/>
      <c r="N282" s="540"/>
      <c r="O282" s="435"/>
      <c r="P282" s="435"/>
      <c r="Q282" s="435"/>
      <c r="R282" s="435"/>
      <c r="S282" s="435"/>
      <c r="T282" s="435"/>
      <c r="U282" s="435"/>
      <c r="V282" s="435"/>
      <c r="W282" s="435"/>
      <c r="X282" s="540"/>
      <c r="Y282" s="540"/>
      <c r="Z282" s="540"/>
      <c r="AA282" s="540"/>
      <c r="AB282" s="540"/>
      <c r="AC282" s="540"/>
      <c r="AD282" s="434"/>
      <c r="AE282" s="435"/>
      <c r="AF282" s="435"/>
      <c r="AG282" s="540"/>
      <c r="AH282" s="540"/>
      <c r="AI282" s="540"/>
      <c r="AJ282" s="435"/>
      <c r="AK282" s="435"/>
      <c r="AL282" s="435"/>
      <c r="AM282" s="540"/>
      <c r="AN282" s="540"/>
      <c r="AO282" s="540"/>
      <c r="AP282" s="435"/>
      <c r="AQ282" s="435"/>
      <c r="AR282" s="540"/>
      <c r="AS282" s="540"/>
      <c r="AT282" s="540"/>
      <c r="AU282" s="540"/>
    </row>
    <row r="283" spans="2:57" ht="27" customHeight="1">
      <c r="B283" s="527"/>
      <c r="C283" s="527"/>
      <c r="D283" s="527"/>
      <c r="E283" s="527"/>
      <c r="F283" s="527"/>
      <c r="G283" s="527"/>
      <c r="H283" s="527"/>
      <c r="I283" s="540"/>
      <c r="J283" s="540"/>
      <c r="K283" s="541"/>
      <c r="L283" s="540"/>
      <c r="M283" s="540"/>
      <c r="N283" s="540"/>
      <c r="O283" s="435"/>
      <c r="P283" s="435"/>
      <c r="Q283" s="435"/>
      <c r="R283" s="435"/>
      <c r="S283" s="435"/>
      <c r="T283" s="435"/>
      <c r="U283" s="435"/>
      <c r="V283" s="435"/>
      <c r="W283" s="435"/>
      <c r="X283" s="540"/>
      <c r="Y283" s="540"/>
      <c r="Z283" s="540"/>
      <c r="AA283" s="540"/>
      <c r="AB283" s="540"/>
      <c r="AC283" s="540"/>
      <c r="AD283" s="434"/>
      <c r="AE283" s="435"/>
      <c r="AF283" s="435"/>
      <c r="AG283" s="540"/>
      <c r="AH283" s="540"/>
      <c r="AI283" s="540"/>
      <c r="AJ283" s="435"/>
      <c r="AK283" s="435"/>
      <c r="AL283" s="435"/>
      <c r="AM283" s="540"/>
      <c r="AN283" s="540"/>
      <c r="AO283" s="540"/>
      <c r="AP283" s="435"/>
      <c r="AQ283" s="435"/>
      <c r="AR283" s="540"/>
      <c r="AS283" s="540"/>
      <c r="AT283" s="540"/>
      <c r="AU283" s="540"/>
    </row>
    <row r="284" spans="2:57" ht="27" customHeight="1">
      <c r="B284" s="357"/>
      <c r="C284" s="357"/>
      <c r="D284" s="357"/>
      <c r="E284" s="357"/>
      <c r="F284" s="357"/>
      <c r="G284" s="357"/>
      <c r="H284" s="357"/>
      <c r="I284" s="276"/>
      <c r="J284" s="276"/>
      <c r="K284" s="542"/>
      <c r="L284" s="276"/>
      <c r="M284" s="276"/>
      <c r="N284" s="276"/>
      <c r="O284" s="543"/>
      <c r="P284" s="543"/>
      <c r="Q284" s="543"/>
      <c r="R284" s="543"/>
      <c r="S284" s="543"/>
      <c r="T284" s="543"/>
      <c r="U284" s="543"/>
      <c r="V284" s="543"/>
      <c r="W284" s="543"/>
      <c r="X284" s="276"/>
      <c r="Y284" s="276"/>
      <c r="Z284" s="276"/>
      <c r="AA284" s="276"/>
      <c r="AB284" s="276"/>
      <c r="AC284" s="276"/>
      <c r="AD284" s="544"/>
      <c r="AE284" s="543"/>
      <c r="AF284" s="543"/>
      <c r="AG284" s="276"/>
      <c r="AH284" s="276"/>
      <c r="AI284" s="276"/>
      <c r="AJ284" s="543"/>
      <c r="AK284" s="543"/>
      <c r="AL284" s="543"/>
      <c r="AM284" s="276"/>
      <c r="AN284" s="276"/>
      <c r="AS284" s="276"/>
      <c r="AT284" s="276"/>
    </row>
    <row r="287" spans="2:57" ht="27" customHeight="1">
      <c r="B287" s="527"/>
      <c r="C287" s="527"/>
      <c r="D287" s="527"/>
      <c r="E287" s="527"/>
      <c r="F287" s="527"/>
      <c r="G287" s="527"/>
      <c r="H287" s="527"/>
      <c r="I287" s="540"/>
      <c r="J287" s="540"/>
      <c r="K287" s="541"/>
      <c r="L287" s="540"/>
      <c r="M287" s="540"/>
      <c r="N287" s="540"/>
      <c r="O287" s="435"/>
      <c r="P287" s="435"/>
      <c r="Q287" s="435"/>
      <c r="R287" s="435"/>
      <c r="S287" s="435"/>
      <c r="T287" s="435"/>
      <c r="U287" s="435"/>
      <c r="V287" s="435"/>
      <c r="W287" s="435"/>
      <c r="X287" s="540"/>
      <c r="Y287" s="540"/>
      <c r="Z287" s="540"/>
      <c r="AA287" s="540"/>
      <c r="AB287" s="540"/>
      <c r="AC287" s="540"/>
      <c r="AD287" s="434"/>
      <c r="AE287" s="435"/>
      <c r="AF287" s="435"/>
      <c r="AG287" s="540"/>
      <c r="AH287" s="540"/>
      <c r="AI287" s="540"/>
      <c r="AJ287" s="435"/>
      <c r="AK287" s="435"/>
      <c r="AL287" s="435"/>
      <c r="AM287" s="540"/>
      <c r="AN287" s="540"/>
      <c r="AS287" s="540"/>
      <c r="AT287" s="540"/>
    </row>
    <row r="288" spans="2:57" ht="27" customHeight="1">
      <c r="B288" s="527"/>
      <c r="C288" s="527"/>
      <c r="D288" s="527"/>
      <c r="E288" s="527"/>
      <c r="F288" s="527"/>
      <c r="G288" s="527"/>
      <c r="H288" s="527"/>
      <c r="I288" s="540"/>
      <c r="J288" s="540"/>
      <c r="K288" s="541"/>
      <c r="L288" s="540"/>
      <c r="M288" s="540"/>
      <c r="N288" s="540"/>
      <c r="O288" s="435"/>
      <c r="P288" s="435"/>
      <c r="Q288" s="435"/>
      <c r="R288" s="435"/>
      <c r="S288" s="435"/>
      <c r="T288" s="435"/>
      <c r="U288" s="435"/>
      <c r="V288" s="435"/>
      <c r="W288" s="435"/>
      <c r="X288" s="540"/>
      <c r="Y288" s="540"/>
      <c r="Z288" s="540"/>
      <c r="AA288" s="540"/>
      <c r="AB288" s="540"/>
      <c r="AC288" s="540"/>
      <c r="AD288" s="434"/>
      <c r="AE288" s="435"/>
      <c r="AF288" s="435"/>
      <c r="AG288" s="540"/>
      <c r="AH288" s="540"/>
      <c r="AI288" s="540"/>
      <c r="AJ288" s="435"/>
      <c r="AK288" s="435"/>
      <c r="AL288" s="435"/>
      <c r="AM288" s="540"/>
      <c r="AN288" s="540"/>
      <c r="AS288" s="540"/>
      <c r="AT288" s="540"/>
    </row>
    <row r="289" spans="2:58" ht="27" customHeight="1">
      <c r="B289" s="527"/>
      <c r="C289" s="527"/>
      <c r="D289" s="527"/>
      <c r="E289" s="527"/>
      <c r="F289" s="527"/>
      <c r="G289" s="527"/>
      <c r="H289" s="527"/>
      <c r="I289" s="540"/>
      <c r="J289" s="540"/>
      <c r="K289" s="541"/>
      <c r="L289" s="540"/>
      <c r="M289" s="540"/>
      <c r="N289" s="540"/>
      <c r="O289" s="435"/>
      <c r="P289" s="435"/>
      <c r="Q289" s="435"/>
      <c r="R289" s="435"/>
      <c r="S289" s="435"/>
      <c r="T289" s="435"/>
      <c r="U289" s="435"/>
      <c r="V289" s="435"/>
      <c r="W289" s="435"/>
      <c r="X289" s="540"/>
      <c r="Y289" s="540"/>
      <c r="Z289" s="540"/>
      <c r="AA289" s="540"/>
      <c r="AB289" s="540"/>
      <c r="AC289" s="540"/>
      <c r="AD289" s="434"/>
      <c r="AE289" s="435"/>
      <c r="AF289" s="435"/>
      <c r="AG289" s="540"/>
      <c r="AH289" s="540"/>
      <c r="AI289" s="540"/>
      <c r="AJ289" s="435"/>
      <c r="AK289" s="435"/>
      <c r="AL289" s="435"/>
      <c r="AM289" s="540"/>
      <c r="AN289" s="540"/>
      <c r="AS289" s="540"/>
      <c r="AT289" s="540"/>
    </row>
    <row r="290" spans="2:58" s="269" customFormat="1" ht="27" customHeight="1">
      <c r="B290" s="357"/>
      <c r="C290" s="357"/>
      <c r="D290" s="357"/>
      <c r="E290" s="357"/>
      <c r="F290" s="357"/>
      <c r="G290" s="357"/>
      <c r="H290" s="357"/>
      <c r="I290" s="276"/>
      <c r="J290" s="276"/>
      <c r="K290" s="542"/>
      <c r="L290" s="276"/>
      <c r="M290" s="276"/>
      <c r="N290" s="276"/>
      <c r="O290" s="543"/>
      <c r="P290" s="543"/>
      <c r="Q290" s="543"/>
      <c r="R290" s="543"/>
      <c r="S290" s="543"/>
      <c r="T290" s="543"/>
      <c r="U290" s="543"/>
      <c r="V290" s="543"/>
      <c r="W290" s="543"/>
      <c r="X290" s="276"/>
      <c r="Y290" s="276"/>
      <c r="Z290" s="276"/>
      <c r="AA290" s="276"/>
      <c r="AB290" s="276"/>
      <c r="AC290" s="276"/>
      <c r="AD290" s="544"/>
      <c r="AE290" s="543"/>
      <c r="AF290" s="543"/>
      <c r="AG290" s="276"/>
      <c r="AH290" s="276"/>
      <c r="AI290" s="276"/>
      <c r="AJ290" s="543"/>
      <c r="AK290" s="543"/>
      <c r="AL290" s="543"/>
      <c r="AM290" s="276"/>
      <c r="AN290" s="276"/>
      <c r="AP290" s="273"/>
      <c r="AQ290" s="273"/>
      <c r="AS290" s="276"/>
      <c r="AT290" s="276"/>
      <c r="AY290" s="429"/>
      <c r="BA290" s="545"/>
      <c r="BE290" s="277"/>
      <c r="BF290" s="278"/>
    </row>
  </sheetData>
  <mergeCells count="6">
    <mergeCell ref="W3:W4"/>
    <mergeCell ref="R3:R4"/>
    <mergeCell ref="S3:S4"/>
    <mergeCell ref="T3:T4"/>
    <mergeCell ref="U3:U4"/>
    <mergeCell ref="V3:V4"/>
  </mergeCells>
  <conditionalFormatting sqref="K1:K1048576">
    <cfRule type="cellIs" dxfId="122" priority="1" operator="lessThanOrEqual">
      <formula>30</formula>
    </cfRule>
    <cfRule type="cellIs" dxfId="121" priority="2" operator="greaterThan">
      <formula>30</formula>
    </cfRule>
  </conditionalFormatting>
  <conditionalFormatting sqref="AX1:AX1048576">
    <cfRule type="cellIs" dxfId="120" priority="3" operator="lessThan">
      <formula>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22"/>
  <sheetViews>
    <sheetView workbookViewId="0">
      <selection activeCell="E13" sqref="E13"/>
    </sheetView>
  </sheetViews>
  <sheetFormatPr defaultColWidth="9" defaultRowHeight="14.25"/>
  <cols>
    <col min="2" max="2" width="17.1328125" customWidth="1"/>
    <col min="3" max="3" width="47.19921875" customWidth="1"/>
    <col min="4" max="8" width="17.1328125" customWidth="1"/>
  </cols>
  <sheetData>
    <row r="1" spans="2:8" ht="27.75">
      <c r="B1" s="261" t="s">
        <v>12</v>
      </c>
      <c r="C1" s="262" t="s">
        <v>856</v>
      </c>
      <c r="D1" s="262" t="s">
        <v>33</v>
      </c>
      <c r="E1" s="262" t="s">
        <v>857</v>
      </c>
      <c r="F1" s="262" t="s">
        <v>46</v>
      </c>
      <c r="G1" s="262" t="s">
        <v>48</v>
      </c>
      <c r="H1" s="262" t="s">
        <v>49</v>
      </c>
    </row>
    <row r="2" spans="2:8">
      <c r="B2" s="263" t="s">
        <v>57</v>
      </c>
      <c r="C2" s="264" t="s">
        <v>58</v>
      </c>
      <c r="D2" s="265">
        <v>46211</v>
      </c>
      <c r="E2" s="265">
        <v>46540</v>
      </c>
      <c r="F2" s="266">
        <v>329</v>
      </c>
      <c r="G2" s="265">
        <v>46540</v>
      </c>
      <c r="H2" s="267">
        <v>0</v>
      </c>
    </row>
    <row r="3" spans="2:8">
      <c r="B3" s="263" t="s">
        <v>76</v>
      </c>
      <c r="C3" s="264" t="s">
        <v>77</v>
      </c>
      <c r="D3" s="265">
        <v>46253</v>
      </c>
      <c r="E3" s="265">
        <v>46433</v>
      </c>
      <c r="F3" s="266">
        <v>180</v>
      </c>
      <c r="G3" s="265">
        <v>46444</v>
      </c>
      <c r="H3" s="267">
        <v>11</v>
      </c>
    </row>
    <row r="4" spans="2:8">
      <c r="B4" s="263" t="s">
        <v>81</v>
      </c>
      <c r="C4" s="264" t="s">
        <v>82</v>
      </c>
      <c r="D4" s="265">
        <v>46230</v>
      </c>
      <c r="E4" s="265">
        <v>46440</v>
      </c>
      <c r="F4" s="266">
        <v>210</v>
      </c>
      <c r="G4" s="265">
        <v>46448</v>
      </c>
      <c r="H4" s="267">
        <v>8</v>
      </c>
    </row>
    <row r="5" spans="2:8">
      <c r="B5" s="263" t="s">
        <v>89</v>
      </c>
      <c r="C5" s="264" t="s">
        <v>90</v>
      </c>
      <c r="D5" s="265">
        <v>46227</v>
      </c>
      <c r="E5" s="265">
        <v>46451</v>
      </c>
      <c r="F5" s="266">
        <v>224</v>
      </c>
      <c r="G5" s="265">
        <v>46451</v>
      </c>
      <c r="H5" s="267">
        <v>0</v>
      </c>
    </row>
    <row r="6" spans="2:8">
      <c r="B6" s="263" t="s">
        <v>104</v>
      </c>
      <c r="C6" s="264" t="s">
        <v>105</v>
      </c>
      <c r="D6" s="265">
        <v>46231</v>
      </c>
      <c r="E6" s="265">
        <v>46413</v>
      </c>
      <c r="F6" s="266">
        <v>182</v>
      </c>
      <c r="G6" s="265">
        <v>46430</v>
      </c>
      <c r="H6" s="267">
        <v>17</v>
      </c>
    </row>
    <row r="7" spans="2:8">
      <c r="B7" s="263" t="s">
        <v>108</v>
      </c>
      <c r="C7" s="264" t="s">
        <v>109</v>
      </c>
      <c r="D7" s="265">
        <v>46254</v>
      </c>
      <c r="E7" s="265">
        <v>46422</v>
      </c>
      <c r="F7" s="266">
        <v>168</v>
      </c>
      <c r="G7" s="265">
        <v>46470</v>
      </c>
      <c r="H7" s="267">
        <v>48</v>
      </c>
    </row>
    <row r="8" spans="2:8" ht="25.5">
      <c r="B8" s="263" t="s">
        <v>112</v>
      </c>
      <c r="C8" s="264" t="s">
        <v>113</v>
      </c>
      <c r="D8" s="265">
        <v>46231</v>
      </c>
      <c r="E8" s="265">
        <v>46455</v>
      </c>
      <c r="F8" s="266">
        <v>224</v>
      </c>
      <c r="G8" s="265">
        <v>46477</v>
      </c>
      <c r="H8" s="267">
        <v>22</v>
      </c>
    </row>
    <row r="9" spans="2:8">
      <c r="B9" s="263" t="s">
        <v>122</v>
      </c>
      <c r="C9" s="264" t="s">
        <v>123</v>
      </c>
      <c r="D9" s="265">
        <v>46226</v>
      </c>
      <c r="E9" s="265">
        <v>46478</v>
      </c>
      <c r="F9" s="266">
        <v>252</v>
      </c>
      <c r="G9" s="265">
        <v>46490</v>
      </c>
      <c r="H9" s="267">
        <v>12</v>
      </c>
    </row>
    <row r="10" spans="2:8">
      <c r="B10" s="263" t="s">
        <v>127</v>
      </c>
      <c r="C10" s="264" t="s">
        <v>128</v>
      </c>
      <c r="D10" s="265">
        <v>46226</v>
      </c>
      <c r="E10" s="265">
        <v>46485</v>
      </c>
      <c r="F10" s="266">
        <v>259</v>
      </c>
      <c r="G10" s="265">
        <v>46490</v>
      </c>
      <c r="H10" s="267">
        <v>5</v>
      </c>
    </row>
    <row r="11" spans="2:8">
      <c r="B11" s="263" t="s">
        <v>130</v>
      </c>
      <c r="C11" s="264" t="s">
        <v>131</v>
      </c>
      <c r="D11" s="265">
        <v>46247</v>
      </c>
      <c r="E11" s="265">
        <v>46499</v>
      </c>
      <c r="F11" s="266">
        <v>252</v>
      </c>
      <c r="G11" s="265">
        <v>46504</v>
      </c>
      <c r="H11" s="267">
        <v>5</v>
      </c>
    </row>
    <row r="12" spans="2:8">
      <c r="B12" s="263" t="s">
        <v>144</v>
      </c>
      <c r="C12" s="264" t="s">
        <v>145</v>
      </c>
      <c r="D12" s="265">
        <v>46254</v>
      </c>
      <c r="E12" s="265">
        <v>46534</v>
      </c>
      <c r="F12" s="266">
        <v>280</v>
      </c>
      <c r="G12" s="265">
        <v>46550</v>
      </c>
      <c r="H12" s="267">
        <v>16</v>
      </c>
    </row>
    <row r="13" spans="2:8">
      <c r="B13" s="263" t="s">
        <v>148</v>
      </c>
      <c r="C13" s="264" t="s">
        <v>149</v>
      </c>
      <c r="D13" s="265">
        <v>46267</v>
      </c>
      <c r="E13" s="265">
        <v>46519</v>
      </c>
      <c r="F13" s="266">
        <v>252</v>
      </c>
      <c r="G13" s="265">
        <v>46530</v>
      </c>
      <c r="H13" s="267">
        <v>11</v>
      </c>
    </row>
    <row r="14" spans="2:8">
      <c r="B14" s="263" t="s">
        <v>152</v>
      </c>
      <c r="C14" s="264" t="s">
        <v>153</v>
      </c>
      <c r="D14" s="265">
        <v>46241</v>
      </c>
      <c r="E14" s="265">
        <v>46521</v>
      </c>
      <c r="F14" s="266">
        <v>280</v>
      </c>
      <c r="G14" s="265">
        <v>46530</v>
      </c>
      <c r="H14" s="267">
        <v>9</v>
      </c>
    </row>
    <row r="15" spans="2:8">
      <c r="B15" s="263" t="s">
        <v>161</v>
      </c>
      <c r="C15" s="264" t="s">
        <v>162</v>
      </c>
      <c r="D15" s="265">
        <v>46218</v>
      </c>
      <c r="E15" s="265">
        <v>46470</v>
      </c>
      <c r="F15" s="266">
        <v>252</v>
      </c>
      <c r="G15" s="265">
        <v>46478</v>
      </c>
      <c r="H15" s="267">
        <v>8</v>
      </c>
    </row>
    <row r="16" spans="2:8">
      <c r="B16" s="263" t="s">
        <v>232</v>
      </c>
      <c r="C16" s="264" t="s">
        <v>233</v>
      </c>
      <c r="D16" s="265">
        <v>46183</v>
      </c>
      <c r="E16" s="265">
        <v>46243</v>
      </c>
      <c r="F16" s="266">
        <v>60</v>
      </c>
      <c r="G16" s="265">
        <v>46251</v>
      </c>
      <c r="H16" s="267">
        <v>8</v>
      </c>
    </row>
    <row r="17" spans="2:8">
      <c r="B17" s="263" t="s">
        <v>239</v>
      </c>
      <c r="C17" s="264" t="s">
        <v>240</v>
      </c>
      <c r="D17" s="265">
        <v>46209</v>
      </c>
      <c r="E17" s="265">
        <v>46297</v>
      </c>
      <c r="F17" s="266">
        <v>90.000000000000298</v>
      </c>
      <c r="G17" s="265">
        <v>46299</v>
      </c>
      <c r="H17" s="267">
        <v>0</v>
      </c>
    </row>
    <row r="18" spans="2:8">
      <c r="B18" s="263" t="s">
        <v>256</v>
      </c>
      <c r="C18" s="264" t="s">
        <v>257</v>
      </c>
      <c r="D18" s="265">
        <v>46233</v>
      </c>
      <c r="E18" s="265">
        <v>46293</v>
      </c>
      <c r="F18" s="266">
        <v>60</v>
      </c>
      <c r="G18" s="265">
        <v>46314</v>
      </c>
      <c r="H18" s="267">
        <v>21</v>
      </c>
    </row>
    <row r="19" spans="2:8">
      <c r="B19" s="263" t="s">
        <v>264</v>
      </c>
      <c r="C19" s="264" t="s">
        <v>265</v>
      </c>
      <c r="D19" s="265">
        <v>46335</v>
      </c>
      <c r="E19" s="265">
        <v>46393</v>
      </c>
      <c r="F19" s="266">
        <v>60</v>
      </c>
      <c r="G19" s="265">
        <v>46457</v>
      </c>
      <c r="H19" s="267">
        <v>62</v>
      </c>
    </row>
    <row r="20" spans="2:8">
      <c r="B20" s="263" t="s">
        <v>355</v>
      </c>
      <c r="C20" s="264" t="s">
        <v>356</v>
      </c>
      <c r="D20" s="265">
        <v>46230</v>
      </c>
      <c r="E20" s="265">
        <v>46319</v>
      </c>
      <c r="F20" s="266">
        <v>90.000000000000298</v>
      </c>
      <c r="G20" s="265">
        <v>46327</v>
      </c>
      <c r="H20" s="267">
        <v>7</v>
      </c>
    </row>
    <row r="21" spans="2:8">
      <c r="B21" s="263" t="s">
        <v>283</v>
      </c>
      <c r="C21" s="264" t="s">
        <v>284</v>
      </c>
      <c r="D21" s="265">
        <v>46265</v>
      </c>
      <c r="E21" s="265">
        <v>46355</v>
      </c>
      <c r="F21" s="266">
        <v>90.000000000000298</v>
      </c>
      <c r="G21" s="265">
        <v>46360</v>
      </c>
      <c r="H21" s="267">
        <v>5</v>
      </c>
    </row>
    <row r="22" spans="2:8">
      <c r="B22" s="263" t="s">
        <v>285</v>
      </c>
      <c r="C22" s="264" t="s">
        <v>286</v>
      </c>
      <c r="D22" s="265">
        <v>46258</v>
      </c>
      <c r="E22" s="265">
        <v>46426</v>
      </c>
      <c r="F22" s="266">
        <v>168</v>
      </c>
      <c r="G22" s="265">
        <v>46429</v>
      </c>
      <c r="H22" s="267">
        <v>3</v>
      </c>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203"/>
  <sheetViews>
    <sheetView topLeftCell="A232" workbookViewId="0">
      <selection activeCell="A250" sqref="A250:A252"/>
    </sheetView>
  </sheetViews>
  <sheetFormatPr defaultColWidth="9" defaultRowHeight="14.25"/>
  <cols>
    <col min="1" max="1" width="18.19921875" customWidth="1"/>
    <col min="2" max="2" width="69" customWidth="1"/>
    <col min="3" max="5" width="16.796875" customWidth="1"/>
    <col min="6" max="6" width="12.46484375" customWidth="1"/>
    <col min="7" max="7" width="20.1328125" customWidth="1"/>
    <col min="8" max="8" width="40.86328125" customWidth="1"/>
  </cols>
  <sheetData>
    <row r="1" spans="1:7">
      <c r="A1" t="s">
        <v>858</v>
      </c>
      <c r="B1" t="s">
        <v>859</v>
      </c>
      <c r="C1" t="s">
        <v>860</v>
      </c>
      <c r="D1" t="s">
        <v>861</v>
      </c>
      <c r="E1" t="s">
        <v>862</v>
      </c>
      <c r="F1" t="s">
        <v>863</v>
      </c>
      <c r="G1" t="s">
        <v>864</v>
      </c>
    </row>
    <row r="2" spans="1:7">
      <c r="A2" t="s">
        <v>865</v>
      </c>
      <c r="C2">
        <v>211</v>
      </c>
      <c r="D2" s="260">
        <v>46085</v>
      </c>
      <c r="E2" s="260">
        <v>46405</v>
      </c>
      <c r="F2">
        <v>0</v>
      </c>
      <c r="G2" t="s">
        <v>866</v>
      </c>
    </row>
    <row r="3" spans="1:7">
      <c r="A3" t="s">
        <v>867</v>
      </c>
      <c r="C3">
        <v>211</v>
      </c>
      <c r="D3" s="260">
        <v>46085</v>
      </c>
      <c r="E3" s="260">
        <v>46405</v>
      </c>
      <c r="F3">
        <v>0</v>
      </c>
      <c r="G3" t="s">
        <v>866</v>
      </c>
    </row>
    <row r="4" spans="1:7">
      <c r="A4" t="s">
        <v>868</v>
      </c>
      <c r="B4" t="s">
        <v>869</v>
      </c>
      <c r="C4">
        <v>0</v>
      </c>
      <c r="D4" s="260">
        <v>46085</v>
      </c>
      <c r="F4">
        <v>-47</v>
      </c>
      <c r="G4" t="s">
        <v>866</v>
      </c>
    </row>
    <row r="5" spans="1:7">
      <c r="A5" t="s">
        <v>870</v>
      </c>
      <c r="B5" t="s">
        <v>871</v>
      </c>
      <c r="C5">
        <v>0</v>
      </c>
      <c r="E5" t="s">
        <v>872</v>
      </c>
      <c r="F5">
        <v>-7</v>
      </c>
      <c r="G5" t="s">
        <v>866</v>
      </c>
    </row>
    <row r="6" spans="1:7">
      <c r="A6" t="s">
        <v>873</v>
      </c>
      <c r="B6" t="s">
        <v>874</v>
      </c>
      <c r="C6">
        <v>2</v>
      </c>
      <c r="D6" s="260">
        <v>46155</v>
      </c>
      <c r="E6" s="260">
        <v>46156</v>
      </c>
      <c r="F6">
        <v>10</v>
      </c>
      <c r="G6" t="s">
        <v>866</v>
      </c>
    </row>
    <row r="7" spans="1:7">
      <c r="A7" t="s">
        <v>875</v>
      </c>
      <c r="B7" t="s">
        <v>876</v>
      </c>
      <c r="C7">
        <v>0</v>
      </c>
      <c r="E7" s="260">
        <v>46170</v>
      </c>
      <c r="F7">
        <v>22</v>
      </c>
      <c r="G7" t="s">
        <v>866</v>
      </c>
    </row>
    <row r="8" spans="1:7">
      <c r="A8" t="s">
        <v>877</v>
      </c>
      <c r="B8" t="s">
        <v>878</v>
      </c>
      <c r="C8">
        <v>2</v>
      </c>
      <c r="D8" s="260">
        <v>46162</v>
      </c>
      <c r="E8" s="260">
        <v>46163</v>
      </c>
      <c r="F8">
        <v>105</v>
      </c>
      <c r="G8" t="s">
        <v>866</v>
      </c>
    </row>
    <row r="9" spans="1:7">
      <c r="A9" t="s">
        <v>879</v>
      </c>
      <c r="B9" t="s">
        <v>880</v>
      </c>
      <c r="C9">
        <v>5</v>
      </c>
      <c r="D9" s="260">
        <v>46178</v>
      </c>
      <c r="E9" s="260">
        <v>46184</v>
      </c>
      <c r="F9">
        <v>22</v>
      </c>
      <c r="G9" t="s">
        <v>866</v>
      </c>
    </row>
    <row r="10" spans="1:7">
      <c r="A10" t="s">
        <v>881</v>
      </c>
      <c r="B10" t="s">
        <v>882</v>
      </c>
      <c r="C10">
        <v>2</v>
      </c>
      <c r="D10" s="260">
        <v>46192</v>
      </c>
      <c r="E10" s="260">
        <v>46195</v>
      </c>
      <c r="F10">
        <v>75</v>
      </c>
      <c r="G10" t="s">
        <v>866</v>
      </c>
    </row>
    <row r="11" spans="1:7">
      <c r="A11" t="s">
        <v>883</v>
      </c>
      <c r="B11" t="s">
        <v>884</v>
      </c>
      <c r="C11">
        <v>0</v>
      </c>
      <c r="E11" t="s">
        <v>885</v>
      </c>
      <c r="F11">
        <v>0</v>
      </c>
      <c r="G11" t="s">
        <v>866</v>
      </c>
    </row>
    <row r="12" spans="1:7">
      <c r="A12" t="s">
        <v>886</v>
      </c>
      <c r="B12" t="s">
        <v>887</v>
      </c>
      <c r="C12">
        <v>5</v>
      </c>
      <c r="D12" s="260">
        <v>46258</v>
      </c>
      <c r="E12" s="260">
        <v>46262</v>
      </c>
      <c r="F12">
        <v>0</v>
      </c>
      <c r="G12" t="s">
        <v>866</v>
      </c>
    </row>
    <row r="13" spans="1:7">
      <c r="A13" t="s">
        <v>888</v>
      </c>
      <c r="B13" t="s">
        <v>889</v>
      </c>
      <c r="C13">
        <v>1</v>
      </c>
      <c r="D13" s="260">
        <v>46321</v>
      </c>
      <c r="E13" s="260">
        <v>46321</v>
      </c>
      <c r="F13">
        <v>11</v>
      </c>
      <c r="G13" t="s">
        <v>866</v>
      </c>
    </row>
    <row r="14" spans="1:7">
      <c r="A14" t="s">
        <v>890</v>
      </c>
      <c r="B14" t="s">
        <v>891</v>
      </c>
      <c r="C14">
        <v>0</v>
      </c>
      <c r="E14" s="260">
        <v>46392</v>
      </c>
      <c r="F14">
        <v>0</v>
      </c>
      <c r="G14" t="s">
        <v>866</v>
      </c>
    </row>
    <row r="15" spans="1:7">
      <c r="A15" t="s">
        <v>892</v>
      </c>
      <c r="B15" t="s">
        <v>893</v>
      </c>
      <c r="C15">
        <v>0</v>
      </c>
      <c r="E15" s="260">
        <v>46405</v>
      </c>
      <c r="F15">
        <v>0</v>
      </c>
      <c r="G15" t="s">
        <v>866</v>
      </c>
    </row>
    <row r="16" spans="1:7">
      <c r="A16" t="s">
        <v>894</v>
      </c>
      <c r="C16">
        <v>35</v>
      </c>
      <c r="D16" s="260">
        <v>46086</v>
      </c>
      <c r="E16" s="260">
        <v>46140</v>
      </c>
      <c r="F16">
        <v>166</v>
      </c>
      <c r="G16" t="s">
        <v>866</v>
      </c>
    </row>
    <row r="17" spans="1:7">
      <c r="A17" t="s">
        <v>895</v>
      </c>
      <c r="B17" t="s">
        <v>896</v>
      </c>
      <c r="C17">
        <v>10</v>
      </c>
      <c r="D17" s="260">
        <v>46086</v>
      </c>
      <c r="E17" s="260">
        <v>46099</v>
      </c>
      <c r="F17">
        <v>166</v>
      </c>
      <c r="G17" t="s">
        <v>866</v>
      </c>
    </row>
    <row r="18" spans="1:7">
      <c r="A18" t="s">
        <v>897</v>
      </c>
      <c r="B18" t="s">
        <v>898</v>
      </c>
      <c r="C18">
        <v>5</v>
      </c>
      <c r="D18" s="260">
        <v>46114</v>
      </c>
      <c r="E18" s="260">
        <v>46121</v>
      </c>
      <c r="F18">
        <v>171</v>
      </c>
      <c r="G18" t="s">
        <v>866</v>
      </c>
    </row>
    <row r="19" spans="1:7">
      <c r="A19" t="s">
        <v>899</v>
      </c>
      <c r="B19" t="s">
        <v>900</v>
      </c>
      <c r="C19">
        <v>10</v>
      </c>
      <c r="D19" s="260">
        <v>46100</v>
      </c>
      <c r="E19" s="260">
        <v>46113</v>
      </c>
      <c r="F19">
        <v>166</v>
      </c>
      <c r="G19" t="s">
        <v>866</v>
      </c>
    </row>
    <row r="20" spans="1:7">
      <c r="A20" t="s">
        <v>901</v>
      </c>
      <c r="B20" t="s">
        <v>902</v>
      </c>
      <c r="C20">
        <v>5</v>
      </c>
      <c r="D20" s="260">
        <v>46134</v>
      </c>
      <c r="E20" s="260">
        <v>46140</v>
      </c>
      <c r="F20">
        <v>166</v>
      </c>
      <c r="G20" t="s">
        <v>866</v>
      </c>
    </row>
    <row r="21" spans="1:7">
      <c r="A21" t="s">
        <v>903</v>
      </c>
      <c r="C21">
        <v>80</v>
      </c>
      <c r="D21" s="260">
        <v>46106</v>
      </c>
      <c r="E21" s="260">
        <v>46226</v>
      </c>
      <c r="F21">
        <v>107</v>
      </c>
      <c r="G21" t="s">
        <v>866</v>
      </c>
    </row>
    <row r="22" spans="1:7">
      <c r="A22" t="s">
        <v>904</v>
      </c>
      <c r="B22" t="s">
        <v>905</v>
      </c>
      <c r="C22">
        <v>10</v>
      </c>
      <c r="D22" s="260">
        <v>46113</v>
      </c>
      <c r="E22" s="260">
        <v>46132</v>
      </c>
      <c r="F22">
        <v>33</v>
      </c>
      <c r="G22" t="s">
        <v>866</v>
      </c>
    </row>
    <row r="23" spans="1:7">
      <c r="A23" t="s">
        <v>906</v>
      </c>
      <c r="B23" t="s">
        <v>907</v>
      </c>
      <c r="C23">
        <v>5</v>
      </c>
      <c r="D23" s="260">
        <v>46148</v>
      </c>
      <c r="E23" s="260">
        <v>46154</v>
      </c>
      <c r="F23">
        <v>33</v>
      </c>
      <c r="G23" t="s">
        <v>866</v>
      </c>
    </row>
    <row r="24" spans="1:7">
      <c r="A24" t="s">
        <v>908</v>
      </c>
      <c r="B24" t="s">
        <v>909</v>
      </c>
      <c r="C24">
        <v>5</v>
      </c>
      <c r="D24" s="260">
        <v>46169</v>
      </c>
      <c r="E24" s="260">
        <v>46177</v>
      </c>
      <c r="F24">
        <v>33</v>
      </c>
      <c r="G24" t="s">
        <v>866</v>
      </c>
    </row>
    <row r="25" spans="1:7">
      <c r="A25" t="s">
        <v>910</v>
      </c>
      <c r="B25" t="s">
        <v>911</v>
      </c>
      <c r="C25">
        <v>5</v>
      </c>
      <c r="D25" s="260">
        <v>46185</v>
      </c>
      <c r="E25" s="260">
        <v>46191</v>
      </c>
      <c r="F25">
        <v>117</v>
      </c>
      <c r="G25" t="s">
        <v>866</v>
      </c>
    </row>
    <row r="26" spans="1:7">
      <c r="A26" t="s">
        <v>912</v>
      </c>
      <c r="B26" t="s">
        <v>913</v>
      </c>
      <c r="C26">
        <v>5</v>
      </c>
      <c r="D26" s="260">
        <v>46206</v>
      </c>
      <c r="E26" s="260">
        <v>46212</v>
      </c>
      <c r="F26">
        <v>117</v>
      </c>
      <c r="G26" t="s">
        <v>866</v>
      </c>
    </row>
    <row r="27" spans="1:7">
      <c r="A27" t="s">
        <v>914</v>
      </c>
      <c r="B27" t="s">
        <v>915</v>
      </c>
      <c r="C27">
        <v>10</v>
      </c>
      <c r="D27" s="260">
        <v>46185</v>
      </c>
      <c r="E27" s="260">
        <v>46198</v>
      </c>
      <c r="F27">
        <v>112</v>
      </c>
      <c r="G27" t="s">
        <v>866</v>
      </c>
    </row>
    <row r="28" spans="1:7">
      <c r="A28" t="s">
        <v>916</v>
      </c>
      <c r="B28" t="s">
        <v>917</v>
      </c>
      <c r="C28">
        <v>5</v>
      </c>
      <c r="D28" s="260">
        <v>46213</v>
      </c>
      <c r="E28" s="260">
        <v>46219</v>
      </c>
      <c r="F28">
        <v>112</v>
      </c>
      <c r="G28" t="s">
        <v>866</v>
      </c>
    </row>
    <row r="29" spans="1:7">
      <c r="A29" t="s">
        <v>918</v>
      </c>
      <c r="B29" t="s">
        <v>919</v>
      </c>
      <c r="C29">
        <v>15</v>
      </c>
      <c r="D29" s="260">
        <v>46162</v>
      </c>
      <c r="E29" s="260">
        <v>46184</v>
      </c>
      <c r="F29">
        <v>109</v>
      </c>
      <c r="G29" t="s">
        <v>866</v>
      </c>
    </row>
    <row r="30" spans="1:7">
      <c r="A30" t="s">
        <v>920</v>
      </c>
      <c r="B30" t="s">
        <v>921</v>
      </c>
      <c r="C30">
        <v>5</v>
      </c>
      <c r="D30" s="260">
        <v>46199</v>
      </c>
      <c r="E30" s="260">
        <v>46205</v>
      </c>
      <c r="F30">
        <v>122</v>
      </c>
      <c r="G30" t="s">
        <v>866</v>
      </c>
    </row>
    <row r="31" spans="1:7">
      <c r="A31" t="s">
        <v>922</v>
      </c>
      <c r="B31" t="s">
        <v>923</v>
      </c>
      <c r="C31">
        <v>20</v>
      </c>
      <c r="D31" s="260">
        <v>46175</v>
      </c>
      <c r="E31" s="260">
        <v>46203</v>
      </c>
      <c r="F31">
        <v>109</v>
      </c>
      <c r="G31" t="s">
        <v>866</v>
      </c>
    </row>
    <row r="32" spans="1:7">
      <c r="A32" t="s">
        <v>924</v>
      </c>
      <c r="B32" t="s">
        <v>925</v>
      </c>
      <c r="C32">
        <v>5</v>
      </c>
      <c r="D32" s="260">
        <v>46218</v>
      </c>
      <c r="E32" s="260">
        <v>46224</v>
      </c>
      <c r="F32">
        <v>109</v>
      </c>
      <c r="G32" t="s">
        <v>866</v>
      </c>
    </row>
    <row r="33" spans="1:7">
      <c r="A33" t="s">
        <v>926</v>
      </c>
      <c r="B33" t="s">
        <v>927</v>
      </c>
      <c r="C33">
        <v>13</v>
      </c>
      <c r="D33" s="260">
        <v>46175</v>
      </c>
      <c r="E33" s="260">
        <v>46192</v>
      </c>
      <c r="F33">
        <v>116</v>
      </c>
      <c r="G33" t="s">
        <v>866</v>
      </c>
    </row>
    <row r="34" spans="1:7">
      <c r="A34" t="s">
        <v>928</v>
      </c>
      <c r="B34" t="s">
        <v>929</v>
      </c>
      <c r="C34">
        <v>5</v>
      </c>
      <c r="D34" s="260">
        <v>46209</v>
      </c>
      <c r="E34" s="260">
        <v>46213</v>
      </c>
      <c r="F34">
        <v>116</v>
      </c>
      <c r="G34" t="s">
        <v>866</v>
      </c>
    </row>
    <row r="35" spans="1:7">
      <c r="A35" t="s">
        <v>930</v>
      </c>
      <c r="B35" t="s">
        <v>931</v>
      </c>
      <c r="C35">
        <v>15</v>
      </c>
      <c r="D35" s="260">
        <v>46185</v>
      </c>
      <c r="E35" s="260">
        <v>46205</v>
      </c>
      <c r="F35">
        <v>107</v>
      </c>
      <c r="G35" t="s">
        <v>866</v>
      </c>
    </row>
    <row r="36" spans="1:7">
      <c r="A36" t="s">
        <v>932</v>
      </c>
      <c r="B36" t="s">
        <v>933</v>
      </c>
      <c r="C36">
        <v>5</v>
      </c>
      <c r="D36" s="260">
        <v>46220</v>
      </c>
      <c r="E36" s="260">
        <v>46226</v>
      </c>
      <c r="F36">
        <v>107</v>
      </c>
      <c r="G36" t="s">
        <v>866</v>
      </c>
    </row>
    <row r="37" spans="1:7">
      <c r="A37" t="s">
        <v>934</v>
      </c>
      <c r="B37" t="s">
        <v>935</v>
      </c>
      <c r="C37">
        <v>15</v>
      </c>
      <c r="D37" s="260">
        <v>46185</v>
      </c>
      <c r="E37" s="260">
        <v>46205</v>
      </c>
      <c r="F37">
        <v>107</v>
      </c>
      <c r="G37" t="s">
        <v>866</v>
      </c>
    </row>
    <row r="38" spans="1:7">
      <c r="A38" t="s">
        <v>936</v>
      </c>
      <c r="B38" t="s">
        <v>937</v>
      </c>
      <c r="C38">
        <v>5</v>
      </c>
      <c r="D38" s="260">
        <v>46220</v>
      </c>
      <c r="E38" s="260">
        <v>46226</v>
      </c>
      <c r="F38">
        <v>107</v>
      </c>
      <c r="G38" t="s">
        <v>866</v>
      </c>
    </row>
    <row r="39" spans="1:7">
      <c r="A39" t="s">
        <v>938</v>
      </c>
      <c r="B39" t="s">
        <v>939</v>
      </c>
      <c r="C39">
        <v>13</v>
      </c>
      <c r="D39" s="260">
        <v>46175</v>
      </c>
      <c r="E39" s="260">
        <v>46192</v>
      </c>
      <c r="F39">
        <v>116</v>
      </c>
      <c r="G39" t="s">
        <v>866</v>
      </c>
    </row>
    <row r="40" spans="1:7">
      <c r="A40" t="s">
        <v>940</v>
      </c>
      <c r="B40" t="s">
        <v>941</v>
      </c>
      <c r="C40">
        <v>5</v>
      </c>
      <c r="D40" s="260">
        <v>46209</v>
      </c>
      <c r="E40" s="260">
        <v>46213</v>
      </c>
      <c r="F40">
        <v>116</v>
      </c>
      <c r="G40" t="s">
        <v>866</v>
      </c>
    </row>
    <row r="41" spans="1:7">
      <c r="A41" t="s">
        <v>942</v>
      </c>
      <c r="B41" t="s">
        <v>943</v>
      </c>
      <c r="C41">
        <v>15</v>
      </c>
      <c r="D41" s="260">
        <v>46140</v>
      </c>
      <c r="E41" s="260">
        <v>46161</v>
      </c>
      <c r="F41">
        <v>105</v>
      </c>
      <c r="G41" t="s">
        <v>866</v>
      </c>
    </row>
    <row r="42" spans="1:7">
      <c r="A42" t="s">
        <v>944</v>
      </c>
      <c r="B42" t="s">
        <v>945</v>
      </c>
      <c r="C42">
        <v>5</v>
      </c>
      <c r="D42" s="260">
        <v>46199</v>
      </c>
      <c r="E42" s="260">
        <v>46205</v>
      </c>
      <c r="F42">
        <v>122</v>
      </c>
      <c r="G42" t="s">
        <v>866</v>
      </c>
    </row>
    <row r="43" spans="1:7">
      <c r="A43" t="s">
        <v>946</v>
      </c>
      <c r="B43" t="s">
        <v>947</v>
      </c>
      <c r="C43">
        <v>15</v>
      </c>
      <c r="D43" s="260">
        <v>46140</v>
      </c>
      <c r="E43" s="260">
        <v>46161</v>
      </c>
      <c r="F43">
        <v>137</v>
      </c>
      <c r="G43" t="s">
        <v>866</v>
      </c>
    </row>
    <row r="44" spans="1:7">
      <c r="A44" t="s">
        <v>948</v>
      </c>
      <c r="B44" t="s">
        <v>949</v>
      </c>
      <c r="C44">
        <v>5</v>
      </c>
      <c r="D44" s="260">
        <v>46199</v>
      </c>
      <c r="E44" s="260">
        <v>46205</v>
      </c>
      <c r="F44">
        <v>122</v>
      </c>
      <c r="G44" t="s">
        <v>866</v>
      </c>
    </row>
    <row r="45" spans="1:7">
      <c r="A45" t="s">
        <v>950</v>
      </c>
      <c r="B45" t="s">
        <v>951</v>
      </c>
      <c r="C45">
        <v>10</v>
      </c>
      <c r="D45" s="260">
        <v>46185</v>
      </c>
      <c r="E45" s="260">
        <v>46198</v>
      </c>
      <c r="F45">
        <v>112</v>
      </c>
      <c r="G45" t="s">
        <v>866</v>
      </c>
    </row>
    <row r="46" spans="1:7">
      <c r="A46" t="s">
        <v>952</v>
      </c>
      <c r="B46" t="s">
        <v>953</v>
      </c>
      <c r="C46">
        <v>5</v>
      </c>
      <c r="D46" s="260">
        <v>46213</v>
      </c>
      <c r="E46" s="260">
        <v>46219</v>
      </c>
      <c r="F46">
        <v>112</v>
      </c>
      <c r="G46" t="s">
        <v>866</v>
      </c>
    </row>
    <row r="47" spans="1:7">
      <c r="A47" t="s">
        <v>954</v>
      </c>
      <c r="B47" t="s">
        <v>955</v>
      </c>
      <c r="C47">
        <v>10</v>
      </c>
      <c r="D47" s="260">
        <v>46113</v>
      </c>
      <c r="E47" s="260">
        <v>46132</v>
      </c>
      <c r="F47">
        <v>157</v>
      </c>
      <c r="G47" t="s">
        <v>866</v>
      </c>
    </row>
    <row r="48" spans="1:7">
      <c r="A48" t="s">
        <v>956</v>
      </c>
      <c r="B48" t="s">
        <v>957</v>
      </c>
      <c r="C48">
        <v>5</v>
      </c>
      <c r="D48" s="260">
        <v>46213</v>
      </c>
      <c r="E48" s="260">
        <v>46219</v>
      </c>
      <c r="F48">
        <v>112</v>
      </c>
      <c r="G48" t="s">
        <v>866</v>
      </c>
    </row>
    <row r="49" spans="1:7">
      <c r="A49" t="s">
        <v>958</v>
      </c>
      <c r="B49" t="s">
        <v>959</v>
      </c>
      <c r="C49">
        <v>10</v>
      </c>
      <c r="D49" s="260">
        <v>46113</v>
      </c>
      <c r="E49" s="260">
        <v>46132</v>
      </c>
      <c r="F49">
        <v>172</v>
      </c>
      <c r="G49" t="s">
        <v>866</v>
      </c>
    </row>
    <row r="50" spans="1:7">
      <c r="A50" t="s">
        <v>960</v>
      </c>
      <c r="B50" t="s">
        <v>961</v>
      </c>
      <c r="C50">
        <v>10</v>
      </c>
      <c r="D50" s="260">
        <v>46206</v>
      </c>
      <c r="E50" s="260">
        <v>46219</v>
      </c>
      <c r="F50">
        <v>112</v>
      </c>
      <c r="G50" t="s">
        <v>866</v>
      </c>
    </row>
    <row r="51" spans="1:7">
      <c r="A51" t="s">
        <v>962</v>
      </c>
      <c r="B51" t="s">
        <v>963</v>
      </c>
      <c r="C51">
        <v>5</v>
      </c>
      <c r="D51" s="260">
        <v>46113</v>
      </c>
      <c r="E51" s="260">
        <v>46120</v>
      </c>
      <c r="F51">
        <v>-47</v>
      </c>
      <c r="G51" t="s">
        <v>866</v>
      </c>
    </row>
    <row r="52" spans="1:7">
      <c r="A52" t="s">
        <v>964</v>
      </c>
      <c r="B52" t="s">
        <v>965</v>
      </c>
      <c r="C52">
        <v>10</v>
      </c>
      <c r="D52" s="260">
        <v>46140</v>
      </c>
      <c r="E52" s="260">
        <v>46154</v>
      </c>
      <c r="F52">
        <v>-17</v>
      </c>
      <c r="G52" t="s">
        <v>866</v>
      </c>
    </row>
    <row r="53" spans="1:7">
      <c r="A53" t="s">
        <v>966</v>
      </c>
      <c r="B53" t="s">
        <v>967</v>
      </c>
      <c r="C53">
        <v>10</v>
      </c>
      <c r="D53" s="260">
        <v>46169</v>
      </c>
      <c r="E53" s="260">
        <v>46184</v>
      </c>
      <c r="F53">
        <v>-17</v>
      </c>
      <c r="G53" t="s">
        <v>866</v>
      </c>
    </row>
    <row r="54" spans="1:7">
      <c r="A54" t="s">
        <v>968</v>
      </c>
      <c r="B54" t="s">
        <v>969</v>
      </c>
      <c r="C54">
        <v>5</v>
      </c>
      <c r="D54" s="260">
        <v>46113</v>
      </c>
      <c r="E54" s="260">
        <v>46120</v>
      </c>
      <c r="F54">
        <v>-47</v>
      </c>
      <c r="G54" t="s">
        <v>866</v>
      </c>
    </row>
    <row r="55" spans="1:7">
      <c r="A55" t="s">
        <v>970</v>
      </c>
      <c r="B55" t="s">
        <v>971</v>
      </c>
      <c r="C55">
        <v>10</v>
      </c>
      <c r="D55" s="260">
        <v>46140</v>
      </c>
      <c r="E55" s="260">
        <v>46154</v>
      </c>
      <c r="F55">
        <v>-17</v>
      </c>
      <c r="G55" t="s">
        <v>866</v>
      </c>
    </row>
    <row r="56" spans="1:7">
      <c r="A56" t="s">
        <v>972</v>
      </c>
      <c r="B56" t="s">
        <v>973</v>
      </c>
      <c r="C56">
        <v>10</v>
      </c>
      <c r="D56" s="260">
        <v>46169</v>
      </c>
      <c r="E56" s="260">
        <v>46184</v>
      </c>
      <c r="F56">
        <v>-17</v>
      </c>
      <c r="G56" t="s">
        <v>866</v>
      </c>
    </row>
    <row r="57" spans="1:7">
      <c r="A57" t="s">
        <v>974</v>
      </c>
      <c r="B57" t="s">
        <v>975</v>
      </c>
      <c r="C57">
        <v>5</v>
      </c>
      <c r="D57" s="260">
        <v>46113</v>
      </c>
      <c r="E57" s="260">
        <v>46120</v>
      </c>
      <c r="F57">
        <v>-47</v>
      </c>
      <c r="G57" t="s">
        <v>866</v>
      </c>
    </row>
    <row r="58" spans="1:7">
      <c r="A58" t="s">
        <v>976</v>
      </c>
      <c r="B58" t="s">
        <v>977</v>
      </c>
      <c r="C58">
        <v>10</v>
      </c>
      <c r="D58" s="260">
        <v>46140</v>
      </c>
      <c r="E58" s="260">
        <v>46154</v>
      </c>
      <c r="F58">
        <v>-17</v>
      </c>
      <c r="G58" t="s">
        <v>866</v>
      </c>
    </row>
    <row r="59" spans="1:7">
      <c r="A59" t="s">
        <v>978</v>
      </c>
      <c r="B59" t="s">
        <v>979</v>
      </c>
      <c r="C59">
        <v>10</v>
      </c>
      <c r="D59" s="260">
        <v>46169</v>
      </c>
      <c r="E59" s="260">
        <v>46184</v>
      </c>
      <c r="F59">
        <v>-17</v>
      </c>
      <c r="G59" t="s">
        <v>866</v>
      </c>
    </row>
    <row r="60" spans="1:7">
      <c r="A60" t="s">
        <v>980</v>
      </c>
      <c r="B60" t="s">
        <v>981</v>
      </c>
      <c r="C60">
        <v>5</v>
      </c>
      <c r="D60" s="260">
        <v>46113</v>
      </c>
      <c r="E60" s="260">
        <v>46120</v>
      </c>
      <c r="F60">
        <v>-47</v>
      </c>
      <c r="G60" t="s">
        <v>866</v>
      </c>
    </row>
    <row r="61" spans="1:7">
      <c r="A61" t="s">
        <v>982</v>
      </c>
      <c r="B61" t="s">
        <v>983</v>
      </c>
      <c r="C61">
        <v>10</v>
      </c>
      <c r="D61" s="260">
        <v>46140</v>
      </c>
      <c r="E61" s="260">
        <v>46154</v>
      </c>
      <c r="F61">
        <v>-17</v>
      </c>
      <c r="G61" t="s">
        <v>866</v>
      </c>
    </row>
    <row r="62" spans="1:7">
      <c r="A62" t="s">
        <v>984</v>
      </c>
      <c r="B62" t="s">
        <v>985</v>
      </c>
      <c r="C62">
        <v>10</v>
      </c>
      <c r="D62" s="260">
        <v>46169</v>
      </c>
      <c r="E62" s="260">
        <v>46184</v>
      </c>
      <c r="F62">
        <v>-17</v>
      </c>
      <c r="G62" t="s">
        <v>866</v>
      </c>
    </row>
    <row r="63" spans="1:7">
      <c r="A63" t="s">
        <v>986</v>
      </c>
      <c r="B63" t="s">
        <v>987</v>
      </c>
      <c r="C63">
        <v>15</v>
      </c>
      <c r="D63" s="260">
        <v>46113</v>
      </c>
      <c r="E63" s="260">
        <v>46139</v>
      </c>
      <c r="F63">
        <v>-47</v>
      </c>
      <c r="G63" t="s">
        <v>866</v>
      </c>
    </row>
    <row r="64" spans="1:7">
      <c r="A64" t="s">
        <v>988</v>
      </c>
      <c r="B64" t="s">
        <v>989</v>
      </c>
      <c r="C64">
        <v>10</v>
      </c>
      <c r="D64" s="260">
        <v>46155</v>
      </c>
      <c r="E64" s="260">
        <v>46168</v>
      </c>
      <c r="F64">
        <v>-17</v>
      </c>
      <c r="G64" t="s">
        <v>866</v>
      </c>
    </row>
    <row r="65" spans="1:7">
      <c r="A65" t="s">
        <v>990</v>
      </c>
      <c r="B65" t="s">
        <v>991</v>
      </c>
      <c r="C65">
        <v>10</v>
      </c>
      <c r="D65" s="260">
        <v>46185</v>
      </c>
      <c r="E65" s="260">
        <v>46198</v>
      </c>
      <c r="F65">
        <v>-17</v>
      </c>
      <c r="G65" t="s">
        <v>866</v>
      </c>
    </row>
    <row r="66" spans="1:7">
      <c r="A66" t="s">
        <v>992</v>
      </c>
      <c r="B66" t="s">
        <v>993</v>
      </c>
      <c r="C66">
        <v>15</v>
      </c>
      <c r="D66" s="260">
        <v>46113</v>
      </c>
      <c r="E66" s="260">
        <v>46139</v>
      </c>
      <c r="F66">
        <v>-47</v>
      </c>
      <c r="G66" t="s">
        <v>866</v>
      </c>
    </row>
    <row r="67" spans="1:7">
      <c r="A67" t="s">
        <v>994</v>
      </c>
      <c r="B67" t="s">
        <v>995</v>
      </c>
      <c r="C67">
        <v>10</v>
      </c>
      <c r="D67" s="260">
        <v>46155</v>
      </c>
      <c r="E67" s="260">
        <v>46168</v>
      </c>
      <c r="F67">
        <v>-17</v>
      </c>
      <c r="G67" t="s">
        <v>866</v>
      </c>
    </row>
    <row r="68" spans="1:7">
      <c r="A68" t="s">
        <v>996</v>
      </c>
      <c r="B68" t="s">
        <v>997</v>
      </c>
      <c r="C68">
        <v>10</v>
      </c>
      <c r="D68" s="260">
        <v>46185</v>
      </c>
      <c r="E68" s="260">
        <v>46198</v>
      </c>
      <c r="F68">
        <v>-17</v>
      </c>
      <c r="G68" t="s">
        <v>866</v>
      </c>
    </row>
    <row r="69" spans="1:7">
      <c r="A69" t="s">
        <v>998</v>
      </c>
      <c r="B69" t="s">
        <v>999</v>
      </c>
      <c r="C69">
        <v>15</v>
      </c>
      <c r="D69" s="260">
        <v>46113</v>
      </c>
      <c r="E69" s="260">
        <v>46139</v>
      </c>
      <c r="F69">
        <v>-47</v>
      </c>
      <c r="G69" t="s">
        <v>866</v>
      </c>
    </row>
    <row r="70" spans="1:7">
      <c r="A70" t="s">
        <v>1000</v>
      </c>
      <c r="B70" t="s">
        <v>1001</v>
      </c>
      <c r="C70">
        <v>10</v>
      </c>
      <c r="D70" s="260">
        <v>46155</v>
      </c>
      <c r="E70" s="260">
        <v>46168</v>
      </c>
      <c r="F70">
        <v>-17</v>
      </c>
      <c r="G70" t="s">
        <v>866</v>
      </c>
    </row>
    <row r="71" spans="1:7">
      <c r="A71" t="s">
        <v>1002</v>
      </c>
      <c r="B71" t="s">
        <v>1003</v>
      </c>
      <c r="C71">
        <v>10</v>
      </c>
      <c r="D71" s="260">
        <v>46185</v>
      </c>
      <c r="E71" s="260">
        <v>46198</v>
      </c>
      <c r="F71">
        <v>-17</v>
      </c>
      <c r="G71" t="s">
        <v>866</v>
      </c>
    </row>
    <row r="72" spans="1:7">
      <c r="A72" t="s">
        <v>1004</v>
      </c>
      <c r="B72" t="s">
        <v>1005</v>
      </c>
      <c r="C72">
        <v>10</v>
      </c>
      <c r="D72" s="260">
        <v>46106</v>
      </c>
      <c r="E72" s="260">
        <v>46120</v>
      </c>
      <c r="F72">
        <v>162</v>
      </c>
      <c r="G72" t="s">
        <v>866</v>
      </c>
    </row>
    <row r="73" spans="1:7">
      <c r="A73" t="s">
        <v>1006</v>
      </c>
      <c r="B73" t="s">
        <v>1007</v>
      </c>
      <c r="C73">
        <v>5</v>
      </c>
      <c r="D73" s="260">
        <v>46185</v>
      </c>
      <c r="E73" s="260">
        <v>46191</v>
      </c>
      <c r="F73">
        <v>132</v>
      </c>
      <c r="G73" t="s">
        <v>866</v>
      </c>
    </row>
    <row r="74" spans="1:7">
      <c r="A74" t="s">
        <v>1008</v>
      </c>
      <c r="B74" t="s">
        <v>1009</v>
      </c>
      <c r="C74">
        <v>10</v>
      </c>
      <c r="D74" s="260">
        <v>46106</v>
      </c>
      <c r="E74" s="260">
        <v>46120</v>
      </c>
      <c r="F74">
        <v>162</v>
      </c>
      <c r="G74" t="s">
        <v>866</v>
      </c>
    </row>
    <row r="75" spans="1:7">
      <c r="A75" t="s">
        <v>1010</v>
      </c>
      <c r="B75" t="s">
        <v>1011</v>
      </c>
      <c r="C75">
        <v>5</v>
      </c>
      <c r="D75" s="260">
        <v>46185</v>
      </c>
      <c r="E75" s="260">
        <v>46191</v>
      </c>
      <c r="F75">
        <v>132</v>
      </c>
      <c r="G75" t="s">
        <v>866</v>
      </c>
    </row>
    <row r="76" spans="1:7">
      <c r="A76" t="s">
        <v>1012</v>
      </c>
      <c r="B76" t="s">
        <v>1013</v>
      </c>
      <c r="C76">
        <v>25</v>
      </c>
      <c r="D76" s="260">
        <v>46140</v>
      </c>
      <c r="E76" s="260">
        <v>46177</v>
      </c>
      <c r="F76">
        <v>107</v>
      </c>
      <c r="G76" t="s">
        <v>866</v>
      </c>
    </row>
    <row r="77" spans="1:7">
      <c r="A77" t="s">
        <v>1014</v>
      </c>
      <c r="B77" t="s">
        <v>1015</v>
      </c>
      <c r="C77">
        <v>10</v>
      </c>
      <c r="D77" s="260">
        <v>46192</v>
      </c>
      <c r="E77" s="260">
        <v>46205</v>
      </c>
      <c r="F77">
        <v>107</v>
      </c>
      <c r="G77" t="s">
        <v>866</v>
      </c>
    </row>
    <row r="78" spans="1:7">
      <c r="A78" t="s">
        <v>1016</v>
      </c>
      <c r="B78" t="s">
        <v>1017</v>
      </c>
      <c r="C78">
        <v>5</v>
      </c>
      <c r="D78" s="260">
        <v>46220</v>
      </c>
      <c r="E78" s="260">
        <v>46226</v>
      </c>
      <c r="F78">
        <v>107</v>
      </c>
      <c r="G78" t="s">
        <v>866</v>
      </c>
    </row>
    <row r="79" spans="1:7">
      <c r="A79" t="s">
        <v>1018</v>
      </c>
      <c r="B79" t="s">
        <v>1019</v>
      </c>
      <c r="C79">
        <v>25</v>
      </c>
      <c r="D79" s="260">
        <v>46140</v>
      </c>
      <c r="E79" s="260">
        <v>46177</v>
      </c>
      <c r="F79">
        <v>127</v>
      </c>
      <c r="G79" t="s">
        <v>866</v>
      </c>
    </row>
    <row r="80" spans="1:7">
      <c r="A80" t="s">
        <v>1020</v>
      </c>
      <c r="B80" t="s">
        <v>1021</v>
      </c>
      <c r="C80">
        <v>5</v>
      </c>
      <c r="D80" s="260">
        <v>46220</v>
      </c>
      <c r="E80" s="260">
        <v>46226</v>
      </c>
      <c r="F80">
        <v>107</v>
      </c>
      <c r="G80" t="s">
        <v>866</v>
      </c>
    </row>
    <row r="81" spans="1:7">
      <c r="A81" t="s">
        <v>1022</v>
      </c>
      <c r="B81" t="s">
        <v>1023</v>
      </c>
      <c r="C81">
        <v>25</v>
      </c>
      <c r="D81" s="260">
        <v>46140</v>
      </c>
      <c r="E81" s="260">
        <v>46177</v>
      </c>
      <c r="F81">
        <v>107</v>
      </c>
      <c r="G81" t="s">
        <v>866</v>
      </c>
    </row>
    <row r="82" spans="1:7">
      <c r="A82" t="s">
        <v>1024</v>
      </c>
      <c r="B82" t="s">
        <v>1025</v>
      </c>
      <c r="C82">
        <v>10</v>
      </c>
      <c r="D82" s="260">
        <v>46192</v>
      </c>
      <c r="E82" s="260">
        <v>46205</v>
      </c>
      <c r="F82">
        <v>107</v>
      </c>
      <c r="G82" t="s">
        <v>866</v>
      </c>
    </row>
    <row r="83" spans="1:7">
      <c r="A83" t="s">
        <v>1026</v>
      </c>
      <c r="B83" t="s">
        <v>1027</v>
      </c>
      <c r="C83">
        <v>5</v>
      </c>
      <c r="D83" s="260">
        <v>46220</v>
      </c>
      <c r="E83" s="260">
        <v>46226</v>
      </c>
      <c r="F83">
        <v>107</v>
      </c>
      <c r="G83" t="s">
        <v>866</v>
      </c>
    </row>
    <row r="84" spans="1:7">
      <c r="A84" t="s">
        <v>1028</v>
      </c>
      <c r="C84">
        <v>45</v>
      </c>
      <c r="D84" s="260">
        <v>46140</v>
      </c>
      <c r="E84" s="260">
        <v>46205</v>
      </c>
      <c r="F84">
        <v>-17</v>
      </c>
      <c r="G84" t="s">
        <v>866</v>
      </c>
    </row>
    <row r="85" spans="1:7">
      <c r="A85" t="s">
        <v>1029</v>
      </c>
      <c r="B85" t="s">
        <v>1030</v>
      </c>
      <c r="C85">
        <v>23</v>
      </c>
      <c r="D85" s="260">
        <v>46140</v>
      </c>
      <c r="E85" s="260">
        <v>46171</v>
      </c>
      <c r="F85">
        <v>-10</v>
      </c>
      <c r="G85" t="s">
        <v>866</v>
      </c>
    </row>
    <row r="86" spans="1:7">
      <c r="A86" t="s">
        <v>1031</v>
      </c>
      <c r="B86" t="s">
        <v>1032</v>
      </c>
      <c r="C86">
        <v>5</v>
      </c>
      <c r="D86" s="260">
        <v>46199</v>
      </c>
      <c r="E86" s="260">
        <v>46205</v>
      </c>
      <c r="F86">
        <v>-17</v>
      </c>
      <c r="G86" t="s">
        <v>866</v>
      </c>
    </row>
    <row r="87" spans="1:7">
      <c r="A87" t="s">
        <v>1033</v>
      </c>
      <c r="B87" t="s">
        <v>1034</v>
      </c>
      <c r="C87">
        <v>15</v>
      </c>
      <c r="D87" s="260">
        <v>46140</v>
      </c>
      <c r="E87" s="260">
        <v>46161</v>
      </c>
      <c r="F87">
        <v>-2</v>
      </c>
      <c r="G87" t="s">
        <v>866</v>
      </c>
    </row>
    <row r="88" spans="1:7">
      <c r="A88" t="s">
        <v>1035</v>
      </c>
      <c r="B88" t="s">
        <v>1036</v>
      </c>
      <c r="C88">
        <v>5</v>
      </c>
      <c r="D88" s="260">
        <v>46199</v>
      </c>
      <c r="E88" s="260">
        <v>46205</v>
      </c>
      <c r="F88">
        <v>-17</v>
      </c>
      <c r="G88" t="s">
        <v>866</v>
      </c>
    </row>
    <row r="89" spans="1:7">
      <c r="A89" t="s">
        <v>1037</v>
      </c>
      <c r="B89" t="s">
        <v>1038</v>
      </c>
      <c r="C89">
        <v>15</v>
      </c>
      <c r="D89" s="260">
        <v>46140</v>
      </c>
      <c r="E89" s="260">
        <v>46161</v>
      </c>
      <c r="F89">
        <v>-2</v>
      </c>
      <c r="G89" t="s">
        <v>866</v>
      </c>
    </row>
    <row r="90" spans="1:7">
      <c r="A90" t="s">
        <v>1039</v>
      </c>
      <c r="B90" t="s">
        <v>1040</v>
      </c>
      <c r="C90">
        <v>5</v>
      </c>
      <c r="D90" s="260">
        <v>46199</v>
      </c>
      <c r="E90" s="260">
        <v>46205</v>
      </c>
      <c r="F90">
        <v>-17</v>
      </c>
      <c r="G90" t="s">
        <v>866</v>
      </c>
    </row>
    <row r="91" spans="1:7">
      <c r="A91" t="s">
        <v>1041</v>
      </c>
      <c r="B91" t="s">
        <v>1042</v>
      </c>
      <c r="C91">
        <v>15</v>
      </c>
      <c r="D91" s="260">
        <v>46140</v>
      </c>
      <c r="E91" s="260">
        <v>46161</v>
      </c>
      <c r="F91">
        <v>-2</v>
      </c>
      <c r="G91" t="s">
        <v>866</v>
      </c>
    </row>
    <row r="92" spans="1:7">
      <c r="A92" t="s">
        <v>1043</v>
      </c>
      <c r="B92" t="s">
        <v>1044</v>
      </c>
      <c r="C92">
        <v>5</v>
      </c>
      <c r="D92" s="260">
        <v>46199</v>
      </c>
      <c r="E92" s="260">
        <v>46205</v>
      </c>
      <c r="F92">
        <v>-17</v>
      </c>
      <c r="G92" t="s">
        <v>866</v>
      </c>
    </row>
    <row r="93" spans="1:7">
      <c r="A93" t="s">
        <v>1045</v>
      </c>
      <c r="B93" t="s">
        <v>1046</v>
      </c>
      <c r="C93">
        <v>15</v>
      </c>
      <c r="D93" s="260">
        <v>46140</v>
      </c>
      <c r="E93" s="260">
        <v>46161</v>
      </c>
      <c r="F93">
        <v>-2</v>
      </c>
      <c r="G93" t="s">
        <v>866</v>
      </c>
    </row>
    <row r="94" spans="1:7">
      <c r="A94" t="s">
        <v>1047</v>
      </c>
      <c r="B94" t="s">
        <v>1048</v>
      </c>
      <c r="C94">
        <v>5</v>
      </c>
      <c r="D94" s="260">
        <v>46199</v>
      </c>
      <c r="E94" s="260">
        <v>46205</v>
      </c>
      <c r="F94">
        <v>-17</v>
      </c>
      <c r="G94" t="s">
        <v>866</v>
      </c>
    </row>
    <row r="95" spans="1:7">
      <c r="A95" t="s">
        <v>1049</v>
      </c>
      <c r="B95" t="s">
        <v>1050</v>
      </c>
      <c r="C95">
        <v>23</v>
      </c>
      <c r="D95" s="260">
        <v>46140</v>
      </c>
      <c r="E95" s="260">
        <v>46171</v>
      </c>
      <c r="F95">
        <v>-10</v>
      </c>
      <c r="G95" t="s">
        <v>866</v>
      </c>
    </row>
    <row r="96" spans="1:7">
      <c r="A96" t="s">
        <v>1051</v>
      </c>
      <c r="B96" t="s">
        <v>1052</v>
      </c>
      <c r="C96">
        <v>5</v>
      </c>
      <c r="D96" s="260">
        <v>46199</v>
      </c>
      <c r="E96" s="260">
        <v>46205</v>
      </c>
      <c r="F96">
        <v>-17</v>
      </c>
      <c r="G96" t="s">
        <v>866</v>
      </c>
    </row>
    <row r="97" spans="1:7">
      <c r="A97" t="s">
        <v>1053</v>
      </c>
      <c r="B97" t="s">
        <v>1054</v>
      </c>
      <c r="C97">
        <v>23</v>
      </c>
      <c r="D97" s="260">
        <v>46140</v>
      </c>
      <c r="E97" s="260">
        <v>46171</v>
      </c>
      <c r="F97">
        <v>-10</v>
      </c>
      <c r="G97" t="s">
        <v>866</v>
      </c>
    </row>
    <row r="98" spans="1:7">
      <c r="A98" t="s">
        <v>1055</v>
      </c>
      <c r="B98" t="s">
        <v>1056</v>
      </c>
      <c r="C98">
        <v>5</v>
      </c>
      <c r="D98" s="260">
        <v>46199</v>
      </c>
      <c r="E98" s="260">
        <v>46205</v>
      </c>
      <c r="F98">
        <v>-17</v>
      </c>
      <c r="G98" t="s">
        <v>866</v>
      </c>
    </row>
    <row r="99" spans="1:7">
      <c r="A99" t="s">
        <v>1057</v>
      </c>
      <c r="B99" t="s">
        <v>1058</v>
      </c>
      <c r="C99">
        <v>23</v>
      </c>
      <c r="D99" s="260">
        <v>46140</v>
      </c>
      <c r="E99" s="260">
        <v>46171</v>
      </c>
      <c r="F99">
        <v>-10</v>
      </c>
      <c r="G99" t="s">
        <v>866</v>
      </c>
    </row>
    <row r="100" spans="1:7">
      <c r="A100" t="s">
        <v>1059</v>
      </c>
      <c r="B100" t="s">
        <v>1060</v>
      </c>
      <c r="C100">
        <v>5</v>
      </c>
      <c r="D100" s="260">
        <v>46199</v>
      </c>
      <c r="E100" s="260">
        <v>46205</v>
      </c>
      <c r="F100">
        <v>-17</v>
      </c>
      <c r="G100" t="s">
        <v>866</v>
      </c>
    </row>
    <row r="101" spans="1:7">
      <c r="A101" t="s">
        <v>1061</v>
      </c>
      <c r="B101" t="s">
        <v>1062</v>
      </c>
      <c r="C101">
        <v>23</v>
      </c>
      <c r="D101" s="260">
        <v>46140</v>
      </c>
      <c r="E101" s="260">
        <v>46171</v>
      </c>
      <c r="F101">
        <v>-10</v>
      </c>
      <c r="G101" t="s">
        <v>866</v>
      </c>
    </row>
    <row r="102" spans="1:7">
      <c r="A102" t="s">
        <v>1063</v>
      </c>
      <c r="B102" t="s">
        <v>1064</v>
      </c>
      <c r="C102">
        <v>5</v>
      </c>
      <c r="D102" s="260">
        <v>46199</v>
      </c>
      <c r="E102" s="260">
        <v>46205</v>
      </c>
      <c r="F102">
        <v>-17</v>
      </c>
      <c r="G102" t="s">
        <v>866</v>
      </c>
    </row>
    <row r="103" spans="1:7">
      <c r="A103" t="s">
        <v>1065</v>
      </c>
      <c r="B103" t="s">
        <v>1066</v>
      </c>
      <c r="C103">
        <v>15</v>
      </c>
      <c r="D103" s="260">
        <v>46140</v>
      </c>
      <c r="E103" s="260">
        <v>46161</v>
      </c>
      <c r="F103">
        <v>-2</v>
      </c>
      <c r="G103" t="s">
        <v>866</v>
      </c>
    </row>
    <row r="104" spans="1:7">
      <c r="A104" t="s">
        <v>1067</v>
      </c>
      <c r="B104" t="s">
        <v>1068</v>
      </c>
      <c r="C104">
        <v>5</v>
      </c>
      <c r="D104" s="260">
        <v>46199</v>
      </c>
      <c r="E104" s="260">
        <v>46205</v>
      </c>
      <c r="F104">
        <v>-17</v>
      </c>
      <c r="G104" t="s">
        <v>866</v>
      </c>
    </row>
    <row r="105" spans="1:7">
      <c r="A105" t="s">
        <v>1069</v>
      </c>
      <c r="B105" t="s">
        <v>1070</v>
      </c>
      <c r="C105">
        <v>23</v>
      </c>
      <c r="D105" s="260">
        <v>46140</v>
      </c>
      <c r="E105" s="260">
        <v>46171</v>
      </c>
      <c r="F105">
        <v>-30</v>
      </c>
      <c r="G105" t="s">
        <v>866</v>
      </c>
    </row>
    <row r="106" spans="1:7">
      <c r="A106" t="s">
        <v>1071</v>
      </c>
      <c r="B106" t="s">
        <v>1072</v>
      </c>
      <c r="C106">
        <v>5</v>
      </c>
      <c r="D106" s="260">
        <v>46199</v>
      </c>
      <c r="E106" s="260">
        <v>46205</v>
      </c>
      <c r="F106">
        <v>-17</v>
      </c>
      <c r="G106" t="s">
        <v>866</v>
      </c>
    </row>
    <row r="107" spans="1:7">
      <c r="A107" t="s">
        <v>1073</v>
      </c>
      <c r="B107" t="s">
        <v>1074</v>
      </c>
      <c r="C107">
        <v>15</v>
      </c>
      <c r="D107" s="260">
        <v>46140</v>
      </c>
      <c r="E107" s="260">
        <v>46161</v>
      </c>
      <c r="F107">
        <v>-44</v>
      </c>
      <c r="G107" t="s">
        <v>866</v>
      </c>
    </row>
    <row r="108" spans="1:7">
      <c r="A108" t="s">
        <v>1075</v>
      </c>
      <c r="B108" t="s">
        <v>1076</v>
      </c>
      <c r="C108">
        <v>5</v>
      </c>
      <c r="D108" s="260">
        <v>46199</v>
      </c>
      <c r="E108" s="260">
        <v>46205</v>
      </c>
      <c r="F108">
        <v>-17</v>
      </c>
      <c r="G108" t="s">
        <v>866</v>
      </c>
    </row>
    <row r="109" spans="1:7">
      <c r="A109" t="s">
        <v>1077</v>
      </c>
      <c r="B109" t="s">
        <v>1078</v>
      </c>
      <c r="C109">
        <v>15</v>
      </c>
      <c r="D109" s="260">
        <v>46140</v>
      </c>
      <c r="E109" s="260">
        <v>46161</v>
      </c>
      <c r="F109">
        <v>-47</v>
      </c>
      <c r="G109" t="s">
        <v>866</v>
      </c>
    </row>
    <row r="110" spans="1:7">
      <c r="A110" t="s">
        <v>1079</v>
      </c>
      <c r="B110" t="s">
        <v>1080</v>
      </c>
      <c r="C110">
        <v>5</v>
      </c>
      <c r="D110" s="260">
        <v>46199</v>
      </c>
      <c r="E110" s="260">
        <v>46205</v>
      </c>
      <c r="F110">
        <v>-17</v>
      </c>
      <c r="G110" t="s">
        <v>866</v>
      </c>
    </row>
    <row r="111" spans="1:7">
      <c r="A111" t="s">
        <v>1081</v>
      </c>
      <c r="B111" t="s">
        <v>1082</v>
      </c>
      <c r="C111">
        <v>15</v>
      </c>
      <c r="D111" s="260">
        <v>46140</v>
      </c>
      <c r="E111" s="260">
        <v>46161</v>
      </c>
      <c r="F111">
        <v>-2</v>
      </c>
      <c r="G111" t="s">
        <v>866</v>
      </c>
    </row>
    <row r="112" spans="1:7">
      <c r="A112" t="s">
        <v>1083</v>
      </c>
      <c r="B112" t="s">
        <v>1084</v>
      </c>
      <c r="C112">
        <v>5</v>
      </c>
      <c r="D112" s="260">
        <v>46199</v>
      </c>
      <c r="E112" s="260">
        <v>46205</v>
      </c>
      <c r="F112">
        <v>-17</v>
      </c>
      <c r="G112" t="s">
        <v>866</v>
      </c>
    </row>
    <row r="113" spans="1:7">
      <c r="A113" t="s">
        <v>1085</v>
      </c>
      <c r="B113" t="s">
        <v>1086</v>
      </c>
      <c r="C113">
        <v>15</v>
      </c>
      <c r="D113" s="260">
        <v>46140</v>
      </c>
      <c r="E113" s="260">
        <v>46161</v>
      </c>
      <c r="F113">
        <v>-21</v>
      </c>
      <c r="G113" t="s">
        <v>866</v>
      </c>
    </row>
    <row r="114" spans="1:7">
      <c r="A114" t="s">
        <v>1087</v>
      </c>
      <c r="B114" t="s">
        <v>1088</v>
      </c>
      <c r="C114">
        <v>5</v>
      </c>
      <c r="D114" s="260">
        <v>46199</v>
      </c>
      <c r="E114" s="260">
        <v>46205</v>
      </c>
      <c r="F114">
        <v>-17</v>
      </c>
      <c r="G114" t="s">
        <v>866</v>
      </c>
    </row>
    <row r="115" spans="1:7">
      <c r="A115" t="s">
        <v>1089</v>
      </c>
      <c r="B115" t="s">
        <v>1090</v>
      </c>
      <c r="C115">
        <v>15</v>
      </c>
      <c r="D115" s="260">
        <v>46140</v>
      </c>
      <c r="E115" s="260">
        <v>46161</v>
      </c>
      <c r="F115">
        <v>-16</v>
      </c>
      <c r="G115" t="s">
        <v>866</v>
      </c>
    </row>
    <row r="116" spans="1:7">
      <c r="A116" t="s">
        <v>1091</v>
      </c>
      <c r="B116" t="s">
        <v>1092</v>
      </c>
      <c r="C116">
        <v>5</v>
      </c>
      <c r="D116" s="260">
        <v>46199</v>
      </c>
      <c r="E116" s="260">
        <v>46205</v>
      </c>
      <c r="F116">
        <v>-17</v>
      </c>
      <c r="G116" t="s">
        <v>866</v>
      </c>
    </row>
    <row r="117" spans="1:7">
      <c r="A117" t="s">
        <v>1093</v>
      </c>
      <c r="B117" t="s">
        <v>1094</v>
      </c>
      <c r="C117">
        <v>8</v>
      </c>
      <c r="D117" s="260">
        <v>46140</v>
      </c>
      <c r="E117" s="260">
        <v>46150</v>
      </c>
      <c r="F117">
        <v>5</v>
      </c>
      <c r="G117" t="s">
        <v>866</v>
      </c>
    </row>
    <row r="118" spans="1:7">
      <c r="A118" t="s">
        <v>1095</v>
      </c>
      <c r="B118" t="s">
        <v>1096</v>
      </c>
      <c r="C118">
        <v>5</v>
      </c>
      <c r="D118" s="260">
        <v>46199</v>
      </c>
      <c r="E118" s="260">
        <v>46205</v>
      </c>
      <c r="F118">
        <v>-17</v>
      </c>
      <c r="G118" t="s">
        <v>866</v>
      </c>
    </row>
    <row r="119" spans="1:7">
      <c r="A119" t="s">
        <v>1097</v>
      </c>
      <c r="B119" t="s">
        <v>1098</v>
      </c>
      <c r="C119">
        <v>13</v>
      </c>
      <c r="D119" s="260">
        <v>46140</v>
      </c>
      <c r="E119" s="260">
        <v>46157</v>
      </c>
      <c r="F119">
        <v>0</v>
      </c>
      <c r="G119" t="s">
        <v>866</v>
      </c>
    </row>
    <row r="120" spans="1:7">
      <c r="A120" t="s">
        <v>1099</v>
      </c>
      <c r="B120" t="s">
        <v>1100</v>
      </c>
      <c r="C120">
        <v>5</v>
      </c>
      <c r="D120" s="260">
        <v>46199</v>
      </c>
      <c r="E120" s="260">
        <v>46205</v>
      </c>
      <c r="F120">
        <v>-17</v>
      </c>
      <c r="G120" t="s">
        <v>866</v>
      </c>
    </row>
    <row r="121" spans="1:7">
      <c r="A121" t="s">
        <v>1101</v>
      </c>
      <c r="B121" t="s">
        <v>1102</v>
      </c>
      <c r="C121">
        <v>23</v>
      </c>
      <c r="D121" s="260">
        <v>46140</v>
      </c>
      <c r="E121" s="260">
        <v>46171</v>
      </c>
      <c r="F121">
        <v>-10</v>
      </c>
      <c r="G121" t="s">
        <v>866</v>
      </c>
    </row>
    <row r="122" spans="1:7">
      <c r="A122" t="s">
        <v>1103</v>
      </c>
      <c r="B122" t="s">
        <v>1104</v>
      </c>
      <c r="C122">
        <v>5</v>
      </c>
      <c r="D122" s="260">
        <v>46199</v>
      </c>
      <c r="E122" s="260">
        <v>46205</v>
      </c>
      <c r="F122">
        <v>-17</v>
      </c>
      <c r="G122" t="s">
        <v>866</v>
      </c>
    </row>
    <row r="123" spans="1:7">
      <c r="A123" t="s">
        <v>1105</v>
      </c>
      <c r="B123" t="s">
        <v>1106</v>
      </c>
      <c r="C123">
        <v>23</v>
      </c>
      <c r="D123" s="260">
        <v>46140</v>
      </c>
      <c r="E123" s="260">
        <v>46171</v>
      </c>
      <c r="F123">
        <v>-10</v>
      </c>
      <c r="G123" t="s">
        <v>866</v>
      </c>
    </row>
    <row r="124" spans="1:7">
      <c r="A124" t="s">
        <v>1107</v>
      </c>
      <c r="B124" t="s">
        <v>1108</v>
      </c>
      <c r="C124">
        <v>5</v>
      </c>
      <c r="D124" s="260">
        <v>46199</v>
      </c>
      <c r="E124" s="260">
        <v>46205</v>
      </c>
      <c r="F124">
        <v>-17</v>
      </c>
      <c r="G124" t="s">
        <v>866</v>
      </c>
    </row>
    <row r="125" spans="1:7">
      <c r="A125" t="s">
        <v>1109</v>
      </c>
      <c r="B125" t="s">
        <v>1110</v>
      </c>
      <c r="C125">
        <v>23</v>
      </c>
      <c r="D125" s="260">
        <v>46140</v>
      </c>
      <c r="E125" s="260">
        <v>46171</v>
      </c>
      <c r="F125">
        <v>-10</v>
      </c>
      <c r="G125" t="s">
        <v>866</v>
      </c>
    </row>
    <row r="126" spans="1:7">
      <c r="A126" t="s">
        <v>1111</v>
      </c>
      <c r="B126" t="s">
        <v>1112</v>
      </c>
      <c r="C126">
        <v>5</v>
      </c>
      <c r="D126" s="260">
        <v>46199</v>
      </c>
      <c r="E126" s="260">
        <v>46205</v>
      </c>
      <c r="F126">
        <v>-17</v>
      </c>
      <c r="G126" t="s">
        <v>866</v>
      </c>
    </row>
    <row r="127" spans="1:7">
      <c r="A127" t="s">
        <v>1113</v>
      </c>
      <c r="C127">
        <v>194</v>
      </c>
      <c r="D127" s="260">
        <v>46091</v>
      </c>
      <c r="E127" s="260">
        <v>46384</v>
      </c>
      <c r="F127">
        <v>4</v>
      </c>
      <c r="G127" t="s">
        <v>866</v>
      </c>
    </row>
    <row r="128" spans="1:7">
      <c r="A128" t="s">
        <v>1114</v>
      </c>
      <c r="B128" t="s">
        <v>1115</v>
      </c>
      <c r="C128">
        <v>19</v>
      </c>
      <c r="D128" s="260">
        <v>46091</v>
      </c>
      <c r="E128" s="260">
        <v>46115</v>
      </c>
      <c r="F128">
        <v>4</v>
      </c>
      <c r="G128" t="s">
        <v>866</v>
      </c>
    </row>
    <row r="129" spans="1:7">
      <c r="A129" t="s">
        <v>1116</v>
      </c>
      <c r="B129" t="s">
        <v>1117</v>
      </c>
      <c r="C129">
        <v>10</v>
      </c>
      <c r="D129" s="260">
        <v>46136</v>
      </c>
      <c r="E129" s="260">
        <v>46150</v>
      </c>
      <c r="F129">
        <v>159</v>
      </c>
      <c r="G129" t="s">
        <v>866</v>
      </c>
    </row>
    <row r="130" spans="1:7">
      <c r="A130" t="s">
        <v>1118</v>
      </c>
      <c r="B130" t="s">
        <v>1119</v>
      </c>
      <c r="C130">
        <v>15</v>
      </c>
      <c r="D130" s="260">
        <v>46129</v>
      </c>
      <c r="E130" s="260">
        <v>46150</v>
      </c>
      <c r="F130">
        <v>4</v>
      </c>
      <c r="G130" t="s">
        <v>866</v>
      </c>
    </row>
    <row r="131" spans="1:7">
      <c r="A131" t="s">
        <v>1120</v>
      </c>
      <c r="B131" t="s">
        <v>1121</v>
      </c>
      <c r="C131">
        <v>10</v>
      </c>
      <c r="D131" s="260">
        <v>46274</v>
      </c>
      <c r="E131" s="260">
        <v>46287</v>
      </c>
      <c r="F131">
        <v>68</v>
      </c>
      <c r="G131" t="s">
        <v>866</v>
      </c>
    </row>
    <row r="132" spans="1:7">
      <c r="A132" t="s">
        <v>1122</v>
      </c>
      <c r="B132" t="s">
        <v>1123</v>
      </c>
      <c r="C132">
        <v>20</v>
      </c>
      <c r="D132" s="260">
        <v>46141</v>
      </c>
      <c r="E132" s="260">
        <v>46169</v>
      </c>
      <c r="F132">
        <v>32</v>
      </c>
      <c r="G132" t="s">
        <v>866</v>
      </c>
    </row>
    <row r="133" spans="1:7">
      <c r="A133" t="s">
        <v>1124</v>
      </c>
      <c r="B133" t="s">
        <v>1125</v>
      </c>
      <c r="C133">
        <v>10</v>
      </c>
      <c r="D133" s="260">
        <v>46199</v>
      </c>
      <c r="E133" s="260">
        <v>46212</v>
      </c>
      <c r="F133">
        <v>82</v>
      </c>
      <c r="G133" t="s">
        <v>866</v>
      </c>
    </row>
    <row r="134" spans="1:7">
      <c r="A134" t="s">
        <v>1126</v>
      </c>
      <c r="B134" t="s">
        <v>1127</v>
      </c>
      <c r="C134">
        <v>20</v>
      </c>
      <c r="D134" s="260">
        <v>46141</v>
      </c>
      <c r="E134" s="260">
        <v>46169</v>
      </c>
      <c r="F134">
        <v>32</v>
      </c>
      <c r="G134" t="s">
        <v>866</v>
      </c>
    </row>
    <row r="135" spans="1:7">
      <c r="A135" t="s">
        <v>1128</v>
      </c>
      <c r="B135" t="s">
        <v>1129</v>
      </c>
      <c r="C135">
        <v>10</v>
      </c>
      <c r="D135" s="260">
        <v>46199</v>
      </c>
      <c r="E135" s="260">
        <v>46212</v>
      </c>
      <c r="F135">
        <v>82</v>
      </c>
      <c r="G135" t="s">
        <v>866</v>
      </c>
    </row>
    <row r="136" spans="1:7">
      <c r="A136" t="s">
        <v>1130</v>
      </c>
      <c r="B136" t="s">
        <v>1131</v>
      </c>
      <c r="C136">
        <v>25</v>
      </c>
      <c r="D136" s="260">
        <v>46091</v>
      </c>
      <c r="E136" s="260">
        <v>46129</v>
      </c>
      <c r="F136">
        <v>153</v>
      </c>
      <c r="G136" t="s">
        <v>866</v>
      </c>
    </row>
    <row r="137" spans="1:7">
      <c r="A137" t="s">
        <v>1132</v>
      </c>
      <c r="B137" t="s">
        <v>1133</v>
      </c>
      <c r="C137">
        <v>10</v>
      </c>
      <c r="D137" s="260">
        <v>46147</v>
      </c>
      <c r="E137" s="260">
        <v>46160</v>
      </c>
      <c r="F137">
        <v>153</v>
      </c>
      <c r="G137" t="s">
        <v>866</v>
      </c>
    </row>
    <row r="138" spans="1:7">
      <c r="A138" t="s">
        <v>1134</v>
      </c>
      <c r="B138" t="s">
        <v>1135</v>
      </c>
      <c r="C138">
        <v>23</v>
      </c>
      <c r="D138" s="260">
        <v>46091</v>
      </c>
      <c r="E138" s="260">
        <v>46122</v>
      </c>
      <c r="F138">
        <v>155</v>
      </c>
      <c r="G138" t="s">
        <v>866</v>
      </c>
    </row>
    <row r="139" spans="1:7">
      <c r="A139" t="s">
        <v>1136</v>
      </c>
      <c r="B139" t="s">
        <v>1137</v>
      </c>
      <c r="C139">
        <v>10</v>
      </c>
      <c r="D139" s="260">
        <v>46142</v>
      </c>
      <c r="E139" s="260">
        <v>46156</v>
      </c>
      <c r="F139">
        <v>155</v>
      </c>
      <c r="G139" t="s">
        <v>866</v>
      </c>
    </row>
    <row r="140" spans="1:7">
      <c r="A140" t="s">
        <v>1138</v>
      </c>
      <c r="B140" t="s">
        <v>1139</v>
      </c>
      <c r="C140">
        <v>29</v>
      </c>
      <c r="D140" s="260">
        <v>46091</v>
      </c>
      <c r="E140" s="260">
        <v>46135</v>
      </c>
      <c r="F140">
        <v>149</v>
      </c>
      <c r="G140" t="s">
        <v>866</v>
      </c>
    </row>
    <row r="141" spans="1:7">
      <c r="A141" t="s">
        <v>1140</v>
      </c>
      <c r="B141" t="s">
        <v>1141</v>
      </c>
      <c r="C141">
        <v>10</v>
      </c>
      <c r="D141" s="260">
        <v>46153</v>
      </c>
      <c r="E141" s="260">
        <v>46164</v>
      </c>
      <c r="F141">
        <v>149</v>
      </c>
      <c r="G141" t="s">
        <v>866</v>
      </c>
    </row>
    <row r="142" spans="1:7">
      <c r="A142" t="s">
        <v>1142</v>
      </c>
      <c r="B142" t="s">
        <v>1143</v>
      </c>
      <c r="C142">
        <v>29</v>
      </c>
      <c r="D142" s="260">
        <v>46091</v>
      </c>
      <c r="E142" s="260">
        <v>46135</v>
      </c>
      <c r="F142">
        <v>149</v>
      </c>
      <c r="G142" t="s">
        <v>866</v>
      </c>
    </row>
    <row r="143" spans="1:7">
      <c r="A143" t="s">
        <v>1144</v>
      </c>
      <c r="B143" t="s">
        <v>1145</v>
      </c>
      <c r="C143">
        <v>10</v>
      </c>
      <c r="D143" s="260">
        <v>46153</v>
      </c>
      <c r="E143" s="260">
        <v>46164</v>
      </c>
      <c r="F143">
        <v>149</v>
      </c>
      <c r="G143" t="s">
        <v>866</v>
      </c>
    </row>
    <row r="144" spans="1:7">
      <c r="A144" t="s">
        <v>1146</v>
      </c>
      <c r="B144" t="s">
        <v>1147</v>
      </c>
      <c r="C144">
        <v>27</v>
      </c>
      <c r="D144" s="260">
        <v>46091</v>
      </c>
      <c r="E144" s="260">
        <v>46133</v>
      </c>
      <c r="F144">
        <v>57</v>
      </c>
      <c r="G144" t="s">
        <v>866</v>
      </c>
    </row>
    <row r="145" spans="1:7">
      <c r="A145" t="s">
        <v>1148</v>
      </c>
      <c r="B145" t="s">
        <v>1149</v>
      </c>
      <c r="C145">
        <v>10</v>
      </c>
      <c r="D145" s="260">
        <v>46149</v>
      </c>
      <c r="E145" s="260">
        <v>46162</v>
      </c>
      <c r="F145">
        <v>141</v>
      </c>
      <c r="G145" t="s">
        <v>866</v>
      </c>
    </row>
    <row r="146" spans="1:7">
      <c r="A146" t="s">
        <v>1150</v>
      </c>
      <c r="B146" t="s">
        <v>1151</v>
      </c>
      <c r="C146">
        <v>19</v>
      </c>
      <c r="D146" s="260">
        <v>46157</v>
      </c>
      <c r="E146" s="260">
        <v>46185</v>
      </c>
      <c r="F146">
        <v>41</v>
      </c>
      <c r="G146" t="s">
        <v>866</v>
      </c>
    </row>
    <row r="147" spans="1:7">
      <c r="A147" t="s">
        <v>1152</v>
      </c>
      <c r="B147" t="s">
        <v>1153</v>
      </c>
      <c r="C147">
        <v>10</v>
      </c>
      <c r="D147" s="260">
        <v>46202</v>
      </c>
      <c r="E147" s="260">
        <v>46213</v>
      </c>
      <c r="F147">
        <v>106</v>
      </c>
      <c r="G147" t="s">
        <v>866</v>
      </c>
    </row>
    <row r="148" spans="1:7">
      <c r="A148" t="s">
        <v>1154</v>
      </c>
      <c r="B148" t="s">
        <v>1155</v>
      </c>
      <c r="C148">
        <v>15</v>
      </c>
      <c r="D148" s="260">
        <v>46097</v>
      </c>
      <c r="E148" s="260">
        <v>46115</v>
      </c>
      <c r="F148">
        <v>-34</v>
      </c>
      <c r="G148" t="s">
        <v>866</v>
      </c>
    </row>
    <row r="149" spans="1:7">
      <c r="A149" t="s">
        <v>1156</v>
      </c>
      <c r="B149" t="s">
        <v>1157</v>
      </c>
      <c r="C149">
        <v>10</v>
      </c>
      <c r="D149" s="260">
        <v>46136</v>
      </c>
      <c r="E149" s="260">
        <v>46150</v>
      </c>
      <c r="F149">
        <v>20</v>
      </c>
      <c r="G149" t="s">
        <v>866</v>
      </c>
    </row>
    <row r="150" spans="1:7">
      <c r="A150" t="s">
        <v>1158</v>
      </c>
      <c r="B150" t="s">
        <v>1159</v>
      </c>
      <c r="C150">
        <v>15</v>
      </c>
      <c r="D150" s="260">
        <v>46113</v>
      </c>
      <c r="E150" s="260">
        <v>46139</v>
      </c>
      <c r="F150">
        <v>147</v>
      </c>
      <c r="G150" t="s">
        <v>866</v>
      </c>
    </row>
    <row r="151" spans="1:7">
      <c r="A151" t="s">
        <v>1160</v>
      </c>
      <c r="B151" t="s">
        <v>1161</v>
      </c>
      <c r="C151">
        <v>10</v>
      </c>
      <c r="D151" s="260">
        <v>46155</v>
      </c>
      <c r="E151" s="260">
        <v>46168</v>
      </c>
      <c r="F151">
        <v>147</v>
      </c>
      <c r="G151" t="s">
        <v>866</v>
      </c>
    </row>
    <row r="152" spans="1:7">
      <c r="A152" t="s">
        <v>1162</v>
      </c>
      <c r="B152" t="s">
        <v>1163</v>
      </c>
      <c r="C152">
        <v>15</v>
      </c>
      <c r="D152" s="260">
        <v>46113</v>
      </c>
      <c r="E152" s="260">
        <v>46139</v>
      </c>
      <c r="F152">
        <v>147</v>
      </c>
      <c r="G152" t="s">
        <v>866</v>
      </c>
    </row>
    <row r="153" spans="1:7">
      <c r="A153" t="s">
        <v>1164</v>
      </c>
      <c r="B153" t="s">
        <v>1165</v>
      </c>
      <c r="C153">
        <v>10</v>
      </c>
      <c r="D153" s="260">
        <v>46155</v>
      </c>
      <c r="E153" s="260">
        <v>46168</v>
      </c>
      <c r="F153">
        <v>147</v>
      </c>
      <c r="G153" t="s">
        <v>866</v>
      </c>
    </row>
    <row r="154" spans="1:7">
      <c r="A154" t="s">
        <v>1166</v>
      </c>
      <c r="B154" t="s">
        <v>1167</v>
      </c>
      <c r="C154">
        <v>10</v>
      </c>
      <c r="D154" s="260">
        <v>46153</v>
      </c>
      <c r="E154" s="260">
        <v>46164</v>
      </c>
      <c r="F154">
        <v>99</v>
      </c>
      <c r="G154" t="s">
        <v>866</v>
      </c>
    </row>
    <row r="155" spans="1:7">
      <c r="A155" t="s">
        <v>1168</v>
      </c>
      <c r="B155" t="s">
        <v>1169</v>
      </c>
      <c r="C155">
        <v>10</v>
      </c>
      <c r="D155" s="260">
        <v>46183</v>
      </c>
      <c r="E155" s="260">
        <v>46196</v>
      </c>
      <c r="F155">
        <v>119</v>
      </c>
      <c r="G155" t="s">
        <v>866</v>
      </c>
    </row>
    <row r="156" spans="1:7">
      <c r="A156" t="s">
        <v>1170</v>
      </c>
      <c r="B156" t="s">
        <v>1171</v>
      </c>
      <c r="C156">
        <v>18</v>
      </c>
      <c r="D156" s="260">
        <v>46097</v>
      </c>
      <c r="E156" s="260">
        <v>46121</v>
      </c>
      <c r="F156">
        <v>-33</v>
      </c>
      <c r="G156" t="s">
        <v>866</v>
      </c>
    </row>
    <row r="157" spans="1:7">
      <c r="A157" t="s">
        <v>1172</v>
      </c>
      <c r="B157" t="s">
        <v>1173</v>
      </c>
      <c r="C157">
        <v>10</v>
      </c>
      <c r="D157" s="260">
        <v>46141</v>
      </c>
      <c r="E157" s="260">
        <v>46155</v>
      </c>
      <c r="F157">
        <v>28</v>
      </c>
      <c r="G157" t="s">
        <v>866</v>
      </c>
    </row>
    <row r="158" spans="1:7">
      <c r="A158" t="s">
        <v>1174</v>
      </c>
      <c r="B158" t="s">
        <v>1175</v>
      </c>
      <c r="C158">
        <v>23</v>
      </c>
      <c r="D158" s="260">
        <v>46091</v>
      </c>
      <c r="E158" s="260">
        <v>46122</v>
      </c>
      <c r="F158">
        <v>155</v>
      </c>
      <c r="G158" t="s">
        <v>866</v>
      </c>
    </row>
    <row r="159" spans="1:7">
      <c r="A159" t="s">
        <v>1176</v>
      </c>
      <c r="B159" t="s">
        <v>1177</v>
      </c>
      <c r="C159">
        <v>10</v>
      </c>
      <c r="D159" s="260">
        <v>46142</v>
      </c>
      <c r="E159" s="260">
        <v>46156</v>
      </c>
      <c r="F159">
        <v>155</v>
      </c>
      <c r="G159" t="s">
        <v>866</v>
      </c>
    </row>
    <row r="160" spans="1:7">
      <c r="A160" t="s">
        <v>1178</v>
      </c>
      <c r="B160" t="s">
        <v>1179</v>
      </c>
      <c r="C160">
        <v>15</v>
      </c>
      <c r="D160" s="260">
        <v>46112</v>
      </c>
      <c r="E160" s="260">
        <v>46136</v>
      </c>
      <c r="F160">
        <v>148</v>
      </c>
      <c r="G160" t="s">
        <v>866</v>
      </c>
    </row>
    <row r="161" spans="1:7">
      <c r="A161" t="s">
        <v>1180</v>
      </c>
      <c r="B161" t="s">
        <v>1181</v>
      </c>
      <c r="C161">
        <v>10</v>
      </c>
      <c r="D161" s="260">
        <v>46154</v>
      </c>
      <c r="E161" s="260">
        <v>46167</v>
      </c>
      <c r="F161">
        <v>148</v>
      </c>
      <c r="G161" t="s">
        <v>866</v>
      </c>
    </row>
    <row r="162" spans="1:7">
      <c r="A162" t="s">
        <v>1182</v>
      </c>
      <c r="B162" t="s">
        <v>1183</v>
      </c>
      <c r="C162">
        <v>15</v>
      </c>
      <c r="D162" s="260">
        <v>46134</v>
      </c>
      <c r="E162" s="260">
        <v>46155</v>
      </c>
      <c r="F162">
        <v>136</v>
      </c>
      <c r="G162" t="s">
        <v>866</v>
      </c>
    </row>
    <row r="163" spans="1:7">
      <c r="A163" t="s">
        <v>1184</v>
      </c>
      <c r="B163" t="s">
        <v>1185</v>
      </c>
      <c r="C163">
        <v>10</v>
      </c>
      <c r="D163" s="260">
        <v>46170</v>
      </c>
      <c r="E163" s="260">
        <v>46185</v>
      </c>
      <c r="F163">
        <v>136</v>
      </c>
      <c r="G163" t="s">
        <v>866</v>
      </c>
    </row>
    <row r="164" spans="1:7">
      <c r="A164" t="s">
        <v>1186</v>
      </c>
      <c r="B164" t="s">
        <v>1187</v>
      </c>
      <c r="C164">
        <v>15</v>
      </c>
      <c r="D164" s="260">
        <v>46106</v>
      </c>
      <c r="E164" s="260">
        <v>46132</v>
      </c>
      <c r="F164">
        <v>152</v>
      </c>
      <c r="G164" t="s">
        <v>866</v>
      </c>
    </row>
    <row r="165" spans="1:7">
      <c r="A165" t="s">
        <v>1188</v>
      </c>
      <c r="B165" t="s">
        <v>1189</v>
      </c>
      <c r="C165">
        <v>10</v>
      </c>
      <c r="D165" s="260">
        <v>46148</v>
      </c>
      <c r="E165" s="260">
        <v>46161</v>
      </c>
      <c r="F165">
        <v>152</v>
      </c>
      <c r="G165" t="s">
        <v>866</v>
      </c>
    </row>
    <row r="166" spans="1:7">
      <c r="A166" t="s">
        <v>1190</v>
      </c>
      <c r="C166">
        <v>104</v>
      </c>
      <c r="D166" s="260">
        <v>46097</v>
      </c>
      <c r="E166" s="260">
        <v>46255</v>
      </c>
      <c r="F166">
        <v>90</v>
      </c>
      <c r="G166" t="s">
        <v>866</v>
      </c>
    </row>
    <row r="167" spans="1:7">
      <c r="A167" t="s">
        <v>1191</v>
      </c>
      <c r="B167" t="s">
        <v>1192</v>
      </c>
      <c r="C167">
        <v>10</v>
      </c>
      <c r="D167" s="260">
        <v>46140</v>
      </c>
      <c r="E167" s="260">
        <v>46154</v>
      </c>
      <c r="F167">
        <v>-44</v>
      </c>
      <c r="G167" t="s">
        <v>866</v>
      </c>
    </row>
    <row r="168" spans="1:7">
      <c r="A168" t="s">
        <v>1193</v>
      </c>
      <c r="B168" t="s">
        <v>1194</v>
      </c>
      <c r="C168">
        <v>10</v>
      </c>
      <c r="D168" s="260">
        <v>46175</v>
      </c>
      <c r="E168" s="260">
        <v>46189</v>
      </c>
      <c r="F168">
        <v>34</v>
      </c>
      <c r="G168" t="s">
        <v>866</v>
      </c>
    </row>
    <row r="169" spans="1:7">
      <c r="A169" t="s">
        <v>1195</v>
      </c>
      <c r="B169" t="s">
        <v>1196</v>
      </c>
      <c r="C169">
        <v>5</v>
      </c>
      <c r="D169" s="260">
        <v>46206</v>
      </c>
      <c r="E169" s="260">
        <v>46212</v>
      </c>
      <c r="F169">
        <v>32</v>
      </c>
      <c r="G169" t="s">
        <v>866</v>
      </c>
    </row>
    <row r="170" spans="1:7">
      <c r="A170" t="s">
        <v>1197</v>
      </c>
      <c r="B170" t="s">
        <v>1198</v>
      </c>
      <c r="C170">
        <v>12</v>
      </c>
      <c r="D170" s="260">
        <v>46140</v>
      </c>
      <c r="E170" s="260">
        <v>46156</v>
      </c>
      <c r="F170">
        <v>-16</v>
      </c>
      <c r="G170" t="s">
        <v>866</v>
      </c>
    </row>
    <row r="171" spans="1:7">
      <c r="A171" t="s">
        <v>1199</v>
      </c>
      <c r="B171" t="s">
        <v>1200</v>
      </c>
      <c r="C171">
        <v>10</v>
      </c>
      <c r="D171" s="260">
        <v>46178</v>
      </c>
      <c r="E171" s="260">
        <v>46191</v>
      </c>
      <c r="F171">
        <v>32</v>
      </c>
      <c r="G171" t="s">
        <v>866</v>
      </c>
    </row>
    <row r="172" spans="1:7">
      <c r="A172" t="s">
        <v>1201</v>
      </c>
      <c r="B172" t="s">
        <v>1202</v>
      </c>
      <c r="C172">
        <v>5</v>
      </c>
      <c r="D172" s="260">
        <v>46206</v>
      </c>
      <c r="E172" s="260">
        <v>46212</v>
      </c>
      <c r="F172">
        <v>32</v>
      </c>
      <c r="G172" t="s">
        <v>866</v>
      </c>
    </row>
    <row r="173" spans="1:7">
      <c r="A173" t="s">
        <v>1203</v>
      </c>
      <c r="B173" t="s">
        <v>1204</v>
      </c>
      <c r="C173">
        <v>10</v>
      </c>
      <c r="D173" s="260">
        <v>46142</v>
      </c>
      <c r="E173" s="260">
        <v>46156</v>
      </c>
      <c r="F173">
        <v>-16</v>
      </c>
      <c r="G173" t="s">
        <v>866</v>
      </c>
    </row>
    <row r="174" spans="1:7">
      <c r="A174" t="s">
        <v>1205</v>
      </c>
      <c r="B174" t="s">
        <v>1206</v>
      </c>
      <c r="C174">
        <v>10</v>
      </c>
      <c r="D174" s="260">
        <v>46178</v>
      </c>
      <c r="E174" s="260">
        <v>46191</v>
      </c>
      <c r="F174">
        <v>32</v>
      </c>
      <c r="G174" t="s">
        <v>866</v>
      </c>
    </row>
    <row r="175" spans="1:7">
      <c r="A175" t="s">
        <v>1207</v>
      </c>
      <c r="B175" t="s">
        <v>1208</v>
      </c>
      <c r="C175">
        <v>5</v>
      </c>
      <c r="D175" s="260">
        <v>46206</v>
      </c>
      <c r="E175" s="260">
        <v>46212</v>
      </c>
      <c r="F175">
        <v>32</v>
      </c>
      <c r="G175" t="s">
        <v>866</v>
      </c>
    </row>
    <row r="176" spans="1:7">
      <c r="A176" t="s">
        <v>1209</v>
      </c>
      <c r="B176" t="s">
        <v>1210</v>
      </c>
      <c r="C176">
        <v>10</v>
      </c>
      <c r="D176" s="260">
        <v>46146</v>
      </c>
      <c r="E176" s="260">
        <v>46157</v>
      </c>
      <c r="F176">
        <v>-21</v>
      </c>
      <c r="G176" t="s">
        <v>866</v>
      </c>
    </row>
    <row r="177" spans="1:7">
      <c r="A177" t="s">
        <v>1211</v>
      </c>
      <c r="B177" t="s">
        <v>1212</v>
      </c>
      <c r="C177">
        <v>10</v>
      </c>
      <c r="D177" s="260">
        <v>46181</v>
      </c>
      <c r="E177" s="260">
        <v>46192</v>
      </c>
      <c r="F177">
        <v>32</v>
      </c>
      <c r="G177" t="s">
        <v>866</v>
      </c>
    </row>
    <row r="178" spans="1:7">
      <c r="A178" t="s">
        <v>1213</v>
      </c>
      <c r="B178" t="s">
        <v>1214</v>
      </c>
      <c r="C178">
        <v>5</v>
      </c>
      <c r="D178" s="260">
        <v>46206</v>
      </c>
      <c r="E178" s="260">
        <v>46212</v>
      </c>
      <c r="F178">
        <v>32</v>
      </c>
      <c r="G178" t="s">
        <v>866</v>
      </c>
    </row>
    <row r="179" spans="1:7">
      <c r="A179" t="s">
        <v>1215</v>
      </c>
      <c r="B179" t="s">
        <v>1216</v>
      </c>
      <c r="C179">
        <v>15</v>
      </c>
      <c r="D179" s="260">
        <v>46097</v>
      </c>
      <c r="E179" s="260">
        <v>46115</v>
      </c>
      <c r="F179">
        <v>-34</v>
      </c>
      <c r="G179" t="s">
        <v>866</v>
      </c>
    </row>
    <row r="180" spans="1:7">
      <c r="A180" t="s">
        <v>1217</v>
      </c>
      <c r="B180" t="s">
        <v>1218</v>
      </c>
      <c r="C180">
        <v>5</v>
      </c>
      <c r="D180" s="260">
        <v>46146</v>
      </c>
      <c r="E180" s="260">
        <v>46150</v>
      </c>
      <c r="F180">
        <v>10</v>
      </c>
      <c r="G180" t="s">
        <v>866</v>
      </c>
    </row>
    <row r="181" spans="1:7">
      <c r="A181" t="s">
        <v>1219</v>
      </c>
      <c r="B181" t="s">
        <v>1220</v>
      </c>
      <c r="C181">
        <v>5</v>
      </c>
      <c r="D181" s="260">
        <v>46206</v>
      </c>
      <c r="E181" s="260">
        <v>46212</v>
      </c>
      <c r="F181">
        <v>-17</v>
      </c>
      <c r="G181" t="s">
        <v>866</v>
      </c>
    </row>
    <row r="182" spans="1:7">
      <c r="A182" t="s">
        <v>1221</v>
      </c>
      <c r="B182" t="s">
        <v>1222</v>
      </c>
      <c r="C182">
        <v>12</v>
      </c>
      <c r="D182" s="260">
        <v>46140</v>
      </c>
      <c r="E182" s="260">
        <v>46156</v>
      </c>
      <c r="F182">
        <v>-30</v>
      </c>
      <c r="G182" t="s">
        <v>866</v>
      </c>
    </row>
    <row r="183" spans="1:7">
      <c r="A183" t="s">
        <v>1223</v>
      </c>
      <c r="B183" t="s">
        <v>1224</v>
      </c>
      <c r="C183">
        <v>10</v>
      </c>
      <c r="D183" s="260">
        <v>46178</v>
      </c>
      <c r="E183" s="260">
        <v>46191</v>
      </c>
      <c r="F183">
        <v>117</v>
      </c>
      <c r="G183" t="s">
        <v>866</v>
      </c>
    </row>
    <row r="184" spans="1:7">
      <c r="A184" t="s">
        <v>1225</v>
      </c>
      <c r="B184" t="s">
        <v>1226</v>
      </c>
      <c r="C184">
        <v>5</v>
      </c>
      <c r="D184" s="260">
        <v>46206</v>
      </c>
      <c r="E184" s="260">
        <v>46212</v>
      </c>
      <c r="F184">
        <v>117</v>
      </c>
      <c r="G184" t="s">
        <v>866</v>
      </c>
    </row>
    <row r="185" spans="1:7">
      <c r="A185" t="s">
        <v>1227</v>
      </c>
      <c r="B185" t="s">
        <v>1228</v>
      </c>
      <c r="C185">
        <v>15</v>
      </c>
      <c r="D185" s="260">
        <v>46188</v>
      </c>
      <c r="E185" s="260">
        <v>46206</v>
      </c>
      <c r="F185">
        <v>41</v>
      </c>
      <c r="G185" t="s">
        <v>866</v>
      </c>
    </row>
    <row r="186" spans="1:7">
      <c r="A186" t="s">
        <v>1229</v>
      </c>
      <c r="B186" t="s">
        <v>1230</v>
      </c>
      <c r="C186">
        <v>10</v>
      </c>
      <c r="D186" s="260">
        <v>46225</v>
      </c>
      <c r="E186" s="260">
        <v>46241</v>
      </c>
      <c r="F186">
        <v>85</v>
      </c>
      <c r="G186" t="s">
        <v>866</v>
      </c>
    </row>
    <row r="187" spans="1:7">
      <c r="A187" t="s">
        <v>1231</v>
      </c>
      <c r="B187" t="s">
        <v>1232</v>
      </c>
      <c r="C187">
        <v>5</v>
      </c>
      <c r="D187" s="260">
        <v>46251</v>
      </c>
      <c r="E187" s="260">
        <v>46255</v>
      </c>
      <c r="F187">
        <v>85</v>
      </c>
      <c r="G187" t="s">
        <v>866</v>
      </c>
    </row>
    <row r="188" spans="1:7">
      <c r="A188" t="s">
        <v>1233</v>
      </c>
      <c r="B188" t="s">
        <v>1234</v>
      </c>
      <c r="C188">
        <v>10</v>
      </c>
      <c r="D188" s="260">
        <v>46112</v>
      </c>
      <c r="E188" s="260">
        <v>46129</v>
      </c>
      <c r="F188">
        <v>-21</v>
      </c>
      <c r="G188" t="s">
        <v>866</v>
      </c>
    </row>
    <row r="189" spans="1:7">
      <c r="A189" t="s">
        <v>1235</v>
      </c>
      <c r="B189" t="s">
        <v>1236</v>
      </c>
      <c r="C189">
        <v>10</v>
      </c>
      <c r="D189" s="260">
        <v>46153</v>
      </c>
      <c r="E189" s="260">
        <v>46164</v>
      </c>
      <c r="F189">
        <v>49</v>
      </c>
      <c r="G189" t="s">
        <v>866</v>
      </c>
    </row>
    <row r="190" spans="1:7">
      <c r="A190" t="s">
        <v>1237</v>
      </c>
      <c r="B190" t="s">
        <v>1238</v>
      </c>
      <c r="C190">
        <v>5</v>
      </c>
      <c r="D190" s="260">
        <v>46206</v>
      </c>
      <c r="E190" s="260">
        <v>46212</v>
      </c>
      <c r="F190">
        <v>32</v>
      </c>
      <c r="G190" t="s">
        <v>866</v>
      </c>
    </row>
    <row r="191" spans="1:7">
      <c r="A191" t="s">
        <v>1239</v>
      </c>
      <c r="B191" t="s">
        <v>1240</v>
      </c>
      <c r="C191">
        <v>12</v>
      </c>
      <c r="D191" s="260">
        <v>46140</v>
      </c>
      <c r="E191" s="260">
        <v>46156</v>
      </c>
      <c r="F191">
        <v>92</v>
      </c>
      <c r="G191" t="s">
        <v>866</v>
      </c>
    </row>
    <row r="192" spans="1:7">
      <c r="A192" t="s">
        <v>1241</v>
      </c>
      <c r="B192" t="s">
        <v>1242</v>
      </c>
      <c r="C192">
        <v>10</v>
      </c>
      <c r="D192" s="260">
        <v>46178</v>
      </c>
      <c r="E192" s="260">
        <v>46191</v>
      </c>
      <c r="F192">
        <v>112</v>
      </c>
      <c r="G192" t="s">
        <v>866</v>
      </c>
    </row>
    <row r="193" spans="1:7">
      <c r="A193" t="s">
        <v>1243</v>
      </c>
      <c r="B193" t="s">
        <v>1244</v>
      </c>
      <c r="C193">
        <v>5</v>
      </c>
      <c r="D193" s="260">
        <v>46206</v>
      </c>
      <c r="E193" s="260">
        <v>46212</v>
      </c>
      <c r="F193">
        <v>112</v>
      </c>
      <c r="G193" t="s">
        <v>866</v>
      </c>
    </row>
    <row r="194" spans="1:7">
      <c r="A194" t="s">
        <v>1245</v>
      </c>
      <c r="B194" t="s">
        <v>1246</v>
      </c>
      <c r="C194">
        <v>8</v>
      </c>
      <c r="D194" s="260">
        <v>46140</v>
      </c>
      <c r="E194" s="260">
        <v>46150</v>
      </c>
      <c r="F194">
        <v>1</v>
      </c>
      <c r="G194" t="s">
        <v>866</v>
      </c>
    </row>
    <row r="195" spans="1:7">
      <c r="A195" t="s">
        <v>1247</v>
      </c>
      <c r="B195" t="s">
        <v>1248</v>
      </c>
      <c r="C195">
        <v>10</v>
      </c>
      <c r="D195" s="260">
        <v>46170</v>
      </c>
      <c r="E195" s="260">
        <v>46185</v>
      </c>
      <c r="F195">
        <v>43</v>
      </c>
      <c r="G195" t="s">
        <v>866</v>
      </c>
    </row>
    <row r="196" spans="1:7">
      <c r="A196" t="s">
        <v>1249</v>
      </c>
      <c r="B196" t="s">
        <v>1250</v>
      </c>
      <c r="C196">
        <v>5</v>
      </c>
      <c r="D196" s="260">
        <v>46206</v>
      </c>
      <c r="E196" s="260">
        <v>46212</v>
      </c>
      <c r="F196">
        <v>39</v>
      </c>
      <c r="G196" t="s">
        <v>866</v>
      </c>
    </row>
    <row r="197" spans="1:7">
      <c r="A197" t="s">
        <v>1251</v>
      </c>
      <c r="B197" t="s">
        <v>1252</v>
      </c>
      <c r="C197">
        <v>8</v>
      </c>
      <c r="D197" s="260">
        <v>46140</v>
      </c>
      <c r="E197" s="260">
        <v>46150</v>
      </c>
      <c r="F197">
        <v>0</v>
      </c>
      <c r="G197" t="s">
        <v>866</v>
      </c>
    </row>
    <row r="198" spans="1:7">
      <c r="A198" t="s">
        <v>1253</v>
      </c>
      <c r="B198" t="s">
        <v>1254</v>
      </c>
      <c r="C198">
        <v>10</v>
      </c>
      <c r="D198" s="260">
        <v>46170</v>
      </c>
      <c r="E198" s="260">
        <v>46185</v>
      </c>
      <c r="F198">
        <v>16</v>
      </c>
      <c r="G198" t="s">
        <v>866</v>
      </c>
    </row>
    <row r="199" spans="1:7">
      <c r="A199" t="s">
        <v>1255</v>
      </c>
      <c r="B199" t="s">
        <v>1256</v>
      </c>
      <c r="C199">
        <v>5</v>
      </c>
      <c r="D199" s="260">
        <v>46206</v>
      </c>
      <c r="E199" s="260">
        <v>46212</v>
      </c>
      <c r="F199">
        <v>12</v>
      </c>
      <c r="G199" t="s">
        <v>866</v>
      </c>
    </row>
    <row r="200" spans="1:7">
      <c r="A200" t="s">
        <v>1257</v>
      </c>
      <c r="B200" t="s">
        <v>1258</v>
      </c>
      <c r="C200">
        <v>10</v>
      </c>
      <c r="D200" s="260">
        <v>46160</v>
      </c>
      <c r="E200" s="260">
        <v>46171</v>
      </c>
      <c r="F200">
        <v>4</v>
      </c>
      <c r="G200" t="s">
        <v>866</v>
      </c>
    </row>
    <row r="201" spans="1:7">
      <c r="A201" t="s">
        <v>1259</v>
      </c>
      <c r="B201" t="s">
        <v>1260</v>
      </c>
      <c r="C201">
        <v>10</v>
      </c>
      <c r="D201" s="260">
        <v>46195</v>
      </c>
      <c r="E201" s="260">
        <v>46206</v>
      </c>
      <c r="F201">
        <v>106</v>
      </c>
      <c r="G201" t="s">
        <v>866</v>
      </c>
    </row>
    <row r="202" spans="1:7">
      <c r="A202" t="s">
        <v>1261</v>
      </c>
      <c r="B202" t="s">
        <v>1262</v>
      </c>
      <c r="C202">
        <v>5</v>
      </c>
      <c r="D202" s="260">
        <v>46216</v>
      </c>
      <c r="E202" s="260">
        <v>46220</v>
      </c>
      <c r="F202">
        <v>106</v>
      </c>
      <c r="G202" t="s">
        <v>866</v>
      </c>
    </row>
    <row r="203" spans="1:7">
      <c r="A203" t="s">
        <v>1263</v>
      </c>
      <c r="B203" t="s">
        <v>1264</v>
      </c>
      <c r="C203">
        <v>15</v>
      </c>
      <c r="D203" s="260">
        <v>46112</v>
      </c>
      <c r="E203" s="260">
        <v>46136</v>
      </c>
      <c r="F203">
        <v>-26</v>
      </c>
      <c r="G203" t="s">
        <v>866</v>
      </c>
    </row>
    <row r="204" spans="1:7">
      <c r="A204" t="s">
        <v>1265</v>
      </c>
      <c r="B204" t="s">
        <v>1266</v>
      </c>
      <c r="C204">
        <v>5</v>
      </c>
      <c r="D204" s="260">
        <v>46167</v>
      </c>
      <c r="E204" s="260">
        <v>46171</v>
      </c>
      <c r="F204">
        <v>44</v>
      </c>
      <c r="G204" t="s">
        <v>866</v>
      </c>
    </row>
    <row r="205" spans="1:7">
      <c r="A205" t="s">
        <v>1267</v>
      </c>
      <c r="B205" t="s">
        <v>1268</v>
      </c>
      <c r="C205">
        <v>5</v>
      </c>
      <c r="D205" s="260">
        <v>46206</v>
      </c>
      <c r="E205" s="260">
        <v>46212</v>
      </c>
      <c r="F205">
        <v>32</v>
      </c>
      <c r="G205" t="s">
        <v>866</v>
      </c>
    </row>
    <row r="206" spans="1:7">
      <c r="A206" t="s">
        <v>1269</v>
      </c>
      <c r="B206" t="s">
        <v>1270</v>
      </c>
      <c r="C206">
        <v>15</v>
      </c>
      <c r="D206" s="260">
        <v>46112</v>
      </c>
      <c r="E206" s="260">
        <v>46136</v>
      </c>
      <c r="F206">
        <v>138</v>
      </c>
      <c r="G206" t="s">
        <v>866</v>
      </c>
    </row>
    <row r="207" spans="1:7">
      <c r="A207" t="s">
        <v>1271</v>
      </c>
      <c r="B207" t="s">
        <v>1272</v>
      </c>
      <c r="C207">
        <v>5</v>
      </c>
      <c r="D207" s="260">
        <v>46167</v>
      </c>
      <c r="E207" s="260">
        <v>46171</v>
      </c>
      <c r="F207">
        <v>129</v>
      </c>
      <c r="G207" t="s">
        <v>866</v>
      </c>
    </row>
    <row r="208" spans="1:7">
      <c r="A208" t="s">
        <v>1273</v>
      </c>
      <c r="B208" t="s">
        <v>1274</v>
      </c>
      <c r="C208">
        <v>5</v>
      </c>
      <c r="D208" s="260">
        <v>46206</v>
      </c>
      <c r="E208" s="260">
        <v>46212</v>
      </c>
      <c r="F208">
        <v>117</v>
      </c>
      <c r="G208" t="s">
        <v>866</v>
      </c>
    </row>
    <row r="209" spans="1:7">
      <c r="A209" t="s">
        <v>1275</v>
      </c>
      <c r="B209" t="s">
        <v>1276</v>
      </c>
      <c r="C209">
        <v>13</v>
      </c>
      <c r="D209" s="260">
        <v>46140</v>
      </c>
      <c r="E209" s="260">
        <v>46157</v>
      </c>
      <c r="F209">
        <v>-47</v>
      </c>
      <c r="G209" t="s">
        <v>866</v>
      </c>
    </row>
    <row r="210" spans="1:7">
      <c r="A210" t="s">
        <v>1277</v>
      </c>
      <c r="B210" t="s">
        <v>1278</v>
      </c>
      <c r="C210">
        <v>10</v>
      </c>
      <c r="D210" s="260">
        <v>46181</v>
      </c>
      <c r="E210" s="260">
        <v>46192</v>
      </c>
      <c r="F210">
        <v>32</v>
      </c>
      <c r="G210" t="s">
        <v>866</v>
      </c>
    </row>
    <row r="211" spans="1:7">
      <c r="A211" t="s">
        <v>1279</v>
      </c>
      <c r="B211" t="s">
        <v>1280</v>
      </c>
      <c r="C211">
        <v>5</v>
      </c>
      <c r="D211" s="260">
        <v>46206</v>
      </c>
      <c r="E211" s="260">
        <v>46212</v>
      </c>
      <c r="F211">
        <v>32</v>
      </c>
      <c r="G211" t="s">
        <v>866</v>
      </c>
    </row>
    <row r="212" spans="1:7">
      <c r="A212" t="s">
        <v>1281</v>
      </c>
      <c r="B212" t="s">
        <v>1282</v>
      </c>
      <c r="C212">
        <v>12</v>
      </c>
      <c r="D212" s="260">
        <v>46140</v>
      </c>
      <c r="E212" s="260">
        <v>46156</v>
      </c>
      <c r="F212">
        <v>-46</v>
      </c>
      <c r="G212" t="s">
        <v>866</v>
      </c>
    </row>
    <row r="213" spans="1:7">
      <c r="A213" t="s">
        <v>1283</v>
      </c>
      <c r="B213" t="s">
        <v>1284</v>
      </c>
      <c r="C213">
        <v>10</v>
      </c>
      <c r="D213" s="260">
        <v>46178</v>
      </c>
      <c r="E213" s="260">
        <v>46191</v>
      </c>
      <c r="F213">
        <v>32</v>
      </c>
      <c r="G213" t="s">
        <v>866</v>
      </c>
    </row>
    <row r="214" spans="1:7">
      <c r="A214" t="s">
        <v>1285</v>
      </c>
      <c r="B214" t="s">
        <v>1286</v>
      </c>
      <c r="C214">
        <v>5</v>
      </c>
      <c r="D214" s="260">
        <v>46206</v>
      </c>
      <c r="E214" s="260">
        <v>46212</v>
      </c>
      <c r="F214">
        <v>32</v>
      </c>
      <c r="G214" t="s">
        <v>866</v>
      </c>
    </row>
    <row r="215" spans="1:7">
      <c r="A215" t="s">
        <v>1287</v>
      </c>
      <c r="B215" t="s">
        <v>1288</v>
      </c>
      <c r="C215">
        <v>12</v>
      </c>
      <c r="D215" s="260">
        <v>46140</v>
      </c>
      <c r="E215" s="260">
        <v>46156</v>
      </c>
      <c r="F215">
        <v>92</v>
      </c>
      <c r="G215" t="s">
        <v>866</v>
      </c>
    </row>
    <row r="216" spans="1:7">
      <c r="A216" t="s">
        <v>1289</v>
      </c>
      <c r="B216" t="s">
        <v>1290</v>
      </c>
      <c r="C216">
        <v>10</v>
      </c>
      <c r="D216" s="260">
        <v>46178</v>
      </c>
      <c r="E216" s="260">
        <v>46191</v>
      </c>
      <c r="F216">
        <v>112</v>
      </c>
      <c r="G216" t="s">
        <v>866</v>
      </c>
    </row>
    <row r="217" spans="1:7">
      <c r="A217" t="s">
        <v>1291</v>
      </c>
      <c r="B217" t="s">
        <v>1292</v>
      </c>
      <c r="C217">
        <v>5</v>
      </c>
      <c r="D217" s="260">
        <v>46206</v>
      </c>
      <c r="E217" s="260">
        <v>46212</v>
      </c>
      <c r="F217">
        <v>112</v>
      </c>
      <c r="G217" t="s">
        <v>866</v>
      </c>
    </row>
    <row r="218" spans="1:7">
      <c r="A218" t="s">
        <v>1293</v>
      </c>
      <c r="B218" t="s">
        <v>1294</v>
      </c>
      <c r="C218">
        <v>9</v>
      </c>
      <c r="D218" s="260">
        <v>46140</v>
      </c>
      <c r="E218" s="260">
        <v>46153</v>
      </c>
      <c r="F218">
        <v>0</v>
      </c>
      <c r="G218" t="s">
        <v>866</v>
      </c>
    </row>
    <row r="219" spans="1:7">
      <c r="A219" t="s">
        <v>1295</v>
      </c>
      <c r="B219" t="s">
        <v>1296</v>
      </c>
      <c r="C219">
        <v>10</v>
      </c>
      <c r="D219" s="260">
        <v>46171</v>
      </c>
      <c r="E219" s="260">
        <v>46188</v>
      </c>
      <c r="F219">
        <v>42</v>
      </c>
      <c r="G219" t="s">
        <v>866</v>
      </c>
    </row>
    <row r="220" spans="1:7">
      <c r="A220" t="s">
        <v>1297</v>
      </c>
      <c r="B220" t="s">
        <v>1298</v>
      </c>
      <c r="C220">
        <v>5</v>
      </c>
      <c r="D220" s="260">
        <v>46206</v>
      </c>
      <c r="E220" s="260">
        <v>46212</v>
      </c>
      <c r="F220">
        <v>39</v>
      </c>
      <c r="G220" t="s">
        <v>866</v>
      </c>
    </row>
    <row r="221" spans="1:7">
      <c r="A221" t="s">
        <v>1299</v>
      </c>
      <c r="B221" t="s">
        <v>1300</v>
      </c>
      <c r="C221">
        <v>8</v>
      </c>
      <c r="D221" s="260">
        <v>46140</v>
      </c>
      <c r="E221" s="260">
        <v>46150</v>
      </c>
      <c r="F221">
        <v>0</v>
      </c>
      <c r="G221" t="s">
        <v>866</v>
      </c>
    </row>
    <row r="222" spans="1:7">
      <c r="A222" t="s">
        <v>1301</v>
      </c>
      <c r="B222" t="s">
        <v>1302</v>
      </c>
      <c r="C222">
        <v>10</v>
      </c>
      <c r="D222" s="260">
        <v>46170</v>
      </c>
      <c r="E222" s="260">
        <v>46185</v>
      </c>
      <c r="F222">
        <v>16</v>
      </c>
      <c r="G222" t="s">
        <v>866</v>
      </c>
    </row>
    <row r="223" spans="1:7">
      <c r="A223" t="s">
        <v>1303</v>
      </c>
      <c r="B223" t="s">
        <v>1304</v>
      </c>
      <c r="C223">
        <v>5</v>
      </c>
      <c r="D223" s="260">
        <v>46206</v>
      </c>
      <c r="E223" s="260">
        <v>46212</v>
      </c>
      <c r="F223">
        <v>12</v>
      </c>
      <c r="G223" t="s">
        <v>866</v>
      </c>
    </row>
    <row r="224" spans="1:7">
      <c r="A224" t="s">
        <v>1305</v>
      </c>
      <c r="B224" t="s">
        <v>1306</v>
      </c>
      <c r="C224">
        <v>10</v>
      </c>
      <c r="D224" s="260">
        <v>46160</v>
      </c>
      <c r="E224" s="260">
        <v>46171</v>
      </c>
      <c r="F224">
        <v>4</v>
      </c>
      <c r="G224" t="s">
        <v>866</v>
      </c>
    </row>
    <row r="225" spans="1:7">
      <c r="A225" t="s">
        <v>1307</v>
      </c>
      <c r="B225" t="s">
        <v>1308</v>
      </c>
      <c r="C225">
        <v>10</v>
      </c>
      <c r="D225" s="260">
        <v>46195</v>
      </c>
      <c r="E225" s="260">
        <v>46206</v>
      </c>
      <c r="F225">
        <v>106</v>
      </c>
      <c r="G225" t="s">
        <v>866</v>
      </c>
    </row>
    <row r="226" spans="1:7">
      <c r="A226" t="s">
        <v>1309</v>
      </c>
      <c r="B226" t="s">
        <v>1310</v>
      </c>
      <c r="C226">
        <v>5</v>
      </c>
      <c r="D226" s="260">
        <v>46216</v>
      </c>
      <c r="E226" s="260">
        <v>46220</v>
      </c>
      <c r="F226">
        <v>106</v>
      </c>
      <c r="G226" t="s">
        <v>866</v>
      </c>
    </row>
    <row r="227" spans="1:7">
      <c r="A227" t="s">
        <v>1311</v>
      </c>
      <c r="B227" t="s">
        <v>1312</v>
      </c>
      <c r="C227">
        <v>8</v>
      </c>
      <c r="D227" s="260">
        <v>46140</v>
      </c>
      <c r="E227" s="260">
        <v>46150</v>
      </c>
      <c r="F227">
        <v>0</v>
      </c>
      <c r="G227" t="s">
        <v>866</v>
      </c>
    </row>
    <row r="228" spans="1:7">
      <c r="A228" t="s">
        <v>1313</v>
      </c>
      <c r="B228" t="s">
        <v>1314</v>
      </c>
      <c r="C228">
        <v>10</v>
      </c>
      <c r="D228" s="260">
        <v>46170</v>
      </c>
      <c r="E228" s="260">
        <v>46185</v>
      </c>
      <c r="F228">
        <v>31</v>
      </c>
      <c r="G228" t="s">
        <v>866</v>
      </c>
    </row>
    <row r="229" spans="1:7">
      <c r="A229" t="s">
        <v>1315</v>
      </c>
      <c r="B229" t="s">
        <v>1316</v>
      </c>
      <c r="C229">
        <v>5</v>
      </c>
      <c r="D229" s="260">
        <v>46206</v>
      </c>
      <c r="E229" s="260">
        <v>46212</v>
      </c>
      <c r="F229">
        <v>27</v>
      </c>
      <c r="G229" t="s">
        <v>866</v>
      </c>
    </row>
    <row r="230" spans="1:7">
      <c r="A230" t="s">
        <v>1317</v>
      </c>
      <c r="B230" t="s">
        <v>1318</v>
      </c>
      <c r="C230">
        <v>6</v>
      </c>
      <c r="D230" s="260">
        <v>46122</v>
      </c>
      <c r="E230" s="260">
        <v>46134</v>
      </c>
      <c r="F230">
        <v>-33</v>
      </c>
      <c r="G230" t="s">
        <v>866</v>
      </c>
    </row>
    <row r="231" spans="1:7">
      <c r="A231" t="s">
        <v>1319</v>
      </c>
      <c r="B231" t="s">
        <v>1320</v>
      </c>
      <c r="C231">
        <v>10</v>
      </c>
      <c r="D231" s="260">
        <v>46156</v>
      </c>
      <c r="E231" s="260">
        <v>46169</v>
      </c>
      <c r="F231">
        <v>8</v>
      </c>
      <c r="G231" t="s">
        <v>866</v>
      </c>
    </row>
    <row r="232" spans="1:7">
      <c r="A232" t="s">
        <v>1321</v>
      </c>
      <c r="B232" t="s">
        <v>1322</v>
      </c>
      <c r="C232">
        <v>5</v>
      </c>
      <c r="D232" s="260">
        <v>46206</v>
      </c>
      <c r="E232" s="260">
        <v>46212</v>
      </c>
      <c r="F232">
        <v>-6</v>
      </c>
      <c r="G232" t="s">
        <v>866</v>
      </c>
    </row>
    <row r="233" spans="1:7">
      <c r="A233" t="s">
        <v>1323</v>
      </c>
      <c r="B233" t="s">
        <v>1324</v>
      </c>
      <c r="C233">
        <v>6</v>
      </c>
      <c r="D233" s="260">
        <v>46122</v>
      </c>
      <c r="E233" s="260">
        <v>46134</v>
      </c>
      <c r="F233">
        <v>0</v>
      </c>
      <c r="G233" t="s">
        <v>866</v>
      </c>
    </row>
    <row r="234" spans="1:7">
      <c r="A234" t="s">
        <v>1325</v>
      </c>
      <c r="B234" t="s">
        <v>1326</v>
      </c>
      <c r="C234">
        <v>10</v>
      </c>
      <c r="D234" s="260">
        <v>46156</v>
      </c>
      <c r="E234" s="260">
        <v>46169</v>
      </c>
      <c r="F234">
        <v>41</v>
      </c>
      <c r="G234" t="s">
        <v>866</v>
      </c>
    </row>
    <row r="235" spans="1:7">
      <c r="A235" t="s">
        <v>1327</v>
      </c>
      <c r="B235" t="s">
        <v>1328</v>
      </c>
      <c r="C235">
        <v>5</v>
      </c>
      <c r="D235" s="260">
        <v>46206</v>
      </c>
      <c r="E235" s="260">
        <v>46212</v>
      </c>
      <c r="F235">
        <v>27</v>
      </c>
      <c r="G235" t="s">
        <v>866</v>
      </c>
    </row>
    <row r="236" spans="1:7">
      <c r="A236" t="s">
        <v>1329</v>
      </c>
      <c r="B236" t="s">
        <v>1330</v>
      </c>
      <c r="C236">
        <v>15</v>
      </c>
      <c r="D236" s="260">
        <v>46156</v>
      </c>
      <c r="E236" s="260">
        <v>46178</v>
      </c>
      <c r="F236">
        <v>72</v>
      </c>
      <c r="G236" t="s">
        <v>866</v>
      </c>
    </row>
    <row r="237" spans="1:7">
      <c r="A237" t="s">
        <v>1331</v>
      </c>
      <c r="B237" t="s">
        <v>1332</v>
      </c>
      <c r="C237">
        <v>10</v>
      </c>
      <c r="D237" s="260">
        <v>46202</v>
      </c>
      <c r="E237" s="260">
        <v>46213</v>
      </c>
      <c r="F237">
        <v>101</v>
      </c>
      <c r="G237" t="s">
        <v>866</v>
      </c>
    </row>
    <row r="238" spans="1:7">
      <c r="A238" t="s">
        <v>1333</v>
      </c>
      <c r="B238" t="s">
        <v>1334</v>
      </c>
      <c r="C238">
        <v>5</v>
      </c>
      <c r="D238" s="260">
        <v>46223</v>
      </c>
      <c r="E238" s="260">
        <v>46227</v>
      </c>
      <c r="F238">
        <v>101</v>
      </c>
      <c r="G238" t="s">
        <v>866</v>
      </c>
    </row>
    <row r="239" spans="1:7">
      <c r="A239" t="s">
        <v>1335</v>
      </c>
      <c r="C239">
        <v>165</v>
      </c>
      <c r="D239" s="260">
        <v>46136</v>
      </c>
      <c r="E239" s="260">
        <v>46384</v>
      </c>
      <c r="F239">
        <v>4</v>
      </c>
      <c r="G239" t="s">
        <v>866</v>
      </c>
    </row>
    <row r="240" spans="1:7">
      <c r="A240" t="s">
        <v>1336</v>
      </c>
      <c r="B240" t="s">
        <v>1337</v>
      </c>
      <c r="C240">
        <v>10</v>
      </c>
      <c r="D240" s="260">
        <v>46199</v>
      </c>
      <c r="E240" s="260">
        <v>46212</v>
      </c>
      <c r="F240">
        <v>-26</v>
      </c>
      <c r="G240" t="s">
        <v>866</v>
      </c>
    </row>
    <row r="241" spans="1:7">
      <c r="A241" t="s">
        <v>1338</v>
      </c>
      <c r="B241" t="s">
        <v>1339</v>
      </c>
      <c r="C241">
        <v>5</v>
      </c>
      <c r="D241" s="260">
        <v>46301</v>
      </c>
      <c r="E241" s="260">
        <v>46307</v>
      </c>
      <c r="F241">
        <v>-26</v>
      </c>
      <c r="G241" t="s">
        <v>866</v>
      </c>
    </row>
    <row r="242" spans="1:7">
      <c r="A242" t="s">
        <v>1340</v>
      </c>
      <c r="B242" t="s">
        <v>1341</v>
      </c>
      <c r="C242">
        <v>10</v>
      </c>
      <c r="D242" s="260">
        <v>46211</v>
      </c>
      <c r="E242" s="260">
        <v>46224</v>
      </c>
      <c r="F242">
        <v>-30</v>
      </c>
      <c r="G242" t="s">
        <v>866</v>
      </c>
    </row>
    <row r="243" spans="1:7">
      <c r="A243" t="s">
        <v>1342</v>
      </c>
      <c r="B243" t="s">
        <v>1343</v>
      </c>
      <c r="C243">
        <v>5</v>
      </c>
      <c r="D243" s="260">
        <v>46307</v>
      </c>
      <c r="E243" s="260">
        <v>46314</v>
      </c>
      <c r="F243">
        <v>-30</v>
      </c>
      <c r="G243" t="s">
        <v>866</v>
      </c>
    </row>
    <row r="244" spans="1:7">
      <c r="A244" t="s">
        <v>1344</v>
      </c>
      <c r="B244" t="s">
        <v>1345</v>
      </c>
      <c r="C244">
        <v>10</v>
      </c>
      <c r="D244" s="260">
        <v>46192</v>
      </c>
      <c r="E244" s="260">
        <v>46205</v>
      </c>
      <c r="F244">
        <v>-21</v>
      </c>
      <c r="G244" t="s">
        <v>866</v>
      </c>
    </row>
    <row r="245" spans="1:7">
      <c r="A245" t="s">
        <v>1346</v>
      </c>
      <c r="B245" t="s">
        <v>1347</v>
      </c>
      <c r="C245">
        <v>5</v>
      </c>
      <c r="D245" s="260">
        <v>46294</v>
      </c>
      <c r="E245" s="260">
        <v>46300</v>
      </c>
      <c r="F245">
        <v>-21</v>
      </c>
      <c r="G245" t="s">
        <v>866</v>
      </c>
    </row>
    <row r="246" spans="1:7">
      <c r="A246" t="s">
        <v>1348</v>
      </c>
      <c r="B246" t="s">
        <v>1349</v>
      </c>
      <c r="C246">
        <v>10</v>
      </c>
      <c r="D246" s="260">
        <v>46225</v>
      </c>
      <c r="E246" s="260">
        <v>46241</v>
      </c>
      <c r="F246">
        <v>-47</v>
      </c>
      <c r="G246" t="s">
        <v>866</v>
      </c>
    </row>
    <row r="247" spans="1:7">
      <c r="A247" t="s">
        <v>1350</v>
      </c>
      <c r="B247" t="s">
        <v>1351</v>
      </c>
      <c r="C247">
        <v>5</v>
      </c>
      <c r="D247" s="260">
        <v>46332</v>
      </c>
      <c r="E247" s="260">
        <v>46338</v>
      </c>
      <c r="F247">
        <v>-47</v>
      </c>
      <c r="G247" t="s">
        <v>866</v>
      </c>
    </row>
    <row r="248" spans="1:7">
      <c r="A248" t="s">
        <v>1352</v>
      </c>
      <c r="B248" t="s">
        <v>1353</v>
      </c>
      <c r="C248">
        <v>10</v>
      </c>
      <c r="D248" s="260">
        <v>46147</v>
      </c>
      <c r="E248" s="260">
        <v>46160</v>
      </c>
      <c r="F248">
        <v>92</v>
      </c>
      <c r="G248" t="s">
        <v>866</v>
      </c>
    </row>
    <row r="249" spans="1:7">
      <c r="A249" t="s">
        <v>1354</v>
      </c>
      <c r="B249" t="s">
        <v>1355</v>
      </c>
      <c r="C249">
        <v>5</v>
      </c>
      <c r="D249" s="260">
        <v>46247</v>
      </c>
      <c r="E249" s="260">
        <v>46253</v>
      </c>
      <c r="F249">
        <v>92</v>
      </c>
      <c r="G249" t="s">
        <v>866</v>
      </c>
    </row>
    <row r="250" spans="1:7">
      <c r="A250" t="s">
        <v>1356</v>
      </c>
      <c r="B250" t="s">
        <v>1357</v>
      </c>
      <c r="C250">
        <v>10</v>
      </c>
      <c r="D250" s="260">
        <v>46219</v>
      </c>
      <c r="E250" s="260">
        <v>46237</v>
      </c>
      <c r="F250">
        <v>41</v>
      </c>
      <c r="G250" t="s">
        <v>866</v>
      </c>
    </row>
    <row r="251" spans="1:7">
      <c r="A251" t="s">
        <v>1358</v>
      </c>
      <c r="B251" t="s">
        <v>1359</v>
      </c>
      <c r="C251">
        <v>5</v>
      </c>
      <c r="D251" s="260">
        <v>46322</v>
      </c>
      <c r="E251" s="260">
        <v>46328</v>
      </c>
      <c r="F251">
        <v>41</v>
      </c>
      <c r="G251" t="s">
        <v>866</v>
      </c>
    </row>
    <row r="252" spans="1:7">
      <c r="A252" t="s">
        <v>1360</v>
      </c>
      <c r="B252" t="s">
        <v>1361</v>
      </c>
      <c r="C252">
        <v>5</v>
      </c>
      <c r="D252" s="260">
        <v>46149</v>
      </c>
      <c r="E252" s="260">
        <v>46155</v>
      </c>
      <c r="F252">
        <v>-34</v>
      </c>
      <c r="G252" t="s">
        <v>866</v>
      </c>
    </row>
    <row r="253" spans="1:7">
      <c r="A253" t="s">
        <v>1362</v>
      </c>
      <c r="B253" t="s">
        <v>1363</v>
      </c>
      <c r="C253">
        <v>5</v>
      </c>
      <c r="D253" s="260">
        <v>46241</v>
      </c>
      <c r="E253" s="260">
        <v>46248</v>
      </c>
      <c r="F253">
        <v>-34</v>
      </c>
      <c r="G253" t="s">
        <v>866</v>
      </c>
    </row>
    <row r="254" spans="1:7">
      <c r="A254" t="s">
        <v>1364</v>
      </c>
      <c r="B254" t="s">
        <v>1365</v>
      </c>
      <c r="C254">
        <v>10</v>
      </c>
      <c r="D254" s="260">
        <v>46169</v>
      </c>
      <c r="E254" s="260">
        <v>46184</v>
      </c>
      <c r="F254">
        <v>0</v>
      </c>
      <c r="G254" t="s">
        <v>866</v>
      </c>
    </row>
    <row r="255" spans="1:7">
      <c r="A255" t="s">
        <v>1366</v>
      </c>
      <c r="B255" t="s">
        <v>1367</v>
      </c>
      <c r="C255">
        <v>5</v>
      </c>
      <c r="D255" s="260">
        <v>46274</v>
      </c>
      <c r="E255" s="260">
        <v>46280</v>
      </c>
      <c r="F255">
        <v>0</v>
      </c>
      <c r="G255" t="s">
        <v>866</v>
      </c>
    </row>
    <row r="256" spans="1:7">
      <c r="A256" t="s">
        <v>1368</v>
      </c>
      <c r="B256" t="s">
        <v>1369</v>
      </c>
      <c r="C256">
        <v>10</v>
      </c>
      <c r="D256" s="260">
        <v>46136</v>
      </c>
      <c r="E256" s="260">
        <v>46150</v>
      </c>
      <c r="F256">
        <v>0</v>
      </c>
      <c r="G256" t="s">
        <v>866</v>
      </c>
    </row>
    <row r="257" spans="1:7">
      <c r="A257" t="s">
        <v>1370</v>
      </c>
      <c r="B257" t="s">
        <v>1371</v>
      </c>
      <c r="C257">
        <v>5</v>
      </c>
      <c r="D257" s="260">
        <v>46234</v>
      </c>
      <c r="E257" s="260">
        <v>46240</v>
      </c>
      <c r="F257">
        <v>0</v>
      </c>
      <c r="G257" t="s">
        <v>866</v>
      </c>
    </row>
    <row r="258" spans="1:7">
      <c r="A258" t="s">
        <v>1372</v>
      </c>
      <c r="B258" t="s">
        <v>1373</v>
      </c>
      <c r="C258">
        <v>10</v>
      </c>
      <c r="D258" s="260">
        <v>46272</v>
      </c>
      <c r="E258" s="260">
        <v>46283</v>
      </c>
      <c r="F258">
        <v>4</v>
      </c>
      <c r="G258" t="s">
        <v>866</v>
      </c>
    </row>
    <row r="259" spans="1:7">
      <c r="A259" t="s">
        <v>1374</v>
      </c>
      <c r="B259" t="s">
        <v>1375</v>
      </c>
      <c r="C259">
        <v>5</v>
      </c>
      <c r="D259" s="260">
        <v>46377</v>
      </c>
      <c r="E259" s="260">
        <v>46384</v>
      </c>
      <c r="F259">
        <v>4</v>
      </c>
      <c r="G259" t="s">
        <v>866</v>
      </c>
    </row>
    <row r="260" spans="1:7">
      <c r="A260" t="s">
        <v>1376</v>
      </c>
      <c r="B260" t="s">
        <v>1377</v>
      </c>
      <c r="C260">
        <v>10</v>
      </c>
      <c r="D260" s="260">
        <v>46150</v>
      </c>
      <c r="E260" s="260">
        <v>46163</v>
      </c>
      <c r="F260">
        <v>-33</v>
      </c>
      <c r="G260" t="s">
        <v>866</v>
      </c>
    </row>
    <row r="261" spans="1:7">
      <c r="A261" t="s">
        <v>1378</v>
      </c>
      <c r="B261" t="s">
        <v>1379</v>
      </c>
      <c r="C261">
        <v>5</v>
      </c>
      <c r="D261" s="260">
        <v>46258</v>
      </c>
      <c r="E261" s="260">
        <v>46262</v>
      </c>
      <c r="F261">
        <v>-33</v>
      </c>
      <c r="G261" t="s">
        <v>866</v>
      </c>
    </row>
    <row r="262" spans="1:7">
      <c r="A262" t="s">
        <v>1380</v>
      </c>
      <c r="B262" t="s">
        <v>1381</v>
      </c>
      <c r="C262">
        <v>10</v>
      </c>
      <c r="D262" s="260">
        <v>46150</v>
      </c>
      <c r="E262" s="260">
        <v>46163</v>
      </c>
      <c r="F262">
        <v>0</v>
      </c>
      <c r="G262" t="s">
        <v>866</v>
      </c>
    </row>
    <row r="263" spans="1:7">
      <c r="A263" t="s">
        <v>1382</v>
      </c>
      <c r="B263" t="s">
        <v>1383</v>
      </c>
      <c r="C263">
        <v>5</v>
      </c>
      <c r="D263" s="260">
        <v>46258</v>
      </c>
      <c r="E263" s="260">
        <v>46262</v>
      </c>
      <c r="F263">
        <v>0</v>
      </c>
      <c r="G263" t="s">
        <v>866</v>
      </c>
    </row>
    <row r="264" spans="1:7">
      <c r="A264" t="s">
        <v>1384</v>
      </c>
      <c r="B264" t="s">
        <v>1385</v>
      </c>
      <c r="C264">
        <v>10</v>
      </c>
      <c r="D264" s="260">
        <v>46150</v>
      </c>
      <c r="E264" s="260">
        <v>46163</v>
      </c>
      <c r="F264">
        <v>0</v>
      </c>
      <c r="G264" t="s">
        <v>866</v>
      </c>
    </row>
    <row r="265" spans="1:7">
      <c r="A265" t="s">
        <v>1386</v>
      </c>
      <c r="B265" t="s">
        <v>1387</v>
      </c>
      <c r="C265">
        <v>5</v>
      </c>
      <c r="D265" s="260">
        <v>46258</v>
      </c>
      <c r="E265" s="260">
        <v>46262</v>
      </c>
      <c r="F265">
        <v>0</v>
      </c>
      <c r="G265" t="s">
        <v>866</v>
      </c>
    </row>
    <row r="266" spans="1:7">
      <c r="A266" t="s">
        <v>1388</v>
      </c>
      <c r="B266" t="s">
        <v>1389</v>
      </c>
      <c r="C266">
        <v>10</v>
      </c>
      <c r="D266" s="260">
        <v>46178</v>
      </c>
      <c r="E266" s="260">
        <v>46191</v>
      </c>
      <c r="F266">
        <v>72</v>
      </c>
      <c r="G266" t="s">
        <v>866</v>
      </c>
    </row>
    <row r="267" spans="1:7">
      <c r="A267" t="s">
        <v>1390</v>
      </c>
      <c r="B267" t="s">
        <v>1391</v>
      </c>
      <c r="C267">
        <v>5</v>
      </c>
      <c r="D267" s="260">
        <v>46275</v>
      </c>
      <c r="E267" s="260">
        <v>46281</v>
      </c>
      <c r="F267">
        <v>72</v>
      </c>
      <c r="G267" t="s">
        <v>866</v>
      </c>
    </row>
    <row r="268" spans="1:7">
      <c r="A268" t="s">
        <v>1392</v>
      </c>
      <c r="C268">
        <v>129</v>
      </c>
      <c r="D268" s="260">
        <v>46168</v>
      </c>
      <c r="E268" s="260">
        <v>46358</v>
      </c>
      <c r="F268">
        <v>4</v>
      </c>
      <c r="G268" t="s">
        <v>866</v>
      </c>
    </row>
    <row r="269" spans="1:7">
      <c r="A269" t="s">
        <v>1393</v>
      </c>
      <c r="B269" t="s">
        <v>1394</v>
      </c>
      <c r="C269">
        <v>20</v>
      </c>
      <c r="D269" s="260">
        <v>46237</v>
      </c>
      <c r="E269" s="260">
        <v>46265</v>
      </c>
      <c r="F269">
        <v>-26</v>
      </c>
      <c r="G269" t="s">
        <v>866</v>
      </c>
    </row>
    <row r="270" spans="1:7">
      <c r="A270" t="s">
        <v>1395</v>
      </c>
      <c r="B270" t="s">
        <v>1396</v>
      </c>
      <c r="C270">
        <v>5</v>
      </c>
      <c r="D270" s="260">
        <v>46280</v>
      </c>
      <c r="E270" s="260">
        <v>46286</v>
      </c>
      <c r="F270">
        <v>-26</v>
      </c>
      <c r="G270" t="s">
        <v>866</v>
      </c>
    </row>
    <row r="271" spans="1:7">
      <c r="A271" t="s">
        <v>1397</v>
      </c>
      <c r="B271" t="s">
        <v>1398</v>
      </c>
      <c r="C271">
        <v>20</v>
      </c>
      <c r="D271" s="260">
        <v>46241</v>
      </c>
      <c r="E271" s="260">
        <v>46269</v>
      </c>
      <c r="F271">
        <v>-30</v>
      </c>
      <c r="G271" t="s">
        <v>866</v>
      </c>
    </row>
    <row r="272" spans="1:7">
      <c r="A272" t="s">
        <v>1399</v>
      </c>
      <c r="B272" t="s">
        <v>1400</v>
      </c>
      <c r="C272">
        <v>5</v>
      </c>
      <c r="D272" s="260">
        <v>46286</v>
      </c>
      <c r="E272" s="260">
        <v>46290</v>
      </c>
      <c r="F272">
        <v>-30</v>
      </c>
      <c r="G272" t="s">
        <v>866</v>
      </c>
    </row>
    <row r="273" spans="1:7">
      <c r="A273" t="s">
        <v>1401</v>
      </c>
      <c r="B273" t="s">
        <v>1402</v>
      </c>
      <c r="C273">
        <v>17</v>
      </c>
      <c r="D273" s="260">
        <v>46230</v>
      </c>
      <c r="E273" s="260">
        <v>46258</v>
      </c>
      <c r="F273">
        <v>-21</v>
      </c>
      <c r="G273" t="s">
        <v>866</v>
      </c>
    </row>
    <row r="274" spans="1:7">
      <c r="A274" t="s">
        <v>1403</v>
      </c>
      <c r="B274" t="s">
        <v>1404</v>
      </c>
      <c r="C274">
        <v>5</v>
      </c>
      <c r="D274" s="260">
        <v>46273</v>
      </c>
      <c r="E274" s="260">
        <v>46279</v>
      </c>
      <c r="F274">
        <v>-21</v>
      </c>
      <c r="G274" t="s">
        <v>866</v>
      </c>
    </row>
    <row r="275" spans="1:7">
      <c r="A275" t="s">
        <v>1405</v>
      </c>
      <c r="B275" t="s">
        <v>1406</v>
      </c>
      <c r="C275">
        <v>20</v>
      </c>
      <c r="D275" s="260">
        <v>46267</v>
      </c>
      <c r="E275" s="260">
        <v>46294</v>
      </c>
      <c r="F275">
        <v>-47</v>
      </c>
      <c r="G275" t="s">
        <v>866</v>
      </c>
    </row>
    <row r="276" spans="1:7">
      <c r="A276" t="s">
        <v>1407</v>
      </c>
      <c r="B276" t="s">
        <v>1408</v>
      </c>
      <c r="C276">
        <v>5</v>
      </c>
      <c r="D276" s="260">
        <v>46310</v>
      </c>
      <c r="E276" s="260">
        <v>46316</v>
      </c>
      <c r="F276">
        <v>-47</v>
      </c>
      <c r="G276" t="s">
        <v>866</v>
      </c>
    </row>
    <row r="277" spans="1:7">
      <c r="A277" t="s">
        <v>1409</v>
      </c>
      <c r="B277" t="s">
        <v>1410</v>
      </c>
      <c r="C277">
        <v>20</v>
      </c>
      <c r="D277" s="260">
        <v>46178</v>
      </c>
      <c r="E277" s="260">
        <v>46205</v>
      </c>
      <c r="F277">
        <v>92</v>
      </c>
      <c r="G277" t="s">
        <v>866</v>
      </c>
    </row>
    <row r="278" spans="1:7">
      <c r="A278" t="s">
        <v>1411</v>
      </c>
      <c r="B278" t="s">
        <v>1412</v>
      </c>
      <c r="C278">
        <v>5</v>
      </c>
      <c r="D278" s="260">
        <v>46220</v>
      </c>
      <c r="E278" s="260">
        <v>46226</v>
      </c>
      <c r="F278">
        <v>92</v>
      </c>
      <c r="G278" t="s">
        <v>866</v>
      </c>
    </row>
    <row r="279" spans="1:7">
      <c r="A279" t="s">
        <v>1413</v>
      </c>
      <c r="B279" t="s">
        <v>1414</v>
      </c>
      <c r="C279">
        <v>20</v>
      </c>
      <c r="D279" s="260">
        <v>46255</v>
      </c>
      <c r="E279" s="260">
        <v>46282</v>
      </c>
      <c r="F279">
        <v>41</v>
      </c>
      <c r="G279" t="s">
        <v>866</v>
      </c>
    </row>
    <row r="280" spans="1:7">
      <c r="A280" t="s">
        <v>1415</v>
      </c>
      <c r="B280" t="s">
        <v>1416</v>
      </c>
      <c r="C280">
        <v>5</v>
      </c>
      <c r="D280" s="260">
        <v>46297</v>
      </c>
      <c r="E280" s="260">
        <v>46303</v>
      </c>
      <c r="F280">
        <v>41</v>
      </c>
      <c r="G280" t="s">
        <v>866</v>
      </c>
    </row>
    <row r="281" spans="1:7">
      <c r="A281" t="s">
        <v>1417</v>
      </c>
      <c r="B281" t="s">
        <v>1418</v>
      </c>
      <c r="C281">
        <v>20</v>
      </c>
      <c r="D281" s="260">
        <v>46171</v>
      </c>
      <c r="E281" s="260">
        <v>46202</v>
      </c>
      <c r="F281">
        <v>-34</v>
      </c>
      <c r="G281" t="s">
        <v>866</v>
      </c>
    </row>
    <row r="282" spans="1:7">
      <c r="A282" t="s">
        <v>1419</v>
      </c>
      <c r="B282" t="s">
        <v>1420</v>
      </c>
      <c r="C282">
        <v>5</v>
      </c>
      <c r="D282" s="260">
        <v>46217</v>
      </c>
      <c r="E282" s="260">
        <v>46223</v>
      </c>
      <c r="F282">
        <v>-34</v>
      </c>
      <c r="G282" t="s">
        <v>866</v>
      </c>
    </row>
    <row r="283" spans="1:7">
      <c r="A283" t="s">
        <v>1421</v>
      </c>
      <c r="B283" t="s">
        <v>1422</v>
      </c>
      <c r="C283">
        <v>17</v>
      </c>
      <c r="D283" s="260">
        <v>46210</v>
      </c>
      <c r="E283" s="260">
        <v>46237</v>
      </c>
      <c r="F283">
        <v>0</v>
      </c>
      <c r="G283" t="s">
        <v>866</v>
      </c>
    </row>
    <row r="284" spans="1:7">
      <c r="A284" t="s">
        <v>1423</v>
      </c>
      <c r="B284" t="s">
        <v>1424</v>
      </c>
      <c r="C284">
        <v>5</v>
      </c>
      <c r="D284" s="260">
        <v>46253</v>
      </c>
      <c r="E284" s="260">
        <v>46259</v>
      </c>
      <c r="F284">
        <v>0</v>
      </c>
      <c r="G284" t="s">
        <v>866</v>
      </c>
    </row>
    <row r="285" spans="1:7">
      <c r="A285" t="s">
        <v>1425</v>
      </c>
      <c r="B285" t="s">
        <v>1426</v>
      </c>
      <c r="C285">
        <v>18</v>
      </c>
      <c r="D285" s="260">
        <v>46168</v>
      </c>
      <c r="E285" s="260">
        <v>46195</v>
      </c>
      <c r="F285">
        <v>0</v>
      </c>
      <c r="G285" t="s">
        <v>866</v>
      </c>
    </row>
    <row r="286" spans="1:7">
      <c r="A286" t="s">
        <v>1427</v>
      </c>
      <c r="B286" t="s">
        <v>1428</v>
      </c>
      <c r="C286">
        <v>5</v>
      </c>
      <c r="D286" s="260">
        <v>46210</v>
      </c>
      <c r="E286" s="260">
        <v>46216</v>
      </c>
      <c r="F286">
        <v>0</v>
      </c>
      <c r="G286" t="s">
        <v>866</v>
      </c>
    </row>
    <row r="287" spans="1:7">
      <c r="A287" t="s">
        <v>1429</v>
      </c>
      <c r="B287" t="s">
        <v>1430</v>
      </c>
      <c r="C287">
        <v>14</v>
      </c>
      <c r="D287" s="260">
        <v>46317</v>
      </c>
      <c r="E287" s="260">
        <v>46337</v>
      </c>
      <c r="F287">
        <v>4</v>
      </c>
      <c r="G287" t="s">
        <v>866</v>
      </c>
    </row>
    <row r="288" spans="1:7">
      <c r="A288" t="s">
        <v>1431</v>
      </c>
      <c r="B288" t="s">
        <v>1432</v>
      </c>
      <c r="C288">
        <v>5</v>
      </c>
      <c r="D288" s="260">
        <v>46352</v>
      </c>
      <c r="E288" s="260">
        <v>46358</v>
      </c>
      <c r="F288">
        <v>4</v>
      </c>
      <c r="G288" t="s">
        <v>866</v>
      </c>
    </row>
    <row r="289" spans="1:7">
      <c r="A289" t="s">
        <v>1433</v>
      </c>
      <c r="B289" t="s">
        <v>1434</v>
      </c>
      <c r="C289">
        <v>20</v>
      </c>
      <c r="D289" s="260">
        <v>46189</v>
      </c>
      <c r="E289" s="260">
        <v>46216</v>
      </c>
      <c r="F289">
        <v>-33</v>
      </c>
      <c r="G289" t="s">
        <v>866</v>
      </c>
    </row>
    <row r="290" spans="1:7">
      <c r="A290" t="s">
        <v>1435</v>
      </c>
      <c r="B290" t="s">
        <v>1436</v>
      </c>
      <c r="C290">
        <v>5</v>
      </c>
      <c r="D290" s="260">
        <v>46234</v>
      </c>
      <c r="E290" s="260">
        <v>46240</v>
      </c>
      <c r="F290">
        <v>-33</v>
      </c>
      <c r="G290" t="s">
        <v>866</v>
      </c>
    </row>
    <row r="291" spans="1:7">
      <c r="A291" t="s">
        <v>1437</v>
      </c>
      <c r="B291" t="s">
        <v>1438</v>
      </c>
      <c r="C291">
        <v>20</v>
      </c>
      <c r="D291" s="260">
        <v>46189</v>
      </c>
      <c r="E291" s="260">
        <v>46216</v>
      </c>
      <c r="F291">
        <v>0</v>
      </c>
      <c r="G291" t="s">
        <v>866</v>
      </c>
    </row>
    <row r="292" spans="1:7">
      <c r="A292" t="s">
        <v>1439</v>
      </c>
      <c r="B292" t="s">
        <v>1440</v>
      </c>
      <c r="C292">
        <v>5</v>
      </c>
      <c r="D292" s="260">
        <v>46234</v>
      </c>
      <c r="E292" s="260">
        <v>46240</v>
      </c>
      <c r="F292">
        <v>0</v>
      </c>
      <c r="G292" t="s">
        <v>866</v>
      </c>
    </row>
    <row r="293" spans="1:7">
      <c r="A293" t="s">
        <v>1441</v>
      </c>
      <c r="B293" t="s">
        <v>1442</v>
      </c>
      <c r="C293">
        <v>20</v>
      </c>
      <c r="D293" s="260">
        <v>46189</v>
      </c>
      <c r="E293" s="260">
        <v>46216</v>
      </c>
      <c r="F293">
        <v>0</v>
      </c>
      <c r="G293" t="s">
        <v>866</v>
      </c>
    </row>
    <row r="294" spans="1:7">
      <c r="A294" t="s">
        <v>1443</v>
      </c>
      <c r="B294" t="s">
        <v>1444</v>
      </c>
      <c r="C294">
        <v>5</v>
      </c>
      <c r="D294" s="260">
        <v>46234</v>
      </c>
      <c r="E294" s="260">
        <v>46240</v>
      </c>
      <c r="F294">
        <v>0</v>
      </c>
      <c r="G294" t="s">
        <v>866</v>
      </c>
    </row>
    <row r="295" spans="1:7">
      <c r="A295" t="s">
        <v>1445</v>
      </c>
      <c r="B295" t="s">
        <v>1446</v>
      </c>
      <c r="C295">
        <v>17</v>
      </c>
      <c r="D295" s="260">
        <v>46211</v>
      </c>
      <c r="E295" s="260">
        <v>46238</v>
      </c>
      <c r="F295">
        <v>72</v>
      </c>
      <c r="G295" t="s">
        <v>866</v>
      </c>
    </row>
    <row r="296" spans="1:7">
      <c r="A296" t="s">
        <v>1447</v>
      </c>
      <c r="B296" t="s">
        <v>1448</v>
      </c>
      <c r="C296">
        <v>5</v>
      </c>
      <c r="D296" s="260">
        <v>46254</v>
      </c>
      <c r="E296" s="260">
        <v>46260</v>
      </c>
      <c r="F296">
        <v>72</v>
      </c>
      <c r="G296" t="s">
        <v>866</v>
      </c>
    </row>
    <row r="297" spans="1:7">
      <c r="A297" t="s">
        <v>1449</v>
      </c>
      <c r="C297">
        <v>166</v>
      </c>
      <c r="D297" s="260">
        <v>46121</v>
      </c>
      <c r="E297" s="260">
        <v>46372</v>
      </c>
      <c r="F297">
        <v>20</v>
      </c>
      <c r="G297" t="s">
        <v>866</v>
      </c>
    </row>
    <row r="298" spans="1:7">
      <c r="A298" t="s">
        <v>1450</v>
      </c>
      <c r="B298" t="s">
        <v>1451</v>
      </c>
      <c r="C298">
        <v>20</v>
      </c>
      <c r="D298" s="260">
        <v>46133</v>
      </c>
      <c r="E298" s="260">
        <v>46161</v>
      </c>
      <c r="F298">
        <v>52</v>
      </c>
      <c r="G298" t="s">
        <v>866</v>
      </c>
    </row>
    <row r="299" spans="1:7">
      <c r="A299" t="s">
        <v>1452</v>
      </c>
      <c r="B299" t="s">
        <v>1453</v>
      </c>
      <c r="C299">
        <v>5</v>
      </c>
      <c r="D299" s="260">
        <v>46178</v>
      </c>
      <c r="E299" s="260">
        <v>46184</v>
      </c>
      <c r="F299">
        <v>127</v>
      </c>
      <c r="G299" t="s">
        <v>866</v>
      </c>
    </row>
    <row r="300" spans="1:7">
      <c r="A300" t="s">
        <v>1454</v>
      </c>
      <c r="B300" t="s">
        <v>1455</v>
      </c>
      <c r="C300">
        <v>20</v>
      </c>
      <c r="D300" s="260">
        <v>46140</v>
      </c>
      <c r="E300" s="260">
        <v>46168</v>
      </c>
      <c r="F300">
        <v>112</v>
      </c>
      <c r="G300" t="s">
        <v>866</v>
      </c>
    </row>
    <row r="301" spans="1:7">
      <c r="A301" t="s">
        <v>1456</v>
      </c>
      <c r="B301" t="s">
        <v>1457</v>
      </c>
      <c r="C301">
        <v>5</v>
      </c>
      <c r="D301" s="260">
        <v>46185</v>
      </c>
      <c r="E301" s="260">
        <v>46191</v>
      </c>
      <c r="F301">
        <v>127</v>
      </c>
      <c r="G301" t="s">
        <v>866</v>
      </c>
    </row>
    <row r="302" spans="1:7">
      <c r="A302" t="s">
        <v>1458</v>
      </c>
      <c r="B302" t="s">
        <v>1459</v>
      </c>
      <c r="C302">
        <v>10</v>
      </c>
      <c r="D302" s="260">
        <v>46157</v>
      </c>
      <c r="E302" s="260">
        <v>46170</v>
      </c>
      <c r="F302">
        <v>130</v>
      </c>
      <c r="G302" t="s">
        <v>866</v>
      </c>
    </row>
    <row r="303" spans="1:7">
      <c r="A303" t="s">
        <v>1460</v>
      </c>
      <c r="B303" t="s">
        <v>1461</v>
      </c>
      <c r="C303">
        <v>5</v>
      </c>
      <c r="D303" s="260">
        <v>46189</v>
      </c>
      <c r="E303" s="260">
        <v>46195</v>
      </c>
      <c r="F303">
        <v>130</v>
      </c>
      <c r="G303" t="s">
        <v>866</v>
      </c>
    </row>
    <row r="304" spans="1:7">
      <c r="A304" t="s">
        <v>1462</v>
      </c>
      <c r="B304" t="s">
        <v>1463</v>
      </c>
      <c r="C304">
        <v>10</v>
      </c>
      <c r="D304" s="260">
        <v>46265</v>
      </c>
      <c r="E304" s="260">
        <v>46276</v>
      </c>
      <c r="F304">
        <v>60</v>
      </c>
      <c r="G304" t="s">
        <v>866</v>
      </c>
    </row>
    <row r="305" spans="1:7">
      <c r="A305" t="s">
        <v>1464</v>
      </c>
      <c r="B305" t="s">
        <v>1465</v>
      </c>
      <c r="C305">
        <v>5</v>
      </c>
      <c r="D305" s="260">
        <v>46293</v>
      </c>
      <c r="E305" s="260">
        <v>46297</v>
      </c>
      <c r="F305">
        <v>60</v>
      </c>
      <c r="G305" t="s">
        <v>866</v>
      </c>
    </row>
    <row r="306" spans="1:7">
      <c r="A306" t="s">
        <v>1466</v>
      </c>
      <c r="B306" t="s">
        <v>1467</v>
      </c>
      <c r="C306">
        <v>10</v>
      </c>
      <c r="D306" s="260">
        <v>46322</v>
      </c>
      <c r="E306" s="260">
        <v>46335</v>
      </c>
      <c r="F306">
        <v>21</v>
      </c>
      <c r="G306" t="s">
        <v>866</v>
      </c>
    </row>
    <row r="307" spans="1:7">
      <c r="A307" t="s">
        <v>1468</v>
      </c>
      <c r="B307" t="s">
        <v>1469</v>
      </c>
      <c r="C307">
        <v>5</v>
      </c>
      <c r="D307" s="260">
        <v>46350</v>
      </c>
      <c r="E307" s="260">
        <v>46356</v>
      </c>
      <c r="F307">
        <v>21</v>
      </c>
      <c r="G307" t="s">
        <v>866</v>
      </c>
    </row>
    <row r="308" spans="1:7">
      <c r="A308" t="s">
        <v>1470</v>
      </c>
      <c r="B308" t="s">
        <v>1471</v>
      </c>
      <c r="C308">
        <v>20</v>
      </c>
      <c r="D308" s="260">
        <v>46121</v>
      </c>
      <c r="E308" s="260">
        <v>46154</v>
      </c>
      <c r="F308">
        <v>0</v>
      </c>
      <c r="G308" t="s">
        <v>866</v>
      </c>
    </row>
    <row r="309" spans="1:7">
      <c r="A309" t="s">
        <v>1472</v>
      </c>
      <c r="B309" t="s">
        <v>1473</v>
      </c>
      <c r="C309">
        <v>60</v>
      </c>
      <c r="D309" s="260">
        <v>46155</v>
      </c>
      <c r="E309" s="260">
        <v>46245</v>
      </c>
      <c r="F309">
        <v>0</v>
      </c>
      <c r="G309" t="s">
        <v>866</v>
      </c>
    </row>
    <row r="310" spans="1:7">
      <c r="A310" t="s">
        <v>1474</v>
      </c>
      <c r="B310" t="s">
        <v>1475</v>
      </c>
      <c r="C310">
        <v>45</v>
      </c>
      <c r="D310" s="260">
        <v>46247</v>
      </c>
      <c r="E310" s="260">
        <v>46310</v>
      </c>
      <c r="F310">
        <v>11</v>
      </c>
      <c r="G310" t="s">
        <v>866</v>
      </c>
    </row>
    <row r="311" spans="1:7">
      <c r="A311" t="s">
        <v>1476</v>
      </c>
      <c r="B311" t="s">
        <v>1477</v>
      </c>
      <c r="C311">
        <v>5</v>
      </c>
      <c r="D311" s="260">
        <v>46155</v>
      </c>
      <c r="E311" s="260">
        <v>46161</v>
      </c>
      <c r="F311">
        <v>137</v>
      </c>
      <c r="G311" t="s">
        <v>866</v>
      </c>
    </row>
    <row r="312" spans="1:7">
      <c r="A312" t="s">
        <v>1478</v>
      </c>
      <c r="B312" t="s">
        <v>1479</v>
      </c>
      <c r="C312">
        <v>5</v>
      </c>
      <c r="D312" s="260">
        <v>46247</v>
      </c>
      <c r="E312" s="260">
        <v>46253</v>
      </c>
      <c r="F312">
        <v>92</v>
      </c>
      <c r="G312" t="s">
        <v>866</v>
      </c>
    </row>
    <row r="313" spans="1:7">
      <c r="A313" t="s">
        <v>1480</v>
      </c>
      <c r="B313" t="s">
        <v>1481</v>
      </c>
      <c r="C313">
        <v>5</v>
      </c>
      <c r="D313" s="260">
        <v>46155</v>
      </c>
      <c r="E313" s="260">
        <v>46161</v>
      </c>
      <c r="F313">
        <v>137</v>
      </c>
      <c r="G313" t="s">
        <v>866</v>
      </c>
    </row>
    <row r="314" spans="1:7">
      <c r="A314" t="s">
        <v>1482</v>
      </c>
      <c r="B314" t="s">
        <v>1483</v>
      </c>
      <c r="C314">
        <v>5</v>
      </c>
      <c r="D314" s="260">
        <v>46247</v>
      </c>
      <c r="E314" s="260">
        <v>46253</v>
      </c>
      <c r="F314">
        <v>92</v>
      </c>
      <c r="G314" t="s">
        <v>866</v>
      </c>
    </row>
    <row r="315" spans="1:7">
      <c r="A315" t="s">
        <v>1484</v>
      </c>
      <c r="B315" t="s">
        <v>1485</v>
      </c>
      <c r="C315">
        <v>5</v>
      </c>
      <c r="D315" s="260">
        <v>46162</v>
      </c>
      <c r="E315" s="260">
        <v>46168</v>
      </c>
      <c r="F315">
        <v>52</v>
      </c>
      <c r="G315" t="s">
        <v>866</v>
      </c>
    </row>
    <row r="316" spans="1:7">
      <c r="A316" t="s">
        <v>1486</v>
      </c>
      <c r="B316" t="s">
        <v>1487</v>
      </c>
      <c r="C316">
        <v>5</v>
      </c>
      <c r="D316" s="260">
        <v>46185</v>
      </c>
      <c r="E316" s="260">
        <v>46191</v>
      </c>
      <c r="F316">
        <v>127</v>
      </c>
      <c r="G316" t="s">
        <v>866</v>
      </c>
    </row>
    <row r="317" spans="1:7">
      <c r="A317" t="s">
        <v>1488</v>
      </c>
      <c r="B317" t="s">
        <v>1489</v>
      </c>
      <c r="C317">
        <v>20</v>
      </c>
      <c r="D317" s="260">
        <v>46162</v>
      </c>
      <c r="E317" s="260">
        <v>46191</v>
      </c>
      <c r="F317">
        <v>52</v>
      </c>
      <c r="G317" t="s">
        <v>866</v>
      </c>
    </row>
    <row r="318" spans="1:7">
      <c r="A318" t="s">
        <v>1490</v>
      </c>
      <c r="B318" t="s">
        <v>1491</v>
      </c>
      <c r="C318">
        <v>5</v>
      </c>
      <c r="D318" s="260">
        <v>46206</v>
      </c>
      <c r="E318" s="260">
        <v>46212</v>
      </c>
      <c r="F318">
        <v>117</v>
      </c>
      <c r="G318" t="s">
        <v>866</v>
      </c>
    </row>
    <row r="319" spans="1:7">
      <c r="A319" t="s">
        <v>1492</v>
      </c>
      <c r="B319" t="s">
        <v>1493</v>
      </c>
      <c r="C319">
        <v>20</v>
      </c>
      <c r="D319" s="260">
        <v>46162</v>
      </c>
      <c r="E319" s="260">
        <v>46191</v>
      </c>
      <c r="F319">
        <v>117</v>
      </c>
      <c r="G319" t="s">
        <v>866</v>
      </c>
    </row>
    <row r="320" spans="1:7">
      <c r="A320" t="s">
        <v>1494</v>
      </c>
      <c r="B320" t="s">
        <v>1495</v>
      </c>
      <c r="C320">
        <v>5</v>
      </c>
      <c r="D320" s="260">
        <v>46206</v>
      </c>
      <c r="E320" s="260">
        <v>46212</v>
      </c>
      <c r="F320">
        <v>117</v>
      </c>
      <c r="G320" t="s">
        <v>866</v>
      </c>
    </row>
    <row r="321" spans="1:7">
      <c r="A321" t="s">
        <v>1496</v>
      </c>
      <c r="B321" t="s">
        <v>1497</v>
      </c>
      <c r="C321">
        <v>15</v>
      </c>
      <c r="D321" s="260">
        <v>46140</v>
      </c>
      <c r="E321" s="260">
        <v>46161</v>
      </c>
      <c r="F321">
        <v>112</v>
      </c>
      <c r="G321" t="s">
        <v>866</v>
      </c>
    </row>
    <row r="322" spans="1:7">
      <c r="A322" t="s">
        <v>1498</v>
      </c>
      <c r="B322" t="s">
        <v>1499</v>
      </c>
      <c r="C322">
        <v>10</v>
      </c>
      <c r="D322" s="260">
        <v>46178</v>
      </c>
      <c r="E322" s="260">
        <v>46191</v>
      </c>
      <c r="F322">
        <v>112</v>
      </c>
      <c r="G322" t="s">
        <v>866</v>
      </c>
    </row>
    <row r="323" spans="1:7">
      <c r="A323" t="s">
        <v>1500</v>
      </c>
      <c r="B323" t="s">
        <v>1501</v>
      </c>
      <c r="C323">
        <v>10</v>
      </c>
      <c r="D323" s="260">
        <v>46206</v>
      </c>
      <c r="E323" s="260">
        <v>46219</v>
      </c>
      <c r="F323">
        <v>112</v>
      </c>
      <c r="G323" t="s">
        <v>866</v>
      </c>
    </row>
    <row r="324" spans="1:7">
      <c r="A324" t="s">
        <v>1502</v>
      </c>
      <c r="B324" t="s">
        <v>1503</v>
      </c>
      <c r="C324">
        <v>15</v>
      </c>
      <c r="D324" s="260">
        <v>46169</v>
      </c>
      <c r="E324" s="260">
        <v>46191</v>
      </c>
      <c r="F324">
        <v>52</v>
      </c>
      <c r="G324" t="s">
        <v>866</v>
      </c>
    </row>
    <row r="325" spans="1:7">
      <c r="A325" t="s">
        <v>1504</v>
      </c>
      <c r="B325" t="s">
        <v>1505</v>
      </c>
      <c r="C325">
        <v>10</v>
      </c>
      <c r="D325" s="260">
        <v>46206</v>
      </c>
      <c r="E325" s="260">
        <v>46219</v>
      </c>
      <c r="F325">
        <v>92</v>
      </c>
      <c r="G325" t="s">
        <v>866</v>
      </c>
    </row>
    <row r="326" spans="1:7">
      <c r="A326" t="s">
        <v>1506</v>
      </c>
      <c r="B326" t="s">
        <v>1507</v>
      </c>
      <c r="C326">
        <v>10</v>
      </c>
      <c r="D326" s="260">
        <v>46239</v>
      </c>
      <c r="E326" s="260">
        <v>46253</v>
      </c>
      <c r="F326">
        <v>92</v>
      </c>
      <c r="G326" t="s">
        <v>866</v>
      </c>
    </row>
    <row r="327" spans="1:7">
      <c r="A327" t="s">
        <v>1508</v>
      </c>
      <c r="B327" t="s">
        <v>1509</v>
      </c>
      <c r="C327">
        <v>15</v>
      </c>
      <c r="D327" s="260">
        <v>46121</v>
      </c>
      <c r="E327" s="260">
        <v>46147</v>
      </c>
      <c r="F327">
        <v>47</v>
      </c>
      <c r="G327" t="s">
        <v>866</v>
      </c>
    </row>
    <row r="328" spans="1:7">
      <c r="A328" t="s">
        <v>1510</v>
      </c>
      <c r="B328" t="s">
        <v>1511</v>
      </c>
      <c r="C328">
        <v>15</v>
      </c>
      <c r="D328" s="260">
        <v>46192</v>
      </c>
      <c r="E328" s="260">
        <v>46212</v>
      </c>
      <c r="F328">
        <v>47</v>
      </c>
      <c r="G328" t="s">
        <v>866</v>
      </c>
    </row>
    <row r="329" spans="1:7">
      <c r="A329" t="s">
        <v>1512</v>
      </c>
      <c r="B329" t="s">
        <v>1513</v>
      </c>
      <c r="C329">
        <v>10</v>
      </c>
      <c r="D329" s="260">
        <v>46261</v>
      </c>
      <c r="E329" s="260">
        <v>46274</v>
      </c>
      <c r="F329">
        <v>47</v>
      </c>
      <c r="G329" t="s">
        <v>866</v>
      </c>
    </row>
    <row r="330" spans="1:7">
      <c r="A330" t="s">
        <v>1514</v>
      </c>
      <c r="B330" t="s">
        <v>1515</v>
      </c>
      <c r="C330">
        <v>15</v>
      </c>
      <c r="D330" s="260">
        <v>46121</v>
      </c>
      <c r="E330" s="260">
        <v>46147</v>
      </c>
      <c r="F330">
        <v>47</v>
      </c>
      <c r="G330" t="s">
        <v>866</v>
      </c>
    </row>
    <row r="331" spans="1:7">
      <c r="A331" t="s">
        <v>1516</v>
      </c>
      <c r="B331" t="s">
        <v>1517</v>
      </c>
      <c r="C331">
        <v>15</v>
      </c>
      <c r="D331" s="260">
        <v>46192</v>
      </c>
      <c r="E331" s="260">
        <v>46212</v>
      </c>
      <c r="F331">
        <v>47</v>
      </c>
      <c r="G331" t="s">
        <v>866</v>
      </c>
    </row>
    <row r="332" spans="1:7">
      <c r="A332" t="s">
        <v>1518</v>
      </c>
      <c r="B332" t="s">
        <v>1519</v>
      </c>
      <c r="C332">
        <v>10</v>
      </c>
      <c r="D332" s="260">
        <v>46261</v>
      </c>
      <c r="E332" s="260">
        <v>46274</v>
      </c>
      <c r="F332">
        <v>47</v>
      </c>
      <c r="G332" t="s">
        <v>866</v>
      </c>
    </row>
    <row r="333" spans="1:7">
      <c r="A333" t="s">
        <v>1520</v>
      </c>
      <c r="B333" t="s">
        <v>1521</v>
      </c>
      <c r="C333">
        <v>15</v>
      </c>
      <c r="D333" s="260">
        <v>46121</v>
      </c>
      <c r="E333" s="260">
        <v>46147</v>
      </c>
      <c r="F333">
        <v>65</v>
      </c>
      <c r="G333" t="s">
        <v>866</v>
      </c>
    </row>
    <row r="334" spans="1:7">
      <c r="A334" t="s">
        <v>1522</v>
      </c>
      <c r="B334" t="s">
        <v>1523</v>
      </c>
      <c r="C334">
        <v>15</v>
      </c>
      <c r="D334" s="260">
        <v>46192</v>
      </c>
      <c r="E334" s="260">
        <v>46212</v>
      </c>
      <c r="F334">
        <v>67</v>
      </c>
      <c r="G334" t="s">
        <v>866</v>
      </c>
    </row>
    <row r="335" spans="1:7">
      <c r="A335" t="s">
        <v>1524</v>
      </c>
      <c r="B335" t="s">
        <v>1525</v>
      </c>
      <c r="C335">
        <v>10</v>
      </c>
      <c r="D335" s="260">
        <v>46261</v>
      </c>
      <c r="E335" s="260">
        <v>46274</v>
      </c>
      <c r="F335">
        <v>47</v>
      </c>
      <c r="G335" t="s">
        <v>866</v>
      </c>
    </row>
    <row r="336" spans="1:7">
      <c r="A336" t="s">
        <v>1526</v>
      </c>
      <c r="B336" t="s">
        <v>1527</v>
      </c>
      <c r="C336">
        <v>15</v>
      </c>
      <c r="D336" s="260">
        <v>46121</v>
      </c>
      <c r="E336" s="260">
        <v>46147</v>
      </c>
      <c r="F336">
        <v>32</v>
      </c>
      <c r="G336" t="s">
        <v>866</v>
      </c>
    </row>
    <row r="337" spans="1:7">
      <c r="A337" t="s">
        <v>1528</v>
      </c>
      <c r="B337" t="s">
        <v>1529</v>
      </c>
      <c r="C337">
        <v>15</v>
      </c>
      <c r="D337" s="260">
        <v>46192</v>
      </c>
      <c r="E337" s="260">
        <v>46212</v>
      </c>
      <c r="F337">
        <v>42</v>
      </c>
      <c r="G337" t="s">
        <v>866</v>
      </c>
    </row>
    <row r="338" spans="1:7">
      <c r="A338" t="s">
        <v>1530</v>
      </c>
      <c r="B338" t="s">
        <v>1531</v>
      </c>
      <c r="C338">
        <v>10</v>
      </c>
      <c r="D338" s="260">
        <v>46261</v>
      </c>
      <c r="E338" s="260">
        <v>46274</v>
      </c>
      <c r="F338">
        <v>47</v>
      </c>
      <c r="G338" t="s">
        <v>866</v>
      </c>
    </row>
    <row r="339" spans="1:7">
      <c r="A339" t="s">
        <v>1532</v>
      </c>
      <c r="B339" t="s">
        <v>1533</v>
      </c>
      <c r="C339">
        <v>15</v>
      </c>
      <c r="D339" s="260">
        <v>46121</v>
      </c>
      <c r="E339" s="260">
        <v>46147</v>
      </c>
      <c r="F339">
        <v>32</v>
      </c>
      <c r="G339" t="s">
        <v>866</v>
      </c>
    </row>
    <row r="340" spans="1:7">
      <c r="A340" t="s">
        <v>1534</v>
      </c>
      <c r="B340" t="s">
        <v>1535</v>
      </c>
      <c r="C340">
        <v>15</v>
      </c>
      <c r="D340" s="260">
        <v>46192</v>
      </c>
      <c r="E340" s="260">
        <v>46212</v>
      </c>
      <c r="F340">
        <v>42</v>
      </c>
      <c r="G340" t="s">
        <v>866</v>
      </c>
    </row>
    <row r="341" spans="1:7">
      <c r="A341" t="s">
        <v>1536</v>
      </c>
      <c r="B341" t="s">
        <v>1537</v>
      </c>
      <c r="C341">
        <v>10</v>
      </c>
      <c r="D341" s="260">
        <v>46261</v>
      </c>
      <c r="E341" s="260">
        <v>46274</v>
      </c>
      <c r="F341">
        <v>47</v>
      </c>
      <c r="G341" t="s">
        <v>866</v>
      </c>
    </row>
    <row r="342" spans="1:7">
      <c r="A342" t="s">
        <v>1538</v>
      </c>
      <c r="B342" t="s">
        <v>1539</v>
      </c>
      <c r="C342">
        <v>15</v>
      </c>
      <c r="D342" s="260">
        <v>46121</v>
      </c>
      <c r="E342" s="260">
        <v>46147</v>
      </c>
      <c r="F342">
        <v>65</v>
      </c>
      <c r="G342" t="s">
        <v>866</v>
      </c>
    </row>
    <row r="343" spans="1:7">
      <c r="A343" t="s">
        <v>1540</v>
      </c>
      <c r="B343" t="s">
        <v>1541</v>
      </c>
      <c r="C343">
        <v>15</v>
      </c>
      <c r="D343" s="260">
        <v>46192</v>
      </c>
      <c r="E343" s="260">
        <v>46212</v>
      </c>
      <c r="F343">
        <v>87</v>
      </c>
      <c r="G343" t="s">
        <v>866</v>
      </c>
    </row>
    <row r="344" spans="1:7">
      <c r="A344" t="s">
        <v>1542</v>
      </c>
      <c r="B344" t="s">
        <v>1543</v>
      </c>
      <c r="C344">
        <v>10</v>
      </c>
      <c r="D344" s="260">
        <v>46261</v>
      </c>
      <c r="E344" s="260">
        <v>46274</v>
      </c>
      <c r="F344">
        <v>67</v>
      </c>
      <c r="G344" t="s">
        <v>866</v>
      </c>
    </row>
    <row r="345" spans="1:7">
      <c r="A345" t="s">
        <v>1544</v>
      </c>
      <c r="B345" t="s">
        <v>1545</v>
      </c>
      <c r="C345">
        <v>35</v>
      </c>
      <c r="D345" s="260">
        <v>46265</v>
      </c>
      <c r="E345" s="260">
        <v>46314</v>
      </c>
      <c r="F345">
        <v>25</v>
      </c>
      <c r="G345" t="s">
        <v>866</v>
      </c>
    </row>
    <row r="346" spans="1:7">
      <c r="A346" t="s">
        <v>1546</v>
      </c>
      <c r="B346" t="s">
        <v>1547</v>
      </c>
      <c r="C346">
        <v>15</v>
      </c>
      <c r="D346" s="260">
        <v>46330</v>
      </c>
      <c r="E346" s="260">
        <v>46350</v>
      </c>
      <c r="F346">
        <v>25</v>
      </c>
      <c r="G346" t="s">
        <v>866</v>
      </c>
    </row>
    <row r="347" spans="1:7">
      <c r="A347" t="s">
        <v>1548</v>
      </c>
      <c r="B347" t="s">
        <v>1549</v>
      </c>
      <c r="C347">
        <v>35</v>
      </c>
      <c r="D347" s="260">
        <v>46265</v>
      </c>
      <c r="E347" s="260">
        <v>46314</v>
      </c>
      <c r="F347">
        <v>25</v>
      </c>
      <c r="G347" t="s">
        <v>866</v>
      </c>
    </row>
    <row r="348" spans="1:7">
      <c r="A348" t="s">
        <v>1550</v>
      </c>
      <c r="B348" t="s">
        <v>1551</v>
      </c>
      <c r="C348">
        <v>15</v>
      </c>
      <c r="D348" s="260">
        <v>46330</v>
      </c>
      <c r="E348" s="260">
        <v>46350</v>
      </c>
      <c r="F348">
        <v>25</v>
      </c>
      <c r="G348" t="s">
        <v>866</v>
      </c>
    </row>
    <row r="349" spans="1:7">
      <c r="A349" t="s">
        <v>1552</v>
      </c>
      <c r="B349" t="s">
        <v>1553</v>
      </c>
      <c r="C349">
        <v>15</v>
      </c>
      <c r="D349" s="260">
        <v>46148</v>
      </c>
      <c r="E349" s="260">
        <v>46168</v>
      </c>
      <c r="F349">
        <v>117</v>
      </c>
      <c r="G349" t="s">
        <v>866</v>
      </c>
    </row>
    <row r="350" spans="1:7">
      <c r="A350" t="s">
        <v>1554</v>
      </c>
      <c r="B350" t="s">
        <v>1555</v>
      </c>
      <c r="C350">
        <v>10</v>
      </c>
      <c r="D350" s="260">
        <v>46199</v>
      </c>
      <c r="E350" s="260">
        <v>46212</v>
      </c>
      <c r="F350">
        <v>117</v>
      </c>
      <c r="G350" t="s">
        <v>866</v>
      </c>
    </row>
    <row r="351" spans="1:7">
      <c r="A351" t="s">
        <v>1556</v>
      </c>
      <c r="B351" t="s">
        <v>1557</v>
      </c>
      <c r="C351">
        <v>15</v>
      </c>
      <c r="D351" s="260">
        <v>46322</v>
      </c>
      <c r="E351" s="260">
        <v>46342</v>
      </c>
      <c r="F351">
        <v>11</v>
      </c>
      <c r="G351" t="s">
        <v>866</v>
      </c>
    </row>
    <row r="352" spans="1:7">
      <c r="A352" t="s">
        <v>1558</v>
      </c>
      <c r="B352" t="s">
        <v>1559</v>
      </c>
      <c r="C352">
        <v>10</v>
      </c>
      <c r="D352" s="260">
        <v>46357</v>
      </c>
      <c r="E352" s="260">
        <v>46372</v>
      </c>
      <c r="F352">
        <v>11</v>
      </c>
      <c r="G352" t="s">
        <v>866</v>
      </c>
    </row>
    <row r="353" spans="1:7">
      <c r="A353" t="s">
        <v>1560</v>
      </c>
      <c r="B353" t="s">
        <v>1561</v>
      </c>
      <c r="C353">
        <v>20</v>
      </c>
      <c r="D353" s="260">
        <v>46258</v>
      </c>
      <c r="E353" s="260">
        <v>46283</v>
      </c>
      <c r="F353">
        <v>50</v>
      </c>
      <c r="G353" t="s">
        <v>866</v>
      </c>
    </row>
    <row r="354" spans="1:7">
      <c r="A354" t="s">
        <v>1562</v>
      </c>
      <c r="B354" t="s">
        <v>1563</v>
      </c>
      <c r="C354">
        <v>10</v>
      </c>
      <c r="D354" s="260">
        <v>46300</v>
      </c>
      <c r="E354" s="260">
        <v>46314</v>
      </c>
      <c r="F354">
        <v>50</v>
      </c>
      <c r="G354" t="s">
        <v>866</v>
      </c>
    </row>
    <row r="355" spans="1:7">
      <c r="A355" t="s">
        <v>1564</v>
      </c>
      <c r="B355" t="s">
        <v>1565</v>
      </c>
      <c r="C355">
        <v>20</v>
      </c>
      <c r="D355" s="260">
        <v>46258</v>
      </c>
      <c r="E355" s="260">
        <v>46283</v>
      </c>
      <c r="F355">
        <v>50</v>
      </c>
      <c r="G355" t="s">
        <v>866</v>
      </c>
    </row>
    <row r="356" spans="1:7">
      <c r="A356" t="s">
        <v>1566</v>
      </c>
      <c r="B356" t="s">
        <v>1567</v>
      </c>
      <c r="C356">
        <v>10</v>
      </c>
      <c r="D356" s="260">
        <v>46300</v>
      </c>
      <c r="E356" s="260">
        <v>46314</v>
      </c>
      <c r="F356">
        <v>50</v>
      </c>
      <c r="G356" t="s">
        <v>866</v>
      </c>
    </row>
    <row r="357" spans="1:7">
      <c r="A357" t="s">
        <v>1568</v>
      </c>
      <c r="B357" t="s">
        <v>1569</v>
      </c>
      <c r="C357">
        <v>20</v>
      </c>
      <c r="D357" s="260">
        <v>46258</v>
      </c>
      <c r="E357" s="260">
        <v>46283</v>
      </c>
      <c r="F357">
        <v>50</v>
      </c>
      <c r="G357" t="s">
        <v>866</v>
      </c>
    </row>
    <row r="358" spans="1:7">
      <c r="A358" t="s">
        <v>1570</v>
      </c>
      <c r="B358" t="s">
        <v>1571</v>
      </c>
      <c r="C358">
        <v>10</v>
      </c>
      <c r="D358" s="260">
        <v>46300</v>
      </c>
      <c r="E358" s="260">
        <v>46314</v>
      </c>
      <c r="F358">
        <v>50</v>
      </c>
      <c r="G358" t="s">
        <v>866</v>
      </c>
    </row>
    <row r="359" spans="1:7">
      <c r="A359" t="s">
        <v>1572</v>
      </c>
      <c r="B359" t="s">
        <v>1573</v>
      </c>
      <c r="C359">
        <v>20</v>
      </c>
      <c r="D359" s="260">
        <v>46258</v>
      </c>
      <c r="E359" s="260">
        <v>46283</v>
      </c>
      <c r="F359">
        <v>50</v>
      </c>
      <c r="G359" t="s">
        <v>866</v>
      </c>
    </row>
    <row r="360" spans="1:7">
      <c r="A360" t="s">
        <v>1574</v>
      </c>
      <c r="B360" t="s">
        <v>1575</v>
      </c>
      <c r="C360">
        <v>10</v>
      </c>
      <c r="D360" s="260">
        <v>46300</v>
      </c>
      <c r="E360" s="260">
        <v>46314</v>
      </c>
      <c r="F360">
        <v>50</v>
      </c>
      <c r="G360" t="s">
        <v>866</v>
      </c>
    </row>
    <row r="361" spans="1:7">
      <c r="A361" t="s">
        <v>1576</v>
      </c>
      <c r="B361" t="s">
        <v>1577</v>
      </c>
      <c r="C361">
        <v>20</v>
      </c>
      <c r="D361" s="260">
        <v>46258</v>
      </c>
      <c r="E361" s="260">
        <v>46283</v>
      </c>
      <c r="F361">
        <v>50</v>
      </c>
      <c r="G361" t="s">
        <v>866</v>
      </c>
    </row>
    <row r="362" spans="1:7">
      <c r="A362" t="s">
        <v>1578</v>
      </c>
      <c r="B362" t="s">
        <v>1579</v>
      </c>
      <c r="C362">
        <v>10</v>
      </c>
      <c r="D362" s="260">
        <v>46300</v>
      </c>
      <c r="E362" s="260">
        <v>46314</v>
      </c>
      <c r="F362">
        <v>50</v>
      </c>
      <c r="G362" t="s">
        <v>866</v>
      </c>
    </row>
    <row r="363" spans="1:7">
      <c r="A363" t="s">
        <v>1580</v>
      </c>
      <c r="B363" t="s">
        <v>1581</v>
      </c>
      <c r="C363">
        <v>20</v>
      </c>
      <c r="D363" s="260">
        <v>46265</v>
      </c>
      <c r="E363" s="260">
        <v>46290</v>
      </c>
      <c r="F363">
        <v>45</v>
      </c>
      <c r="G363" t="s">
        <v>866</v>
      </c>
    </row>
    <row r="364" spans="1:7">
      <c r="A364" t="s">
        <v>1582</v>
      </c>
      <c r="B364" t="s">
        <v>1583</v>
      </c>
      <c r="C364">
        <v>10</v>
      </c>
      <c r="D364" s="260">
        <v>46307</v>
      </c>
      <c r="E364" s="260">
        <v>46322</v>
      </c>
      <c r="F364">
        <v>45</v>
      </c>
      <c r="G364" t="s">
        <v>866</v>
      </c>
    </row>
    <row r="365" spans="1:7">
      <c r="A365" t="s">
        <v>1584</v>
      </c>
      <c r="B365" t="s">
        <v>1585</v>
      </c>
      <c r="C365">
        <v>20</v>
      </c>
      <c r="D365" s="260">
        <v>46265</v>
      </c>
      <c r="E365" s="260">
        <v>46290</v>
      </c>
      <c r="F365">
        <v>45</v>
      </c>
      <c r="G365" t="s">
        <v>866</v>
      </c>
    </row>
    <row r="366" spans="1:7">
      <c r="A366" t="s">
        <v>1586</v>
      </c>
      <c r="B366" t="s">
        <v>1587</v>
      </c>
      <c r="C366">
        <v>10</v>
      </c>
      <c r="D366" s="260">
        <v>46307</v>
      </c>
      <c r="E366" s="260">
        <v>46322</v>
      </c>
      <c r="F366">
        <v>45</v>
      </c>
      <c r="G366" t="s">
        <v>866</v>
      </c>
    </row>
    <row r="367" spans="1:7">
      <c r="A367" t="s">
        <v>1588</v>
      </c>
      <c r="B367" t="s">
        <v>1589</v>
      </c>
      <c r="C367">
        <v>20</v>
      </c>
      <c r="D367" s="260">
        <v>46265</v>
      </c>
      <c r="E367" s="260">
        <v>46290</v>
      </c>
      <c r="F367">
        <v>45</v>
      </c>
      <c r="G367" t="s">
        <v>866</v>
      </c>
    </row>
    <row r="368" spans="1:7">
      <c r="A368" t="s">
        <v>1590</v>
      </c>
      <c r="B368" t="s">
        <v>1591</v>
      </c>
      <c r="C368">
        <v>10</v>
      </c>
      <c r="D368" s="260">
        <v>46307</v>
      </c>
      <c r="E368" s="260">
        <v>46322</v>
      </c>
      <c r="F368">
        <v>45</v>
      </c>
      <c r="G368" t="s">
        <v>866</v>
      </c>
    </row>
    <row r="369" spans="1:7">
      <c r="A369" t="s">
        <v>1592</v>
      </c>
      <c r="B369" t="s">
        <v>1593</v>
      </c>
      <c r="C369">
        <v>20</v>
      </c>
      <c r="D369" s="260">
        <v>46265</v>
      </c>
      <c r="E369" s="260">
        <v>46290</v>
      </c>
      <c r="F369">
        <v>45</v>
      </c>
      <c r="G369" t="s">
        <v>866</v>
      </c>
    </row>
    <row r="370" spans="1:7">
      <c r="A370" t="s">
        <v>1594</v>
      </c>
      <c r="B370" t="s">
        <v>1595</v>
      </c>
      <c r="C370">
        <v>10</v>
      </c>
      <c r="D370" s="260">
        <v>46307</v>
      </c>
      <c r="E370" s="260">
        <v>46322</v>
      </c>
      <c r="F370">
        <v>45</v>
      </c>
      <c r="G370" t="s">
        <v>866</v>
      </c>
    </row>
    <row r="371" spans="1:7">
      <c r="A371" t="s">
        <v>1596</v>
      </c>
      <c r="B371" t="s">
        <v>1597</v>
      </c>
      <c r="C371">
        <v>20</v>
      </c>
      <c r="D371" s="260">
        <v>46265</v>
      </c>
      <c r="E371" s="260">
        <v>46290</v>
      </c>
      <c r="F371">
        <v>45</v>
      </c>
      <c r="G371" t="s">
        <v>866</v>
      </c>
    </row>
    <row r="372" spans="1:7">
      <c r="A372" t="s">
        <v>1598</v>
      </c>
      <c r="B372" t="s">
        <v>1599</v>
      </c>
      <c r="C372">
        <v>10</v>
      </c>
      <c r="D372" s="260">
        <v>46307</v>
      </c>
      <c r="E372" s="260">
        <v>46322</v>
      </c>
      <c r="F372">
        <v>45</v>
      </c>
      <c r="G372" t="s">
        <v>866</v>
      </c>
    </row>
    <row r="373" spans="1:7">
      <c r="A373" t="s">
        <v>1600</v>
      </c>
      <c r="B373" t="s">
        <v>1601</v>
      </c>
      <c r="C373">
        <v>10</v>
      </c>
      <c r="D373" s="260">
        <v>46148</v>
      </c>
      <c r="E373" s="260">
        <v>46161</v>
      </c>
      <c r="F373">
        <v>65</v>
      </c>
      <c r="G373" t="s">
        <v>866</v>
      </c>
    </row>
    <row r="374" spans="1:7">
      <c r="A374" t="s">
        <v>1602</v>
      </c>
      <c r="B374" t="s">
        <v>1603</v>
      </c>
      <c r="C374">
        <v>10</v>
      </c>
      <c r="D374" s="260">
        <v>46178</v>
      </c>
      <c r="E374" s="260">
        <v>46191</v>
      </c>
      <c r="F374">
        <v>107</v>
      </c>
      <c r="G374" t="s">
        <v>866</v>
      </c>
    </row>
    <row r="375" spans="1:7">
      <c r="A375" t="s">
        <v>1604</v>
      </c>
      <c r="B375" t="s">
        <v>1605</v>
      </c>
      <c r="C375">
        <v>5</v>
      </c>
      <c r="D375" s="260">
        <v>46206</v>
      </c>
      <c r="E375" s="260">
        <v>46212</v>
      </c>
      <c r="F375">
        <v>107</v>
      </c>
      <c r="G375" t="s">
        <v>866</v>
      </c>
    </row>
    <row r="376" spans="1:7">
      <c r="A376" t="s">
        <v>1606</v>
      </c>
      <c r="B376" t="s">
        <v>1607</v>
      </c>
      <c r="C376">
        <v>20</v>
      </c>
      <c r="D376" s="260">
        <v>46224</v>
      </c>
      <c r="E376" s="260">
        <v>46255</v>
      </c>
      <c r="F376">
        <v>55</v>
      </c>
      <c r="G376" t="s">
        <v>866</v>
      </c>
    </row>
    <row r="377" spans="1:7">
      <c r="A377" t="s">
        <v>1608</v>
      </c>
      <c r="B377" t="s">
        <v>1609</v>
      </c>
      <c r="C377">
        <v>10</v>
      </c>
      <c r="D377" s="260">
        <v>46286</v>
      </c>
      <c r="E377" s="260">
        <v>46297</v>
      </c>
      <c r="F377">
        <v>45</v>
      </c>
      <c r="G377" t="s">
        <v>866</v>
      </c>
    </row>
    <row r="378" spans="1:7">
      <c r="A378" t="s">
        <v>1610</v>
      </c>
      <c r="B378" t="s">
        <v>1611</v>
      </c>
      <c r="C378">
        <v>5</v>
      </c>
      <c r="D378" s="260">
        <v>46343</v>
      </c>
      <c r="E378" s="260">
        <v>46349</v>
      </c>
      <c r="F378">
        <v>26</v>
      </c>
      <c r="G378" t="s">
        <v>866</v>
      </c>
    </row>
    <row r="379" spans="1:7">
      <c r="A379" t="s">
        <v>1612</v>
      </c>
      <c r="B379" t="s">
        <v>1613</v>
      </c>
      <c r="C379">
        <v>15</v>
      </c>
      <c r="D379" s="260">
        <v>46148</v>
      </c>
      <c r="E379" s="260">
        <v>46168</v>
      </c>
      <c r="F379">
        <v>69</v>
      </c>
      <c r="G379" t="s">
        <v>866</v>
      </c>
    </row>
    <row r="380" spans="1:7">
      <c r="A380" t="s">
        <v>1614</v>
      </c>
      <c r="B380" t="s">
        <v>1615</v>
      </c>
      <c r="C380">
        <v>10</v>
      </c>
      <c r="D380" s="260">
        <v>46185</v>
      </c>
      <c r="E380" s="260">
        <v>46198</v>
      </c>
      <c r="F380">
        <v>112</v>
      </c>
      <c r="G380" t="s">
        <v>866</v>
      </c>
    </row>
    <row r="381" spans="1:7">
      <c r="A381" t="s">
        <v>1616</v>
      </c>
      <c r="B381" t="s">
        <v>1617</v>
      </c>
      <c r="C381">
        <v>5</v>
      </c>
      <c r="D381" s="260">
        <v>46213</v>
      </c>
      <c r="E381" s="260">
        <v>46219</v>
      </c>
      <c r="F381">
        <v>112</v>
      </c>
      <c r="G381" t="s">
        <v>866</v>
      </c>
    </row>
    <row r="382" spans="1:7">
      <c r="A382" t="s">
        <v>1618</v>
      </c>
      <c r="B382" t="s">
        <v>1619</v>
      </c>
      <c r="C382">
        <v>20</v>
      </c>
      <c r="D382" s="260">
        <v>46224</v>
      </c>
      <c r="E382" s="260">
        <v>46255</v>
      </c>
      <c r="F382">
        <v>55</v>
      </c>
      <c r="G382" t="s">
        <v>866</v>
      </c>
    </row>
    <row r="383" spans="1:7">
      <c r="A383" t="s">
        <v>1620</v>
      </c>
      <c r="B383" t="s">
        <v>1621</v>
      </c>
      <c r="C383">
        <v>10</v>
      </c>
      <c r="D383" s="260">
        <v>46286</v>
      </c>
      <c r="E383" s="260">
        <v>46297</v>
      </c>
      <c r="F383">
        <v>45</v>
      </c>
      <c r="G383" t="s">
        <v>866</v>
      </c>
    </row>
    <row r="384" spans="1:7">
      <c r="A384" t="s">
        <v>1622</v>
      </c>
      <c r="B384" t="s">
        <v>1623</v>
      </c>
      <c r="C384">
        <v>5</v>
      </c>
      <c r="D384" s="260">
        <v>46343</v>
      </c>
      <c r="E384" s="260">
        <v>46349</v>
      </c>
      <c r="F384">
        <v>26</v>
      </c>
      <c r="G384" t="s">
        <v>866</v>
      </c>
    </row>
    <row r="385" spans="1:7">
      <c r="A385" t="s">
        <v>1624</v>
      </c>
      <c r="B385" t="s">
        <v>1625</v>
      </c>
      <c r="C385">
        <v>20</v>
      </c>
      <c r="D385" s="260">
        <v>46258</v>
      </c>
      <c r="E385" s="260">
        <v>46283</v>
      </c>
      <c r="F385">
        <v>40</v>
      </c>
      <c r="G385" t="s">
        <v>866</v>
      </c>
    </row>
    <row r="386" spans="1:7">
      <c r="A386" t="s">
        <v>1626</v>
      </c>
      <c r="B386" t="s">
        <v>1627</v>
      </c>
      <c r="C386">
        <v>10</v>
      </c>
      <c r="D386" s="260">
        <v>46322</v>
      </c>
      <c r="E386" s="260">
        <v>46335</v>
      </c>
      <c r="F386">
        <v>26</v>
      </c>
      <c r="G386" t="s">
        <v>866</v>
      </c>
    </row>
    <row r="387" spans="1:7">
      <c r="A387" t="s">
        <v>1628</v>
      </c>
      <c r="B387" t="s">
        <v>1629</v>
      </c>
      <c r="C387">
        <v>10</v>
      </c>
      <c r="D387" s="260">
        <v>46286</v>
      </c>
      <c r="E387" s="260">
        <v>46297</v>
      </c>
      <c r="F387">
        <v>40</v>
      </c>
      <c r="G387" t="s">
        <v>866</v>
      </c>
    </row>
    <row r="388" spans="1:7">
      <c r="A388" t="s">
        <v>1630</v>
      </c>
      <c r="B388" t="s">
        <v>1631</v>
      </c>
      <c r="C388">
        <v>10</v>
      </c>
      <c r="D388" s="260">
        <v>46336</v>
      </c>
      <c r="E388" s="260">
        <v>46349</v>
      </c>
      <c r="F388">
        <v>26</v>
      </c>
      <c r="G388" t="s">
        <v>866</v>
      </c>
    </row>
    <row r="389" spans="1:7">
      <c r="A389" t="s">
        <v>1632</v>
      </c>
      <c r="B389" t="s">
        <v>1633</v>
      </c>
      <c r="C389">
        <v>10</v>
      </c>
      <c r="D389" s="260">
        <v>46286</v>
      </c>
      <c r="E389" s="260">
        <v>46297</v>
      </c>
      <c r="F389">
        <v>40</v>
      </c>
      <c r="G389" t="s">
        <v>866</v>
      </c>
    </row>
    <row r="390" spans="1:7">
      <c r="A390" t="s">
        <v>1634</v>
      </c>
      <c r="B390" t="s">
        <v>1635</v>
      </c>
      <c r="C390">
        <v>10</v>
      </c>
      <c r="D390" s="260">
        <v>46336</v>
      </c>
      <c r="E390" s="260">
        <v>46349</v>
      </c>
      <c r="F390">
        <v>26</v>
      </c>
      <c r="G390" t="s">
        <v>866</v>
      </c>
    </row>
    <row r="391" spans="1:7">
      <c r="A391" t="s">
        <v>1636</v>
      </c>
      <c r="B391" t="s">
        <v>1637</v>
      </c>
      <c r="C391">
        <v>10</v>
      </c>
      <c r="D391" s="260">
        <v>46286</v>
      </c>
      <c r="E391" s="260">
        <v>46297</v>
      </c>
      <c r="F391">
        <v>40</v>
      </c>
      <c r="G391" t="s">
        <v>866</v>
      </c>
    </row>
    <row r="392" spans="1:7">
      <c r="A392" t="s">
        <v>1638</v>
      </c>
      <c r="B392" t="s">
        <v>1639</v>
      </c>
      <c r="C392">
        <v>10</v>
      </c>
      <c r="D392" s="260">
        <v>46336</v>
      </c>
      <c r="E392" s="260">
        <v>46349</v>
      </c>
      <c r="F392">
        <v>26</v>
      </c>
      <c r="G392" t="s">
        <v>866</v>
      </c>
    </row>
    <row r="393" spans="1:7">
      <c r="A393" t="s">
        <v>1640</v>
      </c>
      <c r="B393" t="s">
        <v>1641</v>
      </c>
      <c r="C393">
        <v>10</v>
      </c>
      <c r="D393" s="260">
        <v>46286</v>
      </c>
      <c r="E393" s="260">
        <v>46297</v>
      </c>
      <c r="F393">
        <v>40</v>
      </c>
      <c r="G393" t="s">
        <v>866</v>
      </c>
    </row>
    <row r="394" spans="1:7">
      <c r="A394" t="s">
        <v>1642</v>
      </c>
      <c r="B394" t="s">
        <v>1643</v>
      </c>
      <c r="C394">
        <v>10</v>
      </c>
      <c r="D394" s="260">
        <v>46336</v>
      </c>
      <c r="E394" s="260">
        <v>46349</v>
      </c>
      <c r="F394">
        <v>26</v>
      </c>
      <c r="G394" t="s">
        <v>866</v>
      </c>
    </row>
    <row r="395" spans="1:7">
      <c r="A395" t="s">
        <v>1644</v>
      </c>
      <c r="B395" t="s">
        <v>1645</v>
      </c>
      <c r="C395">
        <v>15</v>
      </c>
      <c r="D395" s="260">
        <v>46265</v>
      </c>
      <c r="E395" s="260">
        <v>46283</v>
      </c>
      <c r="F395">
        <v>50</v>
      </c>
      <c r="G395" t="s">
        <v>866</v>
      </c>
    </row>
    <row r="396" spans="1:7">
      <c r="A396" t="s">
        <v>1646</v>
      </c>
      <c r="B396" t="s">
        <v>1647</v>
      </c>
      <c r="C396">
        <v>10</v>
      </c>
      <c r="D396" s="260">
        <v>46322</v>
      </c>
      <c r="E396" s="260">
        <v>46335</v>
      </c>
      <c r="F396">
        <v>36</v>
      </c>
      <c r="G396" t="s">
        <v>866</v>
      </c>
    </row>
    <row r="397" spans="1:7">
      <c r="A397" t="s">
        <v>1648</v>
      </c>
      <c r="B397" t="s">
        <v>1649</v>
      </c>
      <c r="C397">
        <v>10</v>
      </c>
      <c r="D397" s="260">
        <v>46286</v>
      </c>
      <c r="E397" s="260">
        <v>46297</v>
      </c>
      <c r="F397">
        <v>40</v>
      </c>
      <c r="G397" t="s">
        <v>866</v>
      </c>
    </row>
    <row r="398" spans="1:7">
      <c r="A398" t="s">
        <v>1650</v>
      </c>
      <c r="B398" t="s">
        <v>1651</v>
      </c>
      <c r="C398">
        <v>10</v>
      </c>
      <c r="D398" s="260">
        <v>46336</v>
      </c>
      <c r="E398" s="260">
        <v>46349</v>
      </c>
      <c r="F398">
        <v>26</v>
      </c>
      <c r="G398" t="s">
        <v>866</v>
      </c>
    </row>
    <row r="399" spans="1:7">
      <c r="A399" t="s">
        <v>1652</v>
      </c>
      <c r="B399" t="s">
        <v>1653</v>
      </c>
      <c r="C399">
        <v>10</v>
      </c>
      <c r="D399" s="260">
        <v>46286</v>
      </c>
      <c r="E399" s="260">
        <v>46297</v>
      </c>
      <c r="F399">
        <v>40</v>
      </c>
      <c r="G399" t="s">
        <v>866</v>
      </c>
    </row>
    <row r="400" spans="1:7">
      <c r="A400" t="s">
        <v>1654</v>
      </c>
      <c r="B400" t="s">
        <v>1655</v>
      </c>
      <c r="C400">
        <v>10</v>
      </c>
      <c r="D400" s="260">
        <v>46336</v>
      </c>
      <c r="E400" s="260">
        <v>46349</v>
      </c>
      <c r="F400">
        <v>26</v>
      </c>
      <c r="G400" t="s">
        <v>866</v>
      </c>
    </row>
    <row r="401" spans="1:7">
      <c r="A401" t="s">
        <v>1656</v>
      </c>
      <c r="B401" t="s">
        <v>1657</v>
      </c>
      <c r="C401">
        <v>10</v>
      </c>
      <c r="D401" s="260">
        <v>46286</v>
      </c>
      <c r="E401" s="260">
        <v>46297</v>
      </c>
      <c r="F401">
        <v>40</v>
      </c>
      <c r="G401" t="s">
        <v>866</v>
      </c>
    </row>
    <row r="402" spans="1:7">
      <c r="A402" t="s">
        <v>1658</v>
      </c>
      <c r="B402" t="s">
        <v>1659</v>
      </c>
      <c r="C402">
        <v>10</v>
      </c>
      <c r="D402" s="260">
        <v>46336</v>
      </c>
      <c r="E402" s="260">
        <v>46349</v>
      </c>
      <c r="F402">
        <v>26</v>
      </c>
      <c r="G402" t="s">
        <v>866</v>
      </c>
    </row>
    <row r="403" spans="1:7">
      <c r="A403" t="s">
        <v>1660</v>
      </c>
      <c r="B403" t="s">
        <v>1661</v>
      </c>
      <c r="C403">
        <v>10</v>
      </c>
      <c r="D403" s="260">
        <v>46286</v>
      </c>
      <c r="E403" s="260">
        <v>46297</v>
      </c>
      <c r="F403">
        <v>40</v>
      </c>
      <c r="G403" t="s">
        <v>866</v>
      </c>
    </row>
    <row r="404" spans="1:7">
      <c r="A404" t="s">
        <v>1662</v>
      </c>
      <c r="B404" t="s">
        <v>1663</v>
      </c>
      <c r="C404">
        <v>10</v>
      </c>
      <c r="D404" s="260">
        <v>46336</v>
      </c>
      <c r="E404" s="260">
        <v>46349</v>
      </c>
      <c r="F404">
        <v>26</v>
      </c>
      <c r="G404" t="s">
        <v>866</v>
      </c>
    </row>
    <row r="405" spans="1:7">
      <c r="A405" t="s">
        <v>1664</v>
      </c>
      <c r="C405">
        <v>70</v>
      </c>
      <c r="D405" s="260">
        <v>46155</v>
      </c>
      <c r="E405" s="260">
        <v>46260</v>
      </c>
      <c r="F405">
        <v>91</v>
      </c>
      <c r="G405" t="s">
        <v>866</v>
      </c>
    </row>
    <row r="406" spans="1:7">
      <c r="A406" t="s">
        <v>1665</v>
      </c>
      <c r="B406" t="s">
        <v>1666</v>
      </c>
      <c r="C406">
        <v>10</v>
      </c>
      <c r="D406" s="260">
        <v>46155</v>
      </c>
      <c r="E406" s="260">
        <v>46168</v>
      </c>
      <c r="F406">
        <v>65</v>
      </c>
      <c r="G406" t="s">
        <v>866</v>
      </c>
    </row>
    <row r="407" spans="1:7">
      <c r="A407" t="s">
        <v>1667</v>
      </c>
      <c r="B407" t="s">
        <v>1668</v>
      </c>
      <c r="C407">
        <v>5</v>
      </c>
      <c r="D407" s="260">
        <v>46192</v>
      </c>
      <c r="E407" s="260">
        <v>46198</v>
      </c>
      <c r="F407">
        <v>107</v>
      </c>
      <c r="G407" t="s">
        <v>866</v>
      </c>
    </row>
    <row r="408" spans="1:7">
      <c r="A408" t="s">
        <v>1669</v>
      </c>
      <c r="B408" t="s">
        <v>1670</v>
      </c>
      <c r="C408">
        <v>5</v>
      </c>
      <c r="D408" s="260">
        <v>46213</v>
      </c>
      <c r="E408" s="260">
        <v>46219</v>
      </c>
      <c r="F408">
        <v>107</v>
      </c>
      <c r="G408" t="s">
        <v>866</v>
      </c>
    </row>
    <row r="409" spans="1:7">
      <c r="A409" t="s">
        <v>1671</v>
      </c>
      <c r="B409" t="s">
        <v>1672</v>
      </c>
      <c r="C409">
        <v>20</v>
      </c>
      <c r="D409" s="260">
        <v>46169</v>
      </c>
      <c r="E409" s="260">
        <v>46198</v>
      </c>
      <c r="F409">
        <v>52</v>
      </c>
      <c r="G409" t="s">
        <v>866</v>
      </c>
    </row>
    <row r="410" spans="1:7">
      <c r="A410" t="s">
        <v>1673</v>
      </c>
      <c r="B410" t="s">
        <v>1674</v>
      </c>
      <c r="C410">
        <v>10</v>
      </c>
      <c r="D410" s="260">
        <v>46213</v>
      </c>
      <c r="E410" s="260">
        <v>46226</v>
      </c>
      <c r="F410">
        <v>82</v>
      </c>
      <c r="G410" t="s">
        <v>866</v>
      </c>
    </row>
    <row r="411" spans="1:7">
      <c r="A411" t="s">
        <v>1675</v>
      </c>
      <c r="B411" t="s">
        <v>1676</v>
      </c>
      <c r="C411">
        <v>10</v>
      </c>
      <c r="D411" s="260">
        <v>46247</v>
      </c>
      <c r="E411" s="260">
        <v>46260</v>
      </c>
      <c r="F411">
        <v>82</v>
      </c>
      <c r="G411" t="s">
        <v>866</v>
      </c>
    </row>
    <row r="412" spans="1:7">
      <c r="A412" t="s">
        <v>1677</v>
      </c>
      <c r="B412" t="s">
        <v>1678</v>
      </c>
      <c r="C412">
        <v>20</v>
      </c>
      <c r="D412" s="260">
        <v>46169</v>
      </c>
      <c r="E412" s="260">
        <v>46198</v>
      </c>
      <c r="F412">
        <v>52</v>
      </c>
      <c r="G412" t="s">
        <v>866</v>
      </c>
    </row>
    <row r="413" spans="1:7">
      <c r="A413" t="s">
        <v>1679</v>
      </c>
      <c r="B413" t="s">
        <v>1680</v>
      </c>
      <c r="C413">
        <v>10</v>
      </c>
      <c r="D413" s="260">
        <v>46213</v>
      </c>
      <c r="E413" s="260">
        <v>46226</v>
      </c>
      <c r="F413">
        <v>82</v>
      </c>
      <c r="G413" t="s">
        <v>866</v>
      </c>
    </row>
    <row r="414" spans="1:7">
      <c r="A414" t="s">
        <v>1681</v>
      </c>
      <c r="B414" t="s">
        <v>1682</v>
      </c>
      <c r="C414">
        <v>10</v>
      </c>
      <c r="D414" s="260">
        <v>46247</v>
      </c>
      <c r="E414" s="260">
        <v>46260</v>
      </c>
      <c r="F414">
        <v>82</v>
      </c>
      <c r="G414" t="s">
        <v>866</v>
      </c>
    </row>
    <row r="415" spans="1:7">
      <c r="A415" t="s">
        <v>1683</v>
      </c>
      <c r="B415" t="s">
        <v>1684</v>
      </c>
      <c r="C415">
        <v>20</v>
      </c>
      <c r="D415" s="260">
        <v>46169</v>
      </c>
      <c r="E415" s="260">
        <v>46198</v>
      </c>
      <c r="F415">
        <v>52</v>
      </c>
      <c r="G415" t="s">
        <v>866</v>
      </c>
    </row>
    <row r="416" spans="1:7">
      <c r="A416" t="s">
        <v>1685</v>
      </c>
      <c r="B416" t="s">
        <v>1686</v>
      </c>
      <c r="C416">
        <v>10</v>
      </c>
      <c r="D416" s="260">
        <v>46213</v>
      </c>
      <c r="E416" s="260">
        <v>46226</v>
      </c>
      <c r="F416">
        <v>82</v>
      </c>
      <c r="G416" t="s">
        <v>866</v>
      </c>
    </row>
    <row r="417" spans="1:7">
      <c r="A417" t="s">
        <v>1687</v>
      </c>
      <c r="B417" t="s">
        <v>1688</v>
      </c>
      <c r="C417">
        <v>10</v>
      </c>
      <c r="D417" s="260">
        <v>46247</v>
      </c>
      <c r="E417" s="260">
        <v>46260</v>
      </c>
      <c r="F417">
        <v>82</v>
      </c>
      <c r="G417" t="s">
        <v>866</v>
      </c>
    </row>
    <row r="418" spans="1:7">
      <c r="A418" t="s">
        <v>1689</v>
      </c>
      <c r="B418" t="s">
        <v>1690</v>
      </c>
      <c r="C418">
        <v>20</v>
      </c>
      <c r="D418" s="260">
        <v>46169</v>
      </c>
      <c r="E418" s="260">
        <v>46198</v>
      </c>
      <c r="F418">
        <v>52</v>
      </c>
      <c r="G418" t="s">
        <v>866</v>
      </c>
    </row>
    <row r="419" spans="1:7">
      <c r="A419" t="s">
        <v>1691</v>
      </c>
      <c r="B419" t="s">
        <v>1692</v>
      </c>
      <c r="C419">
        <v>10</v>
      </c>
      <c r="D419" s="260">
        <v>46213</v>
      </c>
      <c r="E419" s="260">
        <v>46226</v>
      </c>
      <c r="F419">
        <v>82</v>
      </c>
      <c r="G419" t="s">
        <v>866</v>
      </c>
    </row>
    <row r="420" spans="1:7">
      <c r="A420" t="s">
        <v>1693</v>
      </c>
      <c r="B420" t="s">
        <v>1694</v>
      </c>
      <c r="C420">
        <v>10</v>
      </c>
      <c r="D420" s="260">
        <v>46247</v>
      </c>
      <c r="E420" s="260">
        <v>46260</v>
      </c>
      <c r="F420">
        <v>82</v>
      </c>
      <c r="G420" t="s">
        <v>866</v>
      </c>
    </row>
    <row r="421" spans="1:7">
      <c r="A421" t="s">
        <v>1695</v>
      </c>
      <c r="B421" t="s">
        <v>1696</v>
      </c>
      <c r="C421">
        <v>20</v>
      </c>
      <c r="D421" s="260">
        <v>46169</v>
      </c>
      <c r="E421" s="260">
        <v>46198</v>
      </c>
      <c r="F421">
        <v>52</v>
      </c>
      <c r="G421" t="s">
        <v>866</v>
      </c>
    </row>
    <row r="422" spans="1:7">
      <c r="A422" t="s">
        <v>1697</v>
      </c>
      <c r="B422" t="s">
        <v>1698</v>
      </c>
      <c r="C422">
        <v>10</v>
      </c>
      <c r="D422" s="260">
        <v>46213</v>
      </c>
      <c r="E422" s="260">
        <v>46226</v>
      </c>
      <c r="F422">
        <v>82</v>
      </c>
      <c r="G422" t="s">
        <v>866</v>
      </c>
    </row>
    <row r="423" spans="1:7">
      <c r="A423" t="s">
        <v>1699</v>
      </c>
      <c r="B423" t="s">
        <v>1700</v>
      </c>
      <c r="C423">
        <v>10</v>
      </c>
      <c r="D423" s="260">
        <v>46247</v>
      </c>
      <c r="E423" s="260">
        <v>46260</v>
      </c>
      <c r="F423">
        <v>82</v>
      </c>
      <c r="G423" t="s">
        <v>866</v>
      </c>
    </row>
    <row r="424" spans="1:7">
      <c r="A424" t="s">
        <v>1701</v>
      </c>
      <c r="B424" t="s">
        <v>1702</v>
      </c>
      <c r="C424">
        <v>20</v>
      </c>
      <c r="D424" s="260">
        <v>46169</v>
      </c>
      <c r="E424" s="260">
        <v>46198</v>
      </c>
      <c r="F424">
        <v>52</v>
      </c>
      <c r="G424" t="s">
        <v>866</v>
      </c>
    </row>
    <row r="425" spans="1:7">
      <c r="A425" t="s">
        <v>1703</v>
      </c>
      <c r="B425" t="s">
        <v>1704</v>
      </c>
      <c r="C425">
        <v>10</v>
      </c>
      <c r="D425" s="260">
        <v>46213</v>
      </c>
      <c r="E425" s="260">
        <v>46226</v>
      </c>
      <c r="F425">
        <v>82</v>
      </c>
      <c r="G425" t="s">
        <v>866</v>
      </c>
    </row>
    <row r="426" spans="1:7">
      <c r="A426" t="s">
        <v>1705</v>
      </c>
      <c r="B426" t="s">
        <v>1706</v>
      </c>
      <c r="C426">
        <v>10</v>
      </c>
      <c r="D426" s="260">
        <v>46247</v>
      </c>
      <c r="E426" s="260">
        <v>46260</v>
      </c>
      <c r="F426">
        <v>82</v>
      </c>
      <c r="G426" t="s">
        <v>866</v>
      </c>
    </row>
    <row r="427" spans="1:7">
      <c r="A427" t="s">
        <v>1707</v>
      </c>
      <c r="B427" t="s">
        <v>1708</v>
      </c>
      <c r="C427">
        <v>20</v>
      </c>
      <c r="D427" s="260">
        <v>46169</v>
      </c>
      <c r="E427" s="260">
        <v>46198</v>
      </c>
      <c r="F427">
        <v>52</v>
      </c>
      <c r="G427" t="s">
        <v>866</v>
      </c>
    </row>
    <row r="428" spans="1:7">
      <c r="A428" t="s">
        <v>1709</v>
      </c>
      <c r="B428" t="s">
        <v>1710</v>
      </c>
      <c r="C428">
        <v>10</v>
      </c>
      <c r="D428" s="260">
        <v>46213</v>
      </c>
      <c r="E428" s="260">
        <v>46226</v>
      </c>
      <c r="F428">
        <v>82</v>
      </c>
      <c r="G428" t="s">
        <v>866</v>
      </c>
    </row>
    <row r="429" spans="1:7">
      <c r="A429" t="s">
        <v>1711</v>
      </c>
      <c r="B429" t="s">
        <v>1712</v>
      </c>
      <c r="C429">
        <v>10</v>
      </c>
      <c r="D429" s="260">
        <v>46247</v>
      </c>
      <c r="E429" s="260">
        <v>46260</v>
      </c>
      <c r="F429">
        <v>82</v>
      </c>
      <c r="G429" t="s">
        <v>866</v>
      </c>
    </row>
    <row r="430" spans="1:7">
      <c r="A430" t="s">
        <v>1713</v>
      </c>
      <c r="B430" t="s">
        <v>1714</v>
      </c>
      <c r="C430">
        <v>20</v>
      </c>
      <c r="D430" s="260">
        <v>46169</v>
      </c>
      <c r="E430" s="260">
        <v>46198</v>
      </c>
      <c r="F430">
        <v>61</v>
      </c>
      <c r="G430" t="s">
        <v>866</v>
      </c>
    </row>
    <row r="431" spans="1:7">
      <c r="A431" t="s">
        <v>1715</v>
      </c>
      <c r="B431" t="s">
        <v>1716</v>
      </c>
      <c r="C431">
        <v>10</v>
      </c>
      <c r="D431" s="260">
        <v>46213</v>
      </c>
      <c r="E431" s="260">
        <v>46226</v>
      </c>
      <c r="F431">
        <v>91</v>
      </c>
      <c r="G431" t="s">
        <v>866</v>
      </c>
    </row>
    <row r="432" spans="1:7">
      <c r="A432" t="s">
        <v>1717</v>
      </c>
      <c r="B432" t="s">
        <v>1718</v>
      </c>
      <c r="C432">
        <v>10</v>
      </c>
      <c r="D432" s="260">
        <v>46247</v>
      </c>
      <c r="E432" s="260">
        <v>46260</v>
      </c>
      <c r="F432">
        <v>91</v>
      </c>
      <c r="G432" t="s">
        <v>866</v>
      </c>
    </row>
    <row r="433" spans="1:7">
      <c r="A433" t="s">
        <v>1719</v>
      </c>
      <c r="C433">
        <v>109</v>
      </c>
      <c r="D433" s="260">
        <v>46149</v>
      </c>
      <c r="E433" s="260">
        <v>46310</v>
      </c>
      <c r="F433">
        <v>61</v>
      </c>
      <c r="G433" t="s">
        <v>866</v>
      </c>
    </row>
    <row r="434" spans="1:7">
      <c r="A434" t="s">
        <v>1720</v>
      </c>
      <c r="B434" t="s">
        <v>1721</v>
      </c>
      <c r="C434">
        <v>15</v>
      </c>
      <c r="D434" s="260">
        <v>46162</v>
      </c>
      <c r="E434" s="260">
        <v>46184</v>
      </c>
      <c r="F434">
        <v>71</v>
      </c>
      <c r="G434" t="s">
        <v>866</v>
      </c>
    </row>
    <row r="435" spans="1:7">
      <c r="A435" t="s">
        <v>1722</v>
      </c>
      <c r="B435" t="s">
        <v>1723</v>
      </c>
      <c r="C435">
        <v>5</v>
      </c>
      <c r="D435" s="260">
        <v>46276</v>
      </c>
      <c r="E435" s="260">
        <v>46282</v>
      </c>
      <c r="F435">
        <v>71</v>
      </c>
      <c r="G435" t="s">
        <v>866</v>
      </c>
    </row>
    <row r="436" spans="1:7">
      <c r="A436" t="s">
        <v>1724</v>
      </c>
      <c r="B436" t="s">
        <v>1725</v>
      </c>
      <c r="C436">
        <v>15</v>
      </c>
      <c r="D436" s="260">
        <v>46162</v>
      </c>
      <c r="E436" s="260">
        <v>46184</v>
      </c>
      <c r="F436">
        <v>71</v>
      </c>
      <c r="G436" t="s">
        <v>866</v>
      </c>
    </row>
    <row r="437" spans="1:7">
      <c r="A437" t="s">
        <v>1726</v>
      </c>
      <c r="B437" t="s">
        <v>1727</v>
      </c>
      <c r="C437">
        <v>5</v>
      </c>
      <c r="D437" s="260">
        <v>46276</v>
      </c>
      <c r="E437" s="260">
        <v>46282</v>
      </c>
      <c r="F437">
        <v>71</v>
      </c>
      <c r="G437" t="s">
        <v>866</v>
      </c>
    </row>
    <row r="438" spans="1:7">
      <c r="A438" t="s">
        <v>1728</v>
      </c>
      <c r="B438" t="s">
        <v>1729</v>
      </c>
      <c r="C438">
        <v>15</v>
      </c>
      <c r="D438" s="260">
        <v>46177</v>
      </c>
      <c r="E438" s="260">
        <v>46197</v>
      </c>
      <c r="F438">
        <v>65</v>
      </c>
      <c r="G438" t="s">
        <v>866</v>
      </c>
    </row>
    <row r="439" spans="1:7">
      <c r="A439" t="s">
        <v>1730</v>
      </c>
      <c r="B439" t="s">
        <v>1731</v>
      </c>
      <c r="C439">
        <v>5</v>
      </c>
      <c r="D439" s="260">
        <v>46286</v>
      </c>
      <c r="E439" s="260">
        <v>46290</v>
      </c>
      <c r="F439">
        <v>65</v>
      </c>
      <c r="G439" t="s">
        <v>866</v>
      </c>
    </row>
    <row r="440" spans="1:7">
      <c r="A440" t="s">
        <v>1732</v>
      </c>
      <c r="B440" t="s">
        <v>1733</v>
      </c>
      <c r="C440">
        <v>15</v>
      </c>
      <c r="D440" s="260">
        <v>46177</v>
      </c>
      <c r="E440" s="260">
        <v>46197</v>
      </c>
      <c r="F440">
        <v>65</v>
      </c>
      <c r="G440" t="s">
        <v>866</v>
      </c>
    </row>
    <row r="441" spans="1:7">
      <c r="A441" t="s">
        <v>1734</v>
      </c>
      <c r="B441" t="s">
        <v>1735</v>
      </c>
      <c r="C441">
        <v>5</v>
      </c>
      <c r="D441" s="260">
        <v>46286</v>
      </c>
      <c r="E441" s="260">
        <v>46290</v>
      </c>
      <c r="F441">
        <v>65</v>
      </c>
      <c r="G441" t="s">
        <v>866</v>
      </c>
    </row>
    <row r="442" spans="1:7">
      <c r="A442" t="s">
        <v>1736</v>
      </c>
      <c r="B442" t="s">
        <v>1737</v>
      </c>
      <c r="C442">
        <v>15</v>
      </c>
      <c r="D442" s="260">
        <v>46177</v>
      </c>
      <c r="E442" s="260">
        <v>46197</v>
      </c>
      <c r="F442">
        <v>65</v>
      </c>
      <c r="G442" t="s">
        <v>866</v>
      </c>
    </row>
    <row r="443" spans="1:7">
      <c r="A443" t="s">
        <v>1738</v>
      </c>
      <c r="B443" t="s">
        <v>1739</v>
      </c>
      <c r="C443">
        <v>5</v>
      </c>
      <c r="D443" s="260">
        <v>46286</v>
      </c>
      <c r="E443" s="260">
        <v>46290</v>
      </c>
      <c r="F443">
        <v>65</v>
      </c>
      <c r="G443" t="s">
        <v>866</v>
      </c>
    </row>
    <row r="444" spans="1:7">
      <c r="A444" t="s">
        <v>1740</v>
      </c>
      <c r="B444" t="s">
        <v>1741</v>
      </c>
      <c r="C444">
        <v>15</v>
      </c>
      <c r="D444" s="260">
        <v>46177</v>
      </c>
      <c r="E444" s="260">
        <v>46197</v>
      </c>
      <c r="F444">
        <v>65</v>
      </c>
      <c r="G444" t="s">
        <v>866</v>
      </c>
    </row>
    <row r="445" spans="1:7">
      <c r="A445" t="s">
        <v>1742</v>
      </c>
      <c r="B445" t="s">
        <v>1743</v>
      </c>
      <c r="C445">
        <v>5</v>
      </c>
      <c r="D445" s="260">
        <v>46286</v>
      </c>
      <c r="E445" s="260">
        <v>46290</v>
      </c>
      <c r="F445">
        <v>65</v>
      </c>
      <c r="G445" t="s">
        <v>866</v>
      </c>
    </row>
    <row r="446" spans="1:7">
      <c r="A446" t="s">
        <v>1744</v>
      </c>
      <c r="B446" t="s">
        <v>1745</v>
      </c>
      <c r="C446">
        <v>15</v>
      </c>
      <c r="D446" s="260">
        <v>46149</v>
      </c>
      <c r="E446" s="260">
        <v>46169</v>
      </c>
      <c r="F446">
        <v>81</v>
      </c>
      <c r="G446" t="s">
        <v>866</v>
      </c>
    </row>
    <row r="447" spans="1:7">
      <c r="A447" t="s">
        <v>1746</v>
      </c>
      <c r="B447" t="s">
        <v>1747</v>
      </c>
      <c r="C447">
        <v>5</v>
      </c>
      <c r="D447" s="260">
        <v>46262</v>
      </c>
      <c r="E447" s="260">
        <v>46268</v>
      </c>
      <c r="F447">
        <v>81</v>
      </c>
      <c r="G447" t="s">
        <v>866</v>
      </c>
    </row>
    <row r="448" spans="1:7">
      <c r="A448" t="s">
        <v>1748</v>
      </c>
      <c r="B448" t="s">
        <v>1749</v>
      </c>
      <c r="C448">
        <v>15</v>
      </c>
      <c r="D448" s="260">
        <v>46178</v>
      </c>
      <c r="E448" s="260">
        <v>46198</v>
      </c>
      <c r="F448">
        <v>78</v>
      </c>
      <c r="G448" t="s">
        <v>866</v>
      </c>
    </row>
    <row r="449" spans="1:7">
      <c r="A449" t="s">
        <v>1750</v>
      </c>
      <c r="B449" t="s">
        <v>1751</v>
      </c>
      <c r="C449">
        <v>5</v>
      </c>
      <c r="D449" s="260">
        <v>46267</v>
      </c>
      <c r="E449" s="260">
        <v>46273</v>
      </c>
      <c r="F449">
        <v>78</v>
      </c>
      <c r="G449" t="s">
        <v>866</v>
      </c>
    </row>
    <row r="450" spans="1:7">
      <c r="A450" t="s">
        <v>1752</v>
      </c>
      <c r="B450" t="s">
        <v>1753</v>
      </c>
      <c r="C450">
        <v>15</v>
      </c>
      <c r="D450" s="260">
        <v>46178</v>
      </c>
      <c r="E450" s="260">
        <v>46198</v>
      </c>
      <c r="F450">
        <v>78</v>
      </c>
      <c r="G450" t="s">
        <v>866</v>
      </c>
    </row>
    <row r="451" spans="1:7">
      <c r="A451" t="s">
        <v>1754</v>
      </c>
      <c r="B451" t="s">
        <v>1755</v>
      </c>
      <c r="C451">
        <v>5</v>
      </c>
      <c r="D451" s="260">
        <v>46267</v>
      </c>
      <c r="E451" s="260">
        <v>46273</v>
      </c>
      <c r="F451">
        <v>78</v>
      </c>
      <c r="G451" t="s">
        <v>866</v>
      </c>
    </row>
    <row r="452" spans="1:7">
      <c r="A452" t="s">
        <v>1756</v>
      </c>
      <c r="B452" t="s">
        <v>1757</v>
      </c>
      <c r="C452">
        <v>15</v>
      </c>
      <c r="D452" s="260">
        <v>46178</v>
      </c>
      <c r="E452" s="260">
        <v>46198</v>
      </c>
      <c r="F452">
        <v>78</v>
      </c>
      <c r="G452" t="s">
        <v>866</v>
      </c>
    </row>
    <row r="453" spans="1:7">
      <c r="A453" t="s">
        <v>1758</v>
      </c>
      <c r="B453" t="s">
        <v>1759</v>
      </c>
      <c r="C453">
        <v>5</v>
      </c>
      <c r="D453" s="260">
        <v>46267</v>
      </c>
      <c r="E453" s="260">
        <v>46273</v>
      </c>
      <c r="F453">
        <v>78</v>
      </c>
      <c r="G453" t="s">
        <v>866</v>
      </c>
    </row>
    <row r="454" spans="1:7">
      <c r="A454" t="s">
        <v>1760</v>
      </c>
      <c r="B454" t="s">
        <v>1761</v>
      </c>
      <c r="C454">
        <v>15</v>
      </c>
      <c r="D454" s="260">
        <v>46178</v>
      </c>
      <c r="E454" s="260">
        <v>46198</v>
      </c>
      <c r="F454">
        <v>78</v>
      </c>
      <c r="G454" t="s">
        <v>866</v>
      </c>
    </row>
    <row r="455" spans="1:7">
      <c r="A455" t="s">
        <v>1762</v>
      </c>
      <c r="B455" t="s">
        <v>1763</v>
      </c>
      <c r="C455">
        <v>5</v>
      </c>
      <c r="D455" s="260">
        <v>46267</v>
      </c>
      <c r="E455" s="260">
        <v>46273</v>
      </c>
      <c r="F455">
        <v>78</v>
      </c>
      <c r="G455" t="s">
        <v>866</v>
      </c>
    </row>
    <row r="456" spans="1:7">
      <c r="A456" t="s">
        <v>1764</v>
      </c>
      <c r="B456" t="s">
        <v>1765</v>
      </c>
      <c r="C456">
        <v>15</v>
      </c>
      <c r="D456" s="260">
        <v>46178</v>
      </c>
      <c r="E456" s="260">
        <v>46198</v>
      </c>
      <c r="F456">
        <v>78</v>
      </c>
      <c r="G456" t="s">
        <v>866</v>
      </c>
    </row>
    <row r="457" spans="1:7">
      <c r="A457" t="s">
        <v>1766</v>
      </c>
      <c r="B457" t="s">
        <v>1767</v>
      </c>
      <c r="C457">
        <v>5</v>
      </c>
      <c r="D457" s="260">
        <v>46267</v>
      </c>
      <c r="E457" s="260">
        <v>46273</v>
      </c>
      <c r="F457">
        <v>78</v>
      </c>
      <c r="G457" t="s">
        <v>866</v>
      </c>
    </row>
    <row r="458" spans="1:7">
      <c r="A458" t="s">
        <v>1768</v>
      </c>
      <c r="B458" t="s">
        <v>1769</v>
      </c>
      <c r="C458">
        <v>15</v>
      </c>
      <c r="D458" s="260">
        <v>46178</v>
      </c>
      <c r="E458" s="260">
        <v>46198</v>
      </c>
      <c r="F458">
        <v>78</v>
      </c>
      <c r="G458" t="s">
        <v>866</v>
      </c>
    </row>
    <row r="459" spans="1:7">
      <c r="A459" t="s">
        <v>1770</v>
      </c>
      <c r="B459" t="s">
        <v>1771</v>
      </c>
      <c r="C459">
        <v>5</v>
      </c>
      <c r="D459" s="260">
        <v>46267</v>
      </c>
      <c r="E459" s="260">
        <v>46273</v>
      </c>
      <c r="F459">
        <v>78</v>
      </c>
      <c r="G459" t="s">
        <v>866</v>
      </c>
    </row>
    <row r="460" spans="1:7">
      <c r="A460" t="s">
        <v>1772</v>
      </c>
      <c r="B460" t="s">
        <v>1773</v>
      </c>
      <c r="C460">
        <v>15</v>
      </c>
      <c r="D460" s="260">
        <v>46178</v>
      </c>
      <c r="E460" s="260">
        <v>46198</v>
      </c>
      <c r="F460">
        <v>78</v>
      </c>
      <c r="G460" t="s">
        <v>866</v>
      </c>
    </row>
    <row r="461" spans="1:7">
      <c r="A461" t="s">
        <v>1774</v>
      </c>
      <c r="B461" t="s">
        <v>1775</v>
      </c>
      <c r="C461">
        <v>5</v>
      </c>
      <c r="D461" s="260">
        <v>46267</v>
      </c>
      <c r="E461" s="260">
        <v>46273</v>
      </c>
      <c r="F461">
        <v>78</v>
      </c>
      <c r="G461" t="s">
        <v>866</v>
      </c>
    </row>
    <row r="462" spans="1:7">
      <c r="A462" t="s">
        <v>1776</v>
      </c>
      <c r="B462" t="s">
        <v>1777</v>
      </c>
      <c r="C462">
        <v>15</v>
      </c>
      <c r="D462" s="260">
        <v>46178</v>
      </c>
      <c r="E462" s="260">
        <v>46198</v>
      </c>
      <c r="F462">
        <v>80</v>
      </c>
      <c r="G462" t="s">
        <v>866</v>
      </c>
    </row>
    <row r="463" spans="1:7">
      <c r="A463" t="s">
        <v>1778</v>
      </c>
      <c r="B463" t="s">
        <v>1779</v>
      </c>
      <c r="C463">
        <v>5</v>
      </c>
      <c r="D463" s="260">
        <v>46267</v>
      </c>
      <c r="E463" s="260">
        <v>46273</v>
      </c>
      <c r="F463">
        <v>78</v>
      </c>
      <c r="G463" t="s">
        <v>866</v>
      </c>
    </row>
    <row r="464" spans="1:7">
      <c r="A464" t="s">
        <v>1780</v>
      </c>
      <c r="B464" t="s">
        <v>1781</v>
      </c>
      <c r="C464">
        <v>15</v>
      </c>
      <c r="D464" s="260">
        <v>46199</v>
      </c>
      <c r="E464" s="260">
        <v>46219</v>
      </c>
      <c r="F464">
        <v>52</v>
      </c>
      <c r="G464" t="s">
        <v>866</v>
      </c>
    </row>
    <row r="465" spans="1:7">
      <c r="A465" t="s">
        <v>1782</v>
      </c>
      <c r="B465" t="s">
        <v>1783</v>
      </c>
      <c r="C465">
        <v>5</v>
      </c>
      <c r="D465" s="260">
        <v>46303</v>
      </c>
      <c r="E465" s="260">
        <v>46310</v>
      </c>
      <c r="F465">
        <v>52</v>
      </c>
      <c r="G465" t="s">
        <v>866</v>
      </c>
    </row>
    <row r="466" spans="1:7">
      <c r="A466" t="s">
        <v>1784</v>
      </c>
      <c r="B466" t="s">
        <v>1785</v>
      </c>
      <c r="C466">
        <v>15</v>
      </c>
      <c r="D466" s="260">
        <v>46199</v>
      </c>
      <c r="E466" s="260">
        <v>46219</v>
      </c>
      <c r="F466">
        <v>52</v>
      </c>
      <c r="G466" t="s">
        <v>866</v>
      </c>
    </row>
    <row r="467" spans="1:7">
      <c r="A467" t="s">
        <v>1786</v>
      </c>
      <c r="B467" t="s">
        <v>1787</v>
      </c>
      <c r="C467">
        <v>5</v>
      </c>
      <c r="D467" s="260">
        <v>46303</v>
      </c>
      <c r="E467" s="260">
        <v>46310</v>
      </c>
      <c r="F467">
        <v>52</v>
      </c>
      <c r="G467" t="s">
        <v>866</v>
      </c>
    </row>
    <row r="468" spans="1:7">
      <c r="A468" t="s">
        <v>1788</v>
      </c>
      <c r="B468" t="s">
        <v>1789</v>
      </c>
      <c r="C468">
        <v>15</v>
      </c>
      <c r="D468" s="260">
        <v>46199</v>
      </c>
      <c r="E468" s="260">
        <v>46219</v>
      </c>
      <c r="F468">
        <v>52</v>
      </c>
      <c r="G468" t="s">
        <v>866</v>
      </c>
    </row>
    <row r="469" spans="1:7">
      <c r="A469" t="s">
        <v>1790</v>
      </c>
      <c r="B469" t="s">
        <v>1791</v>
      </c>
      <c r="C469">
        <v>5</v>
      </c>
      <c r="D469" s="260">
        <v>46303</v>
      </c>
      <c r="E469" s="260">
        <v>46310</v>
      </c>
      <c r="F469">
        <v>52</v>
      </c>
      <c r="G469" t="s">
        <v>866</v>
      </c>
    </row>
    <row r="470" spans="1:7">
      <c r="A470" t="s">
        <v>1792</v>
      </c>
      <c r="B470" t="s">
        <v>1793</v>
      </c>
      <c r="C470">
        <v>15</v>
      </c>
      <c r="D470" s="260">
        <v>46199</v>
      </c>
      <c r="E470" s="260">
        <v>46219</v>
      </c>
      <c r="F470">
        <v>52</v>
      </c>
      <c r="G470" t="s">
        <v>866</v>
      </c>
    </row>
    <row r="471" spans="1:7">
      <c r="A471" t="s">
        <v>1794</v>
      </c>
      <c r="B471" t="s">
        <v>1795</v>
      </c>
      <c r="C471">
        <v>5</v>
      </c>
      <c r="D471" s="260">
        <v>46303</v>
      </c>
      <c r="E471" s="260">
        <v>46310</v>
      </c>
      <c r="F471">
        <v>52</v>
      </c>
      <c r="G471" t="s">
        <v>866</v>
      </c>
    </row>
    <row r="472" spans="1:7">
      <c r="A472" t="s">
        <v>1796</v>
      </c>
      <c r="B472" t="s">
        <v>1797</v>
      </c>
      <c r="C472">
        <v>15</v>
      </c>
      <c r="D472" s="260">
        <v>46199</v>
      </c>
      <c r="E472" s="260">
        <v>46219</v>
      </c>
      <c r="F472">
        <v>52</v>
      </c>
      <c r="G472" t="s">
        <v>866</v>
      </c>
    </row>
    <row r="473" spans="1:7">
      <c r="A473" t="s">
        <v>1798</v>
      </c>
      <c r="B473" t="s">
        <v>1799</v>
      </c>
      <c r="C473">
        <v>5</v>
      </c>
      <c r="D473" s="260">
        <v>46303</v>
      </c>
      <c r="E473" s="260">
        <v>46310</v>
      </c>
      <c r="F473">
        <v>52</v>
      </c>
      <c r="G473" t="s">
        <v>866</v>
      </c>
    </row>
    <row r="474" spans="1:7">
      <c r="A474" t="s">
        <v>1800</v>
      </c>
      <c r="B474" t="s">
        <v>1801</v>
      </c>
      <c r="C474">
        <v>15</v>
      </c>
      <c r="D474" s="260">
        <v>46199</v>
      </c>
      <c r="E474" s="260">
        <v>46219</v>
      </c>
      <c r="F474">
        <v>52</v>
      </c>
      <c r="G474" t="s">
        <v>866</v>
      </c>
    </row>
    <row r="475" spans="1:7">
      <c r="A475" t="s">
        <v>1802</v>
      </c>
      <c r="B475" t="s">
        <v>1803</v>
      </c>
      <c r="C475">
        <v>5</v>
      </c>
      <c r="D475" s="260">
        <v>46303</v>
      </c>
      <c r="E475" s="260">
        <v>46310</v>
      </c>
      <c r="F475">
        <v>52</v>
      </c>
      <c r="G475" t="s">
        <v>866</v>
      </c>
    </row>
    <row r="476" spans="1:7">
      <c r="A476" t="s">
        <v>1804</v>
      </c>
      <c r="B476" t="s">
        <v>1805</v>
      </c>
      <c r="C476">
        <v>15</v>
      </c>
      <c r="D476" s="260">
        <v>46199</v>
      </c>
      <c r="E476" s="260">
        <v>46219</v>
      </c>
      <c r="F476">
        <v>52</v>
      </c>
      <c r="G476" t="s">
        <v>866</v>
      </c>
    </row>
    <row r="477" spans="1:7">
      <c r="A477" t="s">
        <v>1806</v>
      </c>
      <c r="B477" t="s">
        <v>1807</v>
      </c>
      <c r="C477">
        <v>5</v>
      </c>
      <c r="D477" s="260">
        <v>46303</v>
      </c>
      <c r="E477" s="260">
        <v>46310</v>
      </c>
      <c r="F477">
        <v>52</v>
      </c>
      <c r="G477" t="s">
        <v>866</v>
      </c>
    </row>
    <row r="478" spans="1:7">
      <c r="A478" t="s">
        <v>1808</v>
      </c>
      <c r="B478" t="s">
        <v>1809</v>
      </c>
      <c r="C478">
        <v>15</v>
      </c>
      <c r="D478" s="260">
        <v>46199</v>
      </c>
      <c r="E478" s="260">
        <v>46219</v>
      </c>
      <c r="F478">
        <v>52</v>
      </c>
      <c r="G478" t="s">
        <v>866</v>
      </c>
    </row>
    <row r="479" spans="1:7">
      <c r="A479" t="s">
        <v>1810</v>
      </c>
      <c r="B479" t="s">
        <v>1811</v>
      </c>
      <c r="C479">
        <v>5</v>
      </c>
      <c r="D479" s="260">
        <v>46303</v>
      </c>
      <c r="E479" s="260">
        <v>46310</v>
      </c>
      <c r="F479">
        <v>52</v>
      </c>
      <c r="G479" t="s">
        <v>866</v>
      </c>
    </row>
    <row r="480" spans="1:7">
      <c r="A480" t="s">
        <v>1812</v>
      </c>
      <c r="B480" t="s">
        <v>1813</v>
      </c>
      <c r="C480">
        <v>15</v>
      </c>
      <c r="D480" s="260">
        <v>46199</v>
      </c>
      <c r="E480" s="260">
        <v>46219</v>
      </c>
      <c r="F480">
        <v>61</v>
      </c>
      <c r="G480" t="s">
        <v>866</v>
      </c>
    </row>
    <row r="481" spans="1:7">
      <c r="A481" t="s">
        <v>1814</v>
      </c>
      <c r="B481" t="s">
        <v>1815</v>
      </c>
      <c r="C481">
        <v>5</v>
      </c>
      <c r="D481" s="260">
        <v>46303</v>
      </c>
      <c r="E481" s="260">
        <v>46310</v>
      </c>
      <c r="F481">
        <v>61</v>
      </c>
      <c r="G481" t="s">
        <v>866</v>
      </c>
    </row>
    <row r="482" spans="1:7">
      <c r="A482" t="s">
        <v>1816</v>
      </c>
      <c r="C482">
        <v>64</v>
      </c>
      <c r="D482" s="260">
        <v>46195</v>
      </c>
      <c r="E482" s="260">
        <v>46288</v>
      </c>
      <c r="F482">
        <v>61</v>
      </c>
      <c r="G482" t="s">
        <v>866</v>
      </c>
    </row>
    <row r="483" spans="1:7">
      <c r="A483" t="s">
        <v>1817</v>
      </c>
      <c r="B483" t="s">
        <v>1818</v>
      </c>
      <c r="C483">
        <v>11</v>
      </c>
      <c r="D483" s="260">
        <v>46220</v>
      </c>
      <c r="E483" s="260">
        <v>46239</v>
      </c>
      <c r="F483">
        <v>71</v>
      </c>
      <c r="G483" t="s">
        <v>866</v>
      </c>
    </row>
    <row r="484" spans="1:7">
      <c r="A484" t="s">
        <v>1819</v>
      </c>
      <c r="B484" t="s">
        <v>1820</v>
      </c>
      <c r="C484">
        <v>5</v>
      </c>
      <c r="D484" s="260">
        <v>46255</v>
      </c>
      <c r="E484" s="260">
        <v>46261</v>
      </c>
      <c r="F484">
        <v>71</v>
      </c>
      <c r="G484" t="s">
        <v>866</v>
      </c>
    </row>
    <row r="485" spans="1:7">
      <c r="A485" t="s">
        <v>1821</v>
      </c>
      <c r="B485" t="s">
        <v>1822</v>
      </c>
      <c r="C485">
        <v>11</v>
      </c>
      <c r="D485" s="260">
        <v>46220</v>
      </c>
      <c r="E485" s="260">
        <v>46239</v>
      </c>
      <c r="F485">
        <v>71</v>
      </c>
      <c r="G485" t="s">
        <v>866</v>
      </c>
    </row>
    <row r="486" spans="1:7">
      <c r="A486" t="s">
        <v>1823</v>
      </c>
      <c r="B486" t="s">
        <v>1824</v>
      </c>
      <c r="C486">
        <v>5</v>
      </c>
      <c r="D486" s="260">
        <v>46255</v>
      </c>
      <c r="E486" s="260">
        <v>46261</v>
      </c>
      <c r="F486">
        <v>71</v>
      </c>
      <c r="G486" t="s">
        <v>866</v>
      </c>
    </row>
    <row r="487" spans="1:7">
      <c r="A487" t="s">
        <v>1825</v>
      </c>
      <c r="B487" t="s">
        <v>1826</v>
      </c>
      <c r="C487">
        <v>16</v>
      </c>
      <c r="D487" s="260">
        <v>46223</v>
      </c>
      <c r="E487" s="260">
        <v>46248</v>
      </c>
      <c r="F487">
        <v>65</v>
      </c>
      <c r="G487" t="s">
        <v>866</v>
      </c>
    </row>
    <row r="488" spans="1:7">
      <c r="A488" t="s">
        <v>1827</v>
      </c>
      <c r="B488" t="s">
        <v>1828</v>
      </c>
      <c r="C488">
        <v>5</v>
      </c>
      <c r="D488" s="260">
        <v>46265</v>
      </c>
      <c r="E488" s="260">
        <v>46269</v>
      </c>
      <c r="F488">
        <v>65</v>
      </c>
      <c r="G488" t="s">
        <v>866</v>
      </c>
    </row>
    <row r="489" spans="1:7">
      <c r="A489" t="s">
        <v>1829</v>
      </c>
      <c r="B489" t="s">
        <v>1830</v>
      </c>
      <c r="C489">
        <v>16</v>
      </c>
      <c r="D489" s="260">
        <v>46223</v>
      </c>
      <c r="E489" s="260">
        <v>46248</v>
      </c>
      <c r="F489">
        <v>65</v>
      </c>
      <c r="G489" t="s">
        <v>866</v>
      </c>
    </row>
    <row r="490" spans="1:7">
      <c r="A490" t="s">
        <v>1831</v>
      </c>
      <c r="B490" t="s">
        <v>1832</v>
      </c>
      <c r="C490">
        <v>5</v>
      </c>
      <c r="D490" s="260">
        <v>46265</v>
      </c>
      <c r="E490" s="260">
        <v>46269</v>
      </c>
      <c r="F490">
        <v>65</v>
      </c>
      <c r="G490" t="s">
        <v>866</v>
      </c>
    </row>
    <row r="491" spans="1:7">
      <c r="A491" t="s">
        <v>1833</v>
      </c>
      <c r="B491" t="s">
        <v>1834</v>
      </c>
      <c r="C491">
        <v>16</v>
      </c>
      <c r="D491" s="260">
        <v>46223</v>
      </c>
      <c r="E491" s="260">
        <v>46248</v>
      </c>
      <c r="F491">
        <v>65</v>
      </c>
      <c r="G491" t="s">
        <v>866</v>
      </c>
    </row>
    <row r="492" spans="1:7">
      <c r="A492" t="s">
        <v>1835</v>
      </c>
      <c r="B492" t="s">
        <v>1836</v>
      </c>
      <c r="C492">
        <v>5</v>
      </c>
      <c r="D492" s="260">
        <v>46265</v>
      </c>
      <c r="E492" s="260">
        <v>46269</v>
      </c>
      <c r="F492">
        <v>65</v>
      </c>
      <c r="G492" t="s">
        <v>866</v>
      </c>
    </row>
    <row r="493" spans="1:7">
      <c r="A493" t="s">
        <v>1837</v>
      </c>
      <c r="B493" t="s">
        <v>1838</v>
      </c>
      <c r="C493">
        <v>16</v>
      </c>
      <c r="D493" s="260">
        <v>46223</v>
      </c>
      <c r="E493" s="260">
        <v>46248</v>
      </c>
      <c r="F493">
        <v>65</v>
      </c>
      <c r="G493" t="s">
        <v>866</v>
      </c>
    </row>
    <row r="494" spans="1:7">
      <c r="A494" t="s">
        <v>1839</v>
      </c>
      <c r="B494" t="s">
        <v>1840</v>
      </c>
      <c r="C494">
        <v>5</v>
      </c>
      <c r="D494" s="260">
        <v>46265</v>
      </c>
      <c r="E494" s="260">
        <v>46269</v>
      </c>
      <c r="F494">
        <v>65</v>
      </c>
      <c r="G494" t="s">
        <v>866</v>
      </c>
    </row>
    <row r="495" spans="1:7">
      <c r="A495" t="s">
        <v>1841</v>
      </c>
      <c r="B495" t="s">
        <v>1842</v>
      </c>
      <c r="C495">
        <v>20</v>
      </c>
      <c r="D495" s="260">
        <v>46195</v>
      </c>
      <c r="E495" s="260">
        <v>46220</v>
      </c>
      <c r="F495">
        <v>81</v>
      </c>
      <c r="G495" t="s">
        <v>866</v>
      </c>
    </row>
    <row r="496" spans="1:7">
      <c r="A496" t="s">
        <v>1843</v>
      </c>
      <c r="B496" t="s">
        <v>1844</v>
      </c>
      <c r="C496">
        <v>5</v>
      </c>
      <c r="D496" s="260">
        <v>46240</v>
      </c>
      <c r="E496" s="260">
        <v>46247</v>
      </c>
      <c r="F496">
        <v>81</v>
      </c>
      <c r="G496" t="s">
        <v>866</v>
      </c>
    </row>
    <row r="497" spans="1:7">
      <c r="A497" t="s">
        <v>1845</v>
      </c>
      <c r="B497" t="s">
        <v>1846</v>
      </c>
      <c r="C497">
        <v>8</v>
      </c>
      <c r="D497" s="260">
        <v>46216</v>
      </c>
      <c r="E497" s="260">
        <v>46225</v>
      </c>
      <c r="F497">
        <v>78</v>
      </c>
      <c r="G497" t="s">
        <v>866</v>
      </c>
    </row>
    <row r="498" spans="1:7">
      <c r="A498" t="s">
        <v>1847</v>
      </c>
      <c r="B498" t="s">
        <v>1848</v>
      </c>
      <c r="C498">
        <v>5</v>
      </c>
      <c r="D498" s="260">
        <v>46245</v>
      </c>
      <c r="E498" s="260">
        <v>46252</v>
      </c>
      <c r="F498">
        <v>78</v>
      </c>
      <c r="G498" t="s">
        <v>866</v>
      </c>
    </row>
    <row r="499" spans="1:7">
      <c r="A499" t="s">
        <v>1849</v>
      </c>
      <c r="B499" t="s">
        <v>1850</v>
      </c>
      <c r="C499">
        <v>8</v>
      </c>
      <c r="D499" s="260">
        <v>46216</v>
      </c>
      <c r="E499" s="260">
        <v>46225</v>
      </c>
      <c r="F499">
        <v>78</v>
      </c>
      <c r="G499" t="s">
        <v>866</v>
      </c>
    </row>
    <row r="500" spans="1:7">
      <c r="A500" t="s">
        <v>1851</v>
      </c>
      <c r="B500" t="s">
        <v>1852</v>
      </c>
      <c r="C500">
        <v>5</v>
      </c>
      <c r="D500" s="260">
        <v>46245</v>
      </c>
      <c r="E500" s="260">
        <v>46252</v>
      </c>
      <c r="F500">
        <v>78</v>
      </c>
      <c r="G500" t="s">
        <v>866</v>
      </c>
    </row>
    <row r="501" spans="1:7">
      <c r="A501" t="s">
        <v>1853</v>
      </c>
      <c r="B501" t="s">
        <v>1854</v>
      </c>
      <c r="C501">
        <v>8</v>
      </c>
      <c r="D501" s="260">
        <v>46216</v>
      </c>
      <c r="E501" s="260">
        <v>46225</v>
      </c>
      <c r="F501">
        <v>78</v>
      </c>
      <c r="G501" t="s">
        <v>866</v>
      </c>
    </row>
    <row r="502" spans="1:7">
      <c r="A502" t="s">
        <v>1855</v>
      </c>
      <c r="B502" t="s">
        <v>1856</v>
      </c>
      <c r="C502">
        <v>5</v>
      </c>
      <c r="D502" s="260">
        <v>46245</v>
      </c>
      <c r="E502" s="260">
        <v>46252</v>
      </c>
      <c r="F502">
        <v>78</v>
      </c>
      <c r="G502" t="s">
        <v>866</v>
      </c>
    </row>
    <row r="503" spans="1:7">
      <c r="A503" t="s">
        <v>1857</v>
      </c>
      <c r="B503" t="s">
        <v>1858</v>
      </c>
      <c r="C503">
        <v>8</v>
      </c>
      <c r="D503" s="260">
        <v>46216</v>
      </c>
      <c r="E503" s="260">
        <v>46225</v>
      </c>
      <c r="F503">
        <v>78</v>
      </c>
      <c r="G503" t="s">
        <v>866</v>
      </c>
    </row>
    <row r="504" spans="1:7">
      <c r="A504" t="s">
        <v>1859</v>
      </c>
      <c r="B504" t="s">
        <v>1860</v>
      </c>
      <c r="C504">
        <v>5</v>
      </c>
      <c r="D504" s="260">
        <v>46245</v>
      </c>
      <c r="E504" s="260">
        <v>46252</v>
      </c>
      <c r="F504">
        <v>78</v>
      </c>
      <c r="G504" t="s">
        <v>866</v>
      </c>
    </row>
    <row r="505" spans="1:7">
      <c r="A505" t="s">
        <v>1861</v>
      </c>
      <c r="B505" t="s">
        <v>1862</v>
      </c>
      <c r="C505">
        <v>8</v>
      </c>
      <c r="D505" s="260">
        <v>46216</v>
      </c>
      <c r="E505" s="260">
        <v>46225</v>
      </c>
      <c r="F505">
        <v>78</v>
      </c>
      <c r="G505" t="s">
        <v>866</v>
      </c>
    </row>
    <row r="506" spans="1:7">
      <c r="A506" t="s">
        <v>1863</v>
      </c>
      <c r="B506" t="s">
        <v>1864</v>
      </c>
      <c r="C506">
        <v>5</v>
      </c>
      <c r="D506" s="260">
        <v>46245</v>
      </c>
      <c r="E506" s="260">
        <v>46252</v>
      </c>
      <c r="F506">
        <v>78</v>
      </c>
      <c r="G506" t="s">
        <v>866</v>
      </c>
    </row>
    <row r="507" spans="1:7">
      <c r="A507" t="s">
        <v>1865</v>
      </c>
      <c r="B507" t="s">
        <v>1866</v>
      </c>
      <c r="C507">
        <v>8</v>
      </c>
      <c r="D507" s="260">
        <v>46216</v>
      </c>
      <c r="E507" s="260">
        <v>46225</v>
      </c>
      <c r="F507">
        <v>78</v>
      </c>
      <c r="G507" t="s">
        <v>866</v>
      </c>
    </row>
    <row r="508" spans="1:7">
      <c r="A508" t="s">
        <v>1867</v>
      </c>
      <c r="B508" t="s">
        <v>1868</v>
      </c>
      <c r="C508">
        <v>5</v>
      </c>
      <c r="D508" s="260">
        <v>46245</v>
      </c>
      <c r="E508" s="260">
        <v>46252</v>
      </c>
      <c r="F508">
        <v>78</v>
      </c>
      <c r="G508" t="s">
        <v>866</v>
      </c>
    </row>
    <row r="509" spans="1:7">
      <c r="A509" t="s">
        <v>1869</v>
      </c>
      <c r="B509" t="s">
        <v>1870</v>
      </c>
      <c r="C509">
        <v>8</v>
      </c>
      <c r="D509" s="260">
        <v>46216</v>
      </c>
      <c r="E509" s="260">
        <v>46225</v>
      </c>
      <c r="F509">
        <v>78</v>
      </c>
      <c r="G509" t="s">
        <v>866</v>
      </c>
    </row>
    <row r="510" spans="1:7">
      <c r="A510" t="s">
        <v>1871</v>
      </c>
      <c r="B510" t="s">
        <v>1872</v>
      </c>
      <c r="C510">
        <v>5</v>
      </c>
      <c r="D510" s="260">
        <v>46245</v>
      </c>
      <c r="E510" s="260">
        <v>46252</v>
      </c>
      <c r="F510">
        <v>78</v>
      </c>
      <c r="G510" t="s">
        <v>866</v>
      </c>
    </row>
    <row r="511" spans="1:7">
      <c r="A511" t="s">
        <v>1873</v>
      </c>
      <c r="B511" t="s">
        <v>1874</v>
      </c>
      <c r="C511">
        <v>8</v>
      </c>
      <c r="D511" s="260">
        <v>46216</v>
      </c>
      <c r="E511" s="260">
        <v>46225</v>
      </c>
      <c r="F511">
        <v>80</v>
      </c>
      <c r="G511" t="s">
        <v>866</v>
      </c>
    </row>
    <row r="512" spans="1:7">
      <c r="A512" t="s">
        <v>1875</v>
      </c>
      <c r="B512" t="s">
        <v>1876</v>
      </c>
      <c r="C512">
        <v>3</v>
      </c>
      <c r="D512" s="260">
        <v>46245</v>
      </c>
      <c r="E512" s="260">
        <v>46248</v>
      </c>
      <c r="F512">
        <v>80</v>
      </c>
      <c r="G512" t="s">
        <v>866</v>
      </c>
    </row>
    <row r="513" spans="1:7">
      <c r="A513" t="s">
        <v>1877</v>
      </c>
      <c r="B513" t="s">
        <v>1878</v>
      </c>
      <c r="C513">
        <v>15</v>
      </c>
      <c r="D513" s="260">
        <v>46247</v>
      </c>
      <c r="E513" s="260">
        <v>46267</v>
      </c>
      <c r="F513">
        <v>52</v>
      </c>
      <c r="G513" t="s">
        <v>866</v>
      </c>
    </row>
    <row r="514" spans="1:7">
      <c r="A514" t="s">
        <v>1879</v>
      </c>
      <c r="B514" t="s">
        <v>1880</v>
      </c>
      <c r="C514">
        <v>5</v>
      </c>
      <c r="D514" s="260">
        <v>46282</v>
      </c>
      <c r="E514" s="260">
        <v>46288</v>
      </c>
      <c r="F514">
        <v>52</v>
      </c>
      <c r="G514" t="s">
        <v>866</v>
      </c>
    </row>
    <row r="515" spans="1:7">
      <c r="A515" t="s">
        <v>1881</v>
      </c>
      <c r="B515" t="s">
        <v>1882</v>
      </c>
      <c r="C515">
        <v>15</v>
      </c>
      <c r="D515" s="260">
        <v>46247</v>
      </c>
      <c r="E515" s="260">
        <v>46267</v>
      </c>
      <c r="F515">
        <v>52</v>
      </c>
      <c r="G515" t="s">
        <v>866</v>
      </c>
    </row>
    <row r="516" spans="1:7">
      <c r="A516" t="s">
        <v>1883</v>
      </c>
      <c r="B516" t="s">
        <v>1884</v>
      </c>
      <c r="C516">
        <v>5</v>
      </c>
      <c r="D516" s="260">
        <v>46282</v>
      </c>
      <c r="E516" s="260">
        <v>46288</v>
      </c>
      <c r="F516">
        <v>52</v>
      </c>
      <c r="G516" t="s">
        <v>866</v>
      </c>
    </row>
    <row r="517" spans="1:7">
      <c r="A517" t="s">
        <v>1885</v>
      </c>
      <c r="B517" t="s">
        <v>1886</v>
      </c>
      <c r="C517">
        <v>15</v>
      </c>
      <c r="D517" s="260">
        <v>46247</v>
      </c>
      <c r="E517" s="260">
        <v>46267</v>
      </c>
      <c r="F517">
        <v>52</v>
      </c>
      <c r="G517" t="s">
        <v>866</v>
      </c>
    </row>
    <row r="518" spans="1:7">
      <c r="A518" t="s">
        <v>1887</v>
      </c>
      <c r="B518" t="s">
        <v>1888</v>
      </c>
      <c r="C518">
        <v>5</v>
      </c>
      <c r="D518" s="260">
        <v>46282</v>
      </c>
      <c r="E518" s="260">
        <v>46288</v>
      </c>
      <c r="F518">
        <v>52</v>
      </c>
      <c r="G518" t="s">
        <v>866</v>
      </c>
    </row>
    <row r="519" spans="1:7">
      <c r="A519" t="s">
        <v>1889</v>
      </c>
      <c r="B519" t="s">
        <v>1890</v>
      </c>
      <c r="C519">
        <v>15</v>
      </c>
      <c r="D519" s="260">
        <v>46247</v>
      </c>
      <c r="E519" s="260">
        <v>46267</v>
      </c>
      <c r="F519">
        <v>52</v>
      </c>
      <c r="G519" t="s">
        <v>866</v>
      </c>
    </row>
    <row r="520" spans="1:7">
      <c r="A520" t="s">
        <v>1891</v>
      </c>
      <c r="B520" t="s">
        <v>1892</v>
      </c>
      <c r="C520">
        <v>5</v>
      </c>
      <c r="D520" s="260">
        <v>46282</v>
      </c>
      <c r="E520" s="260">
        <v>46288</v>
      </c>
      <c r="F520">
        <v>52</v>
      </c>
      <c r="G520" t="s">
        <v>866</v>
      </c>
    </row>
    <row r="521" spans="1:7">
      <c r="A521" t="s">
        <v>1893</v>
      </c>
      <c r="B521" t="s">
        <v>1894</v>
      </c>
      <c r="C521">
        <v>15</v>
      </c>
      <c r="D521" s="260">
        <v>46247</v>
      </c>
      <c r="E521" s="260">
        <v>46267</v>
      </c>
      <c r="F521">
        <v>52</v>
      </c>
      <c r="G521" t="s">
        <v>866</v>
      </c>
    </row>
    <row r="522" spans="1:7">
      <c r="A522" t="s">
        <v>1895</v>
      </c>
      <c r="B522" t="s">
        <v>1896</v>
      </c>
      <c r="C522">
        <v>5</v>
      </c>
      <c r="D522" s="260">
        <v>46282</v>
      </c>
      <c r="E522" s="260">
        <v>46288</v>
      </c>
      <c r="F522">
        <v>52</v>
      </c>
      <c r="G522" t="s">
        <v>866</v>
      </c>
    </row>
    <row r="523" spans="1:7">
      <c r="A523" t="s">
        <v>1897</v>
      </c>
      <c r="B523" t="s">
        <v>1898</v>
      </c>
      <c r="C523">
        <v>15</v>
      </c>
      <c r="D523" s="260">
        <v>46247</v>
      </c>
      <c r="E523" s="260">
        <v>46267</v>
      </c>
      <c r="F523">
        <v>52</v>
      </c>
      <c r="G523" t="s">
        <v>866</v>
      </c>
    </row>
    <row r="524" spans="1:7">
      <c r="A524" t="s">
        <v>1899</v>
      </c>
      <c r="B524" t="s">
        <v>1900</v>
      </c>
      <c r="C524">
        <v>5</v>
      </c>
      <c r="D524" s="260">
        <v>46282</v>
      </c>
      <c r="E524" s="260">
        <v>46288</v>
      </c>
      <c r="F524">
        <v>52</v>
      </c>
      <c r="G524" t="s">
        <v>866</v>
      </c>
    </row>
    <row r="525" spans="1:7">
      <c r="A525" t="s">
        <v>1901</v>
      </c>
      <c r="B525" t="s">
        <v>1902</v>
      </c>
      <c r="C525">
        <v>15</v>
      </c>
      <c r="D525" s="260">
        <v>46247</v>
      </c>
      <c r="E525" s="260">
        <v>46267</v>
      </c>
      <c r="F525">
        <v>52</v>
      </c>
      <c r="G525" t="s">
        <v>866</v>
      </c>
    </row>
    <row r="526" spans="1:7">
      <c r="A526" t="s">
        <v>1903</v>
      </c>
      <c r="B526" t="s">
        <v>1904</v>
      </c>
      <c r="C526">
        <v>5</v>
      </c>
      <c r="D526" s="260">
        <v>46282</v>
      </c>
      <c r="E526" s="260">
        <v>46288</v>
      </c>
      <c r="F526">
        <v>52</v>
      </c>
      <c r="G526" t="s">
        <v>866</v>
      </c>
    </row>
    <row r="527" spans="1:7">
      <c r="A527" t="s">
        <v>1905</v>
      </c>
      <c r="B527" t="s">
        <v>1906</v>
      </c>
      <c r="C527">
        <v>15</v>
      </c>
      <c r="D527" s="260">
        <v>46247</v>
      </c>
      <c r="E527" s="260">
        <v>46267</v>
      </c>
      <c r="F527">
        <v>52</v>
      </c>
      <c r="G527" t="s">
        <v>866</v>
      </c>
    </row>
    <row r="528" spans="1:7">
      <c r="A528" t="s">
        <v>1907</v>
      </c>
      <c r="B528" t="s">
        <v>1908</v>
      </c>
      <c r="C528">
        <v>5</v>
      </c>
      <c r="D528" s="260">
        <v>46282</v>
      </c>
      <c r="E528" s="260">
        <v>46288</v>
      </c>
      <c r="F528">
        <v>52</v>
      </c>
      <c r="G528" t="s">
        <v>866</v>
      </c>
    </row>
    <row r="529" spans="1:7">
      <c r="A529" t="s">
        <v>1909</v>
      </c>
      <c r="B529" t="s">
        <v>1910</v>
      </c>
      <c r="C529">
        <v>15</v>
      </c>
      <c r="D529" s="260">
        <v>46247</v>
      </c>
      <c r="E529" s="260">
        <v>46267</v>
      </c>
      <c r="F529">
        <v>61</v>
      </c>
      <c r="G529" t="s">
        <v>866</v>
      </c>
    </row>
    <row r="530" spans="1:7">
      <c r="A530" t="s">
        <v>1911</v>
      </c>
      <c r="B530" t="s">
        <v>1912</v>
      </c>
      <c r="C530">
        <v>5</v>
      </c>
      <c r="D530" s="260">
        <v>46282</v>
      </c>
      <c r="E530" s="260">
        <v>46288</v>
      </c>
      <c r="F530">
        <v>61</v>
      </c>
      <c r="G530" t="s">
        <v>866</v>
      </c>
    </row>
    <row r="531" spans="1:7">
      <c r="A531" t="s">
        <v>1913</v>
      </c>
      <c r="C531">
        <v>175</v>
      </c>
      <c r="D531" s="260">
        <v>46085</v>
      </c>
      <c r="E531" s="260">
        <v>46346</v>
      </c>
      <c r="F531">
        <v>36</v>
      </c>
      <c r="G531" t="s">
        <v>866</v>
      </c>
    </row>
    <row r="532" spans="1:7">
      <c r="A532" t="s">
        <v>1914</v>
      </c>
      <c r="B532" t="s">
        <v>1915</v>
      </c>
      <c r="C532">
        <v>10</v>
      </c>
      <c r="D532" s="260">
        <v>46220</v>
      </c>
      <c r="E532" s="260">
        <v>46238</v>
      </c>
      <c r="F532">
        <v>76</v>
      </c>
      <c r="G532" t="s">
        <v>866</v>
      </c>
    </row>
    <row r="533" spans="1:7">
      <c r="A533" t="s">
        <v>1916</v>
      </c>
      <c r="B533" t="s">
        <v>1917</v>
      </c>
      <c r="C533">
        <v>10</v>
      </c>
      <c r="D533" s="260">
        <v>46254</v>
      </c>
      <c r="E533" s="260">
        <v>46267</v>
      </c>
      <c r="F533">
        <v>76</v>
      </c>
      <c r="G533" t="s">
        <v>866</v>
      </c>
    </row>
    <row r="534" spans="1:7">
      <c r="A534" t="s">
        <v>1918</v>
      </c>
      <c r="B534" t="s">
        <v>1919</v>
      </c>
      <c r="C534">
        <v>5</v>
      </c>
      <c r="D534" s="260">
        <v>46282</v>
      </c>
      <c r="E534" s="260">
        <v>46288</v>
      </c>
      <c r="F534">
        <v>76</v>
      </c>
      <c r="G534" t="s">
        <v>866</v>
      </c>
    </row>
    <row r="535" spans="1:7">
      <c r="A535" t="s">
        <v>1920</v>
      </c>
      <c r="B535" t="s">
        <v>1921</v>
      </c>
      <c r="C535">
        <v>10</v>
      </c>
      <c r="D535" s="260">
        <v>46156</v>
      </c>
      <c r="E535" s="260">
        <v>46169</v>
      </c>
      <c r="F535">
        <v>46</v>
      </c>
      <c r="G535" t="s">
        <v>866</v>
      </c>
    </row>
    <row r="536" spans="1:7">
      <c r="A536" t="s">
        <v>1922</v>
      </c>
      <c r="B536" t="s">
        <v>1923</v>
      </c>
      <c r="C536">
        <v>10</v>
      </c>
      <c r="D536" s="260">
        <v>46188</v>
      </c>
      <c r="E536" s="260">
        <v>46199</v>
      </c>
      <c r="F536">
        <v>71</v>
      </c>
      <c r="G536" t="s">
        <v>866</v>
      </c>
    </row>
    <row r="537" spans="1:7">
      <c r="A537" t="s">
        <v>1924</v>
      </c>
      <c r="B537" t="s">
        <v>1925</v>
      </c>
      <c r="C537">
        <v>5</v>
      </c>
      <c r="D537" s="260">
        <v>46216</v>
      </c>
      <c r="E537" s="260">
        <v>46220</v>
      </c>
      <c r="F537">
        <v>81</v>
      </c>
      <c r="G537" t="s">
        <v>866</v>
      </c>
    </row>
    <row r="538" spans="1:7">
      <c r="A538" t="s">
        <v>1926</v>
      </c>
      <c r="B538" t="s">
        <v>1927</v>
      </c>
      <c r="C538">
        <v>10</v>
      </c>
      <c r="D538" s="260">
        <v>46155</v>
      </c>
      <c r="E538" s="260">
        <v>46168</v>
      </c>
      <c r="F538">
        <v>0</v>
      </c>
      <c r="G538" t="s">
        <v>866</v>
      </c>
    </row>
    <row r="539" spans="1:7">
      <c r="A539" t="s">
        <v>1928</v>
      </c>
      <c r="B539" t="s">
        <v>1929</v>
      </c>
      <c r="C539">
        <v>10</v>
      </c>
      <c r="D539" s="260">
        <v>46185</v>
      </c>
      <c r="E539" s="260">
        <v>46198</v>
      </c>
      <c r="F539">
        <v>112</v>
      </c>
      <c r="G539" t="s">
        <v>866</v>
      </c>
    </row>
    <row r="540" spans="1:7">
      <c r="A540" t="s">
        <v>1930</v>
      </c>
      <c r="B540" t="s">
        <v>1931</v>
      </c>
      <c r="C540">
        <v>5</v>
      </c>
      <c r="D540" s="260">
        <v>46213</v>
      </c>
      <c r="E540" s="260">
        <v>46219</v>
      </c>
      <c r="F540">
        <v>112</v>
      </c>
      <c r="G540" t="s">
        <v>866</v>
      </c>
    </row>
    <row r="541" spans="1:7">
      <c r="A541" t="s">
        <v>1932</v>
      </c>
      <c r="B541" t="s">
        <v>1933</v>
      </c>
      <c r="C541">
        <v>10</v>
      </c>
      <c r="D541" s="260">
        <v>46155</v>
      </c>
      <c r="E541" s="260">
        <v>46168</v>
      </c>
      <c r="F541">
        <v>0</v>
      </c>
      <c r="G541" t="s">
        <v>866</v>
      </c>
    </row>
    <row r="542" spans="1:7">
      <c r="A542" t="s">
        <v>1934</v>
      </c>
      <c r="B542" t="s">
        <v>1935</v>
      </c>
      <c r="C542">
        <v>10</v>
      </c>
      <c r="D542" s="260">
        <v>46185</v>
      </c>
      <c r="E542" s="260">
        <v>46198</v>
      </c>
      <c r="F542">
        <v>112</v>
      </c>
      <c r="G542" t="s">
        <v>866</v>
      </c>
    </row>
    <row r="543" spans="1:7">
      <c r="A543" t="s">
        <v>1936</v>
      </c>
      <c r="B543" t="s">
        <v>1937</v>
      </c>
      <c r="C543">
        <v>5</v>
      </c>
      <c r="D543" s="260">
        <v>46213</v>
      </c>
      <c r="E543" s="260">
        <v>46219</v>
      </c>
      <c r="F543">
        <v>112</v>
      </c>
      <c r="G543" t="s">
        <v>866</v>
      </c>
    </row>
    <row r="544" spans="1:7">
      <c r="A544" t="s">
        <v>1938</v>
      </c>
      <c r="B544" t="s">
        <v>1939</v>
      </c>
      <c r="C544">
        <v>10</v>
      </c>
      <c r="D544" s="260">
        <v>46155</v>
      </c>
      <c r="E544" s="260">
        <v>46168</v>
      </c>
      <c r="F544">
        <v>0</v>
      </c>
      <c r="G544" t="s">
        <v>866</v>
      </c>
    </row>
    <row r="545" spans="1:7">
      <c r="A545" t="s">
        <v>1940</v>
      </c>
      <c r="B545" t="s">
        <v>1941</v>
      </c>
      <c r="C545">
        <v>10</v>
      </c>
      <c r="D545" s="260">
        <v>46185</v>
      </c>
      <c r="E545" s="260">
        <v>46198</v>
      </c>
      <c r="F545">
        <v>112</v>
      </c>
      <c r="G545" t="s">
        <v>866</v>
      </c>
    </row>
    <row r="546" spans="1:7">
      <c r="A546" t="s">
        <v>1942</v>
      </c>
      <c r="B546" t="s">
        <v>1943</v>
      </c>
      <c r="C546">
        <v>5</v>
      </c>
      <c r="D546" s="260">
        <v>46213</v>
      </c>
      <c r="E546" s="260">
        <v>46219</v>
      </c>
      <c r="F546">
        <v>112</v>
      </c>
      <c r="G546" t="s">
        <v>866</v>
      </c>
    </row>
    <row r="547" spans="1:7">
      <c r="A547" t="s">
        <v>1944</v>
      </c>
      <c r="B547" t="s">
        <v>1945</v>
      </c>
      <c r="C547">
        <v>10</v>
      </c>
      <c r="D547" s="260">
        <v>46155</v>
      </c>
      <c r="E547" s="260">
        <v>46168</v>
      </c>
      <c r="F547">
        <v>0</v>
      </c>
      <c r="G547" t="s">
        <v>866</v>
      </c>
    </row>
    <row r="548" spans="1:7">
      <c r="A548" t="s">
        <v>1946</v>
      </c>
      <c r="B548" t="s">
        <v>1947</v>
      </c>
      <c r="C548">
        <v>10</v>
      </c>
      <c r="D548" s="260">
        <v>46185</v>
      </c>
      <c r="E548" s="260">
        <v>46198</v>
      </c>
      <c r="F548">
        <v>112</v>
      </c>
      <c r="G548" t="s">
        <v>866</v>
      </c>
    </row>
    <row r="549" spans="1:7">
      <c r="A549" t="s">
        <v>1948</v>
      </c>
      <c r="B549" t="s">
        <v>1949</v>
      </c>
      <c r="C549">
        <v>5</v>
      </c>
      <c r="D549" s="260">
        <v>46213</v>
      </c>
      <c r="E549" s="260">
        <v>46219</v>
      </c>
      <c r="F549">
        <v>112</v>
      </c>
      <c r="G549" t="s">
        <v>866</v>
      </c>
    </row>
    <row r="550" spans="1:7">
      <c r="A550" t="s">
        <v>1950</v>
      </c>
      <c r="B550" t="s">
        <v>1951</v>
      </c>
      <c r="C550">
        <v>10</v>
      </c>
      <c r="D550" s="260">
        <v>46155</v>
      </c>
      <c r="E550" s="260">
        <v>46168</v>
      </c>
      <c r="F550">
        <v>0</v>
      </c>
      <c r="G550" t="s">
        <v>866</v>
      </c>
    </row>
    <row r="551" spans="1:7">
      <c r="A551" t="s">
        <v>1952</v>
      </c>
      <c r="B551" t="s">
        <v>1953</v>
      </c>
      <c r="C551">
        <v>10</v>
      </c>
      <c r="D551" s="260">
        <v>46185</v>
      </c>
      <c r="E551" s="260">
        <v>46198</v>
      </c>
      <c r="F551">
        <v>112</v>
      </c>
      <c r="G551" t="s">
        <v>866</v>
      </c>
    </row>
    <row r="552" spans="1:7">
      <c r="A552" t="s">
        <v>1954</v>
      </c>
      <c r="B552" t="s">
        <v>1955</v>
      </c>
      <c r="C552">
        <v>5</v>
      </c>
      <c r="D552" s="260">
        <v>46213</v>
      </c>
      <c r="E552" s="260">
        <v>46219</v>
      </c>
      <c r="F552">
        <v>112</v>
      </c>
      <c r="G552" t="s">
        <v>866</v>
      </c>
    </row>
    <row r="553" spans="1:7">
      <c r="A553" t="s">
        <v>1956</v>
      </c>
      <c r="B553" t="s">
        <v>1957</v>
      </c>
      <c r="C553">
        <v>25</v>
      </c>
      <c r="D553" s="260">
        <v>46169</v>
      </c>
      <c r="E553" s="260">
        <v>46205</v>
      </c>
      <c r="F553">
        <v>27</v>
      </c>
      <c r="G553" t="s">
        <v>866</v>
      </c>
    </row>
    <row r="554" spans="1:7">
      <c r="A554" t="s">
        <v>1958</v>
      </c>
      <c r="B554" t="s">
        <v>1959</v>
      </c>
      <c r="C554">
        <v>15</v>
      </c>
      <c r="D554" s="260">
        <v>46220</v>
      </c>
      <c r="E554" s="260">
        <v>46245</v>
      </c>
      <c r="F554">
        <v>72</v>
      </c>
      <c r="G554" t="s">
        <v>866</v>
      </c>
    </row>
    <row r="555" spans="1:7">
      <c r="A555" t="s">
        <v>1960</v>
      </c>
      <c r="B555" t="s">
        <v>1961</v>
      </c>
      <c r="C555">
        <v>15</v>
      </c>
      <c r="D555" s="260">
        <v>46261</v>
      </c>
      <c r="E555" s="260">
        <v>46281</v>
      </c>
      <c r="F555">
        <v>72</v>
      </c>
      <c r="G555" t="s">
        <v>866</v>
      </c>
    </row>
    <row r="556" spans="1:7">
      <c r="A556" t="s">
        <v>1962</v>
      </c>
      <c r="B556" t="s">
        <v>1963</v>
      </c>
      <c r="C556">
        <v>25</v>
      </c>
      <c r="D556" s="260">
        <v>46169</v>
      </c>
      <c r="E556" s="260">
        <v>46205</v>
      </c>
      <c r="F556">
        <v>47</v>
      </c>
      <c r="G556" t="s">
        <v>866</v>
      </c>
    </row>
    <row r="557" spans="1:7">
      <c r="A557" t="s">
        <v>1964</v>
      </c>
      <c r="B557" t="s">
        <v>1965</v>
      </c>
      <c r="C557">
        <v>15</v>
      </c>
      <c r="D557" s="260">
        <v>46220</v>
      </c>
      <c r="E557" s="260">
        <v>46245</v>
      </c>
      <c r="F557">
        <v>72</v>
      </c>
      <c r="G557" t="s">
        <v>866</v>
      </c>
    </row>
    <row r="558" spans="1:7">
      <c r="A558" t="s">
        <v>1966</v>
      </c>
      <c r="B558" t="s">
        <v>1967</v>
      </c>
      <c r="C558">
        <v>15</v>
      </c>
      <c r="D558" s="260">
        <v>46261</v>
      </c>
      <c r="E558" s="260">
        <v>46281</v>
      </c>
      <c r="F558">
        <v>72</v>
      </c>
      <c r="G558" t="s">
        <v>866</v>
      </c>
    </row>
    <row r="559" spans="1:7">
      <c r="A559" t="s">
        <v>1968</v>
      </c>
      <c r="B559" t="s">
        <v>1969</v>
      </c>
      <c r="C559">
        <v>25</v>
      </c>
      <c r="D559" s="260">
        <v>46169</v>
      </c>
      <c r="E559" s="260">
        <v>46205</v>
      </c>
      <c r="F559">
        <v>42</v>
      </c>
      <c r="G559" t="s">
        <v>866</v>
      </c>
    </row>
    <row r="560" spans="1:7">
      <c r="A560" t="s">
        <v>1970</v>
      </c>
      <c r="B560" t="s">
        <v>1971</v>
      </c>
      <c r="C560">
        <v>15</v>
      </c>
      <c r="D560" s="260">
        <v>46220</v>
      </c>
      <c r="E560" s="260">
        <v>46245</v>
      </c>
      <c r="F560">
        <v>72</v>
      </c>
      <c r="G560" t="s">
        <v>866</v>
      </c>
    </row>
    <row r="561" spans="1:7">
      <c r="A561" t="s">
        <v>1972</v>
      </c>
      <c r="B561" t="s">
        <v>1973</v>
      </c>
      <c r="C561">
        <v>15</v>
      </c>
      <c r="D561" s="260">
        <v>46261</v>
      </c>
      <c r="E561" s="260">
        <v>46281</v>
      </c>
      <c r="F561">
        <v>72</v>
      </c>
      <c r="G561" t="s">
        <v>866</v>
      </c>
    </row>
    <row r="562" spans="1:7">
      <c r="A562" t="s">
        <v>1974</v>
      </c>
      <c r="B562" t="s">
        <v>1975</v>
      </c>
      <c r="C562">
        <v>25</v>
      </c>
      <c r="D562" s="260">
        <v>46178</v>
      </c>
      <c r="E562" s="260">
        <v>46212</v>
      </c>
      <c r="F562">
        <v>42</v>
      </c>
      <c r="G562" t="s">
        <v>866</v>
      </c>
    </row>
    <row r="563" spans="1:7">
      <c r="A563" t="s">
        <v>1976</v>
      </c>
      <c r="B563" t="s">
        <v>1977</v>
      </c>
      <c r="C563">
        <v>15</v>
      </c>
      <c r="D563" s="260">
        <v>46227</v>
      </c>
      <c r="E563" s="260">
        <v>46253</v>
      </c>
      <c r="F563">
        <v>67</v>
      </c>
      <c r="G563" t="s">
        <v>866</v>
      </c>
    </row>
    <row r="564" spans="1:7">
      <c r="A564" t="s">
        <v>1978</v>
      </c>
      <c r="B564" t="s">
        <v>1979</v>
      </c>
      <c r="C564">
        <v>15</v>
      </c>
      <c r="D564" s="260">
        <v>46268</v>
      </c>
      <c r="E564" s="260">
        <v>46288</v>
      </c>
      <c r="F564">
        <v>67</v>
      </c>
      <c r="G564" t="s">
        <v>866</v>
      </c>
    </row>
    <row r="565" spans="1:7">
      <c r="A565" t="s">
        <v>1980</v>
      </c>
      <c r="B565" t="s">
        <v>1981</v>
      </c>
      <c r="C565">
        <v>25</v>
      </c>
      <c r="D565" s="260">
        <v>46169</v>
      </c>
      <c r="E565" s="260">
        <v>46205</v>
      </c>
      <c r="F565">
        <v>42</v>
      </c>
      <c r="G565" t="s">
        <v>866</v>
      </c>
    </row>
    <row r="566" spans="1:7">
      <c r="A566" t="s">
        <v>1982</v>
      </c>
      <c r="B566" t="s">
        <v>1983</v>
      </c>
      <c r="C566">
        <v>15</v>
      </c>
      <c r="D566" s="260">
        <v>46220</v>
      </c>
      <c r="E566" s="260">
        <v>46245</v>
      </c>
      <c r="F566">
        <v>72</v>
      </c>
      <c r="G566" t="s">
        <v>866</v>
      </c>
    </row>
    <row r="567" spans="1:7">
      <c r="A567" t="s">
        <v>1984</v>
      </c>
      <c r="B567" t="s">
        <v>1985</v>
      </c>
      <c r="C567">
        <v>15</v>
      </c>
      <c r="D567" s="260">
        <v>46261</v>
      </c>
      <c r="E567" s="260">
        <v>46281</v>
      </c>
      <c r="F567">
        <v>72</v>
      </c>
      <c r="G567" t="s">
        <v>866</v>
      </c>
    </row>
    <row r="568" spans="1:7">
      <c r="A568" t="s">
        <v>1986</v>
      </c>
      <c r="B568" t="s">
        <v>1987</v>
      </c>
      <c r="C568">
        <v>25</v>
      </c>
      <c r="D568" s="260">
        <v>46178</v>
      </c>
      <c r="E568" s="260">
        <v>46212</v>
      </c>
      <c r="F568">
        <v>42</v>
      </c>
      <c r="G568" t="s">
        <v>866</v>
      </c>
    </row>
    <row r="569" spans="1:7">
      <c r="A569" t="s">
        <v>1988</v>
      </c>
      <c r="B569" t="s">
        <v>1989</v>
      </c>
      <c r="C569">
        <v>15</v>
      </c>
      <c r="D569" s="260">
        <v>46227</v>
      </c>
      <c r="E569" s="260">
        <v>46253</v>
      </c>
      <c r="F569">
        <v>67</v>
      </c>
      <c r="G569" t="s">
        <v>866</v>
      </c>
    </row>
    <row r="570" spans="1:7">
      <c r="A570" t="s">
        <v>1990</v>
      </c>
      <c r="B570" t="s">
        <v>1991</v>
      </c>
      <c r="C570">
        <v>15</v>
      </c>
      <c r="D570" s="260">
        <v>46268</v>
      </c>
      <c r="E570" s="260">
        <v>46288</v>
      </c>
      <c r="F570">
        <v>67</v>
      </c>
      <c r="G570" t="s">
        <v>866</v>
      </c>
    </row>
    <row r="571" spans="1:7">
      <c r="A571" t="s">
        <v>1992</v>
      </c>
      <c r="B571" t="s">
        <v>1993</v>
      </c>
      <c r="C571">
        <v>25</v>
      </c>
      <c r="D571" s="260">
        <v>46178</v>
      </c>
      <c r="E571" s="260">
        <v>46212</v>
      </c>
      <c r="F571">
        <v>42</v>
      </c>
      <c r="G571" t="s">
        <v>866</v>
      </c>
    </row>
    <row r="572" spans="1:7">
      <c r="A572" t="s">
        <v>1994</v>
      </c>
      <c r="B572" t="s">
        <v>1995</v>
      </c>
      <c r="C572">
        <v>15</v>
      </c>
      <c r="D572" s="260">
        <v>46227</v>
      </c>
      <c r="E572" s="260">
        <v>46253</v>
      </c>
      <c r="F572">
        <v>67</v>
      </c>
      <c r="G572" t="s">
        <v>866</v>
      </c>
    </row>
    <row r="573" spans="1:7">
      <c r="A573" t="s">
        <v>1996</v>
      </c>
      <c r="B573" t="s">
        <v>1997</v>
      </c>
      <c r="C573">
        <v>15</v>
      </c>
      <c r="D573" s="260">
        <v>46268</v>
      </c>
      <c r="E573" s="260">
        <v>46288</v>
      </c>
      <c r="F573">
        <v>67</v>
      </c>
      <c r="G573" t="s">
        <v>866</v>
      </c>
    </row>
    <row r="574" spans="1:7">
      <c r="A574" t="s">
        <v>1998</v>
      </c>
      <c r="B574" t="s">
        <v>1999</v>
      </c>
      <c r="C574">
        <v>25</v>
      </c>
      <c r="D574" s="260">
        <v>46169</v>
      </c>
      <c r="E574" s="260">
        <v>46205</v>
      </c>
      <c r="F574">
        <v>27</v>
      </c>
      <c r="G574" t="s">
        <v>866</v>
      </c>
    </row>
    <row r="575" spans="1:7">
      <c r="A575" t="s">
        <v>2000</v>
      </c>
      <c r="B575" t="s">
        <v>2001</v>
      </c>
      <c r="C575">
        <v>15</v>
      </c>
      <c r="D575" s="260">
        <v>46220</v>
      </c>
      <c r="E575" s="260">
        <v>46245</v>
      </c>
      <c r="F575">
        <v>72</v>
      </c>
      <c r="G575" t="s">
        <v>866</v>
      </c>
    </row>
    <row r="576" spans="1:7">
      <c r="A576" t="s">
        <v>2002</v>
      </c>
      <c r="B576" t="s">
        <v>2003</v>
      </c>
      <c r="C576">
        <v>15</v>
      </c>
      <c r="D576" s="260">
        <v>46261</v>
      </c>
      <c r="E576" s="260">
        <v>46281</v>
      </c>
      <c r="F576">
        <v>72</v>
      </c>
      <c r="G576" t="s">
        <v>866</v>
      </c>
    </row>
    <row r="577" spans="1:7">
      <c r="A577" t="s">
        <v>2004</v>
      </c>
      <c r="B577" t="s">
        <v>2005</v>
      </c>
      <c r="C577">
        <v>25</v>
      </c>
      <c r="D577" s="260">
        <v>46178</v>
      </c>
      <c r="E577" s="260">
        <v>46212</v>
      </c>
      <c r="F577">
        <v>27</v>
      </c>
      <c r="G577" t="s">
        <v>866</v>
      </c>
    </row>
    <row r="578" spans="1:7">
      <c r="A578" t="s">
        <v>2006</v>
      </c>
      <c r="B578" t="s">
        <v>2007</v>
      </c>
      <c r="C578">
        <v>15</v>
      </c>
      <c r="D578" s="260">
        <v>46227</v>
      </c>
      <c r="E578" s="260">
        <v>46253</v>
      </c>
      <c r="F578">
        <v>67</v>
      </c>
      <c r="G578" t="s">
        <v>866</v>
      </c>
    </row>
    <row r="579" spans="1:7">
      <c r="A579" t="s">
        <v>2008</v>
      </c>
      <c r="B579" t="s">
        <v>2009</v>
      </c>
      <c r="C579">
        <v>15</v>
      </c>
      <c r="D579" s="260">
        <v>46268</v>
      </c>
      <c r="E579" s="260">
        <v>46288</v>
      </c>
      <c r="F579">
        <v>67</v>
      </c>
      <c r="G579" t="s">
        <v>866</v>
      </c>
    </row>
    <row r="580" spans="1:7">
      <c r="A580" t="s">
        <v>2010</v>
      </c>
      <c r="B580" t="s">
        <v>2011</v>
      </c>
      <c r="C580">
        <v>25</v>
      </c>
      <c r="D580" s="260">
        <v>46178</v>
      </c>
      <c r="E580" s="260">
        <v>46212</v>
      </c>
      <c r="F580">
        <v>27</v>
      </c>
      <c r="G580" t="s">
        <v>866</v>
      </c>
    </row>
    <row r="581" spans="1:7">
      <c r="A581" t="s">
        <v>2012</v>
      </c>
      <c r="B581" t="s">
        <v>2013</v>
      </c>
      <c r="C581">
        <v>15</v>
      </c>
      <c r="D581" s="260">
        <v>46227</v>
      </c>
      <c r="E581" s="260">
        <v>46253</v>
      </c>
      <c r="F581">
        <v>67</v>
      </c>
      <c r="G581" t="s">
        <v>866</v>
      </c>
    </row>
    <row r="582" spans="1:7">
      <c r="A582" t="s">
        <v>2014</v>
      </c>
      <c r="B582" t="s">
        <v>2015</v>
      </c>
      <c r="C582">
        <v>15</v>
      </c>
      <c r="D582" s="260">
        <v>46268</v>
      </c>
      <c r="E582" s="260">
        <v>46288</v>
      </c>
      <c r="F582">
        <v>67</v>
      </c>
      <c r="G582" t="s">
        <v>866</v>
      </c>
    </row>
    <row r="583" spans="1:7">
      <c r="A583" t="s">
        <v>2016</v>
      </c>
      <c r="B583" t="s">
        <v>2017</v>
      </c>
      <c r="C583">
        <v>25</v>
      </c>
      <c r="D583" s="260">
        <v>46185</v>
      </c>
      <c r="E583" s="260">
        <v>46219</v>
      </c>
      <c r="F583">
        <v>37</v>
      </c>
      <c r="G583" t="s">
        <v>866</v>
      </c>
    </row>
    <row r="584" spans="1:7">
      <c r="A584" t="s">
        <v>2018</v>
      </c>
      <c r="B584" t="s">
        <v>2019</v>
      </c>
      <c r="C584">
        <v>15</v>
      </c>
      <c r="D584" s="260">
        <v>46239</v>
      </c>
      <c r="E584" s="260">
        <v>46260</v>
      </c>
      <c r="F584">
        <v>62</v>
      </c>
      <c r="G584" t="s">
        <v>866</v>
      </c>
    </row>
    <row r="585" spans="1:7">
      <c r="A585" t="s">
        <v>2020</v>
      </c>
      <c r="B585" t="s">
        <v>2021</v>
      </c>
      <c r="C585">
        <v>15</v>
      </c>
      <c r="D585" s="260">
        <v>46275</v>
      </c>
      <c r="E585" s="260">
        <v>46295</v>
      </c>
      <c r="F585">
        <v>62</v>
      </c>
      <c r="G585" t="s">
        <v>866</v>
      </c>
    </row>
    <row r="586" spans="1:7">
      <c r="A586" t="s">
        <v>2022</v>
      </c>
      <c r="B586" t="s">
        <v>2023</v>
      </c>
      <c r="C586">
        <v>25</v>
      </c>
      <c r="D586" s="260">
        <v>46185</v>
      </c>
      <c r="E586" s="260">
        <v>46219</v>
      </c>
      <c r="F586">
        <v>37</v>
      </c>
      <c r="G586" t="s">
        <v>866</v>
      </c>
    </row>
    <row r="587" spans="1:7">
      <c r="A587" t="s">
        <v>2024</v>
      </c>
      <c r="B587" t="s">
        <v>2025</v>
      </c>
      <c r="C587">
        <v>15</v>
      </c>
      <c r="D587" s="260">
        <v>46239</v>
      </c>
      <c r="E587" s="260">
        <v>46260</v>
      </c>
      <c r="F587">
        <v>62</v>
      </c>
      <c r="G587" t="s">
        <v>866</v>
      </c>
    </row>
    <row r="588" spans="1:7">
      <c r="A588" t="s">
        <v>2026</v>
      </c>
      <c r="B588" t="s">
        <v>631</v>
      </c>
      <c r="C588">
        <v>15</v>
      </c>
      <c r="D588" s="260">
        <v>46275</v>
      </c>
      <c r="E588" s="260">
        <v>46295</v>
      </c>
      <c r="F588">
        <v>62</v>
      </c>
      <c r="G588" t="s">
        <v>866</v>
      </c>
    </row>
    <row r="589" spans="1:7">
      <c r="A589" t="s">
        <v>2027</v>
      </c>
      <c r="B589" t="s">
        <v>2028</v>
      </c>
      <c r="C589">
        <v>25</v>
      </c>
      <c r="D589" s="260">
        <v>46178</v>
      </c>
      <c r="E589" s="260">
        <v>46212</v>
      </c>
      <c r="F589">
        <v>27</v>
      </c>
      <c r="G589" t="s">
        <v>866</v>
      </c>
    </row>
    <row r="590" spans="1:7">
      <c r="A590" t="s">
        <v>2029</v>
      </c>
      <c r="B590" t="s">
        <v>2030</v>
      </c>
      <c r="C590">
        <v>15</v>
      </c>
      <c r="D590" s="260">
        <v>46227</v>
      </c>
      <c r="E590" s="260">
        <v>46253</v>
      </c>
      <c r="F590">
        <v>67</v>
      </c>
      <c r="G590" t="s">
        <v>866</v>
      </c>
    </row>
    <row r="591" spans="1:7">
      <c r="A591" t="s">
        <v>2031</v>
      </c>
      <c r="B591" t="s">
        <v>627</v>
      </c>
      <c r="C591">
        <v>15</v>
      </c>
      <c r="D591" s="260">
        <v>46268</v>
      </c>
      <c r="E591" s="260">
        <v>46288</v>
      </c>
      <c r="F591">
        <v>67</v>
      </c>
      <c r="G591" t="s">
        <v>866</v>
      </c>
    </row>
    <row r="592" spans="1:7">
      <c r="A592" t="s">
        <v>2032</v>
      </c>
      <c r="B592" t="s">
        <v>2033</v>
      </c>
      <c r="C592">
        <v>25</v>
      </c>
      <c r="D592" s="260">
        <v>46178</v>
      </c>
      <c r="E592" s="260">
        <v>46212</v>
      </c>
      <c r="F592">
        <v>42</v>
      </c>
      <c r="G592" t="s">
        <v>866</v>
      </c>
    </row>
    <row r="593" spans="1:7">
      <c r="A593" t="s">
        <v>2034</v>
      </c>
      <c r="B593" t="s">
        <v>2035</v>
      </c>
      <c r="C593">
        <v>15</v>
      </c>
      <c r="D593" s="260">
        <v>46227</v>
      </c>
      <c r="E593" s="260">
        <v>46253</v>
      </c>
      <c r="F593">
        <v>67</v>
      </c>
      <c r="G593" t="s">
        <v>866</v>
      </c>
    </row>
    <row r="594" spans="1:7">
      <c r="A594" t="s">
        <v>2036</v>
      </c>
      <c r="B594" t="s">
        <v>2037</v>
      </c>
      <c r="C594">
        <v>15</v>
      </c>
      <c r="D594" s="260">
        <v>46268</v>
      </c>
      <c r="E594" s="260">
        <v>46288</v>
      </c>
      <c r="F594">
        <v>67</v>
      </c>
      <c r="G594" t="s">
        <v>866</v>
      </c>
    </row>
    <row r="595" spans="1:7">
      <c r="A595" t="s">
        <v>2038</v>
      </c>
      <c r="B595" t="s">
        <v>2039</v>
      </c>
      <c r="C595">
        <v>25</v>
      </c>
      <c r="D595" s="260">
        <v>46178</v>
      </c>
      <c r="E595" s="260">
        <v>46212</v>
      </c>
      <c r="F595">
        <v>42</v>
      </c>
      <c r="G595" t="s">
        <v>866</v>
      </c>
    </row>
    <row r="596" spans="1:7">
      <c r="A596" t="s">
        <v>2040</v>
      </c>
      <c r="B596" t="s">
        <v>2041</v>
      </c>
      <c r="C596">
        <v>15</v>
      </c>
      <c r="D596" s="260">
        <v>46227</v>
      </c>
      <c r="E596" s="260">
        <v>46253</v>
      </c>
      <c r="F596">
        <v>67</v>
      </c>
      <c r="G596" t="s">
        <v>866</v>
      </c>
    </row>
    <row r="597" spans="1:7">
      <c r="A597" t="s">
        <v>2042</v>
      </c>
      <c r="B597" t="s">
        <v>2043</v>
      </c>
      <c r="C597">
        <v>15</v>
      </c>
      <c r="D597" s="260">
        <v>46268</v>
      </c>
      <c r="E597" s="260">
        <v>46288</v>
      </c>
      <c r="F597">
        <v>67</v>
      </c>
      <c r="G597" t="s">
        <v>866</v>
      </c>
    </row>
    <row r="598" spans="1:7">
      <c r="A598" t="s">
        <v>2044</v>
      </c>
      <c r="B598" t="s">
        <v>2045</v>
      </c>
      <c r="C598">
        <v>25</v>
      </c>
      <c r="D598" s="260">
        <v>46178</v>
      </c>
      <c r="E598" s="260">
        <v>46212</v>
      </c>
      <c r="F598">
        <v>42</v>
      </c>
      <c r="G598" t="s">
        <v>866</v>
      </c>
    </row>
    <row r="599" spans="1:7">
      <c r="A599" t="s">
        <v>2046</v>
      </c>
      <c r="B599" t="s">
        <v>2047</v>
      </c>
      <c r="C599">
        <v>15</v>
      </c>
      <c r="D599" s="260">
        <v>46227</v>
      </c>
      <c r="E599" s="260">
        <v>46253</v>
      </c>
      <c r="F599">
        <v>67</v>
      </c>
      <c r="G599" t="s">
        <v>866</v>
      </c>
    </row>
    <row r="600" spans="1:7">
      <c r="A600" t="s">
        <v>2048</v>
      </c>
      <c r="B600" t="s">
        <v>2049</v>
      </c>
      <c r="C600">
        <v>15</v>
      </c>
      <c r="D600" s="260">
        <v>46268</v>
      </c>
      <c r="E600" s="260">
        <v>46288</v>
      </c>
      <c r="F600">
        <v>67</v>
      </c>
      <c r="G600" t="s">
        <v>866</v>
      </c>
    </row>
    <row r="601" spans="1:7">
      <c r="A601" t="s">
        <v>2050</v>
      </c>
      <c r="B601" t="s">
        <v>2051</v>
      </c>
      <c r="C601">
        <v>25</v>
      </c>
      <c r="D601" s="260">
        <v>46178</v>
      </c>
      <c r="E601" s="260">
        <v>46212</v>
      </c>
      <c r="F601">
        <v>42</v>
      </c>
      <c r="G601" t="s">
        <v>866</v>
      </c>
    </row>
    <row r="602" spans="1:7">
      <c r="A602" t="s">
        <v>2052</v>
      </c>
      <c r="B602" t="s">
        <v>2053</v>
      </c>
      <c r="C602">
        <v>15</v>
      </c>
      <c r="D602" s="260">
        <v>46227</v>
      </c>
      <c r="E602" s="260">
        <v>46253</v>
      </c>
      <c r="F602">
        <v>67</v>
      </c>
      <c r="G602" t="s">
        <v>866</v>
      </c>
    </row>
    <row r="603" spans="1:7">
      <c r="A603" t="s">
        <v>2054</v>
      </c>
      <c r="B603" t="s">
        <v>2055</v>
      </c>
      <c r="C603">
        <v>15</v>
      </c>
      <c r="D603" s="260">
        <v>46268</v>
      </c>
      <c r="E603" s="260">
        <v>46288</v>
      </c>
      <c r="F603">
        <v>67</v>
      </c>
      <c r="G603" t="s">
        <v>866</v>
      </c>
    </row>
    <row r="604" spans="1:7">
      <c r="A604" t="s">
        <v>2056</v>
      </c>
      <c r="B604" t="s">
        <v>2057</v>
      </c>
      <c r="C604">
        <v>25</v>
      </c>
      <c r="D604" s="260">
        <v>46178</v>
      </c>
      <c r="E604" s="260">
        <v>46212</v>
      </c>
      <c r="F604">
        <v>42</v>
      </c>
      <c r="G604" t="s">
        <v>866</v>
      </c>
    </row>
    <row r="605" spans="1:7">
      <c r="A605" t="s">
        <v>2058</v>
      </c>
      <c r="B605" t="s">
        <v>2059</v>
      </c>
      <c r="C605">
        <v>15</v>
      </c>
      <c r="D605" s="260">
        <v>46227</v>
      </c>
      <c r="E605" s="260">
        <v>46253</v>
      </c>
      <c r="F605">
        <v>67</v>
      </c>
      <c r="G605" t="s">
        <v>866</v>
      </c>
    </row>
    <row r="606" spans="1:7">
      <c r="A606" t="s">
        <v>2060</v>
      </c>
      <c r="B606" t="s">
        <v>2061</v>
      </c>
      <c r="C606">
        <v>15</v>
      </c>
      <c r="D606" s="260">
        <v>46268</v>
      </c>
      <c r="E606" s="260">
        <v>46288</v>
      </c>
      <c r="F606">
        <v>67</v>
      </c>
      <c r="G606" t="s">
        <v>866</v>
      </c>
    </row>
    <row r="607" spans="1:7">
      <c r="A607" t="s">
        <v>2062</v>
      </c>
      <c r="B607" t="s">
        <v>2063</v>
      </c>
      <c r="C607">
        <v>25</v>
      </c>
      <c r="D607" s="260">
        <v>46192</v>
      </c>
      <c r="E607" s="260">
        <v>46226</v>
      </c>
      <c r="F607">
        <v>27</v>
      </c>
      <c r="G607" t="s">
        <v>866</v>
      </c>
    </row>
    <row r="608" spans="1:7">
      <c r="A608" t="s">
        <v>2064</v>
      </c>
      <c r="B608" t="s">
        <v>2065</v>
      </c>
      <c r="C608">
        <v>15</v>
      </c>
      <c r="D608" s="260">
        <v>46247</v>
      </c>
      <c r="E608" s="260">
        <v>46267</v>
      </c>
      <c r="F608">
        <v>57</v>
      </c>
      <c r="G608" t="s">
        <v>866</v>
      </c>
    </row>
    <row r="609" spans="1:7">
      <c r="A609" t="s">
        <v>2066</v>
      </c>
      <c r="B609" t="s">
        <v>2067</v>
      </c>
      <c r="C609">
        <v>15</v>
      </c>
      <c r="D609" s="260">
        <v>46282</v>
      </c>
      <c r="E609" s="260">
        <v>46302</v>
      </c>
      <c r="F609">
        <v>57</v>
      </c>
      <c r="G609" t="s">
        <v>866</v>
      </c>
    </row>
    <row r="610" spans="1:7">
      <c r="A610" t="s">
        <v>2068</v>
      </c>
      <c r="B610" t="s">
        <v>2069</v>
      </c>
      <c r="C610">
        <v>25</v>
      </c>
      <c r="D610" s="260">
        <v>46192</v>
      </c>
      <c r="E610" s="260">
        <v>46226</v>
      </c>
      <c r="F610">
        <v>32</v>
      </c>
      <c r="G610" t="s">
        <v>866</v>
      </c>
    </row>
    <row r="611" spans="1:7">
      <c r="A611" t="s">
        <v>2070</v>
      </c>
      <c r="B611" t="s">
        <v>2071</v>
      </c>
      <c r="C611">
        <v>15</v>
      </c>
      <c r="D611" s="260">
        <v>46247</v>
      </c>
      <c r="E611" s="260">
        <v>46267</v>
      </c>
      <c r="F611">
        <v>57</v>
      </c>
      <c r="G611" t="s">
        <v>866</v>
      </c>
    </row>
    <row r="612" spans="1:7">
      <c r="A612" t="s">
        <v>2072</v>
      </c>
      <c r="B612" t="s">
        <v>2073</v>
      </c>
      <c r="C612">
        <v>15</v>
      </c>
      <c r="D612" s="260">
        <v>46282</v>
      </c>
      <c r="E612" s="260">
        <v>46302</v>
      </c>
      <c r="F612">
        <v>57</v>
      </c>
      <c r="G612" t="s">
        <v>866</v>
      </c>
    </row>
    <row r="613" spans="1:7">
      <c r="A613" t="s">
        <v>2074</v>
      </c>
      <c r="B613" t="s">
        <v>2075</v>
      </c>
      <c r="C613">
        <v>25</v>
      </c>
      <c r="D613" s="260">
        <v>46192</v>
      </c>
      <c r="E613" s="260">
        <v>46226</v>
      </c>
      <c r="F613">
        <v>32</v>
      </c>
      <c r="G613" t="s">
        <v>866</v>
      </c>
    </row>
    <row r="614" spans="1:7">
      <c r="A614" t="s">
        <v>2076</v>
      </c>
      <c r="B614" t="s">
        <v>2077</v>
      </c>
      <c r="C614">
        <v>15</v>
      </c>
      <c r="D614" s="260">
        <v>46247</v>
      </c>
      <c r="E614" s="260">
        <v>46267</v>
      </c>
      <c r="F614">
        <v>57</v>
      </c>
      <c r="G614" t="s">
        <v>866</v>
      </c>
    </row>
    <row r="615" spans="1:7">
      <c r="A615" t="s">
        <v>2078</v>
      </c>
      <c r="B615" t="s">
        <v>2079</v>
      </c>
      <c r="C615">
        <v>15</v>
      </c>
      <c r="D615" s="260">
        <v>46282</v>
      </c>
      <c r="E615" s="260">
        <v>46302</v>
      </c>
      <c r="F615">
        <v>57</v>
      </c>
      <c r="G615" t="s">
        <v>866</v>
      </c>
    </row>
    <row r="616" spans="1:7">
      <c r="A616" t="s">
        <v>2080</v>
      </c>
      <c r="B616" t="s">
        <v>2081</v>
      </c>
      <c r="C616">
        <v>25</v>
      </c>
      <c r="D616" s="260">
        <v>46192</v>
      </c>
      <c r="E616" s="260">
        <v>46226</v>
      </c>
      <c r="F616">
        <v>27</v>
      </c>
      <c r="G616" t="s">
        <v>866</v>
      </c>
    </row>
    <row r="617" spans="1:7">
      <c r="A617" t="s">
        <v>2082</v>
      </c>
      <c r="B617" t="s">
        <v>2083</v>
      </c>
      <c r="C617">
        <v>15</v>
      </c>
      <c r="D617" s="260">
        <v>46247</v>
      </c>
      <c r="E617" s="260">
        <v>46267</v>
      </c>
      <c r="F617">
        <v>57</v>
      </c>
      <c r="G617" t="s">
        <v>866</v>
      </c>
    </row>
    <row r="618" spans="1:7">
      <c r="A618" t="s">
        <v>2084</v>
      </c>
      <c r="B618" t="s">
        <v>2085</v>
      </c>
      <c r="C618">
        <v>15</v>
      </c>
      <c r="D618" s="260">
        <v>46282</v>
      </c>
      <c r="E618" s="260">
        <v>46302</v>
      </c>
      <c r="F618">
        <v>57</v>
      </c>
      <c r="G618" t="s">
        <v>866</v>
      </c>
    </row>
    <row r="619" spans="1:7">
      <c r="A619" t="s">
        <v>2086</v>
      </c>
      <c r="B619" t="s">
        <v>2087</v>
      </c>
      <c r="C619">
        <v>25</v>
      </c>
      <c r="D619" s="260">
        <v>46192</v>
      </c>
      <c r="E619" s="260">
        <v>46226</v>
      </c>
      <c r="F619">
        <v>32</v>
      </c>
      <c r="G619" t="s">
        <v>866</v>
      </c>
    </row>
    <row r="620" spans="1:7">
      <c r="A620" t="s">
        <v>2088</v>
      </c>
      <c r="B620" t="s">
        <v>2089</v>
      </c>
      <c r="C620">
        <v>15</v>
      </c>
      <c r="D620" s="260">
        <v>46247</v>
      </c>
      <c r="E620" s="260">
        <v>46267</v>
      </c>
      <c r="F620">
        <v>57</v>
      </c>
      <c r="G620" t="s">
        <v>866</v>
      </c>
    </row>
    <row r="621" spans="1:7">
      <c r="A621" t="s">
        <v>2090</v>
      </c>
      <c r="B621" t="s">
        <v>635</v>
      </c>
      <c r="C621">
        <v>15</v>
      </c>
      <c r="D621" s="260">
        <v>46282</v>
      </c>
      <c r="E621" s="260">
        <v>46302</v>
      </c>
      <c r="F621">
        <v>57</v>
      </c>
      <c r="G621" t="s">
        <v>866</v>
      </c>
    </row>
    <row r="622" spans="1:7">
      <c r="A622" t="s">
        <v>2091</v>
      </c>
      <c r="B622" t="s">
        <v>2092</v>
      </c>
      <c r="C622">
        <v>25</v>
      </c>
      <c r="D622" s="260">
        <v>46192</v>
      </c>
      <c r="E622" s="260">
        <v>46226</v>
      </c>
      <c r="F622">
        <v>27</v>
      </c>
      <c r="G622" t="s">
        <v>866</v>
      </c>
    </row>
    <row r="623" spans="1:7">
      <c r="A623" t="s">
        <v>2093</v>
      </c>
      <c r="B623" t="s">
        <v>2094</v>
      </c>
      <c r="C623">
        <v>15</v>
      </c>
      <c r="D623" s="260">
        <v>46247</v>
      </c>
      <c r="E623" s="260">
        <v>46267</v>
      </c>
      <c r="F623">
        <v>57</v>
      </c>
      <c r="G623" t="s">
        <v>866</v>
      </c>
    </row>
    <row r="624" spans="1:7">
      <c r="A624" t="s">
        <v>2095</v>
      </c>
      <c r="B624" t="s">
        <v>2096</v>
      </c>
      <c r="C624">
        <v>15</v>
      </c>
      <c r="D624" s="260">
        <v>46282</v>
      </c>
      <c r="E624" s="260">
        <v>46302</v>
      </c>
      <c r="F624">
        <v>57</v>
      </c>
      <c r="G624" t="s">
        <v>866</v>
      </c>
    </row>
    <row r="625" spans="1:7">
      <c r="A625" t="s">
        <v>2097</v>
      </c>
      <c r="B625" t="s">
        <v>2098</v>
      </c>
      <c r="C625">
        <v>25</v>
      </c>
      <c r="D625" s="260">
        <v>46192</v>
      </c>
      <c r="E625" s="260">
        <v>46226</v>
      </c>
      <c r="F625">
        <v>32</v>
      </c>
      <c r="G625" t="s">
        <v>866</v>
      </c>
    </row>
    <row r="626" spans="1:7">
      <c r="A626" t="s">
        <v>2099</v>
      </c>
      <c r="B626" t="s">
        <v>2100</v>
      </c>
      <c r="C626">
        <v>15</v>
      </c>
      <c r="D626" s="260">
        <v>46247</v>
      </c>
      <c r="E626" s="260">
        <v>46267</v>
      </c>
      <c r="F626">
        <v>57</v>
      </c>
      <c r="G626" t="s">
        <v>866</v>
      </c>
    </row>
    <row r="627" spans="1:7">
      <c r="A627" t="s">
        <v>2101</v>
      </c>
      <c r="B627" t="s">
        <v>2102</v>
      </c>
      <c r="C627">
        <v>15</v>
      </c>
      <c r="D627" s="260">
        <v>46282</v>
      </c>
      <c r="E627" s="260">
        <v>46302</v>
      </c>
      <c r="F627">
        <v>57</v>
      </c>
      <c r="G627" t="s">
        <v>866</v>
      </c>
    </row>
    <row r="628" spans="1:7">
      <c r="A628" t="s">
        <v>2103</v>
      </c>
      <c r="B628" t="s">
        <v>2104</v>
      </c>
      <c r="C628">
        <v>25</v>
      </c>
      <c r="D628" s="260">
        <v>46192</v>
      </c>
      <c r="E628" s="260">
        <v>46226</v>
      </c>
      <c r="F628">
        <v>32</v>
      </c>
      <c r="G628" t="s">
        <v>866</v>
      </c>
    </row>
    <row r="629" spans="1:7">
      <c r="A629" t="s">
        <v>2105</v>
      </c>
      <c r="B629" t="s">
        <v>2106</v>
      </c>
      <c r="C629">
        <v>15</v>
      </c>
      <c r="D629" s="260">
        <v>46247</v>
      </c>
      <c r="E629" s="260">
        <v>46267</v>
      </c>
      <c r="F629">
        <v>57</v>
      </c>
      <c r="G629" t="s">
        <v>866</v>
      </c>
    </row>
    <row r="630" spans="1:7">
      <c r="A630" t="s">
        <v>2107</v>
      </c>
      <c r="B630" t="s">
        <v>2108</v>
      </c>
      <c r="C630">
        <v>15</v>
      </c>
      <c r="D630" s="260">
        <v>46282</v>
      </c>
      <c r="E630" s="260">
        <v>46302</v>
      </c>
      <c r="F630">
        <v>57</v>
      </c>
      <c r="G630" t="s">
        <v>866</v>
      </c>
    </row>
    <row r="631" spans="1:7">
      <c r="A631" t="s">
        <v>2109</v>
      </c>
      <c r="B631" t="s">
        <v>2110</v>
      </c>
      <c r="C631">
        <v>25</v>
      </c>
      <c r="D631" s="260">
        <v>46192</v>
      </c>
      <c r="E631" s="260">
        <v>46226</v>
      </c>
      <c r="F631">
        <v>32</v>
      </c>
      <c r="G631" t="s">
        <v>866</v>
      </c>
    </row>
    <row r="632" spans="1:7">
      <c r="A632" t="s">
        <v>2111</v>
      </c>
      <c r="B632" t="s">
        <v>2112</v>
      </c>
      <c r="C632">
        <v>15</v>
      </c>
      <c r="D632" s="260">
        <v>46247</v>
      </c>
      <c r="E632" s="260">
        <v>46267</v>
      </c>
      <c r="F632">
        <v>57</v>
      </c>
      <c r="G632" t="s">
        <v>866</v>
      </c>
    </row>
    <row r="633" spans="1:7">
      <c r="A633" t="s">
        <v>2113</v>
      </c>
      <c r="B633" t="s">
        <v>2114</v>
      </c>
      <c r="C633">
        <v>15</v>
      </c>
      <c r="D633" s="260">
        <v>46282</v>
      </c>
      <c r="E633" s="260">
        <v>46302</v>
      </c>
      <c r="F633">
        <v>57</v>
      </c>
      <c r="G633" t="s">
        <v>866</v>
      </c>
    </row>
    <row r="634" spans="1:7">
      <c r="A634" t="s">
        <v>2115</v>
      </c>
      <c r="B634" t="s">
        <v>2116</v>
      </c>
      <c r="C634">
        <v>25</v>
      </c>
      <c r="D634" s="260">
        <v>46199</v>
      </c>
      <c r="E634" s="260">
        <v>46238</v>
      </c>
      <c r="F634">
        <v>27</v>
      </c>
      <c r="G634" t="s">
        <v>866</v>
      </c>
    </row>
    <row r="635" spans="1:7">
      <c r="A635" t="s">
        <v>2117</v>
      </c>
      <c r="B635" t="s">
        <v>2118</v>
      </c>
      <c r="C635">
        <v>15</v>
      </c>
      <c r="D635" s="260">
        <v>46254</v>
      </c>
      <c r="E635" s="260">
        <v>46274</v>
      </c>
      <c r="F635">
        <v>52</v>
      </c>
      <c r="G635" t="s">
        <v>866</v>
      </c>
    </row>
    <row r="636" spans="1:7">
      <c r="A636" t="s">
        <v>2119</v>
      </c>
      <c r="B636" t="s">
        <v>2120</v>
      </c>
      <c r="C636">
        <v>15</v>
      </c>
      <c r="D636" s="260">
        <v>46289</v>
      </c>
      <c r="E636" s="260">
        <v>46310</v>
      </c>
      <c r="F636">
        <v>52</v>
      </c>
      <c r="G636" t="s">
        <v>866</v>
      </c>
    </row>
    <row r="637" spans="1:7">
      <c r="A637" t="s">
        <v>2121</v>
      </c>
      <c r="B637" t="s">
        <v>2122</v>
      </c>
      <c r="C637">
        <v>25</v>
      </c>
      <c r="D637" s="260">
        <v>46199</v>
      </c>
      <c r="E637" s="260">
        <v>46238</v>
      </c>
      <c r="F637">
        <v>27</v>
      </c>
      <c r="G637" t="s">
        <v>866</v>
      </c>
    </row>
    <row r="638" spans="1:7">
      <c r="A638" t="s">
        <v>2123</v>
      </c>
      <c r="B638" t="s">
        <v>2124</v>
      </c>
      <c r="C638">
        <v>15</v>
      </c>
      <c r="D638" s="260">
        <v>46254</v>
      </c>
      <c r="E638" s="260">
        <v>46274</v>
      </c>
      <c r="F638">
        <v>52</v>
      </c>
      <c r="G638" t="s">
        <v>866</v>
      </c>
    </row>
    <row r="639" spans="1:7">
      <c r="A639" t="s">
        <v>2125</v>
      </c>
      <c r="B639" t="s">
        <v>639</v>
      </c>
      <c r="C639">
        <v>15</v>
      </c>
      <c r="D639" s="260">
        <v>46289</v>
      </c>
      <c r="E639" s="260">
        <v>46310</v>
      </c>
      <c r="F639">
        <v>52</v>
      </c>
      <c r="G639" t="s">
        <v>866</v>
      </c>
    </row>
    <row r="640" spans="1:7">
      <c r="A640" t="s">
        <v>2126</v>
      </c>
      <c r="B640" t="s">
        <v>2127</v>
      </c>
      <c r="C640">
        <v>25</v>
      </c>
      <c r="D640" s="260">
        <v>46199</v>
      </c>
      <c r="E640" s="260">
        <v>46238</v>
      </c>
      <c r="F640">
        <v>27</v>
      </c>
      <c r="G640" t="s">
        <v>866</v>
      </c>
    </row>
    <row r="641" spans="1:7">
      <c r="A641" t="s">
        <v>2128</v>
      </c>
      <c r="B641" t="s">
        <v>2129</v>
      </c>
      <c r="C641">
        <v>15</v>
      </c>
      <c r="D641" s="260">
        <v>46254</v>
      </c>
      <c r="E641" s="260">
        <v>46274</v>
      </c>
      <c r="F641">
        <v>52</v>
      </c>
      <c r="G641" t="s">
        <v>866</v>
      </c>
    </row>
    <row r="642" spans="1:7">
      <c r="A642" t="s">
        <v>2130</v>
      </c>
      <c r="B642" t="s">
        <v>2131</v>
      </c>
      <c r="C642">
        <v>15</v>
      </c>
      <c r="D642" s="260">
        <v>46289</v>
      </c>
      <c r="E642" s="260">
        <v>46310</v>
      </c>
      <c r="F642">
        <v>52</v>
      </c>
      <c r="G642" t="s">
        <v>866</v>
      </c>
    </row>
    <row r="643" spans="1:7">
      <c r="A643" t="s">
        <v>2132</v>
      </c>
      <c r="B643" t="s">
        <v>2133</v>
      </c>
      <c r="C643">
        <v>25</v>
      </c>
      <c r="D643" s="260">
        <v>46199</v>
      </c>
      <c r="E643" s="260">
        <v>46238</v>
      </c>
      <c r="F643">
        <v>27</v>
      </c>
      <c r="G643" t="s">
        <v>866</v>
      </c>
    </row>
    <row r="644" spans="1:7">
      <c r="A644" t="s">
        <v>2134</v>
      </c>
      <c r="B644" t="s">
        <v>2135</v>
      </c>
      <c r="C644">
        <v>15</v>
      </c>
      <c r="D644" s="260">
        <v>46254</v>
      </c>
      <c r="E644" s="260">
        <v>46274</v>
      </c>
      <c r="F644">
        <v>52</v>
      </c>
      <c r="G644" t="s">
        <v>866</v>
      </c>
    </row>
    <row r="645" spans="1:7">
      <c r="A645" t="s">
        <v>2136</v>
      </c>
      <c r="B645" t="s">
        <v>2137</v>
      </c>
      <c r="C645">
        <v>15</v>
      </c>
      <c r="D645" s="260">
        <v>46289</v>
      </c>
      <c r="E645" s="260">
        <v>46310</v>
      </c>
      <c r="F645">
        <v>52</v>
      </c>
      <c r="G645" t="s">
        <v>866</v>
      </c>
    </row>
    <row r="646" spans="1:7">
      <c r="A646" t="s">
        <v>2138</v>
      </c>
      <c r="B646" t="s">
        <v>2139</v>
      </c>
      <c r="C646">
        <v>20</v>
      </c>
      <c r="D646" s="260">
        <v>46140</v>
      </c>
      <c r="E646" s="260">
        <v>46168</v>
      </c>
      <c r="F646">
        <v>0</v>
      </c>
      <c r="G646" t="s">
        <v>866</v>
      </c>
    </row>
    <row r="647" spans="1:7">
      <c r="A647" t="s">
        <v>2140</v>
      </c>
      <c r="B647" t="s">
        <v>2141</v>
      </c>
      <c r="C647">
        <v>10</v>
      </c>
      <c r="D647" s="260">
        <v>46185</v>
      </c>
      <c r="E647" s="260">
        <v>46198</v>
      </c>
      <c r="F647">
        <v>112</v>
      </c>
      <c r="G647" t="s">
        <v>866</v>
      </c>
    </row>
    <row r="648" spans="1:7">
      <c r="A648" t="s">
        <v>2142</v>
      </c>
      <c r="B648" t="s">
        <v>2143</v>
      </c>
      <c r="C648">
        <v>5</v>
      </c>
      <c r="D648" s="260">
        <v>46213</v>
      </c>
      <c r="E648" s="260">
        <v>46219</v>
      </c>
      <c r="F648">
        <v>112</v>
      </c>
      <c r="G648" t="s">
        <v>866</v>
      </c>
    </row>
    <row r="649" spans="1:7">
      <c r="A649" t="s">
        <v>2144</v>
      </c>
      <c r="B649" t="s">
        <v>2145</v>
      </c>
      <c r="C649">
        <v>25</v>
      </c>
      <c r="D649" s="260">
        <v>46239</v>
      </c>
      <c r="E649" s="260">
        <v>46274</v>
      </c>
      <c r="F649">
        <v>27</v>
      </c>
      <c r="G649" t="s">
        <v>866</v>
      </c>
    </row>
    <row r="650" spans="1:7">
      <c r="A650" t="s">
        <v>2146</v>
      </c>
      <c r="B650" t="s">
        <v>2147</v>
      </c>
      <c r="C650">
        <v>15</v>
      </c>
      <c r="D650" s="260">
        <v>46289</v>
      </c>
      <c r="E650" s="260">
        <v>46310</v>
      </c>
      <c r="F650">
        <v>27</v>
      </c>
      <c r="G650" t="s">
        <v>866</v>
      </c>
    </row>
    <row r="651" spans="1:7">
      <c r="A651" t="s">
        <v>2148</v>
      </c>
      <c r="B651" t="s">
        <v>2149</v>
      </c>
      <c r="C651">
        <v>15</v>
      </c>
      <c r="D651" s="260">
        <v>46328</v>
      </c>
      <c r="E651" s="260">
        <v>46346</v>
      </c>
      <c r="F651">
        <v>27</v>
      </c>
      <c r="G651" t="s">
        <v>866</v>
      </c>
    </row>
    <row r="652" spans="1:7">
      <c r="A652" t="s">
        <v>2150</v>
      </c>
      <c r="B652" t="s">
        <v>2151</v>
      </c>
      <c r="C652">
        <v>25</v>
      </c>
      <c r="D652" s="260">
        <v>46170</v>
      </c>
      <c r="E652" s="260">
        <v>46206</v>
      </c>
      <c r="F652">
        <v>46</v>
      </c>
      <c r="G652" t="s">
        <v>866</v>
      </c>
    </row>
    <row r="653" spans="1:7">
      <c r="A653" t="s">
        <v>2152</v>
      </c>
      <c r="B653" t="s">
        <v>2153</v>
      </c>
      <c r="C653">
        <v>15</v>
      </c>
      <c r="D653" s="260">
        <v>46223</v>
      </c>
      <c r="E653" s="260">
        <v>46247</v>
      </c>
      <c r="F653">
        <v>56</v>
      </c>
      <c r="G653" t="s">
        <v>866</v>
      </c>
    </row>
    <row r="654" spans="1:7">
      <c r="A654" t="s">
        <v>2154</v>
      </c>
      <c r="B654" t="s">
        <v>2155</v>
      </c>
      <c r="C654">
        <v>15</v>
      </c>
      <c r="D654" s="260">
        <v>46262</v>
      </c>
      <c r="E654" s="260">
        <v>46282</v>
      </c>
      <c r="F654">
        <v>56</v>
      </c>
      <c r="G654" t="s">
        <v>866</v>
      </c>
    </row>
    <row r="655" spans="1:7">
      <c r="A655" t="s">
        <v>2156</v>
      </c>
      <c r="B655" t="s">
        <v>2157</v>
      </c>
      <c r="C655">
        <v>25</v>
      </c>
      <c r="D655" s="260">
        <v>46170</v>
      </c>
      <c r="E655" s="260">
        <v>46206</v>
      </c>
      <c r="F655">
        <v>46</v>
      </c>
      <c r="G655" t="s">
        <v>866</v>
      </c>
    </row>
    <row r="656" spans="1:7">
      <c r="A656" t="s">
        <v>2158</v>
      </c>
      <c r="B656" t="s">
        <v>2159</v>
      </c>
      <c r="C656">
        <v>15</v>
      </c>
      <c r="D656" s="260">
        <v>46223</v>
      </c>
      <c r="E656" s="260">
        <v>46247</v>
      </c>
      <c r="F656">
        <v>56</v>
      </c>
      <c r="G656" t="s">
        <v>866</v>
      </c>
    </row>
    <row r="657" spans="1:7">
      <c r="A657" t="s">
        <v>2160</v>
      </c>
      <c r="B657" t="s">
        <v>2161</v>
      </c>
      <c r="C657">
        <v>15</v>
      </c>
      <c r="D657" s="260">
        <v>46262</v>
      </c>
      <c r="E657" s="260">
        <v>46282</v>
      </c>
      <c r="F657">
        <v>56</v>
      </c>
      <c r="G657" t="s">
        <v>866</v>
      </c>
    </row>
    <row r="658" spans="1:7">
      <c r="A658" t="s">
        <v>2162</v>
      </c>
      <c r="B658" t="s">
        <v>2163</v>
      </c>
      <c r="C658">
        <v>25</v>
      </c>
      <c r="D658" s="260">
        <v>46170</v>
      </c>
      <c r="E658" s="260">
        <v>46206</v>
      </c>
      <c r="F658">
        <v>71</v>
      </c>
      <c r="G658" t="s">
        <v>866</v>
      </c>
    </row>
    <row r="659" spans="1:7">
      <c r="A659" t="s">
        <v>2164</v>
      </c>
      <c r="B659" t="s">
        <v>2165</v>
      </c>
      <c r="C659">
        <v>15</v>
      </c>
      <c r="D659" s="260">
        <v>46223</v>
      </c>
      <c r="E659" s="260">
        <v>46247</v>
      </c>
      <c r="F659">
        <v>71</v>
      </c>
      <c r="G659" t="s">
        <v>866</v>
      </c>
    </row>
    <row r="660" spans="1:7">
      <c r="A660" t="s">
        <v>2166</v>
      </c>
      <c r="B660" t="s">
        <v>2167</v>
      </c>
      <c r="C660">
        <v>15</v>
      </c>
      <c r="D660" s="260">
        <v>46262</v>
      </c>
      <c r="E660" s="260">
        <v>46282</v>
      </c>
      <c r="F660">
        <v>71</v>
      </c>
      <c r="G660" t="s">
        <v>866</v>
      </c>
    </row>
    <row r="661" spans="1:7">
      <c r="A661" t="s">
        <v>2168</v>
      </c>
      <c r="B661" t="s">
        <v>2169</v>
      </c>
      <c r="C661">
        <v>25</v>
      </c>
      <c r="D661" s="260">
        <v>46170</v>
      </c>
      <c r="E661" s="260">
        <v>46206</v>
      </c>
      <c r="F661">
        <v>46</v>
      </c>
      <c r="G661" t="s">
        <v>866</v>
      </c>
    </row>
    <row r="662" spans="1:7">
      <c r="A662" t="s">
        <v>2170</v>
      </c>
      <c r="B662" t="s">
        <v>2171</v>
      </c>
      <c r="C662">
        <v>15</v>
      </c>
      <c r="D662" s="260">
        <v>46223</v>
      </c>
      <c r="E662" s="260">
        <v>46247</v>
      </c>
      <c r="F662">
        <v>56</v>
      </c>
      <c r="G662" t="s">
        <v>866</v>
      </c>
    </row>
    <row r="663" spans="1:7">
      <c r="A663" t="s">
        <v>2172</v>
      </c>
      <c r="B663" t="s">
        <v>2173</v>
      </c>
      <c r="C663">
        <v>15</v>
      </c>
      <c r="D663" s="260">
        <v>46262</v>
      </c>
      <c r="E663" s="260">
        <v>46282</v>
      </c>
      <c r="F663">
        <v>56</v>
      </c>
      <c r="G663" t="s">
        <v>866</v>
      </c>
    </row>
    <row r="664" spans="1:7">
      <c r="A664" t="s">
        <v>2174</v>
      </c>
      <c r="B664" t="s">
        <v>2175</v>
      </c>
      <c r="C664">
        <v>25</v>
      </c>
      <c r="D664" s="260">
        <v>46209</v>
      </c>
      <c r="E664" s="260">
        <v>46247</v>
      </c>
      <c r="F664">
        <v>46</v>
      </c>
      <c r="G664" t="s">
        <v>866</v>
      </c>
    </row>
    <row r="665" spans="1:7">
      <c r="A665" t="s">
        <v>2176</v>
      </c>
      <c r="B665" t="s">
        <v>2177</v>
      </c>
      <c r="C665">
        <v>15</v>
      </c>
      <c r="D665" s="260">
        <v>46262</v>
      </c>
      <c r="E665" s="260">
        <v>46282</v>
      </c>
      <c r="F665">
        <v>46</v>
      </c>
      <c r="G665" t="s">
        <v>866</v>
      </c>
    </row>
    <row r="666" spans="1:7">
      <c r="A666" t="s">
        <v>2178</v>
      </c>
      <c r="B666" t="s">
        <v>2179</v>
      </c>
      <c r="C666">
        <v>15</v>
      </c>
      <c r="D666" s="260">
        <v>46297</v>
      </c>
      <c r="E666" s="260">
        <v>46321</v>
      </c>
      <c r="F666">
        <v>46</v>
      </c>
      <c r="G666" t="s">
        <v>866</v>
      </c>
    </row>
    <row r="667" spans="1:7">
      <c r="A667" t="s">
        <v>2180</v>
      </c>
      <c r="B667" t="s">
        <v>2181</v>
      </c>
      <c r="C667">
        <v>25</v>
      </c>
      <c r="D667" s="260">
        <v>46209</v>
      </c>
      <c r="E667" s="260">
        <v>46247</v>
      </c>
      <c r="F667">
        <v>46</v>
      </c>
      <c r="G667" t="s">
        <v>866</v>
      </c>
    </row>
    <row r="668" spans="1:7">
      <c r="A668" t="s">
        <v>2182</v>
      </c>
      <c r="B668" t="s">
        <v>2183</v>
      </c>
      <c r="C668">
        <v>15</v>
      </c>
      <c r="D668" s="260">
        <v>46262</v>
      </c>
      <c r="E668" s="260">
        <v>46282</v>
      </c>
      <c r="F668">
        <v>46</v>
      </c>
      <c r="G668" t="s">
        <v>866</v>
      </c>
    </row>
    <row r="669" spans="1:7">
      <c r="A669" t="s">
        <v>2184</v>
      </c>
      <c r="B669" t="s">
        <v>2185</v>
      </c>
      <c r="C669">
        <v>15</v>
      </c>
      <c r="D669" s="260">
        <v>46297</v>
      </c>
      <c r="E669" s="260">
        <v>46321</v>
      </c>
      <c r="F669">
        <v>46</v>
      </c>
      <c r="G669" t="s">
        <v>866</v>
      </c>
    </row>
    <row r="670" spans="1:7">
      <c r="A670" t="s">
        <v>2186</v>
      </c>
      <c r="B670" t="s">
        <v>2187</v>
      </c>
      <c r="C670">
        <v>25</v>
      </c>
      <c r="D670" s="260">
        <v>46209</v>
      </c>
      <c r="E670" s="260">
        <v>46247</v>
      </c>
      <c r="F670">
        <v>46</v>
      </c>
      <c r="G670" t="s">
        <v>866</v>
      </c>
    </row>
    <row r="671" spans="1:7">
      <c r="A671" t="s">
        <v>2188</v>
      </c>
      <c r="B671" t="s">
        <v>2189</v>
      </c>
      <c r="C671">
        <v>15</v>
      </c>
      <c r="D671" s="260">
        <v>46262</v>
      </c>
      <c r="E671" s="260">
        <v>46282</v>
      </c>
      <c r="F671">
        <v>46</v>
      </c>
      <c r="G671" t="s">
        <v>866</v>
      </c>
    </row>
    <row r="672" spans="1:7">
      <c r="A672" t="s">
        <v>2190</v>
      </c>
      <c r="B672" t="s">
        <v>2191</v>
      </c>
      <c r="C672">
        <v>15</v>
      </c>
      <c r="D672" s="260">
        <v>46297</v>
      </c>
      <c r="E672" s="260">
        <v>46321</v>
      </c>
      <c r="F672">
        <v>46</v>
      </c>
      <c r="G672" t="s">
        <v>866</v>
      </c>
    </row>
    <row r="673" spans="1:7">
      <c r="A673" t="s">
        <v>2192</v>
      </c>
      <c r="B673" t="s">
        <v>2193</v>
      </c>
      <c r="C673">
        <v>25</v>
      </c>
      <c r="D673" s="260">
        <v>46209</v>
      </c>
      <c r="E673" s="260">
        <v>46247</v>
      </c>
      <c r="F673">
        <v>46</v>
      </c>
      <c r="G673" t="s">
        <v>866</v>
      </c>
    </row>
    <row r="674" spans="1:7">
      <c r="A674" t="s">
        <v>2194</v>
      </c>
      <c r="B674" t="s">
        <v>2195</v>
      </c>
      <c r="C674">
        <v>15</v>
      </c>
      <c r="D674" s="260">
        <v>46262</v>
      </c>
      <c r="E674" s="260">
        <v>46282</v>
      </c>
      <c r="F674">
        <v>46</v>
      </c>
      <c r="G674" t="s">
        <v>866</v>
      </c>
    </row>
    <row r="675" spans="1:7">
      <c r="A675" t="s">
        <v>2196</v>
      </c>
      <c r="B675" t="s">
        <v>2197</v>
      </c>
      <c r="C675">
        <v>15</v>
      </c>
      <c r="D675" s="260">
        <v>46297</v>
      </c>
      <c r="E675" s="260">
        <v>46321</v>
      </c>
      <c r="F675">
        <v>46</v>
      </c>
      <c r="G675" t="s">
        <v>866</v>
      </c>
    </row>
    <row r="676" spans="1:7">
      <c r="A676" t="s">
        <v>2198</v>
      </c>
      <c r="B676" t="s">
        <v>2199</v>
      </c>
      <c r="C676">
        <v>25</v>
      </c>
      <c r="D676" s="260">
        <v>46209</v>
      </c>
      <c r="E676" s="260">
        <v>46247</v>
      </c>
      <c r="F676">
        <v>46</v>
      </c>
      <c r="G676" t="s">
        <v>866</v>
      </c>
    </row>
    <row r="677" spans="1:7">
      <c r="A677" t="s">
        <v>2200</v>
      </c>
      <c r="B677" t="s">
        <v>2201</v>
      </c>
      <c r="C677">
        <v>15</v>
      </c>
      <c r="D677" s="260">
        <v>46262</v>
      </c>
      <c r="E677" s="260">
        <v>46282</v>
      </c>
      <c r="F677">
        <v>46</v>
      </c>
      <c r="G677" t="s">
        <v>866</v>
      </c>
    </row>
    <row r="678" spans="1:7">
      <c r="A678" t="s">
        <v>2202</v>
      </c>
      <c r="B678" t="s">
        <v>2203</v>
      </c>
      <c r="C678">
        <v>15</v>
      </c>
      <c r="D678" s="260">
        <v>46297</v>
      </c>
      <c r="E678" s="260">
        <v>46321</v>
      </c>
      <c r="F678">
        <v>46</v>
      </c>
      <c r="G678" t="s">
        <v>866</v>
      </c>
    </row>
    <row r="679" spans="1:7">
      <c r="A679" t="s">
        <v>2204</v>
      </c>
      <c r="B679" t="s">
        <v>2205</v>
      </c>
      <c r="C679">
        <v>25</v>
      </c>
      <c r="D679" s="260">
        <v>46209</v>
      </c>
      <c r="E679" s="260">
        <v>46247</v>
      </c>
      <c r="F679">
        <v>46</v>
      </c>
      <c r="G679" t="s">
        <v>866</v>
      </c>
    </row>
    <row r="680" spans="1:7">
      <c r="A680" t="s">
        <v>2206</v>
      </c>
      <c r="B680" t="s">
        <v>2207</v>
      </c>
      <c r="C680">
        <v>15</v>
      </c>
      <c r="D680" s="260">
        <v>46262</v>
      </c>
      <c r="E680" s="260">
        <v>46282</v>
      </c>
      <c r="F680">
        <v>46</v>
      </c>
      <c r="G680" t="s">
        <v>866</v>
      </c>
    </row>
    <row r="681" spans="1:7">
      <c r="A681" t="s">
        <v>2208</v>
      </c>
      <c r="B681" t="s">
        <v>2209</v>
      </c>
      <c r="C681">
        <v>15</v>
      </c>
      <c r="D681" s="260">
        <v>46297</v>
      </c>
      <c r="E681" s="260">
        <v>46321</v>
      </c>
      <c r="F681">
        <v>46</v>
      </c>
      <c r="G681" t="s">
        <v>866</v>
      </c>
    </row>
    <row r="682" spans="1:7">
      <c r="A682" t="s">
        <v>2210</v>
      </c>
      <c r="B682" t="s">
        <v>2211</v>
      </c>
      <c r="C682">
        <v>25</v>
      </c>
      <c r="D682" s="260">
        <v>46209</v>
      </c>
      <c r="E682" s="260">
        <v>46247</v>
      </c>
      <c r="F682">
        <v>46</v>
      </c>
      <c r="G682" t="s">
        <v>866</v>
      </c>
    </row>
    <row r="683" spans="1:7">
      <c r="A683" t="s">
        <v>2212</v>
      </c>
      <c r="B683" t="s">
        <v>2213</v>
      </c>
      <c r="C683">
        <v>15</v>
      </c>
      <c r="D683" s="260">
        <v>46262</v>
      </c>
      <c r="E683" s="260">
        <v>46282</v>
      </c>
      <c r="F683">
        <v>46</v>
      </c>
      <c r="G683" t="s">
        <v>866</v>
      </c>
    </row>
    <row r="684" spans="1:7">
      <c r="A684" t="s">
        <v>2214</v>
      </c>
      <c r="B684" t="s">
        <v>2215</v>
      </c>
      <c r="C684">
        <v>15</v>
      </c>
      <c r="D684" s="260">
        <v>46297</v>
      </c>
      <c r="E684" s="260">
        <v>46321</v>
      </c>
      <c r="F684">
        <v>46</v>
      </c>
      <c r="G684" t="s">
        <v>866</v>
      </c>
    </row>
    <row r="685" spans="1:7">
      <c r="A685" t="s">
        <v>2216</v>
      </c>
      <c r="B685" t="s">
        <v>2217</v>
      </c>
      <c r="C685">
        <v>10</v>
      </c>
      <c r="D685" s="260">
        <v>46254</v>
      </c>
      <c r="E685" s="260">
        <v>46267</v>
      </c>
      <c r="F685">
        <v>47</v>
      </c>
      <c r="G685" t="s">
        <v>866</v>
      </c>
    </row>
    <row r="686" spans="1:7">
      <c r="A686" t="s">
        <v>2218</v>
      </c>
      <c r="B686" t="s">
        <v>2219</v>
      </c>
      <c r="C686">
        <v>10</v>
      </c>
      <c r="D686" s="260">
        <v>46282</v>
      </c>
      <c r="E686" s="260">
        <v>46295</v>
      </c>
      <c r="F686">
        <v>47</v>
      </c>
      <c r="G686" t="s">
        <v>866</v>
      </c>
    </row>
    <row r="687" spans="1:7">
      <c r="A687" t="s">
        <v>2220</v>
      </c>
      <c r="B687" t="s">
        <v>2221</v>
      </c>
      <c r="C687">
        <v>5</v>
      </c>
      <c r="D687" s="260">
        <v>46311</v>
      </c>
      <c r="E687" s="260">
        <v>46317</v>
      </c>
      <c r="F687">
        <v>47</v>
      </c>
      <c r="G687" t="s">
        <v>866</v>
      </c>
    </row>
    <row r="688" spans="1:7">
      <c r="A688" t="s">
        <v>2222</v>
      </c>
      <c r="B688" t="s">
        <v>2223</v>
      </c>
      <c r="C688">
        <v>10</v>
      </c>
      <c r="D688" s="260">
        <v>46156</v>
      </c>
      <c r="E688" s="260">
        <v>46169</v>
      </c>
      <c r="F688">
        <v>111</v>
      </c>
      <c r="G688" t="s">
        <v>866</v>
      </c>
    </row>
    <row r="689" spans="1:7">
      <c r="A689" t="s">
        <v>2224</v>
      </c>
      <c r="B689" t="s">
        <v>2225</v>
      </c>
      <c r="C689">
        <v>10</v>
      </c>
      <c r="D689" s="260">
        <v>46188</v>
      </c>
      <c r="E689" s="260">
        <v>46199</v>
      </c>
      <c r="F689">
        <v>111</v>
      </c>
      <c r="G689" t="s">
        <v>866</v>
      </c>
    </row>
    <row r="690" spans="1:7">
      <c r="A690" t="s">
        <v>2226</v>
      </c>
      <c r="B690" t="s">
        <v>2227</v>
      </c>
      <c r="C690">
        <v>5</v>
      </c>
      <c r="D690" s="260">
        <v>46216</v>
      </c>
      <c r="E690" s="260">
        <v>46220</v>
      </c>
      <c r="F690">
        <v>111</v>
      </c>
      <c r="G690" t="s">
        <v>866</v>
      </c>
    </row>
    <row r="691" spans="1:7">
      <c r="A691" t="s">
        <v>2228</v>
      </c>
      <c r="B691" t="s">
        <v>2229</v>
      </c>
      <c r="C691">
        <v>10</v>
      </c>
      <c r="D691" s="260">
        <v>46155</v>
      </c>
      <c r="E691" s="260">
        <v>46168</v>
      </c>
      <c r="F691">
        <v>112</v>
      </c>
      <c r="G691" t="s">
        <v>866</v>
      </c>
    </row>
    <row r="692" spans="1:7">
      <c r="A692" t="s">
        <v>2230</v>
      </c>
      <c r="B692" t="s">
        <v>2231</v>
      </c>
      <c r="C692">
        <v>10</v>
      </c>
      <c r="D692" s="260">
        <v>46185</v>
      </c>
      <c r="E692" s="260">
        <v>46198</v>
      </c>
      <c r="F692">
        <v>112</v>
      </c>
      <c r="G692" t="s">
        <v>866</v>
      </c>
    </row>
    <row r="693" spans="1:7">
      <c r="A693" t="s">
        <v>2232</v>
      </c>
      <c r="B693" t="s">
        <v>2233</v>
      </c>
      <c r="C693">
        <v>5</v>
      </c>
      <c r="D693" s="260">
        <v>46213</v>
      </c>
      <c r="E693" s="260">
        <v>46219</v>
      </c>
      <c r="F693">
        <v>112</v>
      </c>
      <c r="G693" t="s">
        <v>866</v>
      </c>
    </row>
    <row r="694" spans="1:7">
      <c r="A694" t="s">
        <v>2234</v>
      </c>
      <c r="B694" t="s">
        <v>1933</v>
      </c>
      <c r="C694">
        <v>10</v>
      </c>
      <c r="D694" s="260">
        <v>46155</v>
      </c>
      <c r="E694" s="260">
        <v>46168</v>
      </c>
      <c r="F694">
        <v>112</v>
      </c>
      <c r="G694" t="s">
        <v>866</v>
      </c>
    </row>
    <row r="695" spans="1:7">
      <c r="A695" t="s">
        <v>2235</v>
      </c>
      <c r="B695" t="s">
        <v>1935</v>
      </c>
      <c r="C695">
        <v>10</v>
      </c>
      <c r="D695" s="260">
        <v>46185</v>
      </c>
      <c r="E695" s="260">
        <v>46198</v>
      </c>
      <c r="F695">
        <v>112</v>
      </c>
      <c r="G695" t="s">
        <v>866</v>
      </c>
    </row>
    <row r="696" spans="1:7">
      <c r="A696" t="s">
        <v>2236</v>
      </c>
      <c r="B696" t="s">
        <v>1937</v>
      </c>
      <c r="C696">
        <v>5</v>
      </c>
      <c r="D696" s="260">
        <v>46213</v>
      </c>
      <c r="E696" s="260">
        <v>46219</v>
      </c>
      <c r="F696">
        <v>112</v>
      </c>
      <c r="G696" t="s">
        <v>866</v>
      </c>
    </row>
    <row r="697" spans="1:7">
      <c r="A697" t="s">
        <v>2237</v>
      </c>
      <c r="B697" t="s">
        <v>2238</v>
      </c>
      <c r="C697">
        <v>10</v>
      </c>
      <c r="D697" s="260">
        <v>46155</v>
      </c>
      <c r="E697" s="260">
        <v>46168</v>
      </c>
      <c r="F697">
        <v>112</v>
      </c>
      <c r="G697" t="s">
        <v>866</v>
      </c>
    </row>
    <row r="698" spans="1:7">
      <c r="A698" t="s">
        <v>2239</v>
      </c>
      <c r="B698" t="s">
        <v>2240</v>
      </c>
      <c r="C698">
        <v>10</v>
      </c>
      <c r="D698" s="260">
        <v>46185</v>
      </c>
      <c r="E698" s="260">
        <v>46198</v>
      </c>
      <c r="F698">
        <v>112</v>
      </c>
      <c r="G698" t="s">
        <v>866</v>
      </c>
    </row>
    <row r="699" spans="1:7">
      <c r="A699" t="s">
        <v>2241</v>
      </c>
      <c r="B699" t="s">
        <v>2242</v>
      </c>
      <c r="C699">
        <v>5</v>
      </c>
      <c r="D699" s="260">
        <v>46213</v>
      </c>
      <c r="E699" s="260">
        <v>46219</v>
      </c>
      <c r="F699">
        <v>112</v>
      </c>
      <c r="G699" t="s">
        <v>866</v>
      </c>
    </row>
    <row r="700" spans="1:7">
      <c r="A700" t="s">
        <v>2243</v>
      </c>
      <c r="B700" t="s">
        <v>2244</v>
      </c>
      <c r="C700">
        <v>10</v>
      </c>
      <c r="D700" s="260">
        <v>46155</v>
      </c>
      <c r="E700" s="260">
        <v>46168</v>
      </c>
      <c r="F700">
        <v>112</v>
      </c>
      <c r="G700" t="s">
        <v>866</v>
      </c>
    </row>
    <row r="701" spans="1:7">
      <c r="A701" t="s">
        <v>2245</v>
      </c>
      <c r="B701" t="s">
        <v>2246</v>
      </c>
      <c r="C701">
        <v>10</v>
      </c>
      <c r="D701" s="260">
        <v>46185</v>
      </c>
      <c r="E701" s="260">
        <v>46198</v>
      </c>
      <c r="F701">
        <v>112</v>
      </c>
      <c r="G701" t="s">
        <v>866</v>
      </c>
    </row>
    <row r="702" spans="1:7">
      <c r="A702" t="s">
        <v>2247</v>
      </c>
      <c r="B702" t="s">
        <v>2248</v>
      </c>
      <c r="C702">
        <v>5</v>
      </c>
      <c r="D702" s="260">
        <v>46213</v>
      </c>
      <c r="E702" s="260">
        <v>46219</v>
      </c>
      <c r="F702">
        <v>112</v>
      </c>
      <c r="G702" t="s">
        <v>866</v>
      </c>
    </row>
    <row r="703" spans="1:7">
      <c r="A703" t="s">
        <v>2249</v>
      </c>
      <c r="B703" t="s">
        <v>2250</v>
      </c>
      <c r="C703">
        <v>10</v>
      </c>
      <c r="D703" s="260">
        <v>46155</v>
      </c>
      <c r="E703" s="260">
        <v>46168</v>
      </c>
      <c r="F703">
        <v>112</v>
      </c>
      <c r="G703" t="s">
        <v>866</v>
      </c>
    </row>
    <row r="704" spans="1:7">
      <c r="A704" t="s">
        <v>2251</v>
      </c>
      <c r="B704" t="s">
        <v>2252</v>
      </c>
      <c r="C704">
        <v>10</v>
      </c>
      <c r="D704" s="260">
        <v>46185</v>
      </c>
      <c r="E704" s="260">
        <v>46198</v>
      </c>
      <c r="F704">
        <v>112</v>
      </c>
      <c r="G704" t="s">
        <v>866</v>
      </c>
    </row>
    <row r="705" spans="1:7">
      <c r="A705" t="s">
        <v>2253</v>
      </c>
      <c r="B705" t="s">
        <v>2254</v>
      </c>
      <c r="C705">
        <v>5</v>
      </c>
      <c r="D705" s="260">
        <v>46213</v>
      </c>
      <c r="E705" s="260">
        <v>46219</v>
      </c>
      <c r="F705">
        <v>112</v>
      </c>
      <c r="G705" t="s">
        <v>866</v>
      </c>
    </row>
    <row r="706" spans="1:7">
      <c r="A706" t="s">
        <v>2255</v>
      </c>
      <c r="B706" t="s">
        <v>2256</v>
      </c>
      <c r="C706">
        <v>25</v>
      </c>
      <c r="D706" s="260">
        <v>46169</v>
      </c>
      <c r="E706" s="260">
        <v>46205</v>
      </c>
      <c r="F706">
        <v>72</v>
      </c>
      <c r="G706" t="s">
        <v>866</v>
      </c>
    </row>
    <row r="707" spans="1:7">
      <c r="A707" t="s">
        <v>2257</v>
      </c>
      <c r="B707" t="s">
        <v>2258</v>
      </c>
      <c r="C707">
        <v>15</v>
      </c>
      <c r="D707" s="260">
        <v>46220</v>
      </c>
      <c r="E707" s="260">
        <v>46245</v>
      </c>
      <c r="F707">
        <v>72</v>
      </c>
      <c r="G707" t="s">
        <v>866</v>
      </c>
    </row>
    <row r="708" spans="1:7">
      <c r="A708" t="s">
        <v>2259</v>
      </c>
      <c r="B708" t="s">
        <v>2260</v>
      </c>
      <c r="C708">
        <v>15</v>
      </c>
      <c r="D708" s="260">
        <v>46261</v>
      </c>
      <c r="E708" s="260">
        <v>46281</v>
      </c>
      <c r="F708">
        <v>72</v>
      </c>
      <c r="G708" t="s">
        <v>866</v>
      </c>
    </row>
    <row r="709" spans="1:7">
      <c r="A709" t="s">
        <v>2261</v>
      </c>
      <c r="B709" t="s">
        <v>2262</v>
      </c>
      <c r="C709">
        <v>25</v>
      </c>
      <c r="D709" s="260">
        <v>46169</v>
      </c>
      <c r="E709" s="260">
        <v>46205</v>
      </c>
      <c r="F709">
        <v>72</v>
      </c>
      <c r="G709" t="s">
        <v>866</v>
      </c>
    </row>
    <row r="710" spans="1:7">
      <c r="A710" t="s">
        <v>2263</v>
      </c>
      <c r="B710" t="s">
        <v>2264</v>
      </c>
      <c r="C710">
        <v>15</v>
      </c>
      <c r="D710" s="260">
        <v>46220</v>
      </c>
      <c r="E710" s="260">
        <v>46245</v>
      </c>
      <c r="F710">
        <v>72</v>
      </c>
      <c r="G710" t="s">
        <v>866</v>
      </c>
    </row>
    <row r="711" spans="1:7">
      <c r="A711" t="s">
        <v>2265</v>
      </c>
      <c r="B711" t="s">
        <v>2266</v>
      </c>
      <c r="C711">
        <v>15</v>
      </c>
      <c r="D711" s="260">
        <v>46261</v>
      </c>
      <c r="E711" s="260">
        <v>46281</v>
      </c>
      <c r="F711">
        <v>72</v>
      </c>
      <c r="G711" t="s">
        <v>866</v>
      </c>
    </row>
    <row r="712" spans="1:7">
      <c r="A712" t="s">
        <v>2267</v>
      </c>
      <c r="B712" t="s">
        <v>2268</v>
      </c>
      <c r="C712">
        <v>25</v>
      </c>
      <c r="D712" s="260">
        <v>46169</v>
      </c>
      <c r="E712" s="260">
        <v>46205</v>
      </c>
      <c r="F712">
        <v>72</v>
      </c>
      <c r="G712" t="s">
        <v>866</v>
      </c>
    </row>
    <row r="713" spans="1:7">
      <c r="A713" t="s">
        <v>2269</v>
      </c>
      <c r="B713" t="s">
        <v>2270</v>
      </c>
      <c r="C713">
        <v>15</v>
      </c>
      <c r="D713" s="260">
        <v>46220</v>
      </c>
      <c r="E713" s="260">
        <v>46245</v>
      </c>
      <c r="F713">
        <v>72</v>
      </c>
      <c r="G713" t="s">
        <v>866</v>
      </c>
    </row>
    <row r="714" spans="1:7">
      <c r="A714" t="s">
        <v>2271</v>
      </c>
      <c r="B714" t="s">
        <v>2272</v>
      </c>
      <c r="C714">
        <v>15</v>
      </c>
      <c r="D714" s="260">
        <v>46261</v>
      </c>
      <c r="E714" s="260">
        <v>46281</v>
      </c>
      <c r="F714">
        <v>72</v>
      </c>
      <c r="G714" t="s">
        <v>866</v>
      </c>
    </row>
    <row r="715" spans="1:7">
      <c r="A715" t="s">
        <v>2273</v>
      </c>
      <c r="B715" t="s">
        <v>2274</v>
      </c>
      <c r="C715">
        <v>25</v>
      </c>
      <c r="D715" s="260">
        <v>46178</v>
      </c>
      <c r="E715" s="260">
        <v>46212</v>
      </c>
      <c r="F715">
        <v>67</v>
      </c>
      <c r="G715" t="s">
        <v>866</v>
      </c>
    </row>
    <row r="716" spans="1:7">
      <c r="A716" t="s">
        <v>2275</v>
      </c>
      <c r="B716" t="s">
        <v>2276</v>
      </c>
      <c r="C716">
        <v>15</v>
      </c>
      <c r="D716" s="260">
        <v>46227</v>
      </c>
      <c r="E716" s="260">
        <v>46253</v>
      </c>
      <c r="F716">
        <v>67</v>
      </c>
      <c r="G716" t="s">
        <v>866</v>
      </c>
    </row>
    <row r="717" spans="1:7">
      <c r="A717" t="s">
        <v>2277</v>
      </c>
      <c r="B717" t="s">
        <v>2278</v>
      </c>
      <c r="C717">
        <v>15</v>
      </c>
      <c r="D717" s="260">
        <v>46268</v>
      </c>
      <c r="E717" s="260">
        <v>46288</v>
      </c>
      <c r="F717">
        <v>67</v>
      </c>
      <c r="G717" t="s">
        <v>866</v>
      </c>
    </row>
    <row r="718" spans="1:7">
      <c r="A718" t="s">
        <v>2279</v>
      </c>
      <c r="B718" t="s">
        <v>2280</v>
      </c>
      <c r="C718">
        <v>25</v>
      </c>
      <c r="D718" s="260">
        <v>46169</v>
      </c>
      <c r="E718" s="260">
        <v>46205</v>
      </c>
      <c r="F718">
        <v>72</v>
      </c>
      <c r="G718" t="s">
        <v>866</v>
      </c>
    </row>
    <row r="719" spans="1:7">
      <c r="A719" t="s">
        <v>2281</v>
      </c>
      <c r="B719" t="s">
        <v>2282</v>
      </c>
      <c r="C719">
        <v>15</v>
      </c>
      <c r="D719" s="260">
        <v>46220</v>
      </c>
      <c r="E719" s="260">
        <v>46245</v>
      </c>
      <c r="F719">
        <v>72</v>
      </c>
      <c r="G719" t="s">
        <v>866</v>
      </c>
    </row>
    <row r="720" spans="1:7">
      <c r="A720" t="s">
        <v>2283</v>
      </c>
      <c r="B720" t="s">
        <v>2284</v>
      </c>
      <c r="C720">
        <v>15</v>
      </c>
      <c r="D720" s="260">
        <v>46261</v>
      </c>
      <c r="E720" s="260">
        <v>46281</v>
      </c>
      <c r="F720">
        <v>72</v>
      </c>
      <c r="G720" t="s">
        <v>866</v>
      </c>
    </row>
    <row r="721" spans="1:7">
      <c r="A721" t="s">
        <v>2285</v>
      </c>
      <c r="B721" t="s">
        <v>2286</v>
      </c>
      <c r="C721">
        <v>25</v>
      </c>
      <c r="D721" s="260">
        <v>46178</v>
      </c>
      <c r="E721" s="260">
        <v>46212</v>
      </c>
      <c r="F721">
        <v>67</v>
      </c>
      <c r="G721" t="s">
        <v>866</v>
      </c>
    </row>
    <row r="722" spans="1:7">
      <c r="A722" t="s">
        <v>2287</v>
      </c>
      <c r="B722" t="s">
        <v>2288</v>
      </c>
      <c r="C722">
        <v>15</v>
      </c>
      <c r="D722" s="260">
        <v>46227</v>
      </c>
      <c r="E722" s="260">
        <v>46253</v>
      </c>
      <c r="F722">
        <v>67</v>
      </c>
      <c r="G722" t="s">
        <v>866</v>
      </c>
    </row>
    <row r="723" spans="1:7">
      <c r="A723" t="s">
        <v>2289</v>
      </c>
      <c r="B723" t="s">
        <v>2290</v>
      </c>
      <c r="C723">
        <v>15</v>
      </c>
      <c r="D723" s="260">
        <v>46268</v>
      </c>
      <c r="E723" s="260">
        <v>46288</v>
      </c>
      <c r="F723">
        <v>67</v>
      </c>
      <c r="G723" t="s">
        <v>866</v>
      </c>
    </row>
    <row r="724" spans="1:7">
      <c r="A724" t="s">
        <v>2291</v>
      </c>
      <c r="B724" t="s">
        <v>2292</v>
      </c>
      <c r="C724">
        <v>25</v>
      </c>
      <c r="D724" s="260">
        <v>46178</v>
      </c>
      <c r="E724" s="260">
        <v>46212</v>
      </c>
      <c r="F724">
        <v>67</v>
      </c>
      <c r="G724" t="s">
        <v>866</v>
      </c>
    </row>
    <row r="725" spans="1:7">
      <c r="A725" t="s">
        <v>2293</v>
      </c>
      <c r="B725" t="s">
        <v>2294</v>
      </c>
      <c r="C725">
        <v>15</v>
      </c>
      <c r="D725" s="260">
        <v>46227</v>
      </c>
      <c r="E725" s="260">
        <v>46253</v>
      </c>
      <c r="F725">
        <v>67</v>
      </c>
      <c r="G725" t="s">
        <v>866</v>
      </c>
    </row>
    <row r="726" spans="1:7">
      <c r="A726" t="s">
        <v>2295</v>
      </c>
      <c r="B726" t="s">
        <v>2296</v>
      </c>
      <c r="C726">
        <v>15</v>
      </c>
      <c r="D726" s="260">
        <v>46268</v>
      </c>
      <c r="E726" s="260">
        <v>46288</v>
      </c>
      <c r="F726">
        <v>67</v>
      </c>
      <c r="G726" t="s">
        <v>866</v>
      </c>
    </row>
    <row r="727" spans="1:7">
      <c r="A727" t="s">
        <v>2297</v>
      </c>
      <c r="B727" t="s">
        <v>2298</v>
      </c>
      <c r="C727">
        <v>25</v>
      </c>
      <c r="D727" s="260">
        <v>46169</v>
      </c>
      <c r="E727" s="260">
        <v>46205</v>
      </c>
      <c r="F727">
        <v>72</v>
      </c>
      <c r="G727" t="s">
        <v>866</v>
      </c>
    </row>
    <row r="728" spans="1:7">
      <c r="A728" t="s">
        <v>2299</v>
      </c>
      <c r="B728" t="s">
        <v>2300</v>
      </c>
      <c r="C728">
        <v>15</v>
      </c>
      <c r="D728" s="260">
        <v>46220</v>
      </c>
      <c r="E728" s="260">
        <v>46245</v>
      </c>
      <c r="F728">
        <v>72</v>
      </c>
      <c r="G728" t="s">
        <v>866</v>
      </c>
    </row>
    <row r="729" spans="1:7">
      <c r="A729" t="s">
        <v>2301</v>
      </c>
      <c r="B729" t="s">
        <v>2302</v>
      </c>
      <c r="C729">
        <v>15</v>
      </c>
      <c r="D729" s="260">
        <v>46261</v>
      </c>
      <c r="E729" s="260">
        <v>46281</v>
      </c>
      <c r="F729">
        <v>72</v>
      </c>
      <c r="G729" t="s">
        <v>866</v>
      </c>
    </row>
    <row r="730" spans="1:7">
      <c r="A730" t="s">
        <v>2303</v>
      </c>
      <c r="B730" t="s">
        <v>2304</v>
      </c>
      <c r="C730">
        <v>25</v>
      </c>
      <c r="D730" s="260">
        <v>46178</v>
      </c>
      <c r="E730" s="260">
        <v>46212</v>
      </c>
      <c r="F730">
        <v>67</v>
      </c>
      <c r="G730" t="s">
        <v>866</v>
      </c>
    </row>
    <row r="731" spans="1:7">
      <c r="A731" t="s">
        <v>2305</v>
      </c>
      <c r="B731" t="s">
        <v>2306</v>
      </c>
      <c r="C731">
        <v>15</v>
      </c>
      <c r="D731" s="260">
        <v>46227</v>
      </c>
      <c r="E731" s="260">
        <v>46253</v>
      </c>
      <c r="F731">
        <v>67</v>
      </c>
      <c r="G731" t="s">
        <v>866</v>
      </c>
    </row>
    <row r="732" spans="1:7">
      <c r="A732" t="s">
        <v>2307</v>
      </c>
      <c r="B732" t="s">
        <v>2308</v>
      </c>
      <c r="C732">
        <v>15</v>
      </c>
      <c r="D732" s="260">
        <v>46268</v>
      </c>
      <c r="E732" s="260">
        <v>46288</v>
      </c>
      <c r="F732">
        <v>67</v>
      </c>
      <c r="G732" t="s">
        <v>866</v>
      </c>
    </row>
    <row r="733" spans="1:7">
      <c r="A733" t="s">
        <v>2309</v>
      </c>
      <c r="B733" t="s">
        <v>2310</v>
      </c>
      <c r="C733">
        <v>25</v>
      </c>
      <c r="D733" s="260">
        <v>46178</v>
      </c>
      <c r="E733" s="260">
        <v>46212</v>
      </c>
      <c r="F733">
        <v>67</v>
      </c>
      <c r="G733" t="s">
        <v>866</v>
      </c>
    </row>
    <row r="734" spans="1:7">
      <c r="A734" t="s">
        <v>2311</v>
      </c>
      <c r="B734" t="s">
        <v>2312</v>
      </c>
      <c r="C734">
        <v>15</v>
      </c>
      <c r="D734" s="260">
        <v>46227</v>
      </c>
      <c r="E734" s="260">
        <v>46253</v>
      </c>
      <c r="F734">
        <v>67</v>
      </c>
      <c r="G734" t="s">
        <v>866</v>
      </c>
    </row>
    <row r="735" spans="1:7">
      <c r="A735" t="s">
        <v>2313</v>
      </c>
      <c r="B735" t="s">
        <v>2314</v>
      </c>
      <c r="C735">
        <v>15</v>
      </c>
      <c r="D735" s="260">
        <v>46268</v>
      </c>
      <c r="E735" s="260">
        <v>46288</v>
      </c>
      <c r="F735">
        <v>67</v>
      </c>
      <c r="G735" t="s">
        <v>866</v>
      </c>
    </row>
    <row r="736" spans="1:7">
      <c r="A736" t="s">
        <v>2315</v>
      </c>
      <c r="B736" t="s">
        <v>2316</v>
      </c>
      <c r="C736">
        <v>25</v>
      </c>
      <c r="D736" s="260">
        <v>46185</v>
      </c>
      <c r="E736" s="260">
        <v>46219</v>
      </c>
      <c r="F736">
        <v>62</v>
      </c>
      <c r="G736" t="s">
        <v>866</v>
      </c>
    </row>
    <row r="737" spans="1:7">
      <c r="A737" t="s">
        <v>2317</v>
      </c>
      <c r="B737" t="s">
        <v>2318</v>
      </c>
      <c r="C737">
        <v>15</v>
      </c>
      <c r="D737" s="260">
        <v>46239</v>
      </c>
      <c r="E737" s="260">
        <v>46260</v>
      </c>
      <c r="F737">
        <v>62</v>
      </c>
      <c r="G737" t="s">
        <v>866</v>
      </c>
    </row>
    <row r="738" spans="1:7">
      <c r="A738" t="s">
        <v>2319</v>
      </c>
      <c r="B738" t="s">
        <v>2320</v>
      </c>
      <c r="C738">
        <v>15</v>
      </c>
      <c r="D738" s="260">
        <v>46275</v>
      </c>
      <c r="E738" s="260">
        <v>46295</v>
      </c>
      <c r="F738">
        <v>62</v>
      </c>
      <c r="G738" t="s">
        <v>866</v>
      </c>
    </row>
    <row r="739" spans="1:7">
      <c r="A739" t="s">
        <v>2321</v>
      </c>
      <c r="B739" t="s">
        <v>2322</v>
      </c>
      <c r="C739">
        <v>25</v>
      </c>
      <c r="D739" s="260">
        <v>46185</v>
      </c>
      <c r="E739" s="260">
        <v>46219</v>
      </c>
      <c r="F739">
        <v>62</v>
      </c>
      <c r="G739" t="s">
        <v>866</v>
      </c>
    </row>
    <row r="740" spans="1:7">
      <c r="A740" t="s">
        <v>2323</v>
      </c>
      <c r="B740" t="s">
        <v>2324</v>
      </c>
      <c r="C740">
        <v>15</v>
      </c>
      <c r="D740" s="260">
        <v>46239</v>
      </c>
      <c r="E740" s="260">
        <v>46260</v>
      </c>
      <c r="F740">
        <v>62</v>
      </c>
      <c r="G740" t="s">
        <v>866</v>
      </c>
    </row>
    <row r="741" spans="1:7">
      <c r="A741" t="s">
        <v>2325</v>
      </c>
      <c r="B741" t="s">
        <v>664</v>
      </c>
      <c r="C741">
        <v>15</v>
      </c>
      <c r="D741" s="260">
        <v>46275</v>
      </c>
      <c r="E741" s="260">
        <v>46295</v>
      </c>
      <c r="F741">
        <v>62</v>
      </c>
      <c r="G741" t="s">
        <v>866</v>
      </c>
    </row>
    <row r="742" spans="1:7">
      <c r="A742" t="s">
        <v>2326</v>
      </c>
      <c r="B742" t="s">
        <v>2327</v>
      </c>
      <c r="C742">
        <v>25</v>
      </c>
      <c r="D742" s="260">
        <v>46178</v>
      </c>
      <c r="E742" s="260">
        <v>46212</v>
      </c>
      <c r="F742">
        <v>67</v>
      </c>
      <c r="G742" t="s">
        <v>866</v>
      </c>
    </row>
    <row r="743" spans="1:7">
      <c r="A743" t="s">
        <v>2328</v>
      </c>
      <c r="B743" t="s">
        <v>2329</v>
      </c>
      <c r="C743">
        <v>15</v>
      </c>
      <c r="D743" s="260">
        <v>46227</v>
      </c>
      <c r="E743" s="260">
        <v>46253</v>
      </c>
      <c r="F743">
        <v>67</v>
      </c>
      <c r="G743" t="s">
        <v>866</v>
      </c>
    </row>
    <row r="744" spans="1:7">
      <c r="A744" t="s">
        <v>2330</v>
      </c>
      <c r="B744" t="s">
        <v>2331</v>
      </c>
      <c r="C744">
        <v>15</v>
      </c>
      <c r="D744" s="260">
        <v>46268</v>
      </c>
      <c r="E744" s="260">
        <v>46288</v>
      </c>
      <c r="F744">
        <v>67</v>
      </c>
      <c r="G744" t="s">
        <v>866</v>
      </c>
    </row>
    <row r="745" spans="1:7">
      <c r="A745" t="s">
        <v>2332</v>
      </c>
      <c r="B745" t="s">
        <v>2333</v>
      </c>
      <c r="C745">
        <v>25</v>
      </c>
      <c r="D745" s="260">
        <v>46178</v>
      </c>
      <c r="E745" s="260">
        <v>46212</v>
      </c>
      <c r="F745">
        <v>67</v>
      </c>
      <c r="G745" t="s">
        <v>866</v>
      </c>
    </row>
    <row r="746" spans="1:7">
      <c r="A746" t="s">
        <v>2334</v>
      </c>
      <c r="B746" t="s">
        <v>2335</v>
      </c>
      <c r="C746">
        <v>15</v>
      </c>
      <c r="D746" s="260">
        <v>46227</v>
      </c>
      <c r="E746" s="260">
        <v>46253</v>
      </c>
      <c r="F746">
        <v>67</v>
      </c>
      <c r="G746" t="s">
        <v>866</v>
      </c>
    </row>
    <row r="747" spans="1:7">
      <c r="A747" t="s">
        <v>2336</v>
      </c>
      <c r="B747" t="s">
        <v>2337</v>
      </c>
      <c r="C747">
        <v>15</v>
      </c>
      <c r="D747" s="260">
        <v>46268</v>
      </c>
      <c r="E747" s="260">
        <v>46288</v>
      </c>
      <c r="F747">
        <v>67</v>
      </c>
      <c r="G747" t="s">
        <v>866</v>
      </c>
    </row>
    <row r="748" spans="1:7">
      <c r="A748" t="s">
        <v>2338</v>
      </c>
      <c r="B748" t="s">
        <v>2339</v>
      </c>
      <c r="C748">
        <v>25</v>
      </c>
      <c r="D748" s="260">
        <v>46178</v>
      </c>
      <c r="E748" s="260">
        <v>46212</v>
      </c>
      <c r="F748">
        <v>67</v>
      </c>
      <c r="G748" t="s">
        <v>866</v>
      </c>
    </row>
    <row r="749" spans="1:7">
      <c r="A749" t="s">
        <v>2340</v>
      </c>
      <c r="B749" t="s">
        <v>2341</v>
      </c>
      <c r="C749">
        <v>15</v>
      </c>
      <c r="D749" s="260">
        <v>46227</v>
      </c>
      <c r="E749" s="260">
        <v>46253</v>
      </c>
      <c r="F749">
        <v>67</v>
      </c>
      <c r="G749" t="s">
        <v>866</v>
      </c>
    </row>
    <row r="750" spans="1:7">
      <c r="A750" t="s">
        <v>2342</v>
      </c>
      <c r="B750" t="s">
        <v>2343</v>
      </c>
      <c r="C750">
        <v>15</v>
      </c>
      <c r="D750" s="260">
        <v>46268</v>
      </c>
      <c r="E750" s="260">
        <v>46288</v>
      </c>
      <c r="F750">
        <v>67</v>
      </c>
      <c r="G750" t="s">
        <v>866</v>
      </c>
    </row>
    <row r="751" spans="1:7">
      <c r="A751" t="s">
        <v>2344</v>
      </c>
      <c r="B751" t="s">
        <v>2345</v>
      </c>
      <c r="C751">
        <v>25</v>
      </c>
      <c r="D751" s="260">
        <v>46178</v>
      </c>
      <c r="E751" s="260">
        <v>46212</v>
      </c>
      <c r="F751">
        <v>67</v>
      </c>
      <c r="G751" t="s">
        <v>866</v>
      </c>
    </row>
    <row r="752" spans="1:7">
      <c r="A752" t="s">
        <v>2346</v>
      </c>
      <c r="B752" t="s">
        <v>2347</v>
      </c>
      <c r="C752">
        <v>15</v>
      </c>
      <c r="D752" s="260">
        <v>46227</v>
      </c>
      <c r="E752" s="260">
        <v>46253</v>
      </c>
      <c r="F752">
        <v>67</v>
      </c>
      <c r="G752" t="s">
        <v>866</v>
      </c>
    </row>
    <row r="753" spans="1:7">
      <c r="A753" t="s">
        <v>2348</v>
      </c>
      <c r="B753" t="s">
        <v>2349</v>
      </c>
      <c r="C753">
        <v>15</v>
      </c>
      <c r="D753" s="260">
        <v>46268</v>
      </c>
      <c r="E753" s="260">
        <v>46288</v>
      </c>
      <c r="F753">
        <v>67</v>
      </c>
      <c r="G753" t="s">
        <v>866</v>
      </c>
    </row>
    <row r="754" spans="1:7">
      <c r="A754" t="s">
        <v>2350</v>
      </c>
      <c r="B754" t="s">
        <v>2351</v>
      </c>
      <c r="C754">
        <v>25</v>
      </c>
      <c r="D754" s="260">
        <v>46178</v>
      </c>
      <c r="E754" s="260">
        <v>46212</v>
      </c>
      <c r="F754">
        <v>67</v>
      </c>
      <c r="G754" t="s">
        <v>866</v>
      </c>
    </row>
    <row r="755" spans="1:7">
      <c r="A755" t="s">
        <v>2352</v>
      </c>
      <c r="B755" t="s">
        <v>2353</v>
      </c>
      <c r="C755">
        <v>15</v>
      </c>
      <c r="D755" s="260">
        <v>46227</v>
      </c>
      <c r="E755" s="260">
        <v>46253</v>
      </c>
      <c r="F755">
        <v>67</v>
      </c>
      <c r="G755" t="s">
        <v>866</v>
      </c>
    </row>
    <row r="756" spans="1:7">
      <c r="A756" t="s">
        <v>2354</v>
      </c>
      <c r="B756" t="s">
        <v>2355</v>
      </c>
      <c r="C756">
        <v>15</v>
      </c>
      <c r="D756" s="260">
        <v>46268</v>
      </c>
      <c r="E756" s="260">
        <v>46288</v>
      </c>
      <c r="F756">
        <v>67</v>
      </c>
      <c r="G756" t="s">
        <v>866</v>
      </c>
    </row>
    <row r="757" spans="1:7">
      <c r="A757" t="s">
        <v>2356</v>
      </c>
      <c r="B757" t="s">
        <v>2357</v>
      </c>
      <c r="C757">
        <v>25</v>
      </c>
      <c r="D757" s="260">
        <v>46178</v>
      </c>
      <c r="E757" s="260">
        <v>46212</v>
      </c>
      <c r="F757">
        <v>67</v>
      </c>
      <c r="G757" t="s">
        <v>866</v>
      </c>
    </row>
    <row r="758" spans="1:7">
      <c r="A758" t="s">
        <v>2358</v>
      </c>
      <c r="B758" t="s">
        <v>2359</v>
      </c>
      <c r="C758">
        <v>15</v>
      </c>
      <c r="D758" s="260">
        <v>46227</v>
      </c>
      <c r="E758" s="260">
        <v>46253</v>
      </c>
      <c r="F758">
        <v>67</v>
      </c>
      <c r="G758" t="s">
        <v>866</v>
      </c>
    </row>
    <row r="759" spans="1:7">
      <c r="A759" t="s">
        <v>2360</v>
      </c>
      <c r="B759" t="s">
        <v>2361</v>
      </c>
      <c r="C759">
        <v>15</v>
      </c>
      <c r="D759" s="260">
        <v>46268</v>
      </c>
      <c r="E759" s="260">
        <v>46288</v>
      </c>
      <c r="F759">
        <v>67</v>
      </c>
      <c r="G759" t="s">
        <v>866</v>
      </c>
    </row>
    <row r="760" spans="1:7">
      <c r="A760" t="s">
        <v>2362</v>
      </c>
      <c r="B760" t="s">
        <v>2363</v>
      </c>
      <c r="C760">
        <v>25</v>
      </c>
      <c r="D760" s="260">
        <v>46227</v>
      </c>
      <c r="E760" s="260">
        <v>46267</v>
      </c>
      <c r="F760">
        <v>32</v>
      </c>
      <c r="G760" t="s">
        <v>866</v>
      </c>
    </row>
    <row r="761" spans="1:7">
      <c r="A761" t="s">
        <v>2364</v>
      </c>
      <c r="B761" t="s">
        <v>2365</v>
      </c>
      <c r="C761">
        <v>15</v>
      </c>
      <c r="D761" s="260">
        <v>46282</v>
      </c>
      <c r="E761" s="260">
        <v>46302</v>
      </c>
      <c r="F761">
        <v>32</v>
      </c>
      <c r="G761" t="s">
        <v>866</v>
      </c>
    </row>
    <row r="762" spans="1:7">
      <c r="A762" t="s">
        <v>2366</v>
      </c>
      <c r="B762" t="s">
        <v>2367</v>
      </c>
      <c r="C762">
        <v>15</v>
      </c>
      <c r="D762" s="260">
        <v>46321</v>
      </c>
      <c r="E762" s="260">
        <v>46339</v>
      </c>
      <c r="F762">
        <v>32</v>
      </c>
      <c r="G762" t="s">
        <v>866</v>
      </c>
    </row>
    <row r="763" spans="1:7">
      <c r="A763" t="s">
        <v>2368</v>
      </c>
      <c r="B763" t="s">
        <v>2369</v>
      </c>
      <c r="C763">
        <v>25</v>
      </c>
      <c r="D763" s="260">
        <v>46192</v>
      </c>
      <c r="E763" s="260">
        <v>46226</v>
      </c>
      <c r="F763">
        <v>57</v>
      </c>
      <c r="G763" t="s">
        <v>866</v>
      </c>
    </row>
    <row r="764" spans="1:7">
      <c r="A764" t="s">
        <v>2370</v>
      </c>
      <c r="B764" t="s">
        <v>2371</v>
      </c>
      <c r="C764">
        <v>15</v>
      </c>
      <c r="D764" s="260">
        <v>46247</v>
      </c>
      <c r="E764" s="260">
        <v>46267</v>
      </c>
      <c r="F764">
        <v>57</v>
      </c>
      <c r="G764" t="s">
        <v>866</v>
      </c>
    </row>
    <row r="765" spans="1:7">
      <c r="A765" t="s">
        <v>2372</v>
      </c>
      <c r="B765" t="s">
        <v>2373</v>
      </c>
      <c r="C765">
        <v>15</v>
      </c>
      <c r="D765" s="260">
        <v>46282</v>
      </c>
      <c r="E765" s="260">
        <v>46302</v>
      </c>
      <c r="F765">
        <v>57</v>
      </c>
      <c r="G765" t="s">
        <v>866</v>
      </c>
    </row>
    <row r="766" spans="1:7">
      <c r="A766" t="s">
        <v>2374</v>
      </c>
      <c r="B766" t="s">
        <v>2375</v>
      </c>
      <c r="C766">
        <v>25</v>
      </c>
      <c r="D766" s="260">
        <v>46192</v>
      </c>
      <c r="E766" s="260">
        <v>46226</v>
      </c>
      <c r="F766">
        <v>57</v>
      </c>
      <c r="G766" t="s">
        <v>866</v>
      </c>
    </row>
    <row r="767" spans="1:7">
      <c r="A767" t="s">
        <v>2376</v>
      </c>
      <c r="B767" t="s">
        <v>2377</v>
      </c>
      <c r="C767">
        <v>15</v>
      </c>
      <c r="D767" s="260">
        <v>46247</v>
      </c>
      <c r="E767" s="260">
        <v>46267</v>
      </c>
      <c r="F767">
        <v>57</v>
      </c>
      <c r="G767" t="s">
        <v>866</v>
      </c>
    </row>
    <row r="768" spans="1:7">
      <c r="A768" t="s">
        <v>2378</v>
      </c>
      <c r="B768" t="s">
        <v>2379</v>
      </c>
      <c r="C768">
        <v>15</v>
      </c>
      <c r="D768" s="260">
        <v>46282</v>
      </c>
      <c r="E768" s="260">
        <v>46302</v>
      </c>
      <c r="F768">
        <v>57</v>
      </c>
      <c r="G768" t="s">
        <v>866</v>
      </c>
    </row>
    <row r="769" spans="1:7">
      <c r="A769" t="s">
        <v>2380</v>
      </c>
      <c r="B769" t="s">
        <v>2381</v>
      </c>
      <c r="C769">
        <v>25</v>
      </c>
      <c r="D769" s="260">
        <v>46192</v>
      </c>
      <c r="E769" s="260">
        <v>46226</v>
      </c>
      <c r="F769">
        <v>57</v>
      </c>
      <c r="G769" t="s">
        <v>866</v>
      </c>
    </row>
    <row r="770" spans="1:7">
      <c r="A770" t="s">
        <v>2382</v>
      </c>
      <c r="B770" t="s">
        <v>2383</v>
      </c>
      <c r="C770">
        <v>15</v>
      </c>
      <c r="D770" s="260">
        <v>46247</v>
      </c>
      <c r="E770" s="260">
        <v>46267</v>
      </c>
      <c r="F770">
        <v>57</v>
      </c>
      <c r="G770" t="s">
        <v>866</v>
      </c>
    </row>
    <row r="771" spans="1:7">
      <c r="A771" t="s">
        <v>2384</v>
      </c>
      <c r="B771" t="s">
        <v>2385</v>
      </c>
      <c r="C771">
        <v>15</v>
      </c>
      <c r="D771" s="260">
        <v>46282</v>
      </c>
      <c r="E771" s="260">
        <v>46302</v>
      </c>
      <c r="F771">
        <v>57</v>
      </c>
      <c r="G771" t="s">
        <v>866</v>
      </c>
    </row>
    <row r="772" spans="1:7">
      <c r="A772" t="s">
        <v>2386</v>
      </c>
      <c r="B772" t="s">
        <v>2387</v>
      </c>
      <c r="C772">
        <v>25</v>
      </c>
      <c r="D772" s="260">
        <v>46192</v>
      </c>
      <c r="E772" s="260">
        <v>46226</v>
      </c>
      <c r="F772">
        <v>57</v>
      </c>
      <c r="G772" t="s">
        <v>866</v>
      </c>
    </row>
    <row r="773" spans="1:7">
      <c r="A773" t="s">
        <v>2388</v>
      </c>
      <c r="B773" t="s">
        <v>2389</v>
      </c>
      <c r="C773">
        <v>15</v>
      </c>
      <c r="D773" s="260">
        <v>46247</v>
      </c>
      <c r="E773" s="260">
        <v>46267</v>
      </c>
      <c r="F773">
        <v>57</v>
      </c>
      <c r="G773" t="s">
        <v>866</v>
      </c>
    </row>
    <row r="774" spans="1:7">
      <c r="A774" t="s">
        <v>2390</v>
      </c>
      <c r="B774" t="s">
        <v>666</v>
      </c>
      <c r="C774">
        <v>15</v>
      </c>
      <c r="D774" s="260">
        <v>46282</v>
      </c>
      <c r="E774" s="260">
        <v>46302</v>
      </c>
      <c r="F774">
        <v>57</v>
      </c>
      <c r="G774" t="s">
        <v>866</v>
      </c>
    </row>
    <row r="775" spans="1:7">
      <c r="A775" t="s">
        <v>2391</v>
      </c>
      <c r="B775" t="s">
        <v>2392</v>
      </c>
      <c r="C775">
        <v>25</v>
      </c>
      <c r="D775" s="260">
        <v>46192</v>
      </c>
      <c r="E775" s="260">
        <v>46226</v>
      </c>
      <c r="F775">
        <v>57</v>
      </c>
      <c r="G775" t="s">
        <v>866</v>
      </c>
    </row>
    <row r="776" spans="1:7">
      <c r="A776" t="s">
        <v>2393</v>
      </c>
      <c r="B776" t="s">
        <v>2394</v>
      </c>
      <c r="C776">
        <v>15</v>
      </c>
      <c r="D776" s="260">
        <v>46247</v>
      </c>
      <c r="E776" s="260">
        <v>46267</v>
      </c>
      <c r="F776">
        <v>57</v>
      </c>
      <c r="G776" t="s">
        <v>866</v>
      </c>
    </row>
    <row r="777" spans="1:7">
      <c r="A777" t="s">
        <v>2395</v>
      </c>
      <c r="B777" t="s">
        <v>2396</v>
      </c>
      <c r="C777">
        <v>15</v>
      </c>
      <c r="D777" s="260">
        <v>46282</v>
      </c>
      <c r="E777" s="260">
        <v>46302</v>
      </c>
      <c r="F777">
        <v>57</v>
      </c>
      <c r="G777" t="s">
        <v>866</v>
      </c>
    </row>
    <row r="778" spans="1:7">
      <c r="A778" t="s">
        <v>2397</v>
      </c>
      <c r="B778" t="s">
        <v>2398</v>
      </c>
      <c r="C778">
        <v>25</v>
      </c>
      <c r="D778" s="260">
        <v>46192</v>
      </c>
      <c r="E778" s="260">
        <v>46226</v>
      </c>
      <c r="F778">
        <v>57</v>
      </c>
      <c r="G778" t="s">
        <v>866</v>
      </c>
    </row>
    <row r="779" spans="1:7">
      <c r="A779" t="s">
        <v>2399</v>
      </c>
      <c r="B779" t="s">
        <v>2400</v>
      </c>
      <c r="C779">
        <v>15</v>
      </c>
      <c r="D779" s="260">
        <v>46247</v>
      </c>
      <c r="E779" s="260">
        <v>46267</v>
      </c>
      <c r="F779">
        <v>57</v>
      </c>
      <c r="G779" t="s">
        <v>866</v>
      </c>
    </row>
    <row r="780" spans="1:7">
      <c r="A780" t="s">
        <v>2401</v>
      </c>
      <c r="B780" t="s">
        <v>2402</v>
      </c>
      <c r="C780">
        <v>15</v>
      </c>
      <c r="D780" s="260">
        <v>46282</v>
      </c>
      <c r="E780" s="260">
        <v>46302</v>
      </c>
      <c r="F780">
        <v>57</v>
      </c>
      <c r="G780" t="s">
        <v>866</v>
      </c>
    </row>
    <row r="781" spans="1:7">
      <c r="A781" t="s">
        <v>2403</v>
      </c>
      <c r="B781" t="s">
        <v>2404</v>
      </c>
      <c r="C781">
        <v>25</v>
      </c>
      <c r="D781" s="260">
        <v>46192</v>
      </c>
      <c r="E781" s="260">
        <v>46226</v>
      </c>
      <c r="F781">
        <v>57</v>
      </c>
      <c r="G781" t="s">
        <v>866</v>
      </c>
    </row>
    <row r="782" spans="1:7">
      <c r="A782" t="s">
        <v>2405</v>
      </c>
      <c r="B782" t="s">
        <v>2406</v>
      </c>
      <c r="C782">
        <v>15</v>
      </c>
      <c r="D782" s="260">
        <v>46247</v>
      </c>
      <c r="E782" s="260">
        <v>46267</v>
      </c>
      <c r="F782">
        <v>57</v>
      </c>
      <c r="G782" t="s">
        <v>866</v>
      </c>
    </row>
    <row r="783" spans="1:7">
      <c r="A783" t="s">
        <v>2407</v>
      </c>
      <c r="B783" t="s">
        <v>2408</v>
      </c>
      <c r="C783">
        <v>15</v>
      </c>
      <c r="D783" s="260">
        <v>46282</v>
      </c>
      <c r="E783" s="260">
        <v>46302</v>
      </c>
      <c r="F783">
        <v>57</v>
      </c>
      <c r="G783" t="s">
        <v>866</v>
      </c>
    </row>
    <row r="784" spans="1:7">
      <c r="A784" t="s">
        <v>2409</v>
      </c>
      <c r="B784" t="s">
        <v>2410</v>
      </c>
      <c r="C784">
        <v>25</v>
      </c>
      <c r="D784" s="260">
        <v>46192</v>
      </c>
      <c r="E784" s="260">
        <v>46226</v>
      </c>
      <c r="F784">
        <v>57</v>
      </c>
      <c r="G784" t="s">
        <v>866</v>
      </c>
    </row>
    <row r="785" spans="1:7">
      <c r="A785" t="s">
        <v>2411</v>
      </c>
      <c r="B785" t="s">
        <v>2412</v>
      </c>
      <c r="C785">
        <v>15</v>
      </c>
      <c r="D785" s="260">
        <v>46247</v>
      </c>
      <c r="E785" s="260">
        <v>46267</v>
      </c>
      <c r="F785">
        <v>57</v>
      </c>
      <c r="G785" t="s">
        <v>866</v>
      </c>
    </row>
    <row r="786" spans="1:7">
      <c r="A786" t="s">
        <v>2413</v>
      </c>
      <c r="B786" t="s">
        <v>2414</v>
      </c>
      <c r="C786">
        <v>15</v>
      </c>
      <c r="D786" s="260">
        <v>46282</v>
      </c>
      <c r="E786" s="260">
        <v>46302</v>
      </c>
      <c r="F786">
        <v>57</v>
      </c>
      <c r="G786" t="s">
        <v>866</v>
      </c>
    </row>
    <row r="787" spans="1:7">
      <c r="A787" t="s">
        <v>2415</v>
      </c>
      <c r="B787" t="s">
        <v>2416</v>
      </c>
      <c r="C787">
        <v>25</v>
      </c>
      <c r="D787" s="260">
        <v>46199</v>
      </c>
      <c r="E787" s="260">
        <v>46238</v>
      </c>
      <c r="F787">
        <v>52</v>
      </c>
      <c r="G787" t="s">
        <v>866</v>
      </c>
    </row>
    <row r="788" spans="1:7">
      <c r="A788" t="s">
        <v>2417</v>
      </c>
      <c r="B788" t="s">
        <v>2418</v>
      </c>
      <c r="C788">
        <v>15</v>
      </c>
      <c r="D788" s="260">
        <v>46254</v>
      </c>
      <c r="E788" s="260">
        <v>46274</v>
      </c>
      <c r="F788">
        <v>52</v>
      </c>
      <c r="G788" t="s">
        <v>866</v>
      </c>
    </row>
    <row r="789" spans="1:7">
      <c r="A789" t="s">
        <v>2419</v>
      </c>
      <c r="B789" t="s">
        <v>2420</v>
      </c>
      <c r="C789">
        <v>15</v>
      </c>
      <c r="D789" s="260">
        <v>46289</v>
      </c>
      <c r="E789" s="260">
        <v>46310</v>
      </c>
      <c r="F789">
        <v>52</v>
      </c>
      <c r="G789" t="s">
        <v>866</v>
      </c>
    </row>
    <row r="790" spans="1:7">
      <c r="A790" t="s">
        <v>2421</v>
      </c>
      <c r="B790" t="s">
        <v>2422</v>
      </c>
      <c r="C790">
        <v>25</v>
      </c>
      <c r="D790" s="260">
        <v>46199</v>
      </c>
      <c r="E790" s="260">
        <v>46238</v>
      </c>
      <c r="F790">
        <v>52</v>
      </c>
      <c r="G790" t="s">
        <v>866</v>
      </c>
    </row>
    <row r="791" spans="1:7">
      <c r="A791" t="s">
        <v>2423</v>
      </c>
      <c r="B791" t="s">
        <v>2424</v>
      </c>
      <c r="C791">
        <v>15</v>
      </c>
      <c r="D791" s="260">
        <v>46254</v>
      </c>
      <c r="E791" s="260">
        <v>46274</v>
      </c>
      <c r="F791">
        <v>52</v>
      </c>
      <c r="G791" t="s">
        <v>866</v>
      </c>
    </row>
    <row r="792" spans="1:7">
      <c r="A792" t="s">
        <v>2425</v>
      </c>
      <c r="B792" t="s">
        <v>668</v>
      </c>
      <c r="C792">
        <v>15</v>
      </c>
      <c r="D792" s="260">
        <v>46289</v>
      </c>
      <c r="E792" s="260">
        <v>46310</v>
      </c>
      <c r="F792">
        <v>52</v>
      </c>
      <c r="G792" t="s">
        <v>866</v>
      </c>
    </row>
    <row r="793" spans="1:7">
      <c r="A793" t="s">
        <v>2426</v>
      </c>
      <c r="B793" t="s">
        <v>2427</v>
      </c>
      <c r="C793">
        <v>25</v>
      </c>
      <c r="D793" s="260">
        <v>46199</v>
      </c>
      <c r="E793" s="260">
        <v>46238</v>
      </c>
      <c r="F793">
        <v>52</v>
      </c>
      <c r="G793" t="s">
        <v>866</v>
      </c>
    </row>
    <row r="794" spans="1:7">
      <c r="A794" t="s">
        <v>2428</v>
      </c>
      <c r="B794" t="s">
        <v>2429</v>
      </c>
      <c r="C794">
        <v>15</v>
      </c>
      <c r="D794" s="260">
        <v>46254</v>
      </c>
      <c r="E794" s="260">
        <v>46274</v>
      </c>
      <c r="F794">
        <v>52</v>
      </c>
      <c r="G794" t="s">
        <v>866</v>
      </c>
    </row>
    <row r="795" spans="1:7">
      <c r="A795" t="s">
        <v>2430</v>
      </c>
      <c r="B795" t="s">
        <v>2431</v>
      </c>
      <c r="C795">
        <v>15</v>
      </c>
      <c r="D795" s="260">
        <v>46289</v>
      </c>
      <c r="E795" s="260">
        <v>46310</v>
      </c>
      <c r="F795">
        <v>52</v>
      </c>
      <c r="G795" t="s">
        <v>866</v>
      </c>
    </row>
    <row r="796" spans="1:7">
      <c r="A796" t="s">
        <v>2432</v>
      </c>
      <c r="B796" t="s">
        <v>2433</v>
      </c>
      <c r="C796">
        <v>25</v>
      </c>
      <c r="D796" s="260">
        <v>46199</v>
      </c>
      <c r="E796" s="260">
        <v>46238</v>
      </c>
      <c r="F796">
        <v>52</v>
      </c>
      <c r="G796" t="s">
        <v>866</v>
      </c>
    </row>
    <row r="797" spans="1:7">
      <c r="A797" t="s">
        <v>2434</v>
      </c>
      <c r="B797" t="s">
        <v>2435</v>
      </c>
      <c r="C797">
        <v>15</v>
      </c>
      <c r="D797" s="260">
        <v>46254</v>
      </c>
      <c r="E797" s="260">
        <v>46274</v>
      </c>
      <c r="F797">
        <v>52</v>
      </c>
      <c r="G797" t="s">
        <v>866</v>
      </c>
    </row>
    <row r="798" spans="1:7">
      <c r="A798" t="s">
        <v>2436</v>
      </c>
      <c r="B798" t="s">
        <v>2437</v>
      </c>
      <c r="C798">
        <v>15</v>
      </c>
      <c r="D798" s="260">
        <v>46289</v>
      </c>
      <c r="E798" s="260">
        <v>46310</v>
      </c>
      <c r="F798">
        <v>52</v>
      </c>
      <c r="G798" t="s">
        <v>866</v>
      </c>
    </row>
    <row r="799" spans="1:7">
      <c r="A799" t="s">
        <v>2438</v>
      </c>
      <c r="B799" t="s">
        <v>2439</v>
      </c>
      <c r="C799">
        <v>20</v>
      </c>
      <c r="D799" s="260">
        <v>46140</v>
      </c>
      <c r="E799" s="260">
        <v>46168</v>
      </c>
      <c r="F799">
        <v>0</v>
      </c>
      <c r="G799" t="s">
        <v>866</v>
      </c>
    </row>
    <row r="800" spans="1:7">
      <c r="A800" t="s">
        <v>2440</v>
      </c>
      <c r="B800" t="s">
        <v>2441</v>
      </c>
      <c r="C800">
        <v>10</v>
      </c>
      <c r="D800" s="260">
        <v>46185</v>
      </c>
      <c r="E800" s="260">
        <v>46198</v>
      </c>
      <c r="F800">
        <v>112</v>
      </c>
      <c r="G800" t="s">
        <v>866</v>
      </c>
    </row>
    <row r="801" spans="1:7">
      <c r="A801" t="s">
        <v>2442</v>
      </c>
      <c r="B801" t="s">
        <v>2443</v>
      </c>
      <c r="C801">
        <v>5</v>
      </c>
      <c r="D801" s="260">
        <v>46213</v>
      </c>
      <c r="E801" s="260">
        <v>46219</v>
      </c>
      <c r="F801">
        <v>112</v>
      </c>
      <c r="G801" t="s">
        <v>866</v>
      </c>
    </row>
    <row r="802" spans="1:7">
      <c r="A802" t="s">
        <v>2444</v>
      </c>
      <c r="B802" t="s">
        <v>2445</v>
      </c>
      <c r="C802">
        <v>25</v>
      </c>
      <c r="D802" s="260">
        <v>46239</v>
      </c>
      <c r="E802" s="260">
        <v>46274</v>
      </c>
      <c r="F802">
        <v>27</v>
      </c>
      <c r="G802" t="s">
        <v>866</v>
      </c>
    </row>
    <row r="803" spans="1:7">
      <c r="A803" t="s">
        <v>2446</v>
      </c>
      <c r="B803" t="s">
        <v>2447</v>
      </c>
      <c r="C803">
        <v>15</v>
      </c>
      <c r="D803" s="260">
        <v>46289</v>
      </c>
      <c r="E803" s="260">
        <v>46310</v>
      </c>
      <c r="F803">
        <v>27</v>
      </c>
      <c r="G803" t="s">
        <v>866</v>
      </c>
    </row>
    <row r="804" spans="1:7">
      <c r="A804" t="s">
        <v>2448</v>
      </c>
      <c r="B804" t="s">
        <v>2449</v>
      </c>
      <c r="C804">
        <v>15</v>
      </c>
      <c r="D804" s="260">
        <v>46328</v>
      </c>
      <c r="E804" s="260">
        <v>46346</v>
      </c>
      <c r="F804">
        <v>27</v>
      </c>
      <c r="G804" t="s">
        <v>866</v>
      </c>
    </row>
    <row r="805" spans="1:7">
      <c r="A805" t="s">
        <v>2450</v>
      </c>
      <c r="B805" t="s">
        <v>2451</v>
      </c>
      <c r="C805">
        <v>25</v>
      </c>
      <c r="D805" s="260">
        <v>46170</v>
      </c>
      <c r="E805" s="260">
        <v>46206</v>
      </c>
      <c r="F805">
        <v>71</v>
      </c>
      <c r="G805" t="s">
        <v>866</v>
      </c>
    </row>
    <row r="806" spans="1:7">
      <c r="A806" t="s">
        <v>2452</v>
      </c>
      <c r="B806" t="s">
        <v>2453</v>
      </c>
      <c r="C806">
        <v>15</v>
      </c>
      <c r="D806" s="260">
        <v>46223</v>
      </c>
      <c r="E806" s="260">
        <v>46247</v>
      </c>
      <c r="F806">
        <v>71</v>
      </c>
      <c r="G806" t="s">
        <v>866</v>
      </c>
    </row>
    <row r="807" spans="1:7">
      <c r="A807" t="s">
        <v>2454</v>
      </c>
      <c r="B807" t="s">
        <v>2455</v>
      </c>
      <c r="C807">
        <v>15</v>
      </c>
      <c r="D807" s="260">
        <v>46262</v>
      </c>
      <c r="E807" s="260">
        <v>46282</v>
      </c>
      <c r="F807">
        <v>71</v>
      </c>
      <c r="G807" t="s">
        <v>866</v>
      </c>
    </row>
    <row r="808" spans="1:7">
      <c r="A808" t="s">
        <v>2456</v>
      </c>
      <c r="B808" t="s">
        <v>2457</v>
      </c>
      <c r="C808">
        <v>25</v>
      </c>
      <c r="D808" s="260">
        <v>46170</v>
      </c>
      <c r="E808" s="260">
        <v>46206</v>
      </c>
      <c r="F808">
        <v>71</v>
      </c>
      <c r="G808" t="s">
        <v>866</v>
      </c>
    </row>
    <row r="809" spans="1:7">
      <c r="A809" t="s">
        <v>2458</v>
      </c>
      <c r="B809" t="s">
        <v>2459</v>
      </c>
      <c r="C809">
        <v>15</v>
      </c>
      <c r="D809" s="260">
        <v>46223</v>
      </c>
      <c r="E809" s="260">
        <v>46247</v>
      </c>
      <c r="F809">
        <v>71</v>
      </c>
      <c r="G809" t="s">
        <v>866</v>
      </c>
    </row>
    <row r="810" spans="1:7">
      <c r="A810" t="s">
        <v>2460</v>
      </c>
      <c r="B810" t="s">
        <v>2461</v>
      </c>
      <c r="C810">
        <v>15</v>
      </c>
      <c r="D810" s="260">
        <v>46262</v>
      </c>
      <c r="E810" s="260">
        <v>46282</v>
      </c>
      <c r="F810">
        <v>71</v>
      </c>
      <c r="G810" t="s">
        <v>866</v>
      </c>
    </row>
    <row r="811" spans="1:7">
      <c r="A811" t="s">
        <v>2462</v>
      </c>
      <c r="B811" t="s">
        <v>2463</v>
      </c>
      <c r="C811">
        <v>25</v>
      </c>
      <c r="D811" s="260">
        <v>46170</v>
      </c>
      <c r="E811" s="260">
        <v>46206</v>
      </c>
      <c r="F811">
        <v>71</v>
      </c>
      <c r="G811" t="s">
        <v>866</v>
      </c>
    </row>
    <row r="812" spans="1:7">
      <c r="A812" t="s">
        <v>2464</v>
      </c>
      <c r="B812" t="s">
        <v>2465</v>
      </c>
      <c r="C812">
        <v>15</v>
      </c>
      <c r="D812" s="260">
        <v>46223</v>
      </c>
      <c r="E812" s="260">
        <v>46247</v>
      </c>
      <c r="F812">
        <v>71</v>
      </c>
      <c r="G812" t="s">
        <v>866</v>
      </c>
    </row>
    <row r="813" spans="1:7">
      <c r="A813" t="s">
        <v>2466</v>
      </c>
      <c r="B813" t="s">
        <v>2467</v>
      </c>
      <c r="C813">
        <v>15</v>
      </c>
      <c r="D813" s="260">
        <v>46262</v>
      </c>
      <c r="E813" s="260">
        <v>46282</v>
      </c>
      <c r="F813">
        <v>71</v>
      </c>
      <c r="G813" t="s">
        <v>866</v>
      </c>
    </row>
    <row r="814" spans="1:7">
      <c r="A814" t="s">
        <v>2468</v>
      </c>
      <c r="B814" t="s">
        <v>2469</v>
      </c>
      <c r="C814">
        <v>25</v>
      </c>
      <c r="D814" s="260">
        <v>46209</v>
      </c>
      <c r="E814" s="260">
        <v>46247</v>
      </c>
      <c r="F814">
        <v>46</v>
      </c>
      <c r="G814" t="s">
        <v>866</v>
      </c>
    </row>
    <row r="815" spans="1:7">
      <c r="A815" t="s">
        <v>2470</v>
      </c>
      <c r="B815" t="s">
        <v>2471</v>
      </c>
      <c r="C815">
        <v>15</v>
      </c>
      <c r="D815" s="260">
        <v>46262</v>
      </c>
      <c r="E815" s="260">
        <v>46282</v>
      </c>
      <c r="F815">
        <v>46</v>
      </c>
      <c r="G815" t="s">
        <v>866</v>
      </c>
    </row>
    <row r="816" spans="1:7">
      <c r="A816" t="s">
        <v>2472</v>
      </c>
      <c r="B816" t="s">
        <v>2473</v>
      </c>
      <c r="C816">
        <v>15</v>
      </c>
      <c r="D816" s="260">
        <v>46297</v>
      </c>
      <c r="E816" s="260">
        <v>46321</v>
      </c>
      <c r="F816">
        <v>46</v>
      </c>
      <c r="G816" t="s">
        <v>866</v>
      </c>
    </row>
    <row r="817" spans="1:7">
      <c r="A817" t="s">
        <v>2474</v>
      </c>
      <c r="B817" t="s">
        <v>2475</v>
      </c>
      <c r="C817">
        <v>25</v>
      </c>
      <c r="D817" s="260">
        <v>46209</v>
      </c>
      <c r="E817" s="260">
        <v>46247</v>
      </c>
      <c r="F817">
        <v>46</v>
      </c>
      <c r="G817" t="s">
        <v>866</v>
      </c>
    </row>
    <row r="818" spans="1:7">
      <c r="A818" t="s">
        <v>2476</v>
      </c>
      <c r="B818" t="s">
        <v>2477</v>
      </c>
      <c r="C818">
        <v>15</v>
      </c>
      <c r="D818" s="260">
        <v>46262</v>
      </c>
      <c r="E818" s="260">
        <v>46282</v>
      </c>
      <c r="F818">
        <v>46</v>
      </c>
      <c r="G818" t="s">
        <v>866</v>
      </c>
    </row>
    <row r="819" spans="1:7">
      <c r="A819" t="s">
        <v>2478</v>
      </c>
      <c r="B819" t="s">
        <v>2479</v>
      </c>
      <c r="C819">
        <v>15</v>
      </c>
      <c r="D819" s="260">
        <v>46297</v>
      </c>
      <c r="E819" s="260">
        <v>46321</v>
      </c>
      <c r="F819">
        <v>46</v>
      </c>
      <c r="G819" t="s">
        <v>866</v>
      </c>
    </row>
    <row r="820" spans="1:7">
      <c r="A820" t="s">
        <v>2480</v>
      </c>
      <c r="B820" t="s">
        <v>2481</v>
      </c>
      <c r="C820">
        <v>25</v>
      </c>
      <c r="D820" s="260">
        <v>46209</v>
      </c>
      <c r="E820" s="260">
        <v>46247</v>
      </c>
      <c r="F820">
        <v>46</v>
      </c>
      <c r="G820" t="s">
        <v>866</v>
      </c>
    </row>
    <row r="821" spans="1:7">
      <c r="A821" t="s">
        <v>2482</v>
      </c>
      <c r="B821" t="s">
        <v>2483</v>
      </c>
      <c r="C821">
        <v>15</v>
      </c>
      <c r="D821" s="260">
        <v>46262</v>
      </c>
      <c r="E821" s="260">
        <v>46282</v>
      </c>
      <c r="F821">
        <v>46</v>
      </c>
      <c r="G821" t="s">
        <v>866</v>
      </c>
    </row>
    <row r="822" spans="1:7">
      <c r="A822" t="s">
        <v>2484</v>
      </c>
      <c r="B822" t="s">
        <v>2485</v>
      </c>
      <c r="C822">
        <v>15</v>
      </c>
      <c r="D822" s="260">
        <v>46297</v>
      </c>
      <c r="E822" s="260">
        <v>46321</v>
      </c>
      <c r="F822">
        <v>46</v>
      </c>
      <c r="G822" t="s">
        <v>866</v>
      </c>
    </row>
    <row r="823" spans="1:7">
      <c r="A823" t="s">
        <v>2486</v>
      </c>
      <c r="B823" t="s">
        <v>2487</v>
      </c>
      <c r="C823">
        <v>25</v>
      </c>
      <c r="D823" s="260">
        <v>46209</v>
      </c>
      <c r="E823" s="260">
        <v>46247</v>
      </c>
      <c r="F823">
        <v>46</v>
      </c>
      <c r="G823" t="s">
        <v>866</v>
      </c>
    </row>
    <row r="824" spans="1:7">
      <c r="A824" t="s">
        <v>2488</v>
      </c>
      <c r="B824" t="s">
        <v>2489</v>
      </c>
      <c r="C824">
        <v>15</v>
      </c>
      <c r="D824" s="260">
        <v>46262</v>
      </c>
      <c r="E824" s="260">
        <v>46282</v>
      </c>
      <c r="F824">
        <v>46</v>
      </c>
      <c r="G824" t="s">
        <v>866</v>
      </c>
    </row>
    <row r="825" spans="1:7">
      <c r="A825" t="s">
        <v>2490</v>
      </c>
      <c r="B825" t="s">
        <v>2491</v>
      </c>
      <c r="C825">
        <v>15</v>
      </c>
      <c r="D825" s="260">
        <v>46297</v>
      </c>
      <c r="E825" s="260">
        <v>46321</v>
      </c>
      <c r="F825">
        <v>46</v>
      </c>
      <c r="G825" t="s">
        <v>866</v>
      </c>
    </row>
    <row r="826" spans="1:7">
      <c r="A826" t="s">
        <v>2492</v>
      </c>
      <c r="B826" t="s">
        <v>2493</v>
      </c>
      <c r="C826">
        <v>25</v>
      </c>
      <c r="D826" s="260">
        <v>46209</v>
      </c>
      <c r="E826" s="260">
        <v>46247</v>
      </c>
      <c r="F826">
        <v>46</v>
      </c>
      <c r="G826" t="s">
        <v>866</v>
      </c>
    </row>
    <row r="827" spans="1:7">
      <c r="A827" t="s">
        <v>2494</v>
      </c>
      <c r="B827" t="s">
        <v>2495</v>
      </c>
      <c r="C827">
        <v>15</v>
      </c>
      <c r="D827" s="260">
        <v>46262</v>
      </c>
      <c r="E827" s="260">
        <v>46282</v>
      </c>
      <c r="F827">
        <v>46</v>
      </c>
      <c r="G827" t="s">
        <v>866</v>
      </c>
    </row>
    <row r="828" spans="1:7">
      <c r="A828" t="s">
        <v>2496</v>
      </c>
      <c r="B828" t="s">
        <v>2497</v>
      </c>
      <c r="C828">
        <v>15</v>
      </c>
      <c r="D828" s="260">
        <v>46297</v>
      </c>
      <c r="E828" s="260">
        <v>46321</v>
      </c>
      <c r="F828">
        <v>46</v>
      </c>
      <c r="G828" t="s">
        <v>866</v>
      </c>
    </row>
    <row r="829" spans="1:7">
      <c r="A829" t="s">
        <v>2498</v>
      </c>
      <c r="B829" t="s">
        <v>2499</v>
      </c>
      <c r="C829">
        <v>25</v>
      </c>
      <c r="D829" s="260">
        <v>46209</v>
      </c>
      <c r="E829" s="260">
        <v>46247</v>
      </c>
      <c r="F829">
        <v>46</v>
      </c>
      <c r="G829" t="s">
        <v>866</v>
      </c>
    </row>
    <row r="830" spans="1:7">
      <c r="A830" t="s">
        <v>2500</v>
      </c>
      <c r="B830" t="s">
        <v>2501</v>
      </c>
      <c r="C830">
        <v>15</v>
      </c>
      <c r="D830" s="260">
        <v>46262</v>
      </c>
      <c r="E830" s="260">
        <v>46282</v>
      </c>
      <c r="F830">
        <v>46</v>
      </c>
      <c r="G830" t="s">
        <v>866</v>
      </c>
    </row>
    <row r="831" spans="1:7">
      <c r="A831" t="s">
        <v>2502</v>
      </c>
      <c r="B831" t="s">
        <v>2503</v>
      </c>
      <c r="C831">
        <v>15</v>
      </c>
      <c r="D831" s="260">
        <v>46297</v>
      </c>
      <c r="E831" s="260">
        <v>46321</v>
      </c>
      <c r="F831">
        <v>46</v>
      </c>
      <c r="G831" t="s">
        <v>866</v>
      </c>
    </row>
    <row r="832" spans="1:7">
      <c r="A832" t="s">
        <v>2504</v>
      </c>
      <c r="B832" t="s">
        <v>2505</v>
      </c>
      <c r="C832">
        <v>25</v>
      </c>
      <c r="D832" s="260">
        <v>46209</v>
      </c>
      <c r="E832" s="260">
        <v>46247</v>
      </c>
      <c r="F832">
        <v>46</v>
      </c>
      <c r="G832" t="s">
        <v>866</v>
      </c>
    </row>
    <row r="833" spans="1:7">
      <c r="A833" t="s">
        <v>2506</v>
      </c>
      <c r="B833" t="s">
        <v>2507</v>
      </c>
      <c r="C833">
        <v>15</v>
      </c>
      <c r="D833" s="260">
        <v>46262</v>
      </c>
      <c r="E833" s="260">
        <v>46282</v>
      </c>
      <c r="F833">
        <v>46</v>
      </c>
      <c r="G833" t="s">
        <v>866</v>
      </c>
    </row>
    <row r="834" spans="1:7">
      <c r="A834" t="s">
        <v>2508</v>
      </c>
      <c r="B834" t="s">
        <v>2509</v>
      </c>
      <c r="C834">
        <v>15</v>
      </c>
      <c r="D834" s="260">
        <v>46297</v>
      </c>
      <c r="E834" s="260">
        <v>46321</v>
      </c>
      <c r="F834">
        <v>46</v>
      </c>
      <c r="G834" t="s">
        <v>866</v>
      </c>
    </row>
    <row r="835" spans="1:7">
      <c r="A835" t="s">
        <v>2510</v>
      </c>
      <c r="B835" t="s">
        <v>2511</v>
      </c>
      <c r="C835">
        <v>25</v>
      </c>
      <c r="D835" s="260">
        <v>46085</v>
      </c>
      <c r="E835" s="260">
        <v>46120</v>
      </c>
      <c r="F835">
        <v>127</v>
      </c>
      <c r="G835" t="s">
        <v>866</v>
      </c>
    </row>
    <row r="836" spans="1:7">
      <c r="A836" t="s">
        <v>2512</v>
      </c>
      <c r="B836" t="s">
        <v>2513</v>
      </c>
      <c r="C836">
        <v>15</v>
      </c>
      <c r="D836" s="260">
        <v>46140</v>
      </c>
      <c r="E836" s="260">
        <v>46161</v>
      </c>
      <c r="F836">
        <v>127</v>
      </c>
      <c r="G836" t="s">
        <v>866</v>
      </c>
    </row>
    <row r="837" spans="1:7">
      <c r="A837" t="s">
        <v>2514</v>
      </c>
      <c r="B837" t="s">
        <v>2515</v>
      </c>
      <c r="C837">
        <v>15</v>
      </c>
      <c r="D837" s="260">
        <v>46178</v>
      </c>
      <c r="E837" s="260">
        <v>46198</v>
      </c>
      <c r="F837">
        <v>127</v>
      </c>
      <c r="G837" t="s">
        <v>866</v>
      </c>
    </row>
    <row r="838" spans="1:7">
      <c r="A838" t="s">
        <v>2516</v>
      </c>
      <c r="B838" t="s">
        <v>2517</v>
      </c>
      <c r="C838">
        <v>25</v>
      </c>
      <c r="D838" s="260">
        <v>46085</v>
      </c>
      <c r="E838" s="260">
        <v>46120</v>
      </c>
      <c r="F838">
        <v>127</v>
      </c>
      <c r="G838" t="s">
        <v>866</v>
      </c>
    </row>
    <row r="839" spans="1:7">
      <c r="A839" t="s">
        <v>2518</v>
      </c>
      <c r="B839" t="s">
        <v>2519</v>
      </c>
      <c r="C839">
        <v>15</v>
      </c>
      <c r="D839" s="260">
        <v>46140</v>
      </c>
      <c r="E839" s="260">
        <v>46161</v>
      </c>
      <c r="F839">
        <v>127</v>
      </c>
      <c r="G839" t="s">
        <v>866</v>
      </c>
    </row>
    <row r="840" spans="1:7">
      <c r="A840" t="s">
        <v>2520</v>
      </c>
      <c r="B840" t="s">
        <v>2521</v>
      </c>
      <c r="C840">
        <v>15</v>
      </c>
      <c r="D840" s="260">
        <v>46178</v>
      </c>
      <c r="E840" s="260">
        <v>46198</v>
      </c>
      <c r="F840">
        <v>127</v>
      </c>
      <c r="G840" t="s">
        <v>866</v>
      </c>
    </row>
    <row r="841" spans="1:7">
      <c r="A841" t="s">
        <v>2522</v>
      </c>
      <c r="B841" t="s">
        <v>2523</v>
      </c>
      <c r="C841">
        <v>25</v>
      </c>
      <c r="D841" s="260">
        <v>46085</v>
      </c>
      <c r="E841" s="260">
        <v>46120</v>
      </c>
      <c r="F841">
        <v>127</v>
      </c>
      <c r="G841" t="s">
        <v>866</v>
      </c>
    </row>
    <row r="842" spans="1:7">
      <c r="A842" t="s">
        <v>2524</v>
      </c>
      <c r="B842" t="s">
        <v>2525</v>
      </c>
      <c r="C842">
        <v>15</v>
      </c>
      <c r="D842" s="260">
        <v>46140</v>
      </c>
      <c r="E842" s="260">
        <v>46161</v>
      </c>
      <c r="F842">
        <v>127</v>
      </c>
      <c r="G842" t="s">
        <v>866</v>
      </c>
    </row>
    <row r="843" spans="1:7">
      <c r="A843" t="s">
        <v>2526</v>
      </c>
      <c r="B843" t="s">
        <v>2527</v>
      </c>
      <c r="C843">
        <v>15</v>
      </c>
      <c r="D843" s="260">
        <v>46178</v>
      </c>
      <c r="E843" s="260">
        <v>46198</v>
      </c>
      <c r="F843">
        <v>127</v>
      </c>
      <c r="G843" t="s">
        <v>866</v>
      </c>
    </row>
    <row r="844" spans="1:7">
      <c r="A844" t="s">
        <v>2528</v>
      </c>
      <c r="B844" t="s">
        <v>2529</v>
      </c>
      <c r="C844">
        <v>25</v>
      </c>
      <c r="D844" s="260">
        <v>46085</v>
      </c>
      <c r="E844" s="260">
        <v>46120</v>
      </c>
      <c r="F844">
        <v>127</v>
      </c>
      <c r="G844" t="s">
        <v>866</v>
      </c>
    </row>
    <row r="845" spans="1:7">
      <c r="A845" t="s">
        <v>2530</v>
      </c>
      <c r="B845" t="s">
        <v>2531</v>
      </c>
      <c r="C845">
        <v>15</v>
      </c>
      <c r="D845" s="260">
        <v>46140</v>
      </c>
      <c r="E845" s="260">
        <v>46161</v>
      </c>
      <c r="F845">
        <v>127</v>
      </c>
      <c r="G845" t="s">
        <v>866</v>
      </c>
    </row>
    <row r="846" spans="1:7">
      <c r="A846" t="s">
        <v>2532</v>
      </c>
      <c r="B846" t="s">
        <v>2533</v>
      </c>
      <c r="C846">
        <v>15</v>
      </c>
      <c r="D846" s="260">
        <v>46178</v>
      </c>
      <c r="E846" s="260">
        <v>46198</v>
      </c>
      <c r="F846">
        <v>127</v>
      </c>
      <c r="G846" t="s">
        <v>866</v>
      </c>
    </row>
    <row r="847" spans="1:7">
      <c r="A847" t="s">
        <v>2534</v>
      </c>
      <c r="B847" t="s">
        <v>2535</v>
      </c>
      <c r="C847">
        <v>25</v>
      </c>
      <c r="D847" s="260">
        <v>46085</v>
      </c>
      <c r="E847" s="260">
        <v>46120</v>
      </c>
      <c r="F847">
        <v>127</v>
      </c>
      <c r="G847" t="s">
        <v>866</v>
      </c>
    </row>
    <row r="848" spans="1:7">
      <c r="A848" t="s">
        <v>2536</v>
      </c>
      <c r="B848" t="s">
        <v>2537</v>
      </c>
      <c r="C848">
        <v>15</v>
      </c>
      <c r="D848" s="260">
        <v>46140</v>
      </c>
      <c r="E848" s="260">
        <v>46161</v>
      </c>
      <c r="F848">
        <v>127</v>
      </c>
      <c r="G848" t="s">
        <v>866</v>
      </c>
    </row>
    <row r="849" spans="1:7">
      <c r="A849" t="s">
        <v>2538</v>
      </c>
      <c r="B849" t="s">
        <v>2539</v>
      </c>
      <c r="C849">
        <v>15</v>
      </c>
      <c r="D849" s="260">
        <v>46178</v>
      </c>
      <c r="E849" s="260">
        <v>46198</v>
      </c>
      <c r="F849">
        <v>127</v>
      </c>
      <c r="G849" t="s">
        <v>866</v>
      </c>
    </row>
    <row r="850" spans="1:7">
      <c r="A850" t="s">
        <v>2540</v>
      </c>
      <c r="B850" t="s">
        <v>2541</v>
      </c>
      <c r="C850">
        <v>25</v>
      </c>
      <c r="D850" s="260">
        <v>46085</v>
      </c>
      <c r="E850" s="260">
        <v>46120</v>
      </c>
      <c r="F850">
        <v>127</v>
      </c>
      <c r="G850" t="s">
        <v>866</v>
      </c>
    </row>
    <row r="851" spans="1:7">
      <c r="A851" t="s">
        <v>2542</v>
      </c>
      <c r="B851" t="s">
        <v>2543</v>
      </c>
      <c r="C851">
        <v>15</v>
      </c>
      <c r="D851" s="260">
        <v>46140</v>
      </c>
      <c r="E851" s="260">
        <v>46161</v>
      </c>
      <c r="F851">
        <v>127</v>
      </c>
      <c r="G851" t="s">
        <v>866</v>
      </c>
    </row>
    <row r="852" spans="1:7">
      <c r="A852" t="s">
        <v>2544</v>
      </c>
      <c r="B852" t="s">
        <v>2545</v>
      </c>
      <c r="C852">
        <v>15</v>
      </c>
      <c r="D852" s="260">
        <v>46178</v>
      </c>
      <c r="E852" s="260">
        <v>46198</v>
      </c>
      <c r="F852">
        <v>127</v>
      </c>
      <c r="G852" t="s">
        <v>866</v>
      </c>
    </row>
    <row r="853" spans="1:7">
      <c r="A853" t="s">
        <v>2546</v>
      </c>
      <c r="B853" t="s">
        <v>2547</v>
      </c>
      <c r="C853">
        <v>25</v>
      </c>
      <c r="D853" s="260">
        <v>46085</v>
      </c>
      <c r="E853" s="260">
        <v>46120</v>
      </c>
      <c r="F853">
        <v>127</v>
      </c>
      <c r="G853" t="s">
        <v>866</v>
      </c>
    </row>
    <row r="854" spans="1:7">
      <c r="A854" t="s">
        <v>2548</v>
      </c>
      <c r="B854" t="s">
        <v>2549</v>
      </c>
      <c r="C854">
        <v>15</v>
      </c>
      <c r="D854" s="260">
        <v>46140</v>
      </c>
      <c r="E854" s="260">
        <v>46161</v>
      </c>
      <c r="F854">
        <v>127</v>
      </c>
      <c r="G854" t="s">
        <v>866</v>
      </c>
    </row>
    <row r="855" spans="1:7">
      <c r="A855" t="s">
        <v>2550</v>
      </c>
      <c r="B855" t="s">
        <v>2551</v>
      </c>
      <c r="C855">
        <v>15</v>
      </c>
      <c r="D855" s="260">
        <v>46178</v>
      </c>
      <c r="E855" s="260">
        <v>46198</v>
      </c>
      <c r="F855">
        <v>127</v>
      </c>
      <c r="G855" t="s">
        <v>866</v>
      </c>
    </row>
    <row r="856" spans="1:7">
      <c r="A856" t="s">
        <v>2552</v>
      </c>
      <c r="B856" t="s">
        <v>2553</v>
      </c>
      <c r="C856">
        <v>25</v>
      </c>
      <c r="D856" s="260">
        <v>46085</v>
      </c>
      <c r="E856" s="260">
        <v>46120</v>
      </c>
      <c r="F856">
        <v>127</v>
      </c>
      <c r="G856" t="s">
        <v>866</v>
      </c>
    </row>
    <row r="857" spans="1:7">
      <c r="A857" t="s">
        <v>2554</v>
      </c>
      <c r="B857" t="s">
        <v>2555</v>
      </c>
      <c r="C857">
        <v>15</v>
      </c>
      <c r="D857" s="260">
        <v>46140</v>
      </c>
      <c r="E857" s="260">
        <v>46161</v>
      </c>
      <c r="F857">
        <v>127</v>
      </c>
      <c r="G857" t="s">
        <v>866</v>
      </c>
    </row>
    <row r="858" spans="1:7">
      <c r="A858" t="s">
        <v>2556</v>
      </c>
      <c r="B858" t="s">
        <v>2557</v>
      </c>
      <c r="C858">
        <v>15</v>
      </c>
      <c r="D858" s="260">
        <v>46178</v>
      </c>
      <c r="E858" s="260">
        <v>46198</v>
      </c>
      <c r="F858">
        <v>127</v>
      </c>
      <c r="G858" t="s">
        <v>866</v>
      </c>
    </row>
    <row r="859" spans="1:7">
      <c r="A859" t="s">
        <v>2558</v>
      </c>
      <c r="B859" t="s">
        <v>2559</v>
      </c>
      <c r="C859">
        <v>25</v>
      </c>
      <c r="D859" s="260">
        <v>46085</v>
      </c>
      <c r="E859" s="260">
        <v>46120</v>
      </c>
      <c r="F859">
        <v>127</v>
      </c>
      <c r="G859" t="s">
        <v>866</v>
      </c>
    </row>
    <row r="860" spans="1:7">
      <c r="A860" t="s">
        <v>2560</v>
      </c>
      <c r="B860" t="s">
        <v>2561</v>
      </c>
      <c r="C860">
        <v>15</v>
      </c>
      <c r="D860" s="260">
        <v>46140</v>
      </c>
      <c r="E860" s="260">
        <v>46161</v>
      </c>
      <c r="F860">
        <v>127</v>
      </c>
      <c r="G860" t="s">
        <v>866</v>
      </c>
    </row>
    <row r="861" spans="1:7">
      <c r="A861" t="s">
        <v>2562</v>
      </c>
      <c r="B861" t="s">
        <v>2563</v>
      </c>
      <c r="C861">
        <v>15</v>
      </c>
      <c r="D861" s="260">
        <v>46178</v>
      </c>
      <c r="E861" s="260">
        <v>46198</v>
      </c>
      <c r="F861">
        <v>127</v>
      </c>
      <c r="G861" t="s">
        <v>866</v>
      </c>
    </row>
    <row r="862" spans="1:7">
      <c r="A862" t="s">
        <v>2564</v>
      </c>
      <c r="B862" t="s">
        <v>2565</v>
      </c>
      <c r="C862">
        <v>25</v>
      </c>
      <c r="D862" s="260">
        <v>46085</v>
      </c>
      <c r="E862" s="260">
        <v>46120</v>
      </c>
      <c r="F862">
        <v>127</v>
      </c>
      <c r="G862" t="s">
        <v>866</v>
      </c>
    </row>
    <row r="863" spans="1:7">
      <c r="A863" t="s">
        <v>2566</v>
      </c>
      <c r="B863" t="s">
        <v>2567</v>
      </c>
      <c r="C863">
        <v>15</v>
      </c>
      <c r="D863" s="260">
        <v>46140</v>
      </c>
      <c r="E863" s="260">
        <v>46161</v>
      </c>
      <c r="F863">
        <v>127</v>
      </c>
      <c r="G863" t="s">
        <v>866</v>
      </c>
    </row>
    <row r="864" spans="1:7">
      <c r="A864" t="s">
        <v>2568</v>
      </c>
      <c r="B864" t="s">
        <v>2569</v>
      </c>
      <c r="C864">
        <v>15</v>
      </c>
      <c r="D864" s="260">
        <v>46178</v>
      </c>
      <c r="E864" s="260">
        <v>46198</v>
      </c>
      <c r="F864">
        <v>127</v>
      </c>
      <c r="G864" t="s">
        <v>866</v>
      </c>
    </row>
    <row r="865" spans="1:7">
      <c r="A865" t="s">
        <v>2570</v>
      </c>
      <c r="B865" t="s">
        <v>2571</v>
      </c>
      <c r="C865">
        <v>25</v>
      </c>
      <c r="D865" s="260">
        <v>46169</v>
      </c>
      <c r="E865" s="260">
        <v>46205</v>
      </c>
      <c r="F865">
        <v>72</v>
      </c>
      <c r="G865" t="s">
        <v>866</v>
      </c>
    </row>
    <row r="866" spans="1:7">
      <c r="A866" t="s">
        <v>2572</v>
      </c>
      <c r="B866" t="s">
        <v>2573</v>
      </c>
      <c r="C866">
        <v>15</v>
      </c>
      <c r="D866" s="260">
        <v>46220</v>
      </c>
      <c r="E866" s="260">
        <v>46245</v>
      </c>
      <c r="F866">
        <v>72</v>
      </c>
      <c r="G866" t="s">
        <v>866</v>
      </c>
    </row>
    <row r="867" spans="1:7">
      <c r="A867" t="s">
        <v>2574</v>
      </c>
      <c r="B867" t="s">
        <v>2575</v>
      </c>
      <c r="C867">
        <v>15</v>
      </c>
      <c r="D867" s="260">
        <v>46261</v>
      </c>
      <c r="E867" s="260">
        <v>46281</v>
      </c>
      <c r="F867">
        <v>72</v>
      </c>
      <c r="G867" t="s">
        <v>866</v>
      </c>
    </row>
    <row r="868" spans="1:7">
      <c r="A868" t="s">
        <v>2576</v>
      </c>
      <c r="B868" t="s">
        <v>2577</v>
      </c>
      <c r="C868">
        <v>25</v>
      </c>
      <c r="D868" s="260">
        <v>46169</v>
      </c>
      <c r="E868" s="260">
        <v>46205</v>
      </c>
      <c r="F868">
        <v>72</v>
      </c>
      <c r="G868" t="s">
        <v>866</v>
      </c>
    </row>
    <row r="869" spans="1:7">
      <c r="A869" t="s">
        <v>2578</v>
      </c>
      <c r="B869" t="s">
        <v>2579</v>
      </c>
      <c r="C869">
        <v>15</v>
      </c>
      <c r="D869" s="260">
        <v>46220</v>
      </c>
      <c r="E869" s="260">
        <v>46245</v>
      </c>
      <c r="F869">
        <v>72</v>
      </c>
      <c r="G869" t="s">
        <v>866</v>
      </c>
    </row>
    <row r="870" spans="1:7">
      <c r="A870" t="s">
        <v>2580</v>
      </c>
      <c r="B870" t="s">
        <v>2581</v>
      </c>
      <c r="C870">
        <v>15</v>
      </c>
      <c r="D870" s="260">
        <v>46261</v>
      </c>
      <c r="E870" s="260">
        <v>46281</v>
      </c>
      <c r="F870">
        <v>72</v>
      </c>
      <c r="G870" t="s">
        <v>866</v>
      </c>
    </row>
    <row r="871" spans="1:7">
      <c r="A871" t="s">
        <v>2582</v>
      </c>
      <c r="B871" t="s">
        <v>2583</v>
      </c>
      <c r="C871">
        <v>25</v>
      </c>
      <c r="D871" s="260">
        <v>46169</v>
      </c>
      <c r="E871" s="260">
        <v>46205</v>
      </c>
      <c r="F871">
        <v>72</v>
      </c>
      <c r="G871" t="s">
        <v>866</v>
      </c>
    </row>
    <row r="872" spans="1:7">
      <c r="A872" t="s">
        <v>2584</v>
      </c>
      <c r="B872" t="s">
        <v>2585</v>
      </c>
      <c r="C872">
        <v>15</v>
      </c>
      <c r="D872" s="260">
        <v>46220</v>
      </c>
      <c r="E872" s="260">
        <v>46245</v>
      </c>
      <c r="F872">
        <v>72</v>
      </c>
      <c r="G872" t="s">
        <v>866</v>
      </c>
    </row>
    <row r="873" spans="1:7">
      <c r="A873" t="s">
        <v>2586</v>
      </c>
      <c r="B873" t="s">
        <v>2587</v>
      </c>
      <c r="C873">
        <v>15</v>
      </c>
      <c r="D873" s="260">
        <v>46261</v>
      </c>
      <c r="E873" s="260">
        <v>46281</v>
      </c>
      <c r="F873">
        <v>72</v>
      </c>
      <c r="G873" t="s">
        <v>866</v>
      </c>
    </row>
    <row r="874" spans="1:7">
      <c r="A874" t="s">
        <v>2588</v>
      </c>
      <c r="B874" t="s">
        <v>2589</v>
      </c>
      <c r="C874">
        <v>25</v>
      </c>
      <c r="D874" s="260">
        <v>46169</v>
      </c>
      <c r="E874" s="260">
        <v>46205</v>
      </c>
      <c r="F874">
        <v>72</v>
      </c>
      <c r="G874" t="s">
        <v>866</v>
      </c>
    </row>
    <row r="875" spans="1:7">
      <c r="A875" t="s">
        <v>2590</v>
      </c>
      <c r="B875" t="s">
        <v>2591</v>
      </c>
      <c r="C875">
        <v>15</v>
      </c>
      <c r="D875" s="260">
        <v>46220</v>
      </c>
      <c r="E875" s="260">
        <v>46245</v>
      </c>
      <c r="F875">
        <v>72</v>
      </c>
      <c r="G875" t="s">
        <v>866</v>
      </c>
    </row>
    <row r="876" spans="1:7">
      <c r="A876" t="s">
        <v>2592</v>
      </c>
      <c r="B876" t="s">
        <v>2593</v>
      </c>
      <c r="C876">
        <v>15</v>
      </c>
      <c r="D876" s="260">
        <v>46261</v>
      </c>
      <c r="E876" s="260">
        <v>46281</v>
      </c>
      <c r="F876">
        <v>72</v>
      </c>
      <c r="G876" t="s">
        <v>866</v>
      </c>
    </row>
    <row r="877" spans="1:7">
      <c r="A877" t="s">
        <v>2594</v>
      </c>
      <c r="B877" t="s">
        <v>2595</v>
      </c>
      <c r="C877">
        <v>25</v>
      </c>
      <c r="D877" s="260">
        <v>46169</v>
      </c>
      <c r="E877" s="260">
        <v>46205</v>
      </c>
      <c r="F877">
        <v>72</v>
      </c>
      <c r="G877" t="s">
        <v>866</v>
      </c>
    </row>
    <row r="878" spans="1:7">
      <c r="A878" t="s">
        <v>2596</v>
      </c>
      <c r="B878" t="s">
        <v>2597</v>
      </c>
      <c r="C878">
        <v>15</v>
      </c>
      <c r="D878" s="260">
        <v>46220</v>
      </c>
      <c r="E878" s="260">
        <v>46245</v>
      </c>
      <c r="F878">
        <v>72</v>
      </c>
      <c r="G878" t="s">
        <v>866</v>
      </c>
    </row>
    <row r="879" spans="1:7">
      <c r="A879" t="s">
        <v>2598</v>
      </c>
      <c r="B879" t="s">
        <v>2599</v>
      </c>
      <c r="C879">
        <v>15</v>
      </c>
      <c r="D879" s="260">
        <v>46261</v>
      </c>
      <c r="E879" s="260">
        <v>46281</v>
      </c>
      <c r="F879">
        <v>72</v>
      </c>
      <c r="G879" t="s">
        <v>866</v>
      </c>
    </row>
    <row r="880" spans="1:7">
      <c r="A880" t="s">
        <v>2600</v>
      </c>
      <c r="B880" t="s">
        <v>2601</v>
      </c>
      <c r="C880">
        <v>25</v>
      </c>
      <c r="D880" s="260">
        <v>46169</v>
      </c>
      <c r="E880" s="260">
        <v>46205</v>
      </c>
      <c r="F880">
        <v>72</v>
      </c>
      <c r="G880" t="s">
        <v>866</v>
      </c>
    </row>
    <row r="881" spans="1:7">
      <c r="A881" t="s">
        <v>2602</v>
      </c>
      <c r="B881" t="s">
        <v>2603</v>
      </c>
      <c r="C881">
        <v>15</v>
      </c>
      <c r="D881" s="260">
        <v>46220</v>
      </c>
      <c r="E881" s="260">
        <v>46245</v>
      </c>
      <c r="F881">
        <v>72</v>
      </c>
      <c r="G881" t="s">
        <v>866</v>
      </c>
    </row>
    <row r="882" spans="1:7">
      <c r="A882" t="s">
        <v>2604</v>
      </c>
      <c r="B882" t="s">
        <v>2605</v>
      </c>
      <c r="C882">
        <v>15</v>
      </c>
      <c r="D882" s="260">
        <v>46261</v>
      </c>
      <c r="E882" s="260">
        <v>46281</v>
      </c>
      <c r="F882">
        <v>72</v>
      </c>
      <c r="G882" t="s">
        <v>866</v>
      </c>
    </row>
    <row r="883" spans="1:7">
      <c r="A883" t="s">
        <v>2606</v>
      </c>
      <c r="B883" t="s">
        <v>2607</v>
      </c>
      <c r="C883">
        <v>25</v>
      </c>
      <c r="D883" s="260">
        <v>46169</v>
      </c>
      <c r="E883" s="260">
        <v>46205</v>
      </c>
      <c r="F883">
        <v>72</v>
      </c>
      <c r="G883" t="s">
        <v>866</v>
      </c>
    </row>
    <row r="884" spans="1:7">
      <c r="A884" t="s">
        <v>2608</v>
      </c>
      <c r="B884" t="s">
        <v>2609</v>
      </c>
      <c r="C884">
        <v>15</v>
      </c>
      <c r="D884" s="260">
        <v>46220</v>
      </c>
      <c r="E884" s="260">
        <v>46245</v>
      </c>
      <c r="F884">
        <v>72</v>
      </c>
      <c r="G884" t="s">
        <v>866</v>
      </c>
    </row>
    <row r="885" spans="1:7">
      <c r="A885" t="s">
        <v>2610</v>
      </c>
      <c r="B885" t="s">
        <v>2611</v>
      </c>
      <c r="C885">
        <v>15</v>
      </c>
      <c r="D885" s="260">
        <v>46261</v>
      </c>
      <c r="E885" s="260">
        <v>46281</v>
      </c>
      <c r="F885">
        <v>72</v>
      </c>
      <c r="G885" t="s">
        <v>866</v>
      </c>
    </row>
    <row r="886" spans="1:7">
      <c r="A886" t="s">
        <v>2612</v>
      </c>
      <c r="B886" t="s">
        <v>2613</v>
      </c>
      <c r="C886">
        <v>25</v>
      </c>
      <c r="D886" s="260">
        <v>46169</v>
      </c>
      <c r="E886" s="260">
        <v>46205</v>
      </c>
      <c r="F886">
        <v>72</v>
      </c>
      <c r="G886" t="s">
        <v>866</v>
      </c>
    </row>
    <row r="887" spans="1:7">
      <c r="A887" t="s">
        <v>2614</v>
      </c>
      <c r="B887" t="s">
        <v>2615</v>
      </c>
      <c r="C887">
        <v>15</v>
      </c>
      <c r="D887" s="260">
        <v>46220</v>
      </c>
      <c r="E887" s="260">
        <v>46245</v>
      </c>
      <c r="F887">
        <v>72</v>
      </c>
      <c r="G887" t="s">
        <v>866</v>
      </c>
    </row>
    <row r="888" spans="1:7">
      <c r="A888" t="s">
        <v>2616</v>
      </c>
      <c r="B888" t="s">
        <v>2617</v>
      </c>
      <c r="C888">
        <v>15</v>
      </c>
      <c r="D888" s="260">
        <v>46261</v>
      </c>
      <c r="E888" s="260">
        <v>46281</v>
      </c>
      <c r="F888">
        <v>72</v>
      </c>
      <c r="G888" t="s">
        <v>866</v>
      </c>
    </row>
    <row r="889" spans="1:7">
      <c r="A889" t="s">
        <v>2618</v>
      </c>
      <c r="B889" t="s">
        <v>2619</v>
      </c>
      <c r="C889">
        <v>25</v>
      </c>
      <c r="D889" s="260">
        <v>46169</v>
      </c>
      <c r="E889" s="260">
        <v>46205</v>
      </c>
      <c r="F889">
        <v>72</v>
      </c>
      <c r="G889" t="s">
        <v>866</v>
      </c>
    </row>
    <row r="890" spans="1:7">
      <c r="A890" t="s">
        <v>2620</v>
      </c>
      <c r="B890" t="s">
        <v>2621</v>
      </c>
      <c r="C890">
        <v>15</v>
      </c>
      <c r="D890" s="260">
        <v>46220</v>
      </c>
      <c r="E890" s="260">
        <v>46245</v>
      </c>
      <c r="F890">
        <v>72</v>
      </c>
      <c r="G890" t="s">
        <v>866</v>
      </c>
    </row>
    <row r="891" spans="1:7">
      <c r="A891" t="s">
        <v>2622</v>
      </c>
      <c r="B891" t="s">
        <v>2623</v>
      </c>
      <c r="C891">
        <v>15</v>
      </c>
      <c r="D891" s="260">
        <v>46261</v>
      </c>
      <c r="E891" s="260">
        <v>46281</v>
      </c>
      <c r="F891">
        <v>72</v>
      </c>
      <c r="G891" t="s">
        <v>866</v>
      </c>
    </row>
    <row r="892" spans="1:7">
      <c r="A892" t="s">
        <v>2624</v>
      </c>
      <c r="B892" t="s">
        <v>2625</v>
      </c>
      <c r="C892">
        <v>25</v>
      </c>
      <c r="D892" s="260">
        <v>46085</v>
      </c>
      <c r="E892" s="260">
        <v>46120</v>
      </c>
      <c r="F892">
        <v>127</v>
      </c>
      <c r="G892" t="s">
        <v>866</v>
      </c>
    </row>
    <row r="893" spans="1:7">
      <c r="A893" t="s">
        <v>2626</v>
      </c>
      <c r="B893" t="s">
        <v>2627</v>
      </c>
      <c r="C893">
        <v>15</v>
      </c>
      <c r="D893" s="260">
        <v>46140</v>
      </c>
      <c r="E893" s="260">
        <v>46161</v>
      </c>
      <c r="F893">
        <v>127</v>
      </c>
      <c r="G893" t="s">
        <v>866</v>
      </c>
    </row>
    <row r="894" spans="1:7">
      <c r="A894" t="s">
        <v>2628</v>
      </c>
      <c r="B894" t="s">
        <v>2629</v>
      </c>
      <c r="C894">
        <v>15</v>
      </c>
      <c r="D894" s="260">
        <v>46178</v>
      </c>
      <c r="E894" s="260">
        <v>46198</v>
      </c>
      <c r="F894">
        <v>127</v>
      </c>
      <c r="G894" t="s">
        <v>866</v>
      </c>
    </row>
    <row r="895" spans="1:7">
      <c r="A895" t="s">
        <v>2630</v>
      </c>
      <c r="C895">
        <v>177</v>
      </c>
      <c r="D895" s="260">
        <v>46113</v>
      </c>
      <c r="E895" s="260">
        <v>46380</v>
      </c>
      <c r="F895">
        <v>14</v>
      </c>
      <c r="G895" t="s">
        <v>866</v>
      </c>
    </row>
    <row r="896" spans="1:7">
      <c r="A896" t="s">
        <v>2631</v>
      </c>
      <c r="B896" t="s">
        <v>2632</v>
      </c>
      <c r="C896">
        <v>11</v>
      </c>
      <c r="D896" s="260">
        <v>46219</v>
      </c>
      <c r="E896" s="260">
        <v>46238</v>
      </c>
      <c r="F896">
        <v>60</v>
      </c>
      <c r="G896" t="s">
        <v>866</v>
      </c>
    </row>
    <row r="897" spans="1:7">
      <c r="A897" t="s">
        <v>2633</v>
      </c>
      <c r="B897" t="s">
        <v>2634</v>
      </c>
      <c r="C897">
        <v>10</v>
      </c>
      <c r="D897" s="260">
        <v>46254</v>
      </c>
      <c r="E897" s="260">
        <v>46267</v>
      </c>
      <c r="F897">
        <v>71</v>
      </c>
      <c r="G897" t="s">
        <v>866</v>
      </c>
    </row>
    <row r="898" spans="1:7">
      <c r="A898" t="s">
        <v>2635</v>
      </c>
      <c r="B898" t="s">
        <v>2636</v>
      </c>
      <c r="C898">
        <v>10</v>
      </c>
      <c r="D898" s="260">
        <v>46282</v>
      </c>
      <c r="E898" s="260">
        <v>46295</v>
      </c>
      <c r="F898">
        <v>71</v>
      </c>
      <c r="G898" t="s">
        <v>866</v>
      </c>
    </row>
    <row r="899" spans="1:7">
      <c r="A899" t="s">
        <v>2637</v>
      </c>
      <c r="B899" t="s">
        <v>2638</v>
      </c>
      <c r="C899">
        <v>15</v>
      </c>
      <c r="D899" s="260">
        <v>46219</v>
      </c>
      <c r="E899" s="260">
        <v>46244</v>
      </c>
      <c r="F899">
        <v>67</v>
      </c>
      <c r="G899" t="s">
        <v>866</v>
      </c>
    </row>
    <row r="900" spans="1:7">
      <c r="A900" t="s">
        <v>2639</v>
      </c>
      <c r="B900" t="s">
        <v>2640</v>
      </c>
      <c r="C900">
        <v>10</v>
      </c>
      <c r="D900" s="260">
        <v>46260</v>
      </c>
      <c r="E900" s="260">
        <v>46273</v>
      </c>
      <c r="F900">
        <v>67</v>
      </c>
      <c r="G900" t="s">
        <v>866</v>
      </c>
    </row>
    <row r="901" spans="1:7">
      <c r="A901" t="s">
        <v>2641</v>
      </c>
      <c r="B901" t="s">
        <v>2642</v>
      </c>
      <c r="C901">
        <v>10</v>
      </c>
      <c r="D901" s="260">
        <v>46288</v>
      </c>
      <c r="E901" s="260">
        <v>46301</v>
      </c>
      <c r="F901">
        <v>67</v>
      </c>
      <c r="G901" t="s">
        <v>866</v>
      </c>
    </row>
    <row r="902" spans="1:7">
      <c r="A902" t="s">
        <v>2643</v>
      </c>
      <c r="B902" t="s">
        <v>2644</v>
      </c>
      <c r="C902">
        <v>17</v>
      </c>
      <c r="D902" s="260">
        <v>46226</v>
      </c>
      <c r="E902" s="260">
        <v>46254</v>
      </c>
      <c r="F902">
        <v>60</v>
      </c>
      <c r="G902" t="s">
        <v>866</v>
      </c>
    </row>
    <row r="903" spans="1:7">
      <c r="A903" t="s">
        <v>2645</v>
      </c>
      <c r="B903" t="s">
        <v>2646</v>
      </c>
      <c r="C903">
        <v>10</v>
      </c>
      <c r="D903" s="260">
        <v>46269</v>
      </c>
      <c r="E903" s="260">
        <v>46282</v>
      </c>
      <c r="F903">
        <v>60</v>
      </c>
      <c r="G903" t="s">
        <v>866</v>
      </c>
    </row>
    <row r="904" spans="1:7">
      <c r="A904" t="s">
        <v>2647</v>
      </c>
      <c r="B904" t="s">
        <v>2648</v>
      </c>
      <c r="C904">
        <v>10</v>
      </c>
      <c r="D904" s="260">
        <v>46297</v>
      </c>
      <c r="E904" s="260">
        <v>46311</v>
      </c>
      <c r="F904">
        <v>60</v>
      </c>
      <c r="G904" t="s">
        <v>866</v>
      </c>
    </row>
    <row r="905" spans="1:7">
      <c r="A905" t="s">
        <v>2649</v>
      </c>
      <c r="B905" t="s">
        <v>2650</v>
      </c>
      <c r="C905">
        <v>17</v>
      </c>
      <c r="D905" s="260">
        <v>46226</v>
      </c>
      <c r="E905" s="260">
        <v>46254</v>
      </c>
      <c r="F905">
        <v>60</v>
      </c>
      <c r="G905" t="s">
        <v>866</v>
      </c>
    </row>
    <row r="906" spans="1:7">
      <c r="A906" t="s">
        <v>2651</v>
      </c>
      <c r="B906" t="s">
        <v>2652</v>
      </c>
      <c r="C906">
        <v>10</v>
      </c>
      <c r="D906" s="260">
        <v>46269</v>
      </c>
      <c r="E906" s="260">
        <v>46282</v>
      </c>
      <c r="F906">
        <v>60</v>
      </c>
      <c r="G906" t="s">
        <v>866</v>
      </c>
    </row>
    <row r="907" spans="1:7">
      <c r="A907" t="s">
        <v>2653</v>
      </c>
      <c r="B907" t="s">
        <v>2654</v>
      </c>
      <c r="C907">
        <v>10</v>
      </c>
      <c r="D907" s="260">
        <v>46297</v>
      </c>
      <c r="E907" s="260">
        <v>46311</v>
      </c>
      <c r="F907">
        <v>60</v>
      </c>
      <c r="G907" t="s">
        <v>866</v>
      </c>
    </row>
    <row r="908" spans="1:7">
      <c r="A908" t="s">
        <v>2655</v>
      </c>
      <c r="B908" t="s">
        <v>2656</v>
      </c>
      <c r="C908">
        <v>19</v>
      </c>
      <c r="D908" s="260">
        <v>46147</v>
      </c>
      <c r="E908" s="260">
        <v>46171</v>
      </c>
      <c r="F908">
        <v>91</v>
      </c>
      <c r="G908" t="s">
        <v>866</v>
      </c>
    </row>
    <row r="909" spans="1:7">
      <c r="A909" t="s">
        <v>2657</v>
      </c>
      <c r="B909" t="s">
        <v>2658</v>
      </c>
      <c r="C909">
        <v>10</v>
      </c>
      <c r="D909" s="260">
        <v>46190</v>
      </c>
      <c r="E909" s="260">
        <v>46203</v>
      </c>
      <c r="F909">
        <v>113</v>
      </c>
      <c r="G909" t="s">
        <v>866</v>
      </c>
    </row>
    <row r="910" spans="1:7">
      <c r="A910" t="s">
        <v>2659</v>
      </c>
      <c r="B910" t="s">
        <v>2660</v>
      </c>
      <c r="C910">
        <v>10</v>
      </c>
      <c r="D910" s="260">
        <v>46218</v>
      </c>
      <c r="E910" s="260">
        <v>46234</v>
      </c>
      <c r="F910">
        <v>113</v>
      </c>
      <c r="G910" t="s">
        <v>866</v>
      </c>
    </row>
    <row r="911" spans="1:7">
      <c r="A911" t="s">
        <v>2661</v>
      </c>
      <c r="B911" t="s">
        <v>2662</v>
      </c>
      <c r="C911">
        <v>19</v>
      </c>
      <c r="D911" s="260">
        <v>46147</v>
      </c>
      <c r="E911" s="260">
        <v>46171</v>
      </c>
      <c r="F911">
        <v>113</v>
      </c>
      <c r="G911" t="s">
        <v>866</v>
      </c>
    </row>
    <row r="912" spans="1:7">
      <c r="A912" t="s">
        <v>2663</v>
      </c>
      <c r="B912" t="s">
        <v>2664</v>
      </c>
      <c r="C912">
        <v>10</v>
      </c>
      <c r="D912" s="260">
        <v>46190</v>
      </c>
      <c r="E912" s="260">
        <v>46203</v>
      </c>
      <c r="F912">
        <v>113</v>
      </c>
      <c r="G912" t="s">
        <v>866</v>
      </c>
    </row>
    <row r="913" spans="1:7">
      <c r="A913" t="s">
        <v>2665</v>
      </c>
      <c r="B913" t="s">
        <v>2666</v>
      </c>
      <c r="C913">
        <v>10</v>
      </c>
      <c r="D913" s="260">
        <v>46218</v>
      </c>
      <c r="E913" s="260">
        <v>46234</v>
      </c>
      <c r="F913">
        <v>113</v>
      </c>
      <c r="G913" t="s">
        <v>866</v>
      </c>
    </row>
    <row r="914" spans="1:7">
      <c r="A914" t="s">
        <v>2667</v>
      </c>
      <c r="B914" t="s">
        <v>2668</v>
      </c>
      <c r="C914">
        <v>22</v>
      </c>
      <c r="D914" s="260">
        <v>46154</v>
      </c>
      <c r="E914" s="260">
        <v>46185</v>
      </c>
      <c r="F914">
        <v>91</v>
      </c>
      <c r="G914" t="s">
        <v>866</v>
      </c>
    </row>
    <row r="915" spans="1:7">
      <c r="A915" t="s">
        <v>2669</v>
      </c>
      <c r="B915" t="s">
        <v>2670</v>
      </c>
      <c r="C915">
        <v>10</v>
      </c>
      <c r="D915" s="260">
        <v>46202</v>
      </c>
      <c r="E915" s="260">
        <v>46213</v>
      </c>
      <c r="F915">
        <v>91</v>
      </c>
      <c r="G915" t="s">
        <v>866</v>
      </c>
    </row>
    <row r="916" spans="1:7">
      <c r="A916" t="s">
        <v>2671</v>
      </c>
      <c r="B916" t="s">
        <v>2672</v>
      </c>
      <c r="C916">
        <v>10</v>
      </c>
      <c r="D916" s="260">
        <v>46230</v>
      </c>
      <c r="E916" s="260">
        <v>46247</v>
      </c>
      <c r="F916">
        <v>91</v>
      </c>
      <c r="G916" t="s">
        <v>866</v>
      </c>
    </row>
    <row r="917" spans="1:7">
      <c r="A917" t="s">
        <v>2673</v>
      </c>
      <c r="B917" t="s">
        <v>2674</v>
      </c>
      <c r="C917">
        <v>22</v>
      </c>
      <c r="D917" s="260">
        <v>46154</v>
      </c>
      <c r="E917" s="260">
        <v>46185</v>
      </c>
      <c r="F917">
        <v>105</v>
      </c>
      <c r="G917" t="s">
        <v>866</v>
      </c>
    </row>
    <row r="918" spans="1:7">
      <c r="A918" t="s">
        <v>2675</v>
      </c>
      <c r="B918" t="s">
        <v>2676</v>
      </c>
      <c r="C918">
        <v>10</v>
      </c>
      <c r="D918" s="260">
        <v>46202</v>
      </c>
      <c r="E918" s="260">
        <v>46213</v>
      </c>
      <c r="F918">
        <v>105</v>
      </c>
      <c r="G918" t="s">
        <v>866</v>
      </c>
    </row>
    <row r="919" spans="1:7">
      <c r="A919" t="s">
        <v>2677</v>
      </c>
      <c r="B919" t="s">
        <v>2678</v>
      </c>
      <c r="C919">
        <v>10</v>
      </c>
      <c r="D919" s="260">
        <v>46230</v>
      </c>
      <c r="E919" s="260">
        <v>46247</v>
      </c>
      <c r="F919">
        <v>105</v>
      </c>
      <c r="G919" t="s">
        <v>866</v>
      </c>
    </row>
    <row r="920" spans="1:7">
      <c r="A920" t="s">
        <v>2679</v>
      </c>
      <c r="B920" t="s">
        <v>2680</v>
      </c>
      <c r="C920">
        <v>11</v>
      </c>
      <c r="D920" s="260">
        <v>46168</v>
      </c>
      <c r="E920" s="260">
        <v>46184</v>
      </c>
      <c r="F920">
        <v>5</v>
      </c>
      <c r="G920" t="s">
        <v>866</v>
      </c>
    </row>
    <row r="921" spans="1:7">
      <c r="A921" t="s">
        <v>2681</v>
      </c>
      <c r="B921" t="s">
        <v>2682</v>
      </c>
      <c r="C921">
        <v>5</v>
      </c>
      <c r="D921" s="260">
        <v>46199</v>
      </c>
      <c r="E921" s="260">
        <v>46205</v>
      </c>
      <c r="F921">
        <v>107</v>
      </c>
      <c r="G921" t="s">
        <v>866</v>
      </c>
    </row>
    <row r="922" spans="1:7">
      <c r="A922" t="s">
        <v>2683</v>
      </c>
      <c r="B922" t="s">
        <v>2684</v>
      </c>
      <c r="C922">
        <v>5</v>
      </c>
      <c r="D922" s="260">
        <v>46220</v>
      </c>
      <c r="E922" s="260">
        <v>46226</v>
      </c>
      <c r="F922">
        <v>107</v>
      </c>
      <c r="G922" t="s">
        <v>866</v>
      </c>
    </row>
    <row r="923" spans="1:7">
      <c r="A923" t="s">
        <v>2685</v>
      </c>
      <c r="B923" t="s">
        <v>2686</v>
      </c>
      <c r="C923">
        <v>11</v>
      </c>
      <c r="D923" s="260">
        <v>46169</v>
      </c>
      <c r="E923" s="260">
        <v>46185</v>
      </c>
      <c r="F923">
        <v>5</v>
      </c>
      <c r="G923" t="s">
        <v>866</v>
      </c>
    </row>
    <row r="924" spans="1:7">
      <c r="A924" t="s">
        <v>2687</v>
      </c>
      <c r="B924" t="s">
        <v>2688</v>
      </c>
      <c r="C924">
        <v>5</v>
      </c>
      <c r="D924" s="260">
        <v>46202</v>
      </c>
      <c r="E924" s="260">
        <v>46206</v>
      </c>
      <c r="F924">
        <v>106</v>
      </c>
      <c r="G924" t="s">
        <v>866</v>
      </c>
    </row>
    <row r="925" spans="1:7">
      <c r="A925" t="s">
        <v>2689</v>
      </c>
      <c r="B925" t="s">
        <v>2690</v>
      </c>
      <c r="C925">
        <v>5</v>
      </c>
      <c r="D925" s="260">
        <v>46223</v>
      </c>
      <c r="E925" s="260">
        <v>46227</v>
      </c>
      <c r="F925">
        <v>106</v>
      </c>
      <c r="G925" t="s">
        <v>866</v>
      </c>
    </row>
    <row r="926" spans="1:7">
      <c r="A926" t="s">
        <v>2691</v>
      </c>
      <c r="B926" t="s">
        <v>2692</v>
      </c>
      <c r="C926">
        <v>11</v>
      </c>
      <c r="D926" s="260">
        <v>46169</v>
      </c>
      <c r="E926" s="260">
        <v>46185</v>
      </c>
      <c r="F926">
        <v>106</v>
      </c>
      <c r="G926" t="s">
        <v>866</v>
      </c>
    </row>
    <row r="927" spans="1:7">
      <c r="A927" t="s">
        <v>2693</v>
      </c>
      <c r="B927" t="s">
        <v>2694</v>
      </c>
      <c r="C927">
        <v>5</v>
      </c>
      <c r="D927" s="260">
        <v>46202</v>
      </c>
      <c r="E927" s="260">
        <v>46206</v>
      </c>
      <c r="F927">
        <v>106</v>
      </c>
      <c r="G927" t="s">
        <v>866</v>
      </c>
    </row>
    <row r="928" spans="1:7">
      <c r="A928" t="s">
        <v>2695</v>
      </c>
      <c r="B928" t="s">
        <v>2696</v>
      </c>
      <c r="C928">
        <v>5</v>
      </c>
      <c r="D928" s="260">
        <v>46223</v>
      </c>
      <c r="E928" s="260">
        <v>46227</v>
      </c>
      <c r="F928">
        <v>106</v>
      </c>
      <c r="G928" t="s">
        <v>866</v>
      </c>
    </row>
    <row r="929" spans="1:7">
      <c r="A929" t="s">
        <v>2697</v>
      </c>
      <c r="B929" t="s">
        <v>2698</v>
      </c>
      <c r="C929">
        <v>10</v>
      </c>
      <c r="D929" s="260">
        <v>46178</v>
      </c>
      <c r="E929" s="260">
        <v>46191</v>
      </c>
      <c r="F929">
        <v>5</v>
      </c>
      <c r="G929" t="s">
        <v>866</v>
      </c>
    </row>
    <row r="930" spans="1:7">
      <c r="A930" t="s">
        <v>2699</v>
      </c>
      <c r="B930" t="s">
        <v>2700</v>
      </c>
      <c r="C930">
        <v>5</v>
      </c>
      <c r="D930" s="260">
        <v>46206</v>
      </c>
      <c r="E930" s="260">
        <v>46212</v>
      </c>
      <c r="F930">
        <v>102</v>
      </c>
      <c r="G930" t="s">
        <v>866</v>
      </c>
    </row>
    <row r="931" spans="1:7">
      <c r="A931" t="s">
        <v>2701</v>
      </c>
      <c r="B931" t="s">
        <v>2702</v>
      </c>
      <c r="C931">
        <v>5</v>
      </c>
      <c r="D931" s="260">
        <v>46227</v>
      </c>
      <c r="E931" s="260">
        <v>46238</v>
      </c>
      <c r="F931">
        <v>102</v>
      </c>
      <c r="G931" t="s">
        <v>866</v>
      </c>
    </row>
    <row r="932" spans="1:7">
      <c r="A932" t="s">
        <v>2703</v>
      </c>
      <c r="B932" t="s">
        <v>2704</v>
      </c>
      <c r="C932">
        <v>10</v>
      </c>
      <c r="D932" s="260">
        <v>46183</v>
      </c>
      <c r="E932" s="260">
        <v>46196</v>
      </c>
      <c r="F932">
        <v>5</v>
      </c>
      <c r="G932" t="s">
        <v>866</v>
      </c>
    </row>
    <row r="933" spans="1:7">
      <c r="A933" t="s">
        <v>2705</v>
      </c>
      <c r="B933" t="s">
        <v>2706</v>
      </c>
      <c r="C933">
        <v>5</v>
      </c>
      <c r="D933" s="260">
        <v>46216</v>
      </c>
      <c r="E933" s="260">
        <v>46220</v>
      </c>
      <c r="F933">
        <v>96</v>
      </c>
      <c r="G933" t="s">
        <v>866</v>
      </c>
    </row>
    <row r="934" spans="1:7">
      <c r="A934" t="s">
        <v>2707</v>
      </c>
      <c r="B934" t="s">
        <v>2708</v>
      </c>
      <c r="C934">
        <v>5</v>
      </c>
      <c r="D934" s="260">
        <v>46248</v>
      </c>
      <c r="E934" s="260">
        <v>46254</v>
      </c>
      <c r="F934">
        <v>91</v>
      </c>
      <c r="G934" t="s">
        <v>866</v>
      </c>
    </row>
    <row r="935" spans="1:7">
      <c r="A935" t="s">
        <v>2709</v>
      </c>
      <c r="B935" t="s">
        <v>2710</v>
      </c>
      <c r="C935">
        <v>10</v>
      </c>
      <c r="D935" s="260">
        <v>46183</v>
      </c>
      <c r="E935" s="260">
        <v>46196</v>
      </c>
      <c r="F935">
        <v>5</v>
      </c>
      <c r="G935" t="s">
        <v>866</v>
      </c>
    </row>
    <row r="936" spans="1:7">
      <c r="A936" t="s">
        <v>2711</v>
      </c>
      <c r="B936" t="s">
        <v>2712</v>
      </c>
      <c r="C936">
        <v>5</v>
      </c>
      <c r="D936" s="260">
        <v>46216</v>
      </c>
      <c r="E936" s="260">
        <v>46220</v>
      </c>
      <c r="F936">
        <v>96</v>
      </c>
      <c r="G936" t="s">
        <v>866</v>
      </c>
    </row>
    <row r="937" spans="1:7">
      <c r="A937" t="s">
        <v>2713</v>
      </c>
      <c r="B937" t="s">
        <v>2714</v>
      </c>
      <c r="C937">
        <v>5</v>
      </c>
      <c r="D937" s="260">
        <v>46248</v>
      </c>
      <c r="E937" s="260">
        <v>46254</v>
      </c>
      <c r="F937">
        <v>91</v>
      </c>
      <c r="G937" t="s">
        <v>866</v>
      </c>
    </row>
    <row r="938" spans="1:7">
      <c r="A938" t="s">
        <v>2715</v>
      </c>
      <c r="B938" t="s">
        <v>2716</v>
      </c>
      <c r="C938">
        <v>12</v>
      </c>
      <c r="D938" s="260">
        <v>46195</v>
      </c>
      <c r="E938" s="260">
        <v>46210</v>
      </c>
      <c r="F938">
        <v>5</v>
      </c>
      <c r="G938" t="s">
        <v>866</v>
      </c>
    </row>
    <row r="939" spans="1:7">
      <c r="A939" t="s">
        <v>2717</v>
      </c>
      <c r="B939" t="s">
        <v>2718</v>
      </c>
      <c r="C939">
        <v>5</v>
      </c>
      <c r="D939" s="260">
        <v>46225</v>
      </c>
      <c r="E939" s="260">
        <v>46234</v>
      </c>
      <c r="F939">
        <v>89</v>
      </c>
      <c r="G939" t="s">
        <v>866</v>
      </c>
    </row>
    <row r="940" spans="1:7">
      <c r="A940" t="s">
        <v>2719</v>
      </c>
      <c r="B940" t="s">
        <v>2720</v>
      </c>
      <c r="C940">
        <v>5</v>
      </c>
      <c r="D940" s="260">
        <v>46252</v>
      </c>
      <c r="E940" s="260">
        <v>46258</v>
      </c>
      <c r="F940">
        <v>89</v>
      </c>
      <c r="G940" t="s">
        <v>866</v>
      </c>
    </row>
    <row r="941" spans="1:7">
      <c r="A941" t="s">
        <v>2721</v>
      </c>
      <c r="B941" t="s">
        <v>2722</v>
      </c>
      <c r="C941">
        <v>12</v>
      </c>
      <c r="D941" s="260">
        <v>46196</v>
      </c>
      <c r="E941" s="260">
        <v>46211</v>
      </c>
      <c r="F941">
        <v>5</v>
      </c>
      <c r="G941" t="s">
        <v>866</v>
      </c>
    </row>
    <row r="942" spans="1:7">
      <c r="A942" t="s">
        <v>2723</v>
      </c>
      <c r="B942" t="s">
        <v>2724</v>
      </c>
      <c r="C942">
        <v>5</v>
      </c>
      <c r="D942" s="260">
        <v>46226</v>
      </c>
      <c r="E942" s="260">
        <v>46237</v>
      </c>
      <c r="F942">
        <v>88</v>
      </c>
      <c r="G942" t="s">
        <v>866</v>
      </c>
    </row>
    <row r="943" spans="1:7">
      <c r="A943" t="s">
        <v>2725</v>
      </c>
      <c r="B943" t="s">
        <v>2726</v>
      </c>
      <c r="C943">
        <v>5</v>
      </c>
      <c r="D943" s="260">
        <v>46253</v>
      </c>
      <c r="E943" s="260">
        <v>46259</v>
      </c>
      <c r="F943">
        <v>88</v>
      </c>
      <c r="G943" t="s">
        <v>866</v>
      </c>
    </row>
    <row r="944" spans="1:7">
      <c r="A944" t="s">
        <v>2727</v>
      </c>
      <c r="B944" t="s">
        <v>2728</v>
      </c>
      <c r="C944">
        <v>10</v>
      </c>
      <c r="D944" s="260">
        <v>46113</v>
      </c>
      <c r="E944" s="260">
        <v>46132</v>
      </c>
      <c r="F944">
        <v>43</v>
      </c>
      <c r="G944" t="s">
        <v>866</v>
      </c>
    </row>
    <row r="945" spans="1:7">
      <c r="A945" t="s">
        <v>2729</v>
      </c>
      <c r="B945" t="s">
        <v>2730</v>
      </c>
      <c r="C945">
        <v>5</v>
      </c>
      <c r="D945" s="260">
        <v>46148</v>
      </c>
      <c r="E945" s="260">
        <v>46154</v>
      </c>
      <c r="F945">
        <v>87</v>
      </c>
      <c r="G945" t="s">
        <v>866</v>
      </c>
    </row>
    <row r="946" spans="1:7">
      <c r="A946" t="s">
        <v>2731</v>
      </c>
      <c r="B946" t="s">
        <v>2732</v>
      </c>
      <c r="C946">
        <v>5</v>
      </c>
      <c r="D946" s="260">
        <v>46169</v>
      </c>
      <c r="E946" s="260">
        <v>46177</v>
      </c>
      <c r="F946">
        <v>97</v>
      </c>
      <c r="G946" t="s">
        <v>866</v>
      </c>
    </row>
    <row r="947" spans="1:7">
      <c r="A947" t="s">
        <v>2733</v>
      </c>
      <c r="B947" t="s">
        <v>2734</v>
      </c>
      <c r="C947">
        <v>12</v>
      </c>
      <c r="D947" s="260">
        <v>46128</v>
      </c>
      <c r="E947" s="260">
        <v>46146</v>
      </c>
      <c r="F947">
        <v>43</v>
      </c>
      <c r="G947" t="s">
        <v>866</v>
      </c>
    </row>
    <row r="948" spans="1:7">
      <c r="A948" t="s">
        <v>2735</v>
      </c>
      <c r="B948" t="s">
        <v>2736</v>
      </c>
      <c r="C948">
        <v>5</v>
      </c>
      <c r="D948" s="260">
        <v>46161</v>
      </c>
      <c r="E948" s="260">
        <v>46167</v>
      </c>
      <c r="F948">
        <v>83</v>
      </c>
      <c r="G948" t="s">
        <v>866</v>
      </c>
    </row>
    <row r="949" spans="1:7">
      <c r="A949" t="s">
        <v>2737</v>
      </c>
      <c r="B949" t="s">
        <v>2738</v>
      </c>
      <c r="C949">
        <v>5</v>
      </c>
      <c r="D949" s="260">
        <v>46184</v>
      </c>
      <c r="E949" s="260">
        <v>46190</v>
      </c>
      <c r="F949">
        <v>93</v>
      </c>
      <c r="G949" t="s">
        <v>866</v>
      </c>
    </row>
    <row r="950" spans="1:7">
      <c r="A950" t="s">
        <v>2739</v>
      </c>
      <c r="B950" t="s">
        <v>2740</v>
      </c>
      <c r="C950">
        <v>15</v>
      </c>
      <c r="D950" s="260">
        <v>46132</v>
      </c>
      <c r="E950" s="260">
        <v>46153</v>
      </c>
      <c r="F950">
        <v>95</v>
      </c>
      <c r="G950" t="s">
        <v>866</v>
      </c>
    </row>
    <row r="951" spans="1:7">
      <c r="A951" t="s">
        <v>2741</v>
      </c>
      <c r="B951" t="s">
        <v>2742</v>
      </c>
      <c r="C951">
        <v>5</v>
      </c>
      <c r="D951" s="260">
        <v>46168</v>
      </c>
      <c r="E951" s="260">
        <v>46175</v>
      </c>
      <c r="F951">
        <v>113</v>
      </c>
      <c r="G951" t="s">
        <v>866</v>
      </c>
    </row>
    <row r="952" spans="1:7">
      <c r="A952" t="s">
        <v>2743</v>
      </c>
      <c r="B952" t="s">
        <v>2744</v>
      </c>
      <c r="C952">
        <v>5</v>
      </c>
      <c r="D952" s="260">
        <v>46191</v>
      </c>
      <c r="E952" s="260">
        <v>46197</v>
      </c>
      <c r="F952">
        <v>118</v>
      </c>
      <c r="G952" t="s">
        <v>866</v>
      </c>
    </row>
    <row r="953" spans="1:7">
      <c r="A953" t="s">
        <v>2745</v>
      </c>
      <c r="B953" t="s">
        <v>2746</v>
      </c>
      <c r="C953">
        <v>19</v>
      </c>
      <c r="D953" s="260">
        <v>46160</v>
      </c>
      <c r="E953" s="260">
        <v>46188</v>
      </c>
      <c r="F953">
        <v>95</v>
      </c>
      <c r="G953" t="s">
        <v>866</v>
      </c>
    </row>
    <row r="954" spans="1:7">
      <c r="A954" t="s">
        <v>2747</v>
      </c>
      <c r="B954" t="s">
        <v>2748</v>
      </c>
      <c r="C954">
        <v>10</v>
      </c>
      <c r="D954" s="260">
        <v>46203</v>
      </c>
      <c r="E954" s="260">
        <v>46216</v>
      </c>
      <c r="F954">
        <v>95</v>
      </c>
      <c r="G954" t="s">
        <v>866</v>
      </c>
    </row>
    <row r="955" spans="1:7">
      <c r="A955" t="s">
        <v>2749</v>
      </c>
      <c r="B955" t="s">
        <v>2750</v>
      </c>
      <c r="C955">
        <v>10</v>
      </c>
      <c r="D955" s="260">
        <v>46234</v>
      </c>
      <c r="E955" s="260">
        <v>46248</v>
      </c>
      <c r="F955">
        <v>95</v>
      </c>
      <c r="G955" t="s">
        <v>866</v>
      </c>
    </row>
    <row r="956" spans="1:7">
      <c r="A956" t="s">
        <v>2751</v>
      </c>
      <c r="B956" t="s">
        <v>2752</v>
      </c>
      <c r="C956">
        <v>20</v>
      </c>
      <c r="D956" s="260">
        <v>46147</v>
      </c>
      <c r="E956" s="260">
        <v>46175</v>
      </c>
      <c r="F956">
        <v>43</v>
      </c>
      <c r="G956" t="s">
        <v>866</v>
      </c>
    </row>
    <row r="957" spans="1:7">
      <c r="A957" t="s">
        <v>2753</v>
      </c>
      <c r="B957" t="s">
        <v>2754</v>
      </c>
      <c r="C957">
        <v>10</v>
      </c>
      <c r="D957" s="260">
        <v>46191</v>
      </c>
      <c r="E957" s="260">
        <v>46204</v>
      </c>
      <c r="F957">
        <v>73</v>
      </c>
      <c r="G957" t="s">
        <v>866</v>
      </c>
    </row>
    <row r="958" spans="1:7">
      <c r="A958" t="s">
        <v>2755</v>
      </c>
      <c r="B958" t="s">
        <v>2756</v>
      </c>
      <c r="C958">
        <v>10</v>
      </c>
      <c r="D958" s="260">
        <v>46219</v>
      </c>
      <c r="E958" s="260">
        <v>46237</v>
      </c>
      <c r="F958">
        <v>73</v>
      </c>
      <c r="G958" t="s">
        <v>866</v>
      </c>
    </row>
    <row r="959" spans="1:7">
      <c r="A959" t="s">
        <v>2757</v>
      </c>
      <c r="B959" t="s">
        <v>2758</v>
      </c>
      <c r="C959">
        <v>16</v>
      </c>
      <c r="D959" s="260">
        <v>46245</v>
      </c>
      <c r="E959" s="260">
        <v>46267</v>
      </c>
      <c r="F959">
        <v>42</v>
      </c>
      <c r="G959" t="s">
        <v>866</v>
      </c>
    </row>
    <row r="960" spans="1:7">
      <c r="A960" t="s">
        <v>2759</v>
      </c>
      <c r="B960" t="s">
        <v>2760</v>
      </c>
      <c r="C960">
        <v>10</v>
      </c>
      <c r="D960" s="260">
        <v>46282</v>
      </c>
      <c r="E960" s="260">
        <v>46295</v>
      </c>
      <c r="F960">
        <v>42</v>
      </c>
      <c r="G960" t="s">
        <v>866</v>
      </c>
    </row>
    <row r="961" spans="1:7">
      <c r="A961" t="s">
        <v>2761</v>
      </c>
      <c r="B961" t="s">
        <v>2762</v>
      </c>
      <c r="C961">
        <v>10</v>
      </c>
      <c r="D961" s="260">
        <v>46311</v>
      </c>
      <c r="E961" s="260">
        <v>46325</v>
      </c>
      <c r="F961">
        <v>42</v>
      </c>
      <c r="G961" t="s">
        <v>866</v>
      </c>
    </row>
    <row r="962" spans="1:7">
      <c r="A962" t="s">
        <v>2763</v>
      </c>
      <c r="B962" t="s">
        <v>2764</v>
      </c>
      <c r="C962">
        <v>19</v>
      </c>
      <c r="D962" s="260">
        <v>46167</v>
      </c>
      <c r="E962" s="260">
        <v>46195</v>
      </c>
      <c r="F962">
        <v>49</v>
      </c>
      <c r="G962" t="s">
        <v>866</v>
      </c>
    </row>
    <row r="963" spans="1:7">
      <c r="A963" t="s">
        <v>2765</v>
      </c>
      <c r="B963" t="s">
        <v>2766</v>
      </c>
      <c r="C963">
        <v>10</v>
      </c>
      <c r="D963" s="260">
        <v>46210</v>
      </c>
      <c r="E963" s="260">
        <v>46223</v>
      </c>
      <c r="F963">
        <v>90</v>
      </c>
      <c r="G963" t="s">
        <v>866</v>
      </c>
    </row>
    <row r="964" spans="1:7">
      <c r="A964" t="s">
        <v>2767</v>
      </c>
      <c r="B964" t="s">
        <v>2768</v>
      </c>
      <c r="C964">
        <v>10</v>
      </c>
      <c r="D964" s="260">
        <v>46241</v>
      </c>
      <c r="E964" s="260">
        <v>46255</v>
      </c>
      <c r="F964">
        <v>90</v>
      </c>
      <c r="G964" t="s">
        <v>866</v>
      </c>
    </row>
    <row r="965" spans="1:7">
      <c r="A965" t="s">
        <v>2769</v>
      </c>
      <c r="B965" t="s">
        <v>2770</v>
      </c>
      <c r="C965">
        <v>19</v>
      </c>
      <c r="D965" s="260">
        <v>46175</v>
      </c>
      <c r="E965" s="260">
        <v>46202</v>
      </c>
      <c r="F965">
        <v>85</v>
      </c>
      <c r="G965" t="s">
        <v>866</v>
      </c>
    </row>
    <row r="966" spans="1:7">
      <c r="A966" t="s">
        <v>2771</v>
      </c>
      <c r="B966" t="s">
        <v>2772</v>
      </c>
      <c r="C966">
        <v>10</v>
      </c>
      <c r="D966" s="260">
        <v>46217</v>
      </c>
      <c r="E966" s="260">
        <v>46230</v>
      </c>
      <c r="F966">
        <v>85</v>
      </c>
      <c r="G966" t="s">
        <v>866</v>
      </c>
    </row>
    <row r="967" spans="1:7">
      <c r="A967" t="s">
        <v>2773</v>
      </c>
      <c r="B967" t="s">
        <v>2774</v>
      </c>
      <c r="C967">
        <v>10</v>
      </c>
      <c r="D967" s="260">
        <v>46251</v>
      </c>
      <c r="E967" s="260">
        <v>46262</v>
      </c>
      <c r="F967">
        <v>85</v>
      </c>
      <c r="G967" t="s">
        <v>866</v>
      </c>
    </row>
    <row r="968" spans="1:7">
      <c r="A968" t="s">
        <v>2775</v>
      </c>
      <c r="B968" t="s">
        <v>2776</v>
      </c>
      <c r="C968">
        <v>21</v>
      </c>
      <c r="D968" s="260">
        <v>46188</v>
      </c>
      <c r="E968" s="260">
        <v>46216</v>
      </c>
      <c r="F968">
        <v>49</v>
      </c>
      <c r="G968" t="s">
        <v>866</v>
      </c>
    </row>
    <row r="969" spans="1:7">
      <c r="A969" t="s">
        <v>2777</v>
      </c>
      <c r="B969" t="s">
        <v>2778</v>
      </c>
      <c r="C969">
        <v>10</v>
      </c>
      <c r="D969" s="260">
        <v>46234</v>
      </c>
      <c r="E969" s="260">
        <v>46248</v>
      </c>
      <c r="F969">
        <v>75</v>
      </c>
      <c r="G969" t="s">
        <v>866</v>
      </c>
    </row>
    <row r="970" spans="1:7">
      <c r="A970" t="s">
        <v>2779</v>
      </c>
      <c r="B970" t="s">
        <v>2780</v>
      </c>
      <c r="C970">
        <v>10</v>
      </c>
      <c r="D970" s="260">
        <v>46265</v>
      </c>
      <c r="E970" s="260">
        <v>46276</v>
      </c>
      <c r="F970">
        <v>75</v>
      </c>
      <c r="G970" t="s">
        <v>866</v>
      </c>
    </row>
    <row r="971" spans="1:7">
      <c r="A971" t="s">
        <v>2781</v>
      </c>
      <c r="B971" t="s">
        <v>2782</v>
      </c>
      <c r="C971">
        <v>21</v>
      </c>
      <c r="D971" s="260">
        <v>46195</v>
      </c>
      <c r="E971" s="260">
        <v>46223</v>
      </c>
      <c r="F971">
        <v>54</v>
      </c>
      <c r="G971" t="s">
        <v>866</v>
      </c>
    </row>
    <row r="972" spans="1:7">
      <c r="A972" t="s">
        <v>2783</v>
      </c>
      <c r="B972" t="s">
        <v>2784</v>
      </c>
      <c r="C972">
        <v>10</v>
      </c>
      <c r="D972" s="260">
        <v>46241</v>
      </c>
      <c r="E972" s="260">
        <v>46255</v>
      </c>
      <c r="F972">
        <v>70</v>
      </c>
      <c r="G972" t="s">
        <v>866</v>
      </c>
    </row>
    <row r="973" spans="1:7">
      <c r="A973" t="s">
        <v>2785</v>
      </c>
      <c r="B973" t="s">
        <v>2786</v>
      </c>
      <c r="C973">
        <v>10</v>
      </c>
      <c r="D973" s="260">
        <v>46272</v>
      </c>
      <c r="E973" s="260">
        <v>46283</v>
      </c>
      <c r="F973">
        <v>70</v>
      </c>
      <c r="G973" t="s">
        <v>866</v>
      </c>
    </row>
    <row r="974" spans="1:7">
      <c r="A974" t="s">
        <v>2787</v>
      </c>
      <c r="B974" t="s">
        <v>2788</v>
      </c>
      <c r="C974">
        <v>17</v>
      </c>
      <c r="D974" s="260">
        <v>46223</v>
      </c>
      <c r="E974" s="260">
        <v>46251</v>
      </c>
      <c r="F974">
        <v>54</v>
      </c>
      <c r="G974" t="s">
        <v>866</v>
      </c>
    </row>
    <row r="975" spans="1:7">
      <c r="A975" t="s">
        <v>2789</v>
      </c>
      <c r="B975" t="s">
        <v>2790</v>
      </c>
      <c r="C975">
        <v>10</v>
      </c>
      <c r="D975" s="260">
        <v>46266</v>
      </c>
      <c r="E975" s="260">
        <v>46279</v>
      </c>
      <c r="F975">
        <v>54</v>
      </c>
      <c r="G975" t="s">
        <v>866</v>
      </c>
    </row>
    <row r="976" spans="1:7">
      <c r="A976" t="s">
        <v>2791</v>
      </c>
      <c r="B976" t="s">
        <v>2792</v>
      </c>
      <c r="C976">
        <v>10</v>
      </c>
      <c r="D976" s="260">
        <v>46294</v>
      </c>
      <c r="E976" s="260">
        <v>46307</v>
      </c>
      <c r="F976">
        <v>54</v>
      </c>
      <c r="G976" t="s">
        <v>866</v>
      </c>
    </row>
    <row r="977" spans="1:7">
      <c r="A977" t="s">
        <v>2793</v>
      </c>
      <c r="B977" t="s">
        <v>2794</v>
      </c>
      <c r="C977">
        <v>12</v>
      </c>
      <c r="D977" s="260">
        <v>46230</v>
      </c>
      <c r="E977" s="260">
        <v>46251</v>
      </c>
      <c r="F977">
        <v>54</v>
      </c>
      <c r="G977" t="s">
        <v>866</v>
      </c>
    </row>
    <row r="978" spans="1:7">
      <c r="A978" t="s">
        <v>2795</v>
      </c>
      <c r="B978" t="s">
        <v>2796</v>
      </c>
      <c r="C978">
        <v>10</v>
      </c>
      <c r="D978" s="260">
        <v>46266</v>
      </c>
      <c r="E978" s="260">
        <v>46279</v>
      </c>
      <c r="F978">
        <v>54</v>
      </c>
      <c r="G978" t="s">
        <v>866</v>
      </c>
    </row>
    <row r="979" spans="1:7">
      <c r="A979" t="s">
        <v>2797</v>
      </c>
      <c r="B979" t="s">
        <v>2798</v>
      </c>
      <c r="C979">
        <v>10</v>
      </c>
      <c r="D979" s="260">
        <v>46294</v>
      </c>
      <c r="E979" s="260">
        <v>46307</v>
      </c>
      <c r="F979">
        <v>54</v>
      </c>
      <c r="G979" t="s">
        <v>866</v>
      </c>
    </row>
    <row r="980" spans="1:7">
      <c r="A980" t="s">
        <v>2799</v>
      </c>
      <c r="B980" t="s">
        <v>2800</v>
      </c>
      <c r="C980">
        <v>17</v>
      </c>
      <c r="D980" s="260">
        <v>46128</v>
      </c>
      <c r="E980" s="260">
        <v>46153</v>
      </c>
      <c r="F980">
        <v>118</v>
      </c>
      <c r="G980" t="s">
        <v>866</v>
      </c>
    </row>
    <row r="981" spans="1:7">
      <c r="A981" t="s">
        <v>2801</v>
      </c>
      <c r="B981" t="s">
        <v>2802</v>
      </c>
      <c r="C981">
        <v>10</v>
      </c>
      <c r="D981" s="260">
        <v>46168</v>
      </c>
      <c r="E981" s="260">
        <v>46183</v>
      </c>
      <c r="F981">
        <v>118</v>
      </c>
      <c r="G981" t="s">
        <v>866</v>
      </c>
    </row>
    <row r="982" spans="1:7">
      <c r="A982" t="s">
        <v>2803</v>
      </c>
      <c r="B982" t="s">
        <v>2804</v>
      </c>
      <c r="C982">
        <v>10</v>
      </c>
      <c r="D982" s="260">
        <v>46198</v>
      </c>
      <c r="E982" s="260">
        <v>46211</v>
      </c>
      <c r="F982">
        <v>118</v>
      </c>
      <c r="G982" t="s">
        <v>866</v>
      </c>
    </row>
    <row r="983" spans="1:7">
      <c r="A983" t="s">
        <v>2805</v>
      </c>
      <c r="B983" t="s">
        <v>2806</v>
      </c>
      <c r="C983">
        <v>17</v>
      </c>
      <c r="D983" s="260">
        <v>46199</v>
      </c>
      <c r="E983" s="260">
        <v>46223</v>
      </c>
      <c r="F983">
        <v>5</v>
      </c>
      <c r="G983" t="s">
        <v>866</v>
      </c>
    </row>
    <row r="984" spans="1:7">
      <c r="A984" t="s">
        <v>2807</v>
      </c>
      <c r="B984" t="s">
        <v>2808</v>
      </c>
      <c r="C984">
        <v>10</v>
      </c>
      <c r="D984" s="260">
        <v>46241</v>
      </c>
      <c r="E984" s="260">
        <v>46255</v>
      </c>
      <c r="F984">
        <v>35</v>
      </c>
      <c r="G984" t="s">
        <v>866</v>
      </c>
    </row>
    <row r="985" spans="1:7">
      <c r="A985" t="s">
        <v>2809</v>
      </c>
      <c r="B985" t="s">
        <v>2810</v>
      </c>
      <c r="C985">
        <v>10</v>
      </c>
      <c r="D985" s="260">
        <v>46272</v>
      </c>
      <c r="E985" s="260">
        <v>46283</v>
      </c>
      <c r="F985">
        <v>40</v>
      </c>
      <c r="G985" t="s">
        <v>866</v>
      </c>
    </row>
    <row r="986" spans="1:7">
      <c r="A986" t="s">
        <v>2811</v>
      </c>
      <c r="B986" t="s">
        <v>2812</v>
      </c>
      <c r="C986">
        <v>17</v>
      </c>
      <c r="D986" s="260">
        <v>46199</v>
      </c>
      <c r="E986" s="260">
        <v>46223</v>
      </c>
      <c r="F986">
        <v>39</v>
      </c>
      <c r="G986" t="s">
        <v>866</v>
      </c>
    </row>
    <row r="987" spans="1:7">
      <c r="A987" t="s">
        <v>2813</v>
      </c>
      <c r="B987" t="s">
        <v>2814</v>
      </c>
      <c r="C987">
        <v>10</v>
      </c>
      <c r="D987" s="260">
        <v>46241</v>
      </c>
      <c r="E987" s="260">
        <v>46255</v>
      </c>
      <c r="F987">
        <v>50</v>
      </c>
      <c r="G987" t="s">
        <v>866</v>
      </c>
    </row>
    <row r="988" spans="1:7">
      <c r="A988" t="s">
        <v>2815</v>
      </c>
      <c r="B988" t="s">
        <v>2816</v>
      </c>
      <c r="C988">
        <v>10</v>
      </c>
      <c r="D988" s="260">
        <v>46272</v>
      </c>
      <c r="E988" s="260">
        <v>46283</v>
      </c>
      <c r="F988">
        <v>50</v>
      </c>
      <c r="G988" t="s">
        <v>866</v>
      </c>
    </row>
    <row r="989" spans="1:7">
      <c r="A989" t="s">
        <v>2817</v>
      </c>
      <c r="B989" t="s">
        <v>2818</v>
      </c>
      <c r="C989">
        <v>16</v>
      </c>
      <c r="D989" s="260">
        <v>46209</v>
      </c>
      <c r="E989" s="260">
        <v>46230</v>
      </c>
      <c r="F989">
        <v>39</v>
      </c>
      <c r="G989" t="s">
        <v>866</v>
      </c>
    </row>
    <row r="990" spans="1:7">
      <c r="A990" t="s">
        <v>2819</v>
      </c>
      <c r="B990" t="s">
        <v>2820</v>
      </c>
      <c r="C990">
        <v>10</v>
      </c>
      <c r="D990" s="260">
        <v>46251</v>
      </c>
      <c r="E990" s="260">
        <v>46262</v>
      </c>
      <c r="F990">
        <v>45</v>
      </c>
      <c r="G990" t="s">
        <v>866</v>
      </c>
    </row>
    <row r="991" spans="1:7">
      <c r="A991" t="s">
        <v>2821</v>
      </c>
      <c r="B991" t="s">
        <v>2822</v>
      </c>
      <c r="C991">
        <v>10</v>
      </c>
      <c r="D991" s="260">
        <v>46279</v>
      </c>
      <c r="E991" s="260">
        <v>46290</v>
      </c>
      <c r="F991">
        <v>45</v>
      </c>
      <c r="G991" t="s">
        <v>866</v>
      </c>
    </row>
    <row r="992" spans="1:7">
      <c r="A992" t="s">
        <v>2823</v>
      </c>
      <c r="B992" t="s">
        <v>2824</v>
      </c>
      <c r="C992">
        <v>15</v>
      </c>
      <c r="D992" s="260">
        <v>46218</v>
      </c>
      <c r="E992" s="260">
        <v>46241</v>
      </c>
      <c r="F992">
        <v>39</v>
      </c>
      <c r="G992" t="s">
        <v>866</v>
      </c>
    </row>
    <row r="993" spans="1:7">
      <c r="A993" t="s">
        <v>2825</v>
      </c>
      <c r="B993" t="s">
        <v>2826</v>
      </c>
      <c r="C993">
        <v>10</v>
      </c>
      <c r="D993" s="260">
        <v>46259</v>
      </c>
      <c r="E993" s="260">
        <v>46272</v>
      </c>
      <c r="F993">
        <v>39</v>
      </c>
      <c r="G993" t="s">
        <v>866</v>
      </c>
    </row>
    <row r="994" spans="1:7">
      <c r="A994" t="s">
        <v>2827</v>
      </c>
      <c r="B994" t="s">
        <v>2828</v>
      </c>
      <c r="C994">
        <v>10</v>
      </c>
      <c r="D994" s="260">
        <v>46287</v>
      </c>
      <c r="E994" s="260">
        <v>46300</v>
      </c>
      <c r="F994">
        <v>39</v>
      </c>
      <c r="G994" t="s">
        <v>866</v>
      </c>
    </row>
    <row r="995" spans="1:7">
      <c r="A995" t="s">
        <v>2829</v>
      </c>
      <c r="B995" t="s">
        <v>2830</v>
      </c>
      <c r="C995">
        <v>15</v>
      </c>
      <c r="D995" s="260">
        <v>46218</v>
      </c>
      <c r="E995" s="260">
        <v>46241</v>
      </c>
      <c r="F995">
        <v>39</v>
      </c>
      <c r="G995" t="s">
        <v>866</v>
      </c>
    </row>
    <row r="996" spans="1:7">
      <c r="A996" t="s">
        <v>2831</v>
      </c>
      <c r="B996" t="s">
        <v>2832</v>
      </c>
      <c r="C996">
        <v>10</v>
      </c>
      <c r="D996" s="260">
        <v>46259</v>
      </c>
      <c r="E996" s="260">
        <v>46272</v>
      </c>
      <c r="F996">
        <v>39</v>
      </c>
      <c r="G996" t="s">
        <v>866</v>
      </c>
    </row>
    <row r="997" spans="1:7">
      <c r="A997" t="s">
        <v>2833</v>
      </c>
      <c r="B997" t="s">
        <v>2834</v>
      </c>
      <c r="C997">
        <v>10</v>
      </c>
      <c r="D997" s="260">
        <v>46287</v>
      </c>
      <c r="E997" s="260">
        <v>46300</v>
      </c>
      <c r="F997">
        <v>39</v>
      </c>
      <c r="G997" t="s">
        <v>866</v>
      </c>
    </row>
    <row r="998" spans="1:7">
      <c r="A998" t="s">
        <v>2835</v>
      </c>
      <c r="B998" t="s">
        <v>2836</v>
      </c>
      <c r="C998">
        <v>15</v>
      </c>
      <c r="D998" s="260">
        <v>46218</v>
      </c>
      <c r="E998" s="260">
        <v>46241</v>
      </c>
      <c r="F998">
        <v>39</v>
      </c>
      <c r="G998" t="s">
        <v>866</v>
      </c>
    </row>
    <row r="999" spans="1:7">
      <c r="A999" t="s">
        <v>2837</v>
      </c>
      <c r="B999" t="s">
        <v>2838</v>
      </c>
      <c r="C999">
        <v>10</v>
      </c>
      <c r="D999" s="260">
        <v>46259</v>
      </c>
      <c r="E999" s="260">
        <v>46272</v>
      </c>
      <c r="F999">
        <v>39</v>
      </c>
      <c r="G999" t="s">
        <v>866</v>
      </c>
    </row>
    <row r="1000" spans="1:7">
      <c r="A1000" t="s">
        <v>2839</v>
      </c>
      <c r="B1000" t="s">
        <v>2840</v>
      </c>
      <c r="C1000">
        <v>10</v>
      </c>
      <c r="D1000" s="260">
        <v>46287</v>
      </c>
      <c r="E1000" s="260">
        <v>46300</v>
      </c>
      <c r="F1000">
        <v>39</v>
      </c>
      <c r="G1000" t="s">
        <v>866</v>
      </c>
    </row>
    <row r="1001" spans="1:7">
      <c r="A1001" t="s">
        <v>2841</v>
      </c>
      <c r="B1001" t="s">
        <v>2842</v>
      </c>
      <c r="C1001">
        <v>12</v>
      </c>
      <c r="D1001" s="260">
        <v>46225</v>
      </c>
      <c r="E1001" s="260">
        <v>46245</v>
      </c>
      <c r="F1001">
        <v>33</v>
      </c>
      <c r="G1001" t="s">
        <v>866</v>
      </c>
    </row>
    <row r="1002" spans="1:7">
      <c r="A1002" t="s">
        <v>2843</v>
      </c>
      <c r="B1002" t="s">
        <v>2844</v>
      </c>
      <c r="C1002">
        <v>10</v>
      </c>
      <c r="D1002" s="260">
        <v>46261</v>
      </c>
      <c r="E1002" s="260">
        <v>46274</v>
      </c>
      <c r="F1002">
        <v>37</v>
      </c>
      <c r="G1002" t="s">
        <v>866</v>
      </c>
    </row>
    <row r="1003" spans="1:7">
      <c r="A1003" t="s">
        <v>2845</v>
      </c>
      <c r="B1003" t="s">
        <v>2846</v>
      </c>
      <c r="C1003">
        <v>10</v>
      </c>
      <c r="D1003" s="260">
        <v>46289</v>
      </c>
      <c r="E1003" s="260">
        <v>46302</v>
      </c>
      <c r="F1003">
        <v>37</v>
      </c>
      <c r="G1003" t="s">
        <v>866</v>
      </c>
    </row>
    <row r="1004" spans="1:7">
      <c r="A1004" t="s">
        <v>2847</v>
      </c>
      <c r="B1004" t="s">
        <v>2848</v>
      </c>
      <c r="C1004">
        <v>12</v>
      </c>
      <c r="D1004" s="260">
        <v>46234</v>
      </c>
      <c r="E1004" s="260">
        <v>46252</v>
      </c>
      <c r="F1004">
        <v>33</v>
      </c>
      <c r="G1004" t="s">
        <v>866</v>
      </c>
    </row>
    <row r="1005" spans="1:7">
      <c r="A1005" t="s">
        <v>2849</v>
      </c>
      <c r="B1005" t="s">
        <v>2850</v>
      </c>
      <c r="C1005">
        <v>10</v>
      </c>
      <c r="D1005" s="260">
        <v>46267</v>
      </c>
      <c r="E1005" s="260">
        <v>46280</v>
      </c>
      <c r="F1005">
        <v>33</v>
      </c>
      <c r="G1005" t="s">
        <v>866</v>
      </c>
    </row>
    <row r="1006" spans="1:7">
      <c r="A1006" t="s">
        <v>2851</v>
      </c>
      <c r="B1006" t="s">
        <v>2852</v>
      </c>
      <c r="C1006">
        <v>10</v>
      </c>
      <c r="D1006" s="260">
        <v>46295</v>
      </c>
      <c r="E1006" s="260">
        <v>46309</v>
      </c>
      <c r="F1006">
        <v>33</v>
      </c>
      <c r="G1006" t="s">
        <v>866</v>
      </c>
    </row>
    <row r="1007" spans="1:7">
      <c r="A1007" t="s">
        <v>2853</v>
      </c>
      <c r="B1007" t="s">
        <v>2854</v>
      </c>
      <c r="C1007">
        <v>12</v>
      </c>
      <c r="D1007" s="260">
        <v>46234</v>
      </c>
      <c r="E1007" s="260">
        <v>46252</v>
      </c>
      <c r="F1007">
        <v>5</v>
      </c>
      <c r="G1007" t="s">
        <v>866</v>
      </c>
    </row>
    <row r="1008" spans="1:7">
      <c r="A1008" t="s">
        <v>2855</v>
      </c>
      <c r="B1008" t="s">
        <v>2856</v>
      </c>
      <c r="C1008">
        <v>10</v>
      </c>
      <c r="D1008" s="260">
        <v>46267</v>
      </c>
      <c r="E1008" s="260">
        <v>46280</v>
      </c>
      <c r="F1008">
        <v>33</v>
      </c>
      <c r="G1008" t="s">
        <v>866</v>
      </c>
    </row>
    <row r="1009" spans="1:7">
      <c r="A1009" t="s">
        <v>2857</v>
      </c>
      <c r="B1009" t="s">
        <v>2858</v>
      </c>
      <c r="C1009">
        <v>10</v>
      </c>
      <c r="D1009" s="260">
        <v>46295</v>
      </c>
      <c r="E1009" s="260">
        <v>46309</v>
      </c>
      <c r="F1009">
        <v>33</v>
      </c>
      <c r="G1009" t="s">
        <v>866</v>
      </c>
    </row>
    <row r="1010" spans="1:7">
      <c r="A1010" t="s">
        <v>2859</v>
      </c>
      <c r="B1010" t="s">
        <v>2860</v>
      </c>
      <c r="C1010">
        <v>12</v>
      </c>
      <c r="D1010" s="260">
        <v>46238</v>
      </c>
      <c r="E1010" s="260">
        <v>46254</v>
      </c>
      <c r="F1010">
        <v>5</v>
      </c>
      <c r="G1010" t="s">
        <v>866</v>
      </c>
    </row>
    <row r="1011" spans="1:7">
      <c r="A1011" t="s">
        <v>2861</v>
      </c>
      <c r="B1011" t="s">
        <v>2862</v>
      </c>
      <c r="C1011">
        <v>10</v>
      </c>
      <c r="D1011" s="260">
        <v>46269</v>
      </c>
      <c r="E1011" s="260">
        <v>46282</v>
      </c>
      <c r="F1011">
        <v>31</v>
      </c>
      <c r="G1011" t="s">
        <v>866</v>
      </c>
    </row>
    <row r="1012" spans="1:7">
      <c r="A1012" t="s">
        <v>2863</v>
      </c>
      <c r="B1012" t="s">
        <v>2864</v>
      </c>
      <c r="C1012">
        <v>10</v>
      </c>
      <c r="D1012" s="260">
        <v>46297</v>
      </c>
      <c r="E1012" s="260">
        <v>46311</v>
      </c>
      <c r="F1012">
        <v>31</v>
      </c>
      <c r="G1012" t="s">
        <v>866</v>
      </c>
    </row>
    <row r="1013" spans="1:7">
      <c r="A1013" t="s">
        <v>2865</v>
      </c>
      <c r="B1013" t="s">
        <v>2866</v>
      </c>
      <c r="C1013">
        <v>12</v>
      </c>
      <c r="D1013" s="260">
        <v>46238</v>
      </c>
      <c r="E1013" s="260">
        <v>46254</v>
      </c>
      <c r="F1013">
        <v>9</v>
      </c>
      <c r="G1013" t="s">
        <v>866</v>
      </c>
    </row>
    <row r="1014" spans="1:7">
      <c r="A1014" t="s">
        <v>2867</v>
      </c>
      <c r="B1014" t="s">
        <v>2868</v>
      </c>
      <c r="C1014">
        <v>10</v>
      </c>
      <c r="D1014" s="260">
        <v>46269</v>
      </c>
      <c r="E1014" s="260">
        <v>46282</v>
      </c>
      <c r="F1014">
        <v>31</v>
      </c>
      <c r="G1014" t="s">
        <v>866</v>
      </c>
    </row>
    <row r="1015" spans="1:7">
      <c r="A1015" t="s">
        <v>2869</v>
      </c>
      <c r="B1015" t="s">
        <v>2870</v>
      </c>
      <c r="C1015">
        <v>10</v>
      </c>
      <c r="D1015" s="260">
        <v>46297</v>
      </c>
      <c r="E1015" s="260">
        <v>46311</v>
      </c>
      <c r="F1015">
        <v>31</v>
      </c>
      <c r="G1015" t="s">
        <v>866</v>
      </c>
    </row>
    <row r="1016" spans="1:7">
      <c r="A1016" t="s">
        <v>2871</v>
      </c>
      <c r="B1016" t="s">
        <v>2872</v>
      </c>
      <c r="C1016">
        <v>12</v>
      </c>
      <c r="D1016" s="260">
        <v>46238</v>
      </c>
      <c r="E1016" s="260">
        <v>46254</v>
      </c>
      <c r="F1016">
        <v>9</v>
      </c>
      <c r="G1016" t="s">
        <v>866</v>
      </c>
    </row>
    <row r="1017" spans="1:7">
      <c r="A1017" t="s">
        <v>2873</v>
      </c>
      <c r="B1017" t="s">
        <v>2874</v>
      </c>
      <c r="C1017">
        <v>10</v>
      </c>
      <c r="D1017" s="260">
        <v>46269</v>
      </c>
      <c r="E1017" s="260">
        <v>46282</v>
      </c>
      <c r="F1017">
        <v>31</v>
      </c>
      <c r="G1017" t="s">
        <v>866</v>
      </c>
    </row>
    <row r="1018" spans="1:7">
      <c r="A1018" t="s">
        <v>2875</v>
      </c>
      <c r="B1018" t="s">
        <v>2876</v>
      </c>
      <c r="C1018">
        <v>10</v>
      </c>
      <c r="D1018" s="260">
        <v>46297</v>
      </c>
      <c r="E1018" s="260">
        <v>46311</v>
      </c>
      <c r="F1018">
        <v>31</v>
      </c>
      <c r="G1018" t="s">
        <v>866</v>
      </c>
    </row>
    <row r="1019" spans="1:7">
      <c r="A1019" t="s">
        <v>2877</v>
      </c>
      <c r="B1019" t="s">
        <v>2878</v>
      </c>
      <c r="C1019">
        <v>9</v>
      </c>
      <c r="D1019" s="260">
        <v>46244</v>
      </c>
      <c r="E1019" s="260">
        <v>46255</v>
      </c>
      <c r="F1019">
        <v>6</v>
      </c>
      <c r="G1019" t="s">
        <v>866</v>
      </c>
    </row>
    <row r="1020" spans="1:7">
      <c r="A1020" t="s">
        <v>2879</v>
      </c>
      <c r="B1020" t="s">
        <v>2880</v>
      </c>
      <c r="C1020">
        <v>5</v>
      </c>
      <c r="D1020" s="260">
        <v>46272</v>
      </c>
      <c r="E1020" s="260">
        <v>46276</v>
      </c>
      <c r="F1020">
        <v>35</v>
      </c>
      <c r="G1020" t="s">
        <v>866</v>
      </c>
    </row>
    <row r="1021" spans="1:7">
      <c r="A1021" t="s">
        <v>2881</v>
      </c>
      <c r="B1021" t="s">
        <v>2882</v>
      </c>
      <c r="C1021">
        <v>5</v>
      </c>
      <c r="D1021" s="260">
        <v>46293</v>
      </c>
      <c r="E1021" s="260">
        <v>46297</v>
      </c>
      <c r="F1021">
        <v>40</v>
      </c>
      <c r="G1021" t="s">
        <v>866</v>
      </c>
    </row>
    <row r="1022" spans="1:7">
      <c r="A1022" t="s">
        <v>2883</v>
      </c>
      <c r="B1022" t="s">
        <v>2884</v>
      </c>
      <c r="C1022">
        <v>10</v>
      </c>
      <c r="D1022" s="260">
        <v>46113</v>
      </c>
      <c r="E1022" s="260">
        <v>46132</v>
      </c>
      <c r="F1022">
        <v>142</v>
      </c>
      <c r="G1022" t="s">
        <v>866</v>
      </c>
    </row>
    <row r="1023" spans="1:7">
      <c r="A1023" t="s">
        <v>2885</v>
      </c>
      <c r="B1023" t="s">
        <v>2886</v>
      </c>
      <c r="C1023">
        <v>5</v>
      </c>
      <c r="D1023" s="260">
        <v>46148</v>
      </c>
      <c r="E1023" s="260">
        <v>46154</v>
      </c>
      <c r="F1023">
        <v>142</v>
      </c>
      <c r="G1023" t="s">
        <v>866</v>
      </c>
    </row>
    <row r="1024" spans="1:7">
      <c r="A1024" t="s">
        <v>2887</v>
      </c>
      <c r="B1024" t="s">
        <v>2888</v>
      </c>
      <c r="C1024">
        <v>5</v>
      </c>
      <c r="D1024" s="260">
        <v>46169</v>
      </c>
      <c r="E1024" s="260">
        <v>46177</v>
      </c>
      <c r="F1024">
        <v>142</v>
      </c>
      <c r="G1024" t="s">
        <v>866</v>
      </c>
    </row>
    <row r="1025" spans="1:7">
      <c r="A1025" t="s">
        <v>2889</v>
      </c>
      <c r="B1025" t="s">
        <v>2890</v>
      </c>
      <c r="C1025">
        <v>12</v>
      </c>
      <c r="D1025" s="260">
        <v>46128</v>
      </c>
      <c r="E1025" s="260">
        <v>46146</v>
      </c>
      <c r="F1025">
        <v>70</v>
      </c>
      <c r="G1025" t="s">
        <v>866</v>
      </c>
    </row>
    <row r="1026" spans="1:7">
      <c r="A1026" t="s">
        <v>2891</v>
      </c>
      <c r="B1026" t="s">
        <v>2892</v>
      </c>
      <c r="C1026">
        <v>5</v>
      </c>
      <c r="D1026" s="260">
        <v>46161</v>
      </c>
      <c r="E1026" s="260">
        <v>46167</v>
      </c>
      <c r="F1026">
        <v>103</v>
      </c>
      <c r="G1026" t="s">
        <v>866</v>
      </c>
    </row>
    <row r="1027" spans="1:7">
      <c r="A1027" t="s">
        <v>2893</v>
      </c>
      <c r="B1027" t="s">
        <v>2894</v>
      </c>
      <c r="C1027">
        <v>5</v>
      </c>
      <c r="D1027" s="260">
        <v>46184</v>
      </c>
      <c r="E1027" s="260">
        <v>46190</v>
      </c>
      <c r="F1027">
        <v>108</v>
      </c>
      <c r="G1027" t="s">
        <v>866</v>
      </c>
    </row>
    <row r="1028" spans="1:7">
      <c r="A1028" t="s">
        <v>2895</v>
      </c>
      <c r="B1028" t="s">
        <v>2896</v>
      </c>
      <c r="C1028">
        <v>15</v>
      </c>
      <c r="D1028" s="260">
        <v>46132</v>
      </c>
      <c r="E1028" s="260">
        <v>46153</v>
      </c>
      <c r="F1028">
        <v>128</v>
      </c>
      <c r="G1028" t="s">
        <v>866</v>
      </c>
    </row>
    <row r="1029" spans="1:7">
      <c r="A1029" t="s">
        <v>2897</v>
      </c>
      <c r="B1029" t="s">
        <v>2898</v>
      </c>
      <c r="C1029">
        <v>5</v>
      </c>
      <c r="D1029" s="260">
        <v>46168</v>
      </c>
      <c r="E1029" s="260">
        <v>46175</v>
      </c>
      <c r="F1029">
        <v>128</v>
      </c>
      <c r="G1029" t="s">
        <v>866</v>
      </c>
    </row>
    <row r="1030" spans="1:7">
      <c r="A1030" t="s">
        <v>2899</v>
      </c>
      <c r="B1030" t="s">
        <v>2900</v>
      </c>
      <c r="C1030">
        <v>5</v>
      </c>
      <c r="D1030" s="260">
        <v>46191</v>
      </c>
      <c r="E1030" s="260">
        <v>46197</v>
      </c>
      <c r="F1030">
        <v>128</v>
      </c>
      <c r="G1030" t="s">
        <v>866</v>
      </c>
    </row>
    <row r="1031" spans="1:7">
      <c r="A1031" t="s">
        <v>2901</v>
      </c>
      <c r="B1031" t="s">
        <v>2902</v>
      </c>
      <c r="C1031">
        <v>19</v>
      </c>
      <c r="D1031" s="260">
        <v>46160</v>
      </c>
      <c r="E1031" s="260">
        <v>46188</v>
      </c>
      <c r="F1031">
        <v>95</v>
      </c>
      <c r="G1031" t="s">
        <v>866</v>
      </c>
    </row>
    <row r="1032" spans="1:7">
      <c r="A1032" t="s">
        <v>2903</v>
      </c>
      <c r="B1032" t="s">
        <v>2904</v>
      </c>
      <c r="C1032">
        <v>10</v>
      </c>
      <c r="D1032" s="260">
        <v>46203</v>
      </c>
      <c r="E1032" s="260">
        <v>46216</v>
      </c>
      <c r="F1032">
        <v>95</v>
      </c>
      <c r="G1032" t="s">
        <v>866</v>
      </c>
    </row>
    <row r="1033" spans="1:7">
      <c r="A1033" t="s">
        <v>2905</v>
      </c>
      <c r="B1033" t="s">
        <v>2906</v>
      </c>
      <c r="C1033">
        <v>10</v>
      </c>
      <c r="D1033" s="260">
        <v>46234</v>
      </c>
      <c r="E1033" s="260">
        <v>46248</v>
      </c>
      <c r="F1033">
        <v>95</v>
      </c>
      <c r="G1033" t="s">
        <v>866</v>
      </c>
    </row>
    <row r="1034" spans="1:7">
      <c r="A1034" t="s">
        <v>2907</v>
      </c>
      <c r="B1034" t="s">
        <v>2908</v>
      </c>
      <c r="C1034">
        <v>20</v>
      </c>
      <c r="D1034" s="260">
        <v>46147</v>
      </c>
      <c r="E1034" s="260">
        <v>46175</v>
      </c>
      <c r="F1034">
        <v>103</v>
      </c>
      <c r="G1034" t="s">
        <v>866</v>
      </c>
    </row>
    <row r="1035" spans="1:7">
      <c r="A1035" t="s">
        <v>2909</v>
      </c>
      <c r="B1035" t="s">
        <v>2910</v>
      </c>
      <c r="C1035">
        <v>10</v>
      </c>
      <c r="D1035" s="260">
        <v>46191</v>
      </c>
      <c r="E1035" s="260">
        <v>46204</v>
      </c>
      <c r="F1035">
        <v>103</v>
      </c>
      <c r="G1035" t="s">
        <v>866</v>
      </c>
    </row>
    <row r="1036" spans="1:7">
      <c r="A1036" t="s">
        <v>2911</v>
      </c>
      <c r="B1036" t="s">
        <v>2912</v>
      </c>
      <c r="C1036">
        <v>10</v>
      </c>
      <c r="D1036" s="260">
        <v>46219</v>
      </c>
      <c r="E1036" s="260">
        <v>46237</v>
      </c>
      <c r="F1036">
        <v>103</v>
      </c>
      <c r="G1036" t="s">
        <v>866</v>
      </c>
    </row>
    <row r="1037" spans="1:7">
      <c r="A1037" t="s">
        <v>2913</v>
      </c>
      <c r="B1037" t="s">
        <v>2914</v>
      </c>
      <c r="C1037">
        <v>19</v>
      </c>
      <c r="D1037" s="260">
        <v>46167</v>
      </c>
      <c r="E1037" s="260">
        <v>46195</v>
      </c>
      <c r="F1037">
        <v>90</v>
      </c>
      <c r="G1037" t="s">
        <v>866</v>
      </c>
    </row>
    <row r="1038" spans="1:7">
      <c r="A1038" t="s">
        <v>2915</v>
      </c>
      <c r="B1038" t="s">
        <v>2916</v>
      </c>
      <c r="C1038">
        <v>10</v>
      </c>
      <c r="D1038" s="260">
        <v>46210</v>
      </c>
      <c r="E1038" s="260">
        <v>46223</v>
      </c>
      <c r="F1038">
        <v>90</v>
      </c>
      <c r="G1038" t="s">
        <v>866</v>
      </c>
    </row>
    <row r="1039" spans="1:7">
      <c r="A1039" t="s">
        <v>2917</v>
      </c>
      <c r="B1039" t="s">
        <v>2918</v>
      </c>
      <c r="C1039">
        <v>10</v>
      </c>
      <c r="D1039" s="260">
        <v>46241</v>
      </c>
      <c r="E1039" s="260">
        <v>46255</v>
      </c>
      <c r="F1039">
        <v>90</v>
      </c>
      <c r="G1039" t="s">
        <v>866</v>
      </c>
    </row>
    <row r="1040" spans="1:7">
      <c r="A1040" t="s">
        <v>2919</v>
      </c>
      <c r="B1040" t="s">
        <v>2920</v>
      </c>
      <c r="C1040">
        <v>19</v>
      </c>
      <c r="D1040" s="260">
        <v>46175</v>
      </c>
      <c r="E1040" s="260">
        <v>46202</v>
      </c>
      <c r="F1040">
        <v>85</v>
      </c>
      <c r="G1040" t="s">
        <v>866</v>
      </c>
    </row>
    <row r="1041" spans="1:7">
      <c r="A1041" t="s">
        <v>2921</v>
      </c>
      <c r="B1041" t="s">
        <v>2922</v>
      </c>
      <c r="C1041">
        <v>10</v>
      </c>
      <c r="D1041" s="260">
        <v>46217</v>
      </c>
      <c r="E1041" s="260">
        <v>46230</v>
      </c>
      <c r="F1041">
        <v>85</v>
      </c>
      <c r="G1041" t="s">
        <v>866</v>
      </c>
    </row>
    <row r="1042" spans="1:7">
      <c r="A1042" t="s">
        <v>2923</v>
      </c>
      <c r="B1042" t="s">
        <v>2924</v>
      </c>
      <c r="C1042">
        <v>10</v>
      </c>
      <c r="D1042" s="260">
        <v>46251</v>
      </c>
      <c r="E1042" s="260">
        <v>46262</v>
      </c>
      <c r="F1042">
        <v>85</v>
      </c>
      <c r="G1042" t="s">
        <v>866</v>
      </c>
    </row>
    <row r="1043" spans="1:7">
      <c r="A1043" t="s">
        <v>2925</v>
      </c>
      <c r="B1043" t="s">
        <v>2926</v>
      </c>
      <c r="C1043">
        <v>21</v>
      </c>
      <c r="D1043" s="260">
        <v>46188</v>
      </c>
      <c r="E1043" s="260">
        <v>46216</v>
      </c>
      <c r="F1043">
        <v>49</v>
      </c>
      <c r="G1043" t="s">
        <v>866</v>
      </c>
    </row>
    <row r="1044" spans="1:7">
      <c r="A1044" t="s">
        <v>2927</v>
      </c>
      <c r="B1044" t="s">
        <v>2928</v>
      </c>
      <c r="C1044">
        <v>10</v>
      </c>
      <c r="D1044" s="260">
        <v>46234</v>
      </c>
      <c r="E1044" s="260">
        <v>46248</v>
      </c>
      <c r="F1044">
        <v>75</v>
      </c>
      <c r="G1044" t="s">
        <v>866</v>
      </c>
    </row>
    <row r="1045" spans="1:7">
      <c r="A1045" t="s">
        <v>2929</v>
      </c>
      <c r="B1045" t="s">
        <v>2930</v>
      </c>
      <c r="C1045">
        <v>10</v>
      </c>
      <c r="D1045" s="260">
        <v>46265</v>
      </c>
      <c r="E1045" s="260">
        <v>46276</v>
      </c>
      <c r="F1045">
        <v>75</v>
      </c>
      <c r="G1045" t="s">
        <v>866</v>
      </c>
    </row>
    <row r="1046" spans="1:7">
      <c r="A1046" t="s">
        <v>2931</v>
      </c>
      <c r="B1046" t="s">
        <v>2932</v>
      </c>
      <c r="C1046">
        <v>21</v>
      </c>
      <c r="D1046" s="260">
        <v>46195</v>
      </c>
      <c r="E1046" s="260">
        <v>46223</v>
      </c>
      <c r="F1046">
        <v>49</v>
      </c>
      <c r="G1046" t="s">
        <v>866</v>
      </c>
    </row>
    <row r="1047" spans="1:7">
      <c r="A1047" t="s">
        <v>2933</v>
      </c>
      <c r="B1047" t="s">
        <v>2934</v>
      </c>
      <c r="C1047">
        <v>10</v>
      </c>
      <c r="D1047" s="260">
        <v>46241</v>
      </c>
      <c r="E1047" s="260">
        <v>46255</v>
      </c>
      <c r="F1047">
        <v>70</v>
      </c>
      <c r="G1047" t="s">
        <v>866</v>
      </c>
    </row>
    <row r="1048" spans="1:7">
      <c r="A1048" t="s">
        <v>2935</v>
      </c>
      <c r="B1048" t="s">
        <v>2936</v>
      </c>
      <c r="C1048">
        <v>10</v>
      </c>
      <c r="D1048" s="260">
        <v>46272</v>
      </c>
      <c r="E1048" s="260">
        <v>46283</v>
      </c>
      <c r="F1048">
        <v>70</v>
      </c>
      <c r="G1048" t="s">
        <v>866</v>
      </c>
    </row>
    <row r="1049" spans="1:7">
      <c r="A1049" t="s">
        <v>2937</v>
      </c>
      <c r="B1049" t="s">
        <v>2938</v>
      </c>
      <c r="C1049">
        <v>13</v>
      </c>
      <c r="D1049" s="260">
        <v>46223</v>
      </c>
      <c r="E1049" s="260">
        <v>46244</v>
      </c>
      <c r="F1049">
        <v>49</v>
      </c>
      <c r="G1049" t="s">
        <v>866</v>
      </c>
    </row>
    <row r="1050" spans="1:7">
      <c r="A1050" t="s">
        <v>2939</v>
      </c>
      <c r="B1050" t="s">
        <v>2940</v>
      </c>
      <c r="C1050">
        <v>10</v>
      </c>
      <c r="D1050" s="260">
        <v>46260</v>
      </c>
      <c r="E1050" s="260">
        <v>46273</v>
      </c>
      <c r="F1050">
        <v>58</v>
      </c>
      <c r="G1050" t="s">
        <v>866</v>
      </c>
    </row>
    <row r="1051" spans="1:7">
      <c r="A1051" t="s">
        <v>2941</v>
      </c>
      <c r="B1051" t="s">
        <v>2942</v>
      </c>
      <c r="C1051">
        <v>10</v>
      </c>
      <c r="D1051" s="260">
        <v>46288</v>
      </c>
      <c r="E1051" s="260">
        <v>46301</v>
      </c>
      <c r="F1051">
        <v>58</v>
      </c>
      <c r="G1051" t="s">
        <v>866</v>
      </c>
    </row>
    <row r="1052" spans="1:7">
      <c r="A1052" t="s">
        <v>2943</v>
      </c>
      <c r="B1052" t="s">
        <v>2944</v>
      </c>
      <c r="C1052">
        <v>12</v>
      </c>
      <c r="D1052" s="260">
        <v>46230</v>
      </c>
      <c r="E1052" s="260">
        <v>46251</v>
      </c>
      <c r="F1052">
        <v>49</v>
      </c>
      <c r="G1052" t="s">
        <v>866</v>
      </c>
    </row>
    <row r="1053" spans="1:7">
      <c r="A1053" t="s">
        <v>2945</v>
      </c>
      <c r="B1053" t="s">
        <v>2946</v>
      </c>
      <c r="C1053">
        <v>15</v>
      </c>
      <c r="D1053" s="260">
        <v>46266</v>
      </c>
      <c r="E1053" s="260">
        <v>46286</v>
      </c>
      <c r="F1053">
        <v>49</v>
      </c>
      <c r="G1053" t="s">
        <v>866</v>
      </c>
    </row>
    <row r="1054" spans="1:7">
      <c r="A1054" t="s">
        <v>2947</v>
      </c>
      <c r="B1054" t="s">
        <v>2948</v>
      </c>
      <c r="C1054">
        <v>10</v>
      </c>
      <c r="D1054" s="260">
        <v>46301</v>
      </c>
      <c r="E1054" s="260">
        <v>46315</v>
      </c>
      <c r="F1054">
        <v>49</v>
      </c>
      <c r="G1054" t="s">
        <v>866</v>
      </c>
    </row>
    <row r="1055" spans="1:7">
      <c r="A1055" t="s">
        <v>2949</v>
      </c>
      <c r="B1055" t="s">
        <v>2950</v>
      </c>
      <c r="C1055">
        <v>17</v>
      </c>
      <c r="D1055" s="260">
        <v>46128</v>
      </c>
      <c r="E1055" s="260">
        <v>46153</v>
      </c>
      <c r="F1055">
        <v>118</v>
      </c>
      <c r="G1055" t="s">
        <v>866</v>
      </c>
    </row>
    <row r="1056" spans="1:7">
      <c r="A1056" t="s">
        <v>2951</v>
      </c>
      <c r="B1056" t="s">
        <v>2952</v>
      </c>
      <c r="C1056">
        <v>10</v>
      </c>
      <c r="D1056" s="260">
        <v>46168</v>
      </c>
      <c r="E1056" s="260">
        <v>46183</v>
      </c>
      <c r="F1056">
        <v>118</v>
      </c>
      <c r="G1056" t="s">
        <v>866</v>
      </c>
    </row>
    <row r="1057" spans="1:7">
      <c r="A1057" t="s">
        <v>2953</v>
      </c>
      <c r="B1057" t="s">
        <v>2954</v>
      </c>
      <c r="C1057">
        <v>10</v>
      </c>
      <c r="D1057" s="260">
        <v>46198</v>
      </c>
      <c r="E1057" s="260">
        <v>46211</v>
      </c>
      <c r="F1057">
        <v>118</v>
      </c>
      <c r="G1057" t="s">
        <v>866</v>
      </c>
    </row>
    <row r="1058" spans="1:7">
      <c r="A1058" t="s">
        <v>2955</v>
      </c>
      <c r="B1058" t="s">
        <v>2956</v>
      </c>
      <c r="C1058">
        <v>16</v>
      </c>
      <c r="D1058" s="260">
        <v>46245</v>
      </c>
      <c r="E1058" s="260">
        <v>46267</v>
      </c>
      <c r="F1058">
        <v>42</v>
      </c>
      <c r="G1058" t="s">
        <v>866</v>
      </c>
    </row>
    <row r="1059" spans="1:7">
      <c r="A1059" t="s">
        <v>2957</v>
      </c>
      <c r="B1059" t="s">
        <v>2958</v>
      </c>
      <c r="C1059">
        <v>10</v>
      </c>
      <c r="D1059" s="260">
        <v>46282</v>
      </c>
      <c r="E1059" s="260">
        <v>46295</v>
      </c>
      <c r="F1059">
        <v>42</v>
      </c>
      <c r="G1059" t="s">
        <v>866</v>
      </c>
    </row>
    <row r="1060" spans="1:7">
      <c r="A1060" t="s">
        <v>2959</v>
      </c>
      <c r="B1060" t="s">
        <v>2960</v>
      </c>
      <c r="C1060">
        <v>10</v>
      </c>
      <c r="D1060" s="260">
        <v>46311</v>
      </c>
      <c r="E1060" s="260">
        <v>46325</v>
      </c>
      <c r="F1060">
        <v>42</v>
      </c>
      <c r="G1060" t="s">
        <v>866</v>
      </c>
    </row>
    <row r="1061" spans="1:7">
      <c r="A1061" t="s">
        <v>2961</v>
      </c>
      <c r="B1061" t="s">
        <v>2962</v>
      </c>
      <c r="C1061">
        <v>17</v>
      </c>
      <c r="D1061" s="260">
        <v>46199</v>
      </c>
      <c r="E1061" s="260">
        <v>46223</v>
      </c>
      <c r="F1061">
        <v>59</v>
      </c>
      <c r="G1061" t="s">
        <v>866</v>
      </c>
    </row>
    <row r="1062" spans="1:7">
      <c r="A1062" t="s">
        <v>2963</v>
      </c>
      <c r="B1062" t="s">
        <v>2964</v>
      </c>
      <c r="C1062">
        <v>10</v>
      </c>
      <c r="D1062" s="260">
        <v>46241</v>
      </c>
      <c r="E1062" s="260">
        <v>46255</v>
      </c>
      <c r="F1062">
        <v>60</v>
      </c>
      <c r="G1062" t="s">
        <v>866</v>
      </c>
    </row>
    <row r="1063" spans="1:7">
      <c r="A1063" t="s">
        <v>2965</v>
      </c>
      <c r="B1063" t="s">
        <v>2966</v>
      </c>
      <c r="C1063">
        <v>10</v>
      </c>
      <c r="D1063" s="260">
        <v>46272</v>
      </c>
      <c r="E1063" s="260">
        <v>46283</v>
      </c>
      <c r="F1063">
        <v>60</v>
      </c>
      <c r="G1063" t="s">
        <v>866</v>
      </c>
    </row>
    <row r="1064" spans="1:7">
      <c r="A1064" t="s">
        <v>2967</v>
      </c>
      <c r="B1064" t="s">
        <v>2968</v>
      </c>
      <c r="C1064">
        <v>17</v>
      </c>
      <c r="D1064" s="260">
        <v>46199</v>
      </c>
      <c r="E1064" s="260">
        <v>46223</v>
      </c>
      <c r="F1064">
        <v>70</v>
      </c>
      <c r="G1064" t="s">
        <v>866</v>
      </c>
    </row>
    <row r="1065" spans="1:7">
      <c r="A1065" t="s">
        <v>2969</v>
      </c>
      <c r="B1065" t="s">
        <v>2970</v>
      </c>
      <c r="C1065">
        <v>10</v>
      </c>
      <c r="D1065" s="260">
        <v>46241</v>
      </c>
      <c r="E1065" s="260">
        <v>46255</v>
      </c>
      <c r="F1065">
        <v>70</v>
      </c>
      <c r="G1065" t="s">
        <v>866</v>
      </c>
    </row>
    <row r="1066" spans="1:7">
      <c r="A1066" t="s">
        <v>2971</v>
      </c>
      <c r="B1066" t="s">
        <v>2972</v>
      </c>
      <c r="C1066">
        <v>10</v>
      </c>
      <c r="D1066" s="260">
        <v>46272</v>
      </c>
      <c r="E1066" s="260">
        <v>46283</v>
      </c>
      <c r="F1066">
        <v>70</v>
      </c>
      <c r="G1066" t="s">
        <v>866</v>
      </c>
    </row>
    <row r="1067" spans="1:7">
      <c r="A1067" t="s">
        <v>2973</v>
      </c>
      <c r="B1067" t="s">
        <v>2974</v>
      </c>
      <c r="C1067">
        <v>16</v>
      </c>
      <c r="D1067" s="260">
        <v>46209</v>
      </c>
      <c r="E1067" s="260">
        <v>46230</v>
      </c>
      <c r="F1067">
        <v>65</v>
      </c>
      <c r="G1067" t="s">
        <v>866</v>
      </c>
    </row>
    <row r="1068" spans="1:7">
      <c r="A1068" t="s">
        <v>2975</v>
      </c>
      <c r="B1068" t="s">
        <v>2976</v>
      </c>
      <c r="C1068">
        <v>10</v>
      </c>
      <c r="D1068" s="260">
        <v>46251</v>
      </c>
      <c r="E1068" s="260">
        <v>46262</v>
      </c>
      <c r="F1068">
        <v>65</v>
      </c>
      <c r="G1068" t="s">
        <v>866</v>
      </c>
    </row>
    <row r="1069" spans="1:7">
      <c r="A1069" t="s">
        <v>2977</v>
      </c>
      <c r="B1069" t="s">
        <v>2978</v>
      </c>
      <c r="C1069">
        <v>10</v>
      </c>
      <c r="D1069" s="260">
        <v>46279</v>
      </c>
      <c r="E1069" s="260">
        <v>46290</v>
      </c>
      <c r="F1069">
        <v>65</v>
      </c>
      <c r="G1069" t="s">
        <v>866</v>
      </c>
    </row>
    <row r="1070" spans="1:7">
      <c r="A1070" t="s">
        <v>2979</v>
      </c>
      <c r="B1070" t="s">
        <v>2980</v>
      </c>
      <c r="C1070">
        <v>15</v>
      </c>
      <c r="D1070" s="260">
        <v>46218</v>
      </c>
      <c r="E1070" s="260">
        <v>46241</v>
      </c>
      <c r="F1070">
        <v>59</v>
      </c>
      <c r="G1070" t="s">
        <v>866</v>
      </c>
    </row>
    <row r="1071" spans="1:7">
      <c r="A1071" t="s">
        <v>2981</v>
      </c>
      <c r="B1071" t="s">
        <v>2982</v>
      </c>
      <c r="C1071">
        <v>10</v>
      </c>
      <c r="D1071" s="260">
        <v>46259</v>
      </c>
      <c r="E1071" s="260">
        <v>46272</v>
      </c>
      <c r="F1071">
        <v>59</v>
      </c>
      <c r="G1071" t="s">
        <v>866</v>
      </c>
    </row>
    <row r="1072" spans="1:7">
      <c r="A1072" t="s">
        <v>2983</v>
      </c>
      <c r="B1072" t="s">
        <v>2984</v>
      </c>
      <c r="C1072">
        <v>10</v>
      </c>
      <c r="D1072" s="260">
        <v>46287</v>
      </c>
      <c r="E1072" s="260">
        <v>46300</v>
      </c>
      <c r="F1072">
        <v>59</v>
      </c>
      <c r="G1072" t="s">
        <v>866</v>
      </c>
    </row>
    <row r="1073" spans="1:7">
      <c r="A1073" t="s">
        <v>2985</v>
      </c>
      <c r="B1073" t="s">
        <v>2986</v>
      </c>
      <c r="C1073">
        <v>15</v>
      </c>
      <c r="D1073" s="260">
        <v>46218</v>
      </c>
      <c r="E1073" s="260">
        <v>46241</v>
      </c>
      <c r="F1073">
        <v>59</v>
      </c>
      <c r="G1073" t="s">
        <v>866</v>
      </c>
    </row>
    <row r="1074" spans="1:7">
      <c r="A1074" t="s">
        <v>2987</v>
      </c>
      <c r="B1074" t="s">
        <v>2988</v>
      </c>
      <c r="C1074">
        <v>10</v>
      </c>
      <c r="D1074" s="260">
        <v>46259</v>
      </c>
      <c r="E1074" s="260">
        <v>46272</v>
      </c>
      <c r="F1074">
        <v>59</v>
      </c>
      <c r="G1074" t="s">
        <v>866</v>
      </c>
    </row>
    <row r="1075" spans="1:7">
      <c r="A1075" t="s">
        <v>2989</v>
      </c>
      <c r="B1075" t="s">
        <v>2990</v>
      </c>
      <c r="C1075">
        <v>10</v>
      </c>
      <c r="D1075" s="260">
        <v>46287</v>
      </c>
      <c r="E1075" s="260">
        <v>46300</v>
      </c>
      <c r="F1075">
        <v>59</v>
      </c>
      <c r="G1075" t="s">
        <v>866</v>
      </c>
    </row>
    <row r="1076" spans="1:7">
      <c r="A1076" t="s">
        <v>2991</v>
      </c>
      <c r="B1076" t="s">
        <v>2992</v>
      </c>
      <c r="C1076">
        <v>15</v>
      </c>
      <c r="D1076" s="260">
        <v>46218</v>
      </c>
      <c r="E1076" s="260">
        <v>46241</v>
      </c>
      <c r="F1076">
        <v>59</v>
      </c>
      <c r="G1076" t="s">
        <v>866</v>
      </c>
    </row>
    <row r="1077" spans="1:7">
      <c r="A1077" t="s">
        <v>2993</v>
      </c>
      <c r="B1077" t="s">
        <v>2994</v>
      </c>
      <c r="C1077">
        <v>10</v>
      </c>
      <c r="D1077" s="260">
        <v>46259</v>
      </c>
      <c r="E1077" s="260">
        <v>46272</v>
      </c>
      <c r="F1077">
        <v>59</v>
      </c>
      <c r="G1077" t="s">
        <v>866</v>
      </c>
    </row>
    <row r="1078" spans="1:7">
      <c r="A1078" t="s">
        <v>2995</v>
      </c>
      <c r="B1078" t="s">
        <v>2996</v>
      </c>
      <c r="C1078">
        <v>10</v>
      </c>
      <c r="D1078" s="260">
        <v>46287</v>
      </c>
      <c r="E1078" s="260">
        <v>46300</v>
      </c>
      <c r="F1078">
        <v>59</v>
      </c>
      <c r="G1078" t="s">
        <v>866</v>
      </c>
    </row>
    <row r="1079" spans="1:7">
      <c r="A1079" t="s">
        <v>2997</v>
      </c>
      <c r="B1079" t="s">
        <v>2998</v>
      </c>
      <c r="C1079">
        <v>12</v>
      </c>
      <c r="D1079" s="260">
        <v>46225</v>
      </c>
      <c r="E1079" s="260">
        <v>46245</v>
      </c>
      <c r="F1079">
        <v>57</v>
      </c>
      <c r="G1079" t="s">
        <v>866</v>
      </c>
    </row>
    <row r="1080" spans="1:7">
      <c r="A1080" t="s">
        <v>2999</v>
      </c>
      <c r="B1080" t="s">
        <v>3000</v>
      </c>
      <c r="C1080">
        <v>10</v>
      </c>
      <c r="D1080" s="260">
        <v>46261</v>
      </c>
      <c r="E1080" s="260">
        <v>46274</v>
      </c>
      <c r="F1080">
        <v>57</v>
      </c>
      <c r="G1080" t="s">
        <v>866</v>
      </c>
    </row>
    <row r="1081" spans="1:7">
      <c r="A1081" t="s">
        <v>3001</v>
      </c>
      <c r="B1081" t="s">
        <v>3002</v>
      </c>
      <c r="C1081">
        <v>10</v>
      </c>
      <c r="D1081" s="260">
        <v>46289</v>
      </c>
      <c r="E1081" s="260">
        <v>46302</v>
      </c>
      <c r="F1081">
        <v>57</v>
      </c>
      <c r="G1081" t="s">
        <v>866</v>
      </c>
    </row>
    <row r="1082" spans="1:7">
      <c r="A1082" t="s">
        <v>3003</v>
      </c>
      <c r="B1082" t="s">
        <v>3004</v>
      </c>
      <c r="C1082">
        <v>12</v>
      </c>
      <c r="D1082" s="260">
        <v>46234</v>
      </c>
      <c r="E1082" s="260">
        <v>46252</v>
      </c>
      <c r="F1082">
        <v>53</v>
      </c>
      <c r="G1082" t="s">
        <v>866</v>
      </c>
    </row>
    <row r="1083" spans="1:7">
      <c r="A1083" t="s">
        <v>3005</v>
      </c>
      <c r="B1083" t="s">
        <v>3006</v>
      </c>
      <c r="C1083">
        <v>10</v>
      </c>
      <c r="D1083" s="260">
        <v>46267</v>
      </c>
      <c r="E1083" s="260">
        <v>46280</v>
      </c>
      <c r="F1083">
        <v>53</v>
      </c>
      <c r="G1083" t="s">
        <v>866</v>
      </c>
    </row>
    <row r="1084" spans="1:7">
      <c r="A1084" t="s">
        <v>3007</v>
      </c>
      <c r="B1084" t="s">
        <v>3008</v>
      </c>
      <c r="C1084">
        <v>10</v>
      </c>
      <c r="D1084" s="260">
        <v>46295</v>
      </c>
      <c r="E1084" s="260">
        <v>46309</v>
      </c>
      <c r="F1084">
        <v>53</v>
      </c>
      <c r="G1084" t="s">
        <v>866</v>
      </c>
    </row>
    <row r="1085" spans="1:7">
      <c r="A1085" t="s">
        <v>3009</v>
      </c>
      <c r="B1085" t="s">
        <v>3010</v>
      </c>
      <c r="C1085">
        <v>12</v>
      </c>
      <c r="D1085" s="260">
        <v>46234</v>
      </c>
      <c r="E1085" s="260">
        <v>46252</v>
      </c>
      <c r="F1085">
        <v>53</v>
      </c>
      <c r="G1085" t="s">
        <v>866</v>
      </c>
    </row>
    <row r="1086" spans="1:7">
      <c r="A1086" t="s">
        <v>3011</v>
      </c>
      <c r="B1086" t="s">
        <v>3012</v>
      </c>
      <c r="C1086">
        <v>10</v>
      </c>
      <c r="D1086" s="260">
        <v>46267</v>
      </c>
      <c r="E1086" s="260">
        <v>46280</v>
      </c>
      <c r="F1086">
        <v>53</v>
      </c>
      <c r="G1086" t="s">
        <v>866</v>
      </c>
    </row>
    <row r="1087" spans="1:7">
      <c r="A1087" t="s">
        <v>3013</v>
      </c>
      <c r="B1087" t="s">
        <v>3014</v>
      </c>
      <c r="C1087">
        <v>10</v>
      </c>
      <c r="D1087" s="260">
        <v>46295</v>
      </c>
      <c r="E1087" s="260">
        <v>46309</v>
      </c>
      <c r="F1087">
        <v>53</v>
      </c>
      <c r="G1087" t="s">
        <v>866</v>
      </c>
    </row>
    <row r="1088" spans="1:7">
      <c r="A1088" t="s">
        <v>3015</v>
      </c>
      <c r="B1088" t="s">
        <v>3016</v>
      </c>
      <c r="C1088">
        <v>11</v>
      </c>
      <c r="D1088" s="260">
        <v>46244</v>
      </c>
      <c r="E1088" s="260">
        <v>46259</v>
      </c>
      <c r="F1088">
        <v>48</v>
      </c>
      <c r="G1088" t="s">
        <v>866</v>
      </c>
    </row>
    <row r="1089" spans="1:7">
      <c r="A1089" t="s">
        <v>3017</v>
      </c>
      <c r="B1089" t="s">
        <v>3018</v>
      </c>
      <c r="C1089">
        <v>10</v>
      </c>
      <c r="D1089" s="260">
        <v>46274</v>
      </c>
      <c r="E1089" s="260">
        <v>46287</v>
      </c>
      <c r="F1089">
        <v>48</v>
      </c>
      <c r="G1089" t="s">
        <v>866</v>
      </c>
    </row>
    <row r="1090" spans="1:7">
      <c r="A1090" t="s">
        <v>3019</v>
      </c>
      <c r="B1090" t="s">
        <v>3020</v>
      </c>
      <c r="C1090">
        <v>10</v>
      </c>
      <c r="D1090" s="260">
        <v>46302</v>
      </c>
      <c r="E1090" s="260">
        <v>46316</v>
      </c>
      <c r="F1090">
        <v>48</v>
      </c>
      <c r="G1090" t="s">
        <v>866</v>
      </c>
    </row>
    <row r="1091" spans="1:7">
      <c r="A1091" t="s">
        <v>3021</v>
      </c>
      <c r="B1091" t="s">
        <v>3022</v>
      </c>
      <c r="C1091">
        <v>11</v>
      </c>
      <c r="D1091" s="260">
        <v>46244</v>
      </c>
      <c r="E1091" s="260">
        <v>46259</v>
      </c>
      <c r="F1091">
        <v>48</v>
      </c>
      <c r="G1091" t="s">
        <v>866</v>
      </c>
    </row>
    <row r="1092" spans="1:7">
      <c r="A1092" t="s">
        <v>3023</v>
      </c>
      <c r="B1092" t="s">
        <v>3024</v>
      </c>
      <c r="C1092">
        <v>10</v>
      </c>
      <c r="D1092" s="260">
        <v>46274</v>
      </c>
      <c r="E1092" s="260">
        <v>46287</v>
      </c>
      <c r="F1092">
        <v>48</v>
      </c>
      <c r="G1092" t="s">
        <v>866</v>
      </c>
    </row>
    <row r="1093" spans="1:7">
      <c r="A1093" t="s">
        <v>3025</v>
      </c>
      <c r="B1093" t="s">
        <v>3026</v>
      </c>
      <c r="C1093">
        <v>10</v>
      </c>
      <c r="D1093" s="260">
        <v>46302</v>
      </c>
      <c r="E1093" s="260">
        <v>46316</v>
      </c>
      <c r="F1093">
        <v>48</v>
      </c>
      <c r="G1093" t="s">
        <v>866</v>
      </c>
    </row>
    <row r="1094" spans="1:7">
      <c r="A1094" t="s">
        <v>3027</v>
      </c>
      <c r="B1094" t="s">
        <v>3028</v>
      </c>
      <c r="C1094">
        <v>11</v>
      </c>
      <c r="D1094" s="260">
        <v>46244</v>
      </c>
      <c r="E1094" s="260">
        <v>46259</v>
      </c>
      <c r="F1094">
        <v>5</v>
      </c>
      <c r="G1094" t="s">
        <v>866</v>
      </c>
    </row>
    <row r="1095" spans="1:7">
      <c r="A1095" t="s">
        <v>3029</v>
      </c>
      <c r="B1095" t="s">
        <v>3030</v>
      </c>
      <c r="C1095">
        <v>10</v>
      </c>
      <c r="D1095" s="260">
        <v>46274</v>
      </c>
      <c r="E1095" s="260">
        <v>46287</v>
      </c>
      <c r="F1095">
        <v>48</v>
      </c>
      <c r="G1095" t="s">
        <v>866</v>
      </c>
    </row>
    <row r="1096" spans="1:7">
      <c r="A1096" t="s">
        <v>3031</v>
      </c>
      <c r="B1096" t="s">
        <v>3032</v>
      </c>
      <c r="C1096">
        <v>10</v>
      </c>
      <c r="D1096" s="260">
        <v>46302</v>
      </c>
      <c r="E1096" s="260">
        <v>46316</v>
      </c>
      <c r="F1096">
        <v>48</v>
      </c>
      <c r="G1096" t="s">
        <v>866</v>
      </c>
    </row>
    <row r="1097" spans="1:7">
      <c r="A1097" t="s">
        <v>3033</v>
      </c>
      <c r="B1097" t="s">
        <v>3034</v>
      </c>
      <c r="C1097">
        <v>11</v>
      </c>
      <c r="D1097" s="260">
        <v>46244</v>
      </c>
      <c r="E1097" s="260">
        <v>46259</v>
      </c>
      <c r="F1097">
        <v>5</v>
      </c>
      <c r="G1097" t="s">
        <v>866</v>
      </c>
    </row>
    <row r="1098" spans="1:7">
      <c r="A1098" t="s">
        <v>3035</v>
      </c>
      <c r="B1098" t="s">
        <v>3036</v>
      </c>
      <c r="C1098">
        <v>10</v>
      </c>
      <c r="D1098" s="260">
        <v>46274</v>
      </c>
      <c r="E1098" s="260">
        <v>46287</v>
      </c>
      <c r="F1098">
        <v>48</v>
      </c>
      <c r="G1098" t="s">
        <v>866</v>
      </c>
    </row>
    <row r="1099" spans="1:7">
      <c r="A1099" t="s">
        <v>3037</v>
      </c>
      <c r="B1099" t="s">
        <v>3038</v>
      </c>
      <c r="C1099">
        <v>10</v>
      </c>
      <c r="D1099" s="260">
        <v>46302</v>
      </c>
      <c r="E1099" s="260">
        <v>46316</v>
      </c>
      <c r="F1099">
        <v>48</v>
      </c>
      <c r="G1099" t="s">
        <v>866</v>
      </c>
    </row>
    <row r="1100" spans="1:7">
      <c r="A1100" t="s">
        <v>3039</v>
      </c>
      <c r="B1100" t="s">
        <v>3040</v>
      </c>
      <c r="C1100">
        <v>11</v>
      </c>
      <c r="D1100" s="260">
        <v>46244</v>
      </c>
      <c r="E1100" s="260">
        <v>46259</v>
      </c>
      <c r="F1100">
        <v>5</v>
      </c>
      <c r="G1100" t="s">
        <v>866</v>
      </c>
    </row>
    <row r="1101" spans="1:7">
      <c r="A1101" t="s">
        <v>3041</v>
      </c>
      <c r="B1101" t="s">
        <v>3042</v>
      </c>
      <c r="C1101">
        <v>10</v>
      </c>
      <c r="D1101" s="260">
        <v>46274</v>
      </c>
      <c r="E1101" s="260">
        <v>46287</v>
      </c>
      <c r="F1101">
        <v>48</v>
      </c>
      <c r="G1101" t="s">
        <v>866</v>
      </c>
    </row>
    <row r="1102" spans="1:7">
      <c r="A1102" t="s">
        <v>3043</v>
      </c>
      <c r="B1102" t="s">
        <v>3044</v>
      </c>
      <c r="C1102">
        <v>10</v>
      </c>
      <c r="D1102" s="260">
        <v>46302</v>
      </c>
      <c r="E1102" s="260">
        <v>46316</v>
      </c>
      <c r="F1102">
        <v>48</v>
      </c>
      <c r="G1102" t="s">
        <v>866</v>
      </c>
    </row>
    <row r="1103" spans="1:7">
      <c r="A1103" t="s">
        <v>3045</v>
      </c>
      <c r="B1103" t="s">
        <v>3046</v>
      </c>
      <c r="C1103">
        <v>12</v>
      </c>
      <c r="D1103" s="260">
        <v>46245</v>
      </c>
      <c r="E1103" s="260">
        <v>46261</v>
      </c>
      <c r="F1103">
        <v>5</v>
      </c>
      <c r="G1103" t="s">
        <v>866</v>
      </c>
    </row>
    <row r="1104" spans="1:7">
      <c r="A1104" t="s">
        <v>3047</v>
      </c>
      <c r="B1104" t="s">
        <v>3048</v>
      </c>
      <c r="C1104">
        <v>10</v>
      </c>
      <c r="D1104" s="260">
        <v>46276</v>
      </c>
      <c r="E1104" s="260">
        <v>46289</v>
      </c>
      <c r="F1104">
        <v>46</v>
      </c>
      <c r="G1104" t="s">
        <v>866</v>
      </c>
    </row>
    <row r="1105" spans="1:7">
      <c r="A1105" t="s">
        <v>3049</v>
      </c>
      <c r="B1105" t="s">
        <v>3050</v>
      </c>
      <c r="C1105">
        <v>10</v>
      </c>
      <c r="D1105" s="260">
        <v>46304</v>
      </c>
      <c r="E1105" s="260">
        <v>46321</v>
      </c>
      <c r="F1105">
        <v>46</v>
      </c>
      <c r="G1105" t="s">
        <v>866</v>
      </c>
    </row>
    <row r="1106" spans="1:7">
      <c r="A1106" t="s">
        <v>3051</v>
      </c>
      <c r="B1106" t="s">
        <v>3052</v>
      </c>
      <c r="C1106">
        <v>15</v>
      </c>
      <c r="D1106" s="260">
        <v>46258</v>
      </c>
      <c r="E1106" s="260">
        <v>46276</v>
      </c>
      <c r="F1106">
        <v>5</v>
      </c>
      <c r="G1106" t="s">
        <v>866</v>
      </c>
    </row>
    <row r="1107" spans="1:7">
      <c r="A1107" t="s">
        <v>3053</v>
      </c>
      <c r="B1107" t="s">
        <v>3054</v>
      </c>
      <c r="C1107">
        <v>10</v>
      </c>
      <c r="D1107" s="260">
        <v>46293</v>
      </c>
      <c r="E1107" s="260">
        <v>46304</v>
      </c>
      <c r="F1107">
        <v>25</v>
      </c>
      <c r="G1107" t="s">
        <v>866</v>
      </c>
    </row>
    <row r="1108" spans="1:7">
      <c r="A1108" t="s">
        <v>3055</v>
      </c>
      <c r="B1108" t="s">
        <v>3056</v>
      </c>
      <c r="C1108">
        <v>10</v>
      </c>
      <c r="D1108" s="260">
        <v>46323</v>
      </c>
      <c r="E1108" s="260">
        <v>46336</v>
      </c>
      <c r="F1108">
        <v>25</v>
      </c>
      <c r="G1108" t="s">
        <v>866</v>
      </c>
    </row>
    <row r="1109" spans="1:7">
      <c r="A1109" t="s">
        <v>3057</v>
      </c>
      <c r="B1109" t="s">
        <v>3058</v>
      </c>
      <c r="C1109">
        <v>7</v>
      </c>
      <c r="D1109" s="260">
        <v>46175</v>
      </c>
      <c r="E1109" s="260">
        <v>46184</v>
      </c>
      <c r="F1109">
        <v>77</v>
      </c>
      <c r="G1109" t="s">
        <v>866</v>
      </c>
    </row>
    <row r="1110" spans="1:7">
      <c r="A1110" t="s">
        <v>3059</v>
      </c>
      <c r="B1110" t="s">
        <v>3060</v>
      </c>
      <c r="C1110">
        <v>5</v>
      </c>
      <c r="D1110" s="260">
        <v>46199</v>
      </c>
      <c r="E1110" s="260">
        <v>46205</v>
      </c>
      <c r="F1110">
        <v>92</v>
      </c>
      <c r="G1110" t="s">
        <v>866</v>
      </c>
    </row>
    <row r="1111" spans="1:7">
      <c r="A1111" t="s">
        <v>3061</v>
      </c>
      <c r="B1111" t="s">
        <v>3062</v>
      </c>
      <c r="C1111">
        <v>5</v>
      </c>
      <c r="D1111" s="260">
        <v>46220</v>
      </c>
      <c r="E1111" s="260">
        <v>46226</v>
      </c>
      <c r="F1111">
        <v>97</v>
      </c>
      <c r="G1111" t="s">
        <v>866</v>
      </c>
    </row>
    <row r="1112" spans="1:7">
      <c r="A1112" t="s">
        <v>3063</v>
      </c>
      <c r="B1112" t="s">
        <v>3064</v>
      </c>
      <c r="C1112">
        <v>15</v>
      </c>
      <c r="D1112" s="260">
        <v>46300</v>
      </c>
      <c r="E1112" s="260">
        <v>46322</v>
      </c>
      <c r="F1112">
        <v>5</v>
      </c>
      <c r="G1112" t="s">
        <v>866</v>
      </c>
    </row>
    <row r="1113" spans="1:7">
      <c r="A1113" t="s">
        <v>3065</v>
      </c>
      <c r="B1113" t="s">
        <v>3066</v>
      </c>
      <c r="C1113">
        <v>10</v>
      </c>
      <c r="D1113" s="260">
        <v>46337</v>
      </c>
      <c r="E1113" s="260">
        <v>46350</v>
      </c>
      <c r="F1113">
        <v>5</v>
      </c>
      <c r="G1113" t="s">
        <v>866</v>
      </c>
    </row>
    <row r="1114" spans="1:7">
      <c r="A1114" t="s">
        <v>3067</v>
      </c>
      <c r="B1114" t="s">
        <v>3068</v>
      </c>
      <c r="C1114">
        <v>10</v>
      </c>
      <c r="D1114" s="260">
        <v>46367</v>
      </c>
      <c r="E1114" s="260">
        <v>46380</v>
      </c>
      <c r="F1114">
        <v>5</v>
      </c>
      <c r="G1114" t="s">
        <v>866</v>
      </c>
    </row>
    <row r="1115" spans="1:7">
      <c r="A1115" t="s">
        <v>3069</v>
      </c>
      <c r="B1115" t="s">
        <v>3070</v>
      </c>
      <c r="C1115">
        <v>15</v>
      </c>
      <c r="D1115" s="260">
        <v>46258</v>
      </c>
      <c r="E1115" s="260">
        <v>46276</v>
      </c>
      <c r="F1115">
        <v>35</v>
      </c>
      <c r="G1115" t="s">
        <v>866</v>
      </c>
    </row>
    <row r="1116" spans="1:7">
      <c r="A1116" t="s">
        <v>3071</v>
      </c>
      <c r="B1116" t="s">
        <v>3072</v>
      </c>
      <c r="C1116">
        <v>10</v>
      </c>
      <c r="D1116" s="260">
        <v>46293</v>
      </c>
      <c r="E1116" s="260">
        <v>46304</v>
      </c>
      <c r="F1116">
        <v>35</v>
      </c>
      <c r="G1116" t="s">
        <v>866</v>
      </c>
    </row>
    <row r="1117" spans="1:7">
      <c r="A1117" t="s">
        <v>3073</v>
      </c>
      <c r="B1117" t="s">
        <v>3074</v>
      </c>
      <c r="C1117">
        <v>10</v>
      </c>
      <c r="D1117" s="260">
        <v>46323</v>
      </c>
      <c r="E1117" s="260">
        <v>46336</v>
      </c>
      <c r="F1117">
        <v>35</v>
      </c>
      <c r="G1117" t="s">
        <v>866</v>
      </c>
    </row>
    <row r="1118" spans="1:7">
      <c r="A1118" t="s">
        <v>3075</v>
      </c>
      <c r="B1118" t="s">
        <v>3076</v>
      </c>
      <c r="C1118">
        <v>7</v>
      </c>
      <c r="D1118" s="260">
        <v>46175</v>
      </c>
      <c r="E1118" s="260">
        <v>46184</v>
      </c>
      <c r="F1118">
        <v>107</v>
      </c>
      <c r="G1118" t="s">
        <v>866</v>
      </c>
    </row>
    <row r="1119" spans="1:7">
      <c r="A1119" t="s">
        <v>3077</v>
      </c>
      <c r="B1119" t="s">
        <v>3078</v>
      </c>
      <c r="C1119">
        <v>5</v>
      </c>
      <c r="D1119" s="260">
        <v>46199</v>
      </c>
      <c r="E1119" s="260">
        <v>46205</v>
      </c>
      <c r="F1119">
        <v>107</v>
      </c>
      <c r="G1119" t="s">
        <v>866</v>
      </c>
    </row>
    <row r="1120" spans="1:7">
      <c r="A1120" t="s">
        <v>3079</v>
      </c>
      <c r="B1120" t="s">
        <v>3080</v>
      </c>
      <c r="C1120">
        <v>5</v>
      </c>
      <c r="D1120" s="260">
        <v>46220</v>
      </c>
      <c r="E1120" s="260">
        <v>46226</v>
      </c>
      <c r="F1120">
        <v>107</v>
      </c>
      <c r="G1120" t="s">
        <v>866</v>
      </c>
    </row>
    <row r="1121" spans="1:7">
      <c r="A1121" t="s">
        <v>3081</v>
      </c>
      <c r="B1121" t="s">
        <v>3082</v>
      </c>
      <c r="C1121">
        <v>15</v>
      </c>
      <c r="D1121" s="260">
        <v>46300</v>
      </c>
      <c r="E1121" s="260">
        <v>46322</v>
      </c>
      <c r="F1121">
        <v>5</v>
      </c>
      <c r="G1121" t="s">
        <v>866</v>
      </c>
    </row>
    <row r="1122" spans="1:7">
      <c r="A1122" t="s">
        <v>3083</v>
      </c>
      <c r="B1122" t="s">
        <v>3084</v>
      </c>
      <c r="C1122">
        <v>10</v>
      </c>
      <c r="D1122" s="260">
        <v>46337</v>
      </c>
      <c r="E1122" s="260">
        <v>46350</v>
      </c>
      <c r="F1122">
        <v>5</v>
      </c>
      <c r="G1122" t="s">
        <v>866</v>
      </c>
    </row>
    <row r="1123" spans="1:7">
      <c r="A1123" t="s">
        <v>3085</v>
      </c>
      <c r="B1123" t="s">
        <v>3086</v>
      </c>
      <c r="C1123">
        <v>10</v>
      </c>
      <c r="D1123" s="260">
        <v>46367</v>
      </c>
      <c r="E1123" s="260">
        <v>46380</v>
      </c>
      <c r="F1123">
        <v>5</v>
      </c>
      <c r="G1123" t="s">
        <v>866</v>
      </c>
    </row>
    <row r="1124" spans="1:7">
      <c r="A1124" t="s">
        <v>3087</v>
      </c>
      <c r="B1124" t="s">
        <v>3088</v>
      </c>
      <c r="C1124">
        <v>19</v>
      </c>
      <c r="D1124" s="260">
        <v>46148</v>
      </c>
      <c r="E1124" s="260">
        <v>46175</v>
      </c>
      <c r="F1124">
        <v>112</v>
      </c>
      <c r="G1124" t="s">
        <v>866</v>
      </c>
    </row>
    <row r="1125" spans="1:7">
      <c r="A1125" t="s">
        <v>3089</v>
      </c>
      <c r="B1125" t="s">
        <v>3090</v>
      </c>
      <c r="C1125">
        <v>10</v>
      </c>
      <c r="D1125" s="260">
        <v>46191</v>
      </c>
      <c r="E1125" s="260">
        <v>46204</v>
      </c>
      <c r="F1125">
        <v>112</v>
      </c>
      <c r="G1125" t="s">
        <v>866</v>
      </c>
    </row>
    <row r="1126" spans="1:7">
      <c r="A1126" t="s">
        <v>3091</v>
      </c>
      <c r="B1126" t="s">
        <v>3092</v>
      </c>
      <c r="C1126">
        <v>10</v>
      </c>
      <c r="D1126" s="260">
        <v>46219</v>
      </c>
      <c r="E1126" s="260">
        <v>46237</v>
      </c>
      <c r="F1126">
        <v>112</v>
      </c>
      <c r="G1126" t="s">
        <v>866</v>
      </c>
    </row>
    <row r="1127" spans="1:7">
      <c r="A1127" t="s">
        <v>3093</v>
      </c>
      <c r="C1127">
        <v>128</v>
      </c>
      <c r="D1127" s="260">
        <v>46128</v>
      </c>
      <c r="E1127" s="260">
        <v>46317</v>
      </c>
      <c r="F1127">
        <v>56</v>
      </c>
      <c r="G1127" t="s">
        <v>866</v>
      </c>
    </row>
    <row r="1128" spans="1:7">
      <c r="A1128" t="s">
        <v>3094</v>
      </c>
      <c r="B1128" t="s">
        <v>3095</v>
      </c>
      <c r="C1128">
        <v>17</v>
      </c>
      <c r="D1128" s="260">
        <v>46128</v>
      </c>
      <c r="E1128" s="260">
        <v>46153</v>
      </c>
      <c r="F1128">
        <v>47</v>
      </c>
      <c r="G1128" t="s">
        <v>866</v>
      </c>
    </row>
    <row r="1129" spans="1:7">
      <c r="A1129" t="s">
        <v>3096</v>
      </c>
      <c r="B1129" t="s">
        <v>3097</v>
      </c>
      <c r="C1129">
        <v>10</v>
      </c>
      <c r="D1129" s="260">
        <v>46168</v>
      </c>
      <c r="E1129" s="260">
        <v>46183</v>
      </c>
      <c r="F1129">
        <v>118</v>
      </c>
      <c r="G1129" t="s">
        <v>866</v>
      </c>
    </row>
    <row r="1130" spans="1:7">
      <c r="A1130" t="s">
        <v>3098</v>
      </c>
      <c r="B1130" t="s">
        <v>3099</v>
      </c>
      <c r="C1130">
        <v>10</v>
      </c>
      <c r="D1130" s="260">
        <v>46198</v>
      </c>
      <c r="E1130" s="260">
        <v>46211</v>
      </c>
      <c r="F1130">
        <v>118</v>
      </c>
      <c r="G1130" t="s">
        <v>866</v>
      </c>
    </row>
    <row r="1131" spans="1:7">
      <c r="A1131" t="s">
        <v>3100</v>
      </c>
      <c r="B1131" t="s">
        <v>3101</v>
      </c>
      <c r="C1131">
        <v>15</v>
      </c>
      <c r="D1131" s="260">
        <v>46148</v>
      </c>
      <c r="E1131" s="260">
        <v>46168</v>
      </c>
      <c r="F1131">
        <v>47</v>
      </c>
      <c r="G1131" t="s">
        <v>866</v>
      </c>
    </row>
    <row r="1132" spans="1:7">
      <c r="A1132" t="s">
        <v>3102</v>
      </c>
      <c r="B1132" t="s">
        <v>3103</v>
      </c>
      <c r="C1132">
        <v>10</v>
      </c>
      <c r="D1132" s="260">
        <v>46185</v>
      </c>
      <c r="E1132" s="260">
        <v>46198</v>
      </c>
      <c r="F1132">
        <v>102</v>
      </c>
      <c r="G1132" t="s">
        <v>866</v>
      </c>
    </row>
    <row r="1133" spans="1:7">
      <c r="A1133" t="s">
        <v>3104</v>
      </c>
      <c r="B1133" t="s">
        <v>3105</v>
      </c>
      <c r="C1133">
        <v>10</v>
      </c>
      <c r="D1133" s="260">
        <v>46213</v>
      </c>
      <c r="E1133" s="260">
        <v>46226</v>
      </c>
      <c r="F1133">
        <v>102</v>
      </c>
      <c r="G1133" t="s">
        <v>866</v>
      </c>
    </row>
    <row r="1134" spans="1:7">
      <c r="A1134" t="s">
        <v>3106</v>
      </c>
      <c r="B1134" t="s">
        <v>3107</v>
      </c>
      <c r="C1134">
        <v>15</v>
      </c>
      <c r="D1134" s="260">
        <v>46148</v>
      </c>
      <c r="E1134" s="260">
        <v>46168</v>
      </c>
      <c r="F1134">
        <v>107</v>
      </c>
      <c r="G1134" t="s">
        <v>866</v>
      </c>
    </row>
    <row r="1135" spans="1:7">
      <c r="A1135" t="s">
        <v>3108</v>
      </c>
      <c r="B1135" t="s">
        <v>3109</v>
      </c>
      <c r="C1135">
        <v>10</v>
      </c>
      <c r="D1135" s="260">
        <v>46185</v>
      </c>
      <c r="E1135" s="260">
        <v>46198</v>
      </c>
      <c r="F1135">
        <v>107</v>
      </c>
      <c r="G1135" t="s">
        <v>866</v>
      </c>
    </row>
    <row r="1136" spans="1:7">
      <c r="A1136" t="s">
        <v>3110</v>
      </c>
      <c r="B1136" t="s">
        <v>3111</v>
      </c>
      <c r="C1136">
        <v>10</v>
      </c>
      <c r="D1136" s="260">
        <v>46213</v>
      </c>
      <c r="E1136" s="260">
        <v>46226</v>
      </c>
      <c r="F1136">
        <v>107</v>
      </c>
      <c r="G1136" t="s">
        <v>866</v>
      </c>
    </row>
    <row r="1137" spans="1:7">
      <c r="A1137" t="s">
        <v>3112</v>
      </c>
      <c r="B1137" t="s">
        <v>3113</v>
      </c>
      <c r="C1137">
        <v>15</v>
      </c>
      <c r="D1137" s="260">
        <v>46148</v>
      </c>
      <c r="E1137" s="260">
        <v>46168</v>
      </c>
      <c r="F1137">
        <v>107</v>
      </c>
      <c r="G1137" t="s">
        <v>866</v>
      </c>
    </row>
    <row r="1138" spans="1:7">
      <c r="A1138" t="s">
        <v>3114</v>
      </c>
      <c r="B1138" t="s">
        <v>3115</v>
      </c>
      <c r="C1138">
        <v>10</v>
      </c>
      <c r="D1138" s="260">
        <v>46185</v>
      </c>
      <c r="E1138" s="260">
        <v>46198</v>
      </c>
      <c r="F1138">
        <v>107</v>
      </c>
      <c r="G1138" t="s">
        <v>866</v>
      </c>
    </row>
    <row r="1139" spans="1:7">
      <c r="A1139" t="s">
        <v>3116</v>
      </c>
      <c r="B1139" t="s">
        <v>3117</v>
      </c>
      <c r="C1139">
        <v>10</v>
      </c>
      <c r="D1139" s="260">
        <v>46213</v>
      </c>
      <c r="E1139" s="260">
        <v>46226</v>
      </c>
      <c r="F1139">
        <v>107</v>
      </c>
      <c r="G1139" t="s">
        <v>866</v>
      </c>
    </row>
    <row r="1140" spans="1:7">
      <c r="A1140" t="s">
        <v>3118</v>
      </c>
      <c r="B1140" t="s">
        <v>3119</v>
      </c>
      <c r="C1140">
        <v>15</v>
      </c>
      <c r="D1140" s="260">
        <v>46148</v>
      </c>
      <c r="E1140" s="260">
        <v>46168</v>
      </c>
      <c r="F1140">
        <v>82</v>
      </c>
      <c r="G1140" t="s">
        <v>866</v>
      </c>
    </row>
    <row r="1141" spans="1:7">
      <c r="A1141" t="s">
        <v>3120</v>
      </c>
      <c r="B1141" t="s">
        <v>3121</v>
      </c>
      <c r="C1141">
        <v>10</v>
      </c>
      <c r="D1141" s="260">
        <v>46185</v>
      </c>
      <c r="E1141" s="260">
        <v>46198</v>
      </c>
      <c r="F1141">
        <v>107</v>
      </c>
      <c r="G1141" t="s">
        <v>866</v>
      </c>
    </row>
    <row r="1142" spans="1:7">
      <c r="A1142" t="s">
        <v>3122</v>
      </c>
      <c r="B1142" t="s">
        <v>3123</v>
      </c>
      <c r="C1142">
        <v>10</v>
      </c>
      <c r="D1142" s="260">
        <v>46213</v>
      </c>
      <c r="E1142" s="260">
        <v>46226</v>
      </c>
      <c r="F1142">
        <v>107</v>
      </c>
      <c r="G1142" t="s">
        <v>866</v>
      </c>
    </row>
    <row r="1143" spans="1:7">
      <c r="A1143" t="s">
        <v>3124</v>
      </c>
      <c r="B1143" t="s">
        <v>3125</v>
      </c>
      <c r="C1143">
        <v>16</v>
      </c>
      <c r="D1143" s="260">
        <v>46154</v>
      </c>
      <c r="E1143" s="260">
        <v>46177</v>
      </c>
      <c r="F1143">
        <v>47</v>
      </c>
      <c r="G1143" t="s">
        <v>866</v>
      </c>
    </row>
    <row r="1144" spans="1:7">
      <c r="A1144" t="s">
        <v>3126</v>
      </c>
      <c r="B1144" t="s">
        <v>3127</v>
      </c>
      <c r="C1144">
        <v>10</v>
      </c>
      <c r="D1144" s="260">
        <v>46192</v>
      </c>
      <c r="E1144" s="260">
        <v>46205</v>
      </c>
      <c r="F1144">
        <v>97</v>
      </c>
      <c r="G1144" t="s">
        <v>866</v>
      </c>
    </row>
    <row r="1145" spans="1:7">
      <c r="A1145" t="s">
        <v>3128</v>
      </c>
      <c r="B1145" t="s">
        <v>3129</v>
      </c>
      <c r="C1145">
        <v>10</v>
      </c>
      <c r="D1145" s="260">
        <v>46220</v>
      </c>
      <c r="E1145" s="260">
        <v>46238</v>
      </c>
      <c r="F1145">
        <v>97</v>
      </c>
      <c r="G1145" t="s">
        <v>866</v>
      </c>
    </row>
    <row r="1146" spans="1:7">
      <c r="A1146" t="s">
        <v>3130</v>
      </c>
      <c r="B1146" t="s">
        <v>3131</v>
      </c>
      <c r="C1146">
        <v>16</v>
      </c>
      <c r="D1146" s="260">
        <v>46154</v>
      </c>
      <c r="E1146" s="260">
        <v>46177</v>
      </c>
      <c r="F1146">
        <v>102</v>
      </c>
      <c r="G1146" t="s">
        <v>866</v>
      </c>
    </row>
    <row r="1147" spans="1:7">
      <c r="A1147" t="s">
        <v>3132</v>
      </c>
      <c r="B1147" t="s">
        <v>3133</v>
      </c>
      <c r="C1147">
        <v>10</v>
      </c>
      <c r="D1147" s="260">
        <v>46192</v>
      </c>
      <c r="E1147" s="260">
        <v>46205</v>
      </c>
      <c r="F1147">
        <v>102</v>
      </c>
      <c r="G1147" t="s">
        <v>866</v>
      </c>
    </row>
    <row r="1148" spans="1:7">
      <c r="A1148" t="s">
        <v>3134</v>
      </c>
      <c r="B1148" t="s">
        <v>3135</v>
      </c>
      <c r="C1148">
        <v>10</v>
      </c>
      <c r="D1148" s="260">
        <v>46220</v>
      </c>
      <c r="E1148" s="260">
        <v>46238</v>
      </c>
      <c r="F1148">
        <v>102</v>
      </c>
      <c r="G1148" t="s">
        <v>866</v>
      </c>
    </row>
    <row r="1149" spans="1:7">
      <c r="A1149" t="s">
        <v>3136</v>
      </c>
      <c r="B1149" t="s">
        <v>3137</v>
      </c>
      <c r="C1149">
        <v>16</v>
      </c>
      <c r="D1149" s="260">
        <v>46154</v>
      </c>
      <c r="E1149" s="260">
        <v>46177</v>
      </c>
      <c r="F1149">
        <v>102</v>
      </c>
      <c r="G1149" t="s">
        <v>866</v>
      </c>
    </row>
    <row r="1150" spans="1:7">
      <c r="A1150" t="s">
        <v>3138</v>
      </c>
      <c r="B1150" t="s">
        <v>3139</v>
      </c>
      <c r="C1150">
        <v>10</v>
      </c>
      <c r="D1150" s="260">
        <v>46192</v>
      </c>
      <c r="E1150" s="260">
        <v>46205</v>
      </c>
      <c r="F1150">
        <v>102</v>
      </c>
      <c r="G1150" t="s">
        <v>866</v>
      </c>
    </row>
    <row r="1151" spans="1:7">
      <c r="A1151" t="s">
        <v>3140</v>
      </c>
      <c r="B1151" t="s">
        <v>3141</v>
      </c>
      <c r="C1151">
        <v>10</v>
      </c>
      <c r="D1151" s="260">
        <v>46220</v>
      </c>
      <c r="E1151" s="260">
        <v>46238</v>
      </c>
      <c r="F1151">
        <v>102</v>
      </c>
      <c r="G1151" t="s">
        <v>866</v>
      </c>
    </row>
    <row r="1152" spans="1:7">
      <c r="A1152" t="s">
        <v>3142</v>
      </c>
      <c r="B1152" t="s">
        <v>3143</v>
      </c>
      <c r="C1152">
        <v>16</v>
      </c>
      <c r="D1152" s="260">
        <v>46154</v>
      </c>
      <c r="E1152" s="260">
        <v>46177</v>
      </c>
      <c r="F1152">
        <v>80</v>
      </c>
      <c r="G1152" t="s">
        <v>866</v>
      </c>
    </row>
    <row r="1153" spans="1:7">
      <c r="A1153" t="s">
        <v>3144</v>
      </c>
      <c r="B1153" t="s">
        <v>3145</v>
      </c>
      <c r="C1153">
        <v>10</v>
      </c>
      <c r="D1153" s="260">
        <v>46192</v>
      </c>
      <c r="E1153" s="260">
        <v>46205</v>
      </c>
      <c r="F1153">
        <v>102</v>
      </c>
      <c r="G1153" t="s">
        <v>866</v>
      </c>
    </row>
    <row r="1154" spans="1:7">
      <c r="A1154" t="s">
        <v>3146</v>
      </c>
      <c r="B1154" t="s">
        <v>3147</v>
      </c>
      <c r="C1154">
        <v>10</v>
      </c>
      <c r="D1154" s="260">
        <v>46220</v>
      </c>
      <c r="E1154" s="260">
        <v>46238</v>
      </c>
      <c r="F1154">
        <v>102</v>
      </c>
      <c r="G1154" t="s">
        <v>866</v>
      </c>
    </row>
    <row r="1155" spans="1:7">
      <c r="A1155" t="s">
        <v>3148</v>
      </c>
      <c r="B1155" t="s">
        <v>3149</v>
      </c>
      <c r="C1155">
        <v>20</v>
      </c>
      <c r="D1155" s="260">
        <v>46147</v>
      </c>
      <c r="E1155" s="260">
        <v>46175</v>
      </c>
      <c r="F1155">
        <v>47</v>
      </c>
      <c r="G1155" t="s">
        <v>866</v>
      </c>
    </row>
    <row r="1156" spans="1:7">
      <c r="A1156" t="s">
        <v>3150</v>
      </c>
      <c r="B1156" t="s">
        <v>3151</v>
      </c>
      <c r="C1156">
        <v>10</v>
      </c>
      <c r="D1156" s="260">
        <v>46191</v>
      </c>
      <c r="E1156" s="260">
        <v>46204</v>
      </c>
      <c r="F1156">
        <v>103</v>
      </c>
      <c r="G1156" t="s">
        <v>866</v>
      </c>
    </row>
    <row r="1157" spans="1:7">
      <c r="A1157" t="s">
        <v>3152</v>
      </c>
      <c r="B1157" t="s">
        <v>3153</v>
      </c>
      <c r="C1157">
        <v>10</v>
      </c>
      <c r="D1157" s="260">
        <v>46219</v>
      </c>
      <c r="E1157" s="260">
        <v>46237</v>
      </c>
      <c r="F1157">
        <v>103</v>
      </c>
      <c r="G1157" t="s">
        <v>866</v>
      </c>
    </row>
    <row r="1158" spans="1:7">
      <c r="A1158" t="s">
        <v>3154</v>
      </c>
      <c r="B1158" t="s">
        <v>3155</v>
      </c>
      <c r="C1158">
        <v>11</v>
      </c>
      <c r="D1158" s="260">
        <v>46162</v>
      </c>
      <c r="E1158" s="260">
        <v>46178</v>
      </c>
      <c r="F1158">
        <v>101</v>
      </c>
      <c r="G1158" t="s">
        <v>866</v>
      </c>
    </row>
    <row r="1159" spans="1:7">
      <c r="A1159" t="s">
        <v>3156</v>
      </c>
      <c r="B1159" t="s">
        <v>3157</v>
      </c>
      <c r="C1159">
        <v>10</v>
      </c>
      <c r="D1159" s="260">
        <v>46195</v>
      </c>
      <c r="E1159" s="260">
        <v>46206</v>
      </c>
      <c r="F1159">
        <v>110</v>
      </c>
      <c r="G1159" t="s">
        <v>866</v>
      </c>
    </row>
    <row r="1160" spans="1:7">
      <c r="A1160" t="s">
        <v>3158</v>
      </c>
      <c r="B1160" t="s">
        <v>3159</v>
      </c>
      <c r="C1160">
        <v>10</v>
      </c>
      <c r="D1160" s="260">
        <v>46223</v>
      </c>
      <c r="E1160" s="260">
        <v>46239</v>
      </c>
      <c r="F1160">
        <v>110</v>
      </c>
      <c r="G1160" t="s">
        <v>866</v>
      </c>
    </row>
    <row r="1161" spans="1:7">
      <c r="A1161" t="s">
        <v>3160</v>
      </c>
      <c r="B1161" t="s">
        <v>3161</v>
      </c>
      <c r="C1161">
        <v>11</v>
      </c>
      <c r="D1161" s="260">
        <v>46162</v>
      </c>
      <c r="E1161" s="260">
        <v>46178</v>
      </c>
      <c r="F1161">
        <v>110</v>
      </c>
      <c r="G1161" t="s">
        <v>866</v>
      </c>
    </row>
    <row r="1162" spans="1:7">
      <c r="A1162" t="s">
        <v>3162</v>
      </c>
      <c r="B1162" t="s">
        <v>3163</v>
      </c>
      <c r="C1162">
        <v>10</v>
      </c>
      <c r="D1162" s="260">
        <v>46195</v>
      </c>
      <c r="E1162" s="260">
        <v>46206</v>
      </c>
      <c r="F1162">
        <v>110</v>
      </c>
      <c r="G1162" t="s">
        <v>866</v>
      </c>
    </row>
    <row r="1163" spans="1:7">
      <c r="A1163" t="s">
        <v>3164</v>
      </c>
      <c r="B1163" t="s">
        <v>3165</v>
      </c>
      <c r="C1163">
        <v>10</v>
      </c>
      <c r="D1163" s="260">
        <v>46223</v>
      </c>
      <c r="E1163" s="260">
        <v>46239</v>
      </c>
      <c r="F1163">
        <v>110</v>
      </c>
      <c r="G1163" t="s">
        <v>866</v>
      </c>
    </row>
    <row r="1164" spans="1:7">
      <c r="A1164" t="s">
        <v>3166</v>
      </c>
      <c r="B1164" t="s">
        <v>3167</v>
      </c>
      <c r="C1164">
        <v>11</v>
      </c>
      <c r="D1164" s="260">
        <v>46162</v>
      </c>
      <c r="E1164" s="260">
        <v>46178</v>
      </c>
      <c r="F1164">
        <v>101</v>
      </c>
      <c r="G1164" t="s">
        <v>866</v>
      </c>
    </row>
    <row r="1165" spans="1:7">
      <c r="A1165" t="s">
        <v>3168</v>
      </c>
      <c r="B1165" t="s">
        <v>3169</v>
      </c>
      <c r="C1165">
        <v>10</v>
      </c>
      <c r="D1165" s="260">
        <v>46195</v>
      </c>
      <c r="E1165" s="260">
        <v>46206</v>
      </c>
      <c r="F1165">
        <v>101</v>
      </c>
      <c r="G1165" t="s">
        <v>866</v>
      </c>
    </row>
    <row r="1166" spans="1:7">
      <c r="A1166" t="s">
        <v>3170</v>
      </c>
      <c r="B1166" t="s">
        <v>3171</v>
      </c>
      <c r="C1166">
        <v>10</v>
      </c>
      <c r="D1166" s="260">
        <v>46223</v>
      </c>
      <c r="E1166" s="260">
        <v>46239</v>
      </c>
      <c r="F1166">
        <v>101</v>
      </c>
      <c r="G1166" t="s">
        <v>866</v>
      </c>
    </row>
    <row r="1167" spans="1:7">
      <c r="A1167" t="s">
        <v>3172</v>
      </c>
      <c r="C1167">
        <v>50</v>
      </c>
      <c r="D1167" s="260">
        <v>46178</v>
      </c>
      <c r="E1167" s="260">
        <v>46253</v>
      </c>
      <c r="F1167">
        <v>92</v>
      </c>
      <c r="G1167" t="s">
        <v>866</v>
      </c>
    </row>
    <row r="1168" spans="1:7">
      <c r="A1168" t="s">
        <v>3173</v>
      </c>
      <c r="B1168" t="s">
        <v>3174</v>
      </c>
      <c r="C1168">
        <v>10</v>
      </c>
      <c r="D1168" s="260">
        <v>46178</v>
      </c>
      <c r="E1168" s="260">
        <v>46191</v>
      </c>
      <c r="F1168">
        <v>47</v>
      </c>
      <c r="G1168" t="s">
        <v>866</v>
      </c>
    </row>
    <row r="1169" spans="1:7">
      <c r="A1169" t="s">
        <v>3175</v>
      </c>
      <c r="B1169" t="s">
        <v>3176</v>
      </c>
      <c r="C1169">
        <v>5</v>
      </c>
      <c r="D1169" s="260">
        <v>46206</v>
      </c>
      <c r="E1169" s="260">
        <v>46212</v>
      </c>
      <c r="F1169">
        <v>102</v>
      </c>
      <c r="G1169" t="s">
        <v>866</v>
      </c>
    </row>
    <row r="1170" spans="1:7">
      <c r="A1170" t="s">
        <v>3177</v>
      </c>
      <c r="B1170" t="s">
        <v>3178</v>
      </c>
      <c r="C1170">
        <v>5</v>
      </c>
      <c r="D1170" s="260">
        <v>46239</v>
      </c>
      <c r="E1170" s="260">
        <v>46245</v>
      </c>
      <c r="F1170">
        <v>97</v>
      </c>
      <c r="G1170" t="s">
        <v>866</v>
      </c>
    </row>
    <row r="1171" spans="1:7">
      <c r="A1171" t="s">
        <v>3179</v>
      </c>
      <c r="B1171" t="s">
        <v>3180</v>
      </c>
      <c r="C1171">
        <v>10</v>
      </c>
      <c r="D1171" s="260">
        <v>46192</v>
      </c>
      <c r="E1171" s="260">
        <v>46205</v>
      </c>
      <c r="F1171">
        <v>47</v>
      </c>
      <c r="G1171" t="s">
        <v>866</v>
      </c>
    </row>
    <row r="1172" spans="1:7">
      <c r="A1172" t="s">
        <v>3181</v>
      </c>
      <c r="B1172" t="s">
        <v>3182</v>
      </c>
      <c r="C1172">
        <v>5</v>
      </c>
      <c r="D1172" s="260">
        <v>46220</v>
      </c>
      <c r="E1172" s="260">
        <v>46226</v>
      </c>
      <c r="F1172">
        <v>92</v>
      </c>
      <c r="G1172" t="s">
        <v>866</v>
      </c>
    </row>
    <row r="1173" spans="1:7">
      <c r="A1173" t="s">
        <v>3183</v>
      </c>
      <c r="B1173" t="s">
        <v>3184</v>
      </c>
      <c r="C1173">
        <v>5</v>
      </c>
      <c r="D1173" s="260">
        <v>46247</v>
      </c>
      <c r="E1173" s="260">
        <v>46253</v>
      </c>
      <c r="F1173">
        <v>92</v>
      </c>
      <c r="G1173" t="s">
        <v>866</v>
      </c>
    </row>
    <row r="1174" spans="1:7">
      <c r="A1174" t="s">
        <v>3185</v>
      </c>
      <c r="B1174" t="s">
        <v>3186</v>
      </c>
      <c r="C1174">
        <v>10</v>
      </c>
      <c r="D1174" s="260">
        <v>46192</v>
      </c>
      <c r="E1174" s="260">
        <v>46205</v>
      </c>
      <c r="F1174">
        <v>47</v>
      </c>
      <c r="G1174" t="s">
        <v>866</v>
      </c>
    </row>
    <row r="1175" spans="1:7">
      <c r="A1175" t="s">
        <v>3187</v>
      </c>
      <c r="B1175" t="s">
        <v>3188</v>
      </c>
      <c r="C1175">
        <v>5</v>
      </c>
      <c r="D1175" s="260">
        <v>46220</v>
      </c>
      <c r="E1175" s="260">
        <v>46226</v>
      </c>
      <c r="F1175">
        <v>92</v>
      </c>
      <c r="G1175" t="s">
        <v>866</v>
      </c>
    </row>
    <row r="1176" spans="1:7">
      <c r="A1176" t="s">
        <v>3189</v>
      </c>
      <c r="B1176" t="s">
        <v>3190</v>
      </c>
      <c r="C1176">
        <v>5</v>
      </c>
      <c r="D1176" s="260">
        <v>46247</v>
      </c>
      <c r="E1176" s="260">
        <v>46253</v>
      </c>
      <c r="F1176">
        <v>92</v>
      </c>
      <c r="G1176" t="s">
        <v>866</v>
      </c>
    </row>
    <row r="1177" spans="1:7">
      <c r="A1177" t="s">
        <v>3191</v>
      </c>
      <c r="B1177" t="s">
        <v>3192</v>
      </c>
      <c r="C1177">
        <v>10</v>
      </c>
      <c r="D1177" s="260">
        <v>46192</v>
      </c>
      <c r="E1177" s="260">
        <v>46205</v>
      </c>
      <c r="F1177">
        <v>47</v>
      </c>
      <c r="G1177" t="s">
        <v>866</v>
      </c>
    </row>
    <row r="1178" spans="1:7">
      <c r="A1178" t="s">
        <v>3193</v>
      </c>
      <c r="B1178" t="s">
        <v>3194</v>
      </c>
      <c r="C1178">
        <v>5</v>
      </c>
      <c r="D1178" s="260">
        <v>46220</v>
      </c>
      <c r="E1178" s="260">
        <v>46226</v>
      </c>
      <c r="F1178">
        <v>92</v>
      </c>
      <c r="G1178" t="s">
        <v>866</v>
      </c>
    </row>
    <row r="1179" spans="1:7">
      <c r="A1179" t="s">
        <v>3195</v>
      </c>
      <c r="B1179" t="s">
        <v>3196</v>
      </c>
      <c r="C1179">
        <v>5</v>
      </c>
      <c r="D1179" s="260">
        <v>46247</v>
      </c>
      <c r="E1179" s="260">
        <v>46253</v>
      </c>
      <c r="F1179">
        <v>92</v>
      </c>
      <c r="G1179" t="s">
        <v>866</v>
      </c>
    </row>
    <row r="1180" spans="1:7">
      <c r="A1180" t="s">
        <v>3197</v>
      </c>
      <c r="C1180">
        <v>85</v>
      </c>
      <c r="D1180" s="260">
        <v>46192</v>
      </c>
      <c r="E1180" s="260">
        <v>46317</v>
      </c>
      <c r="F1180">
        <v>47</v>
      </c>
      <c r="G1180" t="s">
        <v>866</v>
      </c>
    </row>
    <row r="1181" spans="1:7">
      <c r="A1181" t="s">
        <v>3198</v>
      </c>
      <c r="B1181" t="s">
        <v>3199</v>
      </c>
      <c r="C1181">
        <v>10</v>
      </c>
      <c r="D1181" s="260">
        <v>46192</v>
      </c>
      <c r="E1181" s="260">
        <v>46205</v>
      </c>
      <c r="F1181">
        <v>57</v>
      </c>
      <c r="G1181" t="s">
        <v>866</v>
      </c>
    </row>
    <row r="1182" spans="1:7">
      <c r="A1182" t="s">
        <v>3200</v>
      </c>
      <c r="B1182" t="s">
        <v>3201</v>
      </c>
      <c r="C1182">
        <v>5</v>
      </c>
      <c r="D1182" s="260">
        <v>46296</v>
      </c>
      <c r="E1182" s="260">
        <v>46302</v>
      </c>
      <c r="F1182">
        <v>57</v>
      </c>
      <c r="G1182" t="s">
        <v>866</v>
      </c>
    </row>
    <row r="1183" spans="1:7">
      <c r="A1183" t="s">
        <v>3202</v>
      </c>
      <c r="B1183" t="s">
        <v>3203</v>
      </c>
      <c r="C1183">
        <v>10</v>
      </c>
      <c r="D1183" s="260">
        <v>46206</v>
      </c>
      <c r="E1183" s="260">
        <v>46219</v>
      </c>
      <c r="F1183">
        <v>47</v>
      </c>
      <c r="G1183" t="s">
        <v>866</v>
      </c>
    </row>
    <row r="1184" spans="1:7">
      <c r="A1184" t="s">
        <v>3204</v>
      </c>
      <c r="B1184" t="s">
        <v>3205</v>
      </c>
      <c r="C1184">
        <v>5</v>
      </c>
      <c r="D1184" s="260">
        <v>46311</v>
      </c>
      <c r="E1184" s="260">
        <v>46317</v>
      </c>
      <c r="F1184">
        <v>47</v>
      </c>
      <c r="G1184" t="s">
        <v>866</v>
      </c>
    </row>
    <row r="1185" spans="1:7">
      <c r="A1185" t="s">
        <v>3206</v>
      </c>
      <c r="B1185" t="s">
        <v>3207</v>
      </c>
      <c r="C1185">
        <v>10</v>
      </c>
      <c r="D1185" s="260">
        <v>46206</v>
      </c>
      <c r="E1185" s="260">
        <v>46219</v>
      </c>
      <c r="F1185">
        <v>47</v>
      </c>
      <c r="G1185" t="s">
        <v>866</v>
      </c>
    </row>
    <row r="1186" spans="1:7">
      <c r="A1186" t="s">
        <v>3208</v>
      </c>
      <c r="B1186" t="s">
        <v>3209</v>
      </c>
      <c r="C1186">
        <v>5</v>
      </c>
      <c r="D1186" s="260">
        <v>46311</v>
      </c>
      <c r="E1186" s="260">
        <v>46317</v>
      </c>
      <c r="F1186">
        <v>47</v>
      </c>
      <c r="G1186" t="s">
        <v>866</v>
      </c>
    </row>
    <row r="1187" spans="1:7">
      <c r="A1187" t="s">
        <v>3210</v>
      </c>
      <c r="B1187" t="s">
        <v>3211</v>
      </c>
      <c r="C1187">
        <v>10</v>
      </c>
      <c r="D1187" s="260">
        <v>46206</v>
      </c>
      <c r="E1187" s="260">
        <v>46219</v>
      </c>
      <c r="F1187">
        <v>47</v>
      </c>
      <c r="G1187" t="s">
        <v>866</v>
      </c>
    </row>
    <row r="1188" spans="1:7">
      <c r="A1188" t="s">
        <v>3212</v>
      </c>
      <c r="B1188" t="s">
        <v>3213</v>
      </c>
      <c r="C1188">
        <v>5</v>
      </c>
      <c r="D1188" s="260">
        <v>46311</v>
      </c>
      <c r="E1188" s="260">
        <v>46317</v>
      </c>
      <c r="F1188">
        <v>47</v>
      </c>
      <c r="G1188" t="s">
        <v>866</v>
      </c>
    </row>
    <row r="1189" spans="1:7">
      <c r="A1189" t="s">
        <v>3214</v>
      </c>
      <c r="C1189">
        <v>40</v>
      </c>
      <c r="D1189" s="260">
        <v>46239</v>
      </c>
      <c r="E1189" s="260">
        <v>46295</v>
      </c>
      <c r="F1189">
        <v>47</v>
      </c>
      <c r="G1189" t="s">
        <v>866</v>
      </c>
    </row>
    <row r="1190" spans="1:7">
      <c r="A1190" t="s">
        <v>3215</v>
      </c>
      <c r="B1190" t="s">
        <v>3216</v>
      </c>
      <c r="C1190">
        <v>15</v>
      </c>
      <c r="D1190" s="260">
        <v>46239</v>
      </c>
      <c r="E1190" s="260">
        <v>46260</v>
      </c>
      <c r="F1190">
        <v>57</v>
      </c>
      <c r="G1190" t="s">
        <v>866</v>
      </c>
    </row>
    <row r="1191" spans="1:7">
      <c r="A1191" t="s">
        <v>3217</v>
      </c>
      <c r="B1191" t="s">
        <v>3218</v>
      </c>
      <c r="C1191">
        <v>5</v>
      </c>
      <c r="D1191" s="260">
        <v>46275</v>
      </c>
      <c r="E1191" s="260">
        <v>46281</v>
      </c>
      <c r="F1191">
        <v>57</v>
      </c>
      <c r="G1191" t="s">
        <v>866</v>
      </c>
    </row>
    <row r="1192" spans="1:7">
      <c r="A1192" t="s">
        <v>3219</v>
      </c>
      <c r="B1192" t="s">
        <v>3220</v>
      </c>
      <c r="C1192">
        <v>15</v>
      </c>
      <c r="D1192" s="260">
        <v>46254</v>
      </c>
      <c r="E1192" s="260">
        <v>46274</v>
      </c>
      <c r="F1192">
        <v>47</v>
      </c>
      <c r="G1192" t="s">
        <v>866</v>
      </c>
    </row>
    <row r="1193" spans="1:7">
      <c r="A1193" t="s">
        <v>3221</v>
      </c>
      <c r="B1193" t="s">
        <v>3222</v>
      </c>
      <c r="C1193">
        <v>5</v>
      </c>
      <c r="D1193" s="260">
        <v>46289</v>
      </c>
      <c r="E1193" s="260">
        <v>46295</v>
      </c>
      <c r="F1193">
        <v>47</v>
      </c>
      <c r="G1193" t="s">
        <v>866</v>
      </c>
    </row>
    <row r="1194" spans="1:7">
      <c r="A1194" t="s">
        <v>3223</v>
      </c>
      <c r="B1194" t="s">
        <v>3224</v>
      </c>
      <c r="C1194">
        <v>15</v>
      </c>
      <c r="D1194" s="260">
        <v>46254</v>
      </c>
      <c r="E1194" s="260">
        <v>46274</v>
      </c>
      <c r="F1194">
        <v>47</v>
      </c>
      <c r="G1194" t="s">
        <v>866</v>
      </c>
    </row>
    <row r="1195" spans="1:7">
      <c r="A1195" t="s">
        <v>3225</v>
      </c>
      <c r="B1195" t="s">
        <v>3226</v>
      </c>
      <c r="C1195">
        <v>5</v>
      </c>
      <c r="D1195" s="260">
        <v>46289</v>
      </c>
      <c r="E1195" s="260">
        <v>46295</v>
      </c>
      <c r="F1195">
        <v>47</v>
      </c>
      <c r="G1195" t="s">
        <v>866</v>
      </c>
    </row>
    <row r="1196" spans="1:7">
      <c r="A1196" t="s">
        <v>3227</v>
      </c>
      <c r="B1196" t="s">
        <v>3228</v>
      </c>
      <c r="C1196">
        <v>15</v>
      </c>
      <c r="D1196" s="260">
        <v>46254</v>
      </c>
      <c r="E1196" s="260">
        <v>46274</v>
      </c>
      <c r="F1196">
        <v>47</v>
      </c>
      <c r="G1196" t="s">
        <v>866</v>
      </c>
    </row>
    <row r="1197" spans="1:7">
      <c r="A1197" t="s">
        <v>3229</v>
      </c>
      <c r="B1197" t="s">
        <v>3230</v>
      </c>
      <c r="C1197">
        <v>5</v>
      </c>
      <c r="D1197" s="260">
        <v>46289</v>
      </c>
      <c r="E1197" s="260">
        <v>46295</v>
      </c>
      <c r="F1197">
        <v>47</v>
      </c>
      <c r="G1197" t="s">
        <v>866</v>
      </c>
    </row>
    <row r="1198" spans="1:7">
      <c r="A1198" t="s">
        <v>3231</v>
      </c>
      <c r="C1198">
        <v>151</v>
      </c>
      <c r="D1198" s="260">
        <v>46112</v>
      </c>
      <c r="E1198" s="260">
        <v>46339</v>
      </c>
      <c r="F1198">
        <v>32</v>
      </c>
      <c r="G1198" t="s">
        <v>866</v>
      </c>
    </row>
    <row r="1199" spans="1:7">
      <c r="A1199" t="s">
        <v>3232</v>
      </c>
      <c r="B1199" t="s">
        <v>3233</v>
      </c>
      <c r="C1199">
        <v>10</v>
      </c>
      <c r="D1199" s="260">
        <v>46113</v>
      </c>
      <c r="E1199" s="260">
        <v>46132</v>
      </c>
      <c r="F1199">
        <v>-45</v>
      </c>
      <c r="G1199" t="s">
        <v>866</v>
      </c>
    </row>
    <row r="1200" spans="1:7">
      <c r="A1200" t="s">
        <v>3234</v>
      </c>
      <c r="B1200" t="s">
        <v>3235</v>
      </c>
      <c r="C1200">
        <v>5</v>
      </c>
      <c r="D1200" s="260">
        <v>46155</v>
      </c>
      <c r="E1200" s="260">
        <v>46161</v>
      </c>
      <c r="F1200">
        <v>33</v>
      </c>
      <c r="G1200" t="s">
        <v>866</v>
      </c>
    </row>
    <row r="1201" spans="1:7">
      <c r="A1201" t="s">
        <v>3236</v>
      </c>
      <c r="B1201" t="s">
        <v>3237</v>
      </c>
      <c r="C1201">
        <v>5</v>
      </c>
      <c r="D1201" s="260">
        <v>46178</v>
      </c>
      <c r="E1201" s="260">
        <v>46184</v>
      </c>
      <c r="F1201">
        <v>33</v>
      </c>
      <c r="G1201" t="s">
        <v>866</v>
      </c>
    </row>
    <row r="1202" spans="1:7">
      <c r="A1202" t="s">
        <v>3238</v>
      </c>
      <c r="B1202" t="s">
        <v>3239</v>
      </c>
      <c r="C1202">
        <v>10</v>
      </c>
      <c r="D1202" s="260">
        <v>46120</v>
      </c>
      <c r="E1202" s="260">
        <v>46136</v>
      </c>
      <c r="F1202">
        <v>58</v>
      </c>
      <c r="G1202" t="s">
        <v>866</v>
      </c>
    </row>
    <row r="1203" spans="1:7">
      <c r="A1203" t="s">
        <v>3240</v>
      </c>
      <c r="B1203" t="s">
        <v>3241</v>
      </c>
      <c r="C1203">
        <v>10</v>
      </c>
      <c r="D1203" s="260">
        <v>46162</v>
      </c>
      <c r="E1203" s="260">
        <v>46177</v>
      </c>
      <c r="F1203">
        <v>82</v>
      </c>
      <c r="G1203" t="s">
        <v>866</v>
      </c>
    </row>
    <row r="1204" spans="1:7">
      <c r="A1204" t="s">
        <v>3242</v>
      </c>
      <c r="B1204" t="s">
        <v>3243</v>
      </c>
      <c r="C1204">
        <v>5</v>
      </c>
      <c r="D1204" s="260">
        <v>46192</v>
      </c>
      <c r="E1204" s="260">
        <v>46198</v>
      </c>
      <c r="F1204">
        <v>87</v>
      </c>
      <c r="G1204" t="s">
        <v>866</v>
      </c>
    </row>
    <row r="1205" spans="1:7">
      <c r="A1205" t="s">
        <v>3244</v>
      </c>
      <c r="B1205" t="s">
        <v>3245</v>
      </c>
      <c r="C1205">
        <v>10</v>
      </c>
      <c r="D1205" s="260">
        <v>46120</v>
      </c>
      <c r="E1205" s="260">
        <v>46136</v>
      </c>
      <c r="F1205">
        <v>83</v>
      </c>
      <c r="G1205" t="s">
        <v>866</v>
      </c>
    </row>
    <row r="1206" spans="1:7">
      <c r="A1206" t="s">
        <v>3246</v>
      </c>
      <c r="B1206" t="s">
        <v>3247</v>
      </c>
      <c r="C1206">
        <v>10</v>
      </c>
      <c r="D1206" s="260">
        <v>46162</v>
      </c>
      <c r="E1206" s="260">
        <v>46177</v>
      </c>
      <c r="F1206">
        <v>92</v>
      </c>
      <c r="G1206" t="s">
        <v>866</v>
      </c>
    </row>
    <row r="1207" spans="1:7">
      <c r="A1207" t="s">
        <v>3248</v>
      </c>
      <c r="B1207" t="s">
        <v>3249</v>
      </c>
      <c r="C1207">
        <v>5</v>
      </c>
      <c r="D1207" s="260">
        <v>46192</v>
      </c>
      <c r="E1207" s="260">
        <v>46198</v>
      </c>
      <c r="F1207">
        <v>97</v>
      </c>
      <c r="G1207" t="s">
        <v>866</v>
      </c>
    </row>
    <row r="1208" spans="1:7">
      <c r="A1208" t="s">
        <v>3250</v>
      </c>
      <c r="B1208" t="s">
        <v>3251</v>
      </c>
      <c r="C1208">
        <v>15</v>
      </c>
      <c r="D1208" s="260">
        <v>46178</v>
      </c>
      <c r="E1208" s="260">
        <v>46198</v>
      </c>
      <c r="F1208">
        <v>32</v>
      </c>
      <c r="G1208" t="s">
        <v>866</v>
      </c>
    </row>
    <row r="1209" spans="1:7">
      <c r="A1209" t="s">
        <v>3252</v>
      </c>
      <c r="B1209" t="s">
        <v>3253</v>
      </c>
      <c r="C1209">
        <v>10</v>
      </c>
      <c r="D1209" s="260">
        <v>46213</v>
      </c>
      <c r="E1209" s="260">
        <v>46226</v>
      </c>
      <c r="F1209">
        <v>67</v>
      </c>
      <c r="G1209" t="s">
        <v>866</v>
      </c>
    </row>
    <row r="1210" spans="1:7">
      <c r="A1210" t="s">
        <v>3254</v>
      </c>
      <c r="B1210" t="s">
        <v>3255</v>
      </c>
      <c r="C1210">
        <v>5</v>
      </c>
      <c r="D1210" s="260">
        <v>46247</v>
      </c>
      <c r="E1210" s="260">
        <v>46253</v>
      </c>
      <c r="F1210">
        <v>87</v>
      </c>
      <c r="G1210" t="s">
        <v>866</v>
      </c>
    </row>
    <row r="1211" spans="1:7">
      <c r="A1211" t="s">
        <v>3256</v>
      </c>
      <c r="B1211" t="s">
        <v>3257</v>
      </c>
      <c r="C1211">
        <v>15</v>
      </c>
      <c r="D1211" s="260">
        <v>46199</v>
      </c>
      <c r="E1211" s="260">
        <v>46219</v>
      </c>
      <c r="F1211">
        <v>72</v>
      </c>
      <c r="G1211" t="s">
        <v>866</v>
      </c>
    </row>
    <row r="1212" spans="1:7">
      <c r="A1212" t="s">
        <v>3258</v>
      </c>
      <c r="B1212" t="s">
        <v>3259</v>
      </c>
      <c r="C1212">
        <v>5</v>
      </c>
      <c r="D1212" s="260">
        <v>46275</v>
      </c>
      <c r="E1212" s="260">
        <v>46281</v>
      </c>
      <c r="F1212">
        <v>72</v>
      </c>
      <c r="G1212" t="s">
        <v>866</v>
      </c>
    </row>
    <row r="1213" spans="1:7">
      <c r="A1213" t="s">
        <v>3260</v>
      </c>
      <c r="B1213" t="s">
        <v>3261</v>
      </c>
      <c r="C1213">
        <v>15</v>
      </c>
      <c r="D1213" s="260">
        <v>46178</v>
      </c>
      <c r="E1213" s="260">
        <v>46198</v>
      </c>
      <c r="F1213">
        <v>72</v>
      </c>
      <c r="G1213" t="s">
        <v>866</v>
      </c>
    </row>
    <row r="1214" spans="1:7">
      <c r="A1214" t="s">
        <v>3262</v>
      </c>
      <c r="B1214" t="s">
        <v>3263</v>
      </c>
      <c r="C1214">
        <v>10</v>
      </c>
      <c r="D1214" s="260">
        <v>46227</v>
      </c>
      <c r="E1214" s="260">
        <v>46245</v>
      </c>
      <c r="F1214">
        <v>67</v>
      </c>
      <c r="G1214" t="s">
        <v>866</v>
      </c>
    </row>
    <row r="1215" spans="1:7">
      <c r="A1215" t="s">
        <v>3264</v>
      </c>
      <c r="B1215" t="s">
        <v>3265</v>
      </c>
      <c r="C1215">
        <v>5</v>
      </c>
      <c r="D1215" s="260">
        <v>46261</v>
      </c>
      <c r="E1215" s="260">
        <v>46267</v>
      </c>
      <c r="F1215">
        <v>72</v>
      </c>
      <c r="G1215" t="s">
        <v>866</v>
      </c>
    </row>
    <row r="1216" spans="1:7">
      <c r="A1216" t="s">
        <v>3266</v>
      </c>
      <c r="B1216" t="s">
        <v>3267</v>
      </c>
      <c r="C1216">
        <v>15</v>
      </c>
      <c r="D1216" s="260">
        <v>46199</v>
      </c>
      <c r="E1216" s="260">
        <v>46219</v>
      </c>
      <c r="F1216">
        <v>42</v>
      </c>
      <c r="G1216" t="s">
        <v>866</v>
      </c>
    </row>
    <row r="1217" spans="1:7">
      <c r="A1217" t="s">
        <v>3268</v>
      </c>
      <c r="B1217" t="s">
        <v>3269</v>
      </c>
      <c r="C1217">
        <v>10</v>
      </c>
      <c r="D1217" s="260">
        <v>46239</v>
      </c>
      <c r="E1217" s="260">
        <v>46253</v>
      </c>
      <c r="F1217">
        <v>77</v>
      </c>
      <c r="G1217" t="s">
        <v>866</v>
      </c>
    </row>
    <row r="1218" spans="1:7">
      <c r="A1218" t="s">
        <v>3270</v>
      </c>
      <c r="B1218" t="s">
        <v>3271</v>
      </c>
      <c r="C1218">
        <v>5</v>
      </c>
      <c r="D1218" s="260">
        <v>46268</v>
      </c>
      <c r="E1218" s="260">
        <v>46274</v>
      </c>
      <c r="F1218">
        <v>77</v>
      </c>
      <c r="G1218" t="s">
        <v>866</v>
      </c>
    </row>
    <row r="1219" spans="1:7">
      <c r="A1219" t="s">
        <v>3272</v>
      </c>
      <c r="B1219" t="s">
        <v>3273</v>
      </c>
      <c r="C1219">
        <v>15</v>
      </c>
      <c r="D1219" s="260">
        <v>46199</v>
      </c>
      <c r="E1219" s="260">
        <v>46219</v>
      </c>
      <c r="F1219">
        <v>42</v>
      </c>
      <c r="G1219" t="s">
        <v>866</v>
      </c>
    </row>
    <row r="1220" spans="1:7">
      <c r="A1220" t="s">
        <v>3274</v>
      </c>
      <c r="B1220" t="s">
        <v>3275</v>
      </c>
      <c r="C1220">
        <v>10</v>
      </c>
      <c r="D1220" s="260">
        <v>46239</v>
      </c>
      <c r="E1220" s="260">
        <v>46253</v>
      </c>
      <c r="F1220">
        <v>77</v>
      </c>
      <c r="G1220" t="s">
        <v>866</v>
      </c>
    </row>
    <row r="1221" spans="1:7">
      <c r="A1221" t="s">
        <v>3276</v>
      </c>
      <c r="B1221" t="s">
        <v>3277</v>
      </c>
      <c r="C1221">
        <v>5</v>
      </c>
      <c r="D1221" s="260">
        <v>46268</v>
      </c>
      <c r="E1221" s="260">
        <v>46274</v>
      </c>
      <c r="F1221">
        <v>77</v>
      </c>
      <c r="G1221" t="s">
        <v>866</v>
      </c>
    </row>
    <row r="1222" spans="1:7">
      <c r="A1222" t="s">
        <v>3278</v>
      </c>
      <c r="B1222" t="s">
        <v>3279</v>
      </c>
      <c r="C1222">
        <v>15</v>
      </c>
      <c r="D1222" s="260">
        <v>46199</v>
      </c>
      <c r="E1222" s="260">
        <v>46219</v>
      </c>
      <c r="F1222">
        <v>57</v>
      </c>
      <c r="G1222" t="s">
        <v>866</v>
      </c>
    </row>
    <row r="1223" spans="1:7">
      <c r="A1223" t="s">
        <v>3280</v>
      </c>
      <c r="B1223" t="s">
        <v>3281</v>
      </c>
      <c r="C1223">
        <v>10</v>
      </c>
      <c r="D1223" s="260">
        <v>46239</v>
      </c>
      <c r="E1223" s="260">
        <v>46253</v>
      </c>
      <c r="F1223">
        <v>62</v>
      </c>
      <c r="G1223" t="s">
        <v>866</v>
      </c>
    </row>
    <row r="1224" spans="1:7">
      <c r="A1224" t="s">
        <v>3282</v>
      </c>
      <c r="B1224" t="s">
        <v>3283</v>
      </c>
      <c r="C1224">
        <v>5</v>
      </c>
      <c r="D1224" s="260">
        <v>46268</v>
      </c>
      <c r="E1224" s="260">
        <v>46274</v>
      </c>
      <c r="F1224">
        <v>67</v>
      </c>
      <c r="G1224" t="s">
        <v>866</v>
      </c>
    </row>
    <row r="1225" spans="1:7">
      <c r="A1225" t="s">
        <v>3284</v>
      </c>
      <c r="B1225" t="s">
        <v>3285</v>
      </c>
      <c r="C1225">
        <v>10</v>
      </c>
      <c r="D1225" s="260">
        <v>46120</v>
      </c>
      <c r="E1225" s="260">
        <v>46136</v>
      </c>
      <c r="F1225">
        <v>58</v>
      </c>
      <c r="G1225" t="s">
        <v>866</v>
      </c>
    </row>
    <row r="1226" spans="1:7">
      <c r="A1226" t="s">
        <v>3286</v>
      </c>
      <c r="B1226" t="s">
        <v>3287</v>
      </c>
      <c r="C1226">
        <v>10</v>
      </c>
      <c r="D1226" s="260">
        <v>46162</v>
      </c>
      <c r="E1226" s="260">
        <v>46177</v>
      </c>
      <c r="F1226">
        <v>82</v>
      </c>
      <c r="G1226" t="s">
        <v>866</v>
      </c>
    </row>
    <row r="1227" spans="1:7">
      <c r="A1227" t="s">
        <v>3288</v>
      </c>
      <c r="B1227" t="s">
        <v>3289</v>
      </c>
      <c r="C1227">
        <v>5</v>
      </c>
      <c r="D1227" s="260">
        <v>46192</v>
      </c>
      <c r="E1227" s="260">
        <v>46198</v>
      </c>
      <c r="F1227">
        <v>97</v>
      </c>
      <c r="G1227" t="s">
        <v>866</v>
      </c>
    </row>
    <row r="1228" spans="1:7">
      <c r="A1228" t="s">
        <v>3290</v>
      </c>
      <c r="B1228" t="s">
        <v>3291</v>
      </c>
      <c r="C1228">
        <v>10</v>
      </c>
      <c r="D1228" s="260">
        <v>46120</v>
      </c>
      <c r="E1228" s="260">
        <v>46136</v>
      </c>
      <c r="F1228">
        <v>78</v>
      </c>
      <c r="G1228" t="s">
        <v>866</v>
      </c>
    </row>
    <row r="1229" spans="1:7">
      <c r="A1229" t="s">
        <v>3292</v>
      </c>
      <c r="B1229" t="s">
        <v>3293</v>
      </c>
      <c r="C1229">
        <v>10</v>
      </c>
      <c r="D1229" s="260">
        <v>46162</v>
      </c>
      <c r="E1229" s="260">
        <v>46177</v>
      </c>
      <c r="F1229">
        <v>102</v>
      </c>
      <c r="G1229" t="s">
        <v>866</v>
      </c>
    </row>
    <row r="1230" spans="1:7">
      <c r="A1230" t="s">
        <v>3294</v>
      </c>
      <c r="B1230" t="s">
        <v>3295</v>
      </c>
      <c r="C1230">
        <v>5</v>
      </c>
      <c r="D1230" s="260">
        <v>46192</v>
      </c>
      <c r="E1230" s="260">
        <v>46198</v>
      </c>
      <c r="F1230">
        <v>112</v>
      </c>
      <c r="G1230" t="s">
        <v>866</v>
      </c>
    </row>
    <row r="1231" spans="1:7">
      <c r="A1231" t="s">
        <v>3296</v>
      </c>
      <c r="B1231" t="s">
        <v>3297</v>
      </c>
      <c r="C1231">
        <v>15</v>
      </c>
      <c r="D1231" s="260">
        <v>46178</v>
      </c>
      <c r="E1231" s="260">
        <v>46198</v>
      </c>
      <c r="F1231">
        <v>32</v>
      </c>
      <c r="G1231" t="s">
        <v>866</v>
      </c>
    </row>
    <row r="1232" spans="1:7">
      <c r="A1232" t="s">
        <v>3298</v>
      </c>
      <c r="B1232" t="s">
        <v>3299</v>
      </c>
      <c r="C1232">
        <v>10</v>
      </c>
      <c r="D1232" s="260">
        <v>46213</v>
      </c>
      <c r="E1232" s="260">
        <v>46226</v>
      </c>
      <c r="F1232">
        <v>57</v>
      </c>
      <c r="G1232" t="s">
        <v>866</v>
      </c>
    </row>
    <row r="1233" spans="1:7">
      <c r="A1233" t="s">
        <v>3300</v>
      </c>
      <c r="B1233" t="s">
        <v>3301</v>
      </c>
      <c r="C1233">
        <v>5</v>
      </c>
      <c r="D1233" s="260">
        <v>46247</v>
      </c>
      <c r="E1233" s="260">
        <v>46253</v>
      </c>
      <c r="F1233">
        <v>67</v>
      </c>
      <c r="G1233" t="s">
        <v>866</v>
      </c>
    </row>
    <row r="1234" spans="1:7">
      <c r="A1234" t="s">
        <v>3302</v>
      </c>
      <c r="B1234" t="s">
        <v>3303</v>
      </c>
      <c r="C1234">
        <v>15</v>
      </c>
      <c r="D1234" s="260">
        <v>46199</v>
      </c>
      <c r="E1234" s="260">
        <v>46219</v>
      </c>
      <c r="F1234">
        <v>32</v>
      </c>
      <c r="G1234" t="s">
        <v>866</v>
      </c>
    </row>
    <row r="1235" spans="1:7">
      <c r="A1235" t="s">
        <v>3304</v>
      </c>
      <c r="B1235" t="s">
        <v>3305</v>
      </c>
      <c r="C1235">
        <v>5</v>
      </c>
      <c r="D1235" s="260">
        <v>46268</v>
      </c>
      <c r="E1235" s="260">
        <v>46274</v>
      </c>
      <c r="F1235">
        <v>57</v>
      </c>
      <c r="G1235" t="s">
        <v>866</v>
      </c>
    </row>
    <row r="1236" spans="1:7">
      <c r="A1236" t="s">
        <v>3306</v>
      </c>
      <c r="B1236" t="s">
        <v>3307</v>
      </c>
      <c r="C1236">
        <v>15</v>
      </c>
      <c r="D1236" s="260">
        <v>46139</v>
      </c>
      <c r="E1236" s="260">
        <v>46160</v>
      </c>
      <c r="F1236">
        <v>58</v>
      </c>
      <c r="G1236" t="s">
        <v>866</v>
      </c>
    </row>
    <row r="1237" spans="1:7">
      <c r="A1237" t="s">
        <v>3308</v>
      </c>
      <c r="B1237" t="s">
        <v>3309</v>
      </c>
      <c r="C1237">
        <v>10</v>
      </c>
      <c r="D1237" s="260">
        <v>46178</v>
      </c>
      <c r="E1237" s="260">
        <v>46191</v>
      </c>
      <c r="F1237">
        <v>82</v>
      </c>
      <c r="G1237" t="s">
        <v>866</v>
      </c>
    </row>
    <row r="1238" spans="1:7">
      <c r="A1238" t="s">
        <v>3310</v>
      </c>
      <c r="B1238" t="s">
        <v>3311</v>
      </c>
      <c r="C1238">
        <v>5</v>
      </c>
      <c r="D1238" s="260">
        <v>46206</v>
      </c>
      <c r="E1238" s="260">
        <v>46212</v>
      </c>
      <c r="F1238">
        <v>92</v>
      </c>
      <c r="G1238" t="s">
        <v>866</v>
      </c>
    </row>
    <row r="1239" spans="1:7">
      <c r="A1239" t="s">
        <v>3312</v>
      </c>
      <c r="B1239" t="s">
        <v>3313</v>
      </c>
      <c r="C1239">
        <v>15</v>
      </c>
      <c r="D1239" s="260">
        <v>46199</v>
      </c>
      <c r="E1239" s="260">
        <v>46219</v>
      </c>
      <c r="F1239">
        <v>77</v>
      </c>
      <c r="G1239" t="s">
        <v>866</v>
      </c>
    </row>
    <row r="1240" spans="1:7">
      <c r="A1240" t="s">
        <v>3314</v>
      </c>
      <c r="B1240" t="s">
        <v>3315</v>
      </c>
      <c r="C1240">
        <v>10</v>
      </c>
      <c r="D1240" s="260">
        <v>46239</v>
      </c>
      <c r="E1240" s="260">
        <v>46253</v>
      </c>
      <c r="F1240">
        <v>77</v>
      </c>
      <c r="G1240" t="s">
        <v>866</v>
      </c>
    </row>
    <row r="1241" spans="1:7">
      <c r="A1241" t="s">
        <v>3316</v>
      </c>
      <c r="B1241" t="s">
        <v>3317</v>
      </c>
      <c r="C1241">
        <v>5</v>
      </c>
      <c r="D1241" s="260">
        <v>46268</v>
      </c>
      <c r="E1241" s="260">
        <v>46274</v>
      </c>
      <c r="F1241">
        <v>77</v>
      </c>
      <c r="G1241" t="s">
        <v>866</v>
      </c>
    </row>
    <row r="1242" spans="1:7">
      <c r="A1242" t="s">
        <v>3318</v>
      </c>
      <c r="B1242" t="s">
        <v>3273</v>
      </c>
      <c r="C1242">
        <v>15</v>
      </c>
      <c r="D1242" s="260">
        <v>46199</v>
      </c>
      <c r="E1242" s="260">
        <v>46219</v>
      </c>
      <c r="F1242">
        <v>77</v>
      </c>
      <c r="G1242" t="s">
        <v>866</v>
      </c>
    </row>
    <row r="1243" spans="1:7">
      <c r="A1243" t="s">
        <v>3319</v>
      </c>
      <c r="B1243" t="s">
        <v>3275</v>
      </c>
      <c r="C1243">
        <v>10</v>
      </c>
      <c r="D1243" s="260">
        <v>46239</v>
      </c>
      <c r="E1243" s="260">
        <v>46253</v>
      </c>
      <c r="F1243">
        <v>77</v>
      </c>
      <c r="G1243" t="s">
        <v>866</v>
      </c>
    </row>
    <row r="1244" spans="1:7">
      <c r="A1244" t="s">
        <v>3320</v>
      </c>
      <c r="B1244" t="s">
        <v>3277</v>
      </c>
      <c r="C1244">
        <v>5</v>
      </c>
      <c r="D1244" s="260">
        <v>46268</v>
      </c>
      <c r="E1244" s="260">
        <v>46274</v>
      </c>
      <c r="F1244">
        <v>77</v>
      </c>
      <c r="G1244" t="s">
        <v>866</v>
      </c>
    </row>
    <row r="1245" spans="1:7">
      <c r="A1245" t="s">
        <v>3321</v>
      </c>
      <c r="B1245" t="s">
        <v>3322</v>
      </c>
      <c r="C1245">
        <v>15</v>
      </c>
      <c r="D1245" s="260">
        <v>46199</v>
      </c>
      <c r="E1245" s="260">
        <v>46219</v>
      </c>
      <c r="F1245">
        <v>37</v>
      </c>
      <c r="G1245" t="s">
        <v>866</v>
      </c>
    </row>
    <row r="1246" spans="1:7">
      <c r="A1246" t="s">
        <v>3323</v>
      </c>
      <c r="B1246" t="s">
        <v>3324</v>
      </c>
      <c r="C1246">
        <v>10</v>
      </c>
      <c r="D1246" s="260">
        <v>46239</v>
      </c>
      <c r="E1246" s="260">
        <v>46253</v>
      </c>
      <c r="F1246">
        <v>62</v>
      </c>
      <c r="G1246" t="s">
        <v>866</v>
      </c>
    </row>
    <row r="1247" spans="1:7">
      <c r="A1247" t="s">
        <v>3325</v>
      </c>
      <c r="B1247" t="s">
        <v>3326</v>
      </c>
      <c r="C1247">
        <v>5</v>
      </c>
      <c r="D1247" s="260">
        <v>46268</v>
      </c>
      <c r="E1247" s="260">
        <v>46274</v>
      </c>
      <c r="F1247">
        <v>67</v>
      </c>
      <c r="G1247" t="s">
        <v>866</v>
      </c>
    </row>
    <row r="1248" spans="1:7">
      <c r="A1248" t="s">
        <v>3327</v>
      </c>
      <c r="B1248" t="s">
        <v>3328</v>
      </c>
      <c r="C1248">
        <v>15</v>
      </c>
      <c r="D1248" s="260">
        <v>46113</v>
      </c>
      <c r="E1248" s="260">
        <v>46139</v>
      </c>
      <c r="F1248">
        <v>-45</v>
      </c>
      <c r="G1248" t="s">
        <v>866</v>
      </c>
    </row>
    <row r="1249" spans="1:7">
      <c r="A1249" t="s">
        <v>3329</v>
      </c>
      <c r="B1249" t="s">
        <v>3330</v>
      </c>
      <c r="C1249">
        <v>10</v>
      </c>
      <c r="D1249" s="260">
        <v>46185</v>
      </c>
      <c r="E1249" s="260">
        <v>46198</v>
      </c>
      <c r="F1249">
        <v>112</v>
      </c>
      <c r="G1249" t="s">
        <v>866</v>
      </c>
    </row>
    <row r="1250" spans="1:7">
      <c r="A1250" t="s">
        <v>3331</v>
      </c>
      <c r="B1250" t="s">
        <v>3332</v>
      </c>
      <c r="C1250">
        <v>15</v>
      </c>
      <c r="D1250" s="260">
        <v>46112</v>
      </c>
      <c r="E1250" s="260">
        <v>46136</v>
      </c>
      <c r="F1250">
        <v>0</v>
      </c>
      <c r="G1250" t="s">
        <v>866</v>
      </c>
    </row>
    <row r="1251" spans="1:7">
      <c r="A1251" t="s">
        <v>3333</v>
      </c>
      <c r="B1251" t="s">
        <v>3334</v>
      </c>
      <c r="C1251">
        <v>10</v>
      </c>
      <c r="D1251" s="260">
        <v>46169</v>
      </c>
      <c r="E1251" s="260">
        <v>46184</v>
      </c>
      <c r="F1251">
        <v>33</v>
      </c>
      <c r="G1251" t="s">
        <v>866</v>
      </c>
    </row>
    <row r="1252" spans="1:7">
      <c r="A1252" t="s">
        <v>3335</v>
      </c>
      <c r="B1252" t="s">
        <v>3336</v>
      </c>
      <c r="C1252">
        <v>15</v>
      </c>
      <c r="D1252" s="260">
        <v>46113</v>
      </c>
      <c r="E1252" s="260">
        <v>46139</v>
      </c>
      <c r="F1252">
        <v>-45</v>
      </c>
      <c r="G1252" t="s">
        <v>866</v>
      </c>
    </row>
    <row r="1253" spans="1:7">
      <c r="A1253" t="s">
        <v>3337</v>
      </c>
      <c r="B1253" t="s">
        <v>3338</v>
      </c>
      <c r="C1253">
        <v>10</v>
      </c>
      <c r="D1253" s="260">
        <v>46185</v>
      </c>
      <c r="E1253" s="260">
        <v>46198</v>
      </c>
      <c r="F1253">
        <v>112</v>
      </c>
      <c r="G1253" t="s">
        <v>866</v>
      </c>
    </row>
    <row r="1254" spans="1:7">
      <c r="A1254" t="s">
        <v>3339</v>
      </c>
      <c r="B1254" t="s">
        <v>3340</v>
      </c>
      <c r="C1254">
        <v>15</v>
      </c>
      <c r="D1254" s="260">
        <v>46113</v>
      </c>
      <c r="E1254" s="260">
        <v>46139</v>
      </c>
      <c r="F1254">
        <v>-45</v>
      </c>
      <c r="G1254" t="s">
        <v>866</v>
      </c>
    </row>
    <row r="1255" spans="1:7">
      <c r="A1255" t="s">
        <v>3341</v>
      </c>
      <c r="B1255" t="s">
        <v>3342</v>
      </c>
      <c r="C1255">
        <v>10</v>
      </c>
      <c r="D1255" s="260">
        <v>46185</v>
      </c>
      <c r="E1255" s="260">
        <v>46198</v>
      </c>
      <c r="F1255">
        <v>112</v>
      </c>
      <c r="G1255" t="s">
        <v>866</v>
      </c>
    </row>
    <row r="1256" spans="1:7">
      <c r="A1256" t="s">
        <v>3343</v>
      </c>
      <c r="B1256" t="s">
        <v>3344</v>
      </c>
      <c r="C1256">
        <v>15</v>
      </c>
      <c r="D1256" s="260">
        <v>46113</v>
      </c>
      <c r="E1256" s="260">
        <v>46139</v>
      </c>
      <c r="F1256">
        <v>87</v>
      </c>
      <c r="G1256" t="s">
        <v>866</v>
      </c>
    </row>
    <row r="1257" spans="1:7">
      <c r="A1257" t="s">
        <v>3345</v>
      </c>
      <c r="B1257" t="s">
        <v>3346</v>
      </c>
      <c r="C1257">
        <v>10</v>
      </c>
      <c r="D1257" s="260">
        <v>46185</v>
      </c>
      <c r="E1257" s="260">
        <v>46198</v>
      </c>
      <c r="F1257">
        <v>112</v>
      </c>
      <c r="G1257" t="s">
        <v>866</v>
      </c>
    </row>
    <row r="1258" spans="1:7">
      <c r="A1258" t="s">
        <v>3347</v>
      </c>
      <c r="B1258" t="s">
        <v>3348</v>
      </c>
      <c r="C1258">
        <v>15</v>
      </c>
      <c r="D1258" s="260">
        <v>46113</v>
      </c>
      <c r="E1258" s="260">
        <v>46139</v>
      </c>
      <c r="F1258">
        <v>87</v>
      </c>
      <c r="G1258" t="s">
        <v>866</v>
      </c>
    </row>
    <row r="1259" spans="1:7">
      <c r="A1259" t="s">
        <v>3349</v>
      </c>
      <c r="B1259" t="s">
        <v>3350</v>
      </c>
      <c r="C1259">
        <v>10</v>
      </c>
      <c r="D1259" s="260">
        <v>46185</v>
      </c>
      <c r="E1259" s="260">
        <v>46198</v>
      </c>
      <c r="F1259">
        <v>112</v>
      </c>
      <c r="G1259" t="s">
        <v>866</v>
      </c>
    </row>
    <row r="1260" spans="1:7">
      <c r="A1260" t="s">
        <v>3351</v>
      </c>
      <c r="B1260" t="s">
        <v>3352</v>
      </c>
      <c r="C1260">
        <v>15</v>
      </c>
      <c r="D1260" s="260">
        <v>46113</v>
      </c>
      <c r="E1260" s="260">
        <v>46139</v>
      </c>
      <c r="F1260">
        <v>147</v>
      </c>
      <c r="G1260" t="s">
        <v>866</v>
      </c>
    </row>
    <row r="1261" spans="1:7">
      <c r="A1261" t="s">
        <v>3353</v>
      </c>
      <c r="B1261" t="s">
        <v>3354</v>
      </c>
      <c r="C1261">
        <v>10</v>
      </c>
      <c r="D1261" s="260">
        <v>46185</v>
      </c>
      <c r="E1261" s="260">
        <v>46198</v>
      </c>
      <c r="F1261">
        <v>127</v>
      </c>
      <c r="G1261" t="s">
        <v>866</v>
      </c>
    </row>
    <row r="1262" spans="1:7">
      <c r="A1262" t="s">
        <v>3355</v>
      </c>
      <c r="B1262" t="s">
        <v>3356</v>
      </c>
      <c r="C1262">
        <v>15</v>
      </c>
      <c r="D1262" s="260">
        <v>46113</v>
      </c>
      <c r="E1262" s="260">
        <v>46139</v>
      </c>
      <c r="F1262">
        <v>112</v>
      </c>
      <c r="G1262" t="s">
        <v>866</v>
      </c>
    </row>
    <row r="1263" spans="1:7">
      <c r="A1263" t="s">
        <v>3357</v>
      </c>
      <c r="B1263" t="s">
        <v>3358</v>
      </c>
      <c r="C1263">
        <v>10</v>
      </c>
      <c r="D1263" s="260">
        <v>46185</v>
      </c>
      <c r="E1263" s="260">
        <v>46198</v>
      </c>
      <c r="F1263">
        <v>117</v>
      </c>
      <c r="G1263" t="s">
        <v>866</v>
      </c>
    </row>
    <row r="1264" spans="1:7">
      <c r="A1264" t="s">
        <v>3359</v>
      </c>
      <c r="B1264" t="s">
        <v>3360</v>
      </c>
      <c r="C1264">
        <v>15</v>
      </c>
      <c r="D1264" s="260">
        <v>46113</v>
      </c>
      <c r="E1264" s="260">
        <v>46139</v>
      </c>
      <c r="F1264">
        <v>92</v>
      </c>
      <c r="G1264" t="s">
        <v>866</v>
      </c>
    </row>
    <row r="1265" spans="1:7">
      <c r="A1265" t="s">
        <v>3361</v>
      </c>
      <c r="B1265" t="s">
        <v>3362</v>
      </c>
      <c r="C1265">
        <v>10</v>
      </c>
      <c r="D1265" s="260">
        <v>46185</v>
      </c>
      <c r="E1265" s="260">
        <v>46198</v>
      </c>
      <c r="F1265">
        <v>117</v>
      </c>
      <c r="G1265" t="s">
        <v>866</v>
      </c>
    </row>
    <row r="1266" spans="1:7">
      <c r="A1266" t="s">
        <v>3363</v>
      </c>
      <c r="B1266" t="s">
        <v>3364</v>
      </c>
      <c r="C1266">
        <v>15</v>
      </c>
      <c r="D1266" s="260">
        <v>46113</v>
      </c>
      <c r="E1266" s="260">
        <v>46139</v>
      </c>
      <c r="F1266">
        <v>147</v>
      </c>
      <c r="G1266" t="s">
        <v>866</v>
      </c>
    </row>
    <row r="1267" spans="1:7">
      <c r="A1267" t="s">
        <v>3365</v>
      </c>
      <c r="B1267" t="s">
        <v>3366</v>
      </c>
      <c r="C1267">
        <v>10</v>
      </c>
      <c r="D1267" s="260">
        <v>46185</v>
      </c>
      <c r="E1267" s="260">
        <v>46198</v>
      </c>
      <c r="F1267">
        <v>127</v>
      </c>
      <c r="G1267" t="s">
        <v>866</v>
      </c>
    </row>
    <row r="1268" spans="1:7">
      <c r="A1268" t="s">
        <v>3367</v>
      </c>
      <c r="B1268" t="s">
        <v>3368</v>
      </c>
      <c r="C1268">
        <v>15</v>
      </c>
      <c r="D1268" s="260">
        <v>46113</v>
      </c>
      <c r="E1268" s="260">
        <v>46139</v>
      </c>
      <c r="F1268">
        <v>112</v>
      </c>
      <c r="G1268" t="s">
        <v>866</v>
      </c>
    </row>
    <row r="1269" spans="1:7">
      <c r="A1269" t="s">
        <v>3369</v>
      </c>
      <c r="B1269" t="s">
        <v>3370</v>
      </c>
      <c r="C1269">
        <v>5</v>
      </c>
      <c r="D1269" s="260">
        <v>46185</v>
      </c>
      <c r="E1269" s="260">
        <v>46191</v>
      </c>
      <c r="F1269">
        <v>122</v>
      </c>
      <c r="G1269" t="s">
        <v>866</v>
      </c>
    </row>
    <row r="1270" spans="1:7">
      <c r="A1270" t="s">
        <v>3371</v>
      </c>
      <c r="B1270" t="s">
        <v>3372</v>
      </c>
      <c r="C1270">
        <v>15</v>
      </c>
      <c r="D1270" s="260">
        <v>46133</v>
      </c>
      <c r="E1270" s="260">
        <v>46154</v>
      </c>
      <c r="F1270">
        <v>137</v>
      </c>
      <c r="G1270" t="s">
        <v>866</v>
      </c>
    </row>
    <row r="1271" spans="1:7">
      <c r="A1271" t="s">
        <v>3373</v>
      </c>
      <c r="B1271" t="s">
        <v>3374</v>
      </c>
      <c r="C1271">
        <v>10</v>
      </c>
      <c r="D1271" s="260">
        <v>46169</v>
      </c>
      <c r="E1271" s="260">
        <v>46184</v>
      </c>
      <c r="F1271">
        <v>137</v>
      </c>
      <c r="G1271" t="s">
        <v>866</v>
      </c>
    </row>
    <row r="1272" spans="1:7">
      <c r="A1272" t="s">
        <v>3375</v>
      </c>
      <c r="B1272" t="s">
        <v>3376</v>
      </c>
      <c r="C1272">
        <v>15</v>
      </c>
      <c r="D1272" s="260">
        <v>46133</v>
      </c>
      <c r="E1272" s="260">
        <v>46154</v>
      </c>
      <c r="F1272">
        <v>137</v>
      </c>
      <c r="G1272" t="s">
        <v>866</v>
      </c>
    </row>
    <row r="1273" spans="1:7">
      <c r="A1273" t="s">
        <v>3377</v>
      </c>
      <c r="B1273" t="s">
        <v>3378</v>
      </c>
      <c r="C1273">
        <v>10</v>
      </c>
      <c r="D1273" s="260">
        <v>46169</v>
      </c>
      <c r="E1273" s="260">
        <v>46184</v>
      </c>
      <c r="F1273">
        <v>137</v>
      </c>
      <c r="G1273" t="s">
        <v>866</v>
      </c>
    </row>
    <row r="1274" spans="1:7">
      <c r="A1274" t="s">
        <v>3379</v>
      </c>
      <c r="B1274" t="s">
        <v>3380</v>
      </c>
      <c r="C1274">
        <v>15</v>
      </c>
      <c r="D1274" s="260">
        <v>46133</v>
      </c>
      <c r="E1274" s="260">
        <v>46154</v>
      </c>
      <c r="F1274">
        <v>137</v>
      </c>
      <c r="G1274" t="s">
        <v>866</v>
      </c>
    </row>
    <row r="1275" spans="1:7">
      <c r="A1275" t="s">
        <v>3381</v>
      </c>
      <c r="B1275" t="s">
        <v>3382</v>
      </c>
      <c r="C1275">
        <v>10</v>
      </c>
      <c r="D1275" s="260">
        <v>46169</v>
      </c>
      <c r="E1275" s="260">
        <v>46184</v>
      </c>
      <c r="F1275">
        <v>137</v>
      </c>
      <c r="G1275" t="s">
        <v>866</v>
      </c>
    </row>
    <row r="1276" spans="1:7">
      <c r="A1276" t="s">
        <v>3383</v>
      </c>
      <c r="B1276" t="s">
        <v>3384</v>
      </c>
      <c r="C1276">
        <v>15</v>
      </c>
      <c r="D1276" s="260">
        <v>46133</v>
      </c>
      <c r="E1276" s="260">
        <v>46154</v>
      </c>
      <c r="F1276">
        <v>137</v>
      </c>
      <c r="G1276" t="s">
        <v>866</v>
      </c>
    </row>
    <row r="1277" spans="1:7">
      <c r="A1277" t="s">
        <v>3385</v>
      </c>
      <c r="B1277" t="s">
        <v>3386</v>
      </c>
      <c r="C1277">
        <v>10</v>
      </c>
      <c r="D1277" s="260">
        <v>46169</v>
      </c>
      <c r="E1277" s="260">
        <v>46184</v>
      </c>
      <c r="F1277">
        <v>137</v>
      </c>
      <c r="G1277" t="s">
        <v>866</v>
      </c>
    </row>
    <row r="1278" spans="1:7">
      <c r="A1278" t="s">
        <v>3387</v>
      </c>
      <c r="B1278" t="s">
        <v>3388</v>
      </c>
      <c r="C1278">
        <v>15</v>
      </c>
      <c r="D1278" s="260">
        <v>46133</v>
      </c>
      <c r="E1278" s="260">
        <v>46154</v>
      </c>
      <c r="F1278">
        <v>137</v>
      </c>
      <c r="G1278" t="s">
        <v>866</v>
      </c>
    </row>
    <row r="1279" spans="1:7">
      <c r="A1279" t="s">
        <v>3389</v>
      </c>
      <c r="B1279" t="s">
        <v>3390</v>
      </c>
      <c r="C1279">
        <v>10</v>
      </c>
      <c r="D1279" s="260">
        <v>46169</v>
      </c>
      <c r="E1279" s="260">
        <v>46184</v>
      </c>
      <c r="F1279">
        <v>137</v>
      </c>
      <c r="G1279" t="s">
        <v>866</v>
      </c>
    </row>
    <row r="1280" spans="1:7">
      <c r="A1280" t="s">
        <v>3391</v>
      </c>
      <c r="B1280" t="s">
        <v>3392</v>
      </c>
      <c r="C1280">
        <v>15</v>
      </c>
      <c r="D1280" s="260">
        <v>46113</v>
      </c>
      <c r="E1280" s="260">
        <v>46139</v>
      </c>
      <c r="F1280">
        <v>147</v>
      </c>
      <c r="G1280" t="s">
        <v>866</v>
      </c>
    </row>
    <row r="1281" spans="1:7">
      <c r="A1281" t="s">
        <v>3393</v>
      </c>
      <c r="B1281" t="s">
        <v>3394</v>
      </c>
      <c r="C1281">
        <v>10</v>
      </c>
      <c r="D1281" s="260">
        <v>46155</v>
      </c>
      <c r="E1281" s="260">
        <v>46168</v>
      </c>
      <c r="F1281">
        <v>147</v>
      </c>
      <c r="G1281" t="s">
        <v>866</v>
      </c>
    </row>
    <row r="1282" spans="1:7">
      <c r="A1282" t="s">
        <v>3395</v>
      </c>
      <c r="B1282" t="s">
        <v>3396</v>
      </c>
      <c r="C1282">
        <v>15</v>
      </c>
      <c r="D1282" s="260">
        <v>46140</v>
      </c>
      <c r="E1282" s="260">
        <v>46161</v>
      </c>
      <c r="F1282">
        <v>112</v>
      </c>
      <c r="G1282" t="s">
        <v>866</v>
      </c>
    </row>
    <row r="1283" spans="1:7">
      <c r="A1283" t="s">
        <v>3397</v>
      </c>
      <c r="B1283" t="s">
        <v>3398</v>
      </c>
      <c r="C1283">
        <v>10</v>
      </c>
      <c r="D1283" s="260">
        <v>46206</v>
      </c>
      <c r="E1283" s="260">
        <v>46219</v>
      </c>
      <c r="F1283">
        <v>112</v>
      </c>
      <c r="G1283" t="s">
        <v>866</v>
      </c>
    </row>
    <row r="1284" spans="1:7">
      <c r="A1284" t="s">
        <v>3399</v>
      </c>
      <c r="B1284" t="s">
        <v>3400</v>
      </c>
      <c r="C1284">
        <v>15</v>
      </c>
      <c r="D1284" s="260">
        <v>46199</v>
      </c>
      <c r="E1284" s="260">
        <v>46219</v>
      </c>
      <c r="F1284">
        <v>72</v>
      </c>
      <c r="G1284" t="s">
        <v>866</v>
      </c>
    </row>
    <row r="1285" spans="1:7">
      <c r="A1285" t="s">
        <v>3401</v>
      </c>
      <c r="B1285" t="s">
        <v>3402</v>
      </c>
      <c r="C1285">
        <v>10</v>
      </c>
      <c r="D1285" s="260">
        <v>46239</v>
      </c>
      <c r="E1285" s="260">
        <v>46253</v>
      </c>
      <c r="F1285">
        <v>72</v>
      </c>
      <c r="G1285" t="s">
        <v>866</v>
      </c>
    </row>
    <row r="1286" spans="1:7">
      <c r="A1286" t="s">
        <v>3403</v>
      </c>
      <c r="B1286" t="s">
        <v>3404</v>
      </c>
      <c r="C1286">
        <v>10</v>
      </c>
      <c r="D1286" s="260">
        <v>46268</v>
      </c>
      <c r="E1286" s="260">
        <v>46281</v>
      </c>
      <c r="F1286">
        <v>72</v>
      </c>
      <c r="G1286" t="s">
        <v>866</v>
      </c>
    </row>
    <row r="1287" spans="1:7">
      <c r="A1287" t="s">
        <v>3405</v>
      </c>
      <c r="B1287" t="s">
        <v>3406</v>
      </c>
      <c r="C1287">
        <v>15</v>
      </c>
      <c r="D1287" s="260">
        <v>46199</v>
      </c>
      <c r="E1287" s="260">
        <v>46219</v>
      </c>
      <c r="F1287">
        <v>42</v>
      </c>
      <c r="G1287" t="s">
        <v>866</v>
      </c>
    </row>
    <row r="1288" spans="1:7">
      <c r="A1288" t="s">
        <v>3407</v>
      </c>
      <c r="B1288" t="s">
        <v>3408</v>
      </c>
      <c r="C1288">
        <v>10</v>
      </c>
      <c r="D1288" s="260">
        <v>46268</v>
      </c>
      <c r="E1288" s="260">
        <v>46281</v>
      </c>
      <c r="F1288">
        <v>52</v>
      </c>
      <c r="G1288" t="s">
        <v>866</v>
      </c>
    </row>
    <row r="1289" spans="1:7">
      <c r="A1289" t="s">
        <v>3409</v>
      </c>
      <c r="B1289" t="s">
        <v>3410</v>
      </c>
      <c r="C1289">
        <v>15</v>
      </c>
      <c r="D1289" s="260">
        <v>46148</v>
      </c>
      <c r="E1289" s="260">
        <v>46168</v>
      </c>
      <c r="F1289">
        <v>92</v>
      </c>
      <c r="G1289" t="s">
        <v>866</v>
      </c>
    </row>
    <row r="1290" spans="1:7">
      <c r="A1290" t="s">
        <v>3411</v>
      </c>
      <c r="B1290" t="s">
        <v>3412</v>
      </c>
      <c r="C1290">
        <v>10</v>
      </c>
      <c r="D1290" s="260">
        <v>46213</v>
      </c>
      <c r="E1290" s="260">
        <v>46226</v>
      </c>
      <c r="F1290">
        <v>77</v>
      </c>
      <c r="G1290" t="s">
        <v>866</v>
      </c>
    </row>
    <row r="1291" spans="1:7">
      <c r="A1291" t="s">
        <v>3413</v>
      </c>
      <c r="B1291" t="s">
        <v>3414</v>
      </c>
      <c r="C1291">
        <v>10</v>
      </c>
      <c r="D1291" s="260">
        <v>46275</v>
      </c>
      <c r="E1291" s="260">
        <v>46288</v>
      </c>
      <c r="F1291">
        <v>57</v>
      </c>
      <c r="G1291" t="s">
        <v>866</v>
      </c>
    </row>
    <row r="1292" spans="1:7">
      <c r="A1292" t="s">
        <v>3415</v>
      </c>
      <c r="B1292" t="s">
        <v>3416</v>
      </c>
      <c r="C1292">
        <v>15</v>
      </c>
      <c r="D1292" s="260">
        <v>46199</v>
      </c>
      <c r="E1292" s="260">
        <v>46219</v>
      </c>
      <c r="F1292">
        <v>42</v>
      </c>
      <c r="G1292" t="s">
        <v>866</v>
      </c>
    </row>
    <row r="1293" spans="1:7">
      <c r="A1293" t="s">
        <v>3417</v>
      </c>
      <c r="B1293" t="s">
        <v>3418</v>
      </c>
      <c r="C1293">
        <v>10</v>
      </c>
      <c r="D1293" s="260">
        <v>46247</v>
      </c>
      <c r="E1293" s="260">
        <v>46260</v>
      </c>
      <c r="F1293">
        <v>47</v>
      </c>
      <c r="G1293" t="s">
        <v>866</v>
      </c>
    </row>
    <row r="1294" spans="1:7">
      <c r="A1294" t="s">
        <v>3419</v>
      </c>
      <c r="B1294" t="s">
        <v>3420</v>
      </c>
      <c r="C1294">
        <v>10</v>
      </c>
      <c r="D1294" s="260">
        <v>46275</v>
      </c>
      <c r="E1294" s="260">
        <v>46288</v>
      </c>
      <c r="F1294">
        <v>47</v>
      </c>
      <c r="G1294" t="s">
        <v>866</v>
      </c>
    </row>
    <row r="1295" spans="1:7">
      <c r="A1295" t="s">
        <v>3421</v>
      </c>
      <c r="B1295" t="s">
        <v>3422</v>
      </c>
      <c r="C1295">
        <v>15</v>
      </c>
      <c r="D1295" s="260">
        <v>46199</v>
      </c>
      <c r="E1295" s="260">
        <v>46219</v>
      </c>
      <c r="F1295">
        <v>72</v>
      </c>
      <c r="G1295" t="s">
        <v>866</v>
      </c>
    </row>
    <row r="1296" spans="1:7">
      <c r="A1296" t="s">
        <v>3423</v>
      </c>
      <c r="B1296" t="s">
        <v>3424</v>
      </c>
      <c r="C1296">
        <v>10</v>
      </c>
      <c r="D1296" s="260">
        <v>46275</v>
      </c>
      <c r="E1296" s="260">
        <v>46288</v>
      </c>
      <c r="F1296">
        <v>67</v>
      </c>
      <c r="G1296" t="s">
        <v>866</v>
      </c>
    </row>
    <row r="1297" spans="1:7">
      <c r="A1297" t="s">
        <v>3425</v>
      </c>
      <c r="B1297" t="s">
        <v>3426</v>
      </c>
      <c r="C1297">
        <v>15</v>
      </c>
      <c r="D1297" s="260">
        <v>46199</v>
      </c>
      <c r="E1297" s="260">
        <v>46219</v>
      </c>
      <c r="F1297">
        <v>72</v>
      </c>
      <c r="G1297" t="s">
        <v>866</v>
      </c>
    </row>
    <row r="1298" spans="1:7">
      <c r="A1298" t="s">
        <v>3427</v>
      </c>
      <c r="B1298" t="s">
        <v>3428</v>
      </c>
      <c r="C1298">
        <v>10</v>
      </c>
      <c r="D1298" s="260">
        <v>46239</v>
      </c>
      <c r="E1298" s="260">
        <v>46253</v>
      </c>
      <c r="F1298">
        <v>72</v>
      </c>
      <c r="G1298" t="s">
        <v>866</v>
      </c>
    </row>
    <row r="1299" spans="1:7">
      <c r="A1299" t="s">
        <v>3429</v>
      </c>
      <c r="B1299" t="s">
        <v>3430</v>
      </c>
      <c r="C1299">
        <v>10</v>
      </c>
      <c r="D1299" s="260">
        <v>46268</v>
      </c>
      <c r="E1299" s="260">
        <v>46281</v>
      </c>
      <c r="F1299">
        <v>72</v>
      </c>
      <c r="G1299" t="s">
        <v>866</v>
      </c>
    </row>
    <row r="1300" spans="1:7">
      <c r="A1300" t="s">
        <v>3431</v>
      </c>
      <c r="B1300" t="s">
        <v>3432</v>
      </c>
      <c r="C1300">
        <v>15</v>
      </c>
      <c r="D1300" s="260">
        <v>46220</v>
      </c>
      <c r="E1300" s="260">
        <v>46245</v>
      </c>
      <c r="F1300">
        <v>42</v>
      </c>
      <c r="G1300" t="s">
        <v>866</v>
      </c>
    </row>
    <row r="1301" spans="1:7">
      <c r="A1301" t="s">
        <v>3433</v>
      </c>
      <c r="B1301" t="s">
        <v>3434</v>
      </c>
      <c r="C1301">
        <v>10</v>
      </c>
      <c r="D1301" s="260">
        <v>46289</v>
      </c>
      <c r="E1301" s="260">
        <v>46302</v>
      </c>
      <c r="F1301">
        <v>47</v>
      </c>
      <c r="G1301" t="s">
        <v>866</v>
      </c>
    </row>
    <row r="1302" spans="1:7">
      <c r="A1302" t="s">
        <v>3435</v>
      </c>
      <c r="B1302" t="s">
        <v>3436</v>
      </c>
      <c r="C1302">
        <v>15</v>
      </c>
      <c r="D1302" s="260">
        <v>46220</v>
      </c>
      <c r="E1302" s="260">
        <v>46245</v>
      </c>
      <c r="F1302">
        <v>57</v>
      </c>
      <c r="G1302" t="s">
        <v>866</v>
      </c>
    </row>
    <row r="1303" spans="1:7">
      <c r="A1303" t="s">
        <v>3437</v>
      </c>
      <c r="B1303" t="s">
        <v>3438</v>
      </c>
      <c r="C1303">
        <v>10</v>
      </c>
      <c r="D1303" s="260">
        <v>46289</v>
      </c>
      <c r="E1303" s="260">
        <v>46302</v>
      </c>
      <c r="F1303">
        <v>57</v>
      </c>
      <c r="G1303" t="s">
        <v>866</v>
      </c>
    </row>
    <row r="1304" spans="1:7">
      <c r="A1304" t="s">
        <v>3439</v>
      </c>
      <c r="B1304" t="s">
        <v>3440</v>
      </c>
      <c r="C1304">
        <v>15</v>
      </c>
      <c r="D1304" s="260">
        <v>46247</v>
      </c>
      <c r="E1304" s="260">
        <v>46267</v>
      </c>
      <c r="F1304">
        <v>42</v>
      </c>
      <c r="G1304" t="s">
        <v>866</v>
      </c>
    </row>
    <row r="1305" spans="1:7">
      <c r="A1305" t="s">
        <v>3441</v>
      </c>
      <c r="B1305" t="s">
        <v>3442</v>
      </c>
      <c r="C1305">
        <v>10</v>
      </c>
      <c r="D1305" s="260">
        <v>46282</v>
      </c>
      <c r="E1305" s="260">
        <v>46295</v>
      </c>
      <c r="F1305">
        <v>42</v>
      </c>
      <c r="G1305" t="s">
        <v>866</v>
      </c>
    </row>
    <row r="1306" spans="1:7">
      <c r="A1306" t="s">
        <v>3443</v>
      </c>
      <c r="B1306" t="s">
        <v>3444</v>
      </c>
      <c r="C1306">
        <v>10</v>
      </c>
      <c r="D1306" s="260">
        <v>46311</v>
      </c>
      <c r="E1306" s="260">
        <v>46325</v>
      </c>
      <c r="F1306">
        <v>42</v>
      </c>
      <c r="G1306" t="s">
        <v>866</v>
      </c>
    </row>
    <row r="1307" spans="1:7">
      <c r="A1307" t="s">
        <v>3445</v>
      </c>
      <c r="B1307" t="s">
        <v>3446</v>
      </c>
      <c r="C1307">
        <v>15</v>
      </c>
      <c r="D1307" s="260">
        <v>46199</v>
      </c>
      <c r="E1307" s="260">
        <v>46219</v>
      </c>
      <c r="F1307">
        <v>72</v>
      </c>
      <c r="G1307" t="s">
        <v>866</v>
      </c>
    </row>
    <row r="1308" spans="1:7">
      <c r="A1308" t="s">
        <v>3447</v>
      </c>
      <c r="B1308" t="s">
        <v>3448</v>
      </c>
      <c r="C1308">
        <v>10</v>
      </c>
      <c r="D1308" s="260">
        <v>46239</v>
      </c>
      <c r="E1308" s="260">
        <v>46253</v>
      </c>
      <c r="F1308">
        <v>72</v>
      </c>
      <c r="G1308" t="s">
        <v>866</v>
      </c>
    </row>
    <row r="1309" spans="1:7">
      <c r="A1309" t="s">
        <v>3449</v>
      </c>
      <c r="B1309" t="s">
        <v>3450</v>
      </c>
      <c r="C1309">
        <v>10</v>
      </c>
      <c r="D1309" s="260">
        <v>46268</v>
      </c>
      <c r="E1309" s="260">
        <v>46281</v>
      </c>
      <c r="F1309">
        <v>72</v>
      </c>
      <c r="G1309" t="s">
        <v>866</v>
      </c>
    </row>
    <row r="1310" spans="1:7">
      <c r="A1310" t="s">
        <v>3451</v>
      </c>
      <c r="B1310" t="s">
        <v>3452</v>
      </c>
      <c r="C1310">
        <v>15</v>
      </c>
      <c r="D1310" s="260">
        <v>46199</v>
      </c>
      <c r="E1310" s="260">
        <v>46219</v>
      </c>
      <c r="F1310">
        <v>72</v>
      </c>
      <c r="G1310" t="s">
        <v>866</v>
      </c>
    </row>
    <row r="1311" spans="1:7">
      <c r="A1311" t="s">
        <v>3453</v>
      </c>
      <c r="B1311" t="s">
        <v>3454</v>
      </c>
      <c r="C1311">
        <v>10</v>
      </c>
      <c r="D1311" s="260">
        <v>46239</v>
      </c>
      <c r="E1311" s="260">
        <v>46253</v>
      </c>
      <c r="F1311">
        <v>72</v>
      </c>
      <c r="G1311" t="s">
        <v>866</v>
      </c>
    </row>
    <row r="1312" spans="1:7">
      <c r="A1312" t="s">
        <v>3455</v>
      </c>
      <c r="B1312" t="s">
        <v>3456</v>
      </c>
      <c r="C1312">
        <v>10</v>
      </c>
      <c r="D1312" s="260">
        <v>46268</v>
      </c>
      <c r="E1312" s="260">
        <v>46281</v>
      </c>
      <c r="F1312">
        <v>72</v>
      </c>
      <c r="G1312" t="s">
        <v>866</v>
      </c>
    </row>
    <row r="1313" spans="1:7">
      <c r="A1313" t="s">
        <v>3457</v>
      </c>
      <c r="B1313" t="s">
        <v>3458</v>
      </c>
      <c r="C1313">
        <v>15</v>
      </c>
      <c r="D1313" s="260">
        <v>46199</v>
      </c>
      <c r="E1313" s="260">
        <v>46219</v>
      </c>
      <c r="F1313">
        <v>72</v>
      </c>
      <c r="G1313" t="s">
        <v>866</v>
      </c>
    </row>
    <row r="1314" spans="1:7">
      <c r="A1314" t="s">
        <v>3459</v>
      </c>
      <c r="B1314" t="s">
        <v>3460</v>
      </c>
      <c r="C1314">
        <v>10</v>
      </c>
      <c r="D1314" s="260">
        <v>46239</v>
      </c>
      <c r="E1314" s="260">
        <v>46253</v>
      </c>
      <c r="F1314">
        <v>72</v>
      </c>
      <c r="G1314" t="s">
        <v>866</v>
      </c>
    </row>
    <row r="1315" spans="1:7">
      <c r="A1315" t="s">
        <v>3461</v>
      </c>
      <c r="B1315" t="s">
        <v>3462</v>
      </c>
      <c r="C1315">
        <v>10</v>
      </c>
      <c r="D1315" s="260">
        <v>46268</v>
      </c>
      <c r="E1315" s="260">
        <v>46281</v>
      </c>
      <c r="F1315">
        <v>72</v>
      </c>
      <c r="G1315" t="s">
        <v>866</v>
      </c>
    </row>
    <row r="1316" spans="1:7">
      <c r="A1316" t="s">
        <v>3463</v>
      </c>
      <c r="B1316" t="s">
        <v>3464</v>
      </c>
      <c r="C1316">
        <v>15</v>
      </c>
      <c r="D1316" s="260">
        <v>46199</v>
      </c>
      <c r="E1316" s="260">
        <v>46219</v>
      </c>
      <c r="F1316">
        <v>72</v>
      </c>
      <c r="G1316" t="s">
        <v>866</v>
      </c>
    </row>
    <row r="1317" spans="1:7">
      <c r="A1317" t="s">
        <v>3465</v>
      </c>
      <c r="B1317" t="s">
        <v>3466</v>
      </c>
      <c r="C1317">
        <v>10</v>
      </c>
      <c r="D1317" s="260">
        <v>46268</v>
      </c>
      <c r="E1317" s="260">
        <v>46281</v>
      </c>
      <c r="F1317">
        <v>72</v>
      </c>
      <c r="G1317" t="s">
        <v>866</v>
      </c>
    </row>
    <row r="1318" spans="1:7">
      <c r="A1318" t="s">
        <v>3467</v>
      </c>
      <c r="B1318" t="s">
        <v>3468</v>
      </c>
      <c r="C1318">
        <v>15</v>
      </c>
      <c r="D1318" s="260">
        <v>46220</v>
      </c>
      <c r="E1318" s="260">
        <v>46245</v>
      </c>
      <c r="F1318">
        <v>42</v>
      </c>
      <c r="G1318" t="s">
        <v>866</v>
      </c>
    </row>
    <row r="1319" spans="1:7">
      <c r="A1319" t="s">
        <v>3469</v>
      </c>
      <c r="B1319" t="s">
        <v>3470</v>
      </c>
      <c r="C1319">
        <v>10</v>
      </c>
      <c r="D1319" s="260">
        <v>46289</v>
      </c>
      <c r="E1319" s="260">
        <v>46302</v>
      </c>
      <c r="F1319">
        <v>47</v>
      </c>
      <c r="G1319" t="s">
        <v>866</v>
      </c>
    </row>
    <row r="1320" spans="1:7">
      <c r="A1320" t="s">
        <v>3471</v>
      </c>
      <c r="B1320" t="s">
        <v>3472</v>
      </c>
      <c r="C1320">
        <v>15</v>
      </c>
      <c r="D1320" s="260">
        <v>46220</v>
      </c>
      <c r="E1320" s="260">
        <v>46245</v>
      </c>
      <c r="F1320">
        <v>42</v>
      </c>
      <c r="G1320" t="s">
        <v>866</v>
      </c>
    </row>
    <row r="1321" spans="1:7">
      <c r="A1321" t="s">
        <v>3473</v>
      </c>
      <c r="B1321" t="s">
        <v>3474</v>
      </c>
      <c r="C1321">
        <v>10</v>
      </c>
      <c r="D1321" s="260">
        <v>46289</v>
      </c>
      <c r="E1321" s="260">
        <v>46302</v>
      </c>
      <c r="F1321">
        <v>47</v>
      </c>
      <c r="G1321" t="s">
        <v>866</v>
      </c>
    </row>
    <row r="1322" spans="1:7">
      <c r="A1322" t="s">
        <v>3475</v>
      </c>
      <c r="B1322" t="s">
        <v>3476</v>
      </c>
      <c r="C1322">
        <v>15</v>
      </c>
      <c r="D1322" s="260">
        <v>46220</v>
      </c>
      <c r="E1322" s="260">
        <v>46245</v>
      </c>
      <c r="F1322">
        <v>42</v>
      </c>
      <c r="G1322" t="s">
        <v>866</v>
      </c>
    </row>
    <row r="1323" spans="1:7">
      <c r="A1323" t="s">
        <v>3477</v>
      </c>
      <c r="B1323" t="s">
        <v>3478</v>
      </c>
      <c r="C1323">
        <v>10</v>
      </c>
      <c r="D1323" s="260">
        <v>46289</v>
      </c>
      <c r="E1323" s="260">
        <v>46302</v>
      </c>
      <c r="F1323">
        <v>47</v>
      </c>
      <c r="G1323" t="s">
        <v>866</v>
      </c>
    </row>
    <row r="1324" spans="1:7">
      <c r="A1324" t="s">
        <v>3479</v>
      </c>
      <c r="B1324" t="s">
        <v>3480</v>
      </c>
      <c r="C1324">
        <v>15</v>
      </c>
      <c r="D1324" s="260">
        <v>46140</v>
      </c>
      <c r="E1324" s="260">
        <v>46161</v>
      </c>
      <c r="F1324">
        <v>112</v>
      </c>
      <c r="G1324" t="s">
        <v>866</v>
      </c>
    </row>
    <row r="1325" spans="1:7">
      <c r="A1325" t="s">
        <v>3481</v>
      </c>
      <c r="B1325" t="s">
        <v>3482</v>
      </c>
      <c r="C1325">
        <v>10</v>
      </c>
      <c r="D1325" s="260">
        <v>46206</v>
      </c>
      <c r="E1325" s="260">
        <v>46219</v>
      </c>
      <c r="F1325">
        <v>112</v>
      </c>
      <c r="G1325" t="s">
        <v>866</v>
      </c>
    </row>
    <row r="1326" spans="1:7">
      <c r="A1326" t="s">
        <v>3483</v>
      </c>
      <c r="B1326" t="s">
        <v>3484</v>
      </c>
      <c r="C1326">
        <v>15</v>
      </c>
      <c r="D1326" s="260">
        <v>46199</v>
      </c>
      <c r="E1326" s="260">
        <v>46219</v>
      </c>
      <c r="F1326">
        <v>72</v>
      </c>
      <c r="G1326" t="s">
        <v>866</v>
      </c>
    </row>
    <row r="1327" spans="1:7">
      <c r="A1327" t="s">
        <v>3485</v>
      </c>
      <c r="B1327" t="s">
        <v>3486</v>
      </c>
      <c r="C1327">
        <v>10</v>
      </c>
      <c r="D1327" s="260">
        <v>46239</v>
      </c>
      <c r="E1327" s="260">
        <v>46253</v>
      </c>
      <c r="F1327">
        <v>72</v>
      </c>
      <c r="G1327" t="s">
        <v>866</v>
      </c>
    </row>
    <row r="1328" spans="1:7">
      <c r="A1328" t="s">
        <v>3487</v>
      </c>
      <c r="B1328" t="s">
        <v>3488</v>
      </c>
      <c r="C1328">
        <v>10</v>
      </c>
      <c r="D1328" s="260">
        <v>46268</v>
      </c>
      <c r="E1328" s="260">
        <v>46281</v>
      </c>
      <c r="F1328">
        <v>72</v>
      </c>
      <c r="G1328" t="s">
        <v>866</v>
      </c>
    </row>
    <row r="1329" spans="1:7">
      <c r="A1329" t="s">
        <v>3489</v>
      </c>
      <c r="B1329" t="s">
        <v>3490</v>
      </c>
      <c r="C1329">
        <v>15</v>
      </c>
      <c r="D1329" s="260">
        <v>46199</v>
      </c>
      <c r="E1329" s="260">
        <v>46219</v>
      </c>
      <c r="F1329">
        <v>72</v>
      </c>
      <c r="G1329" t="s">
        <v>866</v>
      </c>
    </row>
    <row r="1330" spans="1:7">
      <c r="A1330" t="s">
        <v>3491</v>
      </c>
      <c r="B1330" t="s">
        <v>3492</v>
      </c>
      <c r="C1330">
        <v>10</v>
      </c>
      <c r="D1330" s="260">
        <v>46239</v>
      </c>
      <c r="E1330" s="260">
        <v>46253</v>
      </c>
      <c r="F1330">
        <v>72</v>
      </c>
      <c r="G1330" t="s">
        <v>866</v>
      </c>
    </row>
    <row r="1331" spans="1:7">
      <c r="A1331" t="s">
        <v>3493</v>
      </c>
      <c r="B1331" t="s">
        <v>3494</v>
      </c>
      <c r="C1331">
        <v>10</v>
      </c>
      <c r="D1331" s="260">
        <v>46268</v>
      </c>
      <c r="E1331" s="260">
        <v>46281</v>
      </c>
      <c r="F1331">
        <v>72</v>
      </c>
      <c r="G1331" t="s">
        <v>866</v>
      </c>
    </row>
    <row r="1332" spans="1:7">
      <c r="A1332" t="s">
        <v>3495</v>
      </c>
      <c r="B1332" t="s">
        <v>3496</v>
      </c>
      <c r="C1332">
        <v>15</v>
      </c>
      <c r="D1332" s="260">
        <v>46148</v>
      </c>
      <c r="E1332" s="260">
        <v>46168</v>
      </c>
      <c r="F1332">
        <v>107</v>
      </c>
      <c r="G1332" t="s">
        <v>866</v>
      </c>
    </row>
    <row r="1333" spans="1:7">
      <c r="A1333" t="s">
        <v>3497</v>
      </c>
      <c r="B1333" t="s">
        <v>3498</v>
      </c>
      <c r="C1333">
        <v>10</v>
      </c>
      <c r="D1333" s="260">
        <v>46213</v>
      </c>
      <c r="E1333" s="260">
        <v>46226</v>
      </c>
      <c r="F1333">
        <v>87</v>
      </c>
      <c r="G1333" t="s">
        <v>866</v>
      </c>
    </row>
    <row r="1334" spans="1:7">
      <c r="A1334" t="s">
        <v>3499</v>
      </c>
      <c r="B1334" t="s">
        <v>3500</v>
      </c>
      <c r="C1334">
        <v>10</v>
      </c>
      <c r="D1334" s="260">
        <v>46275</v>
      </c>
      <c r="E1334" s="260">
        <v>46288</v>
      </c>
      <c r="F1334">
        <v>67</v>
      </c>
      <c r="G1334" t="s">
        <v>866</v>
      </c>
    </row>
    <row r="1335" spans="1:7">
      <c r="A1335" t="s">
        <v>3501</v>
      </c>
      <c r="B1335" t="s">
        <v>3502</v>
      </c>
      <c r="C1335">
        <v>15</v>
      </c>
      <c r="D1335" s="260">
        <v>46199</v>
      </c>
      <c r="E1335" s="260">
        <v>46219</v>
      </c>
      <c r="F1335">
        <v>72</v>
      </c>
      <c r="G1335" t="s">
        <v>866</v>
      </c>
    </row>
    <row r="1336" spans="1:7">
      <c r="A1336" t="s">
        <v>3503</v>
      </c>
      <c r="B1336" t="s">
        <v>3504</v>
      </c>
      <c r="C1336">
        <v>10</v>
      </c>
      <c r="D1336" s="260">
        <v>46239</v>
      </c>
      <c r="E1336" s="260">
        <v>46253</v>
      </c>
      <c r="F1336">
        <v>72</v>
      </c>
      <c r="G1336" t="s">
        <v>866</v>
      </c>
    </row>
    <row r="1337" spans="1:7">
      <c r="A1337" t="s">
        <v>3505</v>
      </c>
      <c r="B1337" t="s">
        <v>3506</v>
      </c>
      <c r="C1337">
        <v>10</v>
      </c>
      <c r="D1337" s="260">
        <v>46275</v>
      </c>
      <c r="E1337" s="260">
        <v>46288</v>
      </c>
      <c r="F1337">
        <v>67</v>
      </c>
      <c r="G1337" t="s">
        <v>866</v>
      </c>
    </row>
    <row r="1338" spans="1:7">
      <c r="A1338" t="s">
        <v>3507</v>
      </c>
      <c r="B1338" t="s">
        <v>3508</v>
      </c>
      <c r="C1338">
        <v>15</v>
      </c>
      <c r="D1338" s="260">
        <v>46199</v>
      </c>
      <c r="E1338" s="260">
        <v>46219</v>
      </c>
      <c r="F1338">
        <v>72</v>
      </c>
      <c r="G1338" t="s">
        <v>866</v>
      </c>
    </row>
    <row r="1339" spans="1:7">
      <c r="A1339" t="s">
        <v>3509</v>
      </c>
      <c r="B1339" t="s">
        <v>3510</v>
      </c>
      <c r="C1339">
        <v>10</v>
      </c>
      <c r="D1339" s="260">
        <v>46268</v>
      </c>
      <c r="E1339" s="260">
        <v>46281</v>
      </c>
      <c r="F1339">
        <v>72</v>
      </c>
      <c r="G1339" t="s">
        <v>866</v>
      </c>
    </row>
    <row r="1340" spans="1:7">
      <c r="A1340" t="s">
        <v>3511</v>
      </c>
      <c r="B1340" t="s">
        <v>3512</v>
      </c>
      <c r="C1340">
        <v>15</v>
      </c>
      <c r="D1340" s="260">
        <v>46199</v>
      </c>
      <c r="E1340" s="260">
        <v>46219</v>
      </c>
      <c r="F1340">
        <v>72</v>
      </c>
      <c r="G1340" t="s">
        <v>866</v>
      </c>
    </row>
    <row r="1341" spans="1:7">
      <c r="A1341" t="s">
        <v>3513</v>
      </c>
      <c r="B1341" t="s">
        <v>3514</v>
      </c>
      <c r="C1341">
        <v>10</v>
      </c>
      <c r="D1341" s="260">
        <v>46239</v>
      </c>
      <c r="E1341" s="260">
        <v>46253</v>
      </c>
      <c r="F1341">
        <v>72</v>
      </c>
      <c r="G1341" t="s">
        <v>866</v>
      </c>
    </row>
    <row r="1342" spans="1:7">
      <c r="A1342" t="s">
        <v>3515</v>
      </c>
      <c r="B1342" t="s">
        <v>3516</v>
      </c>
      <c r="C1342">
        <v>10</v>
      </c>
      <c r="D1342" s="260">
        <v>46268</v>
      </c>
      <c r="E1342" s="260">
        <v>46281</v>
      </c>
      <c r="F1342">
        <v>72</v>
      </c>
      <c r="G1342" t="s">
        <v>866</v>
      </c>
    </row>
    <row r="1343" spans="1:7">
      <c r="A1343" t="s">
        <v>3517</v>
      </c>
      <c r="B1343" t="s">
        <v>3518</v>
      </c>
      <c r="C1343">
        <v>15</v>
      </c>
      <c r="D1343" s="260">
        <v>46220</v>
      </c>
      <c r="E1343" s="260">
        <v>46245</v>
      </c>
      <c r="F1343">
        <v>57</v>
      </c>
      <c r="G1343" t="s">
        <v>866</v>
      </c>
    </row>
    <row r="1344" spans="1:7">
      <c r="A1344" t="s">
        <v>3519</v>
      </c>
      <c r="B1344" t="s">
        <v>3520</v>
      </c>
      <c r="C1344">
        <v>10</v>
      </c>
      <c r="D1344" s="260">
        <v>46289</v>
      </c>
      <c r="E1344" s="260">
        <v>46302</v>
      </c>
      <c r="F1344">
        <v>57</v>
      </c>
      <c r="G1344" t="s">
        <v>866</v>
      </c>
    </row>
    <row r="1345" spans="1:7">
      <c r="A1345" t="s">
        <v>3521</v>
      </c>
      <c r="B1345" t="s">
        <v>3522</v>
      </c>
      <c r="C1345">
        <v>15</v>
      </c>
      <c r="D1345" s="260">
        <v>46220</v>
      </c>
      <c r="E1345" s="260">
        <v>46245</v>
      </c>
      <c r="F1345">
        <v>57</v>
      </c>
      <c r="G1345" t="s">
        <v>866</v>
      </c>
    </row>
    <row r="1346" spans="1:7">
      <c r="A1346" t="s">
        <v>3523</v>
      </c>
      <c r="B1346" t="s">
        <v>3524</v>
      </c>
      <c r="C1346">
        <v>10</v>
      </c>
      <c r="D1346" s="260">
        <v>46289</v>
      </c>
      <c r="E1346" s="260">
        <v>46302</v>
      </c>
      <c r="F1346">
        <v>57</v>
      </c>
      <c r="G1346" t="s">
        <v>866</v>
      </c>
    </row>
    <row r="1347" spans="1:7">
      <c r="A1347" t="s">
        <v>3525</v>
      </c>
      <c r="B1347" t="s">
        <v>3526</v>
      </c>
      <c r="C1347">
        <v>15</v>
      </c>
      <c r="D1347" s="260">
        <v>46247</v>
      </c>
      <c r="E1347" s="260">
        <v>46267</v>
      </c>
      <c r="F1347">
        <v>42</v>
      </c>
      <c r="G1347" t="s">
        <v>866</v>
      </c>
    </row>
    <row r="1348" spans="1:7">
      <c r="A1348" t="s">
        <v>3527</v>
      </c>
      <c r="B1348" t="s">
        <v>3528</v>
      </c>
      <c r="C1348">
        <v>10</v>
      </c>
      <c r="D1348" s="260">
        <v>46282</v>
      </c>
      <c r="E1348" s="260">
        <v>46295</v>
      </c>
      <c r="F1348">
        <v>42</v>
      </c>
      <c r="G1348" t="s">
        <v>866</v>
      </c>
    </row>
    <row r="1349" spans="1:7">
      <c r="A1349" t="s">
        <v>3529</v>
      </c>
      <c r="B1349" t="s">
        <v>3530</v>
      </c>
      <c r="C1349">
        <v>10</v>
      </c>
      <c r="D1349" s="260">
        <v>46311</v>
      </c>
      <c r="E1349" s="260">
        <v>46325</v>
      </c>
      <c r="F1349">
        <v>42</v>
      </c>
      <c r="G1349" t="s">
        <v>866</v>
      </c>
    </row>
    <row r="1350" spans="1:7">
      <c r="A1350" t="s">
        <v>3531</v>
      </c>
      <c r="B1350" t="s">
        <v>3532</v>
      </c>
      <c r="C1350">
        <v>15</v>
      </c>
      <c r="D1350" s="260">
        <v>46199</v>
      </c>
      <c r="E1350" s="260">
        <v>46219</v>
      </c>
      <c r="F1350">
        <v>72</v>
      </c>
      <c r="G1350" t="s">
        <v>866</v>
      </c>
    </row>
    <row r="1351" spans="1:7">
      <c r="A1351" t="s">
        <v>3533</v>
      </c>
      <c r="B1351" t="s">
        <v>3534</v>
      </c>
      <c r="C1351">
        <v>10</v>
      </c>
      <c r="D1351" s="260">
        <v>46239</v>
      </c>
      <c r="E1351" s="260">
        <v>46253</v>
      </c>
      <c r="F1351">
        <v>72</v>
      </c>
      <c r="G1351" t="s">
        <v>866</v>
      </c>
    </row>
    <row r="1352" spans="1:7">
      <c r="A1352" t="s">
        <v>3535</v>
      </c>
      <c r="B1352" t="s">
        <v>3536</v>
      </c>
      <c r="C1352">
        <v>10</v>
      </c>
      <c r="D1352" s="260">
        <v>46268</v>
      </c>
      <c r="E1352" s="260">
        <v>46281</v>
      </c>
      <c r="F1352">
        <v>72</v>
      </c>
      <c r="G1352" t="s">
        <v>866</v>
      </c>
    </row>
    <row r="1353" spans="1:7">
      <c r="A1353" t="s">
        <v>3537</v>
      </c>
      <c r="B1353" t="s">
        <v>3538</v>
      </c>
      <c r="C1353">
        <v>15</v>
      </c>
      <c r="D1353" s="260">
        <v>46199</v>
      </c>
      <c r="E1353" s="260">
        <v>46219</v>
      </c>
      <c r="F1353">
        <v>72</v>
      </c>
      <c r="G1353" t="s">
        <v>866</v>
      </c>
    </row>
    <row r="1354" spans="1:7">
      <c r="A1354" t="s">
        <v>3539</v>
      </c>
      <c r="B1354" t="s">
        <v>3540</v>
      </c>
      <c r="C1354">
        <v>10</v>
      </c>
      <c r="D1354" s="260">
        <v>46239</v>
      </c>
      <c r="E1354" s="260">
        <v>46253</v>
      </c>
      <c r="F1354">
        <v>72</v>
      </c>
      <c r="G1354" t="s">
        <v>866</v>
      </c>
    </row>
    <row r="1355" spans="1:7">
      <c r="A1355" t="s">
        <v>3541</v>
      </c>
      <c r="B1355" t="s">
        <v>3542</v>
      </c>
      <c r="C1355">
        <v>10</v>
      </c>
      <c r="D1355" s="260">
        <v>46268</v>
      </c>
      <c r="E1355" s="260">
        <v>46281</v>
      </c>
      <c r="F1355">
        <v>72</v>
      </c>
      <c r="G1355" t="s">
        <v>866</v>
      </c>
    </row>
    <row r="1356" spans="1:7">
      <c r="A1356" t="s">
        <v>3543</v>
      </c>
      <c r="B1356" t="s">
        <v>3544</v>
      </c>
      <c r="C1356">
        <v>15</v>
      </c>
      <c r="D1356" s="260">
        <v>46199</v>
      </c>
      <c r="E1356" s="260">
        <v>46219</v>
      </c>
      <c r="F1356">
        <v>72</v>
      </c>
      <c r="G1356" t="s">
        <v>866</v>
      </c>
    </row>
    <row r="1357" spans="1:7">
      <c r="A1357" t="s">
        <v>3545</v>
      </c>
      <c r="B1357" t="s">
        <v>3546</v>
      </c>
      <c r="C1357">
        <v>10</v>
      </c>
      <c r="D1357" s="260">
        <v>46268</v>
      </c>
      <c r="E1357" s="260">
        <v>46281</v>
      </c>
      <c r="F1357">
        <v>72</v>
      </c>
      <c r="G1357" t="s">
        <v>866</v>
      </c>
    </row>
    <row r="1358" spans="1:7">
      <c r="A1358" t="s">
        <v>3547</v>
      </c>
      <c r="B1358" t="s">
        <v>3548</v>
      </c>
      <c r="C1358">
        <v>15</v>
      </c>
      <c r="D1358" s="260">
        <v>46199</v>
      </c>
      <c r="E1358" s="260">
        <v>46219</v>
      </c>
      <c r="F1358">
        <v>72</v>
      </c>
      <c r="G1358" t="s">
        <v>866</v>
      </c>
    </row>
    <row r="1359" spans="1:7">
      <c r="A1359" t="s">
        <v>3549</v>
      </c>
      <c r="B1359" t="s">
        <v>3550</v>
      </c>
      <c r="C1359">
        <v>10</v>
      </c>
      <c r="D1359" s="260">
        <v>46268</v>
      </c>
      <c r="E1359" s="260">
        <v>46281</v>
      </c>
      <c r="F1359">
        <v>72</v>
      </c>
      <c r="G1359" t="s">
        <v>866</v>
      </c>
    </row>
    <row r="1360" spans="1:7">
      <c r="A1360" t="s">
        <v>3551</v>
      </c>
      <c r="B1360" t="s">
        <v>3552</v>
      </c>
      <c r="C1360">
        <v>15</v>
      </c>
      <c r="D1360" s="260">
        <v>46220</v>
      </c>
      <c r="E1360" s="260">
        <v>46245</v>
      </c>
      <c r="F1360">
        <v>57</v>
      </c>
      <c r="G1360" t="s">
        <v>866</v>
      </c>
    </row>
    <row r="1361" spans="1:7">
      <c r="A1361" t="s">
        <v>3553</v>
      </c>
      <c r="B1361" t="s">
        <v>3554</v>
      </c>
      <c r="C1361">
        <v>10</v>
      </c>
      <c r="D1361" s="260">
        <v>46289</v>
      </c>
      <c r="E1361" s="260">
        <v>46302</v>
      </c>
      <c r="F1361">
        <v>57</v>
      </c>
      <c r="G1361" t="s">
        <v>866</v>
      </c>
    </row>
    <row r="1362" spans="1:7">
      <c r="A1362" t="s">
        <v>3555</v>
      </c>
      <c r="B1362" t="s">
        <v>3556</v>
      </c>
      <c r="C1362">
        <v>15</v>
      </c>
      <c r="D1362" s="260">
        <v>46220</v>
      </c>
      <c r="E1362" s="260">
        <v>46245</v>
      </c>
      <c r="F1362">
        <v>57</v>
      </c>
      <c r="G1362" t="s">
        <v>866</v>
      </c>
    </row>
    <row r="1363" spans="1:7">
      <c r="A1363" t="s">
        <v>3557</v>
      </c>
      <c r="B1363" t="s">
        <v>3558</v>
      </c>
      <c r="C1363">
        <v>10</v>
      </c>
      <c r="D1363" s="260">
        <v>46289</v>
      </c>
      <c r="E1363" s="260">
        <v>46302</v>
      </c>
      <c r="F1363">
        <v>57</v>
      </c>
      <c r="G1363" t="s">
        <v>866</v>
      </c>
    </row>
    <row r="1364" spans="1:7">
      <c r="A1364" t="s">
        <v>3559</v>
      </c>
      <c r="B1364" t="s">
        <v>3560</v>
      </c>
      <c r="C1364">
        <v>15</v>
      </c>
      <c r="D1364" s="260">
        <v>46220</v>
      </c>
      <c r="E1364" s="260">
        <v>46245</v>
      </c>
      <c r="F1364">
        <v>57</v>
      </c>
      <c r="G1364" t="s">
        <v>866</v>
      </c>
    </row>
    <row r="1365" spans="1:7">
      <c r="A1365" t="s">
        <v>3561</v>
      </c>
      <c r="B1365" t="s">
        <v>3562</v>
      </c>
      <c r="C1365">
        <v>10</v>
      </c>
      <c r="D1365" s="260">
        <v>46289</v>
      </c>
      <c r="E1365" s="260">
        <v>46302</v>
      </c>
      <c r="F1365">
        <v>57</v>
      </c>
      <c r="G1365" t="s">
        <v>866</v>
      </c>
    </row>
    <row r="1366" spans="1:7">
      <c r="A1366" t="s">
        <v>3563</v>
      </c>
      <c r="B1366" t="s">
        <v>3564</v>
      </c>
      <c r="C1366">
        <v>15</v>
      </c>
      <c r="D1366" s="260">
        <v>46178</v>
      </c>
      <c r="E1366" s="260">
        <v>46198</v>
      </c>
      <c r="F1366">
        <v>72</v>
      </c>
      <c r="G1366" t="s">
        <v>866</v>
      </c>
    </row>
    <row r="1367" spans="1:7">
      <c r="A1367" t="s">
        <v>3565</v>
      </c>
      <c r="B1367" t="s">
        <v>3566</v>
      </c>
      <c r="C1367">
        <v>10</v>
      </c>
      <c r="D1367" s="260">
        <v>46213</v>
      </c>
      <c r="E1367" s="260">
        <v>46226</v>
      </c>
      <c r="F1367">
        <v>77</v>
      </c>
      <c r="G1367" t="s">
        <v>866</v>
      </c>
    </row>
    <row r="1368" spans="1:7">
      <c r="A1368" t="s">
        <v>3567</v>
      </c>
      <c r="B1368" t="s">
        <v>3568</v>
      </c>
      <c r="C1368">
        <v>10</v>
      </c>
      <c r="D1368" s="260">
        <v>46247</v>
      </c>
      <c r="E1368" s="260">
        <v>46260</v>
      </c>
      <c r="F1368">
        <v>77</v>
      </c>
      <c r="G1368" t="s">
        <v>866</v>
      </c>
    </row>
    <row r="1369" spans="1:7">
      <c r="A1369" t="s">
        <v>3569</v>
      </c>
      <c r="B1369" t="s">
        <v>3570</v>
      </c>
      <c r="C1369">
        <v>15</v>
      </c>
      <c r="D1369" s="260">
        <v>46178</v>
      </c>
      <c r="E1369" s="260">
        <v>46198</v>
      </c>
      <c r="F1369">
        <v>72</v>
      </c>
      <c r="G1369" t="s">
        <v>866</v>
      </c>
    </row>
    <row r="1370" spans="1:7">
      <c r="A1370" t="s">
        <v>3571</v>
      </c>
      <c r="B1370" t="s">
        <v>3572</v>
      </c>
      <c r="C1370">
        <v>10</v>
      </c>
      <c r="D1370" s="260">
        <v>46213</v>
      </c>
      <c r="E1370" s="260">
        <v>46226</v>
      </c>
      <c r="F1370">
        <v>77</v>
      </c>
      <c r="G1370" t="s">
        <v>866</v>
      </c>
    </row>
    <row r="1371" spans="1:7">
      <c r="A1371" t="s">
        <v>3573</v>
      </c>
      <c r="B1371" t="s">
        <v>3574</v>
      </c>
      <c r="C1371">
        <v>10</v>
      </c>
      <c r="D1371" s="260">
        <v>46247</v>
      </c>
      <c r="E1371" s="260">
        <v>46260</v>
      </c>
      <c r="F1371">
        <v>77</v>
      </c>
      <c r="G1371" t="s">
        <v>866</v>
      </c>
    </row>
    <row r="1372" spans="1:7">
      <c r="A1372" t="s">
        <v>3575</v>
      </c>
      <c r="B1372" t="s">
        <v>3576</v>
      </c>
      <c r="C1372">
        <v>15</v>
      </c>
      <c r="D1372" s="260">
        <v>46178</v>
      </c>
      <c r="E1372" s="260">
        <v>46198</v>
      </c>
      <c r="F1372">
        <v>72</v>
      </c>
      <c r="G1372" t="s">
        <v>866</v>
      </c>
    </row>
    <row r="1373" spans="1:7">
      <c r="A1373" t="s">
        <v>3577</v>
      </c>
      <c r="B1373" t="s">
        <v>3578</v>
      </c>
      <c r="C1373">
        <v>10</v>
      </c>
      <c r="D1373" s="260">
        <v>46213</v>
      </c>
      <c r="E1373" s="260">
        <v>46226</v>
      </c>
      <c r="F1373">
        <v>77</v>
      </c>
      <c r="G1373" t="s">
        <v>866</v>
      </c>
    </row>
    <row r="1374" spans="1:7">
      <c r="A1374" t="s">
        <v>3579</v>
      </c>
      <c r="B1374" t="s">
        <v>3580</v>
      </c>
      <c r="C1374">
        <v>10</v>
      </c>
      <c r="D1374" s="260">
        <v>46247</v>
      </c>
      <c r="E1374" s="260">
        <v>46260</v>
      </c>
      <c r="F1374">
        <v>77</v>
      </c>
      <c r="G1374" t="s">
        <v>866</v>
      </c>
    </row>
    <row r="1375" spans="1:7">
      <c r="A1375" t="s">
        <v>3581</v>
      </c>
      <c r="B1375" t="s">
        <v>3582</v>
      </c>
      <c r="C1375">
        <v>15</v>
      </c>
      <c r="D1375" s="260">
        <v>46199</v>
      </c>
      <c r="E1375" s="260">
        <v>46219</v>
      </c>
      <c r="F1375">
        <v>72</v>
      </c>
      <c r="G1375" t="s">
        <v>866</v>
      </c>
    </row>
    <row r="1376" spans="1:7">
      <c r="A1376" t="s">
        <v>3583</v>
      </c>
      <c r="B1376" t="s">
        <v>3584</v>
      </c>
      <c r="C1376">
        <v>10</v>
      </c>
      <c r="D1376" s="260">
        <v>46239</v>
      </c>
      <c r="E1376" s="260">
        <v>46253</v>
      </c>
      <c r="F1376">
        <v>72</v>
      </c>
      <c r="G1376" t="s">
        <v>866</v>
      </c>
    </row>
    <row r="1377" spans="1:7">
      <c r="A1377" t="s">
        <v>3585</v>
      </c>
      <c r="B1377" t="s">
        <v>3586</v>
      </c>
      <c r="C1377">
        <v>10</v>
      </c>
      <c r="D1377" s="260">
        <v>46268</v>
      </c>
      <c r="E1377" s="260">
        <v>46281</v>
      </c>
      <c r="F1377">
        <v>72</v>
      </c>
      <c r="G1377" t="s">
        <v>866</v>
      </c>
    </row>
    <row r="1378" spans="1:7">
      <c r="A1378" t="s">
        <v>3587</v>
      </c>
      <c r="B1378" t="s">
        <v>3588</v>
      </c>
      <c r="C1378">
        <v>15</v>
      </c>
      <c r="D1378" s="260">
        <v>46199</v>
      </c>
      <c r="E1378" s="260">
        <v>46219</v>
      </c>
      <c r="F1378">
        <v>72</v>
      </c>
      <c r="G1378" t="s">
        <v>866</v>
      </c>
    </row>
    <row r="1379" spans="1:7">
      <c r="A1379" t="s">
        <v>3589</v>
      </c>
      <c r="B1379" t="s">
        <v>3590</v>
      </c>
      <c r="C1379">
        <v>10</v>
      </c>
      <c r="D1379" s="260">
        <v>46239</v>
      </c>
      <c r="E1379" s="260">
        <v>46253</v>
      </c>
      <c r="F1379">
        <v>72</v>
      </c>
      <c r="G1379" t="s">
        <v>866</v>
      </c>
    </row>
    <row r="1380" spans="1:7">
      <c r="A1380" t="s">
        <v>3591</v>
      </c>
      <c r="B1380" t="s">
        <v>3592</v>
      </c>
      <c r="C1380">
        <v>10</v>
      </c>
      <c r="D1380" s="260">
        <v>46268</v>
      </c>
      <c r="E1380" s="260">
        <v>46281</v>
      </c>
      <c r="F1380">
        <v>72</v>
      </c>
      <c r="G1380" t="s">
        <v>866</v>
      </c>
    </row>
    <row r="1381" spans="1:7">
      <c r="A1381" t="s">
        <v>3593</v>
      </c>
      <c r="B1381" t="s">
        <v>3594</v>
      </c>
      <c r="C1381">
        <v>15</v>
      </c>
      <c r="D1381" s="260">
        <v>46199</v>
      </c>
      <c r="E1381" s="260">
        <v>46219</v>
      </c>
      <c r="F1381">
        <v>72</v>
      </c>
      <c r="G1381" t="s">
        <v>866</v>
      </c>
    </row>
    <row r="1382" spans="1:7">
      <c r="A1382" t="s">
        <v>3595</v>
      </c>
      <c r="B1382" t="s">
        <v>3596</v>
      </c>
      <c r="C1382">
        <v>10</v>
      </c>
      <c r="D1382" s="260">
        <v>46239</v>
      </c>
      <c r="E1382" s="260">
        <v>46253</v>
      </c>
      <c r="F1382">
        <v>72</v>
      </c>
      <c r="G1382" t="s">
        <v>866</v>
      </c>
    </row>
    <row r="1383" spans="1:7">
      <c r="A1383" t="s">
        <v>3597</v>
      </c>
      <c r="B1383" t="s">
        <v>3598</v>
      </c>
      <c r="C1383">
        <v>10</v>
      </c>
      <c r="D1383" s="260">
        <v>46268</v>
      </c>
      <c r="E1383" s="260">
        <v>46281</v>
      </c>
      <c r="F1383">
        <v>72</v>
      </c>
      <c r="G1383" t="s">
        <v>866</v>
      </c>
    </row>
    <row r="1384" spans="1:7">
      <c r="A1384" t="s">
        <v>3599</v>
      </c>
      <c r="B1384" t="s">
        <v>3600</v>
      </c>
      <c r="C1384">
        <v>15</v>
      </c>
      <c r="D1384" s="260">
        <v>46178</v>
      </c>
      <c r="E1384" s="260">
        <v>46198</v>
      </c>
      <c r="F1384">
        <v>87</v>
      </c>
      <c r="G1384" t="s">
        <v>866</v>
      </c>
    </row>
    <row r="1385" spans="1:7">
      <c r="A1385" t="s">
        <v>3601</v>
      </c>
      <c r="B1385" t="s">
        <v>3602</v>
      </c>
      <c r="C1385">
        <v>10</v>
      </c>
      <c r="D1385" s="260">
        <v>46213</v>
      </c>
      <c r="E1385" s="260">
        <v>46226</v>
      </c>
      <c r="F1385">
        <v>87</v>
      </c>
      <c r="G1385" t="s">
        <v>866</v>
      </c>
    </row>
    <row r="1386" spans="1:7">
      <c r="A1386" t="s">
        <v>3603</v>
      </c>
      <c r="B1386" t="s">
        <v>3604</v>
      </c>
      <c r="C1386">
        <v>10</v>
      </c>
      <c r="D1386" s="260">
        <v>46247</v>
      </c>
      <c r="E1386" s="260">
        <v>46260</v>
      </c>
      <c r="F1386">
        <v>87</v>
      </c>
      <c r="G1386" t="s">
        <v>866</v>
      </c>
    </row>
    <row r="1387" spans="1:7">
      <c r="A1387" t="s">
        <v>3605</v>
      </c>
      <c r="B1387" t="s">
        <v>3606</v>
      </c>
      <c r="C1387">
        <v>15</v>
      </c>
      <c r="D1387" s="260">
        <v>46178</v>
      </c>
      <c r="E1387" s="260">
        <v>46198</v>
      </c>
      <c r="F1387">
        <v>87</v>
      </c>
      <c r="G1387" t="s">
        <v>866</v>
      </c>
    </row>
    <row r="1388" spans="1:7">
      <c r="A1388" t="s">
        <v>3607</v>
      </c>
      <c r="B1388" t="s">
        <v>3608</v>
      </c>
      <c r="C1388">
        <v>10</v>
      </c>
      <c r="D1388" s="260">
        <v>46213</v>
      </c>
      <c r="E1388" s="260">
        <v>46226</v>
      </c>
      <c r="F1388">
        <v>87</v>
      </c>
      <c r="G1388" t="s">
        <v>866</v>
      </c>
    </row>
    <row r="1389" spans="1:7">
      <c r="A1389" t="s">
        <v>3609</v>
      </c>
      <c r="B1389" t="s">
        <v>3610</v>
      </c>
      <c r="C1389">
        <v>10</v>
      </c>
      <c r="D1389" s="260">
        <v>46247</v>
      </c>
      <c r="E1389" s="260">
        <v>46260</v>
      </c>
      <c r="F1389">
        <v>87</v>
      </c>
      <c r="G1389" t="s">
        <v>866</v>
      </c>
    </row>
    <row r="1390" spans="1:7">
      <c r="A1390" t="s">
        <v>3611</v>
      </c>
      <c r="B1390" t="s">
        <v>3612</v>
      </c>
      <c r="C1390">
        <v>15</v>
      </c>
      <c r="D1390" s="260">
        <v>46178</v>
      </c>
      <c r="E1390" s="260">
        <v>46198</v>
      </c>
      <c r="F1390">
        <v>87</v>
      </c>
      <c r="G1390" t="s">
        <v>866</v>
      </c>
    </row>
    <row r="1391" spans="1:7">
      <c r="A1391" t="s">
        <v>3613</v>
      </c>
      <c r="B1391" t="s">
        <v>3614</v>
      </c>
      <c r="C1391">
        <v>10</v>
      </c>
      <c r="D1391" s="260">
        <v>46213</v>
      </c>
      <c r="E1391" s="260">
        <v>46226</v>
      </c>
      <c r="F1391">
        <v>87</v>
      </c>
      <c r="G1391" t="s">
        <v>866</v>
      </c>
    </row>
    <row r="1392" spans="1:7">
      <c r="A1392" t="s">
        <v>3615</v>
      </c>
      <c r="B1392" t="s">
        <v>3616</v>
      </c>
      <c r="C1392">
        <v>10</v>
      </c>
      <c r="D1392" s="260">
        <v>46247</v>
      </c>
      <c r="E1392" s="260">
        <v>46260</v>
      </c>
      <c r="F1392">
        <v>87</v>
      </c>
      <c r="G1392" t="s">
        <v>866</v>
      </c>
    </row>
    <row r="1393" spans="1:7">
      <c r="A1393" t="s">
        <v>3617</v>
      </c>
      <c r="B1393" t="s">
        <v>3618</v>
      </c>
      <c r="C1393">
        <v>15</v>
      </c>
      <c r="D1393" s="260">
        <v>46199</v>
      </c>
      <c r="E1393" s="260">
        <v>46219</v>
      </c>
      <c r="F1393">
        <v>72</v>
      </c>
      <c r="G1393" t="s">
        <v>866</v>
      </c>
    </row>
    <row r="1394" spans="1:7">
      <c r="A1394" t="s">
        <v>3619</v>
      </c>
      <c r="B1394" t="s">
        <v>3620</v>
      </c>
      <c r="C1394">
        <v>10</v>
      </c>
      <c r="D1394" s="260">
        <v>46239</v>
      </c>
      <c r="E1394" s="260">
        <v>46253</v>
      </c>
      <c r="F1394">
        <v>72</v>
      </c>
      <c r="G1394" t="s">
        <v>866</v>
      </c>
    </row>
    <row r="1395" spans="1:7">
      <c r="A1395" t="s">
        <v>3621</v>
      </c>
      <c r="B1395" t="s">
        <v>3622</v>
      </c>
      <c r="C1395">
        <v>10</v>
      </c>
      <c r="D1395" s="260">
        <v>46268</v>
      </c>
      <c r="E1395" s="260">
        <v>46281</v>
      </c>
      <c r="F1395">
        <v>72</v>
      </c>
      <c r="G1395" t="s">
        <v>866</v>
      </c>
    </row>
    <row r="1396" spans="1:7">
      <c r="A1396" t="s">
        <v>3623</v>
      </c>
      <c r="B1396" t="s">
        <v>3624</v>
      </c>
      <c r="C1396">
        <v>15</v>
      </c>
      <c r="D1396" s="260">
        <v>46199</v>
      </c>
      <c r="E1396" s="260">
        <v>46219</v>
      </c>
      <c r="F1396">
        <v>72</v>
      </c>
      <c r="G1396" t="s">
        <v>866</v>
      </c>
    </row>
    <row r="1397" spans="1:7">
      <c r="A1397" t="s">
        <v>3625</v>
      </c>
      <c r="B1397" t="s">
        <v>3626</v>
      </c>
      <c r="C1397">
        <v>10</v>
      </c>
      <c r="D1397" s="260">
        <v>46239</v>
      </c>
      <c r="E1397" s="260">
        <v>46253</v>
      </c>
      <c r="F1397">
        <v>72</v>
      </c>
      <c r="G1397" t="s">
        <v>866</v>
      </c>
    </row>
    <row r="1398" spans="1:7">
      <c r="A1398" t="s">
        <v>3627</v>
      </c>
      <c r="B1398" t="s">
        <v>3628</v>
      </c>
      <c r="C1398">
        <v>10</v>
      </c>
      <c r="D1398" s="260">
        <v>46268</v>
      </c>
      <c r="E1398" s="260">
        <v>46281</v>
      </c>
      <c r="F1398">
        <v>72</v>
      </c>
      <c r="G1398" t="s">
        <v>866</v>
      </c>
    </row>
    <row r="1399" spans="1:7">
      <c r="A1399" t="s">
        <v>3629</v>
      </c>
      <c r="B1399" t="s">
        <v>3630</v>
      </c>
      <c r="C1399">
        <v>15</v>
      </c>
      <c r="D1399" s="260">
        <v>46199</v>
      </c>
      <c r="E1399" s="260">
        <v>46219</v>
      </c>
      <c r="F1399">
        <v>72</v>
      </c>
      <c r="G1399" t="s">
        <v>866</v>
      </c>
    </row>
    <row r="1400" spans="1:7">
      <c r="A1400" t="s">
        <v>3631</v>
      </c>
      <c r="B1400" t="s">
        <v>3632</v>
      </c>
      <c r="C1400">
        <v>10</v>
      </c>
      <c r="D1400" s="260">
        <v>46239</v>
      </c>
      <c r="E1400" s="260">
        <v>46253</v>
      </c>
      <c r="F1400">
        <v>72</v>
      </c>
      <c r="G1400" t="s">
        <v>866</v>
      </c>
    </row>
    <row r="1401" spans="1:7">
      <c r="A1401" t="s">
        <v>3633</v>
      </c>
      <c r="B1401" t="s">
        <v>3634</v>
      </c>
      <c r="C1401">
        <v>10</v>
      </c>
      <c r="D1401" s="260">
        <v>46268</v>
      </c>
      <c r="E1401" s="260">
        <v>46281</v>
      </c>
      <c r="F1401">
        <v>72</v>
      </c>
      <c r="G1401" t="s">
        <v>866</v>
      </c>
    </row>
    <row r="1402" spans="1:7">
      <c r="A1402" t="s">
        <v>3635</v>
      </c>
      <c r="C1402">
        <v>126</v>
      </c>
      <c r="D1402" s="260">
        <v>46112</v>
      </c>
      <c r="E1402" s="260">
        <v>46302</v>
      </c>
      <c r="F1402">
        <v>57</v>
      </c>
      <c r="G1402" t="s">
        <v>866</v>
      </c>
    </row>
    <row r="1403" spans="1:7">
      <c r="A1403" t="s">
        <v>3636</v>
      </c>
      <c r="B1403" t="s">
        <v>3637</v>
      </c>
      <c r="C1403">
        <v>15</v>
      </c>
      <c r="D1403" s="260">
        <v>46148</v>
      </c>
      <c r="E1403" s="260">
        <v>46168</v>
      </c>
      <c r="F1403">
        <v>36</v>
      </c>
      <c r="G1403" t="s">
        <v>866</v>
      </c>
    </row>
    <row r="1404" spans="1:7">
      <c r="A1404" t="s">
        <v>3638</v>
      </c>
      <c r="B1404" t="s">
        <v>3639</v>
      </c>
      <c r="C1404">
        <v>10</v>
      </c>
      <c r="D1404" s="260">
        <v>46185</v>
      </c>
      <c r="E1404" s="260">
        <v>46198</v>
      </c>
      <c r="F1404">
        <v>102</v>
      </c>
      <c r="G1404" t="s">
        <v>866</v>
      </c>
    </row>
    <row r="1405" spans="1:7">
      <c r="A1405" t="s">
        <v>3640</v>
      </c>
      <c r="B1405" t="s">
        <v>3641</v>
      </c>
      <c r="C1405">
        <v>10</v>
      </c>
      <c r="D1405" s="260">
        <v>46213</v>
      </c>
      <c r="E1405" s="260">
        <v>46226</v>
      </c>
      <c r="F1405">
        <v>102</v>
      </c>
      <c r="G1405" t="s">
        <v>866</v>
      </c>
    </row>
    <row r="1406" spans="1:7">
      <c r="A1406" t="s">
        <v>3642</v>
      </c>
      <c r="B1406" t="s">
        <v>3643</v>
      </c>
      <c r="C1406">
        <v>15</v>
      </c>
      <c r="D1406" s="260">
        <v>46112</v>
      </c>
      <c r="E1406" s="260">
        <v>46136</v>
      </c>
      <c r="F1406">
        <v>0</v>
      </c>
      <c r="G1406" t="s">
        <v>866</v>
      </c>
    </row>
    <row r="1407" spans="1:7">
      <c r="A1407" t="s">
        <v>3644</v>
      </c>
      <c r="B1407" t="s">
        <v>3645</v>
      </c>
      <c r="C1407">
        <v>10</v>
      </c>
      <c r="D1407" s="260">
        <v>46154</v>
      </c>
      <c r="E1407" s="260">
        <v>46167</v>
      </c>
      <c r="F1407">
        <v>34</v>
      </c>
      <c r="G1407" t="s">
        <v>866</v>
      </c>
    </row>
    <row r="1408" spans="1:7">
      <c r="A1408" t="s">
        <v>3646</v>
      </c>
      <c r="B1408" t="s">
        <v>3647</v>
      </c>
      <c r="C1408">
        <v>10</v>
      </c>
      <c r="D1408" s="260">
        <v>46185</v>
      </c>
      <c r="E1408" s="260">
        <v>46198</v>
      </c>
      <c r="F1408">
        <v>33</v>
      </c>
      <c r="G1408" t="s">
        <v>866</v>
      </c>
    </row>
    <row r="1409" spans="1:7">
      <c r="A1409" t="s">
        <v>3648</v>
      </c>
      <c r="B1409" t="s">
        <v>3649</v>
      </c>
      <c r="C1409">
        <v>15</v>
      </c>
      <c r="D1409" s="260">
        <v>46148</v>
      </c>
      <c r="E1409" s="260">
        <v>46168</v>
      </c>
      <c r="F1409">
        <v>36</v>
      </c>
      <c r="G1409" t="s">
        <v>866</v>
      </c>
    </row>
    <row r="1410" spans="1:7">
      <c r="A1410" t="s">
        <v>3650</v>
      </c>
      <c r="B1410" t="s">
        <v>3651</v>
      </c>
      <c r="C1410">
        <v>10</v>
      </c>
      <c r="D1410" s="260">
        <v>46185</v>
      </c>
      <c r="E1410" s="260">
        <v>46198</v>
      </c>
      <c r="F1410">
        <v>102</v>
      </c>
      <c r="G1410" t="s">
        <v>866</v>
      </c>
    </row>
    <row r="1411" spans="1:7">
      <c r="A1411" t="s">
        <v>3652</v>
      </c>
      <c r="B1411" t="s">
        <v>3653</v>
      </c>
      <c r="C1411">
        <v>10</v>
      </c>
      <c r="D1411" s="260">
        <v>46213</v>
      </c>
      <c r="E1411" s="260">
        <v>46226</v>
      </c>
      <c r="F1411">
        <v>102</v>
      </c>
      <c r="G1411" t="s">
        <v>866</v>
      </c>
    </row>
    <row r="1412" spans="1:7">
      <c r="A1412" t="s">
        <v>3654</v>
      </c>
      <c r="B1412" t="s">
        <v>3655</v>
      </c>
      <c r="C1412">
        <v>10</v>
      </c>
      <c r="D1412" s="260">
        <v>46132</v>
      </c>
      <c r="E1412" s="260">
        <v>46146</v>
      </c>
      <c r="F1412">
        <v>-45</v>
      </c>
      <c r="G1412" t="s">
        <v>866</v>
      </c>
    </row>
    <row r="1413" spans="1:7">
      <c r="A1413" t="s">
        <v>3656</v>
      </c>
      <c r="B1413" t="s">
        <v>3657</v>
      </c>
      <c r="C1413">
        <v>10</v>
      </c>
      <c r="D1413" s="260">
        <v>46161</v>
      </c>
      <c r="E1413" s="260">
        <v>46175</v>
      </c>
      <c r="F1413">
        <v>123</v>
      </c>
      <c r="G1413" t="s">
        <v>866</v>
      </c>
    </row>
    <row r="1414" spans="1:7">
      <c r="A1414" t="s">
        <v>3658</v>
      </c>
      <c r="B1414" t="s">
        <v>3659</v>
      </c>
      <c r="C1414">
        <v>5</v>
      </c>
      <c r="D1414" s="260">
        <v>46199</v>
      </c>
      <c r="E1414" s="260">
        <v>46205</v>
      </c>
      <c r="F1414">
        <v>117</v>
      </c>
      <c r="G1414" t="s">
        <v>866</v>
      </c>
    </row>
    <row r="1415" spans="1:7">
      <c r="A1415" t="s">
        <v>3660</v>
      </c>
      <c r="B1415" t="s">
        <v>3661</v>
      </c>
      <c r="C1415">
        <v>15</v>
      </c>
      <c r="D1415" s="260">
        <v>46199</v>
      </c>
      <c r="E1415" s="260">
        <v>46219</v>
      </c>
      <c r="F1415">
        <v>47</v>
      </c>
      <c r="G1415" t="s">
        <v>866</v>
      </c>
    </row>
    <row r="1416" spans="1:7">
      <c r="A1416" t="s">
        <v>3662</v>
      </c>
      <c r="B1416" t="s">
        <v>3663</v>
      </c>
      <c r="C1416">
        <v>10</v>
      </c>
      <c r="D1416" s="260">
        <v>46268</v>
      </c>
      <c r="E1416" s="260">
        <v>46281</v>
      </c>
      <c r="F1416">
        <v>67</v>
      </c>
      <c r="G1416" t="s">
        <v>866</v>
      </c>
    </row>
    <row r="1417" spans="1:7">
      <c r="A1417" t="s">
        <v>3664</v>
      </c>
      <c r="B1417" t="s">
        <v>3665</v>
      </c>
      <c r="C1417">
        <v>15</v>
      </c>
      <c r="D1417" s="260">
        <v>46220</v>
      </c>
      <c r="E1417" s="260">
        <v>46245</v>
      </c>
      <c r="F1417">
        <v>32</v>
      </c>
      <c r="G1417" t="s">
        <v>866</v>
      </c>
    </row>
    <row r="1418" spans="1:7">
      <c r="A1418" t="s">
        <v>3666</v>
      </c>
      <c r="B1418" t="s">
        <v>3667</v>
      </c>
      <c r="C1418">
        <v>10</v>
      </c>
      <c r="D1418" s="260">
        <v>46289</v>
      </c>
      <c r="E1418" s="260">
        <v>46302</v>
      </c>
      <c r="F1418">
        <v>52</v>
      </c>
      <c r="G1418" t="s">
        <v>866</v>
      </c>
    </row>
    <row r="1419" spans="1:7">
      <c r="A1419" t="s">
        <v>3668</v>
      </c>
      <c r="B1419" t="s">
        <v>3669</v>
      </c>
      <c r="C1419">
        <v>15</v>
      </c>
      <c r="D1419" s="260">
        <v>46199</v>
      </c>
      <c r="E1419" s="260">
        <v>46219</v>
      </c>
      <c r="F1419">
        <v>47</v>
      </c>
      <c r="G1419" t="s">
        <v>866</v>
      </c>
    </row>
    <row r="1420" spans="1:7">
      <c r="A1420" t="s">
        <v>3670</v>
      </c>
      <c r="B1420" t="s">
        <v>3671</v>
      </c>
      <c r="C1420">
        <v>10</v>
      </c>
      <c r="D1420" s="260">
        <v>46239</v>
      </c>
      <c r="E1420" s="260">
        <v>46253</v>
      </c>
      <c r="F1420">
        <v>67</v>
      </c>
      <c r="G1420" t="s">
        <v>866</v>
      </c>
    </row>
    <row r="1421" spans="1:7">
      <c r="A1421" t="s">
        <v>3672</v>
      </c>
      <c r="B1421" t="s">
        <v>3673</v>
      </c>
      <c r="C1421">
        <v>10</v>
      </c>
      <c r="D1421" s="260">
        <v>46268</v>
      </c>
      <c r="E1421" s="260">
        <v>46281</v>
      </c>
      <c r="F1421">
        <v>67</v>
      </c>
      <c r="G1421" t="s">
        <v>866</v>
      </c>
    </row>
    <row r="1422" spans="1:7">
      <c r="A1422" t="s">
        <v>3674</v>
      </c>
      <c r="B1422" t="s">
        <v>3675</v>
      </c>
      <c r="C1422">
        <v>15</v>
      </c>
      <c r="D1422" s="260">
        <v>46148</v>
      </c>
      <c r="E1422" s="260">
        <v>46168</v>
      </c>
      <c r="F1422">
        <v>63</v>
      </c>
      <c r="G1422" t="s">
        <v>866</v>
      </c>
    </row>
    <row r="1423" spans="1:7">
      <c r="A1423" t="s">
        <v>3676</v>
      </c>
      <c r="B1423" t="s">
        <v>3677</v>
      </c>
      <c r="C1423">
        <v>10</v>
      </c>
      <c r="D1423" s="260">
        <v>46185</v>
      </c>
      <c r="E1423" s="260">
        <v>46198</v>
      </c>
      <c r="F1423">
        <v>102</v>
      </c>
      <c r="G1423" t="s">
        <v>866</v>
      </c>
    </row>
    <row r="1424" spans="1:7">
      <c r="A1424" t="s">
        <v>3678</v>
      </c>
      <c r="B1424" t="s">
        <v>3679</v>
      </c>
      <c r="C1424">
        <v>10</v>
      </c>
      <c r="D1424" s="260">
        <v>46213</v>
      </c>
      <c r="E1424" s="260">
        <v>46226</v>
      </c>
      <c r="F1424">
        <v>102</v>
      </c>
      <c r="G1424" t="s">
        <v>866</v>
      </c>
    </row>
    <row r="1425" spans="1:7">
      <c r="A1425" t="s">
        <v>3680</v>
      </c>
      <c r="B1425" t="s">
        <v>3681</v>
      </c>
      <c r="C1425">
        <v>15</v>
      </c>
      <c r="D1425" s="260">
        <v>46112</v>
      </c>
      <c r="E1425" s="260">
        <v>46136</v>
      </c>
      <c r="F1425">
        <v>89</v>
      </c>
      <c r="G1425" t="s">
        <v>866</v>
      </c>
    </row>
    <row r="1426" spans="1:7">
      <c r="A1426" t="s">
        <v>3682</v>
      </c>
      <c r="B1426" t="s">
        <v>3683</v>
      </c>
      <c r="C1426">
        <v>10</v>
      </c>
      <c r="D1426" s="260">
        <v>46154</v>
      </c>
      <c r="E1426" s="260">
        <v>46167</v>
      </c>
      <c r="F1426">
        <v>123</v>
      </c>
      <c r="G1426" t="s">
        <v>866</v>
      </c>
    </row>
    <row r="1427" spans="1:7">
      <c r="A1427" t="s">
        <v>3684</v>
      </c>
      <c r="B1427" t="s">
        <v>3685</v>
      </c>
      <c r="C1427">
        <v>10</v>
      </c>
      <c r="D1427" s="260">
        <v>46184</v>
      </c>
      <c r="E1427" s="260">
        <v>46197</v>
      </c>
      <c r="F1427">
        <v>123</v>
      </c>
      <c r="G1427" t="s">
        <v>866</v>
      </c>
    </row>
    <row r="1428" spans="1:7">
      <c r="A1428" t="s">
        <v>3686</v>
      </c>
      <c r="B1428" t="s">
        <v>3687</v>
      </c>
      <c r="C1428">
        <v>15</v>
      </c>
      <c r="D1428" s="260">
        <v>46148</v>
      </c>
      <c r="E1428" s="260">
        <v>46168</v>
      </c>
      <c r="F1428">
        <v>36</v>
      </c>
      <c r="G1428" t="s">
        <v>866</v>
      </c>
    </row>
    <row r="1429" spans="1:7">
      <c r="A1429" t="s">
        <v>3688</v>
      </c>
      <c r="B1429" t="s">
        <v>3689</v>
      </c>
      <c r="C1429">
        <v>10</v>
      </c>
      <c r="D1429" s="260">
        <v>46185</v>
      </c>
      <c r="E1429" s="260">
        <v>46198</v>
      </c>
      <c r="F1429">
        <v>102</v>
      </c>
      <c r="G1429" t="s">
        <v>866</v>
      </c>
    </row>
    <row r="1430" spans="1:7">
      <c r="A1430" t="s">
        <v>3690</v>
      </c>
      <c r="B1430" t="s">
        <v>3691</v>
      </c>
      <c r="C1430">
        <v>10</v>
      </c>
      <c r="D1430" s="260">
        <v>46213</v>
      </c>
      <c r="E1430" s="260">
        <v>46226</v>
      </c>
      <c r="F1430">
        <v>102</v>
      </c>
      <c r="G1430" t="s">
        <v>866</v>
      </c>
    </row>
    <row r="1431" spans="1:7">
      <c r="A1431" t="s">
        <v>3692</v>
      </c>
      <c r="B1431" t="s">
        <v>3693</v>
      </c>
      <c r="C1431">
        <v>10</v>
      </c>
      <c r="D1431" s="260">
        <v>46132</v>
      </c>
      <c r="E1431" s="260">
        <v>46146</v>
      </c>
      <c r="F1431">
        <v>-45</v>
      </c>
      <c r="G1431" t="s">
        <v>866</v>
      </c>
    </row>
    <row r="1432" spans="1:7">
      <c r="A1432" t="s">
        <v>3694</v>
      </c>
      <c r="B1432" t="s">
        <v>3695</v>
      </c>
      <c r="C1432">
        <v>10</v>
      </c>
      <c r="D1432" s="260">
        <v>46161</v>
      </c>
      <c r="E1432" s="260">
        <v>46175</v>
      </c>
      <c r="F1432">
        <v>6</v>
      </c>
      <c r="G1432" t="s">
        <v>866</v>
      </c>
    </row>
    <row r="1433" spans="1:7">
      <c r="A1433" t="s">
        <v>3696</v>
      </c>
      <c r="B1433" t="s">
        <v>3697</v>
      </c>
      <c r="C1433">
        <v>10</v>
      </c>
      <c r="D1433" s="260">
        <v>46191</v>
      </c>
      <c r="E1433" s="260">
        <v>46204</v>
      </c>
      <c r="F1433">
        <v>6</v>
      </c>
      <c r="G1433" t="s">
        <v>866</v>
      </c>
    </row>
    <row r="1434" spans="1:7">
      <c r="A1434" t="s">
        <v>3698</v>
      </c>
      <c r="B1434" t="s">
        <v>3699</v>
      </c>
      <c r="C1434">
        <v>15</v>
      </c>
      <c r="D1434" s="260">
        <v>46199</v>
      </c>
      <c r="E1434" s="260">
        <v>46219</v>
      </c>
      <c r="F1434">
        <v>47</v>
      </c>
      <c r="G1434" t="s">
        <v>866</v>
      </c>
    </row>
    <row r="1435" spans="1:7">
      <c r="A1435" t="s">
        <v>3700</v>
      </c>
      <c r="B1435" t="s">
        <v>3701</v>
      </c>
      <c r="C1435">
        <v>10</v>
      </c>
      <c r="D1435" s="260">
        <v>46268</v>
      </c>
      <c r="E1435" s="260">
        <v>46281</v>
      </c>
      <c r="F1435">
        <v>67</v>
      </c>
      <c r="G1435" t="s">
        <v>866</v>
      </c>
    </row>
    <row r="1436" spans="1:7">
      <c r="A1436" t="s">
        <v>3702</v>
      </c>
      <c r="B1436" t="s">
        <v>3703</v>
      </c>
      <c r="C1436">
        <v>15</v>
      </c>
      <c r="D1436" s="260">
        <v>46220</v>
      </c>
      <c r="E1436" s="260">
        <v>46245</v>
      </c>
      <c r="F1436">
        <v>32</v>
      </c>
      <c r="G1436" t="s">
        <v>866</v>
      </c>
    </row>
    <row r="1437" spans="1:7">
      <c r="A1437" t="s">
        <v>3704</v>
      </c>
      <c r="B1437" t="s">
        <v>3705</v>
      </c>
      <c r="C1437">
        <v>10</v>
      </c>
      <c r="D1437" s="260">
        <v>46289</v>
      </c>
      <c r="E1437" s="260">
        <v>46302</v>
      </c>
      <c r="F1437">
        <v>52</v>
      </c>
      <c r="G1437" t="s">
        <v>866</v>
      </c>
    </row>
    <row r="1438" spans="1:7">
      <c r="A1438" t="s">
        <v>3706</v>
      </c>
      <c r="B1438" t="s">
        <v>3707</v>
      </c>
      <c r="C1438">
        <v>15</v>
      </c>
      <c r="D1438" s="260">
        <v>46220</v>
      </c>
      <c r="E1438" s="260">
        <v>46245</v>
      </c>
      <c r="F1438">
        <v>57</v>
      </c>
      <c r="G1438" t="s">
        <v>866</v>
      </c>
    </row>
    <row r="1439" spans="1:7">
      <c r="A1439" t="s">
        <v>3708</v>
      </c>
      <c r="B1439" t="s">
        <v>3709</v>
      </c>
      <c r="C1439">
        <v>10</v>
      </c>
      <c r="D1439" s="260">
        <v>46261</v>
      </c>
      <c r="E1439" s="260">
        <v>46274</v>
      </c>
      <c r="F1439">
        <v>57</v>
      </c>
      <c r="G1439" t="s">
        <v>866</v>
      </c>
    </row>
    <row r="1440" spans="1:7">
      <c r="A1440" t="s">
        <v>3710</v>
      </c>
      <c r="B1440" t="s">
        <v>3711</v>
      </c>
      <c r="C1440">
        <v>10</v>
      </c>
      <c r="D1440" s="260">
        <v>46289</v>
      </c>
      <c r="E1440" s="260">
        <v>46302</v>
      </c>
      <c r="F1440">
        <v>57</v>
      </c>
      <c r="G1440" t="s">
        <v>866</v>
      </c>
    </row>
    <row r="1441" spans="1:7">
      <c r="A1441" t="s">
        <v>3712</v>
      </c>
      <c r="B1441" t="s">
        <v>3713</v>
      </c>
      <c r="C1441">
        <v>15</v>
      </c>
      <c r="D1441" s="260">
        <v>46220</v>
      </c>
      <c r="E1441" s="260">
        <v>46245</v>
      </c>
      <c r="F1441">
        <v>37</v>
      </c>
      <c r="G1441" t="s">
        <v>866</v>
      </c>
    </row>
    <row r="1442" spans="1:7">
      <c r="A1442" t="s">
        <v>3714</v>
      </c>
      <c r="B1442" t="s">
        <v>3715</v>
      </c>
      <c r="C1442">
        <v>10</v>
      </c>
      <c r="D1442" s="260">
        <v>46261</v>
      </c>
      <c r="E1442" s="260">
        <v>46274</v>
      </c>
      <c r="F1442">
        <v>57</v>
      </c>
      <c r="G1442" t="s">
        <v>866</v>
      </c>
    </row>
    <row r="1443" spans="1:7">
      <c r="A1443" t="s">
        <v>3716</v>
      </c>
      <c r="B1443" t="s">
        <v>3717</v>
      </c>
      <c r="C1443">
        <v>10</v>
      </c>
      <c r="D1443" s="260">
        <v>46289</v>
      </c>
      <c r="E1443" s="260">
        <v>46302</v>
      </c>
      <c r="F1443">
        <v>57</v>
      </c>
      <c r="G1443" t="s">
        <v>866</v>
      </c>
    </row>
    <row r="1444" spans="1:7">
      <c r="A1444" t="s">
        <v>3718</v>
      </c>
      <c r="B1444" t="s">
        <v>3719</v>
      </c>
      <c r="C1444">
        <v>15</v>
      </c>
      <c r="D1444" s="260">
        <v>46220</v>
      </c>
      <c r="E1444" s="260">
        <v>46245</v>
      </c>
      <c r="F1444">
        <v>57</v>
      </c>
      <c r="G1444" t="s">
        <v>866</v>
      </c>
    </row>
    <row r="1445" spans="1:7">
      <c r="A1445" t="s">
        <v>3720</v>
      </c>
      <c r="B1445" t="s">
        <v>3721</v>
      </c>
      <c r="C1445">
        <v>10</v>
      </c>
      <c r="D1445" s="260">
        <v>46261</v>
      </c>
      <c r="E1445" s="260">
        <v>46274</v>
      </c>
      <c r="F1445">
        <v>57</v>
      </c>
      <c r="G1445" t="s">
        <v>866</v>
      </c>
    </row>
    <row r="1446" spans="1:7">
      <c r="A1446" t="s">
        <v>3722</v>
      </c>
      <c r="B1446" t="s">
        <v>3723</v>
      </c>
      <c r="C1446">
        <v>10</v>
      </c>
      <c r="D1446" s="260">
        <v>46289</v>
      </c>
      <c r="E1446" s="260">
        <v>46302</v>
      </c>
      <c r="F1446">
        <v>57</v>
      </c>
      <c r="G1446" t="s">
        <v>866</v>
      </c>
    </row>
    <row r="1447" spans="1:7">
      <c r="A1447" t="s">
        <v>3724</v>
      </c>
      <c r="B1447" t="s">
        <v>3725</v>
      </c>
      <c r="C1447">
        <v>15</v>
      </c>
      <c r="D1447" s="260">
        <v>46199</v>
      </c>
      <c r="E1447" s="260">
        <v>46219</v>
      </c>
      <c r="F1447">
        <v>47</v>
      </c>
      <c r="G1447" t="s">
        <v>866</v>
      </c>
    </row>
    <row r="1448" spans="1:7">
      <c r="A1448" t="s">
        <v>3726</v>
      </c>
      <c r="B1448" t="s">
        <v>3727</v>
      </c>
      <c r="C1448">
        <v>10</v>
      </c>
      <c r="D1448" s="260">
        <v>46239</v>
      </c>
      <c r="E1448" s="260">
        <v>46253</v>
      </c>
      <c r="F1448">
        <v>67</v>
      </c>
      <c r="G1448" t="s">
        <v>866</v>
      </c>
    </row>
    <row r="1449" spans="1:7">
      <c r="A1449" t="s">
        <v>3728</v>
      </c>
      <c r="B1449" t="s">
        <v>3729</v>
      </c>
      <c r="C1449">
        <v>10</v>
      </c>
      <c r="D1449" s="260">
        <v>46268</v>
      </c>
      <c r="E1449" s="260">
        <v>46281</v>
      </c>
      <c r="F1449">
        <v>67</v>
      </c>
      <c r="G1449" t="s">
        <v>866</v>
      </c>
    </row>
    <row r="1450" spans="1:7">
      <c r="A1450" t="s">
        <v>3730</v>
      </c>
      <c r="C1450">
        <v>133</v>
      </c>
      <c r="D1450" s="260">
        <v>46142</v>
      </c>
      <c r="E1450" s="260">
        <v>46339</v>
      </c>
      <c r="F1450">
        <v>32</v>
      </c>
      <c r="G1450" t="s">
        <v>866</v>
      </c>
    </row>
    <row r="1451" spans="1:7">
      <c r="A1451" t="s">
        <v>3731</v>
      </c>
      <c r="B1451" t="s">
        <v>3732</v>
      </c>
      <c r="C1451">
        <v>15</v>
      </c>
      <c r="D1451" s="260">
        <v>46181</v>
      </c>
      <c r="E1451" s="260">
        <v>46199</v>
      </c>
      <c r="F1451">
        <v>63</v>
      </c>
      <c r="G1451" t="s">
        <v>866</v>
      </c>
    </row>
    <row r="1452" spans="1:7">
      <c r="A1452" t="s">
        <v>3733</v>
      </c>
      <c r="B1452" t="s">
        <v>3734</v>
      </c>
      <c r="C1452">
        <v>5</v>
      </c>
      <c r="D1452" s="260">
        <v>46288</v>
      </c>
      <c r="E1452" s="260">
        <v>46294</v>
      </c>
      <c r="F1452">
        <v>63</v>
      </c>
      <c r="G1452" t="s">
        <v>866</v>
      </c>
    </row>
    <row r="1453" spans="1:7">
      <c r="A1453" t="s">
        <v>3735</v>
      </c>
      <c r="B1453" t="s">
        <v>3736</v>
      </c>
      <c r="C1453">
        <v>15</v>
      </c>
      <c r="D1453" s="260">
        <v>46142</v>
      </c>
      <c r="E1453" s="260">
        <v>46163</v>
      </c>
      <c r="F1453">
        <v>0</v>
      </c>
      <c r="G1453" t="s">
        <v>866</v>
      </c>
    </row>
    <row r="1454" spans="1:7">
      <c r="A1454" t="s">
        <v>3737</v>
      </c>
      <c r="B1454" t="s">
        <v>3738</v>
      </c>
      <c r="C1454">
        <v>5</v>
      </c>
      <c r="D1454" s="260">
        <v>46252</v>
      </c>
      <c r="E1454" s="260">
        <v>46258</v>
      </c>
      <c r="F1454">
        <v>0</v>
      </c>
      <c r="G1454" t="s">
        <v>866</v>
      </c>
    </row>
    <row r="1455" spans="1:7">
      <c r="A1455" t="s">
        <v>3739</v>
      </c>
      <c r="B1455" t="s">
        <v>3740</v>
      </c>
      <c r="C1455">
        <v>15</v>
      </c>
      <c r="D1455" s="260">
        <v>46213</v>
      </c>
      <c r="E1455" s="260">
        <v>46238</v>
      </c>
      <c r="F1455">
        <v>36</v>
      </c>
      <c r="G1455" t="s">
        <v>866</v>
      </c>
    </row>
    <row r="1456" spans="1:7">
      <c r="A1456" t="s">
        <v>3741</v>
      </c>
      <c r="B1456" t="s">
        <v>3742</v>
      </c>
      <c r="C1456">
        <v>5</v>
      </c>
      <c r="D1456" s="260">
        <v>46329</v>
      </c>
      <c r="E1456" s="260">
        <v>46335</v>
      </c>
      <c r="F1456">
        <v>36</v>
      </c>
      <c r="G1456" t="s">
        <v>866</v>
      </c>
    </row>
    <row r="1457" spans="1:7">
      <c r="A1457" t="s">
        <v>3743</v>
      </c>
      <c r="B1457" t="s">
        <v>3744</v>
      </c>
      <c r="C1457">
        <v>15</v>
      </c>
      <c r="D1457" s="260">
        <v>46168</v>
      </c>
      <c r="E1457" s="260">
        <v>46190</v>
      </c>
      <c r="F1457">
        <v>67</v>
      </c>
      <c r="G1457" t="s">
        <v>866</v>
      </c>
    </row>
    <row r="1458" spans="1:7">
      <c r="A1458" t="s">
        <v>3745</v>
      </c>
      <c r="B1458" t="s">
        <v>3746</v>
      </c>
      <c r="C1458">
        <v>5</v>
      </c>
      <c r="D1458" s="260">
        <v>46282</v>
      </c>
      <c r="E1458" s="260">
        <v>46288</v>
      </c>
      <c r="F1458">
        <v>67</v>
      </c>
      <c r="G1458" t="s">
        <v>866</v>
      </c>
    </row>
    <row r="1459" spans="1:7">
      <c r="A1459" t="s">
        <v>3747</v>
      </c>
      <c r="B1459" t="s">
        <v>3748</v>
      </c>
      <c r="C1459">
        <v>10</v>
      </c>
      <c r="D1459" s="260">
        <v>46220</v>
      </c>
      <c r="E1459" s="260">
        <v>46238</v>
      </c>
      <c r="F1459">
        <v>47</v>
      </c>
      <c r="G1459" t="s">
        <v>866</v>
      </c>
    </row>
    <row r="1460" spans="1:7">
      <c r="A1460" t="s">
        <v>3749</v>
      </c>
      <c r="B1460" t="s">
        <v>3750</v>
      </c>
      <c r="C1460">
        <v>5</v>
      </c>
      <c r="D1460" s="260">
        <v>46311</v>
      </c>
      <c r="E1460" s="260">
        <v>46317</v>
      </c>
      <c r="F1460">
        <v>47</v>
      </c>
      <c r="G1460" t="s">
        <v>866</v>
      </c>
    </row>
    <row r="1461" spans="1:7">
      <c r="A1461" t="s">
        <v>3751</v>
      </c>
      <c r="B1461" t="s">
        <v>3752</v>
      </c>
      <c r="C1461">
        <v>10</v>
      </c>
      <c r="D1461" s="260">
        <v>46247</v>
      </c>
      <c r="E1461" s="260">
        <v>46260</v>
      </c>
      <c r="F1461">
        <v>32</v>
      </c>
      <c r="G1461" t="s">
        <v>866</v>
      </c>
    </row>
    <row r="1462" spans="1:7">
      <c r="A1462" t="s">
        <v>3753</v>
      </c>
      <c r="B1462" t="s">
        <v>3754</v>
      </c>
      <c r="C1462">
        <v>5</v>
      </c>
      <c r="D1462" s="260">
        <v>46335</v>
      </c>
      <c r="E1462" s="260">
        <v>46339</v>
      </c>
      <c r="F1462">
        <v>32</v>
      </c>
      <c r="G1462" t="s">
        <v>866</v>
      </c>
    </row>
    <row r="1463" spans="1:7">
      <c r="A1463" t="s">
        <v>3755</v>
      </c>
      <c r="B1463" t="s">
        <v>3756</v>
      </c>
      <c r="C1463">
        <v>10</v>
      </c>
      <c r="D1463" s="260">
        <v>46220</v>
      </c>
      <c r="E1463" s="260">
        <v>46238</v>
      </c>
      <c r="F1463">
        <v>47</v>
      </c>
      <c r="G1463" t="s">
        <v>866</v>
      </c>
    </row>
    <row r="1464" spans="1:7">
      <c r="A1464" t="s">
        <v>3757</v>
      </c>
      <c r="B1464" t="s">
        <v>3758</v>
      </c>
      <c r="C1464">
        <v>5</v>
      </c>
      <c r="D1464" s="260">
        <v>46311</v>
      </c>
      <c r="E1464" s="260">
        <v>46317</v>
      </c>
      <c r="F1464">
        <v>47</v>
      </c>
      <c r="G1464" t="s">
        <v>866</v>
      </c>
    </row>
    <row r="1465" spans="1:7">
      <c r="A1465" t="s">
        <v>3759</v>
      </c>
      <c r="B1465" t="s">
        <v>3760</v>
      </c>
      <c r="C1465">
        <v>15</v>
      </c>
      <c r="D1465" s="260">
        <v>46181</v>
      </c>
      <c r="E1465" s="260">
        <v>46199</v>
      </c>
      <c r="F1465">
        <v>63</v>
      </c>
      <c r="G1465" t="s">
        <v>866</v>
      </c>
    </row>
    <row r="1466" spans="1:7">
      <c r="A1466" t="s">
        <v>3761</v>
      </c>
      <c r="B1466" t="s">
        <v>3762</v>
      </c>
      <c r="C1466">
        <v>5</v>
      </c>
      <c r="D1466" s="260">
        <v>46288</v>
      </c>
      <c r="E1466" s="260">
        <v>46294</v>
      </c>
      <c r="F1466">
        <v>63</v>
      </c>
      <c r="G1466" t="s">
        <v>866</v>
      </c>
    </row>
    <row r="1467" spans="1:7">
      <c r="A1467" t="s">
        <v>3763</v>
      </c>
      <c r="B1467" t="s">
        <v>3764</v>
      </c>
      <c r="C1467">
        <v>15</v>
      </c>
      <c r="D1467" s="260">
        <v>46142</v>
      </c>
      <c r="E1467" s="260">
        <v>46163</v>
      </c>
      <c r="F1467">
        <v>89</v>
      </c>
      <c r="G1467" t="s">
        <v>866</v>
      </c>
    </row>
    <row r="1468" spans="1:7">
      <c r="A1468" t="s">
        <v>3765</v>
      </c>
      <c r="B1468" t="s">
        <v>3766</v>
      </c>
      <c r="C1468">
        <v>5</v>
      </c>
      <c r="D1468" s="260">
        <v>46252</v>
      </c>
      <c r="E1468" s="260">
        <v>46258</v>
      </c>
      <c r="F1468">
        <v>89</v>
      </c>
      <c r="G1468" t="s">
        <v>866</v>
      </c>
    </row>
    <row r="1469" spans="1:7">
      <c r="A1469" t="s">
        <v>3767</v>
      </c>
      <c r="B1469" t="s">
        <v>3768</v>
      </c>
      <c r="C1469">
        <v>15</v>
      </c>
      <c r="D1469" s="260">
        <v>46213</v>
      </c>
      <c r="E1469" s="260">
        <v>46238</v>
      </c>
      <c r="F1469">
        <v>36</v>
      </c>
      <c r="G1469" t="s">
        <v>866</v>
      </c>
    </row>
    <row r="1470" spans="1:7">
      <c r="A1470" t="s">
        <v>3769</v>
      </c>
      <c r="B1470" t="s">
        <v>3770</v>
      </c>
      <c r="C1470">
        <v>5</v>
      </c>
      <c r="D1470" s="260">
        <v>46329</v>
      </c>
      <c r="E1470" s="260">
        <v>46335</v>
      </c>
      <c r="F1470">
        <v>36</v>
      </c>
      <c r="G1470" t="s">
        <v>866</v>
      </c>
    </row>
    <row r="1471" spans="1:7">
      <c r="A1471" t="s">
        <v>3771</v>
      </c>
      <c r="B1471" t="s">
        <v>3772</v>
      </c>
      <c r="C1471">
        <v>15</v>
      </c>
      <c r="D1471" s="260">
        <v>46168</v>
      </c>
      <c r="E1471" s="260">
        <v>46190</v>
      </c>
      <c r="F1471">
        <v>-45</v>
      </c>
      <c r="G1471" t="s">
        <v>866</v>
      </c>
    </row>
    <row r="1472" spans="1:7">
      <c r="A1472" t="s">
        <v>3773</v>
      </c>
      <c r="B1472" t="s">
        <v>3774</v>
      </c>
      <c r="C1472">
        <v>5</v>
      </c>
      <c r="D1472" s="260">
        <v>46282</v>
      </c>
      <c r="E1472" s="260">
        <v>46288</v>
      </c>
      <c r="F1472">
        <v>-45</v>
      </c>
      <c r="G1472" t="s">
        <v>866</v>
      </c>
    </row>
    <row r="1473" spans="1:7">
      <c r="A1473" t="s">
        <v>3775</v>
      </c>
      <c r="B1473" t="s">
        <v>3776</v>
      </c>
      <c r="C1473">
        <v>10</v>
      </c>
      <c r="D1473" s="260">
        <v>46220</v>
      </c>
      <c r="E1473" s="260">
        <v>46238</v>
      </c>
      <c r="F1473">
        <v>47</v>
      </c>
      <c r="G1473" t="s">
        <v>866</v>
      </c>
    </row>
    <row r="1474" spans="1:7">
      <c r="A1474" t="s">
        <v>3777</v>
      </c>
      <c r="B1474" t="s">
        <v>3778</v>
      </c>
      <c r="C1474">
        <v>5</v>
      </c>
      <c r="D1474" s="260">
        <v>46311</v>
      </c>
      <c r="E1474" s="260">
        <v>46317</v>
      </c>
      <c r="F1474">
        <v>47</v>
      </c>
      <c r="G1474" t="s">
        <v>866</v>
      </c>
    </row>
    <row r="1475" spans="1:7">
      <c r="A1475" t="s">
        <v>3779</v>
      </c>
      <c r="B1475" t="s">
        <v>3780</v>
      </c>
      <c r="C1475">
        <v>10</v>
      </c>
      <c r="D1475" s="260">
        <v>46247</v>
      </c>
      <c r="E1475" s="260">
        <v>46260</v>
      </c>
      <c r="F1475">
        <v>32</v>
      </c>
      <c r="G1475" t="s">
        <v>866</v>
      </c>
    </row>
    <row r="1476" spans="1:7">
      <c r="A1476" t="s">
        <v>3781</v>
      </c>
      <c r="B1476" t="s">
        <v>3782</v>
      </c>
      <c r="C1476">
        <v>5</v>
      </c>
      <c r="D1476" s="260">
        <v>46335</v>
      </c>
      <c r="E1476" s="260">
        <v>46339</v>
      </c>
      <c r="F1476">
        <v>32</v>
      </c>
      <c r="G1476" t="s">
        <v>866</v>
      </c>
    </row>
    <row r="1477" spans="1:7">
      <c r="A1477" t="s">
        <v>3783</v>
      </c>
      <c r="B1477" t="s">
        <v>3784</v>
      </c>
      <c r="C1477">
        <v>10</v>
      </c>
      <c r="D1477" s="260">
        <v>46220</v>
      </c>
      <c r="E1477" s="260">
        <v>46238</v>
      </c>
      <c r="F1477">
        <v>47</v>
      </c>
      <c r="G1477" t="s">
        <v>866</v>
      </c>
    </row>
    <row r="1478" spans="1:7">
      <c r="A1478" t="s">
        <v>3785</v>
      </c>
      <c r="B1478" t="s">
        <v>3786</v>
      </c>
      <c r="C1478">
        <v>5</v>
      </c>
      <c r="D1478" s="260">
        <v>46311</v>
      </c>
      <c r="E1478" s="260">
        <v>46317</v>
      </c>
      <c r="F1478">
        <v>47</v>
      </c>
      <c r="G1478" t="s">
        <v>866</v>
      </c>
    </row>
    <row r="1479" spans="1:7">
      <c r="A1479" t="s">
        <v>3787</v>
      </c>
      <c r="B1479" t="s">
        <v>3788</v>
      </c>
      <c r="C1479">
        <v>10</v>
      </c>
      <c r="D1479" s="260">
        <v>46227</v>
      </c>
      <c r="E1479" s="260">
        <v>46245</v>
      </c>
      <c r="F1479">
        <v>82</v>
      </c>
      <c r="G1479" t="s">
        <v>866</v>
      </c>
    </row>
    <row r="1480" spans="1:7">
      <c r="A1480" t="s">
        <v>3789</v>
      </c>
      <c r="B1480" t="s">
        <v>3790</v>
      </c>
      <c r="C1480">
        <v>5</v>
      </c>
      <c r="D1480" s="260">
        <v>46328</v>
      </c>
      <c r="E1480" s="260">
        <v>46332</v>
      </c>
      <c r="F1480">
        <v>37</v>
      </c>
      <c r="G1480" t="s">
        <v>866</v>
      </c>
    </row>
    <row r="1481" spans="1:7">
      <c r="A1481" t="s">
        <v>3791</v>
      </c>
      <c r="C1481">
        <v>92</v>
      </c>
      <c r="D1481" s="260">
        <v>46183</v>
      </c>
      <c r="E1481" s="260">
        <v>46317</v>
      </c>
      <c r="F1481">
        <v>32</v>
      </c>
      <c r="G1481" t="s">
        <v>866</v>
      </c>
    </row>
    <row r="1482" spans="1:7">
      <c r="A1482" t="s">
        <v>3792</v>
      </c>
      <c r="B1482" t="s">
        <v>3793</v>
      </c>
      <c r="C1482">
        <v>16</v>
      </c>
      <c r="D1482" s="260">
        <v>46225</v>
      </c>
      <c r="E1482" s="260">
        <v>46252</v>
      </c>
      <c r="F1482">
        <v>63</v>
      </c>
      <c r="G1482" t="s">
        <v>866</v>
      </c>
    </row>
    <row r="1483" spans="1:7">
      <c r="A1483" t="s">
        <v>3794</v>
      </c>
      <c r="B1483" t="s">
        <v>3795</v>
      </c>
      <c r="C1483">
        <v>5</v>
      </c>
      <c r="D1483" s="260">
        <v>46267</v>
      </c>
      <c r="E1483" s="260">
        <v>46273</v>
      </c>
      <c r="F1483">
        <v>63</v>
      </c>
      <c r="G1483" t="s">
        <v>866</v>
      </c>
    </row>
    <row r="1484" spans="1:7">
      <c r="A1484" t="s">
        <v>3796</v>
      </c>
      <c r="B1484" t="s">
        <v>3797</v>
      </c>
      <c r="C1484">
        <v>20</v>
      </c>
      <c r="D1484" s="260">
        <v>46183</v>
      </c>
      <c r="E1484" s="260">
        <v>46210</v>
      </c>
      <c r="F1484">
        <v>0</v>
      </c>
      <c r="G1484" t="s">
        <v>866</v>
      </c>
    </row>
    <row r="1485" spans="1:7">
      <c r="A1485" t="s">
        <v>3798</v>
      </c>
      <c r="B1485" t="s">
        <v>3799</v>
      </c>
      <c r="C1485">
        <v>5</v>
      </c>
      <c r="D1485" s="260">
        <v>46225</v>
      </c>
      <c r="E1485" s="260">
        <v>46234</v>
      </c>
      <c r="F1485">
        <v>0</v>
      </c>
      <c r="G1485" t="s">
        <v>866</v>
      </c>
    </row>
    <row r="1486" spans="1:7">
      <c r="A1486" t="s">
        <v>3800</v>
      </c>
      <c r="B1486" t="s">
        <v>3801</v>
      </c>
      <c r="C1486">
        <v>20</v>
      </c>
      <c r="D1486" s="260">
        <v>46262</v>
      </c>
      <c r="E1486" s="260">
        <v>46289</v>
      </c>
      <c r="F1486">
        <v>36</v>
      </c>
      <c r="G1486" t="s">
        <v>866</v>
      </c>
    </row>
    <row r="1487" spans="1:7">
      <c r="A1487" t="s">
        <v>3802</v>
      </c>
      <c r="B1487" t="s">
        <v>3803</v>
      </c>
      <c r="C1487">
        <v>5</v>
      </c>
      <c r="D1487" s="260">
        <v>46304</v>
      </c>
      <c r="E1487" s="260">
        <v>46311</v>
      </c>
      <c r="F1487">
        <v>36</v>
      </c>
      <c r="G1487" t="s">
        <v>866</v>
      </c>
    </row>
    <row r="1488" spans="1:7">
      <c r="A1488" t="s">
        <v>3804</v>
      </c>
      <c r="B1488" t="s">
        <v>3805</v>
      </c>
      <c r="C1488">
        <v>12</v>
      </c>
      <c r="D1488" s="260">
        <v>46225</v>
      </c>
      <c r="E1488" s="260">
        <v>46245</v>
      </c>
      <c r="F1488">
        <v>67</v>
      </c>
      <c r="G1488" t="s">
        <v>866</v>
      </c>
    </row>
    <row r="1489" spans="1:7">
      <c r="A1489" t="s">
        <v>3806</v>
      </c>
      <c r="B1489" t="s">
        <v>3807</v>
      </c>
      <c r="C1489">
        <v>5</v>
      </c>
      <c r="D1489" s="260">
        <v>46261</v>
      </c>
      <c r="E1489" s="260">
        <v>46267</v>
      </c>
      <c r="F1489">
        <v>67</v>
      </c>
      <c r="G1489" t="s">
        <v>866</v>
      </c>
    </row>
    <row r="1490" spans="1:7">
      <c r="A1490" t="s">
        <v>3808</v>
      </c>
      <c r="B1490" t="s">
        <v>3809</v>
      </c>
      <c r="C1490">
        <v>15</v>
      </c>
      <c r="D1490" s="260">
        <v>46254</v>
      </c>
      <c r="E1490" s="260">
        <v>46274</v>
      </c>
      <c r="F1490">
        <v>47</v>
      </c>
      <c r="G1490" t="s">
        <v>866</v>
      </c>
    </row>
    <row r="1491" spans="1:7">
      <c r="A1491" t="s">
        <v>3810</v>
      </c>
      <c r="B1491" t="s">
        <v>3811</v>
      </c>
      <c r="C1491">
        <v>5</v>
      </c>
      <c r="D1491" s="260">
        <v>46289</v>
      </c>
      <c r="E1491" s="260">
        <v>46295</v>
      </c>
      <c r="F1491">
        <v>47</v>
      </c>
      <c r="G1491" t="s">
        <v>866</v>
      </c>
    </row>
    <row r="1492" spans="1:7">
      <c r="A1492" t="s">
        <v>3812</v>
      </c>
      <c r="B1492" t="s">
        <v>3813</v>
      </c>
      <c r="C1492">
        <v>15</v>
      </c>
      <c r="D1492" s="260">
        <v>46275</v>
      </c>
      <c r="E1492" s="260">
        <v>46295</v>
      </c>
      <c r="F1492">
        <v>32</v>
      </c>
      <c r="G1492" t="s">
        <v>866</v>
      </c>
    </row>
    <row r="1493" spans="1:7">
      <c r="A1493" t="s">
        <v>3814</v>
      </c>
      <c r="B1493" t="s">
        <v>3815</v>
      </c>
      <c r="C1493">
        <v>5</v>
      </c>
      <c r="D1493" s="260">
        <v>46311</v>
      </c>
      <c r="E1493" s="260">
        <v>46317</v>
      </c>
      <c r="F1493">
        <v>32</v>
      </c>
      <c r="G1493" t="s">
        <v>866</v>
      </c>
    </row>
    <row r="1494" spans="1:7">
      <c r="A1494" t="s">
        <v>3816</v>
      </c>
      <c r="B1494" t="s">
        <v>3817</v>
      </c>
      <c r="C1494">
        <v>15</v>
      </c>
      <c r="D1494" s="260">
        <v>46254</v>
      </c>
      <c r="E1494" s="260">
        <v>46274</v>
      </c>
      <c r="F1494">
        <v>47</v>
      </c>
      <c r="G1494" t="s">
        <v>866</v>
      </c>
    </row>
    <row r="1495" spans="1:7">
      <c r="A1495" t="s">
        <v>3818</v>
      </c>
      <c r="B1495" t="s">
        <v>3819</v>
      </c>
      <c r="C1495">
        <v>5</v>
      </c>
      <c r="D1495" s="260">
        <v>46289</v>
      </c>
      <c r="E1495" s="260">
        <v>46295</v>
      </c>
      <c r="F1495">
        <v>47</v>
      </c>
      <c r="G1495" t="s">
        <v>866</v>
      </c>
    </row>
    <row r="1496" spans="1:7">
      <c r="A1496" t="s">
        <v>3820</v>
      </c>
      <c r="B1496" t="s">
        <v>3821</v>
      </c>
      <c r="C1496">
        <v>16</v>
      </c>
      <c r="D1496" s="260">
        <v>46225</v>
      </c>
      <c r="E1496" s="260">
        <v>46252</v>
      </c>
      <c r="F1496">
        <v>63</v>
      </c>
      <c r="G1496" t="s">
        <v>866</v>
      </c>
    </row>
    <row r="1497" spans="1:7">
      <c r="A1497" t="s">
        <v>3822</v>
      </c>
      <c r="B1497" t="s">
        <v>3823</v>
      </c>
      <c r="C1497">
        <v>5</v>
      </c>
      <c r="D1497" s="260">
        <v>46267</v>
      </c>
      <c r="E1497" s="260">
        <v>46273</v>
      </c>
      <c r="F1497">
        <v>63</v>
      </c>
      <c r="G1497" t="s">
        <v>866</v>
      </c>
    </row>
    <row r="1498" spans="1:7">
      <c r="A1498" t="s">
        <v>3824</v>
      </c>
      <c r="B1498" t="s">
        <v>3825</v>
      </c>
      <c r="C1498">
        <v>20</v>
      </c>
      <c r="D1498" s="260">
        <v>46183</v>
      </c>
      <c r="E1498" s="260">
        <v>46210</v>
      </c>
      <c r="F1498">
        <v>89</v>
      </c>
      <c r="G1498" t="s">
        <v>866</v>
      </c>
    </row>
    <row r="1499" spans="1:7">
      <c r="A1499" t="s">
        <v>3826</v>
      </c>
      <c r="B1499" t="s">
        <v>3827</v>
      </c>
      <c r="C1499">
        <v>5</v>
      </c>
      <c r="D1499" s="260">
        <v>46225</v>
      </c>
      <c r="E1499" s="260">
        <v>46234</v>
      </c>
      <c r="F1499">
        <v>89</v>
      </c>
      <c r="G1499" t="s">
        <v>866</v>
      </c>
    </row>
    <row r="1500" spans="1:7">
      <c r="A1500" t="s">
        <v>3828</v>
      </c>
      <c r="B1500" t="s">
        <v>3829</v>
      </c>
      <c r="C1500">
        <v>20</v>
      </c>
      <c r="D1500" s="260">
        <v>46262</v>
      </c>
      <c r="E1500" s="260">
        <v>46289</v>
      </c>
      <c r="F1500">
        <v>36</v>
      </c>
      <c r="G1500" t="s">
        <v>866</v>
      </c>
    </row>
    <row r="1501" spans="1:7">
      <c r="A1501" t="s">
        <v>3830</v>
      </c>
      <c r="B1501" t="s">
        <v>3831</v>
      </c>
      <c r="C1501">
        <v>5</v>
      </c>
      <c r="D1501" s="260">
        <v>46304</v>
      </c>
      <c r="E1501" s="260">
        <v>46311</v>
      </c>
      <c r="F1501">
        <v>36</v>
      </c>
      <c r="G1501" t="s">
        <v>866</v>
      </c>
    </row>
    <row r="1502" spans="1:7">
      <c r="A1502" t="s">
        <v>3832</v>
      </c>
      <c r="B1502" t="s">
        <v>3833</v>
      </c>
      <c r="C1502">
        <v>12</v>
      </c>
      <c r="D1502" s="260">
        <v>46225</v>
      </c>
      <c r="E1502" s="260">
        <v>46245</v>
      </c>
      <c r="F1502">
        <v>-45</v>
      </c>
      <c r="G1502" t="s">
        <v>866</v>
      </c>
    </row>
    <row r="1503" spans="1:7">
      <c r="A1503" t="s">
        <v>3834</v>
      </c>
      <c r="B1503" t="s">
        <v>3835</v>
      </c>
      <c r="C1503">
        <v>5</v>
      </c>
      <c r="D1503" s="260">
        <v>46261</v>
      </c>
      <c r="E1503" s="260">
        <v>46267</v>
      </c>
      <c r="F1503">
        <v>-45</v>
      </c>
      <c r="G1503" t="s">
        <v>866</v>
      </c>
    </row>
    <row r="1504" spans="1:7">
      <c r="A1504" t="s">
        <v>3836</v>
      </c>
      <c r="B1504" t="s">
        <v>3837</v>
      </c>
      <c r="C1504">
        <v>15</v>
      </c>
      <c r="D1504" s="260">
        <v>46254</v>
      </c>
      <c r="E1504" s="260">
        <v>46274</v>
      </c>
      <c r="F1504">
        <v>47</v>
      </c>
      <c r="G1504" t="s">
        <v>866</v>
      </c>
    </row>
    <row r="1505" spans="1:7">
      <c r="A1505" t="s">
        <v>3838</v>
      </c>
      <c r="B1505" t="s">
        <v>3839</v>
      </c>
      <c r="C1505">
        <v>5</v>
      </c>
      <c r="D1505" s="260">
        <v>46289</v>
      </c>
      <c r="E1505" s="260">
        <v>46295</v>
      </c>
      <c r="F1505">
        <v>47</v>
      </c>
      <c r="G1505" t="s">
        <v>866</v>
      </c>
    </row>
    <row r="1506" spans="1:7">
      <c r="A1506" t="s">
        <v>3840</v>
      </c>
      <c r="B1506" t="s">
        <v>3841</v>
      </c>
      <c r="C1506">
        <v>15</v>
      </c>
      <c r="D1506" s="260">
        <v>46275</v>
      </c>
      <c r="E1506" s="260">
        <v>46295</v>
      </c>
      <c r="F1506">
        <v>32</v>
      </c>
      <c r="G1506" t="s">
        <v>866</v>
      </c>
    </row>
    <row r="1507" spans="1:7">
      <c r="A1507" t="s">
        <v>3842</v>
      </c>
      <c r="B1507" t="s">
        <v>3843</v>
      </c>
      <c r="C1507">
        <v>5</v>
      </c>
      <c r="D1507" s="260">
        <v>46311</v>
      </c>
      <c r="E1507" s="260">
        <v>46317</v>
      </c>
      <c r="F1507">
        <v>32</v>
      </c>
      <c r="G1507" t="s">
        <v>866</v>
      </c>
    </row>
    <row r="1508" spans="1:7">
      <c r="A1508" t="s">
        <v>3844</v>
      </c>
      <c r="B1508" t="s">
        <v>3845</v>
      </c>
      <c r="C1508">
        <v>20</v>
      </c>
      <c r="D1508" s="260">
        <v>46261</v>
      </c>
      <c r="E1508" s="260">
        <v>46288</v>
      </c>
      <c r="F1508">
        <v>37</v>
      </c>
      <c r="G1508" t="s">
        <v>866</v>
      </c>
    </row>
    <row r="1509" spans="1:7">
      <c r="A1509" t="s">
        <v>3846</v>
      </c>
      <c r="B1509" t="s">
        <v>3847</v>
      </c>
      <c r="C1509">
        <v>5</v>
      </c>
      <c r="D1509" s="260">
        <v>46303</v>
      </c>
      <c r="E1509" s="260">
        <v>46310</v>
      </c>
      <c r="F1509">
        <v>37</v>
      </c>
      <c r="G1509" t="s">
        <v>866</v>
      </c>
    </row>
    <row r="1510" spans="1:7">
      <c r="A1510" t="s">
        <v>3848</v>
      </c>
      <c r="B1510" t="s">
        <v>3849</v>
      </c>
      <c r="C1510">
        <v>15</v>
      </c>
      <c r="D1510" s="260">
        <v>46254</v>
      </c>
      <c r="E1510" s="260">
        <v>46274</v>
      </c>
      <c r="F1510">
        <v>47</v>
      </c>
      <c r="G1510" t="s">
        <v>866</v>
      </c>
    </row>
    <row r="1511" spans="1:7">
      <c r="A1511" t="s">
        <v>3850</v>
      </c>
      <c r="B1511" t="s">
        <v>3851</v>
      </c>
      <c r="C1511">
        <v>5</v>
      </c>
      <c r="D1511" s="260">
        <v>46289</v>
      </c>
      <c r="E1511" s="260">
        <v>46295</v>
      </c>
      <c r="F1511">
        <v>47</v>
      </c>
      <c r="G1511" t="s">
        <v>866</v>
      </c>
    </row>
    <row r="1512" spans="1:7">
      <c r="A1512" t="s">
        <v>3852</v>
      </c>
      <c r="C1512">
        <v>198</v>
      </c>
      <c r="D1512" s="260">
        <v>46091</v>
      </c>
      <c r="E1512" s="260">
        <v>46392</v>
      </c>
      <c r="F1512">
        <v>0</v>
      </c>
      <c r="G1512" t="s">
        <v>866</v>
      </c>
    </row>
    <row r="1513" spans="1:7">
      <c r="A1513" t="s">
        <v>3853</v>
      </c>
      <c r="B1513" t="s">
        <v>3854</v>
      </c>
      <c r="C1513">
        <v>10</v>
      </c>
      <c r="D1513" s="260">
        <v>46091</v>
      </c>
      <c r="E1513" s="260">
        <v>46104</v>
      </c>
      <c r="F1513">
        <v>168</v>
      </c>
      <c r="G1513" t="s">
        <v>866</v>
      </c>
    </row>
    <row r="1514" spans="1:7">
      <c r="A1514" t="s">
        <v>3855</v>
      </c>
      <c r="B1514" t="s">
        <v>3856</v>
      </c>
      <c r="C1514">
        <v>10</v>
      </c>
      <c r="D1514" s="260">
        <v>46203</v>
      </c>
      <c r="E1514" s="260">
        <v>46216</v>
      </c>
      <c r="F1514">
        <v>115</v>
      </c>
      <c r="G1514" t="s">
        <v>866</v>
      </c>
    </row>
    <row r="1515" spans="1:7">
      <c r="A1515" t="s">
        <v>3857</v>
      </c>
      <c r="B1515" t="s">
        <v>3858</v>
      </c>
      <c r="C1515">
        <v>10</v>
      </c>
      <c r="D1515" s="260">
        <v>46097</v>
      </c>
      <c r="E1515" s="260">
        <v>46108</v>
      </c>
      <c r="F1515">
        <v>22</v>
      </c>
      <c r="G1515" t="s">
        <v>866</v>
      </c>
    </row>
    <row r="1516" spans="1:7">
      <c r="A1516" t="s">
        <v>3859</v>
      </c>
      <c r="B1516" t="s">
        <v>3860</v>
      </c>
      <c r="C1516">
        <v>10</v>
      </c>
      <c r="D1516" s="260">
        <v>46129</v>
      </c>
      <c r="E1516" s="260">
        <v>46142</v>
      </c>
      <c r="F1516">
        <v>144</v>
      </c>
      <c r="G1516" t="s">
        <v>866</v>
      </c>
    </row>
    <row r="1517" spans="1:7">
      <c r="A1517" t="s">
        <v>3861</v>
      </c>
      <c r="B1517" t="s">
        <v>3862</v>
      </c>
      <c r="C1517">
        <v>10</v>
      </c>
      <c r="D1517" s="260">
        <v>46203</v>
      </c>
      <c r="E1517" s="260">
        <v>46216</v>
      </c>
      <c r="F1517">
        <v>115</v>
      </c>
      <c r="G1517" t="s">
        <v>866</v>
      </c>
    </row>
    <row r="1518" spans="1:7">
      <c r="A1518" t="s">
        <v>3863</v>
      </c>
      <c r="B1518" t="s">
        <v>3864</v>
      </c>
      <c r="C1518">
        <v>10</v>
      </c>
      <c r="D1518" s="260">
        <v>46097</v>
      </c>
      <c r="E1518" s="260">
        <v>46108</v>
      </c>
      <c r="F1518">
        <v>22</v>
      </c>
      <c r="G1518" t="s">
        <v>866</v>
      </c>
    </row>
    <row r="1519" spans="1:7">
      <c r="A1519" t="s">
        <v>3865</v>
      </c>
      <c r="B1519" t="s">
        <v>3866</v>
      </c>
      <c r="C1519">
        <v>5</v>
      </c>
      <c r="D1519" s="260">
        <v>46146</v>
      </c>
      <c r="E1519" s="260">
        <v>46150</v>
      </c>
      <c r="F1519">
        <v>159</v>
      </c>
      <c r="G1519" t="s">
        <v>866</v>
      </c>
    </row>
    <row r="1520" spans="1:7">
      <c r="A1520" t="s">
        <v>3867</v>
      </c>
      <c r="B1520" t="s">
        <v>3868</v>
      </c>
      <c r="C1520">
        <v>10</v>
      </c>
      <c r="D1520" s="260">
        <v>46098</v>
      </c>
      <c r="E1520" s="260">
        <v>46111</v>
      </c>
      <c r="F1520">
        <v>22</v>
      </c>
      <c r="G1520" t="s">
        <v>866</v>
      </c>
    </row>
    <row r="1521" spans="1:7">
      <c r="A1521" t="s">
        <v>3869</v>
      </c>
      <c r="B1521" t="s">
        <v>3870</v>
      </c>
      <c r="C1521">
        <v>5</v>
      </c>
      <c r="D1521" s="260">
        <v>46147</v>
      </c>
      <c r="E1521" s="260">
        <v>46153</v>
      </c>
      <c r="F1521">
        <v>158</v>
      </c>
      <c r="G1521" t="s">
        <v>866</v>
      </c>
    </row>
    <row r="1522" spans="1:7">
      <c r="A1522" t="s">
        <v>3871</v>
      </c>
      <c r="B1522" t="s">
        <v>3872</v>
      </c>
      <c r="C1522">
        <v>10</v>
      </c>
      <c r="D1522" s="260">
        <v>46098</v>
      </c>
      <c r="E1522" s="260">
        <v>46111</v>
      </c>
      <c r="F1522">
        <v>22</v>
      </c>
      <c r="G1522" t="s">
        <v>866</v>
      </c>
    </row>
    <row r="1523" spans="1:7">
      <c r="A1523" t="s">
        <v>3873</v>
      </c>
      <c r="B1523" t="s">
        <v>3874</v>
      </c>
      <c r="C1523">
        <v>5</v>
      </c>
      <c r="D1523" s="260">
        <v>46147</v>
      </c>
      <c r="E1523" s="260">
        <v>46153</v>
      </c>
      <c r="F1523">
        <v>158</v>
      </c>
      <c r="G1523" t="s">
        <v>866</v>
      </c>
    </row>
    <row r="1524" spans="1:7">
      <c r="A1524" t="s">
        <v>3875</v>
      </c>
      <c r="B1524" t="s">
        <v>3876</v>
      </c>
      <c r="C1524">
        <v>10</v>
      </c>
      <c r="D1524" s="260">
        <v>46104</v>
      </c>
      <c r="E1524" s="260">
        <v>46115</v>
      </c>
      <c r="F1524">
        <v>22</v>
      </c>
      <c r="G1524" t="s">
        <v>866</v>
      </c>
    </row>
    <row r="1525" spans="1:7">
      <c r="A1525" t="s">
        <v>3877</v>
      </c>
      <c r="B1525" t="s">
        <v>3878</v>
      </c>
      <c r="C1525">
        <v>5</v>
      </c>
      <c r="D1525" s="260">
        <v>46153</v>
      </c>
      <c r="E1525" s="260">
        <v>46157</v>
      </c>
      <c r="F1525">
        <v>154</v>
      </c>
      <c r="G1525" t="s">
        <v>866</v>
      </c>
    </row>
    <row r="1526" spans="1:7">
      <c r="A1526" t="s">
        <v>3879</v>
      </c>
      <c r="B1526" t="s">
        <v>3880</v>
      </c>
      <c r="C1526">
        <v>10</v>
      </c>
      <c r="D1526" s="260">
        <v>46104</v>
      </c>
      <c r="E1526" s="260">
        <v>46115</v>
      </c>
      <c r="F1526">
        <v>22</v>
      </c>
      <c r="G1526" t="s">
        <v>866</v>
      </c>
    </row>
    <row r="1527" spans="1:7">
      <c r="A1527" t="s">
        <v>3881</v>
      </c>
      <c r="B1527" t="s">
        <v>3882</v>
      </c>
      <c r="C1527">
        <v>5</v>
      </c>
      <c r="D1527" s="260">
        <v>46153</v>
      </c>
      <c r="E1527" s="260">
        <v>46157</v>
      </c>
      <c r="F1527">
        <v>154</v>
      </c>
      <c r="G1527" t="s">
        <v>866</v>
      </c>
    </row>
    <row r="1528" spans="1:7">
      <c r="A1528" t="s">
        <v>3883</v>
      </c>
      <c r="B1528" t="s">
        <v>3884</v>
      </c>
      <c r="C1528">
        <v>10</v>
      </c>
      <c r="D1528" s="260">
        <v>46120</v>
      </c>
      <c r="E1528" s="260">
        <v>46136</v>
      </c>
      <c r="F1528">
        <v>22</v>
      </c>
      <c r="G1528" t="s">
        <v>866</v>
      </c>
    </row>
    <row r="1529" spans="1:7">
      <c r="A1529" t="s">
        <v>3885</v>
      </c>
      <c r="B1529" t="s">
        <v>3886</v>
      </c>
      <c r="C1529">
        <v>10</v>
      </c>
      <c r="D1529" s="260">
        <v>46154</v>
      </c>
      <c r="E1529" s="260">
        <v>46167</v>
      </c>
      <c r="F1529">
        <v>148</v>
      </c>
      <c r="G1529" t="s">
        <v>866</v>
      </c>
    </row>
    <row r="1530" spans="1:7">
      <c r="A1530" t="s">
        <v>3887</v>
      </c>
      <c r="B1530" t="s">
        <v>3888</v>
      </c>
      <c r="C1530">
        <v>10</v>
      </c>
      <c r="D1530" s="260">
        <v>46120</v>
      </c>
      <c r="E1530" s="260">
        <v>46136</v>
      </c>
      <c r="F1530">
        <v>22</v>
      </c>
      <c r="G1530" t="s">
        <v>866</v>
      </c>
    </row>
    <row r="1531" spans="1:7">
      <c r="A1531" t="s">
        <v>3889</v>
      </c>
      <c r="B1531" t="s">
        <v>3890</v>
      </c>
      <c r="C1531">
        <v>10</v>
      </c>
      <c r="D1531" s="260">
        <v>46154</v>
      </c>
      <c r="E1531" s="260">
        <v>46167</v>
      </c>
      <c r="F1531">
        <v>148</v>
      </c>
      <c r="G1531" t="s">
        <v>866</v>
      </c>
    </row>
    <row r="1532" spans="1:7">
      <c r="A1532" t="s">
        <v>3891</v>
      </c>
      <c r="B1532" t="s">
        <v>3892</v>
      </c>
      <c r="C1532">
        <v>10</v>
      </c>
      <c r="D1532" s="260">
        <v>46121</v>
      </c>
      <c r="E1532" s="260">
        <v>46139</v>
      </c>
      <c r="F1532">
        <v>22</v>
      </c>
      <c r="G1532" t="s">
        <v>866</v>
      </c>
    </row>
    <row r="1533" spans="1:7">
      <c r="A1533" t="s">
        <v>3893</v>
      </c>
      <c r="B1533" t="s">
        <v>3894</v>
      </c>
      <c r="C1533">
        <v>10</v>
      </c>
      <c r="D1533" s="260">
        <v>46155</v>
      </c>
      <c r="E1533" s="260">
        <v>46168</v>
      </c>
      <c r="F1533">
        <v>147</v>
      </c>
      <c r="G1533" t="s">
        <v>866</v>
      </c>
    </row>
    <row r="1534" spans="1:7">
      <c r="A1534" t="s">
        <v>3895</v>
      </c>
      <c r="B1534" t="s">
        <v>3896</v>
      </c>
      <c r="C1534">
        <v>10</v>
      </c>
      <c r="D1534" s="260">
        <v>46121</v>
      </c>
      <c r="E1534" s="260">
        <v>46139</v>
      </c>
      <c r="F1534">
        <v>22</v>
      </c>
      <c r="G1534" t="s">
        <v>866</v>
      </c>
    </row>
    <row r="1535" spans="1:7">
      <c r="A1535" t="s">
        <v>3897</v>
      </c>
      <c r="B1535" t="s">
        <v>3898</v>
      </c>
      <c r="C1535">
        <v>10</v>
      </c>
      <c r="D1535" s="260">
        <v>46155</v>
      </c>
      <c r="E1535" s="260">
        <v>46168</v>
      </c>
      <c r="F1535">
        <v>147</v>
      </c>
      <c r="G1535" t="s">
        <v>866</v>
      </c>
    </row>
    <row r="1536" spans="1:7">
      <c r="A1536" t="s">
        <v>3899</v>
      </c>
      <c r="B1536" t="s">
        <v>3900</v>
      </c>
      <c r="C1536">
        <v>10</v>
      </c>
      <c r="D1536" s="260">
        <v>46129</v>
      </c>
      <c r="E1536" s="260">
        <v>46142</v>
      </c>
      <c r="F1536">
        <v>22</v>
      </c>
      <c r="G1536" t="s">
        <v>866</v>
      </c>
    </row>
    <row r="1537" spans="1:7">
      <c r="A1537" t="s">
        <v>3901</v>
      </c>
      <c r="B1537" t="s">
        <v>3902</v>
      </c>
      <c r="C1537">
        <v>10</v>
      </c>
      <c r="D1537" s="260">
        <v>46160</v>
      </c>
      <c r="E1537" s="260">
        <v>46171</v>
      </c>
      <c r="F1537">
        <v>144</v>
      </c>
      <c r="G1537" t="s">
        <v>866</v>
      </c>
    </row>
    <row r="1538" spans="1:7">
      <c r="A1538" t="s">
        <v>3903</v>
      </c>
      <c r="B1538" t="s">
        <v>3904</v>
      </c>
      <c r="C1538">
        <v>10</v>
      </c>
      <c r="D1538" s="260">
        <v>46129</v>
      </c>
      <c r="E1538" s="260">
        <v>46142</v>
      </c>
      <c r="F1538">
        <v>22</v>
      </c>
      <c r="G1538" t="s">
        <v>866</v>
      </c>
    </row>
    <row r="1539" spans="1:7">
      <c r="A1539" t="s">
        <v>3905</v>
      </c>
      <c r="B1539" t="s">
        <v>3906</v>
      </c>
      <c r="C1539">
        <v>10</v>
      </c>
      <c r="D1539" s="260">
        <v>46160</v>
      </c>
      <c r="E1539" s="260">
        <v>46171</v>
      </c>
      <c r="F1539">
        <v>144</v>
      </c>
      <c r="G1539" t="s">
        <v>866</v>
      </c>
    </row>
    <row r="1540" spans="1:7">
      <c r="A1540" t="s">
        <v>3907</v>
      </c>
      <c r="B1540" t="s">
        <v>3908</v>
      </c>
      <c r="C1540">
        <v>10</v>
      </c>
      <c r="D1540" s="260">
        <v>46129</v>
      </c>
      <c r="E1540" s="260">
        <v>46142</v>
      </c>
      <c r="F1540">
        <v>22</v>
      </c>
      <c r="G1540" t="s">
        <v>866</v>
      </c>
    </row>
    <row r="1541" spans="1:7">
      <c r="A1541" t="s">
        <v>3909</v>
      </c>
      <c r="B1541" t="s">
        <v>3910</v>
      </c>
      <c r="C1541">
        <v>10</v>
      </c>
      <c r="D1541" s="260">
        <v>46160</v>
      </c>
      <c r="E1541" s="260">
        <v>46171</v>
      </c>
      <c r="F1541">
        <v>63</v>
      </c>
      <c r="G1541" t="s">
        <v>866</v>
      </c>
    </row>
    <row r="1542" spans="1:7">
      <c r="A1542" t="s">
        <v>3911</v>
      </c>
      <c r="B1542" t="s">
        <v>3912</v>
      </c>
      <c r="C1542">
        <v>10</v>
      </c>
      <c r="D1542" s="260">
        <v>46133</v>
      </c>
      <c r="E1542" s="260">
        <v>46147</v>
      </c>
      <c r="F1542">
        <v>22</v>
      </c>
      <c r="G1542" t="s">
        <v>866</v>
      </c>
    </row>
    <row r="1543" spans="1:7">
      <c r="A1543" t="s">
        <v>3913</v>
      </c>
      <c r="B1543" t="s">
        <v>3914</v>
      </c>
      <c r="C1543">
        <v>10</v>
      </c>
      <c r="D1543" s="260">
        <v>46162</v>
      </c>
      <c r="E1543" s="260">
        <v>46177</v>
      </c>
      <c r="F1543">
        <v>52</v>
      </c>
      <c r="G1543" t="s">
        <v>866</v>
      </c>
    </row>
    <row r="1544" spans="1:7">
      <c r="A1544" t="s">
        <v>3915</v>
      </c>
      <c r="B1544" t="s">
        <v>3916</v>
      </c>
      <c r="C1544">
        <v>10</v>
      </c>
      <c r="D1544" s="260">
        <v>46133</v>
      </c>
      <c r="E1544" s="260">
        <v>46147</v>
      </c>
      <c r="F1544">
        <v>22</v>
      </c>
      <c r="G1544" t="s">
        <v>866</v>
      </c>
    </row>
    <row r="1545" spans="1:7">
      <c r="A1545" t="s">
        <v>3917</v>
      </c>
      <c r="B1545" t="s">
        <v>3918</v>
      </c>
      <c r="C1545">
        <v>10</v>
      </c>
      <c r="D1545" s="260">
        <v>46162</v>
      </c>
      <c r="E1545" s="260">
        <v>46177</v>
      </c>
      <c r="F1545">
        <v>32</v>
      </c>
      <c r="G1545" t="s">
        <v>866</v>
      </c>
    </row>
    <row r="1546" spans="1:7">
      <c r="A1546" t="s">
        <v>3919</v>
      </c>
      <c r="B1546" t="s">
        <v>3920</v>
      </c>
      <c r="C1546">
        <v>10</v>
      </c>
      <c r="D1546" s="260">
        <v>46133</v>
      </c>
      <c r="E1546" s="260">
        <v>46147</v>
      </c>
      <c r="F1546">
        <v>22</v>
      </c>
      <c r="G1546" t="s">
        <v>866</v>
      </c>
    </row>
    <row r="1547" spans="1:7">
      <c r="A1547" t="s">
        <v>3921</v>
      </c>
      <c r="B1547" t="s">
        <v>3922</v>
      </c>
      <c r="C1547">
        <v>10</v>
      </c>
      <c r="D1547" s="260">
        <v>46162</v>
      </c>
      <c r="E1547" s="260">
        <v>46177</v>
      </c>
      <c r="F1547">
        <v>27</v>
      </c>
      <c r="G1547" t="s">
        <v>866</v>
      </c>
    </row>
    <row r="1548" spans="1:7">
      <c r="A1548" t="s">
        <v>3923</v>
      </c>
      <c r="B1548" t="s">
        <v>3924</v>
      </c>
      <c r="C1548">
        <v>15</v>
      </c>
      <c r="D1548" s="260">
        <v>46140</v>
      </c>
      <c r="E1548" s="260">
        <v>46161</v>
      </c>
      <c r="F1548">
        <v>22</v>
      </c>
      <c r="G1548" t="s">
        <v>866</v>
      </c>
    </row>
    <row r="1549" spans="1:7">
      <c r="A1549" t="s">
        <v>3925</v>
      </c>
      <c r="B1549" t="s">
        <v>3926</v>
      </c>
      <c r="C1549">
        <v>10</v>
      </c>
      <c r="D1549" s="260">
        <v>46178</v>
      </c>
      <c r="E1549" s="260">
        <v>46191</v>
      </c>
      <c r="F1549">
        <v>117</v>
      </c>
      <c r="G1549" t="s">
        <v>866</v>
      </c>
    </row>
    <row r="1550" spans="1:7">
      <c r="A1550" t="s">
        <v>3927</v>
      </c>
      <c r="B1550" t="s">
        <v>3928</v>
      </c>
      <c r="C1550">
        <v>5</v>
      </c>
      <c r="D1550" s="260">
        <v>46206</v>
      </c>
      <c r="E1550" s="260">
        <v>46212</v>
      </c>
      <c r="F1550">
        <v>117</v>
      </c>
      <c r="G1550" t="s">
        <v>866</v>
      </c>
    </row>
    <row r="1551" spans="1:7">
      <c r="A1551" t="s">
        <v>3929</v>
      </c>
      <c r="B1551" t="s">
        <v>3930</v>
      </c>
      <c r="C1551">
        <v>15</v>
      </c>
      <c r="D1551" s="260">
        <v>46140</v>
      </c>
      <c r="E1551" s="260">
        <v>46161</v>
      </c>
      <c r="F1551">
        <v>22</v>
      </c>
      <c r="G1551" t="s">
        <v>866</v>
      </c>
    </row>
    <row r="1552" spans="1:7">
      <c r="A1552" t="s">
        <v>3931</v>
      </c>
      <c r="B1552" t="s">
        <v>3932</v>
      </c>
      <c r="C1552">
        <v>10</v>
      </c>
      <c r="D1552" s="260">
        <v>46178</v>
      </c>
      <c r="E1552" s="260">
        <v>46191</v>
      </c>
      <c r="F1552">
        <v>112</v>
      </c>
      <c r="G1552" t="s">
        <v>866</v>
      </c>
    </row>
    <row r="1553" spans="1:7">
      <c r="A1553" t="s">
        <v>3933</v>
      </c>
      <c r="B1553" t="s">
        <v>3934</v>
      </c>
      <c r="C1553">
        <v>10</v>
      </c>
      <c r="D1553" s="260">
        <v>46206</v>
      </c>
      <c r="E1553" s="260">
        <v>46219</v>
      </c>
      <c r="F1553">
        <v>112</v>
      </c>
      <c r="G1553" t="s">
        <v>866</v>
      </c>
    </row>
    <row r="1554" spans="1:7">
      <c r="A1554" t="s">
        <v>3935</v>
      </c>
      <c r="B1554" t="s">
        <v>3936</v>
      </c>
      <c r="C1554">
        <v>15</v>
      </c>
      <c r="D1554" s="260">
        <v>46206</v>
      </c>
      <c r="E1554" s="260">
        <v>46226</v>
      </c>
      <c r="F1554">
        <v>37</v>
      </c>
      <c r="G1554" t="s">
        <v>866</v>
      </c>
    </row>
    <row r="1555" spans="1:7">
      <c r="A1555" t="s">
        <v>3937</v>
      </c>
      <c r="B1555" t="s">
        <v>3938</v>
      </c>
      <c r="C1555">
        <v>10</v>
      </c>
      <c r="D1555" s="260">
        <v>46336</v>
      </c>
      <c r="E1555" s="260">
        <v>46349</v>
      </c>
      <c r="F1555">
        <v>16</v>
      </c>
      <c r="G1555" t="s">
        <v>866</v>
      </c>
    </row>
    <row r="1556" spans="1:7">
      <c r="A1556" t="s">
        <v>3939</v>
      </c>
      <c r="B1556" t="s">
        <v>3940</v>
      </c>
      <c r="C1556">
        <v>15</v>
      </c>
      <c r="D1556" s="260">
        <v>46296</v>
      </c>
      <c r="E1556" s="260">
        <v>46317</v>
      </c>
      <c r="F1556">
        <v>12</v>
      </c>
      <c r="G1556" t="s">
        <v>866</v>
      </c>
    </row>
    <row r="1557" spans="1:7">
      <c r="A1557" t="s">
        <v>3941</v>
      </c>
      <c r="B1557" t="s">
        <v>3942</v>
      </c>
      <c r="C1557">
        <v>10</v>
      </c>
      <c r="D1557" s="260">
        <v>46351</v>
      </c>
      <c r="E1557" s="260">
        <v>46365</v>
      </c>
      <c r="F1557">
        <v>0</v>
      </c>
      <c r="G1557" t="s">
        <v>866</v>
      </c>
    </row>
    <row r="1558" spans="1:7">
      <c r="A1558" t="s">
        <v>3943</v>
      </c>
      <c r="B1558" t="s">
        <v>3944</v>
      </c>
      <c r="C1558">
        <v>5</v>
      </c>
      <c r="D1558" s="260">
        <v>46384</v>
      </c>
      <c r="E1558" s="260">
        <v>46392</v>
      </c>
      <c r="F1558">
        <v>0</v>
      </c>
      <c r="G1558" t="s">
        <v>866</v>
      </c>
    </row>
    <row r="1559" spans="1:7">
      <c r="A1559" t="s">
        <v>3945</v>
      </c>
      <c r="B1559" t="s">
        <v>3946</v>
      </c>
      <c r="C1559">
        <v>15</v>
      </c>
      <c r="D1559" s="260">
        <v>46140</v>
      </c>
      <c r="E1559" s="260">
        <v>46161</v>
      </c>
      <c r="F1559">
        <v>7</v>
      </c>
      <c r="G1559" t="s">
        <v>866</v>
      </c>
    </row>
    <row r="1560" spans="1:7">
      <c r="A1560" t="s">
        <v>3947</v>
      </c>
      <c r="B1560" t="s">
        <v>3948</v>
      </c>
      <c r="C1560">
        <v>10</v>
      </c>
      <c r="D1560" s="260">
        <v>46178</v>
      </c>
      <c r="E1560" s="260">
        <v>46191</v>
      </c>
      <c r="F1560">
        <v>47</v>
      </c>
      <c r="G1560" t="s">
        <v>866</v>
      </c>
    </row>
    <row r="1561" spans="1:7">
      <c r="A1561" t="s">
        <v>3949</v>
      </c>
      <c r="B1561" t="s">
        <v>3950</v>
      </c>
      <c r="C1561">
        <v>10</v>
      </c>
      <c r="D1561" s="260">
        <v>46206</v>
      </c>
      <c r="E1561" s="260">
        <v>46219</v>
      </c>
      <c r="F1561">
        <v>77</v>
      </c>
      <c r="G1561" t="s">
        <v>866</v>
      </c>
    </row>
    <row r="1562" spans="1:7">
      <c r="A1562" t="s">
        <v>3951</v>
      </c>
      <c r="B1562" t="s">
        <v>3952</v>
      </c>
      <c r="C1562">
        <v>15</v>
      </c>
      <c r="D1562" s="260">
        <v>46140</v>
      </c>
      <c r="E1562" s="260">
        <v>46161</v>
      </c>
      <c r="F1562">
        <v>22</v>
      </c>
      <c r="G1562" t="s">
        <v>866</v>
      </c>
    </row>
    <row r="1563" spans="1:7">
      <c r="A1563" t="s">
        <v>3953</v>
      </c>
      <c r="B1563" t="s">
        <v>3954</v>
      </c>
      <c r="C1563">
        <v>10</v>
      </c>
      <c r="D1563" s="260">
        <v>46178</v>
      </c>
      <c r="E1563" s="260">
        <v>46191</v>
      </c>
      <c r="F1563">
        <v>67</v>
      </c>
      <c r="G1563" t="s">
        <v>866</v>
      </c>
    </row>
    <row r="1564" spans="1:7">
      <c r="A1564" t="s">
        <v>3955</v>
      </c>
      <c r="B1564" t="s">
        <v>3956</v>
      </c>
      <c r="C1564">
        <v>10</v>
      </c>
      <c r="D1564" s="260">
        <v>46206</v>
      </c>
      <c r="E1564" s="260">
        <v>46219</v>
      </c>
      <c r="F1564">
        <v>87</v>
      </c>
      <c r="G1564" t="s">
        <v>866</v>
      </c>
    </row>
    <row r="1565" spans="1:7">
      <c r="A1565" t="s">
        <v>3957</v>
      </c>
      <c r="B1565" t="s">
        <v>3958</v>
      </c>
      <c r="C1565">
        <v>15</v>
      </c>
      <c r="D1565" s="260">
        <v>46162</v>
      </c>
      <c r="E1565" s="260">
        <v>46184</v>
      </c>
      <c r="F1565">
        <v>22</v>
      </c>
      <c r="G1565" t="s">
        <v>866</v>
      </c>
    </row>
    <row r="1566" spans="1:7">
      <c r="A1566" t="s">
        <v>3959</v>
      </c>
      <c r="B1566" t="s">
        <v>3960</v>
      </c>
      <c r="C1566">
        <v>10</v>
      </c>
      <c r="D1566" s="260">
        <v>46199</v>
      </c>
      <c r="E1566" s="260">
        <v>46212</v>
      </c>
      <c r="F1566">
        <v>62</v>
      </c>
      <c r="G1566" t="s">
        <v>866</v>
      </c>
    </row>
    <row r="1567" spans="1:7">
      <c r="A1567" t="s">
        <v>3961</v>
      </c>
      <c r="B1567" t="s">
        <v>3962</v>
      </c>
      <c r="C1567">
        <v>5</v>
      </c>
      <c r="D1567" s="260">
        <v>46227</v>
      </c>
      <c r="E1567" s="260">
        <v>46238</v>
      </c>
      <c r="F1567">
        <v>82</v>
      </c>
      <c r="G1567" t="s">
        <v>866</v>
      </c>
    </row>
    <row r="1568" spans="1:7">
      <c r="A1568" t="s">
        <v>3963</v>
      </c>
      <c r="B1568" t="s">
        <v>3964</v>
      </c>
      <c r="C1568">
        <v>15</v>
      </c>
      <c r="D1568" s="260">
        <v>46162</v>
      </c>
      <c r="E1568" s="260">
        <v>46184</v>
      </c>
      <c r="F1568">
        <v>22</v>
      </c>
      <c r="G1568" t="s">
        <v>866</v>
      </c>
    </row>
    <row r="1569" spans="1:7">
      <c r="A1569" t="s">
        <v>3965</v>
      </c>
      <c r="B1569" t="s">
        <v>3966</v>
      </c>
      <c r="C1569">
        <v>10</v>
      </c>
      <c r="D1569" s="260">
        <v>46199</v>
      </c>
      <c r="E1569" s="260">
        <v>46212</v>
      </c>
      <c r="F1569">
        <v>67</v>
      </c>
      <c r="G1569" t="s">
        <v>866</v>
      </c>
    </row>
    <row r="1570" spans="1:7">
      <c r="A1570" t="s">
        <v>3967</v>
      </c>
      <c r="B1570" t="s">
        <v>3968</v>
      </c>
      <c r="C1570">
        <v>5</v>
      </c>
      <c r="D1570" s="260">
        <v>46227</v>
      </c>
      <c r="E1570" s="260">
        <v>46238</v>
      </c>
      <c r="F1570">
        <v>72</v>
      </c>
      <c r="G1570" t="s">
        <v>866</v>
      </c>
    </row>
    <row r="1571" spans="1:7">
      <c r="A1571" t="s">
        <v>3969</v>
      </c>
      <c r="B1571" t="s">
        <v>3970</v>
      </c>
      <c r="C1571">
        <v>25</v>
      </c>
      <c r="D1571" s="260">
        <v>46206</v>
      </c>
      <c r="E1571" s="260">
        <v>46245</v>
      </c>
      <c r="F1571">
        <v>47</v>
      </c>
      <c r="G1571" t="s">
        <v>866</v>
      </c>
    </row>
    <row r="1572" spans="1:7">
      <c r="A1572" t="s">
        <v>3971</v>
      </c>
      <c r="B1572" t="s">
        <v>3972</v>
      </c>
      <c r="C1572">
        <v>20</v>
      </c>
      <c r="D1572" s="260">
        <v>46289</v>
      </c>
      <c r="E1572" s="260">
        <v>46317</v>
      </c>
      <c r="F1572">
        <v>42</v>
      </c>
      <c r="G1572" t="s">
        <v>866</v>
      </c>
    </row>
    <row r="1573" spans="1:7">
      <c r="A1573" t="s">
        <v>3973</v>
      </c>
      <c r="B1573" t="s">
        <v>3974</v>
      </c>
      <c r="C1573">
        <v>15</v>
      </c>
      <c r="D1573" s="260">
        <v>46185</v>
      </c>
      <c r="E1573" s="260">
        <v>46205</v>
      </c>
      <c r="F1573">
        <v>7</v>
      </c>
      <c r="G1573" t="s">
        <v>866</v>
      </c>
    </row>
    <row r="1574" spans="1:7">
      <c r="A1574" t="s">
        <v>3975</v>
      </c>
      <c r="B1574" t="s">
        <v>3976</v>
      </c>
      <c r="C1574">
        <v>10</v>
      </c>
      <c r="D1574" s="260">
        <v>46279</v>
      </c>
      <c r="E1574" s="260">
        <v>46290</v>
      </c>
      <c r="F1574">
        <v>0</v>
      </c>
      <c r="G1574" t="s">
        <v>866</v>
      </c>
    </row>
    <row r="1575" spans="1:7">
      <c r="A1575" t="s">
        <v>3977</v>
      </c>
      <c r="B1575" t="s">
        <v>3978</v>
      </c>
      <c r="C1575">
        <v>5</v>
      </c>
      <c r="D1575" s="260">
        <v>46329</v>
      </c>
      <c r="E1575" s="260">
        <v>46335</v>
      </c>
      <c r="F1575">
        <v>11</v>
      </c>
      <c r="G1575" t="s">
        <v>866</v>
      </c>
    </row>
    <row r="1576" spans="1:7">
      <c r="A1576" t="s">
        <v>3979</v>
      </c>
      <c r="B1576" t="s">
        <v>3980</v>
      </c>
      <c r="C1576">
        <v>15</v>
      </c>
      <c r="D1576" s="260">
        <v>46206</v>
      </c>
      <c r="E1576" s="260">
        <v>46226</v>
      </c>
      <c r="F1576">
        <v>7</v>
      </c>
      <c r="G1576" t="s">
        <v>866</v>
      </c>
    </row>
    <row r="1577" spans="1:7">
      <c r="A1577" t="s">
        <v>3981</v>
      </c>
      <c r="B1577" t="s">
        <v>3982</v>
      </c>
      <c r="C1577">
        <v>10</v>
      </c>
      <c r="D1577" s="260">
        <v>46293</v>
      </c>
      <c r="E1577" s="260">
        <v>46304</v>
      </c>
      <c r="F1577">
        <v>0</v>
      </c>
      <c r="G1577" t="s">
        <v>866</v>
      </c>
    </row>
    <row r="1578" spans="1:7">
      <c r="A1578" t="s">
        <v>3983</v>
      </c>
      <c r="B1578" t="s">
        <v>3984</v>
      </c>
      <c r="C1578">
        <v>5</v>
      </c>
      <c r="D1578" s="260">
        <v>46336</v>
      </c>
      <c r="E1578" s="260">
        <v>46342</v>
      </c>
      <c r="F1578">
        <v>11</v>
      </c>
      <c r="G1578" t="s">
        <v>866</v>
      </c>
    </row>
    <row r="1579" spans="1:7">
      <c r="A1579" t="s">
        <v>3985</v>
      </c>
      <c r="B1579" t="s">
        <v>3986</v>
      </c>
      <c r="C1579">
        <v>15</v>
      </c>
      <c r="D1579" s="260">
        <v>46227</v>
      </c>
      <c r="E1579" s="260">
        <v>46253</v>
      </c>
      <c r="F1579">
        <v>7</v>
      </c>
      <c r="G1579" t="s">
        <v>866</v>
      </c>
    </row>
    <row r="1580" spans="1:7">
      <c r="A1580" t="s">
        <v>3987</v>
      </c>
      <c r="B1580" t="s">
        <v>3988</v>
      </c>
      <c r="C1580">
        <v>10</v>
      </c>
      <c r="D1580" s="260">
        <v>46307</v>
      </c>
      <c r="E1580" s="260">
        <v>46322</v>
      </c>
      <c r="F1580">
        <v>0</v>
      </c>
      <c r="G1580" t="s">
        <v>866</v>
      </c>
    </row>
    <row r="1581" spans="1:7">
      <c r="A1581" t="s">
        <v>3989</v>
      </c>
      <c r="B1581" t="s">
        <v>3990</v>
      </c>
      <c r="C1581">
        <v>5</v>
      </c>
      <c r="D1581" s="260">
        <v>46343</v>
      </c>
      <c r="E1581" s="260">
        <v>46349</v>
      </c>
      <c r="F1581">
        <v>11</v>
      </c>
      <c r="G1581" t="s">
        <v>866</v>
      </c>
    </row>
    <row r="1582" spans="1:7">
      <c r="A1582" t="s">
        <v>3991</v>
      </c>
      <c r="B1582" t="s">
        <v>3992</v>
      </c>
      <c r="C1582">
        <v>15</v>
      </c>
      <c r="D1582" s="260">
        <v>46254</v>
      </c>
      <c r="E1582" s="260">
        <v>46274</v>
      </c>
      <c r="F1582">
        <v>7</v>
      </c>
      <c r="G1582" t="s">
        <v>866</v>
      </c>
    </row>
    <row r="1583" spans="1:7">
      <c r="A1583" t="s">
        <v>3993</v>
      </c>
      <c r="B1583" t="s">
        <v>3994</v>
      </c>
      <c r="C1583">
        <v>10</v>
      </c>
      <c r="D1583" s="260">
        <v>46323</v>
      </c>
      <c r="E1583" s="260">
        <v>46336</v>
      </c>
      <c r="F1583">
        <v>0</v>
      </c>
      <c r="G1583" t="s">
        <v>866</v>
      </c>
    </row>
    <row r="1584" spans="1:7">
      <c r="A1584" t="s">
        <v>3995</v>
      </c>
      <c r="B1584" t="s">
        <v>3996</v>
      </c>
      <c r="C1584">
        <v>5</v>
      </c>
      <c r="D1584" s="260">
        <v>46351</v>
      </c>
      <c r="E1584" s="260">
        <v>46357</v>
      </c>
      <c r="F1584">
        <v>10</v>
      </c>
      <c r="G1584" t="s">
        <v>866</v>
      </c>
    </row>
    <row r="1585" spans="1:7">
      <c r="A1585" t="s">
        <v>3997</v>
      </c>
      <c r="B1585" t="s">
        <v>3998</v>
      </c>
      <c r="C1585">
        <v>15</v>
      </c>
      <c r="D1585" s="260">
        <v>46162</v>
      </c>
      <c r="E1585" s="260">
        <v>46184</v>
      </c>
      <c r="F1585">
        <v>7</v>
      </c>
      <c r="G1585" t="s">
        <v>866</v>
      </c>
    </row>
    <row r="1586" spans="1:7">
      <c r="A1586" t="s">
        <v>3999</v>
      </c>
      <c r="B1586" t="s">
        <v>4000</v>
      </c>
      <c r="C1586">
        <v>10</v>
      </c>
      <c r="D1586" s="260">
        <v>46265</v>
      </c>
      <c r="E1586" s="260">
        <v>46276</v>
      </c>
      <c r="F1586">
        <v>0</v>
      </c>
      <c r="G1586" t="s">
        <v>866</v>
      </c>
    </row>
    <row r="1587" spans="1:7">
      <c r="A1587" t="s">
        <v>4001</v>
      </c>
      <c r="B1587" t="s">
        <v>4002</v>
      </c>
      <c r="C1587">
        <v>5</v>
      </c>
      <c r="D1587" s="260">
        <v>46322</v>
      </c>
      <c r="E1587" s="260">
        <v>46328</v>
      </c>
      <c r="F1587">
        <v>11</v>
      </c>
      <c r="G1587" t="s">
        <v>866</v>
      </c>
    </row>
    <row r="1588" spans="1:7">
      <c r="A1588" t="s">
        <v>4003</v>
      </c>
      <c r="B1588" t="s">
        <v>4004</v>
      </c>
      <c r="C1588">
        <v>15</v>
      </c>
      <c r="D1588" s="260">
        <v>46185</v>
      </c>
      <c r="E1588" s="260">
        <v>46205</v>
      </c>
      <c r="F1588">
        <v>52</v>
      </c>
      <c r="G1588" t="s">
        <v>866</v>
      </c>
    </row>
    <row r="1589" spans="1:7">
      <c r="A1589" t="s">
        <v>4005</v>
      </c>
      <c r="B1589" t="s">
        <v>4006</v>
      </c>
      <c r="C1589">
        <v>10</v>
      </c>
      <c r="D1589" s="260">
        <v>46279</v>
      </c>
      <c r="E1589" s="260">
        <v>46290</v>
      </c>
      <c r="F1589">
        <v>30</v>
      </c>
      <c r="G1589" t="s">
        <v>866</v>
      </c>
    </row>
    <row r="1590" spans="1:7">
      <c r="A1590" t="s">
        <v>4007</v>
      </c>
      <c r="B1590" t="s">
        <v>4008</v>
      </c>
      <c r="C1590">
        <v>5</v>
      </c>
      <c r="D1590" s="260">
        <v>46329</v>
      </c>
      <c r="E1590" s="260">
        <v>46335</v>
      </c>
      <c r="F1590">
        <v>26</v>
      </c>
      <c r="G1590" t="s">
        <v>866</v>
      </c>
    </row>
    <row r="1591" spans="1:7">
      <c r="A1591" t="s">
        <v>4009</v>
      </c>
      <c r="B1591" t="s">
        <v>4010</v>
      </c>
      <c r="C1591">
        <v>15</v>
      </c>
      <c r="D1591" s="260">
        <v>46206</v>
      </c>
      <c r="E1591" s="260">
        <v>46226</v>
      </c>
      <c r="F1591">
        <v>62</v>
      </c>
      <c r="G1591" t="s">
        <v>866</v>
      </c>
    </row>
    <row r="1592" spans="1:7">
      <c r="A1592" t="s">
        <v>4011</v>
      </c>
      <c r="B1592" t="s">
        <v>4012</v>
      </c>
      <c r="C1592">
        <v>10</v>
      </c>
      <c r="D1592" s="260">
        <v>46293</v>
      </c>
      <c r="E1592" s="260">
        <v>46304</v>
      </c>
      <c r="F1592">
        <v>30</v>
      </c>
      <c r="G1592" t="s">
        <v>866</v>
      </c>
    </row>
    <row r="1593" spans="1:7">
      <c r="A1593" t="s">
        <v>4013</v>
      </c>
      <c r="B1593" t="s">
        <v>4014</v>
      </c>
      <c r="C1593">
        <v>5</v>
      </c>
      <c r="D1593" s="260">
        <v>46336</v>
      </c>
      <c r="E1593" s="260">
        <v>46342</v>
      </c>
      <c r="F1593">
        <v>26</v>
      </c>
      <c r="G1593" t="s">
        <v>866</v>
      </c>
    </row>
    <row r="1594" spans="1:7">
      <c r="A1594" t="s">
        <v>4015</v>
      </c>
      <c r="B1594" t="s">
        <v>4016</v>
      </c>
      <c r="C1594">
        <v>15</v>
      </c>
      <c r="D1594" s="260">
        <v>46185</v>
      </c>
      <c r="E1594" s="260">
        <v>46205</v>
      </c>
      <c r="F1594">
        <v>37</v>
      </c>
      <c r="G1594" t="s">
        <v>866</v>
      </c>
    </row>
    <row r="1595" spans="1:7">
      <c r="A1595" t="s">
        <v>4017</v>
      </c>
      <c r="B1595" t="s">
        <v>4018</v>
      </c>
      <c r="C1595">
        <v>10</v>
      </c>
      <c r="D1595" s="260">
        <v>46279</v>
      </c>
      <c r="E1595" s="260">
        <v>46290</v>
      </c>
      <c r="F1595">
        <v>30</v>
      </c>
      <c r="G1595" t="s">
        <v>866</v>
      </c>
    </row>
    <row r="1596" spans="1:7">
      <c r="A1596" t="s">
        <v>4019</v>
      </c>
      <c r="B1596" t="s">
        <v>4020</v>
      </c>
      <c r="C1596">
        <v>5</v>
      </c>
      <c r="D1596" s="260">
        <v>46329</v>
      </c>
      <c r="E1596" s="260">
        <v>46335</v>
      </c>
      <c r="F1596">
        <v>16</v>
      </c>
      <c r="G1596" t="s">
        <v>866</v>
      </c>
    </row>
    <row r="1597" spans="1:7">
      <c r="A1597" t="s">
        <v>4021</v>
      </c>
      <c r="B1597" t="s">
        <v>4022</v>
      </c>
      <c r="C1597">
        <v>15</v>
      </c>
      <c r="D1597" s="260">
        <v>46185</v>
      </c>
      <c r="E1597" s="260">
        <v>46205</v>
      </c>
      <c r="F1597">
        <v>47</v>
      </c>
      <c r="G1597" t="s">
        <v>866</v>
      </c>
    </row>
    <row r="1598" spans="1:7">
      <c r="A1598" t="s">
        <v>4023</v>
      </c>
      <c r="B1598" t="s">
        <v>4024</v>
      </c>
      <c r="C1598">
        <v>10</v>
      </c>
      <c r="D1598" s="260">
        <v>46220</v>
      </c>
      <c r="E1598" s="260">
        <v>46238</v>
      </c>
      <c r="F1598">
        <v>62</v>
      </c>
      <c r="G1598" t="s">
        <v>866</v>
      </c>
    </row>
    <row r="1599" spans="1:7">
      <c r="A1599" t="s">
        <v>4025</v>
      </c>
      <c r="B1599" t="s">
        <v>4026</v>
      </c>
      <c r="C1599">
        <v>5</v>
      </c>
      <c r="D1599" s="260">
        <v>46254</v>
      </c>
      <c r="E1599" s="260">
        <v>46260</v>
      </c>
      <c r="F1599">
        <v>62</v>
      </c>
      <c r="G1599" t="s">
        <v>866</v>
      </c>
    </row>
    <row r="1600" spans="1:7">
      <c r="A1600" t="s">
        <v>4027</v>
      </c>
      <c r="B1600" t="s">
        <v>4028</v>
      </c>
      <c r="C1600">
        <v>15</v>
      </c>
      <c r="D1600" s="260">
        <v>46272</v>
      </c>
      <c r="E1600" s="260">
        <v>46290</v>
      </c>
      <c r="F1600">
        <v>20</v>
      </c>
      <c r="G1600" t="s">
        <v>866</v>
      </c>
    </row>
    <row r="1601" spans="1:7">
      <c r="A1601" t="s">
        <v>4029</v>
      </c>
      <c r="B1601" t="s">
        <v>4030</v>
      </c>
      <c r="C1601">
        <v>10</v>
      </c>
      <c r="D1601" s="260">
        <v>46307</v>
      </c>
      <c r="E1601" s="260">
        <v>46322</v>
      </c>
      <c r="F1601">
        <v>20</v>
      </c>
      <c r="G1601" t="s">
        <v>866</v>
      </c>
    </row>
    <row r="1602" spans="1:7">
      <c r="A1602" t="s">
        <v>4031</v>
      </c>
      <c r="B1602" t="s">
        <v>4032</v>
      </c>
      <c r="C1602">
        <v>5</v>
      </c>
      <c r="D1602" s="260">
        <v>46345</v>
      </c>
      <c r="E1602" s="260">
        <v>46351</v>
      </c>
      <c r="F1602">
        <v>19</v>
      </c>
      <c r="G1602" t="s">
        <v>866</v>
      </c>
    </row>
    <row r="1603" spans="1:7">
      <c r="A1603" t="s">
        <v>4033</v>
      </c>
      <c r="B1603" t="s">
        <v>4034</v>
      </c>
      <c r="C1603">
        <v>15</v>
      </c>
      <c r="D1603" s="260">
        <v>46213</v>
      </c>
      <c r="E1603" s="260">
        <v>46238</v>
      </c>
      <c r="F1603">
        <v>32</v>
      </c>
      <c r="G1603" t="s">
        <v>866</v>
      </c>
    </row>
    <row r="1604" spans="1:7">
      <c r="A1604" t="s">
        <v>4035</v>
      </c>
      <c r="B1604" t="s">
        <v>4036</v>
      </c>
      <c r="C1604">
        <v>10</v>
      </c>
      <c r="D1604" s="260">
        <v>46275</v>
      </c>
      <c r="E1604" s="260">
        <v>46288</v>
      </c>
      <c r="F1604">
        <v>62</v>
      </c>
      <c r="G1604" t="s">
        <v>866</v>
      </c>
    </row>
    <row r="1605" spans="1:7">
      <c r="A1605" t="s">
        <v>4037</v>
      </c>
      <c r="B1605" t="s">
        <v>4038</v>
      </c>
      <c r="C1605">
        <v>15</v>
      </c>
      <c r="D1605" s="260">
        <v>46275</v>
      </c>
      <c r="E1605" s="260">
        <v>46295</v>
      </c>
      <c r="F1605">
        <v>7</v>
      </c>
      <c r="G1605" t="s">
        <v>866</v>
      </c>
    </row>
    <row r="1606" spans="1:7">
      <c r="A1606" t="s">
        <v>4039</v>
      </c>
      <c r="B1606" t="s">
        <v>4040</v>
      </c>
      <c r="C1606">
        <v>10</v>
      </c>
      <c r="D1606" s="260">
        <v>46337</v>
      </c>
      <c r="E1606" s="260">
        <v>46350</v>
      </c>
      <c r="F1606">
        <v>0</v>
      </c>
      <c r="G1606" t="s">
        <v>866</v>
      </c>
    </row>
    <row r="1607" spans="1:7">
      <c r="A1607" t="s">
        <v>4041</v>
      </c>
      <c r="B1607" t="s">
        <v>4042</v>
      </c>
      <c r="C1607">
        <v>5</v>
      </c>
      <c r="D1607" s="260">
        <v>46367</v>
      </c>
      <c r="E1607" s="260">
        <v>46373</v>
      </c>
      <c r="F1607">
        <v>5</v>
      </c>
      <c r="G1607" t="s">
        <v>866</v>
      </c>
    </row>
    <row r="1608" spans="1:7">
      <c r="A1608" t="s">
        <v>4043</v>
      </c>
      <c r="B1608" t="s">
        <v>4044</v>
      </c>
      <c r="C1608">
        <v>15</v>
      </c>
      <c r="D1608" s="260">
        <v>46227</v>
      </c>
      <c r="E1608" s="260">
        <v>46253</v>
      </c>
      <c r="F1608">
        <v>42</v>
      </c>
      <c r="G1608" t="s">
        <v>866</v>
      </c>
    </row>
    <row r="1609" spans="1:7">
      <c r="A1609" t="s">
        <v>4045</v>
      </c>
      <c r="B1609" t="s">
        <v>4046</v>
      </c>
      <c r="C1609">
        <v>10</v>
      </c>
      <c r="D1609" s="260">
        <v>46268</v>
      </c>
      <c r="E1609" s="260">
        <v>46281</v>
      </c>
      <c r="F1609">
        <v>67</v>
      </c>
      <c r="G1609" t="s">
        <v>866</v>
      </c>
    </row>
    <row r="1610" spans="1:7">
      <c r="A1610" t="s">
        <v>4047</v>
      </c>
      <c r="B1610" t="s">
        <v>4048</v>
      </c>
      <c r="C1610">
        <v>15</v>
      </c>
      <c r="D1610" s="260">
        <v>46227</v>
      </c>
      <c r="E1610" s="260">
        <v>46253</v>
      </c>
      <c r="F1610">
        <v>42</v>
      </c>
      <c r="G1610" t="s">
        <v>866</v>
      </c>
    </row>
    <row r="1611" spans="1:7">
      <c r="A1611" t="s">
        <v>4049</v>
      </c>
      <c r="B1611" t="s">
        <v>4050</v>
      </c>
      <c r="C1611">
        <v>10</v>
      </c>
      <c r="D1611" s="260">
        <v>46268</v>
      </c>
      <c r="E1611" s="260">
        <v>46281</v>
      </c>
      <c r="F1611">
        <v>67</v>
      </c>
      <c r="G1611" t="s">
        <v>866</v>
      </c>
    </row>
    <row r="1612" spans="1:7">
      <c r="A1612" t="s">
        <v>4051</v>
      </c>
      <c r="B1612" t="s">
        <v>4052</v>
      </c>
      <c r="C1612">
        <v>15</v>
      </c>
      <c r="D1612" s="260">
        <v>46296</v>
      </c>
      <c r="E1612" s="260">
        <v>46317</v>
      </c>
      <c r="F1612">
        <v>22</v>
      </c>
      <c r="G1612" t="s">
        <v>866</v>
      </c>
    </row>
    <row r="1613" spans="1:7">
      <c r="A1613" t="s">
        <v>4053</v>
      </c>
      <c r="B1613" t="s">
        <v>4054</v>
      </c>
      <c r="C1613">
        <v>10</v>
      </c>
      <c r="D1613" s="260">
        <v>46351</v>
      </c>
      <c r="E1613" s="260">
        <v>46365</v>
      </c>
      <c r="F1613">
        <v>0</v>
      </c>
      <c r="G1613" t="s">
        <v>866</v>
      </c>
    </row>
    <row r="1614" spans="1:7">
      <c r="A1614" t="s">
        <v>4055</v>
      </c>
      <c r="B1614" t="s">
        <v>4056</v>
      </c>
      <c r="C1614">
        <v>5</v>
      </c>
      <c r="D1614" s="260">
        <v>46384</v>
      </c>
      <c r="E1614" s="260">
        <v>46392</v>
      </c>
      <c r="F1614">
        <v>0</v>
      </c>
      <c r="G1614" t="s">
        <v>866</v>
      </c>
    </row>
    <row r="1615" spans="1:7">
      <c r="A1615" t="s">
        <v>4057</v>
      </c>
      <c r="B1615" t="s">
        <v>4058</v>
      </c>
      <c r="C1615">
        <v>15</v>
      </c>
      <c r="D1615" s="260">
        <v>46140</v>
      </c>
      <c r="E1615" s="260">
        <v>46161</v>
      </c>
      <c r="F1615">
        <v>107</v>
      </c>
      <c r="G1615" t="s">
        <v>866</v>
      </c>
    </row>
    <row r="1616" spans="1:7">
      <c r="A1616" t="s">
        <v>4059</v>
      </c>
      <c r="B1616" t="s">
        <v>4060</v>
      </c>
      <c r="C1616">
        <v>10</v>
      </c>
      <c r="D1616" s="260">
        <v>46178</v>
      </c>
      <c r="E1616" s="260">
        <v>46191</v>
      </c>
      <c r="F1616">
        <v>107</v>
      </c>
      <c r="G1616" t="s">
        <v>866</v>
      </c>
    </row>
    <row r="1617" spans="1:7">
      <c r="A1617" t="s">
        <v>4061</v>
      </c>
      <c r="B1617" t="s">
        <v>4062</v>
      </c>
      <c r="C1617">
        <v>10</v>
      </c>
      <c r="D1617" s="260">
        <v>46206</v>
      </c>
      <c r="E1617" s="260">
        <v>46219</v>
      </c>
      <c r="F1617">
        <v>107</v>
      </c>
      <c r="G1617" t="s">
        <v>866</v>
      </c>
    </row>
    <row r="1618" spans="1:7">
      <c r="A1618" t="s">
        <v>4063</v>
      </c>
      <c r="B1618" t="s">
        <v>4064</v>
      </c>
      <c r="C1618">
        <v>15</v>
      </c>
      <c r="D1618" s="260">
        <v>46140</v>
      </c>
      <c r="E1618" s="260">
        <v>46161</v>
      </c>
      <c r="F1618">
        <v>67</v>
      </c>
      <c r="G1618" t="s">
        <v>866</v>
      </c>
    </row>
    <row r="1619" spans="1:7">
      <c r="A1619" t="s">
        <v>4065</v>
      </c>
      <c r="B1619" t="s">
        <v>4066</v>
      </c>
      <c r="C1619">
        <v>10</v>
      </c>
      <c r="D1619" s="260">
        <v>46178</v>
      </c>
      <c r="E1619" s="260">
        <v>46191</v>
      </c>
      <c r="F1619">
        <v>92</v>
      </c>
      <c r="G1619" t="s">
        <v>866</v>
      </c>
    </row>
    <row r="1620" spans="1:7">
      <c r="A1620" t="s">
        <v>4067</v>
      </c>
      <c r="B1620" t="s">
        <v>4068</v>
      </c>
      <c r="C1620">
        <v>10</v>
      </c>
      <c r="D1620" s="260">
        <v>46206</v>
      </c>
      <c r="E1620" s="260">
        <v>46219</v>
      </c>
      <c r="F1620">
        <v>92</v>
      </c>
      <c r="G1620" t="s">
        <v>866</v>
      </c>
    </row>
    <row r="1621" spans="1:7">
      <c r="A1621" t="s">
        <v>4069</v>
      </c>
      <c r="B1621" t="s">
        <v>4070</v>
      </c>
      <c r="C1621">
        <v>15</v>
      </c>
      <c r="D1621" s="260">
        <v>46162</v>
      </c>
      <c r="E1621" s="260">
        <v>46184</v>
      </c>
      <c r="F1621">
        <v>102</v>
      </c>
      <c r="G1621" t="s">
        <v>866</v>
      </c>
    </row>
    <row r="1622" spans="1:7">
      <c r="A1622" t="s">
        <v>4071</v>
      </c>
      <c r="B1622" t="s">
        <v>4072</v>
      </c>
      <c r="C1622">
        <v>10</v>
      </c>
      <c r="D1622" s="260">
        <v>46199</v>
      </c>
      <c r="E1622" s="260">
        <v>46212</v>
      </c>
      <c r="F1622">
        <v>102</v>
      </c>
      <c r="G1622" t="s">
        <v>866</v>
      </c>
    </row>
    <row r="1623" spans="1:7">
      <c r="A1623" t="s">
        <v>4073</v>
      </c>
      <c r="B1623" t="s">
        <v>4074</v>
      </c>
      <c r="C1623">
        <v>5</v>
      </c>
      <c r="D1623" s="260">
        <v>46227</v>
      </c>
      <c r="E1623" s="260">
        <v>46238</v>
      </c>
      <c r="F1623">
        <v>102</v>
      </c>
      <c r="G1623" t="s">
        <v>866</v>
      </c>
    </row>
    <row r="1624" spans="1:7">
      <c r="A1624" t="s">
        <v>4075</v>
      </c>
      <c r="B1624" t="s">
        <v>4076</v>
      </c>
      <c r="C1624">
        <v>15</v>
      </c>
      <c r="D1624" s="260">
        <v>46162</v>
      </c>
      <c r="E1624" s="260">
        <v>46184</v>
      </c>
      <c r="F1624">
        <v>102</v>
      </c>
      <c r="G1624" t="s">
        <v>866</v>
      </c>
    </row>
    <row r="1625" spans="1:7">
      <c r="A1625" t="s">
        <v>4077</v>
      </c>
      <c r="B1625" t="s">
        <v>4078</v>
      </c>
      <c r="C1625">
        <v>10</v>
      </c>
      <c r="D1625" s="260">
        <v>46199</v>
      </c>
      <c r="E1625" s="260">
        <v>46212</v>
      </c>
      <c r="F1625">
        <v>102</v>
      </c>
      <c r="G1625" t="s">
        <v>866</v>
      </c>
    </row>
    <row r="1626" spans="1:7">
      <c r="A1626" t="s">
        <v>4079</v>
      </c>
      <c r="B1626" t="s">
        <v>4080</v>
      </c>
      <c r="C1626">
        <v>5</v>
      </c>
      <c r="D1626" s="260">
        <v>46227</v>
      </c>
      <c r="E1626" s="260">
        <v>46238</v>
      </c>
      <c r="F1626">
        <v>102</v>
      </c>
      <c r="G1626" t="s">
        <v>866</v>
      </c>
    </row>
    <row r="1627" spans="1:7">
      <c r="A1627" t="s">
        <v>4081</v>
      </c>
      <c r="B1627" t="s">
        <v>4082</v>
      </c>
      <c r="C1627">
        <v>25</v>
      </c>
      <c r="D1627" s="260">
        <v>46206</v>
      </c>
      <c r="E1627" s="260">
        <v>46245</v>
      </c>
      <c r="F1627">
        <v>57</v>
      </c>
      <c r="G1627" t="s">
        <v>866</v>
      </c>
    </row>
    <row r="1628" spans="1:7">
      <c r="A1628" t="s">
        <v>4083</v>
      </c>
      <c r="B1628" t="s">
        <v>4084</v>
      </c>
      <c r="C1628">
        <v>20</v>
      </c>
      <c r="D1628" s="260">
        <v>46289</v>
      </c>
      <c r="E1628" s="260">
        <v>46317</v>
      </c>
      <c r="F1628">
        <v>42</v>
      </c>
      <c r="G1628" t="s">
        <v>866</v>
      </c>
    </row>
    <row r="1629" spans="1:7">
      <c r="A1629" t="s">
        <v>4085</v>
      </c>
      <c r="B1629" t="s">
        <v>4086</v>
      </c>
      <c r="C1629">
        <v>15</v>
      </c>
      <c r="D1629" s="260">
        <v>46185</v>
      </c>
      <c r="E1629" s="260">
        <v>46205</v>
      </c>
      <c r="F1629">
        <v>52</v>
      </c>
      <c r="G1629" t="s">
        <v>866</v>
      </c>
    </row>
    <row r="1630" spans="1:7">
      <c r="A1630" t="s">
        <v>4087</v>
      </c>
      <c r="B1630" t="s">
        <v>4088</v>
      </c>
      <c r="C1630">
        <v>15</v>
      </c>
      <c r="D1630" s="260">
        <v>46272</v>
      </c>
      <c r="E1630" s="260">
        <v>46290</v>
      </c>
      <c r="F1630">
        <v>65</v>
      </c>
      <c r="G1630" t="s">
        <v>866</v>
      </c>
    </row>
    <row r="1631" spans="1:7">
      <c r="A1631" t="s">
        <v>4089</v>
      </c>
      <c r="B1631" t="s">
        <v>4090</v>
      </c>
      <c r="C1631">
        <v>5</v>
      </c>
      <c r="D1631" s="260">
        <v>46329</v>
      </c>
      <c r="E1631" s="260">
        <v>46335</v>
      </c>
      <c r="F1631">
        <v>31</v>
      </c>
      <c r="G1631" t="s">
        <v>866</v>
      </c>
    </row>
    <row r="1632" spans="1:7">
      <c r="A1632" t="s">
        <v>4091</v>
      </c>
      <c r="B1632" t="s">
        <v>4092</v>
      </c>
      <c r="C1632">
        <v>15</v>
      </c>
      <c r="D1632" s="260">
        <v>46206</v>
      </c>
      <c r="E1632" s="260">
        <v>46226</v>
      </c>
      <c r="F1632">
        <v>32</v>
      </c>
      <c r="G1632" t="s">
        <v>866</v>
      </c>
    </row>
    <row r="1633" spans="1:7">
      <c r="A1633" t="s">
        <v>4093</v>
      </c>
      <c r="B1633" t="s">
        <v>4094</v>
      </c>
      <c r="C1633">
        <v>10</v>
      </c>
      <c r="D1633" s="260">
        <v>46293</v>
      </c>
      <c r="E1633" s="260">
        <v>46304</v>
      </c>
      <c r="F1633">
        <v>30</v>
      </c>
      <c r="G1633" t="s">
        <v>866</v>
      </c>
    </row>
    <row r="1634" spans="1:7">
      <c r="A1634" t="s">
        <v>4095</v>
      </c>
      <c r="B1634" t="s">
        <v>4096</v>
      </c>
      <c r="C1634">
        <v>5</v>
      </c>
      <c r="D1634" s="260">
        <v>46336</v>
      </c>
      <c r="E1634" s="260">
        <v>46342</v>
      </c>
      <c r="F1634">
        <v>26</v>
      </c>
      <c r="G1634" t="s">
        <v>866</v>
      </c>
    </row>
    <row r="1635" spans="1:7">
      <c r="A1635" t="s">
        <v>4097</v>
      </c>
      <c r="B1635" t="s">
        <v>4098</v>
      </c>
      <c r="C1635">
        <v>15</v>
      </c>
      <c r="D1635" s="260">
        <v>46227</v>
      </c>
      <c r="E1635" s="260">
        <v>46253</v>
      </c>
      <c r="F1635">
        <v>17</v>
      </c>
      <c r="G1635" t="s">
        <v>866</v>
      </c>
    </row>
    <row r="1636" spans="1:7">
      <c r="A1636" t="s">
        <v>4099</v>
      </c>
      <c r="B1636" t="s">
        <v>4100</v>
      </c>
      <c r="C1636">
        <v>10</v>
      </c>
      <c r="D1636" s="260">
        <v>46307</v>
      </c>
      <c r="E1636" s="260">
        <v>46322</v>
      </c>
      <c r="F1636">
        <v>20</v>
      </c>
      <c r="G1636" t="s">
        <v>866</v>
      </c>
    </row>
    <row r="1637" spans="1:7">
      <c r="A1637" t="s">
        <v>4101</v>
      </c>
      <c r="B1637" t="s">
        <v>4102</v>
      </c>
      <c r="C1637">
        <v>5</v>
      </c>
      <c r="D1637" s="260">
        <v>46343</v>
      </c>
      <c r="E1637" s="260">
        <v>46349</v>
      </c>
      <c r="F1637">
        <v>21</v>
      </c>
      <c r="G1637" t="s">
        <v>866</v>
      </c>
    </row>
    <row r="1638" spans="1:7">
      <c r="A1638" t="s">
        <v>4103</v>
      </c>
      <c r="B1638" t="s">
        <v>4104</v>
      </c>
      <c r="C1638">
        <v>15</v>
      </c>
      <c r="D1638" s="260">
        <v>46254</v>
      </c>
      <c r="E1638" s="260">
        <v>46274</v>
      </c>
      <c r="F1638">
        <v>7</v>
      </c>
      <c r="G1638" t="s">
        <v>866</v>
      </c>
    </row>
    <row r="1639" spans="1:7">
      <c r="A1639" t="s">
        <v>4105</v>
      </c>
      <c r="B1639" t="s">
        <v>4106</v>
      </c>
      <c r="C1639">
        <v>10</v>
      </c>
      <c r="D1639" s="260">
        <v>46323</v>
      </c>
      <c r="E1639" s="260">
        <v>46336</v>
      </c>
      <c r="F1639">
        <v>10</v>
      </c>
      <c r="G1639" t="s">
        <v>866</v>
      </c>
    </row>
    <row r="1640" spans="1:7">
      <c r="A1640" t="s">
        <v>4107</v>
      </c>
      <c r="B1640" t="s">
        <v>4108</v>
      </c>
      <c r="C1640">
        <v>5</v>
      </c>
      <c r="D1640" s="260">
        <v>46351</v>
      </c>
      <c r="E1640" s="260">
        <v>46357</v>
      </c>
      <c r="F1640">
        <v>15</v>
      </c>
      <c r="G1640" t="s">
        <v>866</v>
      </c>
    </row>
    <row r="1641" spans="1:7">
      <c r="A1641" t="s">
        <v>4109</v>
      </c>
      <c r="B1641" t="s">
        <v>4110</v>
      </c>
      <c r="C1641">
        <v>15</v>
      </c>
      <c r="D1641" s="260">
        <v>46162</v>
      </c>
      <c r="E1641" s="260">
        <v>46184</v>
      </c>
      <c r="F1641">
        <v>47</v>
      </c>
      <c r="G1641" t="s">
        <v>866</v>
      </c>
    </row>
    <row r="1642" spans="1:7">
      <c r="A1642" t="s">
        <v>4111</v>
      </c>
      <c r="B1642" t="s">
        <v>4112</v>
      </c>
      <c r="C1642">
        <v>10</v>
      </c>
      <c r="D1642" s="260">
        <v>46265</v>
      </c>
      <c r="E1642" s="260">
        <v>46276</v>
      </c>
      <c r="F1642">
        <v>50</v>
      </c>
      <c r="G1642" t="s">
        <v>866</v>
      </c>
    </row>
    <row r="1643" spans="1:7">
      <c r="A1643" t="s">
        <v>4113</v>
      </c>
      <c r="B1643" t="s">
        <v>4114</v>
      </c>
      <c r="C1643">
        <v>5</v>
      </c>
      <c r="D1643" s="260">
        <v>46322</v>
      </c>
      <c r="E1643" s="260">
        <v>46328</v>
      </c>
      <c r="F1643">
        <v>36</v>
      </c>
      <c r="G1643" t="s">
        <v>866</v>
      </c>
    </row>
    <row r="1644" spans="1:7">
      <c r="A1644" t="s">
        <v>4115</v>
      </c>
      <c r="B1644" t="s">
        <v>4116</v>
      </c>
      <c r="C1644">
        <v>15</v>
      </c>
      <c r="D1644" s="260">
        <v>46185</v>
      </c>
      <c r="E1644" s="260">
        <v>46205</v>
      </c>
      <c r="F1644">
        <v>52</v>
      </c>
      <c r="G1644" t="s">
        <v>866</v>
      </c>
    </row>
    <row r="1645" spans="1:7">
      <c r="A1645" t="s">
        <v>4117</v>
      </c>
      <c r="B1645" t="s">
        <v>4118</v>
      </c>
      <c r="C1645">
        <v>10</v>
      </c>
      <c r="D1645" s="260">
        <v>46279</v>
      </c>
      <c r="E1645" s="260">
        <v>46290</v>
      </c>
      <c r="F1645">
        <v>40</v>
      </c>
      <c r="G1645" t="s">
        <v>866</v>
      </c>
    </row>
    <row r="1646" spans="1:7">
      <c r="A1646" t="s">
        <v>4119</v>
      </c>
      <c r="B1646" t="s">
        <v>4120</v>
      </c>
      <c r="C1646">
        <v>5</v>
      </c>
      <c r="D1646" s="260">
        <v>46329</v>
      </c>
      <c r="E1646" s="260">
        <v>46335</v>
      </c>
      <c r="F1646">
        <v>31</v>
      </c>
      <c r="G1646" t="s">
        <v>866</v>
      </c>
    </row>
    <row r="1647" spans="1:7">
      <c r="A1647" t="s">
        <v>4121</v>
      </c>
      <c r="B1647" t="s">
        <v>4122</v>
      </c>
      <c r="C1647">
        <v>15</v>
      </c>
      <c r="D1647" s="260">
        <v>46206</v>
      </c>
      <c r="E1647" s="260">
        <v>46226</v>
      </c>
      <c r="F1647">
        <v>62</v>
      </c>
      <c r="G1647" t="s">
        <v>866</v>
      </c>
    </row>
    <row r="1648" spans="1:7">
      <c r="A1648" t="s">
        <v>4123</v>
      </c>
      <c r="B1648" t="s">
        <v>4124</v>
      </c>
      <c r="C1648">
        <v>10</v>
      </c>
      <c r="D1648" s="260">
        <v>46293</v>
      </c>
      <c r="E1648" s="260">
        <v>46304</v>
      </c>
      <c r="F1648">
        <v>30</v>
      </c>
      <c r="G1648" t="s">
        <v>866</v>
      </c>
    </row>
    <row r="1649" spans="1:7">
      <c r="A1649" t="s">
        <v>4125</v>
      </c>
      <c r="B1649" t="s">
        <v>4126</v>
      </c>
      <c r="C1649">
        <v>5</v>
      </c>
      <c r="D1649" s="260">
        <v>46336</v>
      </c>
      <c r="E1649" s="260">
        <v>46342</v>
      </c>
      <c r="F1649">
        <v>26</v>
      </c>
      <c r="G1649" t="s">
        <v>866</v>
      </c>
    </row>
    <row r="1650" spans="1:7">
      <c r="A1650" t="s">
        <v>4127</v>
      </c>
      <c r="B1650" t="s">
        <v>4128</v>
      </c>
      <c r="C1650">
        <v>15</v>
      </c>
      <c r="D1650" s="260">
        <v>46185</v>
      </c>
      <c r="E1650" s="260">
        <v>46205</v>
      </c>
      <c r="F1650">
        <v>37</v>
      </c>
      <c r="G1650" t="s">
        <v>866</v>
      </c>
    </row>
    <row r="1651" spans="1:7">
      <c r="A1651" t="s">
        <v>4129</v>
      </c>
      <c r="B1651" t="s">
        <v>4130</v>
      </c>
      <c r="C1651">
        <v>10</v>
      </c>
      <c r="D1651" s="260">
        <v>46279</v>
      </c>
      <c r="E1651" s="260">
        <v>46290</v>
      </c>
      <c r="F1651">
        <v>30</v>
      </c>
      <c r="G1651" t="s">
        <v>866</v>
      </c>
    </row>
    <row r="1652" spans="1:7">
      <c r="A1652" t="s">
        <v>4131</v>
      </c>
      <c r="B1652" t="s">
        <v>4132</v>
      </c>
      <c r="C1652">
        <v>5</v>
      </c>
      <c r="D1652" s="260">
        <v>46329</v>
      </c>
      <c r="E1652" s="260">
        <v>46335</v>
      </c>
      <c r="F1652">
        <v>16</v>
      </c>
      <c r="G1652" t="s">
        <v>866</v>
      </c>
    </row>
    <row r="1653" spans="1:7">
      <c r="A1653" t="s">
        <v>4133</v>
      </c>
      <c r="B1653" t="s">
        <v>4134</v>
      </c>
      <c r="C1653">
        <v>15</v>
      </c>
      <c r="D1653" s="260">
        <v>46185</v>
      </c>
      <c r="E1653" s="260">
        <v>46205</v>
      </c>
      <c r="F1653">
        <v>77</v>
      </c>
      <c r="G1653" t="s">
        <v>866</v>
      </c>
    </row>
    <row r="1654" spans="1:7">
      <c r="A1654" t="s">
        <v>4135</v>
      </c>
      <c r="B1654" t="s">
        <v>4136</v>
      </c>
      <c r="C1654">
        <v>10</v>
      </c>
      <c r="D1654" s="260">
        <v>46220</v>
      </c>
      <c r="E1654" s="260">
        <v>46238</v>
      </c>
      <c r="F1654">
        <v>77</v>
      </c>
      <c r="G1654" t="s">
        <v>866</v>
      </c>
    </row>
    <row r="1655" spans="1:7">
      <c r="A1655" t="s">
        <v>4137</v>
      </c>
      <c r="B1655" t="s">
        <v>4138</v>
      </c>
      <c r="C1655">
        <v>10</v>
      </c>
      <c r="D1655" s="260">
        <v>46254</v>
      </c>
      <c r="E1655" s="260">
        <v>46267</v>
      </c>
      <c r="F1655">
        <v>77</v>
      </c>
      <c r="G1655" t="s">
        <v>866</v>
      </c>
    </row>
    <row r="1656" spans="1:7">
      <c r="A1656" t="s">
        <v>4139</v>
      </c>
      <c r="B1656" t="s">
        <v>4140</v>
      </c>
      <c r="C1656">
        <v>15</v>
      </c>
      <c r="D1656" s="260">
        <v>46272</v>
      </c>
      <c r="E1656" s="260">
        <v>46290</v>
      </c>
      <c r="F1656">
        <v>20</v>
      </c>
      <c r="G1656" t="s">
        <v>866</v>
      </c>
    </row>
    <row r="1657" spans="1:7">
      <c r="A1657" t="s">
        <v>4141</v>
      </c>
      <c r="B1657" t="s">
        <v>4142</v>
      </c>
      <c r="C1657">
        <v>10</v>
      </c>
      <c r="D1657" s="260">
        <v>46307</v>
      </c>
      <c r="E1657" s="260">
        <v>46322</v>
      </c>
      <c r="F1657">
        <v>20</v>
      </c>
      <c r="G1657" t="s">
        <v>866</v>
      </c>
    </row>
    <row r="1658" spans="1:7">
      <c r="A1658" t="s">
        <v>4143</v>
      </c>
      <c r="B1658" t="s">
        <v>4144</v>
      </c>
      <c r="C1658">
        <v>10</v>
      </c>
      <c r="D1658" s="260">
        <v>46338</v>
      </c>
      <c r="E1658" s="260">
        <v>46351</v>
      </c>
      <c r="F1658">
        <v>19</v>
      </c>
      <c r="G1658" t="s">
        <v>866</v>
      </c>
    </row>
    <row r="1659" spans="1:7">
      <c r="A1659" t="s">
        <v>4145</v>
      </c>
      <c r="B1659" t="s">
        <v>4146</v>
      </c>
      <c r="C1659">
        <v>15</v>
      </c>
      <c r="D1659" s="260">
        <v>46213</v>
      </c>
      <c r="E1659" s="260">
        <v>46238</v>
      </c>
      <c r="F1659">
        <v>32</v>
      </c>
      <c r="G1659" t="s">
        <v>866</v>
      </c>
    </row>
    <row r="1660" spans="1:7">
      <c r="A1660" t="s">
        <v>4147</v>
      </c>
      <c r="B1660" t="s">
        <v>4148</v>
      </c>
      <c r="C1660">
        <v>10</v>
      </c>
      <c r="D1660" s="260">
        <v>46275</v>
      </c>
      <c r="E1660" s="260">
        <v>46288</v>
      </c>
      <c r="F1660">
        <v>62</v>
      </c>
      <c r="G1660" t="s">
        <v>866</v>
      </c>
    </row>
    <row r="1661" spans="1:7">
      <c r="A1661" t="s">
        <v>4149</v>
      </c>
      <c r="B1661" t="s">
        <v>4150</v>
      </c>
      <c r="C1661">
        <v>15</v>
      </c>
      <c r="D1661" s="260">
        <v>46275</v>
      </c>
      <c r="E1661" s="260">
        <v>46295</v>
      </c>
      <c r="F1661">
        <v>7</v>
      </c>
      <c r="G1661" t="s">
        <v>866</v>
      </c>
    </row>
    <row r="1662" spans="1:7">
      <c r="A1662" t="s">
        <v>4151</v>
      </c>
      <c r="B1662" t="s">
        <v>4152</v>
      </c>
      <c r="C1662">
        <v>10</v>
      </c>
      <c r="D1662" s="260">
        <v>46337</v>
      </c>
      <c r="E1662" s="260">
        <v>46350</v>
      </c>
      <c r="F1662">
        <v>0</v>
      </c>
      <c r="G1662" t="s">
        <v>866</v>
      </c>
    </row>
    <row r="1663" spans="1:7">
      <c r="A1663" t="s">
        <v>4153</v>
      </c>
      <c r="B1663" t="s">
        <v>4154</v>
      </c>
      <c r="C1663">
        <v>10</v>
      </c>
      <c r="D1663" s="260">
        <v>46367</v>
      </c>
      <c r="E1663" s="260">
        <v>46380</v>
      </c>
      <c r="F1663">
        <v>0</v>
      </c>
      <c r="G1663" t="s">
        <v>866</v>
      </c>
    </row>
    <row r="1664" spans="1:7">
      <c r="A1664" t="s">
        <v>4155</v>
      </c>
      <c r="B1664" t="s">
        <v>4156</v>
      </c>
      <c r="C1664">
        <v>15</v>
      </c>
      <c r="D1664" s="260">
        <v>46275</v>
      </c>
      <c r="E1664" s="260">
        <v>46295</v>
      </c>
      <c r="F1664">
        <v>22</v>
      </c>
      <c r="G1664" t="s">
        <v>866</v>
      </c>
    </row>
    <row r="1665" spans="1:7">
      <c r="A1665" t="s">
        <v>4157</v>
      </c>
      <c r="B1665" t="s">
        <v>4158</v>
      </c>
      <c r="C1665">
        <v>10</v>
      </c>
      <c r="D1665" s="260">
        <v>46311</v>
      </c>
      <c r="E1665" s="260">
        <v>46325</v>
      </c>
      <c r="F1665">
        <v>37</v>
      </c>
      <c r="G1665" t="s">
        <v>866</v>
      </c>
    </row>
    <row r="1666" spans="1:7">
      <c r="A1666" t="s">
        <v>4159</v>
      </c>
      <c r="B1666" t="s">
        <v>4160</v>
      </c>
      <c r="C1666">
        <v>15</v>
      </c>
      <c r="D1666" s="260">
        <v>46275</v>
      </c>
      <c r="E1666" s="260">
        <v>46295</v>
      </c>
      <c r="F1666">
        <v>22</v>
      </c>
      <c r="G1666" t="s">
        <v>866</v>
      </c>
    </row>
    <row r="1667" spans="1:7">
      <c r="A1667" t="s">
        <v>4161</v>
      </c>
      <c r="B1667" t="s">
        <v>4162</v>
      </c>
      <c r="C1667">
        <v>10</v>
      </c>
      <c r="D1667" s="260">
        <v>46311</v>
      </c>
      <c r="E1667" s="260">
        <v>46325</v>
      </c>
      <c r="F1667">
        <v>37</v>
      </c>
      <c r="G1667" t="s">
        <v>866</v>
      </c>
    </row>
    <row r="1668" spans="1:7">
      <c r="A1668" t="s">
        <v>4163</v>
      </c>
      <c r="C1668">
        <v>148</v>
      </c>
      <c r="D1668" s="260">
        <v>46121</v>
      </c>
      <c r="E1668" s="260">
        <v>46344</v>
      </c>
      <c r="F1668">
        <v>24</v>
      </c>
      <c r="G1668" t="s">
        <v>866</v>
      </c>
    </row>
    <row r="1669" spans="1:7">
      <c r="A1669" t="s">
        <v>4164</v>
      </c>
      <c r="B1669" t="s">
        <v>4165</v>
      </c>
      <c r="C1669">
        <v>15</v>
      </c>
      <c r="D1669" s="260">
        <v>46121</v>
      </c>
      <c r="E1669" s="260">
        <v>46147</v>
      </c>
      <c r="F1669">
        <v>22</v>
      </c>
      <c r="G1669" t="s">
        <v>866</v>
      </c>
    </row>
    <row r="1670" spans="1:7">
      <c r="A1670" t="s">
        <v>4166</v>
      </c>
      <c r="B1670" t="s">
        <v>4167</v>
      </c>
      <c r="C1670">
        <v>10</v>
      </c>
      <c r="D1670" s="260">
        <v>46162</v>
      </c>
      <c r="E1670" s="260">
        <v>46177</v>
      </c>
      <c r="F1670">
        <v>72</v>
      </c>
      <c r="G1670" t="s">
        <v>866</v>
      </c>
    </row>
    <row r="1671" spans="1:7">
      <c r="A1671" t="s">
        <v>4168</v>
      </c>
      <c r="B1671" t="s">
        <v>4169</v>
      </c>
      <c r="C1671">
        <v>5</v>
      </c>
      <c r="D1671" s="260">
        <v>46192</v>
      </c>
      <c r="E1671" s="260">
        <v>46198</v>
      </c>
      <c r="F1671">
        <v>72</v>
      </c>
      <c r="G1671" t="s">
        <v>866</v>
      </c>
    </row>
    <row r="1672" spans="1:7">
      <c r="A1672" t="s">
        <v>4170</v>
      </c>
      <c r="B1672" t="s">
        <v>4171</v>
      </c>
      <c r="C1672">
        <v>15</v>
      </c>
      <c r="D1672" s="260">
        <v>46141</v>
      </c>
      <c r="E1672" s="260">
        <v>46162</v>
      </c>
      <c r="F1672">
        <v>0</v>
      </c>
      <c r="G1672" t="s">
        <v>866</v>
      </c>
    </row>
    <row r="1673" spans="1:7">
      <c r="A1673" t="s">
        <v>4172</v>
      </c>
      <c r="B1673" t="s">
        <v>4173</v>
      </c>
      <c r="C1673">
        <v>10</v>
      </c>
      <c r="D1673" s="260">
        <v>46181</v>
      </c>
      <c r="E1673" s="260">
        <v>46192</v>
      </c>
      <c r="F1673">
        <v>96</v>
      </c>
      <c r="G1673" t="s">
        <v>866</v>
      </c>
    </row>
    <row r="1674" spans="1:7">
      <c r="A1674" t="s">
        <v>4174</v>
      </c>
      <c r="B1674" t="s">
        <v>4175</v>
      </c>
      <c r="C1674">
        <v>5</v>
      </c>
      <c r="D1674" s="260">
        <v>46211</v>
      </c>
      <c r="E1674" s="260">
        <v>46217</v>
      </c>
      <c r="F1674">
        <v>104</v>
      </c>
      <c r="G1674" t="s">
        <v>866</v>
      </c>
    </row>
    <row r="1675" spans="1:7">
      <c r="A1675" t="s">
        <v>4176</v>
      </c>
      <c r="B1675" t="s">
        <v>4177</v>
      </c>
      <c r="C1675">
        <v>15</v>
      </c>
      <c r="D1675" s="260">
        <v>46220</v>
      </c>
      <c r="E1675" s="260">
        <v>46245</v>
      </c>
      <c r="F1675">
        <v>4</v>
      </c>
      <c r="G1675" t="s">
        <v>866</v>
      </c>
    </row>
    <row r="1676" spans="1:7">
      <c r="A1676" t="s">
        <v>4178</v>
      </c>
      <c r="B1676" t="s">
        <v>4179</v>
      </c>
      <c r="C1676">
        <v>10</v>
      </c>
      <c r="D1676" s="260">
        <v>46261</v>
      </c>
      <c r="E1676" s="260">
        <v>46274</v>
      </c>
      <c r="F1676">
        <v>42</v>
      </c>
      <c r="G1676" t="s">
        <v>866</v>
      </c>
    </row>
    <row r="1677" spans="1:7">
      <c r="A1677" t="s">
        <v>4180</v>
      </c>
      <c r="B1677" t="s">
        <v>4181</v>
      </c>
      <c r="C1677">
        <v>5</v>
      </c>
      <c r="D1677" s="260">
        <v>46316</v>
      </c>
      <c r="E1677" s="260">
        <v>46323</v>
      </c>
      <c r="F1677">
        <v>34</v>
      </c>
      <c r="G1677" t="s">
        <v>866</v>
      </c>
    </row>
    <row r="1678" spans="1:7">
      <c r="A1678" t="s">
        <v>4182</v>
      </c>
      <c r="B1678" t="s">
        <v>4183</v>
      </c>
      <c r="C1678">
        <v>15</v>
      </c>
      <c r="D1678" s="260">
        <v>46230</v>
      </c>
      <c r="E1678" s="260">
        <v>46254</v>
      </c>
      <c r="F1678">
        <v>4</v>
      </c>
      <c r="G1678" t="s">
        <v>866</v>
      </c>
    </row>
    <row r="1679" spans="1:7">
      <c r="A1679" t="s">
        <v>4184</v>
      </c>
      <c r="B1679" t="s">
        <v>4185</v>
      </c>
      <c r="C1679">
        <v>10</v>
      </c>
      <c r="D1679" s="260">
        <v>46269</v>
      </c>
      <c r="E1679" s="260">
        <v>46282</v>
      </c>
      <c r="F1679">
        <v>36</v>
      </c>
      <c r="G1679" t="s">
        <v>866</v>
      </c>
    </row>
    <row r="1680" spans="1:7">
      <c r="A1680" t="s">
        <v>4186</v>
      </c>
      <c r="B1680" t="s">
        <v>4187</v>
      </c>
      <c r="C1680">
        <v>5</v>
      </c>
      <c r="D1680" s="260">
        <v>46322</v>
      </c>
      <c r="E1680" s="260">
        <v>46328</v>
      </c>
      <c r="F1680">
        <v>31</v>
      </c>
      <c r="G1680" t="s">
        <v>866</v>
      </c>
    </row>
    <row r="1681" spans="1:7">
      <c r="A1681" t="s">
        <v>4188</v>
      </c>
      <c r="B1681" t="s">
        <v>4189</v>
      </c>
      <c r="C1681">
        <v>15</v>
      </c>
      <c r="D1681" s="260">
        <v>46136</v>
      </c>
      <c r="E1681" s="260">
        <v>46157</v>
      </c>
      <c r="F1681">
        <v>57</v>
      </c>
      <c r="G1681" t="s">
        <v>866</v>
      </c>
    </row>
    <row r="1682" spans="1:7">
      <c r="A1682" t="s">
        <v>4190</v>
      </c>
      <c r="B1682" t="s">
        <v>4191</v>
      </c>
      <c r="C1682">
        <v>10</v>
      </c>
      <c r="D1682" s="260">
        <v>46175</v>
      </c>
      <c r="E1682" s="260">
        <v>46189</v>
      </c>
      <c r="F1682">
        <v>99</v>
      </c>
      <c r="G1682" t="s">
        <v>866</v>
      </c>
    </row>
    <row r="1683" spans="1:7">
      <c r="A1683" t="s">
        <v>4192</v>
      </c>
      <c r="B1683" t="s">
        <v>4193</v>
      </c>
      <c r="C1683">
        <v>5</v>
      </c>
      <c r="D1683" s="260">
        <v>46206</v>
      </c>
      <c r="E1683" s="260">
        <v>46212</v>
      </c>
      <c r="F1683">
        <v>107</v>
      </c>
      <c r="G1683" t="s">
        <v>866</v>
      </c>
    </row>
    <row r="1684" spans="1:7">
      <c r="A1684" t="s">
        <v>4194</v>
      </c>
      <c r="B1684" t="s">
        <v>4195</v>
      </c>
      <c r="C1684">
        <v>15</v>
      </c>
      <c r="D1684" s="260">
        <v>46171</v>
      </c>
      <c r="E1684" s="260">
        <v>46195</v>
      </c>
      <c r="F1684">
        <v>57</v>
      </c>
      <c r="G1684" t="s">
        <v>866</v>
      </c>
    </row>
    <row r="1685" spans="1:7">
      <c r="A1685" t="s">
        <v>4196</v>
      </c>
      <c r="B1685" t="s">
        <v>4197</v>
      </c>
      <c r="C1685">
        <v>10</v>
      </c>
      <c r="D1685" s="260">
        <v>46210</v>
      </c>
      <c r="E1685" s="260">
        <v>46223</v>
      </c>
      <c r="F1685">
        <v>75</v>
      </c>
      <c r="G1685" t="s">
        <v>866</v>
      </c>
    </row>
    <row r="1686" spans="1:7">
      <c r="A1686" t="s">
        <v>4198</v>
      </c>
      <c r="B1686" t="s">
        <v>4199</v>
      </c>
      <c r="C1686">
        <v>5</v>
      </c>
      <c r="D1686" s="260">
        <v>46261</v>
      </c>
      <c r="E1686" s="260">
        <v>46267</v>
      </c>
      <c r="F1686">
        <v>72</v>
      </c>
      <c r="G1686" t="s">
        <v>866</v>
      </c>
    </row>
    <row r="1687" spans="1:7">
      <c r="A1687" t="s">
        <v>4200</v>
      </c>
      <c r="B1687" t="s">
        <v>4201</v>
      </c>
      <c r="C1687">
        <v>15</v>
      </c>
      <c r="D1687" s="260">
        <v>46149</v>
      </c>
      <c r="E1687" s="260">
        <v>46169</v>
      </c>
      <c r="F1687">
        <v>0</v>
      </c>
      <c r="G1687" t="s">
        <v>866</v>
      </c>
    </row>
    <row r="1688" spans="1:7">
      <c r="A1688" t="s">
        <v>4202</v>
      </c>
      <c r="B1688" t="s">
        <v>4203</v>
      </c>
      <c r="C1688">
        <v>10</v>
      </c>
      <c r="D1688" s="260">
        <v>46188</v>
      </c>
      <c r="E1688" s="260">
        <v>46199</v>
      </c>
      <c r="F1688">
        <v>91</v>
      </c>
      <c r="G1688" t="s">
        <v>866</v>
      </c>
    </row>
    <row r="1689" spans="1:7">
      <c r="A1689" t="s">
        <v>4204</v>
      </c>
      <c r="B1689" t="s">
        <v>4205</v>
      </c>
      <c r="C1689">
        <v>5</v>
      </c>
      <c r="D1689" s="260">
        <v>46238</v>
      </c>
      <c r="E1689" s="260">
        <v>46244</v>
      </c>
      <c r="F1689">
        <v>88</v>
      </c>
      <c r="G1689" t="s">
        <v>866</v>
      </c>
    </row>
    <row r="1690" spans="1:7">
      <c r="A1690" t="s">
        <v>4206</v>
      </c>
      <c r="B1690" t="s">
        <v>4207</v>
      </c>
      <c r="C1690">
        <v>15</v>
      </c>
      <c r="D1690" s="260">
        <v>46251</v>
      </c>
      <c r="E1690" s="260">
        <v>46269</v>
      </c>
      <c r="F1690">
        <v>4</v>
      </c>
      <c r="G1690" t="s">
        <v>866</v>
      </c>
    </row>
    <row r="1691" spans="1:7">
      <c r="A1691" t="s">
        <v>4208</v>
      </c>
      <c r="B1691" t="s">
        <v>4209</v>
      </c>
      <c r="C1691">
        <v>10</v>
      </c>
      <c r="D1691" s="260">
        <v>46286</v>
      </c>
      <c r="E1691" s="260">
        <v>46297</v>
      </c>
      <c r="F1691">
        <v>25</v>
      </c>
      <c r="G1691" t="s">
        <v>866</v>
      </c>
    </row>
    <row r="1692" spans="1:7">
      <c r="A1692" t="s">
        <v>4210</v>
      </c>
      <c r="B1692" t="s">
        <v>4211</v>
      </c>
      <c r="C1692">
        <v>5</v>
      </c>
      <c r="D1692" s="260">
        <v>46315</v>
      </c>
      <c r="E1692" s="260">
        <v>46322</v>
      </c>
      <c r="F1692">
        <v>35</v>
      </c>
      <c r="G1692" t="s">
        <v>866</v>
      </c>
    </row>
    <row r="1693" spans="1:7">
      <c r="A1693" t="s">
        <v>4212</v>
      </c>
      <c r="B1693" t="s">
        <v>4213</v>
      </c>
      <c r="C1693">
        <v>15</v>
      </c>
      <c r="D1693" s="260">
        <v>46251</v>
      </c>
      <c r="E1693" s="260">
        <v>46269</v>
      </c>
      <c r="F1693">
        <v>14</v>
      </c>
      <c r="G1693" t="s">
        <v>866</v>
      </c>
    </row>
    <row r="1694" spans="1:7">
      <c r="A1694" t="s">
        <v>4214</v>
      </c>
      <c r="B1694" t="s">
        <v>4215</v>
      </c>
      <c r="C1694">
        <v>10</v>
      </c>
      <c r="D1694" s="260">
        <v>46286</v>
      </c>
      <c r="E1694" s="260">
        <v>46297</v>
      </c>
      <c r="F1694">
        <v>25</v>
      </c>
      <c r="G1694" t="s">
        <v>866</v>
      </c>
    </row>
    <row r="1695" spans="1:7">
      <c r="A1695" t="s">
        <v>4216</v>
      </c>
      <c r="B1695" t="s">
        <v>4217</v>
      </c>
      <c r="C1695">
        <v>5</v>
      </c>
      <c r="D1695" s="260">
        <v>46324</v>
      </c>
      <c r="E1695" s="260">
        <v>46330</v>
      </c>
      <c r="F1695">
        <v>29</v>
      </c>
      <c r="G1695" t="s">
        <v>866</v>
      </c>
    </row>
    <row r="1696" spans="1:7">
      <c r="A1696" t="s">
        <v>4218</v>
      </c>
      <c r="B1696" t="s">
        <v>4219</v>
      </c>
      <c r="C1696">
        <v>15</v>
      </c>
      <c r="D1696" s="260">
        <v>46251</v>
      </c>
      <c r="E1696" s="260">
        <v>46269</v>
      </c>
      <c r="F1696">
        <v>5</v>
      </c>
      <c r="G1696" t="s">
        <v>866</v>
      </c>
    </row>
    <row r="1697" spans="1:7">
      <c r="A1697" t="s">
        <v>4220</v>
      </c>
      <c r="B1697" t="s">
        <v>4221</v>
      </c>
      <c r="C1697">
        <v>10</v>
      </c>
      <c r="D1697" s="260">
        <v>46286</v>
      </c>
      <c r="E1697" s="260">
        <v>46297</v>
      </c>
      <c r="F1697">
        <v>25</v>
      </c>
      <c r="G1697" t="s">
        <v>866</v>
      </c>
    </row>
    <row r="1698" spans="1:7">
      <c r="A1698" t="s">
        <v>4222</v>
      </c>
      <c r="B1698" t="s">
        <v>4223</v>
      </c>
      <c r="C1698">
        <v>5</v>
      </c>
      <c r="D1698" s="260">
        <v>46337</v>
      </c>
      <c r="E1698" s="260">
        <v>46343</v>
      </c>
      <c r="F1698">
        <v>20</v>
      </c>
      <c r="G1698" t="s">
        <v>866</v>
      </c>
    </row>
    <row r="1699" spans="1:7">
      <c r="A1699" t="s">
        <v>4224</v>
      </c>
      <c r="B1699" t="s">
        <v>4225</v>
      </c>
      <c r="C1699">
        <v>15</v>
      </c>
      <c r="D1699" s="260">
        <v>46251</v>
      </c>
      <c r="E1699" s="260">
        <v>46269</v>
      </c>
      <c r="F1699">
        <v>5</v>
      </c>
      <c r="G1699" t="s">
        <v>866</v>
      </c>
    </row>
    <row r="1700" spans="1:7">
      <c r="A1700" t="s">
        <v>4226</v>
      </c>
      <c r="B1700" t="s">
        <v>4227</v>
      </c>
      <c r="C1700">
        <v>5</v>
      </c>
      <c r="D1700" s="260">
        <v>46337</v>
      </c>
      <c r="E1700" s="260">
        <v>46343</v>
      </c>
      <c r="F1700">
        <v>20</v>
      </c>
      <c r="G1700" t="s">
        <v>866</v>
      </c>
    </row>
    <row r="1701" spans="1:7">
      <c r="A1701" t="s">
        <v>4228</v>
      </c>
      <c r="B1701" t="s">
        <v>4229</v>
      </c>
      <c r="C1701">
        <v>15</v>
      </c>
      <c r="D1701" s="260">
        <v>46251</v>
      </c>
      <c r="E1701" s="260">
        <v>46269</v>
      </c>
      <c r="F1701">
        <v>5</v>
      </c>
      <c r="G1701" t="s">
        <v>866</v>
      </c>
    </row>
    <row r="1702" spans="1:7">
      <c r="A1702" t="s">
        <v>4230</v>
      </c>
      <c r="B1702" t="s">
        <v>4231</v>
      </c>
      <c r="C1702">
        <v>5</v>
      </c>
      <c r="D1702" s="260">
        <v>46337</v>
      </c>
      <c r="E1702" s="260">
        <v>46343</v>
      </c>
      <c r="F1702">
        <v>20</v>
      </c>
      <c r="G1702" t="s">
        <v>866</v>
      </c>
    </row>
    <row r="1703" spans="1:7">
      <c r="A1703" t="s">
        <v>4232</v>
      </c>
      <c r="B1703" t="s">
        <v>4233</v>
      </c>
      <c r="C1703">
        <v>15</v>
      </c>
      <c r="D1703" s="260">
        <v>46251</v>
      </c>
      <c r="E1703" s="260">
        <v>46269</v>
      </c>
      <c r="F1703">
        <v>5</v>
      </c>
      <c r="G1703" t="s">
        <v>866</v>
      </c>
    </row>
    <row r="1704" spans="1:7">
      <c r="A1704" t="s">
        <v>4234</v>
      </c>
      <c r="B1704" t="s">
        <v>4235</v>
      </c>
      <c r="C1704">
        <v>5</v>
      </c>
      <c r="D1704" s="260">
        <v>46337</v>
      </c>
      <c r="E1704" s="260">
        <v>46343</v>
      </c>
      <c r="F1704">
        <v>20</v>
      </c>
      <c r="G1704" t="s">
        <v>866</v>
      </c>
    </row>
    <row r="1705" spans="1:7">
      <c r="A1705" t="s">
        <v>4236</v>
      </c>
      <c r="B1705" t="s">
        <v>4237</v>
      </c>
      <c r="C1705">
        <v>15</v>
      </c>
      <c r="D1705" s="260">
        <v>46251</v>
      </c>
      <c r="E1705" s="260">
        <v>46269</v>
      </c>
      <c r="F1705">
        <v>5</v>
      </c>
      <c r="G1705" t="s">
        <v>866</v>
      </c>
    </row>
    <row r="1706" spans="1:7">
      <c r="A1706" t="s">
        <v>4238</v>
      </c>
      <c r="B1706" t="s">
        <v>4239</v>
      </c>
      <c r="C1706">
        <v>5</v>
      </c>
      <c r="D1706" s="260">
        <v>46337</v>
      </c>
      <c r="E1706" s="260">
        <v>46343</v>
      </c>
      <c r="F1706">
        <v>20</v>
      </c>
      <c r="G1706" t="s">
        <v>866</v>
      </c>
    </row>
    <row r="1707" spans="1:7">
      <c r="A1707" t="s">
        <v>4240</v>
      </c>
      <c r="B1707" t="s">
        <v>4241</v>
      </c>
      <c r="C1707">
        <v>15</v>
      </c>
      <c r="D1707" s="260">
        <v>46251</v>
      </c>
      <c r="E1707" s="260">
        <v>46269</v>
      </c>
      <c r="F1707">
        <v>5</v>
      </c>
      <c r="G1707" t="s">
        <v>866</v>
      </c>
    </row>
    <row r="1708" spans="1:7">
      <c r="A1708" t="s">
        <v>4242</v>
      </c>
      <c r="B1708" t="s">
        <v>4243</v>
      </c>
      <c r="C1708">
        <v>5</v>
      </c>
      <c r="D1708" s="260">
        <v>46337</v>
      </c>
      <c r="E1708" s="260">
        <v>46343</v>
      </c>
      <c r="F1708">
        <v>20</v>
      </c>
      <c r="G1708" t="s">
        <v>866</v>
      </c>
    </row>
    <row r="1709" spans="1:7">
      <c r="A1709" t="s">
        <v>4244</v>
      </c>
      <c r="B1709" t="s">
        <v>4245</v>
      </c>
      <c r="C1709">
        <v>15</v>
      </c>
      <c r="D1709" s="260">
        <v>46251</v>
      </c>
      <c r="E1709" s="260">
        <v>46269</v>
      </c>
      <c r="F1709">
        <v>5</v>
      </c>
      <c r="G1709" t="s">
        <v>866</v>
      </c>
    </row>
    <row r="1710" spans="1:7">
      <c r="A1710" t="s">
        <v>4246</v>
      </c>
      <c r="B1710" t="s">
        <v>4247</v>
      </c>
      <c r="C1710">
        <v>10</v>
      </c>
      <c r="D1710" s="260">
        <v>46286</v>
      </c>
      <c r="E1710" s="260">
        <v>46297</v>
      </c>
      <c r="F1710">
        <v>25</v>
      </c>
      <c r="G1710" t="s">
        <v>866</v>
      </c>
    </row>
    <row r="1711" spans="1:7">
      <c r="A1711" t="s">
        <v>4248</v>
      </c>
      <c r="B1711" t="s">
        <v>4249</v>
      </c>
      <c r="C1711">
        <v>5</v>
      </c>
      <c r="D1711" s="260">
        <v>46337</v>
      </c>
      <c r="E1711" s="260">
        <v>46343</v>
      </c>
      <c r="F1711">
        <v>20</v>
      </c>
      <c r="G1711" t="s">
        <v>866</v>
      </c>
    </row>
    <row r="1712" spans="1:7">
      <c r="A1712" t="s">
        <v>4250</v>
      </c>
      <c r="B1712" t="s">
        <v>4251</v>
      </c>
      <c r="C1712">
        <v>15</v>
      </c>
      <c r="D1712" s="260">
        <v>46251</v>
      </c>
      <c r="E1712" s="260">
        <v>46269</v>
      </c>
      <c r="F1712">
        <v>5</v>
      </c>
      <c r="G1712" t="s">
        <v>866</v>
      </c>
    </row>
    <row r="1713" spans="1:7">
      <c r="A1713" t="s">
        <v>4252</v>
      </c>
      <c r="B1713" t="s">
        <v>4253</v>
      </c>
      <c r="C1713">
        <v>10</v>
      </c>
      <c r="D1713" s="260">
        <v>46286</v>
      </c>
      <c r="E1713" s="260">
        <v>46297</v>
      </c>
      <c r="F1713">
        <v>25</v>
      </c>
      <c r="G1713" t="s">
        <v>866</v>
      </c>
    </row>
    <row r="1714" spans="1:7">
      <c r="A1714" t="s">
        <v>4254</v>
      </c>
      <c r="B1714" t="s">
        <v>4255</v>
      </c>
      <c r="C1714">
        <v>5</v>
      </c>
      <c r="D1714" s="260">
        <v>46337</v>
      </c>
      <c r="E1714" s="260">
        <v>46343</v>
      </c>
      <c r="F1714">
        <v>20</v>
      </c>
      <c r="G1714" t="s">
        <v>866</v>
      </c>
    </row>
    <row r="1715" spans="1:7">
      <c r="A1715" t="s">
        <v>4256</v>
      </c>
      <c r="B1715" t="s">
        <v>4257</v>
      </c>
      <c r="C1715">
        <v>15</v>
      </c>
      <c r="D1715" s="260">
        <v>46251</v>
      </c>
      <c r="E1715" s="260">
        <v>46269</v>
      </c>
      <c r="F1715">
        <v>5</v>
      </c>
      <c r="G1715" t="s">
        <v>866</v>
      </c>
    </row>
    <row r="1716" spans="1:7">
      <c r="A1716" t="s">
        <v>4258</v>
      </c>
      <c r="B1716" t="s">
        <v>4259</v>
      </c>
      <c r="C1716">
        <v>10</v>
      </c>
      <c r="D1716" s="260">
        <v>46286</v>
      </c>
      <c r="E1716" s="260">
        <v>46297</v>
      </c>
      <c r="F1716">
        <v>25</v>
      </c>
      <c r="G1716" t="s">
        <v>866</v>
      </c>
    </row>
    <row r="1717" spans="1:7">
      <c r="A1717" t="s">
        <v>4260</v>
      </c>
      <c r="B1717" t="s">
        <v>4261</v>
      </c>
      <c r="C1717">
        <v>5</v>
      </c>
      <c r="D1717" s="260">
        <v>46337</v>
      </c>
      <c r="E1717" s="260">
        <v>46343</v>
      </c>
      <c r="F1717">
        <v>20</v>
      </c>
      <c r="G1717" t="s">
        <v>866</v>
      </c>
    </row>
    <row r="1718" spans="1:7">
      <c r="A1718" t="s">
        <v>4262</v>
      </c>
      <c r="B1718" t="s">
        <v>4263</v>
      </c>
      <c r="C1718">
        <v>15</v>
      </c>
      <c r="D1718" s="260">
        <v>46209</v>
      </c>
      <c r="E1718" s="260">
        <v>46227</v>
      </c>
      <c r="F1718">
        <v>27</v>
      </c>
      <c r="G1718" t="s">
        <v>866</v>
      </c>
    </row>
    <row r="1719" spans="1:7">
      <c r="A1719" t="s">
        <v>4264</v>
      </c>
      <c r="B1719" t="s">
        <v>4265</v>
      </c>
      <c r="C1719">
        <v>5</v>
      </c>
      <c r="D1719" s="260">
        <v>46303</v>
      </c>
      <c r="E1719" s="260">
        <v>46310</v>
      </c>
      <c r="F1719">
        <v>42</v>
      </c>
      <c r="G1719" t="s">
        <v>866</v>
      </c>
    </row>
    <row r="1720" spans="1:7">
      <c r="A1720" t="s">
        <v>4266</v>
      </c>
      <c r="B1720" t="s">
        <v>4267</v>
      </c>
      <c r="C1720">
        <v>15</v>
      </c>
      <c r="D1720" s="260">
        <v>46251</v>
      </c>
      <c r="E1720" s="260">
        <v>46269</v>
      </c>
      <c r="F1720">
        <v>16</v>
      </c>
      <c r="G1720" t="s">
        <v>866</v>
      </c>
    </row>
    <row r="1721" spans="1:7">
      <c r="A1721" t="s">
        <v>4268</v>
      </c>
      <c r="B1721" t="s">
        <v>4269</v>
      </c>
      <c r="C1721">
        <v>5</v>
      </c>
      <c r="D1721" s="260">
        <v>46303</v>
      </c>
      <c r="E1721" s="260">
        <v>46310</v>
      </c>
      <c r="F1721">
        <v>42</v>
      </c>
      <c r="G1721" t="s">
        <v>866</v>
      </c>
    </row>
    <row r="1722" spans="1:7">
      <c r="A1722" t="s">
        <v>4270</v>
      </c>
      <c r="B1722" t="s">
        <v>4271</v>
      </c>
      <c r="C1722">
        <v>15</v>
      </c>
      <c r="D1722" s="260">
        <v>46251</v>
      </c>
      <c r="E1722" s="260">
        <v>46269</v>
      </c>
      <c r="F1722">
        <v>5</v>
      </c>
      <c r="G1722" t="s">
        <v>866</v>
      </c>
    </row>
    <row r="1723" spans="1:7">
      <c r="A1723" t="s">
        <v>4272</v>
      </c>
      <c r="B1723" t="s">
        <v>4273</v>
      </c>
      <c r="C1723">
        <v>10</v>
      </c>
      <c r="D1723" s="260">
        <v>46286</v>
      </c>
      <c r="E1723" s="260">
        <v>46297</v>
      </c>
      <c r="F1723">
        <v>25</v>
      </c>
      <c r="G1723" t="s">
        <v>866</v>
      </c>
    </row>
    <row r="1724" spans="1:7">
      <c r="A1724" t="s">
        <v>4274</v>
      </c>
      <c r="B1724" t="s">
        <v>4275</v>
      </c>
      <c r="C1724">
        <v>5</v>
      </c>
      <c r="D1724" s="260">
        <v>46337</v>
      </c>
      <c r="E1724" s="260">
        <v>46343</v>
      </c>
      <c r="F1724">
        <v>20</v>
      </c>
      <c r="G1724" t="s">
        <v>866</v>
      </c>
    </row>
    <row r="1725" spans="1:7">
      <c r="A1725" t="s">
        <v>4276</v>
      </c>
      <c r="B1725" t="s">
        <v>4277</v>
      </c>
      <c r="C1725">
        <v>15</v>
      </c>
      <c r="D1725" s="260">
        <v>46251</v>
      </c>
      <c r="E1725" s="260">
        <v>46269</v>
      </c>
      <c r="F1725">
        <v>5</v>
      </c>
      <c r="G1725" t="s">
        <v>866</v>
      </c>
    </row>
    <row r="1726" spans="1:7">
      <c r="A1726" t="s">
        <v>4278</v>
      </c>
      <c r="B1726" t="s">
        <v>4279</v>
      </c>
      <c r="C1726">
        <v>5</v>
      </c>
      <c r="D1726" s="260">
        <v>46286</v>
      </c>
      <c r="E1726" s="260">
        <v>46290</v>
      </c>
      <c r="F1726">
        <v>30</v>
      </c>
      <c r="G1726" t="s">
        <v>866</v>
      </c>
    </row>
    <row r="1727" spans="1:7">
      <c r="A1727" t="s">
        <v>4280</v>
      </c>
      <c r="B1727" t="s">
        <v>4281</v>
      </c>
      <c r="C1727">
        <v>5</v>
      </c>
      <c r="D1727" s="260">
        <v>46337</v>
      </c>
      <c r="E1727" s="260">
        <v>46343</v>
      </c>
      <c r="F1727">
        <v>20</v>
      </c>
      <c r="G1727" t="s">
        <v>866</v>
      </c>
    </row>
    <row r="1728" spans="1:7">
      <c r="A1728" t="s">
        <v>4282</v>
      </c>
      <c r="B1728" t="s">
        <v>4283</v>
      </c>
      <c r="C1728">
        <v>15</v>
      </c>
      <c r="D1728" s="260">
        <v>46251</v>
      </c>
      <c r="E1728" s="260">
        <v>46269</v>
      </c>
      <c r="F1728">
        <v>5</v>
      </c>
      <c r="G1728" t="s">
        <v>866</v>
      </c>
    </row>
    <row r="1729" spans="1:7">
      <c r="A1729" t="s">
        <v>4284</v>
      </c>
      <c r="B1729" t="s">
        <v>4285</v>
      </c>
      <c r="C1729">
        <v>5</v>
      </c>
      <c r="D1729" s="260">
        <v>46337</v>
      </c>
      <c r="E1729" s="260">
        <v>46343</v>
      </c>
      <c r="F1729">
        <v>25</v>
      </c>
      <c r="G1729" t="s">
        <v>866</v>
      </c>
    </row>
    <row r="1730" spans="1:7">
      <c r="A1730" t="s">
        <v>4286</v>
      </c>
      <c r="B1730" t="s">
        <v>4287</v>
      </c>
      <c r="C1730">
        <v>15</v>
      </c>
      <c r="D1730" s="260">
        <v>46141</v>
      </c>
      <c r="E1730" s="260">
        <v>46162</v>
      </c>
      <c r="F1730">
        <v>0</v>
      </c>
      <c r="G1730" t="s">
        <v>866</v>
      </c>
    </row>
    <row r="1731" spans="1:7">
      <c r="A1731" t="s">
        <v>4288</v>
      </c>
      <c r="B1731" t="s">
        <v>4289</v>
      </c>
      <c r="C1731">
        <v>10</v>
      </c>
      <c r="D1731" s="260">
        <v>46181</v>
      </c>
      <c r="E1731" s="260">
        <v>46192</v>
      </c>
      <c r="F1731">
        <v>22</v>
      </c>
      <c r="G1731" t="s">
        <v>866</v>
      </c>
    </row>
    <row r="1732" spans="1:7">
      <c r="A1732" t="s">
        <v>4290</v>
      </c>
      <c r="B1732" t="s">
        <v>4291</v>
      </c>
      <c r="C1732">
        <v>5</v>
      </c>
      <c r="D1732" s="260">
        <v>46211</v>
      </c>
      <c r="E1732" s="260">
        <v>46217</v>
      </c>
      <c r="F1732">
        <v>20</v>
      </c>
      <c r="G1732" t="s">
        <v>866</v>
      </c>
    </row>
    <row r="1733" spans="1:7">
      <c r="A1733" t="s">
        <v>4292</v>
      </c>
      <c r="B1733" t="s">
        <v>4293</v>
      </c>
      <c r="C1733">
        <v>15</v>
      </c>
      <c r="D1733" s="260">
        <v>46220</v>
      </c>
      <c r="E1733" s="260">
        <v>46245</v>
      </c>
      <c r="F1733">
        <v>19</v>
      </c>
      <c r="G1733" t="s">
        <v>866</v>
      </c>
    </row>
    <row r="1734" spans="1:7">
      <c r="A1734" t="s">
        <v>4294</v>
      </c>
      <c r="B1734" t="s">
        <v>4295</v>
      </c>
      <c r="C1734">
        <v>10</v>
      </c>
      <c r="D1734" s="260">
        <v>46261</v>
      </c>
      <c r="E1734" s="260">
        <v>46274</v>
      </c>
      <c r="F1734">
        <v>42</v>
      </c>
      <c r="G1734" t="s">
        <v>866</v>
      </c>
    </row>
    <row r="1735" spans="1:7">
      <c r="A1735" t="s">
        <v>4296</v>
      </c>
      <c r="B1735" t="s">
        <v>4297</v>
      </c>
      <c r="C1735">
        <v>5</v>
      </c>
      <c r="D1735" s="260">
        <v>46316</v>
      </c>
      <c r="E1735" s="260">
        <v>46323</v>
      </c>
      <c r="F1735">
        <v>34</v>
      </c>
      <c r="G1735" t="s">
        <v>866</v>
      </c>
    </row>
    <row r="1736" spans="1:7">
      <c r="A1736" t="s">
        <v>4298</v>
      </c>
      <c r="B1736" t="s">
        <v>4299</v>
      </c>
      <c r="C1736">
        <v>15</v>
      </c>
      <c r="D1736" s="260">
        <v>46230</v>
      </c>
      <c r="E1736" s="260">
        <v>46254</v>
      </c>
      <c r="F1736">
        <v>16</v>
      </c>
      <c r="G1736" t="s">
        <v>866</v>
      </c>
    </row>
    <row r="1737" spans="1:7">
      <c r="A1737" t="s">
        <v>4300</v>
      </c>
      <c r="B1737" t="s">
        <v>4301</v>
      </c>
      <c r="C1737">
        <v>10</v>
      </c>
      <c r="D1737" s="260">
        <v>46269</v>
      </c>
      <c r="E1737" s="260">
        <v>46282</v>
      </c>
      <c r="F1737">
        <v>36</v>
      </c>
      <c r="G1737" t="s">
        <v>866</v>
      </c>
    </row>
    <row r="1738" spans="1:7">
      <c r="A1738" t="s">
        <v>4302</v>
      </c>
      <c r="B1738" t="s">
        <v>4303</v>
      </c>
      <c r="C1738">
        <v>5</v>
      </c>
      <c r="D1738" s="260">
        <v>46322</v>
      </c>
      <c r="E1738" s="260">
        <v>46328</v>
      </c>
      <c r="F1738">
        <v>31</v>
      </c>
      <c r="G1738" t="s">
        <v>866</v>
      </c>
    </row>
    <row r="1739" spans="1:7">
      <c r="A1739" t="s">
        <v>4304</v>
      </c>
      <c r="B1739" t="s">
        <v>4305</v>
      </c>
      <c r="C1739">
        <v>15</v>
      </c>
      <c r="D1739" s="260">
        <v>46136</v>
      </c>
      <c r="E1739" s="260">
        <v>46157</v>
      </c>
      <c r="F1739">
        <v>93</v>
      </c>
      <c r="G1739" t="s">
        <v>866</v>
      </c>
    </row>
    <row r="1740" spans="1:7">
      <c r="A1740" t="s">
        <v>4306</v>
      </c>
      <c r="B1740" t="s">
        <v>4307</v>
      </c>
      <c r="C1740">
        <v>10</v>
      </c>
      <c r="D1740" s="260">
        <v>46175</v>
      </c>
      <c r="E1740" s="260">
        <v>46189</v>
      </c>
      <c r="F1740">
        <v>99</v>
      </c>
      <c r="G1740" t="s">
        <v>866</v>
      </c>
    </row>
    <row r="1741" spans="1:7">
      <c r="A1741" t="s">
        <v>4308</v>
      </c>
      <c r="B1741" t="s">
        <v>4309</v>
      </c>
      <c r="C1741">
        <v>5</v>
      </c>
      <c r="D1741" s="260">
        <v>46205</v>
      </c>
      <c r="E1741" s="260">
        <v>46211</v>
      </c>
      <c r="F1741">
        <v>108</v>
      </c>
      <c r="G1741" t="s">
        <v>866</v>
      </c>
    </row>
    <row r="1742" spans="1:7">
      <c r="A1742" t="s">
        <v>4310</v>
      </c>
      <c r="B1742" t="s">
        <v>4311</v>
      </c>
      <c r="C1742">
        <v>15</v>
      </c>
      <c r="D1742" s="260">
        <v>46171</v>
      </c>
      <c r="E1742" s="260">
        <v>46195</v>
      </c>
      <c r="F1742">
        <v>57</v>
      </c>
      <c r="G1742" t="s">
        <v>866</v>
      </c>
    </row>
    <row r="1743" spans="1:7">
      <c r="A1743" t="s">
        <v>4312</v>
      </c>
      <c r="B1743" t="s">
        <v>4313</v>
      </c>
      <c r="C1743">
        <v>10</v>
      </c>
      <c r="D1743" s="260">
        <v>46210</v>
      </c>
      <c r="E1743" s="260">
        <v>46223</v>
      </c>
      <c r="F1743">
        <v>75</v>
      </c>
      <c r="G1743" t="s">
        <v>866</v>
      </c>
    </row>
    <row r="1744" spans="1:7">
      <c r="A1744" t="s">
        <v>4314</v>
      </c>
      <c r="B1744" t="s">
        <v>4315</v>
      </c>
      <c r="C1744">
        <v>5</v>
      </c>
      <c r="D1744" s="260">
        <v>46261</v>
      </c>
      <c r="E1744" s="260">
        <v>46267</v>
      </c>
      <c r="F1744">
        <v>72</v>
      </c>
      <c r="G1744" t="s">
        <v>866</v>
      </c>
    </row>
    <row r="1745" spans="1:7">
      <c r="A1745" t="s">
        <v>4316</v>
      </c>
      <c r="B1745" t="s">
        <v>4317</v>
      </c>
      <c r="C1745">
        <v>15</v>
      </c>
      <c r="D1745" s="260">
        <v>46149</v>
      </c>
      <c r="E1745" s="260">
        <v>46169</v>
      </c>
      <c r="F1745">
        <v>0</v>
      </c>
      <c r="G1745" t="s">
        <v>866</v>
      </c>
    </row>
    <row r="1746" spans="1:7">
      <c r="A1746" t="s">
        <v>4318</v>
      </c>
      <c r="B1746" t="s">
        <v>4319</v>
      </c>
      <c r="C1746">
        <v>10</v>
      </c>
      <c r="D1746" s="260">
        <v>46188</v>
      </c>
      <c r="E1746" s="260">
        <v>46199</v>
      </c>
      <c r="F1746">
        <v>38</v>
      </c>
      <c r="G1746" t="s">
        <v>866</v>
      </c>
    </row>
    <row r="1747" spans="1:7">
      <c r="A1747" t="s">
        <v>4320</v>
      </c>
      <c r="B1747" t="s">
        <v>4321</v>
      </c>
      <c r="C1747">
        <v>5</v>
      </c>
      <c r="D1747" s="260">
        <v>46238</v>
      </c>
      <c r="E1747" s="260">
        <v>46244</v>
      </c>
      <c r="F1747">
        <v>25</v>
      </c>
      <c r="G1747" t="s">
        <v>866</v>
      </c>
    </row>
    <row r="1748" spans="1:7">
      <c r="A1748" t="s">
        <v>4322</v>
      </c>
      <c r="B1748" t="s">
        <v>4323</v>
      </c>
      <c r="C1748">
        <v>15</v>
      </c>
      <c r="D1748" s="260">
        <v>46251</v>
      </c>
      <c r="E1748" s="260">
        <v>46269</v>
      </c>
      <c r="F1748">
        <v>4</v>
      </c>
      <c r="G1748" t="s">
        <v>866</v>
      </c>
    </row>
    <row r="1749" spans="1:7">
      <c r="A1749" t="s">
        <v>4324</v>
      </c>
      <c r="B1749" t="s">
        <v>4325</v>
      </c>
      <c r="C1749">
        <v>10</v>
      </c>
      <c r="D1749" s="260">
        <v>46286</v>
      </c>
      <c r="E1749" s="260">
        <v>46297</v>
      </c>
      <c r="F1749">
        <v>25</v>
      </c>
      <c r="G1749" t="s">
        <v>866</v>
      </c>
    </row>
    <row r="1750" spans="1:7">
      <c r="A1750" t="s">
        <v>4326</v>
      </c>
      <c r="B1750" t="s">
        <v>4327</v>
      </c>
      <c r="C1750">
        <v>5</v>
      </c>
      <c r="D1750" s="260">
        <v>46338</v>
      </c>
      <c r="E1750" s="260">
        <v>46344</v>
      </c>
      <c r="F1750">
        <v>19</v>
      </c>
      <c r="G1750" t="s">
        <v>866</v>
      </c>
    </row>
    <row r="1751" spans="1:7">
      <c r="A1751" t="s">
        <v>4328</v>
      </c>
      <c r="B1751" t="s">
        <v>4329</v>
      </c>
      <c r="C1751">
        <v>15</v>
      </c>
      <c r="D1751" s="260">
        <v>46251</v>
      </c>
      <c r="E1751" s="260">
        <v>46269</v>
      </c>
      <c r="F1751">
        <v>14</v>
      </c>
      <c r="G1751" t="s">
        <v>866</v>
      </c>
    </row>
    <row r="1752" spans="1:7">
      <c r="A1752" t="s">
        <v>4330</v>
      </c>
      <c r="B1752" t="s">
        <v>4331</v>
      </c>
      <c r="C1752">
        <v>10</v>
      </c>
      <c r="D1752" s="260">
        <v>46286</v>
      </c>
      <c r="E1752" s="260">
        <v>46297</v>
      </c>
      <c r="F1752">
        <v>25</v>
      </c>
      <c r="G1752" t="s">
        <v>866</v>
      </c>
    </row>
    <row r="1753" spans="1:7">
      <c r="A1753" t="s">
        <v>4332</v>
      </c>
      <c r="B1753" t="s">
        <v>4333</v>
      </c>
      <c r="C1753">
        <v>5</v>
      </c>
      <c r="D1753" s="260">
        <v>46324</v>
      </c>
      <c r="E1753" s="260">
        <v>46330</v>
      </c>
      <c r="F1753">
        <v>29</v>
      </c>
      <c r="G1753" t="s">
        <v>866</v>
      </c>
    </row>
    <row r="1754" spans="1:7">
      <c r="A1754" t="s">
        <v>4334</v>
      </c>
      <c r="B1754" t="s">
        <v>4335</v>
      </c>
      <c r="C1754">
        <v>15</v>
      </c>
      <c r="D1754" s="260">
        <v>46251</v>
      </c>
      <c r="E1754" s="260">
        <v>46269</v>
      </c>
      <c r="F1754">
        <v>5</v>
      </c>
      <c r="G1754" t="s">
        <v>866</v>
      </c>
    </row>
    <row r="1755" spans="1:7">
      <c r="A1755" t="s">
        <v>4336</v>
      </c>
      <c r="B1755" t="s">
        <v>4337</v>
      </c>
      <c r="C1755">
        <v>10</v>
      </c>
      <c r="D1755" s="260">
        <v>46286</v>
      </c>
      <c r="E1755" s="260">
        <v>46297</v>
      </c>
      <c r="F1755">
        <v>25</v>
      </c>
      <c r="G1755" t="s">
        <v>866</v>
      </c>
    </row>
    <row r="1756" spans="1:7">
      <c r="A1756" t="s">
        <v>4338</v>
      </c>
      <c r="B1756" t="s">
        <v>4339</v>
      </c>
      <c r="C1756">
        <v>5</v>
      </c>
      <c r="D1756" s="260">
        <v>46337</v>
      </c>
      <c r="E1756" s="260">
        <v>46343</v>
      </c>
      <c r="F1756">
        <v>20</v>
      </c>
      <c r="G1756" t="s">
        <v>866</v>
      </c>
    </row>
    <row r="1757" spans="1:7">
      <c r="A1757" t="s">
        <v>4340</v>
      </c>
      <c r="B1757" t="s">
        <v>4341</v>
      </c>
      <c r="C1757">
        <v>15</v>
      </c>
      <c r="D1757" s="260">
        <v>46251</v>
      </c>
      <c r="E1757" s="260">
        <v>46269</v>
      </c>
      <c r="F1757">
        <v>5</v>
      </c>
      <c r="G1757" t="s">
        <v>866</v>
      </c>
    </row>
    <row r="1758" spans="1:7">
      <c r="A1758" t="s">
        <v>4342</v>
      </c>
      <c r="B1758" t="s">
        <v>4343</v>
      </c>
      <c r="C1758">
        <v>5</v>
      </c>
      <c r="D1758" s="260">
        <v>46337</v>
      </c>
      <c r="E1758" s="260">
        <v>46343</v>
      </c>
      <c r="F1758">
        <v>20</v>
      </c>
      <c r="G1758" t="s">
        <v>866</v>
      </c>
    </row>
    <row r="1759" spans="1:7">
      <c r="A1759" t="s">
        <v>4344</v>
      </c>
      <c r="B1759" t="s">
        <v>4345</v>
      </c>
      <c r="C1759">
        <v>15</v>
      </c>
      <c r="D1759" s="260">
        <v>46251</v>
      </c>
      <c r="E1759" s="260">
        <v>46269</v>
      </c>
      <c r="F1759">
        <v>5</v>
      </c>
      <c r="G1759" t="s">
        <v>866</v>
      </c>
    </row>
    <row r="1760" spans="1:7">
      <c r="A1760" t="s">
        <v>4346</v>
      </c>
      <c r="B1760" t="s">
        <v>4347</v>
      </c>
      <c r="C1760">
        <v>5</v>
      </c>
      <c r="D1760" s="260">
        <v>46337</v>
      </c>
      <c r="E1760" s="260">
        <v>46343</v>
      </c>
      <c r="F1760">
        <v>20</v>
      </c>
      <c r="G1760" t="s">
        <v>866</v>
      </c>
    </row>
    <row r="1761" spans="1:7">
      <c r="A1761" t="s">
        <v>4348</v>
      </c>
      <c r="B1761" t="s">
        <v>4349</v>
      </c>
      <c r="C1761">
        <v>15</v>
      </c>
      <c r="D1761" s="260">
        <v>46251</v>
      </c>
      <c r="E1761" s="260">
        <v>46269</v>
      </c>
      <c r="F1761">
        <v>5</v>
      </c>
      <c r="G1761" t="s">
        <v>866</v>
      </c>
    </row>
    <row r="1762" spans="1:7">
      <c r="A1762" t="s">
        <v>4350</v>
      </c>
      <c r="B1762" t="s">
        <v>4351</v>
      </c>
      <c r="C1762">
        <v>5</v>
      </c>
      <c r="D1762" s="260">
        <v>46337</v>
      </c>
      <c r="E1762" s="260">
        <v>46343</v>
      </c>
      <c r="F1762">
        <v>20</v>
      </c>
      <c r="G1762" t="s">
        <v>866</v>
      </c>
    </row>
    <row r="1763" spans="1:7">
      <c r="A1763" t="s">
        <v>4352</v>
      </c>
      <c r="B1763" t="s">
        <v>4353</v>
      </c>
      <c r="C1763">
        <v>15</v>
      </c>
      <c r="D1763" s="260">
        <v>46251</v>
      </c>
      <c r="E1763" s="260">
        <v>46269</v>
      </c>
      <c r="F1763">
        <v>5</v>
      </c>
      <c r="G1763" t="s">
        <v>866</v>
      </c>
    </row>
    <row r="1764" spans="1:7">
      <c r="A1764" t="s">
        <v>4354</v>
      </c>
      <c r="B1764" t="s">
        <v>4355</v>
      </c>
      <c r="C1764">
        <v>5</v>
      </c>
      <c r="D1764" s="260">
        <v>46337</v>
      </c>
      <c r="E1764" s="260">
        <v>46343</v>
      </c>
      <c r="F1764">
        <v>20</v>
      </c>
      <c r="G1764" t="s">
        <v>866</v>
      </c>
    </row>
    <row r="1765" spans="1:7">
      <c r="A1765" t="s">
        <v>4356</v>
      </c>
      <c r="B1765" t="s">
        <v>4357</v>
      </c>
      <c r="C1765">
        <v>15</v>
      </c>
      <c r="D1765" s="260">
        <v>46251</v>
      </c>
      <c r="E1765" s="260">
        <v>46269</v>
      </c>
      <c r="F1765">
        <v>5</v>
      </c>
      <c r="G1765" t="s">
        <v>866</v>
      </c>
    </row>
    <row r="1766" spans="1:7">
      <c r="A1766" t="s">
        <v>4358</v>
      </c>
      <c r="B1766" t="s">
        <v>4359</v>
      </c>
      <c r="C1766">
        <v>5</v>
      </c>
      <c r="D1766" s="260">
        <v>46337</v>
      </c>
      <c r="E1766" s="260">
        <v>46343</v>
      </c>
      <c r="F1766">
        <v>20</v>
      </c>
      <c r="G1766" t="s">
        <v>866</v>
      </c>
    </row>
    <row r="1767" spans="1:7">
      <c r="A1767" t="s">
        <v>4360</v>
      </c>
      <c r="B1767" t="s">
        <v>4361</v>
      </c>
      <c r="C1767">
        <v>15</v>
      </c>
      <c r="D1767" s="260">
        <v>46251</v>
      </c>
      <c r="E1767" s="260">
        <v>46269</v>
      </c>
      <c r="F1767">
        <v>5</v>
      </c>
      <c r="G1767" t="s">
        <v>866</v>
      </c>
    </row>
    <row r="1768" spans="1:7">
      <c r="A1768" t="s">
        <v>4362</v>
      </c>
      <c r="B1768" t="s">
        <v>4363</v>
      </c>
      <c r="C1768">
        <v>10</v>
      </c>
      <c r="D1768" s="260">
        <v>46286</v>
      </c>
      <c r="E1768" s="260">
        <v>46297</v>
      </c>
      <c r="F1768">
        <v>25</v>
      </c>
      <c r="G1768" t="s">
        <v>866</v>
      </c>
    </row>
    <row r="1769" spans="1:7">
      <c r="A1769" t="s">
        <v>4364</v>
      </c>
      <c r="B1769" t="s">
        <v>4365</v>
      </c>
      <c r="C1769">
        <v>5</v>
      </c>
      <c r="D1769" s="260">
        <v>46337</v>
      </c>
      <c r="E1769" s="260">
        <v>46343</v>
      </c>
      <c r="F1769">
        <v>20</v>
      </c>
      <c r="G1769" t="s">
        <v>866</v>
      </c>
    </row>
    <row r="1770" spans="1:7">
      <c r="A1770" t="s">
        <v>4366</v>
      </c>
      <c r="B1770" t="s">
        <v>4367</v>
      </c>
      <c r="C1770">
        <v>15</v>
      </c>
      <c r="D1770" s="260">
        <v>46251</v>
      </c>
      <c r="E1770" s="260">
        <v>46269</v>
      </c>
      <c r="F1770">
        <v>5</v>
      </c>
      <c r="G1770" t="s">
        <v>866</v>
      </c>
    </row>
    <row r="1771" spans="1:7">
      <c r="A1771" t="s">
        <v>4368</v>
      </c>
      <c r="B1771" t="s">
        <v>4369</v>
      </c>
      <c r="C1771">
        <v>10</v>
      </c>
      <c r="D1771" s="260">
        <v>46286</v>
      </c>
      <c r="E1771" s="260">
        <v>46297</v>
      </c>
      <c r="F1771">
        <v>25</v>
      </c>
      <c r="G1771" t="s">
        <v>866</v>
      </c>
    </row>
    <row r="1772" spans="1:7">
      <c r="A1772" t="s">
        <v>4370</v>
      </c>
      <c r="B1772" t="s">
        <v>4371</v>
      </c>
      <c r="C1772">
        <v>5</v>
      </c>
      <c r="D1772" s="260">
        <v>46337</v>
      </c>
      <c r="E1772" s="260">
        <v>46343</v>
      </c>
      <c r="F1772">
        <v>20</v>
      </c>
      <c r="G1772" t="s">
        <v>866</v>
      </c>
    </row>
    <row r="1773" spans="1:7">
      <c r="A1773" t="s">
        <v>4372</v>
      </c>
      <c r="B1773" t="s">
        <v>4373</v>
      </c>
      <c r="C1773">
        <v>15</v>
      </c>
      <c r="D1773" s="260">
        <v>46251</v>
      </c>
      <c r="E1773" s="260">
        <v>46269</v>
      </c>
      <c r="F1773">
        <v>5</v>
      </c>
      <c r="G1773" t="s">
        <v>866</v>
      </c>
    </row>
    <row r="1774" spans="1:7">
      <c r="A1774" t="s">
        <v>4374</v>
      </c>
      <c r="B1774" t="s">
        <v>4375</v>
      </c>
      <c r="C1774">
        <v>10</v>
      </c>
      <c r="D1774" s="260">
        <v>46286</v>
      </c>
      <c r="E1774" s="260">
        <v>46297</v>
      </c>
      <c r="F1774">
        <v>25</v>
      </c>
      <c r="G1774" t="s">
        <v>866</v>
      </c>
    </row>
    <row r="1775" spans="1:7">
      <c r="A1775" t="s">
        <v>4376</v>
      </c>
      <c r="B1775" t="s">
        <v>4377</v>
      </c>
      <c r="C1775">
        <v>5</v>
      </c>
      <c r="D1775" s="260">
        <v>46337</v>
      </c>
      <c r="E1775" s="260">
        <v>46343</v>
      </c>
      <c r="F1775">
        <v>20</v>
      </c>
      <c r="G1775" t="s">
        <v>866</v>
      </c>
    </row>
    <row r="1776" spans="1:7">
      <c r="A1776" t="s">
        <v>4378</v>
      </c>
      <c r="B1776" t="s">
        <v>4379</v>
      </c>
      <c r="C1776">
        <v>15</v>
      </c>
      <c r="D1776" s="260">
        <v>46209</v>
      </c>
      <c r="E1776" s="260">
        <v>46227</v>
      </c>
      <c r="F1776">
        <v>27</v>
      </c>
      <c r="G1776" t="s">
        <v>866</v>
      </c>
    </row>
    <row r="1777" spans="1:7">
      <c r="A1777" t="s">
        <v>4380</v>
      </c>
      <c r="B1777" t="s">
        <v>4381</v>
      </c>
      <c r="C1777">
        <v>10</v>
      </c>
      <c r="D1777" s="260">
        <v>46248</v>
      </c>
      <c r="E1777" s="260">
        <v>46261</v>
      </c>
      <c r="F1777">
        <v>51</v>
      </c>
      <c r="G1777" t="s">
        <v>866</v>
      </c>
    </row>
    <row r="1778" spans="1:7">
      <c r="A1778" t="s">
        <v>4382</v>
      </c>
      <c r="B1778" t="s">
        <v>4383</v>
      </c>
      <c r="C1778">
        <v>5</v>
      </c>
      <c r="D1778" s="260">
        <v>46303</v>
      </c>
      <c r="E1778" s="260">
        <v>46310</v>
      </c>
      <c r="F1778">
        <v>42</v>
      </c>
      <c r="G1778" t="s">
        <v>866</v>
      </c>
    </row>
    <row r="1779" spans="1:7">
      <c r="A1779" t="s">
        <v>4384</v>
      </c>
      <c r="B1779" t="s">
        <v>4385</v>
      </c>
      <c r="C1779">
        <v>15</v>
      </c>
      <c r="D1779" s="260">
        <v>46209</v>
      </c>
      <c r="E1779" s="260">
        <v>46227</v>
      </c>
      <c r="F1779">
        <v>27</v>
      </c>
      <c r="G1779" t="s">
        <v>866</v>
      </c>
    </row>
    <row r="1780" spans="1:7">
      <c r="A1780" t="s">
        <v>4386</v>
      </c>
      <c r="B1780" t="s">
        <v>4387</v>
      </c>
      <c r="C1780">
        <v>5</v>
      </c>
      <c r="D1780" s="260">
        <v>46303</v>
      </c>
      <c r="E1780" s="260">
        <v>46310</v>
      </c>
      <c r="F1780">
        <v>42</v>
      </c>
      <c r="G1780" t="s">
        <v>866</v>
      </c>
    </row>
    <row r="1781" spans="1:7">
      <c r="A1781" t="s">
        <v>4388</v>
      </c>
      <c r="B1781" t="s">
        <v>4389</v>
      </c>
      <c r="C1781">
        <v>15</v>
      </c>
      <c r="D1781" s="260">
        <v>46251</v>
      </c>
      <c r="E1781" s="260">
        <v>46269</v>
      </c>
      <c r="F1781">
        <v>16</v>
      </c>
      <c r="G1781" t="s">
        <v>866</v>
      </c>
    </row>
    <row r="1782" spans="1:7">
      <c r="A1782" t="s">
        <v>4390</v>
      </c>
      <c r="B1782" t="s">
        <v>4391</v>
      </c>
      <c r="C1782">
        <v>5</v>
      </c>
      <c r="D1782" s="260">
        <v>46331</v>
      </c>
      <c r="E1782" s="260">
        <v>46337</v>
      </c>
      <c r="F1782">
        <v>24</v>
      </c>
      <c r="G1782" t="s">
        <v>866</v>
      </c>
    </row>
    <row r="1783" spans="1:7">
      <c r="A1783" t="s">
        <v>4392</v>
      </c>
      <c r="B1783" t="s">
        <v>4393</v>
      </c>
      <c r="C1783">
        <v>15</v>
      </c>
      <c r="D1783" s="260">
        <v>46251</v>
      </c>
      <c r="E1783" s="260">
        <v>46269</v>
      </c>
      <c r="F1783">
        <v>5</v>
      </c>
      <c r="G1783" t="s">
        <v>866</v>
      </c>
    </row>
    <row r="1784" spans="1:7">
      <c r="A1784" t="s">
        <v>4394</v>
      </c>
      <c r="B1784" t="s">
        <v>4395</v>
      </c>
      <c r="C1784">
        <v>10</v>
      </c>
      <c r="D1784" s="260">
        <v>46286</v>
      </c>
      <c r="E1784" s="260">
        <v>46297</v>
      </c>
      <c r="F1784">
        <v>25</v>
      </c>
      <c r="G1784" t="s">
        <v>866</v>
      </c>
    </row>
    <row r="1785" spans="1:7">
      <c r="A1785" t="s">
        <v>4396</v>
      </c>
      <c r="B1785" t="s">
        <v>4397</v>
      </c>
      <c r="C1785">
        <v>5</v>
      </c>
      <c r="D1785" s="260">
        <v>46337</v>
      </c>
      <c r="E1785" s="260">
        <v>46343</v>
      </c>
      <c r="F1785">
        <v>20</v>
      </c>
      <c r="G1785" t="s">
        <v>866</v>
      </c>
    </row>
    <row r="1786" spans="1:7">
      <c r="A1786" t="s">
        <v>4398</v>
      </c>
      <c r="B1786" t="s">
        <v>4399</v>
      </c>
      <c r="C1786">
        <v>15</v>
      </c>
      <c r="D1786" s="260">
        <v>46251</v>
      </c>
      <c r="E1786" s="260">
        <v>46269</v>
      </c>
      <c r="F1786">
        <v>5</v>
      </c>
      <c r="G1786" t="s">
        <v>866</v>
      </c>
    </row>
    <row r="1787" spans="1:7">
      <c r="A1787" t="s">
        <v>4400</v>
      </c>
      <c r="B1787" t="s">
        <v>4401</v>
      </c>
      <c r="C1787">
        <v>10</v>
      </c>
      <c r="D1787" s="260">
        <v>46286</v>
      </c>
      <c r="E1787" s="260">
        <v>46297</v>
      </c>
      <c r="F1787">
        <v>25</v>
      </c>
      <c r="G1787" t="s">
        <v>866</v>
      </c>
    </row>
    <row r="1788" spans="1:7">
      <c r="A1788" t="s">
        <v>4402</v>
      </c>
      <c r="B1788" t="s">
        <v>4403</v>
      </c>
      <c r="C1788">
        <v>5</v>
      </c>
      <c r="D1788" s="260">
        <v>46337</v>
      </c>
      <c r="E1788" s="260">
        <v>46343</v>
      </c>
      <c r="F1788">
        <v>20</v>
      </c>
      <c r="G1788" t="s">
        <v>866</v>
      </c>
    </row>
    <row r="1789" spans="1:7">
      <c r="A1789" t="s">
        <v>4404</v>
      </c>
      <c r="B1789" t="s">
        <v>4405</v>
      </c>
      <c r="C1789">
        <v>15</v>
      </c>
      <c r="D1789" s="260">
        <v>46251</v>
      </c>
      <c r="E1789" s="260">
        <v>46269</v>
      </c>
      <c r="F1789">
        <v>5</v>
      </c>
      <c r="G1789" t="s">
        <v>866</v>
      </c>
    </row>
    <row r="1790" spans="1:7">
      <c r="A1790" t="s">
        <v>4406</v>
      </c>
      <c r="B1790" t="s">
        <v>4407</v>
      </c>
      <c r="C1790">
        <v>10</v>
      </c>
      <c r="D1790" s="260">
        <v>46286</v>
      </c>
      <c r="E1790" s="260">
        <v>46297</v>
      </c>
      <c r="F1790">
        <v>25</v>
      </c>
      <c r="G1790" t="s">
        <v>866</v>
      </c>
    </row>
    <row r="1791" spans="1:7">
      <c r="A1791" t="s">
        <v>4408</v>
      </c>
      <c r="B1791" t="s">
        <v>4409</v>
      </c>
      <c r="C1791">
        <v>5</v>
      </c>
      <c r="D1791" s="260">
        <v>46337</v>
      </c>
      <c r="E1791" s="260">
        <v>46343</v>
      </c>
      <c r="F1791">
        <v>20</v>
      </c>
      <c r="G1791" t="s">
        <v>866</v>
      </c>
    </row>
    <row r="1792" spans="1:7">
      <c r="A1792" t="s">
        <v>4410</v>
      </c>
      <c r="C1792">
        <v>160</v>
      </c>
      <c r="D1792" s="260">
        <v>46146</v>
      </c>
      <c r="E1792" s="260">
        <v>46384</v>
      </c>
      <c r="F1792">
        <v>4</v>
      </c>
      <c r="G1792" t="s">
        <v>866</v>
      </c>
    </row>
    <row r="1793" spans="1:7">
      <c r="A1793" t="s">
        <v>4411</v>
      </c>
      <c r="B1793" t="s">
        <v>4412</v>
      </c>
      <c r="C1793">
        <v>10</v>
      </c>
      <c r="D1793" s="260">
        <v>46149</v>
      </c>
      <c r="E1793" s="260">
        <v>46162</v>
      </c>
      <c r="F1793">
        <v>0</v>
      </c>
      <c r="G1793" t="s">
        <v>866</v>
      </c>
    </row>
    <row r="1794" spans="1:7">
      <c r="A1794" t="s">
        <v>4413</v>
      </c>
      <c r="B1794" t="s">
        <v>4414</v>
      </c>
      <c r="C1794">
        <v>5</v>
      </c>
      <c r="D1794" s="260">
        <v>46252</v>
      </c>
      <c r="E1794" s="260">
        <v>46258</v>
      </c>
      <c r="F1794">
        <v>0</v>
      </c>
      <c r="G1794" t="s">
        <v>866</v>
      </c>
    </row>
    <row r="1795" spans="1:7">
      <c r="A1795" t="s">
        <v>4415</v>
      </c>
      <c r="B1795" t="s">
        <v>4416</v>
      </c>
      <c r="C1795">
        <v>10</v>
      </c>
      <c r="D1795" s="260">
        <v>46148</v>
      </c>
      <c r="E1795" s="260">
        <v>46161</v>
      </c>
      <c r="F1795">
        <v>90</v>
      </c>
      <c r="G1795" t="s">
        <v>866</v>
      </c>
    </row>
    <row r="1796" spans="1:7">
      <c r="A1796" t="s">
        <v>4417</v>
      </c>
      <c r="B1796" t="s">
        <v>4418</v>
      </c>
      <c r="C1796">
        <v>5</v>
      </c>
      <c r="D1796" s="260">
        <v>46251</v>
      </c>
      <c r="E1796" s="260">
        <v>46255</v>
      </c>
      <c r="F1796">
        <v>90</v>
      </c>
      <c r="G1796" t="s">
        <v>866</v>
      </c>
    </row>
    <row r="1797" spans="1:7">
      <c r="A1797" t="s">
        <v>4419</v>
      </c>
      <c r="B1797" t="s">
        <v>4420</v>
      </c>
      <c r="C1797">
        <v>10</v>
      </c>
      <c r="D1797" s="260">
        <v>46148</v>
      </c>
      <c r="E1797" s="260">
        <v>46161</v>
      </c>
      <c r="F1797">
        <v>42</v>
      </c>
      <c r="G1797" t="s">
        <v>866</v>
      </c>
    </row>
    <row r="1798" spans="1:7">
      <c r="A1798" t="s">
        <v>4421</v>
      </c>
      <c r="B1798" t="s">
        <v>4422</v>
      </c>
      <c r="C1798">
        <v>5</v>
      </c>
      <c r="D1798" s="260">
        <v>46247</v>
      </c>
      <c r="E1798" s="260">
        <v>46253</v>
      </c>
      <c r="F1798">
        <v>42</v>
      </c>
      <c r="G1798" t="s">
        <v>866</v>
      </c>
    </row>
    <row r="1799" spans="1:7">
      <c r="A1799" t="s">
        <v>4423</v>
      </c>
      <c r="B1799" t="s">
        <v>4424</v>
      </c>
      <c r="C1799">
        <v>10</v>
      </c>
      <c r="D1799" s="260">
        <v>46252</v>
      </c>
      <c r="E1799" s="260">
        <v>46265</v>
      </c>
      <c r="F1799">
        <v>19</v>
      </c>
      <c r="G1799" t="s">
        <v>866</v>
      </c>
    </row>
    <row r="1800" spans="1:7">
      <c r="A1800" t="s">
        <v>4425</v>
      </c>
      <c r="B1800" t="s">
        <v>4426</v>
      </c>
      <c r="C1800">
        <v>5</v>
      </c>
      <c r="D1800" s="260">
        <v>46352</v>
      </c>
      <c r="E1800" s="260">
        <v>46358</v>
      </c>
      <c r="F1800">
        <v>19</v>
      </c>
      <c r="G1800" t="s">
        <v>866</v>
      </c>
    </row>
    <row r="1801" spans="1:7">
      <c r="A1801" t="s">
        <v>4427</v>
      </c>
      <c r="B1801" t="s">
        <v>4428</v>
      </c>
      <c r="C1801">
        <v>10</v>
      </c>
      <c r="D1801" s="260">
        <v>46255</v>
      </c>
      <c r="E1801" s="260">
        <v>46268</v>
      </c>
      <c r="F1801">
        <v>16</v>
      </c>
      <c r="G1801" t="s">
        <v>866</v>
      </c>
    </row>
    <row r="1802" spans="1:7">
      <c r="A1802" t="s">
        <v>4429</v>
      </c>
      <c r="B1802" t="s">
        <v>4430</v>
      </c>
      <c r="C1802">
        <v>5</v>
      </c>
      <c r="D1802" s="260">
        <v>46357</v>
      </c>
      <c r="E1802" s="260">
        <v>46364</v>
      </c>
      <c r="F1802">
        <v>16</v>
      </c>
      <c r="G1802" t="s">
        <v>866</v>
      </c>
    </row>
    <row r="1803" spans="1:7">
      <c r="A1803" t="s">
        <v>4431</v>
      </c>
      <c r="B1803" t="s">
        <v>4432</v>
      </c>
      <c r="C1803">
        <v>10</v>
      </c>
      <c r="D1803" s="260">
        <v>46146</v>
      </c>
      <c r="E1803" s="260">
        <v>46157</v>
      </c>
      <c r="F1803">
        <v>93</v>
      </c>
      <c r="G1803" t="s">
        <v>866</v>
      </c>
    </row>
    <row r="1804" spans="1:7">
      <c r="A1804" t="s">
        <v>4433</v>
      </c>
      <c r="B1804" t="s">
        <v>4434</v>
      </c>
      <c r="C1804">
        <v>5</v>
      </c>
      <c r="D1804" s="260">
        <v>46245</v>
      </c>
      <c r="E1804" s="260">
        <v>46252</v>
      </c>
      <c r="F1804">
        <v>93</v>
      </c>
      <c r="G1804" t="s">
        <v>866</v>
      </c>
    </row>
    <row r="1805" spans="1:7">
      <c r="A1805" t="s">
        <v>4435</v>
      </c>
      <c r="B1805" t="s">
        <v>4436</v>
      </c>
      <c r="C1805">
        <v>10</v>
      </c>
      <c r="D1805" s="260">
        <v>46196</v>
      </c>
      <c r="E1805" s="260">
        <v>46209</v>
      </c>
      <c r="F1805">
        <v>57</v>
      </c>
      <c r="G1805" t="s">
        <v>866</v>
      </c>
    </row>
    <row r="1806" spans="1:7">
      <c r="A1806" t="s">
        <v>4437</v>
      </c>
      <c r="B1806" t="s">
        <v>4438</v>
      </c>
      <c r="C1806">
        <v>5</v>
      </c>
      <c r="D1806" s="260">
        <v>46296</v>
      </c>
      <c r="E1806" s="260">
        <v>46302</v>
      </c>
      <c r="F1806">
        <v>57</v>
      </c>
      <c r="G1806" t="s">
        <v>866</v>
      </c>
    </row>
    <row r="1807" spans="1:7">
      <c r="A1807" t="s">
        <v>4439</v>
      </c>
      <c r="B1807" t="s">
        <v>4440</v>
      </c>
      <c r="C1807">
        <v>10</v>
      </c>
      <c r="D1807" s="260">
        <v>46169</v>
      </c>
      <c r="E1807" s="260">
        <v>46184</v>
      </c>
      <c r="F1807">
        <v>0</v>
      </c>
      <c r="G1807" t="s">
        <v>866</v>
      </c>
    </row>
    <row r="1808" spans="1:7">
      <c r="A1808" t="s">
        <v>4441</v>
      </c>
      <c r="B1808" t="s">
        <v>4442</v>
      </c>
      <c r="C1808">
        <v>5</v>
      </c>
      <c r="D1808" s="260">
        <v>46274</v>
      </c>
      <c r="E1808" s="260">
        <v>46280</v>
      </c>
      <c r="F1808">
        <v>0</v>
      </c>
      <c r="G1808" t="s">
        <v>866</v>
      </c>
    </row>
    <row r="1809" spans="1:7">
      <c r="A1809" t="s">
        <v>4443</v>
      </c>
      <c r="B1809" t="s">
        <v>4444</v>
      </c>
      <c r="C1809">
        <v>10</v>
      </c>
      <c r="D1809" s="260">
        <v>46273</v>
      </c>
      <c r="E1809" s="260">
        <v>46286</v>
      </c>
      <c r="F1809">
        <v>4</v>
      </c>
      <c r="G1809" t="s">
        <v>866</v>
      </c>
    </row>
    <row r="1810" spans="1:7">
      <c r="A1810" t="s">
        <v>4445</v>
      </c>
      <c r="B1810" t="s">
        <v>4446</v>
      </c>
      <c r="C1810">
        <v>5</v>
      </c>
      <c r="D1810" s="260">
        <v>46377</v>
      </c>
      <c r="E1810" s="260">
        <v>46384</v>
      </c>
      <c r="F1810">
        <v>4</v>
      </c>
      <c r="G1810" t="s">
        <v>866</v>
      </c>
    </row>
    <row r="1811" spans="1:7">
      <c r="A1811" t="s">
        <v>4447</v>
      </c>
      <c r="B1811" t="s">
        <v>4448</v>
      </c>
      <c r="C1811">
        <v>10</v>
      </c>
      <c r="D1811" s="260">
        <v>46259</v>
      </c>
      <c r="E1811" s="260">
        <v>46272</v>
      </c>
      <c r="F1811">
        <v>14</v>
      </c>
      <c r="G1811" t="s">
        <v>866</v>
      </c>
    </row>
    <row r="1812" spans="1:7">
      <c r="A1812" t="s">
        <v>4449</v>
      </c>
      <c r="B1812" t="s">
        <v>4450</v>
      </c>
      <c r="C1812">
        <v>5</v>
      </c>
      <c r="D1812" s="260">
        <v>46359</v>
      </c>
      <c r="E1812" s="260">
        <v>46367</v>
      </c>
      <c r="F1812">
        <v>14</v>
      </c>
      <c r="G1812" t="s">
        <v>866</v>
      </c>
    </row>
    <row r="1813" spans="1:7">
      <c r="A1813" t="s">
        <v>4451</v>
      </c>
      <c r="B1813" t="s">
        <v>4452</v>
      </c>
      <c r="C1813">
        <v>10</v>
      </c>
      <c r="D1813" s="260">
        <v>46272</v>
      </c>
      <c r="E1813" s="260">
        <v>46283</v>
      </c>
      <c r="F1813">
        <v>5</v>
      </c>
      <c r="G1813" t="s">
        <v>866</v>
      </c>
    </row>
    <row r="1814" spans="1:7">
      <c r="A1814" t="s">
        <v>4453</v>
      </c>
      <c r="B1814" t="s">
        <v>4454</v>
      </c>
      <c r="C1814">
        <v>5</v>
      </c>
      <c r="D1814" s="260">
        <v>46374</v>
      </c>
      <c r="E1814" s="260">
        <v>46380</v>
      </c>
      <c r="F1814">
        <v>5</v>
      </c>
      <c r="G1814" t="s">
        <v>866</v>
      </c>
    </row>
    <row r="1815" spans="1:7">
      <c r="A1815" t="s">
        <v>4455</v>
      </c>
      <c r="B1815" t="s">
        <v>4456</v>
      </c>
      <c r="C1815">
        <v>10</v>
      </c>
      <c r="D1815" s="260">
        <v>46272</v>
      </c>
      <c r="E1815" s="260">
        <v>46283</v>
      </c>
      <c r="F1815">
        <v>5</v>
      </c>
      <c r="G1815" t="s">
        <v>866</v>
      </c>
    </row>
    <row r="1816" spans="1:7">
      <c r="A1816" t="s">
        <v>4457</v>
      </c>
      <c r="B1816" t="s">
        <v>4458</v>
      </c>
      <c r="C1816">
        <v>5</v>
      </c>
      <c r="D1816" s="260">
        <v>46374</v>
      </c>
      <c r="E1816" s="260">
        <v>46380</v>
      </c>
      <c r="F1816">
        <v>5</v>
      </c>
      <c r="G1816" t="s">
        <v>866</v>
      </c>
    </row>
    <row r="1817" spans="1:7">
      <c r="A1817" t="s">
        <v>4459</v>
      </c>
      <c r="B1817" t="s">
        <v>4460</v>
      </c>
      <c r="C1817">
        <v>10</v>
      </c>
      <c r="D1817" s="260">
        <v>46272</v>
      </c>
      <c r="E1817" s="260">
        <v>46283</v>
      </c>
      <c r="F1817">
        <v>5</v>
      </c>
      <c r="G1817" t="s">
        <v>866</v>
      </c>
    </row>
    <row r="1818" spans="1:7">
      <c r="A1818" t="s">
        <v>4461</v>
      </c>
      <c r="B1818" t="s">
        <v>4462</v>
      </c>
      <c r="C1818">
        <v>5</v>
      </c>
      <c r="D1818" s="260">
        <v>46374</v>
      </c>
      <c r="E1818" s="260">
        <v>46380</v>
      </c>
      <c r="F1818">
        <v>5</v>
      </c>
      <c r="G1818" t="s">
        <v>866</v>
      </c>
    </row>
    <row r="1819" spans="1:7">
      <c r="A1819" t="s">
        <v>4463</v>
      </c>
      <c r="B1819" t="s">
        <v>4464</v>
      </c>
      <c r="C1819">
        <v>10</v>
      </c>
      <c r="D1819" s="260">
        <v>46272</v>
      </c>
      <c r="E1819" s="260">
        <v>46283</v>
      </c>
      <c r="F1819">
        <v>5</v>
      </c>
      <c r="G1819" t="s">
        <v>866</v>
      </c>
    </row>
    <row r="1820" spans="1:7">
      <c r="A1820" t="s">
        <v>4465</v>
      </c>
      <c r="B1820" t="s">
        <v>4466</v>
      </c>
      <c r="C1820">
        <v>5</v>
      </c>
      <c r="D1820" s="260">
        <v>46374</v>
      </c>
      <c r="E1820" s="260">
        <v>46380</v>
      </c>
      <c r="F1820">
        <v>5</v>
      </c>
      <c r="G1820" t="s">
        <v>866</v>
      </c>
    </row>
    <row r="1821" spans="1:7">
      <c r="A1821" t="s">
        <v>4467</v>
      </c>
      <c r="B1821" t="s">
        <v>4468</v>
      </c>
      <c r="C1821">
        <v>10</v>
      </c>
      <c r="D1821" s="260">
        <v>46272</v>
      </c>
      <c r="E1821" s="260">
        <v>46283</v>
      </c>
      <c r="F1821">
        <v>5</v>
      </c>
      <c r="G1821" t="s">
        <v>866</v>
      </c>
    </row>
    <row r="1822" spans="1:7">
      <c r="A1822" t="s">
        <v>4469</v>
      </c>
      <c r="B1822" t="s">
        <v>4470</v>
      </c>
      <c r="C1822">
        <v>5</v>
      </c>
      <c r="D1822" s="260">
        <v>46374</v>
      </c>
      <c r="E1822" s="260">
        <v>46380</v>
      </c>
      <c r="F1822">
        <v>5</v>
      </c>
      <c r="G1822" t="s">
        <v>866</v>
      </c>
    </row>
    <row r="1823" spans="1:7">
      <c r="A1823" t="s">
        <v>4471</v>
      </c>
      <c r="B1823" t="s">
        <v>4472</v>
      </c>
      <c r="C1823">
        <v>10</v>
      </c>
      <c r="D1823" s="260">
        <v>46272</v>
      </c>
      <c r="E1823" s="260">
        <v>46283</v>
      </c>
      <c r="F1823">
        <v>5</v>
      </c>
      <c r="G1823" t="s">
        <v>866</v>
      </c>
    </row>
    <row r="1824" spans="1:7">
      <c r="A1824" t="s">
        <v>4473</v>
      </c>
      <c r="B1824" t="s">
        <v>4474</v>
      </c>
      <c r="C1824">
        <v>5</v>
      </c>
      <c r="D1824" s="260">
        <v>46374</v>
      </c>
      <c r="E1824" s="260">
        <v>46380</v>
      </c>
      <c r="F1824">
        <v>5</v>
      </c>
      <c r="G1824" t="s">
        <v>866</v>
      </c>
    </row>
    <row r="1825" spans="1:7">
      <c r="A1825" t="s">
        <v>4475</v>
      </c>
      <c r="B1825" t="s">
        <v>4476</v>
      </c>
      <c r="C1825">
        <v>10</v>
      </c>
      <c r="D1825" s="260">
        <v>46272</v>
      </c>
      <c r="E1825" s="260">
        <v>46283</v>
      </c>
      <c r="F1825">
        <v>5</v>
      </c>
      <c r="G1825" t="s">
        <v>866</v>
      </c>
    </row>
    <row r="1826" spans="1:7">
      <c r="A1826" t="s">
        <v>4477</v>
      </c>
      <c r="B1826" t="s">
        <v>4478</v>
      </c>
      <c r="C1826">
        <v>5</v>
      </c>
      <c r="D1826" s="260">
        <v>46374</v>
      </c>
      <c r="E1826" s="260">
        <v>46380</v>
      </c>
      <c r="F1826">
        <v>5</v>
      </c>
      <c r="G1826" t="s">
        <v>866</v>
      </c>
    </row>
    <row r="1827" spans="1:7">
      <c r="A1827" t="s">
        <v>4479</v>
      </c>
      <c r="B1827" t="s">
        <v>4480</v>
      </c>
      <c r="C1827">
        <v>10</v>
      </c>
      <c r="D1827" s="260">
        <v>46272</v>
      </c>
      <c r="E1827" s="260">
        <v>46283</v>
      </c>
      <c r="F1827">
        <v>5</v>
      </c>
      <c r="G1827" t="s">
        <v>866</v>
      </c>
    </row>
    <row r="1828" spans="1:7">
      <c r="A1828" t="s">
        <v>4481</v>
      </c>
      <c r="B1828" t="s">
        <v>4482</v>
      </c>
      <c r="C1828">
        <v>5</v>
      </c>
      <c r="D1828" s="260">
        <v>46374</v>
      </c>
      <c r="E1828" s="260">
        <v>46380</v>
      </c>
      <c r="F1828">
        <v>5</v>
      </c>
      <c r="G1828" t="s">
        <v>866</v>
      </c>
    </row>
    <row r="1829" spans="1:7">
      <c r="A1829" t="s">
        <v>4483</v>
      </c>
      <c r="B1829" t="s">
        <v>4484</v>
      </c>
      <c r="C1829">
        <v>10</v>
      </c>
      <c r="D1829" s="260">
        <v>46272</v>
      </c>
      <c r="E1829" s="260">
        <v>46283</v>
      </c>
      <c r="F1829">
        <v>5</v>
      </c>
      <c r="G1829" t="s">
        <v>866</v>
      </c>
    </row>
    <row r="1830" spans="1:7">
      <c r="A1830" t="s">
        <v>4485</v>
      </c>
      <c r="B1830" t="s">
        <v>4486</v>
      </c>
      <c r="C1830">
        <v>5</v>
      </c>
      <c r="D1830" s="260">
        <v>46374</v>
      </c>
      <c r="E1830" s="260">
        <v>46380</v>
      </c>
      <c r="F1830">
        <v>5</v>
      </c>
      <c r="G1830" t="s">
        <v>866</v>
      </c>
    </row>
    <row r="1831" spans="1:7">
      <c r="A1831" t="s">
        <v>4487</v>
      </c>
      <c r="B1831" t="s">
        <v>4488</v>
      </c>
      <c r="C1831">
        <v>10</v>
      </c>
      <c r="D1831" s="260">
        <v>46230</v>
      </c>
      <c r="E1831" s="260">
        <v>46247</v>
      </c>
      <c r="F1831">
        <v>27</v>
      </c>
      <c r="G1831" t="s">
        <v>866</v>
      </c>
    </row>
    <row r="1832" spans="1:7">
      <c r="A1832" t="s">
        <v>4489</v>
      </c>
      <c r="B1832" t="s">
        <v>4490</v>
      </c>
      <c r="C1832">
        <v>5</v>
      </c>
      <c r="D1832" s="260">
        <v>46342</v>
      </c>
      <c r="E1832" s="260">
        <v>46346</v>
      </c>
      <c r="F1832">
        <v>27</v>
      </c>
      <c r="G1832" t="s">
        <v>866</v>
      </c>
    </row>
    <row r="1833" spans="1:7">
      <c r="A1833" t="s">
        <v>4491</v>
      </c>
      <c r="B1833" t="s">
        <v>4492</v>
      </c>
      <c r="C1833">
        <v>10</v>
      </c>
      <c r="D1833" s="260">
        <v>46230</v>
      </c>
      <c r="E1833" s="260">
        <v>46247</v>
      </c>
      <c r="F1833">
        <v>27</v>
      </c>
      <c r="G1833" t="s">
        <v>866</v>
      </c>
    </row>
    <row r="1834" spans="1:7">
      <c r="A1834" t="s">
        <v>4493</v>
      </c>
      <c r="B1834" t="s">
        <v>4494</v>
      </c>
      <c r="C1834">
        <v>5</v>
      </c>
      <c r="D1834" s="260">
        <v>46342</v>
      </c>
      <c r="E1834" s="260">
        <v>46346</v>
      </c>
      <c r="F1834">
        <v>27</v>
      </c>
      <c r="G1834" t="s">
        <v>866</v>
      </c>
    </row>
    <row r="1835" spans="1:7">
      <c r="A1835" t="s">
        <v>4495</v>
      </c>
      <c r="B1835" t="s">
        <v>4496</v>
      </c>
      <c r="C1835">
        <v>10</v>
      </c>
      <c r="D1835" s="260">
        <v>46273</v>
      </c>
      <c r="E1835" s="260">
        <v>46286</v>
      </c>
      <c r="F1835">
        <v>4</v>
      </c>
      <c r="G1835" t="s">
        <v>866</v>
      </c>
    </row>
    <row r="1836" spans="1:7">
      <c r="A1836" t="s">
        <v>4497</v>
      </c>
      <c r="B1836" t="s">
        <v>4498</v>
      </c>
      <c r="C1836">
        <v>5</v>
      </c>
      <c r="D1836" s="260">
        <v>46377</v>
      </c>
      <c r="E1836" s="260">
        <v>46384</v>
      </c>
      <c r="F1836">
        <v>4</v>
      </c>
      <c r="G1836" t="s">
        <v>866</v>
      </c>
    </row>
    <row r="1837" spans="1:7">
      <c r="A1837" t="s">
        <v>4499</v>
      </c>
      <c r="B1837" t="s">
        <v>4500</v>
      </c>
      <c r="C1837">
        <v>10</v>
      </c>
      <c r="D1837" s="260">
        <v>46272</v>
      </c>
      <c r="E1837" s="260">
        <v>46283</v>
      </c>
      <c r="F1837">
        <v>16</v>
      </c>
      <c r="G1837" t="s">
        <v>866</v>
      </c>
    </row>
    <row r="1838" spans="1:7">
      <c r="A1838" t="s">
        <v>4501</v>
      </c>
      <c r="B1838" t="s">
        <v>4502</v>
      </c>
      <c r="C1838">
        <v>5</v>
      </c>
      <c r="D1838" s="260">
        <v>46357</v>
      </c>
      <c r="E1838" s="260">
        <v>46364</v>
      </c>
      <c r="F1838">
        <v>16</v>
      </c>
      <c r="G1838" t="s">
        <v>866</v>
      </c>
    </row>
    <row r="1839" spans="1:7">
      <c r="A1839" t="s">
        <v>4503</v>
      </c>
      <c r="B1839" t="s">
        <v>4504</v>
      </c>
      <c r="C1839">
        <v>10</v>
      </c>
      <c r="D1839" s="260">
        <v>46272</v>
      </c>
      <c r="E1839" s="260">
        <v>46283</v>
      </c>
      <c r="F1839">
        <v>5</v>
      </c>
      <c r="G1839" t="s">
        <v>866</v>
      </c>
    </row>
    <row r="1840" spans="1:7">
      <c r="A1840" t="s">
        <v>4505</v>
      </c>
      <c r="B1840" t="s">
        <v>4506</v>
      </c>
      <c r="C1840">
        <v>5</v>
      </c>
      <c r="D1840" s="260">
        <v>46374</v>
      </c>
      <c r="E1840" s="260">
        <v>46380</v>
      </c>
      <c r="F1840">
        <v>5</v>
      </c>
      <c r="G1840" t="s">
        <v>866</v>
      </c>
    </row>
    <row r="1841" spans="1:7">
      <c r="A1841" t="s">
        <v>4507</v>
      </c>
      <c r="B1841" t="s">
        <v>4508</v>
      </c>
      <c r="C1841">
        <v>10</v>
      </c>
      <c r="D1841" s="260">
        <v>46272</v>
      </c>
      <c r="E1841" s="260">
        <v>46283</v>
      </c>
      <c r="F1841">
        <v>5</v>
      </c>
      <c r="G1841" t="s">
        <v>866</v>
      </c>
    </row>
    <row r="1842" spans="1:7">
      <c r="A1842" t="s">
        <v>4509</v>
      </c>
      <c r="B1842" t="s">
        <v>4510</v>
      </c>
      <c r="C1842">
        <v>5</v>
      </c>
      <c r="D1842" s="260">
        <v>46374</v>
      </c>
      <c r="E1842" s="260">
        <v>46380</v>
      </c>
      <c r="F1842">
        <v>5</v>
      </c>
      <c r="G1842" t="s">
        <v>866</v>
      </c>
    </row>
    <row r="1843" spans="1:7">
      <c r="A1843" t="s">
        <v>4511</v>
      </c>
      <c r="B1843" t="s">
        <v>4512</v>
      </c>
      <c r="C1843">
        <v>10</v>
      </c>
      <c r="D1843" s="260">
        <v>46272</v>
      </c>
      <c r="E1843" s="260">
        <v>46283</v>
      </c>
      <c r="F1843">
        <v>5</v>
      </c>
      <c r="G1843" t="s">
        <v>866</v>
      </c>
    </row>
    <row r="1844" spans="1:7">
      <c r="A1844" t="s">
        <v>4513</v>
      </c>
      <c r="B1844" t="s">
        <v>4514</v>
      </c>
      <c r="C1844">
        <v>5</v>
      </c>
      <c r="D1844" s="260">
        <v>46374</v>
      </c>
      <c r="E1844" s="260">
        <v>46380</v>
      </c>
      <c r="F1844">
        <v>5</v>
      </c>
      <c r="G1844" t="s">
        <v>866</v>
      </c>
    </row>
    <row r="1845" spans="1:7">
      <c r="A1845" t="s">
        <v>4515</v>
      </c>
      <c r="B1845" t="s">
        <v>4516</v>
      </c>
      <c r="C1845">
        <v>10</v>
      </c>
      <c r="D1845" s="260">
        <v>46272</v>
      </c>
      <c r="E1845" s="260">
        <v>46283</v>
      </c>
      <c r="F1845">
        <v>5</v>
      </c>
      <c r="G1845" t="s">
        <v>866</v>
      </c>
    </row>
    <row r="1846" spans="1:7">
      <c r="A1846" t="s">
        <v>4517</v>
      </c>
      <c r="B1846" t="s">
        <v>4518</v>
      </c>
      <c r="C1846">
        <v>5</v>
      </c>
      <c r="D1846" s="260">
        <v>46374</v>
      </c>
      <c r="E1846" s="260">
        <v>46380</v>
      </c>
      <c r="F1846">
        <v>5</v>
      </c>
      <c r="G1846" t="s">
        <v>866</v>
      </c>
    </row>
    <row r="1847" spans="1:7">
      <c r="A1847" t="s">
        <v>4519</v>
      </c>
      <c r="B1847" t="s">
        <v>4520</v>
      </c>
      <c r="C1847">
        <v>10</v>
      </c>
      <c r="D1847" s="260">
        <v>46282</v>
      </c>
      <c r="E1847" s="260">
        <v>46295</v>
      </c>
      <c r="F1847">
        <v>7</v>
      </c>
      <c r="G1847" t="s">
        <v>866</v>
      </c>
    </row>
    <row r="1848" spans="1:7">
      <c r="A1848" t="s">
        <v>4521</v>
      </c>
      <c r="B1848" t="s">
        <v>4522</v>
      </c>
      <c r="C1848">
        <v>5</v>
      </c>
      <c r="D1848" s="260">
        <v>46372</v>
      </c>
      <c r="E1848" s="260">
        <v>46378</v>
      </c>
      <c r="F1848">
        <v>7</v>
      </c>
      <c r="G1848" t="s">
        <v>866</v>
      </c>
    </row>
    <row r="1849" spans="1:7">
      <c r="A1849" t="s">
        <v>4523</v>
      </c>
      <c r="C1849">
        <v>124</v>
      </c>
      <c r="D1849" s="260">
        <v>46177</v>
      </c>
      <c r="E1849" s="260">
        <v>46358</v>
      </c>
      <c r="F1849">
        <v>4</v>
      </c>
      <c r="G1849" t="s">
        <v>866</v>
      </c>
    </row>
    <row r="1850" spans="1:7">
      <c r="A1850" t="s">
        <v>4524</v>
      </c>
      <c r="B1850" t="s">
        <v>4525</v>
      </c>
      <c r="C1850">
        <v>20</v>
      </c>
      <c r="D1850" s="260">
        <v>46182</v>
      </c>
      <c r="E1850" s="260">
        <v>46209</v>
      </c>
      <c r="F1850">
        <v>90</v>
      </c>
      <c r="G1850" t="s">
        <v>866</v>
      </c>
    </row>
    <row r="1851" spans="1:7">
      <c r="A1851" t="s">
        <v>4526</v>
      </c>
      <c r="B1851" t="s">
        <v>4527</v>
      </c>
      <c r="C1851">
        <v>5</v>
      </c>
      <c r="D1851" s="260">
        <v>46224</v>
      </c>
      <c r="E1851" s="260">
        <v>46230</v>
      </c>
      <c r="F1851">
        <v>90</v>
      </c>
      <c r="G1851" t="s">
        <v>866</v>
      </c>
    </row>
    <row r="1852" spans="1:7">
      <c r="A1852" t="s">
        <v>4528</v>
      </c>
      <c r="B1852" t="s">
        <v>4529</v>
      </c>
      <c r="C1852">
        <v>20</v>
      </c>
      <c r="D1852" s="260">
        <v>46183</v>
      </c>
      <c r="E1852" s="260">
        <v>46210</v>
      </c>
      <c r="F1852">
        <v>0</v>
      </c>
      <c r="G1852" t="s">
        <v>866</v>
      </c>
    </row>
    <row r="1853" spans="1:7">
      <c r="A1853" t="s">
        <v>4530</v>
      </c>
      <c r="B1853" t="s">
        <v>4531</v>
      </c>
      <c r="C1853">
        <v>5</v>
      </c>
      <c r="D1853" s="260">
        <v>46225</v>
      </c>
      <c r="E1853" s="260">
        <v>46234</v>
      </c>
      <c r="F1853">
        <v>0</v>
      </c>
      <c r="G1853" t="s">
        <v>866</v>
      </c>
    </row>
    <row r="1854" spans="1:7">
      <c r="A1854" t="s">
        <v>4532</v>
      </c>
      <c r="B1854" t="s">
        <v>4533</v>
      </c>
      <c r="C1854">
        <v>20</v>
      </c>
      <c r="D1854" s="260">
        <v>46178</v>
      </c>
      <c r="E1854" s="260">
        <v>46205</v>
      </c>
      <c r="F1854">
        <v>42</v>
      </c>
      <c r="G1854" t="s">
        <v>866</v>
      </c>
    </row>
    <row r="1855" spans="1:7">
      <c r="A1855" t="s">
        <v>4534</v>
      </c>
      <c r="B1855" t="s">
        <v>4535</v>
      </c>
      <c r="C1855">
        <v>5</v>
      </c>
      <c r="D1855" s="260">
        <v>46220</v>
      </c>
      <c r="E1855" s="260">
        <v>46226</v>
      </c>
      <c r="F1855">
        <v>42</v>
      </c>
      <c r="G1855" t="s">
        <v>866</v>
      </c>
    </row>
    <row r="1856" spans="1:7">
      <c r="A1856" t="s">
        <v>4536</v>
      </c>
      <c r="B1856" t="s">
        <v>4537</v>
      </c>
      <c r="C1856">
        <v>18</v>
      </c>
      <c r="D1856" s="260">
        <v>46289</v>
      </c>
      <c r="E1856" s="260">
        <v>46315</v>
      </c>
      <c r="F1856">
        <v>19</v>
      </c>
      <c r="G1856" t="s">
        <v>866</v>
      </c>
    </row>
    <row r="1857" spans="1:7">
      <c r="A1857" t="s">
        <v>4538</v>
      </c>
      <c r="B1857" t="s">
        <v>4539</v>
      </c>
      <c r="C1857">
        <v>5</v>
      </c>
      <c r="D1857" s="260">
        <v>46331</v>
      </c>
      <c r="E1857" s="260">
        <v>46337</v>
      </c>
      <c r="F1857">
        <v>19</v>
      </c>
      <c r="G1857" t="s">
        <v>866</v>
      </c>
    </row>
    <row r="1858" spans="1:7">
      <c r="A1858" t="s">
        <v>4540</v>
      </c>
      <c r="B1858" t="s">
        <v>4541</v>
      </c>
      <c r="C1858">
        <v>18</v>
      </c>
      <c r="D1858" s="260">
        <v>46294</v>
      </c>
      <c r="E1858" s="260">
        <v>46321</v>
      </c>
      <c r="F1858">
        <v>16</v>
      </c>
      <c r="G1858" t="s">
        <v>866</v>
      </c>
    </row>
    <row r="1859" spans="1:7">
      <c r="A1859" t="s">
        <v>4542</v>
      </c>
      <c r="B1859" t="s">
        <v>4543</v>
      </c>
      <c r="C1859">
        <v>5</v>
      </c>
      <c r="D1859" s="260">
        <v>46336</v>
      </c>
      <c r="E1859" s="260">
        <v>46342</v>
      </c>
      <c r="F1859">
        <v>16</v>
      </c>
      <c r="G1859" t="s">
        <v>866</v>
      </c>
    </row>
    <row r="1860" spans="1:7">
      <c r="A1860" t="s">
        <v>4544</v>
      </c>
      <c r="B1860" t="s">
        <v>4545</v>
      </c>
      <c r="C1860">
        <v>20</v>
      </c>
      <c r="D1860" s="260">
        <v>46177</v>
      </c>
      <c r="E1860" s="260">
        <v>46204</v>
      </c>
      <c r="F1860">
        <v>93</v>
      </c>
      <c r="G1860" t="s">
        <v>866</v>
      </c>
    </row>
    <row r="1861" spans="1:7">
      <c r="A1861" t="s">
        <v>4546</v>
      </c>
      <c r="B1861" t="s">
        <v>4547</v>
      </c>
      <c r="C1861">
        <v>5</v>
      </c>
      <c r="D1861" s="260">
        <v>46219</v>
      </c>
      <c r="E1861" s="260">
        <v>46225</v>
      </c>
      <c r="F1861">
        <v>93</v>
      </c>
      <c r="G1861" t="s">
        <v>866</v>
      </c>
    </row>
    <row r="1862" spans="1:7">
      <c r="A1862" t="s">
        <v>4548</v>
      </c>
      <c r="B1862" t="s">
        <v>4549</v>
      </c>
      <c r="C1862">
        <v>19</v>
      </c>
      <c r="D1862" s="260">
        <v>46230</v>
      </c>
      <c r="E1862" s="260">
        <v>46260</v>
      </c>
      <c r="F1862">
        <v>57</v>
      </c>
      <c r="G1862" t="s">
        <v>866</v>
      </c>
    </row>
    <row r="1863" spans="1:7">
      <c r="A1863" t="s">
        <v>4550</v>
      </c>
      <c r="B1863" t="s">
        <v>4551</v>
      </c>
      <c r="C1863">
        <v>5</v>
      </c>
      <c r="D1863" s="260">
        <v>46275</v>
      </c>
      <c r="E1863" s="260">
        <v>46281</v>
      </c>
      <c r="F1863">
        <v>57</v>
      </c>
      <c r="G1863" t="s">
        <v>866</v>
      </c>
    </row>
    <row r="1864" spans="1:7">
      <c r="A1864" t="s">
        <v>4552</v>
      </c>
      <c r="B1864" t="s">
        <v>4553</v>
      </c>
      <c r="C1864">
        <v>17</v>
      </c>
      <c r="D1864" s="260">
        <v>46210</v>
      </c>
      <c r="E1864" s="260">
        <v>46237</v>
      </c>
      <c r="F1864">
        <v>0</v>
      </c>
      <c r="G1864" t="s">
        <v>866</v>
      </c>
    </row>
    <row r="1865" spans="1:7">
      <c r="A1865" t="s">
        <v>4554</v>
      </c>
      <c r="B1865" t="s">
        <v>4555</v>
      </c>
      <c r="C1865">
        <v>5</v>
      </c>
      <c r="D1865" s="260">
        <v>46253</v>
      </c>
      <c r="E1865" s="260">
        <v>46259</v>
      </c>
      <c r="F1865">
        <v>0</v>
      </c>
      <c r="G1865" t="s">
        <v>866</v>
      </c>
    </row>
    <row r="1866" spans="1:7">
      <c r="A1866" t="s">
        <v>4556</v>
      </c>
      <c r="B1866" t="s">
        <v>4557</v>
      </c>
      <c r="C1866">
        <v>19</v>
      </c>
      <c r="D1866" s="260">
        <v>46310</v>
      </c>
      <c r="E1866" s="260">
        <v>46337</v>
      </c>
      <c r="F1866">
        <v>4</v>
      </c>
      <c r="G1866" t="s">
        <v>866</v>
      </c>
    </row>
    <row r="1867" spans="1:7">
      <c r="A1867" t="s">
        <v>4558</v>
      </c>
      <c r="B1867" t="s">
        <v>4559</v>
      </c>
      <c r="C1867">
        <v>5</v>
      </c>
      <c r="D1867" s="260">
        <v>46352</v>
      </c>
      <c r="E1867" s="260">
        <v>46358</v>
      </c>
      <c r="F1867">
        <v>4</v>
      </c>
      <c r="G1867" t="s">
        <v>866</v>
      </c>
    </row>
    <row r="1868" spans="1:7">
      <c r="A1868" t="s">
        <v>4560</v>
      </c>
      <c r="B1868" t="s">
        <v>4561</v>
      </c>
      <c r="C1868">
        <v>19</v>
      </c>
      <c r="D1868" s="260">
        <v>46295</v>
      </c>
      <c r="E1868" s="260">
        <v>46323</v>
      </c>
      <c r="F1868">
        <v>14</v>
      </c>
      <c r="G1868" t="s">
        <v>866</v>
      </c>
    </row>
    <row r="1869" spans="1:7">
      <c r="A1869" t="s">
        <v>4562</v>
      </c>
      <c r="B1869" t="s">
        <v>4563</v>
      </c>
      <c r="C1869">
        <v>5</v>
      </c>
      <c r="D1869" s="260">
        <v>46338</v>
      </c>
      <c r="E1869" s="260">
        <v>46344</v>
      </c>
      <c r="F1869">
        <v>14</v>
      </c>
      <c r="G1869" t="s">
        <v>866</v>
      </c>
    </row>
    <row r="1870" spans="1:7">
      <c r="A1870" t="s">
        <v>4564</v>
      </c>
      <c r="B1870" t="s">
        <v>4565</v>
      </c>
      <c r="C1870">
        <v>19</v>
      </c>
      <c r="D1870" s="260">
        <v>46309</v>
      </c>
      <c r="E1870" s="260">
        <v>46336</v>
      </c>
      <c r="F1870">
        <v>5</v>
      </c>
      <c r="G1870" t="s">
        <v>866</v>
      </c>
    </row>
    <row r="1871" spans="1:7">
      <c r="A1871" t="s">
        <v>4566</v>
      </c>
      <c r="B1871" t="s">
        <v>4567</v>
      </c>
      <c r="C1871">
        <v>5</v>
      </c>
      <c r="D1871" s="260">
        <v>46351</v>
      </c>
      <c r="E1871" s="260">
        <v>46357</v>
      </c>
      <c r="F1871">
        <v>5</v>
      </c>
      <c r="G1871" t="s">
        <v>866</v>
      </c>
    </row>
    <row r="1872" spans="1:7">
      <c r="A1872" t="s">
        <v>4568</v>
      </c>
      <c r="B1872" t="s">
        <v>4569</v>
      </c>
      <c r="C1872">
        <v>19</v>
      </c>
      <c r="D1872" s="260">
        <v>46309</v>
      </c>
      <c r="E1872" s="260">
        <v>46336</v>
      </c>
      <c r="F1872">
        <v>5</v>
      </c>
      <c r="G1872" t="s">
        <v>866</v>
      </c>
    </row>
    <row r="1873" spans="1:7">
      <c r="A1873" t="s">
        <v>4570</v>
      </c>
      <c r="B1873" t="s">
        <v>4571</v>
      </c>
      <c r="C1873">
        <v>5</v>
      </c>
      <c r="D1873" s="260">
        <v>46351</v>
      </c>
      <c r="E1873" s="260">
        <v>46357</v>
      </c>
      <c r="F1873">
        <v>5</v>
      </c>
      <c r="G1873" t="s">
        <v>866</v>
      </c>
    </row>
    <row r="1874" spans="1:7">
      <c r="A1874" t="s">
        <v>4572</v>
      </c>
      <c r="B1874" t="s">
        <v>4573</v>
      </c>
      <c r="C1874">
        <v>19</v>
      </c>
      <c r="D1874" s="260">
        <v>46309</v>
      </c>
      <c r="E1874" s="260">
        <v>46336</v>
      </c>
      <c r="F1874">
        <v>5</v>
      </c>
      <c r="G1874" t="s">
        <v>866</v>
      </c>
    </row>
    <row r="1875" spans="1:7">
      <c r="A1875" t="s">
        <v>4574</v>
      </c>
      <c r="B1875" t="s">
        <v>4575</v>
      </c>
      <c r="C1875">
        <v>5</v>
      </c>
      <c r="D1875" s="260">
        <v>46351</v>
      </c>
      <c r="E1875" s="260">
        <v>46357</v>
      </c>
      <c r="F1875">
        <v>5</v>
      </c>
      <c r="G1875" t="s">
        <v>866</v>
      </c>
    </row>
    <row r="1876" spans="1:7">
      <c r="A1876" t="s">
        <v>4576</v>
      </c>
      <c r="B1876" t="s">
        <v>4577</v>
      </c>
      <c r="C1876">
        <v>19</v>
      </c>
      <c r="D1876" s="260">
        <v>46309</v>
      </c>
      <c r="E1876" s="260">
        <v>46336</v>
      </c>
      <c r="F1876">
        <v>5</v>
      </c>
      <c r="G1876" t="s">
        <v>866</v>
      </c>
    </row>
    <row r="1877" spans="1:7">
      <c r="A1877" t="s">
        <v>4578</v>
      </c>
      <c r="B1877" t="s">
        <v>4579</v>
      </c>
      <c r="C1877">
        <v>5</v>
      </c>
      <c r="D1877" s="260">
        <v>46351</v>
      </c>
      <c r="E1877" s="260">
        <v>46357</v>
      </c>
      <c r="F1877">
        <v>5</v>
      </c>
      <c r="G1877" t="s">
        <v>866</v>
      </c>
    </row>
    <row r="1878" spans="1:7">
      <c r="A1878" t="s">
        <v>4580</v>
      </c>
      <c r="B1878" t="s">
        <v>4581</v>
      </c>
      <c r="C1878">
        <v>19</v>
      </c>
      <c r="D1878" s="260">
        <v>46309</v>
      </c>
      <c r="E1878" s="260">
        <v>46336</v>
      </c>
      <c r="F1878">
        <v>5</v>
      </c>
      <c r="G1878" t="s">
        <v>866</v>
      </c>
    </row>
    <row r="1879" spans="1:7">
      <c r="A1879" t="s">
        <v>4582</v>
      </c>
      <c r="B1879" t="s">
        <v>4583</v>
      </c>
      <c r="C1879">
        <v>5</v>
      </c>
      <c r="D1879" s="260">
        <v>46351</v>
      </c>
      <c r="E1879" s="260">
        <v>46357</v>
      </c>
      <c r="F1879">
        <v>5</v>
      </c>
      <c r="G1879" t="s">
        <v>866</v>
      </c>
    </row>
    <row r="1880" spans="1:7">
      <c r="A1880" t="s">
        <v>4584</v>
      </c>
      <c r="B1880" t="s">
        <v>4585</v>
      </c>
      <c r="C1880">
        <v>19</v>
      </c>
      <c r="D1880" s="260">
        <v>46309</v>
      </c>
      <c r="E1880" s="260">
        <v>46336</v>
      </c>
      <c r="F1880">
        <v>5</v>
      </c>
      <c r="G1880" t="s">
        <v>866</v>
      </c>
    </row>
    <row r="1881" spans="1:7">
      <c r="A1881" t="s">
        <v>4586</v>
      </c>
      <c r="B1881" t="s">
        <v>4587</v>
      </c>
      <c r="C1881">
        <v>5</v>
      </c>
      <c r="D1881" s="260">
        <v>46351</v>
      </c>
      <c r="E1881" s="260">
        <v>46357</v>
      </c>
      <c r="F1881">
        <v>5</v>
      </c>
      <c r="G1881" t="s">
        <v>866</v>
      </c>
    </row>
    <row r="1882" spans="1:7">
      <c r="A1882" t="s">
        <v>4588</v>
      </c>
      <c r="B1882" t="s">
        <v>4589</v>
      </c>
      <c r="C1882">
        <v>19</v>
      </c>
      <c r="D1882" s="260">
        <v>46309</v>
      </c>
      <c r="E1882" s="260">
        <v>46336</v>
      </c>
      <c r="F1882">
        <v>5</v>
      </c>
      <c r="G1882" t="s">
        <v>866</v>
      </c>
    </row>
    <row r="1883" spans="1:7">
      <c r="A1883" t="s">
        <v>4590</v>
      </c>
      <c r="B1883" t="s">
        <v>4591</v>
      </c>
      <c r="C1883">
        <v>5</v>
      </c>
      <c r="D1883" s="260">
        <v>46351</v>
      </c>
      <c r="E1883" s="260">
        <v>46357</v>
      </c>
      <c r="F1883">
        <v>5</v>
      </c>
      <c r="G1883" t="s">
        <v>866</v>
      </c>
    </row>
    <row r="1884" spans="1:7">
      <c r="A1884" t="s">
        <v>4592</v>
      </c>
      <c r="B1884" t="s">
        <v>4593</v>
      </c>
      <c r="C1884">
        <v>19</v>
      </c>
      <c r="D1884" s="260">
        <v>46309</v>
      </c>
      <c r="E1884" s="260">
        <v>46336</v>
      </c>
      <c r="F1884">
        <v>5</v>
      </c>
      <c r="G1884" t="s">
        <v>866</v>
      </c>
    </row>
    <row r="1885" spans="1:7">
      <c r="A1885" t="s">
        <v>4594</v>
      </c>
      <c r="B1885" t="s">
        <v>4595</v>
      </c>
      <c r="C1885">
        <v>5</v>
      </c>
      <c r="D1885" s="260">
        <v>46351</v>
      </c>
      <c r="E1885" s="260">
        <v>46357</v>
      </c>
      <c r="F1885">
        <v>5</v>
      </c>
      <c r="G1885" t="s">
        <v>866</v>
      </c>
    </row>
    <row r="1886" spans="1:7">
      <c r="A1886" t="s">
        <v>4596</v>
      </c>
      <c r="B1886" t="s">
        <v>4597</v>
      </c>
      <c r="C1886">
        <v>19</v>
      </c>
      <c r="D1886" s="260">
        <v>46309</v>
      </c>
      <c r="E1886" s="260">
        <v>46336</v>
      </c>
      <c r="F1886">
        <v>5</v>
      </c>
      <c r="G1886" t="s">
        <v>866</v>
      </c>
    </row>
    <row r="1887" spans="1:7">
      <c r="A1887" t="s">
        <v>4598</v>
      </c>
      <c r="B1887" t="s">
        <v>4599</v>
      </c>
      <c r="C1887">
        <v>5</v>
      </c>
      <c r="D1887" s="260">
        <v>46351</v>
      </c>
      <c r="E1887" s="260">
        <v>46357</v>
      </c>
      <c r="F1887">
        <v>5</v>
      </c>
      <c r="G1887" t="s">
        <v>866</v>
      </c>
    </row>
    <row r="1888" spans="1:7">
      <c r="A1888" t="s">
        <v>4600</v>
      </c>
      <c r="B1888" t="s">
        <v>4601</v>
      </c>
      <c r="C1888">
        <v>20</v>
      </c>
      <c r="D1888" s="260">
        <v>46275</v>
      </c>
      <c r="E1888" s="260">
        <v>46302</v>
      </c>
      <c r="F1888">
        <v>27</v>
      </c>
      <c r="G1888" t="s">
        <v>866</v>
      </c>
    </row>
    <row r="1889" spans="1:7">
      <c r="A1889" t="s">
        <v>4602</v>
      </c>
      <c r="B1889" t="s">
        <v>4603</v>
      </c>
      <c r="C1889">
        <v>5</v>
      </c>
      <c r="D1889" s="260">
        <v>46321</v>
      </c>
      <c r="E1889" s="260">
        <v>46325</v>
      </c>
      <c r="F1889">
        <v>27</v>
      </c>
      <c r="G1889" t="s">
        <v>866</v>
      </c>
    </row>
    <row r="1890" spans="1:7">
      <c r="A1890" t="s">
        <v>4604</v>
      </c>
      <c r="B1890" t="s">
        <v>4605</v>
      </c>
      <c r="C1890">
        <v>20</v>
      </c>
      <c r="D1890" s="260">
        <v>46275</v>
      </c>
      <c r="E1890" s="260">
        <v>46302</v>
      </c>
      <c r="F1890">
        <v>27</v>
      </c>
      <c r="G1890" t="s">
        <v>866</v>
      </c>
    </row>
    <row r="1891" spans="1:7">
      <c r="A1891" t="s">
        <v>4606</v>
      </c>
      <c r="B1891" t="s">
        <v>4607</v>
      </c>
      <c r="C1891">
        <v>5</v>
      </c>
      <c r="D1891" s="260">
        <v>46321</v>
      </c>
      <c r="E1891" s="260">
        <v>46325</v>
      </c>
      <c r="F1891">
        <v>27</v>
      </c>
      <c r="G1891" t="s">
        <v>866</v>
      </c>
    </row>
    <row r="1892" spans="1:7">
      <c r="A1892" t="s">
        <v>4608</v>
      </c>
      <c r="B1892" t="s">
        <v>4609</v>
      </c>
      <c r="C1892">
        <v>19</v>
      </c>
      <c r="D1892" s="260">
        <v>46310</v>
      </c>
      <c r="E1892" s="260">
        <v>46337</v>
      </c>
      <c r="F1892">
        <v>4</v>
      </c>
      <c r="G1892" t="s">
        <v>866</v>
      </c>
    </row>
    <row r="1893" spans="1:7">
      <c r="A1893" t="s">
        <v>4610</v>
      </c>
      <c r="B1893" t="s">
        <v>4611</v>
      </c>
      <c r="C1893">
        <v>5</v>
      </c>
      <c r="D1893" s="260">
        <v>46352</v>
      </c>
      <c r="E1893" s="260">
        <v>46358</v>
      </c>
      <c r="F1893">
        <v>4</v>
      </c>
      <c r="G1893" t="s">
        <v>866</v>
      </c>
    </row>
    <row r="1894" spans="1:7">
      <c r="A1894" t="s">
        <v>4612</v>
      </c>
      <c r="B1894" t="s">
        <v>4613</v>
      </c>
      <c r="C1894">
        <v>20</v>
      </c>
      <c r="D1894" s="260">
        <v>46301</v>
      </c>
      <c r="E1894" s="260">
        <v>46330</v>
      </c>
      <c r="F1894">
        <v>16</v>
      </c>
      <c r="G1894" t="s">
        <v>866</v>
      </c>
    </row>
    <row r="1895" spans="1:7">
      <c r="A1895" t="s">
        <v>4614</v>
      </c>
      <c r="B1895" t="s">
        <v>4615</v>
      </c>
      <c r="C1895">
        <v>3</v>
      </c>
      <c r="D1895" s="260">
        <v>46338</v>
      </c>
      <c r="E1895" s="260">
        <v>46342</v>
      </c>
      <c r="F1895">
        <v>16</v>
      </c>
      <c r="G1895" t="s">
        <v>866</v>
      </c>
    </row>
    <row r="1896" spans="1:7">
      <c r="A1896" t="s">
        <v>4616</v>
      </c>
      <c r="B1896" t="s">
        <v>4617</v>
      </c>
      <c r="C1896">
        <v>19</v>
      </c>
      <c r="D1896" s="260">
        <v>46309</v>
      </c>
      <c r="E1896" s="260">
        <v>46336</v>
      </c>
      <c r="F1896">
        <v>5</v>
      </c>
      <c r="G1896" t="s">
        <v>866</v>
      </c>
    </row>
    <row r="1897" spans="1:7">
      <c r="A1897" t="s">
        <v>4618</v>
      </c>
      <c r="B1897" t="s">
        <v>4619</v>
      </c>
      <c r="C1897">
        <v>5</v>
      </c>
      <c r="D1897" s="260">
        <v>46351</v>
      </c>
      <c r="E1897" s="260">
        <v>46357</v>
      </c>
      <c r="F1897">
        <v>5</v>
      </c>
      <c r="G1897" t="s">
        <v>866</v>
      </c>
    </row>
    <row r="1898" spans="1:7">
      <c r="A1898" t="s">
        <v>4620</v>
      </c>
      <c r="B1898" t="s">
        <v>4621</v>
      </c>
      <c r="C1898">
        <v>19</v>
      </c>
      <c r="D1898" s="260">
        <v>46309</v>
      </c>
      <c r="E1898" s="260">
        <v>46336</v>
      </c>
      <c r="F1898">
        <v>5</v>
      </c>
      <c r="G1898" t="s">
        <v>866</v>
      </c>
    </row>
    <row r="1899" spans="1:7">
      <c r="A1899" t="s">
        <v>4622</v>
      </c>
      <c r="B1899" t="s">
        <v>4623</v>
      </c>
      <c r="C1899">
        <v>5</v>
      </c>
      <c r="D1899" s="260">
        <v>46351</v>
      </c>
      <c r="E1899" s="260">
        <v>46357</v>
      </c>
      <c r="F1899">
        <v>5</v>
      </c>
      <c r="G1899" t="s">
        <v>866</v>
      </c>
    </row>
    <row r="1900" spans="1:7">
      <c r="A1900" t="s">
        <v>4624</v>
      </c>
      <c r="B1900" t="s">
        <v>4625</v>
      </c>
      <c r="C1900">
        <v>19</v>
      </c>
      <c r="D1900" s="260">
        <v>46309</v>
      </c>
      <c r="E1900" s="260">
        <v>46336</v>
      </c>
      <c r="F1900">
        <v>5</v>
      </c>
      <c r="G1900" t="s">
        <v>866</v>
      </c>
    </row>
    <row r="1901" spans="1:7">
      <c r="A1901" t="s">
        <v>4626</v>
      </c>
      <c r="B1901" t="s">
        <v>4627</v>
      </c>
      <c r="C1901">
        <v>5</v>
      </c>
      <c r="D1901" s="260">
        <v>46351</v>
      </c>
      <c r="E1901" s="260">
        <v>46357</v>
      </c>
      <c r="F1901">
        <v>5</v>
      </c>
      <c r="G1901" t="s">
        <v>866</v>
      </c>
    </row>
    <row r="1902" spans="1:7">
      <c r="A1902" t="s">
        <v>4628</v>
      </c>
      <c r="B1902" t="s">
        <v>4629</v>
      </c>
      <c r="C1902">
        <v>19</v>
      </c>
      <c r="D1902" s="260">
        <v>46309</v>
      </c>
      <c r="E1902" s="260">
        <v>46336</v>
      </c>
      <c r="F1902">
        <v>5</v>
      </c>
      <c r="G1902" t="s">
        <v>866</v>
      </c>
    </row>
    <row r="1903" spans="1:7">
      <c r="A1903" t="s">
        <v>4630</v>
      </c>
      <c r="B1903" t="s">
        <v>4631</v>
      </c>
      <c r="C1903">
        <v>5</v>
      </c>
      <c r="D1903" s="260">
        <v>46351</v>
      </c>
      <c r="E1903" s="260">
        <v>46357</v>
      </c>
      <c r="F1903">
        <v>5</v>
      </c>
      <c r="G1903" t="s">
        <v>866</v>
      </c>
    </row>
    <row r="1904" spans="1:7">
      <c r="A1904" t="s">
        <v>4632</v>
      </c>
      <c r="B1904" t="s">
        <v>4633</v>
      </c>
      <c r="C1904">
        <v>15</v>
      </c>
      <c r="D1904" s="260">
        <v>46311</v>
      </c>
      <c r="E1904" s="260">
        <v>46332</v>
      </c>
      <c r="F1904">
        <v>7</v>
      </c>
      <c r="G1904" t="s">
        <v>866</v>
      </c>
    </row>
    <row r="1905" spans="1:7">
      <c r="A1905" t="s">
        <v>4634</v>
      </c>
      <c r="B1905" t="s">
        <v>4635</v>
      </c>
      <c r="C1905">
        <v>5</v>
      </c>
      <c r="D1905" s="260">
        <v>46349</v>
      </c>
      <c r="E1905" s="260">
        <v>46353</v>
      </c>
      <c r="F1905">
        <v>7</v>
      </c>
      <c r="G1905" t="s">
        <v>866</v>
      </c>
    </row>
    <row r="1906" spans="1:7">
      <c r="A1906" t="s">
        <v>4636</v>
      </c>
      <c r="C1906">
        <v>180</v>
      </c>
      <c r="D1906" s="260">
        <v>46106</v>
      </c>
      <c r="E1906" s="260">
        <v>46378</v>
      </c>
      <c r="F1906">
        <v>7</v>
      </c>
      <c r="G1906" t="s">
        <v>866</v>
      </c>
    </row>
    <row r="1907" spans="1:7">
      <c r="A1907" t="s">
        <v>4637</v>
      </c>
      <c r="B1907" t="s">
        <v>4638</v>
      </c>
      <c r="C1907">
        <v>10</v>
      </c>
      <c r="D1907" s="260">
        <v>46106</v>
      </c>
      <c r="E1907" s="260">
        <v>46120</v>
      </c>
      <c r="F1907">
        <v>-10</v>
      </c>
      <c r="G1907" t="s">
        <v>866</v>
      </c>
    </row>
    <row r="1908" spans="1:7">
      <c r="A1908" t="s">
        <v>4639</v>
      </c>
      <c r="B1908" t="s">
        <v>4640</v>
      </c>
      <c r="C1908">
        <v>10</v>
      </c>
      <c r="D1908" s="260">
        <v>46140</v>
      </c>
      <c r="E1908" s="260">
        <v>46154</v>
      </c>
      <c r="F1908">
        <v>142</v>
      </c>
      <c r="G1908" t="s">
        <v>866</v>
      </c>
    </row>
    <row r="1909" spans="1:7">
      <c r="A1909" t="s">
        <v>4641</v>
      </c>
      <c r="B1909" t="s">
        <v>4642</v>
      </c>
      <c r="C1909">
        <v>5</v>
      </c>
      <c r="D1909" s="260">
        <v>46169</v>
      </c>
      <c r="E1909" s="260">
        <v>46177</v>
      </c>
      <c r="F1909">
        <v>142</v>
      </c>
      <c r="G1909" t="s">
        <v>866</v>
      </c>
    </row>
    <row r="1910" spans="1:7">
      <c r="A1910" t="s">
        <v>4643</v>
      </c>
      <c r="B1910" t="s">
        <v>4644</v>
      </c>
      <c r="C1910">
        <v>10</v>
      </c>
      <c r="D1910" s="260">
        <v>46106</v>
      </c>
      <c r="E1910" s="260">
        <v>46120</v>
      </c>
      <c r="F1910">
        <v>-10</v>
      </c>
      <c r="G1910" t="s">
        <v>866</v>
      </c>
    </row>
    <row r="1911" spans="1:7">
      <c r="A1911" t="s">
        <v>4645</v>
      </c>
      <c r="B1911" t="s">
        <v>4646</v>
      </c>
      <c r="C1911">
        <v>5</v>
      </c>
      <c r="D1911" s="260">
        <v>46140</v>
      </c>
      <c r="E1911" s="260">
        <v>46147</v>
      </c>
      <c r="F1911">
        <v>28</v>
      </c>
      <c r="G1911" t="s">
        <v>866</v>
      </c>
    </row>
    <row r="1912" spans="1:7">
      <c r="A1912" t="s">
        <v>4647</v>
      </c>
      <c r="B1912" t="s">
        <v>4648</v>
      </c>
      <c r="C1912">
        <v>5</v>
      </c>
      <c r="D1912" s="260">
        <v>46162</v>
      </c>
      <c r="E1912" s="260">
        <v>46168</v>
      </c>
      <c r="F1912">
        <v>28</v>
      </c>
      <c r="G1912" t="s">
        <v>866</v>
      </c>
    </row>
    <row r="1913" spans="1:7">
      <c r="A1913" t="s">
        <v>4649</v>
      </c>
      <c r="B1913" t="s">
        <v>4650</v>
      </c>
      <c r="C1913">
        <v>15</v>
      </c>
      <c r="D1913" s="260">
        <v>46121</v>
      </c>
      <c r="E1913" s="260">
        <v>46147</v>
      </c>
      <c r="F1913">
        <v>-10</v>
      </c>
      <c r="G1913" t="s">
        <v>866</v>
      </c>
    </row>
    <row r="1914" spans="1:7">
      <c r="A1914" t="s">
        <v>4651</v>
      </c>
      <c r="B1914" t="s">
        <v>4652</v>
      </c>
      <c r="C1914">
        <v>5</v>
      </c>
      <c r="D1914" s="260">
        <v>46169</v>
      </c>
      <c r="E1914" s="260">
        <v>46177</v>
      </c>
      <c r="F1914">
        <v>28</v>
      </c>
      <c r="G1914" t="s">
        <v>866</v>
      </c>
    </row>
    <row r="1915" spans="1:7">
      <c r="A1915" t="s">
        <v>4653</v>
      </c>
      <c r="B1915" t="s">
        <v>4654</v>
      </c>
      <c r="C1915">
        <v>15</v>
      </c>
      <c r="D1915" s="260">
        <v>46121</v>
      </c>
      <c r="E1915" s="260">
        <v>46147</v>
      </c>
      <c r="F1915">
        <v>7</v>
      </c>
      <c r="G1915" t="s">
        <v>866</v>
      </c>
    </row>
    <row r="1916" spans="1:7">
      <c r="A1916" t="s">
        <v>4655</v>
      </c>
      <c r="B1916" t="s">
        <v>4656</v>
      </c>
      <c r="C1916">
        <v>5</v>
      </c>
      <c r="D1916" s="260">
        <v>46169</v>
      </c>
      <c r="E1916" s="260">
        <v>46177</v>
      </c>
      <c r="F1916">
        <v>87</v>
      </c>
      <c r="G1916" t="s">
        <v>866</v>
      </c>
    </row>
    <row r="1917" spans="1:7">
      <c r="A1917" t="s">
        <v>4657</v>
      </c>
      <c r="B1917" t="s">
        <v>4658</v>
      </c>
      <c r="C1917">
        <v>20</v>
      </c>
      <c r="D1917" s="260">
        <v>46148</v>
      </c>
      <c r="E1917" s="260">
        <v>46177</v>
      </c>
      <c r="F1917">
        <v>7</v>
      </c>
      <c r="G1917" t="s">
        <v>866</v>
      </c>
    </row>
    <row r="1918" spans="1:7">
      <c r="A1918" t="s">
        <v>4659</v>
      </c>
      <c r="B1918" t="s">
        <v>4660</v>
      </c>
      <c r="C1918">
        <v>10</v>
      </c>
      <c r="D1918" s="260">
        <v>46192</v>
      </c>
      <c r="E1918" s="260">
        <v>46205</v>
      </c>
      <c r="F1918">
        <v>42</v>
      </c>
      <c r="G1918" t="s">
        <v>866</v>
      </c>
    </row>
    <row r="1919" spans="1:7">
      <c r="A1919" t="s">
        <v>4661</v>
      </c>
      <c r="B1919" t="s">
        <v>4662</v>
      </c>
      <c r="C1919">
        <v>5</v>
      </c>
      <c r="D1919" s="260">
        <v>46220</v>
      </c>
      <c r="E1919" s="260">
        <v>46226</v>
      </c>
      <c r="F1919">
        <v>57</v>
      </c>
      <c r="G1919" t="s">
        <v>866</v>
      </c>
    </row>
    <row r="1920" spans="1:7">
      <c r="A1920" t="s">
        <v>4663</v>
      </c>
      <c r="B1920" t="s">
        <v>4664</v>
      </c>
      <c r="C1920">
        <v>20</v>
      </c>
      <c r="D1920" s="260">
        <v>46148</v>
      </c>
      <c r="E1920" s="260">
        <v>46177</v>
      </c>
      <c r="F1920">
        <v>7</v>
      </c>
      <c r="G1920" t="s">
        <v>866</v>
      </c>
    </row>
    <row r="1921" spans="1:7">
      <c r="A1921" t="s">
        <v>4665</v>
      </c>
      <c r="B1921" t="s">
        <v>4666</v>
      </c>
      <c r="C1921">
        <v>10</v>
      </c>
      <c r="D1921" s="260">
        <v>46192</v>
      </c>
      <c r="E1921" s="260">
        <v>46205</v>
      </c>
      <c r="F1921">
        <v>42</v>
      </c>
      <c r="G1921" t="s">
        <v>866</v>
      </c>
    </row>
    <row r="1922" spans="1:7">
      <c r="A1922" t="s">
        <v>4667</v>
      </c>
      <c r="B1922" t="s">
        <v>4668</v>
      </c>
      <c r="C1922">
        <v>5</v>
      </c>
      <c r="D1922" s="260">
        <v>46220</v>
      </c>
      <c r="E1922" s="260">
        <v>46226</v>
      </c>
      <c r="F1922">
        <v>57</v>
      </c>
      <c r="G1922" t="s">
        <v>866</v>
      </c>
    </row>
    <row r="1923" spans="1:7">
      <c r="A1923" t="s">
        <v>4669</v>
      </c>
      <c r="B1923" t="s">
        <v>4670</v>
      </c>
      <c r="C1923">
        <v>20</v>
      </c>
      <c r="D1923" s="260">
        <v>46162</v>
      </c>
      <c r="E1923" s="260">
        <v>46191</v>
      </c>
      <c r="F1923">
        <v>7</v>
      </c>
      <c r="G1923" t="s">
        <v>866</v>
      </c>
    </row>
    <row r="1924" spans="1:7">
      <c r="A1924" t="s">
        <v>4671</v>
      </c>
      <c r="B1924" t="s">
        <v>4672</v>
      </c>
      <c r="C1924">
        <v>10</v>
      </c>
      <c r="D1924" s="260">
        <v>46206</v>
      </c>
      <c r="E1924" s="260">
        <v>46219</v>
      </c>
      <c r="F1924">
        <v>32</v>
      </c>
      <c r="G1924" t="s">
        <v>866</v>
      </c>
    </row>
    <row r="1925" spans="1:7">
      <c r="A1925" t="s">
        <v>4673</v>
      </c>
      <c r="B1925" t="s">
        <v>4674</v>
      </c>
      <c r="C1925">
        <v>5</v>
      </c>
      <c r="D1925" s="260">
        <v>46239</v>
      </c>
      <c r="E1925" s="260">
        <v>46245</v>
      </c>
      <c r="F1925">
        <v>47</v>
      </c>
      <c r="G1925" t="s">
        <v>866</v>
      </c>
    </row>
    <row r="1926" spans="1:7">
      <c r="A1926" t="s">
        <v>4675</v>
      </c>
      <c r="B1926" t="s">
        <v>4676</v>
      </c>
      <c r="C1926">
        <v>20</v>
      </c>
      <c r="D1926" s="260">
        <v>46162</v>
      </c>
      <c r="E1926" s="260">
        <v>46191</v>
      </c>
      <c r="F1926">
        <v>7</v>
      </c>
      <c r="G1926" t="s">
        <v>866</v>
      </c>
    </row>
    <row r="1927" spans="1:7">
      <c r="A1927" t="s">
        <v>4677</v>
      </c>
      <c r="B1927" t="s">
        <v>4678</v>
      </c>
      <c r="C1927">
        <v>10</v>
      </c>
      <c r="D1927" s="260">
        <v>46206</v>
      </c>
      <c r="E1927" s="260">
        <v>46219</v>
      </c>
      <c r="F1927">
        <v>32</v>
      </c>
      <c r="G1927" t="s">
        <v>866</v>
      </c>
    </row>
    <row r="1928" spans="1:7">
      <c r="A1928" t="s">
        <v>4679</v>
      </c>
      <c r="B1928" t="s">
        <v>4680</v>
      </c>
      <c r="C1928">
        <v>5</v>
      </c>
      <c r="D1928" s="260">
        <v>46239</v>
      </c>
      <c r="E1928" s="260">
        <v>46245</v>
      </c>
      <c r="F1928">
        <v>47</v>
      </c>
      <c r="G1928" t="s">
        <v>866</v>
      </c>
    </row>
    <row r="1929" spans="1:7">
      <c r="A1929" t="s">
        <v>4681</v>
      </c>
      <c r="B1929" t="s">
        <v>4682</v>
      </c>
      <c r="C1929">
        <v>15</v>
      </c>
      <c r="D1929" s="260">
        <v>46192</v>
      </c>
      <c r="E1929" s="260">
        <v>46212</v>
      </c>
      <c r="F1929">
        <v>7</v>
      </c>
      <c r="G1929" t="s">
        <v>866</v>
      </c>
    </row>
    <row r="1930" spans="1:7">
      <c r="A1930" t="s">
        <v>4683</v>
      </c>
      <c r="B1930" t="s">
        <v>4684</v>
      </c>
      <c r="C1930">
        <v>10</v>
      </c>
      <c r="D1930" s="260">
        <v>46227</v>
      </c>
      <c r="E1930" s="260">
        <v>46245</v>
      </c>
      <c r="F1930">
        <v>27</v>
      </c>
      <c r="G1930" t="s">
        <v>866</v>
      </c>
    </row>
    <row r="1931" spans="1:7">
      <c r="A1931" t="s">
        <v>4685</v>
      </c>
      <c r="B1931" t="s">
        <v>4686</v>
      </c>
      <c r="C1931">
        <v>5</v>
      </c>
      <c r="D1931" s="260">
        <v>46261</v>
      </c>
      <c r="E1931" s="260">
        <v>46267</v>
      </c>
      <c r="F1931">
        <v>37</v>
      </c>
      <c r="G1931" t="s">
        <v>866</v>
      </c>
    </row>
    <row r="1932" spans="1:7">
      <c r="A1932" t="s">
        <v>4687</v>
      </c>
      <c r="B1932" t="s">
        <v>4688</v>
      </c>
      <c r="C1932">
        <v>15</v>
      </c>
      <c r="D1932" s="260">
        <v>46192</v>
      </c>
      <c r="E1932" s="260">
        <v>46212</v>
      </c>
      <c r="F1932">
        <v>62</v>
      </c>
      <c r="G1932" t="s">
        <v>866</v>
      </c>
    </row>
    <row r="1933" spans="1:7">
      <c r="A1933" t="s">
        <v>4689</v>
      </c>
      <c r="B1933" t="s">
        <v>4690</v>
      </c>
      <c r="C1933">
        <v>10</v>
      </c>
      <c r="D1933" s="260">
        <v>46227</v>
      </c>
      <c r="E1933" s="260">
        <v>46245</v>
      </c>
      <c r="F1933">
        <v>67</v>
      </c>
      <c r="G1933" t="s">
        <v>866</v>
      </c>
    </row>
    <row r="1934" spans="1:7">
      <c r="A1934" t="s">
        <v>4691</v>
      </c>
      <c r="B1934" t="s">
        <v>4692</v>
      </c>
      <c r="C1934">
        <v>10</v>
      </c>
      <c r="D1934" s="260">
        <v>46261</v>
      </c>
      <c r="E1934" s="260">
        <v>46274</v>
      </c>
      <c r="F1934">
        <v>67</v>
      </c>
      <c r="G1934" t="s">
        <v>866</v>
      </c>
    </row>
    <row r="1935" spans="1:7">
      <c r="A1935" t="s">
        <v>4693</v>
      </c>
      <c r="B1935" t="s">
        <v>4694</v>
      </c>
      <c r="C1935">
        <v>15</v>
      </c>
      <c r="D1935" s="260">
        <v>46192</v>
      </c>
      <c r="E1935" s="260">
        <v>46212</v>
      </c>
      <c r="F1935">
        <v>7</v>
      </c>
      <c r="G1935" t="s">
        <v>866</v>
      </c>
    </row>
    <row r="1936" spans="1:7">
      <c r="A1936" t="s">
        <v>4695</v>
      </c>
      <c r="B1936" t="s">
        <v>4696</v>
      </c>
      <c r="C1936">
        <v>10</v>
      </c>
      <c r="D1936" s="260">
        <v>46227</v>
      </c>
      <c r="E1936" s="260">
        <v>46245</v>
      </c>
      <c r="F1936">
        <v>27</v>
      </c>
      <c r="G1936" t="s">
        <v>866</v>
      </c>
    </row>
    <row r="1937" spans="1:7">
      <c r="A1937" t="s">
        <v>4697</v>
      </c>
      <c r="B1937" t="s">
        <v>4698</v>
      </c>
      <c r="C1937">
        <v>10</v>
      </c>
      <c r="D1937" s="260">
        <v>46261</v>
      </c>
      <c r="E1937" s="260">
        <v>46274</v>
      </c>
      <c r="F1937">
        <v>32</v>
      </c>
      <c r="G1937" t="s">
        <v>866</v>
      </c>
    </row>
    <row r="1938" spans="1:7">
      <c r="A1938" t="s">
        <v>4699</v>
      </c>
      <c r="B1938" t="s">
        <v>4700</v>
      </c>
      <c r="C1938">
        <v>15</v>
      </c>
      <c r="D1938" s="260">
        <v>46199</v>
      </c>
      <c r="E1938" s="260">
        <v>46219</v>
      </c>
      <c r="F1938">
        <v>7</v>
      </c>
      <c r="G1938" t="s">
        <v>866</v>
      </c>
    </row>
    <row r="1939" spans="1:7">
      <c r="A1939" t="s">
        <v>4701</v>
      </c>
      <c r="B1939" t="s">
        <v>4702</v>
      </c>
      <c r="C1939">
        <v>10</v>
      </c>
      <c r="D1939" s="260">
        <v>46247</v>
      </c>
      <c r="E1939" s="260">
        <v>46260</v>
      </c>
      <c r="F1939">
        <v>27</v>
      </c>
      <c r="G1939" t="s">
        <v>866</v>
      </c>
    </row>
    <row r="1940" spans="1:7">
      <c r="A1940" t="s">
        <v>4703</v>
      </c>
      <c r="B1940" t="s">
        <v>4704</v>
      </c>
      <c r="C1940">
        <v>10</v>
      </c>
      <c r="D1940" s="260">
        <v>46275</v>
      </c>
      <c r="E1940" s="260">
        <v>46288</v>
      </c>
      <c r="F1940">
        <v>32</v>
      </c>
      <c r="G1940" t="s">
        <v>866</v>
      </c>
    </row>
    <row r="1941" spans="1:7">
      <c r="A1941" t="s">
        <v>4705</v>
      </c>
      <c r="B1941" t="s">
        <v>4706</v>
      </c>
      <c r="C1941">
        <v>15</v>
      </c>
      <c r="D1941" s="260">
        <v>46199</v>
      </c>
      <c r="E1941" s="260">
        <v>46219</v>
      </c>
      <c r="F1941">
        <v>7</v>
      </c>
      <c r="G1941" t="s">
        <v>866</v>
      </c>
    </row>
    <row r="1942" spans="1:7">
      <c r="A1942" t="s">
        <v>4707</v>
      </c>
      <c r="B1942" t="s">
        <v>4708</v>
      </c>
      <c r="C1942">
        <v>10</v>
      </c>
      <c r="D1942" s="260">
        <v>46261</v>
      </c>
      <c r="E1942" s="260">
        <v>46274</v>
      </c>
      <c r="F1942">
        <v>27</v>
      </c>
      <c r="G1942" t="s">
        <v>866</v>
      </c>
    </row>
    <row r="1943" spans="1:7">
      <c r="A1943" t="s">
        <v>4709</v>
      </c>
      <c r="B1943" t="s">
        <v>4710</v>
      </c>
      <c r="C1943">
        <v>10</v>
      </c>
      <c r="D1943" s="260">
        <v>46289</v>
      </c>
      <c r="E1943" s="260">
        <v>46302</v>
      </c>
      <c r="F1943">
        <v>32</v>
      </c>
      <c r="G1943" t="s">
        <v>866</v>
      </c>
    </row>
    <row r="1944" spans="1:7">
      <c r="A1944" t="s">
        <v>4711</v>
      </c>
      <c r="B1944" t="s">
        <v>4712</v>
      </c>
      <c r="C1944">
        <v>20</v>
      </c>
      <c r="D1944" s="260">
        <v>46220</v>
      </c>
      <c r="E1944" s="260">
        <v>46253</v>
      </c>
      <c r="F1944">
        <v>7</v>
      </c>
      <c r="G1944" t="s">
        <v>866</v>
      </c>
    </row>
    <row r="1945" spans="1:7">
      <c r="A1945" t="s">
        <v>4713</v>
      </c>
      <c r="B1945" t="s">
        <v>4714</v>
      </c>
      <c r="C1945">
        <v>15</v>
      </c>
      <c r="D1945" s="260">
        <v>46268</v>
      </c>
      <c r="E1945" s="260">
        <v>46288</v>
      </c>
      <c r="F1945">
        <v>22</v>
      </c>
      <c r="G1945" t="s">
        <v>866</v>
      </c>
    </row>
    <row r="1946" spans="1:7">
      <c r="A1946" t="s">
        <v>4715</v>
      </c>
      <c r="B1946" t="s">
        <v>4716</v>
      </c>
      <c r="C1946">
        <v>15</v>
      </c>
      <c r="D1946" s="260">
        <v>46303</v>
      </c>
      <c r="E1946" s="260">
        <v>46325</v>
      </c>
      <c r="F1946">
        <v>22</v>
      </c>
      <c r="G1946" t="s">
        <v>866</v>
      </c>
    </row>
    <row r="1947" spans="1:7">
      <c r="A1947" t="s">
        <v>4717</v>
      </c>
      <c r="B1947" t="s">
        <v>4718</v>
      </c>
      <c r="C1947">
        <v>15</v>
      </c>
      <c r="D1947" s="260">
        <v>46254</v>
      </c>
      <c r="E1947" s="260">
        <v>46274</v>
      </c>
      <c r="F1947">
        <v>7</v>
      </c>
      <c r="G1947" t="s">
        <v>866</v>
      </c>
    </row>
    <row r="1948" spans="1:7">
      <c r="A1948" t="s">
        <v>4719</v>
      </c>
      <c r="B1948" t="s">
        <v>4720</v>
      </c>
      <c r="C1948">
        <v>10</v>
      </c>
      <c r="D1948" s="260">
        <v>46289</v>
      </c>
      <c r="E1948" s="260">
        <v>46302</v>
      </c>
      <c r="F1948">
        <v>22</v>
      </c>
      <c r="G1948" t="s">
        <v>866</v>
      </c>
    </row>
    <row r="1949" spans="1:7">
      <c r="A1949" t="s">
        <v>4721</v>
      </c>
      <c r="B1949" t="s">
        <v>4722</v>
      </c>
      <c r="C1949">
        <v>10</v>
      </c>
      <c r="D1949" s="260">
        <v>46321</v>
      </c>
      <c r="E1949" s="260">
        <v>46332</v>
      </c>
      <c r="F1949">
        <v>22</v>
      </c>
      <c r="G1949" t="s">
        <v>866</v>
      </c>
    </row>
    <row r="1950" spans="1:7">
      <c r="A1950" t="s">
        <v>4723</v>
      </c>
      <c r="B1950" t="s">
        <v>4724</v>
      </c>
      <c r="C1950">
        <v>15</v>
      </c>
      <c r="D1950" s="260">
        <v>46192</v>
      </c>
      <c r="E1950" s="260">
        <v>46212</v>
      </c>
      <c r="F1950">
        <v>77</v>
      </c>
      <c r="G1950" t="s">
        <v>866</v>
      </c>
    </row>
    <row r="1951" spans="1:7">
      <c r="A1951" t="s">
        <v>4725</v>
      </c>
      <c r="B1951" t="s">
        <v>4726</v>
      </c>
      <c r="C1951">
        <v>10</v>
      </c>
      <c r="D1951" s="260">
        <v>46227</v>
      </c>
      <c r="E1951" s="260">
        <v>46245</v>
      </c>
      <c r="F1951">
        <v>77</v>
      </c>
      <c r="G1951" t="s">
        <v>866</v>
      </c>
    </row>
    <row r="1952" spans="1:7">
      <c r="A1952" t="s">
        <v>4727</v>
      </c>
      <c r="B1952" t="s">
        <v>4728</v>
      </c>
      <c r="C1952">
        <v>10</v>
      </c>
      <c r="D1952" s="260">
        <v>46261</v>
      </c>
      <c r="E1952" s="260">
        <v>46274</v>
      </c>
      <c r="F1952">
        <v>77</v>
      </c>
      <c r="G1952" t="s">
        <v>866</v>
      </c>
    </row>
    <row r="1953" spans="1:7">
      <c r="A1953" t="s">
        <v>4729</v>
      </c>
      <c r="B1953" t="s">
        <v>4730</v>
      </c>
      <c r="C1953">
        <v>15</v>
      </c>
      <c r="D1953" s="260">
        <v>46199</v>
      </c>
      <c r="E1953" s="260">
        <v>46219</v>
      </c>
      <c r="F1953">
        <v>72</v>
      </c>
      <c r="G1953" t="s">
        <v>866</v>
      </c>
    </row>
    <row r="1954" spans="1:7">
      <c r="A1954" t="s">
        <v>4731</v>
      </c>
      <c r="B1954" t="s">
        <v>4732</v>
      </c>
      <c r="C1954">
        <v>10</v>
      </c>
      <c r="D1954" s="260">
        <v>46239</v>
      </c>
      <c r="E1954" s="260">
        <v>46253</v>
      </c>
      <c r="F1954">
        <v>72</v>
      </c>
      <c r="G1954" t="s">
        <v>866</v>
      </c>
    </row>
    <row r="1955" spans="1:7">
      <c r="A1955" t="s">
        <v>4733</v>
      </c>
      <c r="B1955" t="s">
        <v>4734</v>
      </c>
      <c r="C1955">
        <v>10</v>
      </c>
      <c r="D1955" s="260">
        <v>46268</v>
      </c>
      <c r="E1955" s="260">
        <v>46281</v>
      </c>
      <c r="F1955">
        <v>72</v>
      </c>
      <c r="G1955" t="s">
        <v>866</v>
      </c>
    </row>
    <row r="1956" spans="1:7">
      <c r="A1956" t="s">
        <v>4735</v>
      </c>
      <c r="B1956" t="s">
        <v>4736</v>
      </c>
      <c r="C1956">
        <v>15</v>
      </c>
      <c r="D1956" s="260">
        <v>46199</v>
      </c>
      <c r="E1956" s="260">
        <v>46219</v>
      </c>
      <c r="F1956">
        <v>72</v>
      </c>
      <c r="G1956" t="s">
        <v>866</v>
      </c>
    </row>
    <row r="1957" spans="1:7">
      <c r="A1957" t="s">
        <v>4737</v>
      </c>
      <c r="B1957" t="s">
        <v>4738</v>
      </c>
      <c r="C1957">
        <v>10</v>
      </c>
      <c r="D1957" s="260">
        <v>46239</v>
      </c>
      <c r="E1957" s="260">
        <v>46253</v>
      </c>
      <c r="F1957">
        <v>72</v>
      </c>
      <c r="G1957" t="s">
        <v>866</v>
      </c>
    </row>
    <row r="1958" spans="1:7">
      <c r="A1958" t="s">
        <v>4739</v>
      </c>
      <c r="B1958" t="s">
        <v>4740</v>
      </c>
      <c r="C1958">
        <v>10</v>
      </c>
      <c r="D1958" s="260">
        <v>46268</v>
      </c>
      <c r="E1958" s="260">
        <v>46281</v>
      </c>
      <c r="F1958">
        <v>72</v>
      </c>
      <c r="G1958" t="s">
        <v>866</v>
      </c>
    </row>
    <row r="1959" spans="1:7">
      <c r="A1959" t="s">
        <v>4741</v>
      </c>
      <c r="B1959" t="s">
        <v>4742</v>
      </c>
      <c r="C1959">
        <v>20</v>
      </c>
      <c r="D1959" s="260">
        <v>46220</v>
      </c>
      <c r="E1959" s="260">
        <v>46253</v>
      </c>
      <c r="F1959">
        <v>22</v>
      </c>
      <c r="G1959" t="s">
        <v>866</v>
      </c>
    </row>
    <row r="1960" spans="1:7">
      <c r="A1960" t="s">
        <v>4743</v>
      </c>
      <c r="B1960" t="s">
        <v>4744</v>
      </c>
      <c r="C1960">
        <v>15</v>
      </c>
      <c r="D1960" s="260">
        <v>46268</v>
      </c>
      <c r="E1960" s="260">
        <v>46288</v>
      </c>
      <c r="F1960">
        <v>22</v>
      </c>
      <c r="G1960" t="s">
        <v>866</v>
      </c>
    </row>
    <row r="1961" spans="1:7">
      <c r="A1961" t="s">
        <v>4745</v>
      </c>
      <c r="B1961" t="s">
        <v>4746</v>
      </c>
      <c r="C1961">
        <v>15</v>
      </c>
      <c r="D1961" s="260">
        <v>46303</v>
      </c>
      <c r="E1961" s="260">
        <v>46325</v>
      </c>
      <c r="F1961">
        <v>22</v>
      </c>
      <c r="G1961" t="s">
        <v>866</v>
      </c>
    </row>
    <row r="1962" spans="1:7">
      <c r="A1962" t="s">
        <v>4747</v>
      </c>
      <c r="B1962" t="s">
        <v>4748</v>
      </c>
      <c r="C1962">
        <v>15</v>
      </c>
      <c r="D1962" s="260">
        <v>46254</v>
      </c>
      <c r="E1962" s="260">
        <v>46274</v>
      </c>
      <c r="F1962">
        <v>7</v>
      </c>
      <c r="G1962" t="s">
        <v>866</v>
      </c>
    </row>
    <row r="1963" spans="1:7">
      <c r="A1963" t="s">
        <v>4749</v>
      </c>
      <c r="B1963" t="s">
        <v>4750</v>
      </c>
      <c r="C1963">
        <v>10</v>
      </c>
      <c r="D1963" s="260">
        <v>46289</v>
      </c>
      <c r="E1963" s="260">
        <v>46302</v>
      </c>
      <c r="F1963">
        <v>22</v>
      </c>
      <c r="G1963" t="s">
        <v>866</v>
      </c>
    </row>
    <row r="1964" spans="1:7">
      <c r="A1964" t="s">
        <v>4751</v>
      </c>
      <c r="B1964" t="s">
        <v>4752</v>
      </c>
      <c r="C1964">
        <v>10</v>
      </c>
      <c r="D1964" s="260">
        <v>46321</v>
      </c>
      <c r="E1964" s="260">
        <v>46332</v>
      </c>
      <c r="F1964">
        <v>22</v>
      </c>
      <c r="G1964" t="s">
        <v>866</v>
      </c>
    </row>
    <row r="1965" spans="1:7">
      <c r="A1965" t="s">
        <v>4753</v>
      </c>
      <c r="B1965" t="s">
        <v>4754</v>
      </c>
      <c r="C1965">
        <v>15</v>
      </c>
      <c r="D1965" s="260">
        <v>46192</v>
      </c>
      <c r="E1965" s="260">
        <v>46212</v>
      </c>
      <c r="F1965">
        <v>77</v>
      </c>
      <c r="G1965" t="s">
        <v>866</v>
      </c>
    </row>
    <row r="1966" spans="1:7">
      <c r="A1966" t="s">
        <v>4755</v>
      </c>
      <c r="B1966" t="s">
        <v>4756</v>
      </c>
      <c r="C1966">
        <v>10</v>
      </c>
      <c r="D1966" s="260">
        <v>46227</v>
      </c>
      <c r="E1966" s="260">
        <v>46245</v>
      </c>
      <c r="F1966">
        <v>77</v>
      </c>
      <c r="G1966" t="s">
        <v>866</v>
      </c>
    </row>
    <row r="1967" spans="1:7">
      <c r="A1967" t="s">
        <v>4757</v>
      </c>
      <c r="B1967" t="s">
        <v>4758</v>
      </c>
      <c r="C1967">
        <v>10</v>
      </c>
      <c r="D1967" s="260">
        <v>46261</v>
      </c>
      <c r="E1967" s="260">
        <v>46274</v>
      </c>
      <c r="F1967">
        <v>77</v>
      </c>
      <c r="G1967" t="s">
        <v>866</v>
      </c>
    </row>
    <row r="1968" spans="1:7">
      <c r="A1968" t="s">
        <v>4759</v>
      </c>
      <c r="B1968" t="s">
        <v>4760</v>
      </c>
      <c r="C1968">
        <v>15</v>
      </c>
      <c r="D1968" s="260">
        <v>46213</v>
      </c>
      <c r="E1968" s="260">
        <v>46238</v>
      </c>
      <c r="F1968">
        <v>62</v>
      </c>
      <c r="G1968" t="s">
        <v>866</v>
      </c>
    </row>
    <row r="1969" spans="1:7">
      <c r="A1969" t="s">
        <v>4761</v>
      </c>
      <c r="B1969" t="s">
        <v>4762</v>
      </c>
      <c r="C1969">
        <v>10</v>
      </c>
      <c r="D1969" s="260">
        <v>46254</v>
      </c>
      <c r="E1969" s="260">
        <v>46267</v>
      </c>
      <c r="F1969">
        <v>62</v>
      </c>
      <c r="G1969" t="s">
        <v>866</v>
      </c>
    </row>
    <row r="1970" spans="1:7">
      <c r="A1970" t="s">
        <v>4763</v>
      </c>
      <c r="B1970" t="s">
        <v>4764</v>
      </c>
      <c r="C1970">
        <v>10</v>
      </c>
      <c r="D1970" s="260">
        <v>46275</v>
      </c>
      <c r="E1970" s="260">
        <v>46288</v>
      </c>
      <c r="F1970">
        <v>67</v>
      </c>
      <c r="G1970" t="s">
        <v>866</v>
      </c>
    </row>
    <row r="1971" spans="1:7">
      <c r="A1971" t="s">
        <v>4765</v>
      </c>
      <c r="B1971" t="s">
        <v>4766</v>
      </c>
      <c r="C1971">
        <v>15</v>
      </c>
      <c r="D1971" s="260">
        <v>46220</v>
      </c>
      <c r="E1971" s="260">
        <v>46245</v>
      </c>
      <c r="F1971">
        <v>37</v>
      </c>
      <c r="G1971" t="s">
        <v>866</v>
      </c>
    </row>
    <row r="1972" spans="1:7">
      <c r="A1972" t="s">
        <v>4767</v>
      </c>
      <c r="B1972" t="s">
        <v>4768</v>
      </c>
      <c r="C1972">
        <v>10</v>
      </c>
      <c r="D1972" s="260">
        <v>46261</v>
      </c>
      <c r="E1972" s="260">
        <v>46274</v>
      </c>
      <c r="F1972">
        <v>37</v>
      </c>
      <c r="G1972" t="s">
        <v>866</v>
      </c>
    </row>
    <row r="1973" spans="1:7">
      <c r="A1973" t="s">
        <v>4769</v>
      </c>
      <c r="B1973" t="s">
        <v>4770</v>
      </c>
      <c r="C1973">
        <v>10</v>
      </c>
      <c r="D1973" s="260">
        <v>46289</v>
      </c>
      <c r="E1973" s="260">
        <v>46302</v>
      </c>
      <c r="F1973">
        <v>37</v>
      </c>
      <c r="G1973" t="s">
        <v>866</v>
      </c>
    </row>
    <row r="1974" spans="1:7">
      <c r="A1974" t="s">
        <v>4771</v>
      </c>
      <c r="B1974" t="s">
        <v>4772</v>
      </c>
      <c r="C1974">
        <v>15</v>
      </c>
      <c r="D1974" s="260">
        <v>46239</v>
      </c>
      <c r="E1974" s="260">
        <v>46260</v>
      </c>
      <c r="F1974">
        <v>37</v>
      </c>
      <c r="G1974" t="s">
        <v>866</v>
      </c>
    </row>
    <row r="1975" spans="1:7">
      <c r="A1975" t="s">
        <v>4773</v>
      </c>
      <c r="B1975" t="s">
        <v>4774</v>
      </c>
      <c r="C1975">
        <v>10</v>
      </c>
      <c r="D1975" s="260">
        <v>46275</v>
      </c>
      <c r="E1975" s="260">
        <v>46288</v>
      </c>
      <c r="F1975">
        <v>37</v>
      </c>
      <c r="G1975" t="s">
        <v>866</v>
      </c>
    </row>
    <row r="1976" spans="1:7">
      <c r="A1976" t="s">
        <v>4775</v>
      </c>
      <c r="B1976" t="s">
        <v>4776</v>
      </c>
      <c r="C1976">
        <v>10</v>
      </c>
      <c r="D1976" s="260">
        <v>46303</v>
      </c>
      <c r="E1976" s="260">
        <v>46317</v>
      </c>
      <c r="F1976">
        <v>37</v>
      </c>
      <c r="G1976" t="s">
        <v>866</v>
      </c>
    </row>
    <row r="1977" spans="1:7">
      <c r="A1977" t="s">
        <v>4777</v>
      </c>
      <c r="B1977" t="s">
        <v>4778</v>
      </c>
      <c r="C1977">
        <v>15</v>
      </c>
      <c r="D1977" s="260">
        <v>46239</v>
      </c>
      <c r="E1977" s="260">
        <v>46260</v>
      </c>
      <c r="F1977">
        <v>37</v>
      </c>
      <c r="G1977" t="s">
        <v>866</v>
      </c>
    </row>
    <row r="1978" spans="1:7">
      <c r="A1978" t="s">
        <v>4779</v>
      </c>
      <c r="B1978" t="s">
        <v>4780</v>
      </c>
      <c r="C1978">
        <v>10</v>
      </c>
      <c r="D1978" s="260">
        <v>46289</v>
      </c>
      <c r="E1978" s="260">
        <v>46302</v>
      </c>
      <c r="F1978">
        <v>37</v>
      </c>
      <c r="G1978" t="s">
        <v>866</v>
      </c>
    </row>
    <row r="1979" spans="1:7">
      <c r="A1979" t="s">
        <v>4781</v>
      </c>
      <c r="B1979" t="s">
        <v>4782</v>
      </c>
      <c r="C1979">
        <v>10</v>
      </c>
      <c r="D1979" s="260">
        <v>46321</v>
      </c>
      <c r="E1979" s="260">
        <v>46332</v>
      </c>
      <c r="F1979">
        <v>37</v>
      </c>
      <c r="G1979" t="s">
        <v>866</v>
      </c>
    </row>
    <row r="1980" spans="1:7">
      <c r="A1980" t="s">
        <v>4783</v>
      </c>
      <c r="B1980" t="s">
        <v>4784</v>
      </c>
      <c r="C1980">
        <v>15</v>
      </c>
      <c r="D1980" s="260">
        <v>46254</v>
      </c>
      <c r="E1980" s="260">
        <v>46274</v>
      </c>
      <c r="F1980">
        <v>37</v>
      </c>
      <c r="G1980" t="s">
        <v>866</v>
      </c>
    </row>
    <row r="1981" spans="1:7">
      <c r="A1981" t="s">
        <v>4785</v>
      </c>
      <c r="B1981" t="s">
        <v>4786</v>
      </c>
      <c r="C1981">
        <v>10</v>
      </c>
      <c r="D1981" s="260">
        <v>46289</v>
      </c>
      <c r="E1981" s="260">
        <v>46302</v>
      </c>
      <c r="F1981">
        <v>37</v>
      </c>
      <c r="G1981" t="s">
        <v>866</v>
      </c>
    </row>
    <row r="1982" spans="1:7">
      <c r="A1982" t="s">
        <v>4787</v>
      </c>
      <c r="B1982" t="s">
        <v>4788</v>
      </c>
      <c r="C1982">
        <v>10</v>
      </c>
      <c r="D1982" s="260">
        <v>46321</v>
      </c>
      <c r="E1982" s="260">
        <v>46332</v>
      </c>
      <c r="F1982">
        <v>37</v>
      </c>
      <c r="G1982" t="s">
        <v>866</v>
      </c>
    </row>
    <row r="1983" spans="1:7">
      <c r="A1983" t="s">
        <v>4789</v>
      </c>
      <c r="B1983" t="s">
        <v>4790</v>
      </c>
      <c r="C1983">
        <v>15</v>
      </c>
      <c r="D1983" s="260">
        <v>46254</v>
      </c>
      <c r="E1983" s="260">
        <v>46274</v>
      </c>
      <c r="F1983">
        <v>37</v>
      </c>
      <c r="G1983" t="s">
        <v>866</v>
      </c>
    </row>
    <row r="1984" spans="1:7">
      <c r="A1984" t="s">
        <v>4791</v>
      </c>
      <c r="B1984" t="s">
        <v>4792</v>
      </c>
      <c r="C1984">
        <v>10</v>
      </c>
      <c r="D1984" s="260">
        <v>46289</v>
      </c>
      <c r="E1984" s="260">
        <v>46302</v>
      </c>
      <c r="F1984">
        <v>37</v>
      </c>
      <c r="G1984" t="s">
        <v>866</v>
      </c>
    </row>
    <row r="1985" spans="1:7">
      <c r="A1985" t="s">
        <v>4793</v>
      </c>
      <c r="B1985" t="s">
        <v>4794</v>
      </c>
      <c r="C1985">
        <v>10</v>
      </c>
      <c r="D1985" s="260">
        <v>46321</v>
      </c>
      <c r="E1985" s="260">
        <v>46332</v>
      </c>
      <c r="F1985">
        <v>37</v>
      </c>
      <c r="G1985" t="s">
        <v>866</v>
      </c>
    </row>
    <row r="1986" spans="1:7">
      <c r="A1986" t="s">
        <v>4795</v>
      </c>
      <c r="B1986" t="s">
        <v>4796</v>
      </c>
      <c r="C1986">
        <v>15</v>
      </c>
      <c r="D1986" s="260">
        <v>46192</v>
      </c>
      <c r="E1986" s="260">
        <v>46212</v>
      </c>
      <c r="F1986">
        <v>77</v>
      </c>
      <c r="G1986" t="s">
        <v>866</v>
      </c>
    </row>
    <row r="1987" spans="1:7">
      <c r="A1987" t="s">
        <v>4797</v>
      </c>
      <c r="B1987" t="s">
        <v>4798</v>
      </c>
      <c r="C1987">
        <v>10</v>
      </c>
      <c r="D1987" s="260">
        <v>46227</v>
      </c>
      <c r="E1987" s="260">
        <v>46245</v>
      </c>
      <c r="F1987">
        <v>77</v>
      </c>
      <c r="G1987" t="s">
        <v>866</v>
      </c>
    </row>
    <row r="1988" spans="1:7">
      <c r="A1988" t="s">
        <v>4799</v>
      </c>
      <c r="B1988" t="s">
        <v>4800</v>
      </c>
      <c r="C1988">
        <v>10</v>
      </c>
      <c r="D1988" s="260">
        <v>46261</v>
      </c>
      <c r="E1988" s="260">
        <v>46274</v>
      </c>
      <c r="F1988">
        <v>77</v>
      </c>
      <c r="G1988" t="s">
        <v>866</v>
      </c>
    </row>
    <row r="1989" spans="1:7">
      <c r="A1989" t="s">
        <v>4801</v>
      </c>
      <c r="B1989" t="s">
        <v>4802</v>
      </c>
      <c r="C1989">
        <v>15</v>
      </c>
      <c r="D1989" s="260">
        <v>46213</v>
      </c>
      <c r="E1989" s="260">
        <v>46238</v>
      </c>
      <c r="F1989">
        <v>62</v>
      </c>
      <c r="G1989" t="s">
        <v>866</v>
      </c>
    </row>
    <row r="1990" spans="1:7">
      <c r="A1990" t="s">
        <v>4803</v>
      </c>
      <c r="B1990" t="s">
        <v>4804</v>
      </c>
      <c r="C1990">
        <v>10</v>
      </c>
      <c r="D1990" s="260">
        <v>46254</v>
      </c>
      <c r="E1990" s="260">
        <v>46267</v>
      </c>
      <c r="F1990">
        <v>62</v>
      </c>
      <c r="G1990" t="s">
        <v>866</v>
      </c>
    </row>
    <row r="1991" spans="1:7">
      <c r="A1991" t="s">
        <v>4805</v>
      </c>
      <c r="B1991" t="s">
        <v>4806</v>
      </c>
      <c r="C1991">
        <v>10</v>
      </c>
      <c r="D1991" s="260">
        <v>46282</v>
      </c>
      <c r="E1991" s="260">
        <v>46295</v>
      </c>
      <c r="F1991">
        <v>62</v>
      </c>
      <c r="G1991" t="s">
        <v>866</v>
      </c>
    </row>
    <row r="1992" spans="1:7">
      <c r="A1992" t="s">
        <v>4807</v>
      </c>
      <c r="B1992" t="s">
        <v>4808</v>
      </c>
      <c r="C1992">
        <v>15</v>
      </c>
      <c r="D1992" s="260">
        <v>46220</v>
      </c>
      <c r="E1992" s="260">
        <v>46245</v>
      </c>
      <c r="F1992">
        <v>57</v>
      </c>
      <c r="G1992" t="s">
        <v>866</v>
      </c>
    </row>
    <row r="1993" spans="1:7">
      <c r="A1993" t="s">
        <v>4809</v>
      </c>
      <c r="B1993" t="s">
        <v>4810</v>
      </c>
      <c r="C1993">
        <v>10</v>
      </c>
      <c r="D1993" s="260">
        <v>46261</v>
      </c>
      <c r="E1993" s="260">
        <v>46274</v>
      </c>
      <c r="F1993">
        <v>57</v>
      </c>
      <c r="G1993" t="s">
        <v>866</v>
      </c>
    </row>
    <row r="1994" spans="1:7">
      <c r="A1994" t="s">
        <v>4811</v>
      </c>
      <c r="B1994" t="s">
        <v>4812</v>
      </c>
      <c r="C1994">
        <v>10</v>
      </c>
      <c r="D1994" s="260">
        <v>46289</v>
      </c>
      <c r="E1994" s="260">
        <v>46302</v>
      </c>
      <c r="F1994">
        <v>57</v>
      </c>
      <c r="G1994" t="s">
        <v>866</v>
      </c>
    </row>
    <row r="1995" spans="1:7">
      <c r="A1995" t="s">
        <v>4813</v>
      </c>
      <c r="B1995" t="s">
        <v>4814</v>
      </c>
      <c r="C1995">
        <v>15</v>
      </c>
      <c r="D1995" s="260">
        <v>46239</v>
      </c>
      <c r="E1995" s="260">
        <v>46260</v>
      </c>
      <c r="F1995">
        <v>47</v>
      </c>
      <c r="G1995" t="s">
        <v>866</v>
      </c>
    </row>
    <row r="1996" spans="1:7">
      <c r="A1996" t="s">
        <v>4815</v>
      </c>
      <c r="B1996" t="s">
        <v>4816</v>
      </c>
      <c r="C1996">
        <v>10</v>
      </c>
      <c r="D1996" s="260">
        <v>46275</v>
      </c>
      <c r="E1996" s="260">
        <v>46288</v>
      </c>
      <c r="F1996">
        <v>47</v>
      </c>
      <c r="G1996" t="s">
        <v>866</v>
      </c>
    </row>
    <row r="1997" spans="1:7">
      <c r="A1997" t="s">
        <v>4817</v>
      </c>
      <c r="B1997" t="s">
        <v>4818</v>
      </c>
      <c r="C1997">
        <v>10</v>
      </c>
      <c r="D1997" s="260">
        <v>46303</v>
      </c>
      <c r="E1997" s="260">
        <v>46317</v>
      </c>
      <c r="F1997">
        <v>47</v>
      </c>
      <c r="G1997" t="s">
        <v>866</v>
      </c>
    </row>
    <row r="1998" spans="1:7">
      <c r="A1998" t="s">
        <v>4819</v>
      </c>
      <c r="B1998" t="s">
        <v>4820</v>
      </c>
      <c r="C1998">
        <v>15</v>
      </c>
      <c r="D1998" s="260">
        <v>46239</v>
      </c>
      <c r="E1998" s="260">
        <v>46260</v>
      </c>
      <c r="F1998">
        <v>47</v>
      </c>
      <c r="G1998" t="s">
        <v>866</v>
      </c>
    </row>
    <row r="1999" spans="1:7">
      <c r="A1999" t="s">
        <v>4821</v>
      </c>
      <c r="B1999" t="s">
        <v>4822</v>
      </c>
      <c r="C1999">
        <v>10</v>
      </c>
      <c r="D1999" s="260">
        <v>46289</v>
      </c>
      <c r="E1999" s="260">
        <v>46302</v>
      </c>
      <c r="F1999">
        <v>37</v>
      </c>
      <c r="G1999" t="s">
        <v>866</v>
      </c>
    </row>
    <row r="2000" spans="1:7">
      <c r="A2000" t="s">
        <v>4823</v>
      </c>
      <c r="B2000" t="s">
        <v>4824</v>
      </c>
      <c r="C2000">
        <v>10</v>
      </c>
      <c r="D2000" s="260">
        <v>46321</v>
      </c>
      <c r="E2000" s="260">
        <v>46332</v>
      </c>
      <c r="F2000">
        <v>37</v>
      </c>
      <c r="G2000" t="s">
        <v>866</v>
      </c>
    </row>
    <row r="2001" spans="1:7">
      <c r="A2001" t="s">
        <v>4825</v>
      </c>
      <c r="B2001" t="s">
        <v>4826</v>
      </c>
      <c r="C2001">
        <v>15</v>
      </c>
      <c r="D2001" s="260">
        <v>46254</v>
      </c>
      <c r="E2001" s="260">
        <v>46274</v>
      </c>
      <c r="F2001">
        <v>37</v>
      </c>
      <c r="G2001" t="s">
        <v>866</v>
      </c>
    </row>
    <row r="2002" spans="1:7">
      <c r="A2002" t="s">
        <v>4827</v>
      </c>
      <c r="B2002" t="s">
        <v>4828</v>
      </c>
      <c r="C2002">
        <v>10</v>
      </c>
      <c r="D2002" s="260">
        <v>46289</v>
      </c>
      <c r="E2002" s="260">
        <v>46302</v>
      </c>
      <c r="F2002">
        <v>37</v>
      </c>
      <c r="G2002" t="s">
        <v>866</v>
      </c>
    </row>
    <row r="2003" spans="1:7">
      <c r="A2003" t="s">
        <v>4829</v>
      </c>
      <c r="B2003" t="s">
        <v>4830</v>
      </c>
      <c r="C2003">
        <v>10</v>
      </c>
      <c r="D2003" s="260">
        <v>46321</v>
      </c>
      <c r="E2003" s="260">
        <v>46332</v>
      </c>
      <c r="F2003">
        <v>37</v>
      </c>
      <c r="G2003" t="s">
        <v>866</v>
      </c>
    </row>
    <row r="2004" spans="1:7">
      <c r="A2004" t="s">
        <v>4831</v>
      </c>
      <c r="B2004" t="s">
        <v>4832</v>
      </c>
      <c r="C2004">
        <v>15</v>
      </c>
      <c r="D2004" s="260">
        <v>46254</v>
      </c>
      <c r="E2004" s="260">
        <v>46274</v>
      </c>
      <c r="F2004">
        <v>37</v>
      </c>
      <c r="G2004" t="s">
        <v>866</v>
      </c>
    </row>
    <row r="2005" spans="1:7">
      <c r="A2005" t="s">
        <v>4833</v>
      </c>
      <c r="B2005" t="s">
        <v>4834</v>
      </c>
      <c r="C2005">
        <v>10</v>
      </c>
      <c r="D2005" s="260">
        <v>46289</v>
      </c>
      <c r="E2005" s="260">
        <v>46302</v>
      </c>
      <c r="F2005">
        <v>37</v>
      </c>
      <c r="G2005" t="s">
        <v>866</v>
      </c>
    </row>
    <row r="2006" spans="1:7">
      <c r="A2006" t="s">
        <v>4835</v>
      </c>
      <c r="B2006" t="s">
        <v>4836</v>
      </c>
      <c r="C2006">
        <v>10</v>
      </c>
      <c r="D2006" s="260">
        <v>46321</v>
      </c>
      <c r="E2006" s="260">
        <v>46332</v>
      </c>
      <c r="F2006">
        <v>37</v>
      </c>
      <c r="G2006" t="s">
        <v>866</v>
      </c>
    </row>
    <row r="2007" spans="1:7">
      <c r="A2007" t="s">
        <v>4837</v>
      </c>
      <c r="B2007" t="s">
        <v>4838</v>
      </c>
      <c r="C2007">
        <v>15</v>
      </c>
      <c r="D2007" s="260">
        <v>46275</v>
      </c>
      <c r="E2007" s="260">
        <v>46295</v>
      </c>
      <c r="F2007">
        <v>42</v>
      </c>
      <c r="G2007" t="s">
        <v>866</v>
      </c>
    </row>
    <row r="2008" spans="1:7">
      <c r="A2008" t="s">
        <v>4839</v>
      </c>
      <c r="B2008" t="s">
        <v>4840</v>
      </c>
      <c r="C2008">
        <v>10</v>
      </c>
      <c r="D2008" s="260">
        <v>46321</v>
      </c>
      <c r="E2008" s="260">
        <v>46332</v>
      </c>
      <c r="F2008">
        <v>37</v>
      </c>
      <c r="G2008" t="s">
        <v>866</v>
      </c>
    </row>
    <row r="2009" spans="1:7">
      <c r="A2009" t="s">
        <v>4841</v>
      </c>
      <c r="B2009" t="s">
        <v>4842</v>
      </c>
      <c r="C2009">
        <v>15</v>
      </c>
      <c r="D2009" s="260">
        <v>46275</v>
      </c>
      <c r="E2009" s="260">
        <v>46295</v>
      </c>
      <c r="F2009">
        <v>42</v>
      </c>
      <c r="G2009" t="s">
        <v>866</v>
      </c>
    </row>
    <row r="2010" spans="1:7">
      <c r="A2010" t="s">
        <v>4843</v>
      </c>
      <c r="B2010" t="s">
        <v>4844</v>
      </c>
      <c r="C2010">
        <v>10</v>
      </c>
      <c r="D2010" s="260">
        <v>46321</v>
      </c>
      <c r="E2010" s="260">
        <v>46332</v>
      </c>
      <c r="F2010">
        <v>37</v>
      </c>
      <c r="G2010" t="s">
        <v>866</v>
      </c>
    </row>
    <row r="2011" spans="1:7">
      <c r="A2011" t="s">
        <v>4845</v>
      </c>
      <c r="C2011">
        <v>135</v>
      </c>
      <c r="D2011" s="260">
        <v>46148</v>
      </c>
      <c r="E2011" s="260">
        <v>46346</v>
      </c>
      <c r="F2011">
        <v>27</v>
      </c>
      <c r="G2011" t="s">
        <v>866</v>
      </c>
    </row>
    <row r="2012" spans="1:7">
      <c r="A2012" t="s">
        <v>4846</v>
      </c>
      <c r="B2012" t="s">
        <v>4847</v>
      </c>
      <c r="C2012">
        <v>15</v>
      </c>
      <c r="D2012" s="260">
        <v>46239</v>
      </c>
      <c r="E2012" s="260">
        <v>46260</v>
      </c>
      <c r="F2012">
        <v>7</v>
      </c>
      <c r="G2012" t="s">
        <v>866</v>
      </c>
    </row>
    <row r="2013" spans="1:7">
      <c r="A2013" t="s">
        <v>4848</v>
      </c>
      <c r="B2013" t="s">
        <v>4849</v>
      </c>
      <c r="C2013">
        <v>10</v>
      </c>
      <c r="D2013" s="260">
        <v>46275</v>
      </c>
      <c r="E2013" s="260">
        <v>46288</v>
      </c>
      <c r="F2013">
        <v>42</v>
      </c>
      <c r="G2013" t="s">
        <v>866</v>
      </c>
    </row>
    <row r="2014" spans="1:7">
      <c r="A2014" t="s">
        <v>4850</v>
      </c>
      <c r="B2014" t="s">
        <v>4851</v>
      </c>
      <c r="C2014">
        <v>10</v>
      </c>
      <c r="D2014" s="260">
        <v>46335</v>
      </c>
      <c r="E2014" s="260">
        <v>46346</v>
      </c>
      <c r="F2014">
        <v>22</v>
      </c>
      <c r="G2014" t="s">
        <v>866</v>
      </c>
    </row>
    <row r="2015" spans="1:7">
      <c r="A2015" t="s">
        <v>4852</v>
      </c>
      <c r="B2015" t="s">
        <v>4853</v>
      </c>
      <c r="C2015">
        <v>15</v>
      </c>
      <c r="D2015" s="260">
        <v>46239</v>
      </c>
      <c r="E2015" s="260">
        <v>46260</v>
      </c>
      <c r="F2015">
        <v>7</v>
      </c>
      <c r="G2015" t="s">
        <v>866</v>
      </c>
    </row>
    <row r="2016" spans="1:7">
      <c r="A2016" t="s">
        <v>4854</v>
      </c>
      <c r="B2016" t="s">
        <v>4855</v>
      </c>
      <c r="C2016">
        <v>10</v>
      </c>
      <c r="D2016" s="260">
        <v>46275</v>
      </c>
      <c r="E2016" s="260">
        <v>46288</v>
      </c>
      <c r="F2016">
        <v>42</v>
      </c>
      <c r="G2016" t="s">
        <v>866</v>
      </c>
    </row>
    <row r="2017" spans="1:7">
      <c r="A2017" t="s">
        <v>4856</v>
      </c>
      <c r="B2017" t="s">
        <v>4857</v>
      </c>
      <c r="C2017">
        <v>10</v>
      </c>
      <c r="D2017" s="260">
        <v>46335</v>
      </c>
      <c r="E2017" s="260">
        <v>46346</v>
      </c>
      <c r="F2017">
        <v>22</v>
      </c>
      <c r="G2017" t="s">
        <v>866</v>
      </c>
    </row>
    <row r="2018" spans="1:7">
      <c r="A2018" t="s">
        <v>4858</v>
      </c>
      <c r="B2018" t="s">
        <v>4859</v>
      </c>
      <c r="C2018">
        <v>15</v>
      </c>
      <c r="D2018" s="260">
        <v>46239</v>
      </c>
      <c r="E2018" s="260">
        <v>46260</v>
      </c>
      <c r="F2018">
        <v>7</v>
      </c>
      <c r="G2018" t="s">
        <v>866</v>
      </c>
    </row>
    <row r="2019" spans="1:7">
      <c r="A2019" t="s">
        <v>4860</v>
      </c>
      <c r="B2019" t="s">
        <v>4861</v>
      </c>
      <c r="C2019">
        <v>10</v>
      </c>
      <c r="D2019" s="260">
        <v>46275</v>
      </c>
      <c r="E2019" s="260">
        <v>46288</v>
      </c>
      <c r="F2019">
        <v>42</v>
      </c>
      <c r="G2019" t="s">
        <v>866</v>
      </c>
    </row>
    <row r="2020" spans="1:7">
      <c r="A2020" t="s">
        <v>4862</v>
      </c>
      <c r="B2020" t="s">
        <v>4863</v>
      </c>
      <c r="C2020">
        <v>10</v>
      </c>
      <c r="D2020" s="260">
        <v>46335</v>
      </c>
      <c r="E2020" s="260">
        <v>46346</v>
      </c>
      <c r="F2020">
        <v>22</v>
      </c>
      <c r="G2020" t="s">
        <v>866</v>
      </c>
    </row>
    <row r="2021" spans="1:7">
      <c r="A2021" t="s">
        <v>4864</v>
      </c>
      <c r="B2021" t="s">
        <v>4865</v>
      </c>
      <c r="C2021">
        <v>15</v>
      </c>
      <c r="D2021" s="260">
        <v>46239</v>
      </c>
      <c r="E2021" s="260">
        <v>46260</v>
      </c>
      <c r="F2021">
        <v>7</v>
      </c>
      <c r="G2021" t="s">
        <v>866</v>
      </c>
    </row>
    <row r="2022" spans="1:7">
      <c r="A2022" t="s">
        <v>4866</v>
      </c>
      <c r="B2022" t="s">
        <v>4867</v>
      </c>
      <c r="C2022">
        <v>10</v>
      </c>
      <c r="D2022" s="260">
        <v>46275</v>
      </c>
      <c r="E2022" s="260">
        <v>46288</v>
      </c>
      <c r="F2022">
        <v>42</v>
      </c>
      <c r="G2022" t="s">
        <v>866</v>
      </c>
    </row>
    <row r="2023" spans="1:7">
      <c r="A2023" t="s">
        <v>4868</v>
      </c>
      <c r="B2023" t="s">
        <v>4869</v>
      </c>
      <c r="C2023">
        <v>10</v>
      </c>
      <c r="D2023" s="260">
        <v>46335</v>
      </c>
      <c r="E2023" s="260">
        <v>46346</v>
      </c>
      <c r="F2023">
        <v>22</v>
      </c>
      <c r="G2023" t="s">
        <v>866</v>
      </c>
    </row>
    <row r="2024" spans="1:7">
      <c r="A2024" t="s">
        <v>4870</v>
      </c>
      <c r="B2024" t="s">
        <v>4871</v>
      </c>
      <c r="C2024">
        <v>15</v>
      </c>
      <c r="D2024" s="260">
        <v>46239</v>
      </c>
      <c r="E2024" s="260">
        <v>46260</v>
      </c>
      <c r="F2024">
        <v>7</v>
      </c>
      <c r="G2024" t="s">
        <v>866</v>
      </c>
    </row>
    <row r="2025" spans="1:7">
      <c r="A2025" t="s">
        <v>4872</v>
      </c>
      <c r="B2025" t="s">
        <v>4873</v>
      </c>
      <c r="C2025">
        <v>10</v>
      </c>
      <c r="D2025" s="260">
        <v>46275</v>
      </c>
      <c r="E2025" s="260">
        <v>46288</v>
      </c>
      <c r="F2025">
        <v>42</v>
      </c>
      <c r="G2025" t="s">
        <v>866</v>
      </c>
    </row>
    <row r="2026" spans="1:7">
      <c r="A2026" t="s">
        <v>4874</v>
      </c>
      <c r="B2026" t="s">
        <v>4875</v>
      </c>
      <c r="C2026">
        <v>10</v>
      </c>
      <c r="D2026" s="260">
        <v>46335</v>
      </c>
      <c r="E2026" s="260">
        <v>46346</v>
      </c>
      <c r="F2026">
        <v>22</v>
      </c>
      <c r="G2026" t="s">
        <v>866</v>
      </c>
    </row>
    <row r="2027" spans="1:7">
      <c r="A2027" t="s">
        <v>4876</v>
      </c>
      <c r="B2027" t="s">
        <v>4877</v>
      </c>
      <c r="C2027">
        <v>10</v>
      </c>
      <c r="D2027" s="260">
        <v>46148</v>
      </c>
      <c r="E2027" s="260">
        <v>46161</v>
      </c>
      <c r="F2027">
        <v>-10</v>
      </c>
      <c r="G2027" t="s">
        <v>866</v>
      </c>
    </row>
    <row r="2028" spans="1:7">
      <c r="A2028" t="s">
        <v>4878</v>
      </c>
      <c r="B2028" t="s">
        <v>4879</v>
      </c>
      <c r="C2028">
        <v>10</v>
      </c>
      <c r="D2028" s="260">
        <v>46178</v>
      </c>
      <c r="E2028" s="260">
        <v>46191</v>
      </c>
      <c r="F2028">
        <v>5</v>
      </c>
      <c r="G2028" t="s">
        <v>866</v>
      </c>
    </row>
    <row r="2029" spans="1:7">
      <c r="A2029" t="s">
        <v>4880</v>
      </c>
      <c r="B2029" t="s">
        <v>4881</v>
      </c>
      <c r="C2029">
        <v>10</v>
      </c>
      <c r="D2029" s="260">
        <v>46219</v>
      </c>
      <c r="E2029" s="260">
        <v>46237</v>
      </c>
      <c r="F2029">
        <v>-1</v>
      </c>
      <c r="G2029" t="s">
        <v>866</v>
      </c>
    </row>
    <row r="2030" spans="1:7">
      <c r="A2030" t="s">
        <v>4882</v>
      </c>
      <c r="B2030" t="s">
        <v>4883</v>
      </c>
      <c r="C2030">
        <v>10</v>
      </c>
      <c r="D2030" s="260">
        <v>46275</v>
      </c>
      <c r="E2030" s="260">
        <v>46288</v>
      </c>
      <c r="F2030">
        <v>7</v>
      </c>
      <c r="G2030" t="s">
        <v>866</v>
      </c>
    </row>
    <row r="2031" spans="1:7">
      <c r="A2031" t="s">
        <v>4884</v>
      </c>
      <c r="B2031" t="s">
        <v>4885</v>
      </c>
      <c r="C2031">
        <v>10</v>
      </c>
      <c r="D2031" s="260">
        <v>46303</v>
      </c>
      <c r="E2031" s="260">
        <v>46317</v>
      </c>
      <c r="F2031">
        <v>22</v>
      </c>
      <c r="G2031" t="s">
        <v>866</v>
      </c>
    </row>
    <row r="2032" spans="1:7">
      <c r="A2032" t="s">
        <v>4886</v>
      </c>
      <c r="B2032" t="s">
        <v>4887</v>
      </c>
      <c r="C2032">
        <v>10</v>
      </c>
      <c r="D2032" s="260">
        <v>46335</v>
      </c>
      <c r="E2032" s="260">
        <v>46346</v>
      </c>
      <c r="F2032">
        <v>22</v>
      </c>
      <c r="G2032" t="s">
        <v>866</v>
      </c>
    </row>
    <row r="2033" spans="1:7">
      <c r="A2033" t="s">
        <v>4888</v>
      </c>
      <c r="B2033" t="s">
        <v>4889</v>
      </c>
      <c r="C2033">
        <v>15</v>
      </c>
      <c r="D2033" s="260">
        <v>46239</v>
      </c>
      <c r="E2033" s="260">
        <v>46260</v>
      </c>
      <c r="F2033">
        <v>47</v>
      </c>
      <c r="G2033" t="s">
        <v>866</v>
      </c>
    </row>
    <row r="2034" spans="1:7">
      <c r="A2034" t="s">
        <v>4890</v>
      </c>
      <c r="B2034" t="s">
        <v>4891</v>
      </c>
      <c r="C2034">
        <v>10</v>
      </c>
      <c r="D2034" s="260">
        <v>46275</v>
      </c>
      <c r="E2034" s="260">
        <v>46288</v>
      </c>
      <c r="F2034">
        <v>47</v>
      </c>
      <c r="G2034" t="s">
        <v>866</v>
      </c>
    </row>
    <row r="2035" spans="1:7">
      <c r="A2035" t="s">
        <v>4892</v>
      </c>
      <c r="B2035" t="s">
        <v>4893</v>
      </c>
      <c r="C2035">
        <v>10</v>
      </c>
      <c r="D2035" s="260">
        <v>46335</v>
      </c>
      <c r="E2035" s="260">
        <v>46346</v>
      </c>
      <c r="F2035">
        <v>27</v>
      </c>
      <c r="G2035" t="s">
        <v>866</v>
      </c>
    </row>
    <row r="2036" spans="1:7">
      <c r="A2036" t="s">
        <v>4894</v>
      </c>
      <c r="B2036" t="s">
        <v>4895</v>
      </c>
      <c r="C2036">
        <v>15</v>
      </c>
      <c r="D2036" s="260">
        <v>46239</v>
      </c>
      <c r="E2036" s="260">
        <v>46260</v>
      </c>
      <c r="F2036">
        <v>47</v>
      </c>
      <c r="G2036" t="s">
        <v>866</v>
      </c>
    </row>
    <row r="2037" spans="1:7">
      <c r="A2037" t="s">
        <v>4896</v>
      </c>
      <c r="B2037" t="s">
        <v>4897</v>
      </c>
      <c r="C2037">
        <v>10</v>
      </c>
      <c r="D2037" s="260">
        <v>46275</v>
      </c>
      <c r="E2037" s="260">
        <v>46288</v>
      </c>
      <c r="F2037">
        <v>47</v>
      </c>
      <c r="G2037" t="s">
        <v>866</v>
      </c>
    </row>
    <row r="2038" spans="1:7">
      <c r="A2038" t="s">
        <v>4898</v>
      </c>
      <c r="B2038" t="s">
        <v>4899</v>
      </c>
      <c r="C2038">
        <v>10</v>
      </c>
      <c r="D2038" s="260">
        <v>46335</v>
      </c>
      <c r="E2038" s="260">
        <v>46346</v>
      </c>
      <c r="F2038">
        <v>27</v>
      </c>
      <c r="G2038" t="s">
        <v>866</v>
      </c>
    </row>
    <row r="2039" spans="1:7">
      <c r="A2039" t="s">
        <v>4900</v>
      </c>
      <c r="B2039" t="s">
        <v>4901</v>
      </c>
      <c r="C2039">
        <v>15</v>
      </c>
      <c r="D2039" s="260">
        <v>46239</v>
      </c>
      <c r="E2039" s="260">
        <v>46260</v>
      </c>
      <c r="F2039">
        <v>47</v>
      </c>
      <c r="G2039" t="s">
        <v>866</v>
      </c>
    </row>
    <row r="2040" spans="1:7">
      <c r="A2040" t="s">
        <v>4902</v>
      </c>
      <c r="B2040" t="s">
        <v>4903</v>
      </c>
      <c r="C2040">
        <v>10</v>
      </c>
      <c r="D2040" s="260">
        <v>46275</v>
      </c>
      <c r="E2040" s="260">
        <v>46288</v>
      </c>
      <c r="F2040">
        <v>47</v>
      </c>
      <c r="G2040" t="s">
        <v>866</v>
      </c>
    </row>
    <row r="2041" spans="1:7">
      <c r="A2041" t="s">
        <v>4904</v>
      </c>
      <c r="B2041" t="s">
        <v>4905</v>
      </c>
      <c r="C2041">
        <v>10</v>
      </c>
      <c r="D2041" s="260">
        <v>46335</v>
      </c>
      <c r="E2041" s="260">
        <v>46346</v>
      </c>
      <c r="F2041">
        <v>27</v>
      </c>
      <c r="G2041" t="s">
        <v>866</v>
      </c>
    </row>
    <row r="2042" spans="1:7">
      <c r="A2042" t="s">
        <v>4906</v>
      </c>
      <c r="B2042" t="s">
        <v>4907</v>
      </c>
      <c r="C2042">
        <v>15</v>
      </c>
      <c r="D2042" s="260">
        <v>46239</v>
      </c>
      <c r="E2042" s="260">
        <v>46260</v>
      </c>
      <c r="F2042">
        <v>47</v>
      </c>
      <c r="G2042" t="s">
        <v>866</v>
      </c>
    </row>
    <row r="2043" spans="1:7">
      <c r="A2043" t="s">
        <v>4908</v>
      </c>
      <c r="B2043" t="s">
        <v>4909</v>
      </c>
      <c r="C2043">
        <v>10</v>
      </c>
      <c r="D2043" s="260">
        <v>46275</v>
      </c>
      <c r="E2043" s="260">
        <v>46288</v>
      </c>
      <c r="F2043">
        <v>47</v>
      </c>
      <c r="G2043" t="s">
        <v>866</v>
      </c>
    </row>
    <row r="2044" spans="1:7">
      <c r="A2044" t="s">
        <v>4910</v>
      </c>
      <c r="B2044" t="s">
        <v>4911</v>
      </c>
      <c r="C2044">
        <v>10</v>
      </c>
      <c r="D2044" s="260">
        <v>46335</v>
      </c>
      <c r="E2044" s="260">
        <v>46346</v>
      </c>
      <c r="F2044">
        <v>27</v>
      </c>
      <c r="G2044" t="s">
        <v>866</v>
      </c>
    </row>
    <row r="2045" spans="1:7">
      <c r="A2045" t="s">
        <v>4912</v>
      </c>
      <c r="B2045" t="s">
        <v>4913</v>
      </c>
      <c r="C2045">
        <v>15</v>
      </c>
      <c r="D2045" s="260">
        <v>46239</v>
      </c>
      <c r="E2045" s="260">
        <v>46260</v>
      </c>
      <c r="F2045">
        <v>47</v>
      </c>
      <c r="G2045" t="s">
        <v>866</v>
      </c>
    </row>
    <row r="2046" spans="1:7">
      <c r="A2046" t="s">
        <v>4914</v>
      </c>
      <c r="B2046" t="s">
        <v>4915</v>
      </c>
      <c r="C2046">
        <v>10</v>
      </c>
      <c r="D2046" s="260">
        <v>46275</v>
      </c>
      <c r="E2046" s="260">
        <v>46288</v>
      </c>
      <c r="F2046">
        <v>47</v>
      </c>
      <c r="G2046" t="s">
        <v>866</v>
      </c>
    </row>
    <row r="2047" spans="1:7">
      <c r="A2047" t="s">
        <v>4916</v>
      </c>
      <c r="B2047" t="s">
        <v>4917</v>
      </c>
      <c r="C2047">
        <v>10</v>
      </c>
      <c r="D2047" s="260">
        <v>46335</v>
      </c>
      <c r="E2047" s="260">
        <v>46346</v>
      </c>
      <c r="F2047">
        <v>27</v>
      </c>
      <c r="G2047" t="s">
        <v>866</v>
      </c>
    </row>
    <row r="2048" spans="1:7">
      <c r="A2048" t="s">
        <v>4918</v>
      </c>
      <c r="B2048" t="s">
        <v>4919</v>
      </c>
      <c r="C2048">
        <v>10</v>
      </c>
      <c r="D2048" s="260">
        <v>46148</v>
      </c>
      <c r="E2048" s="260">
        <v>46161</v>
      </c>
      <c r="F2048">
        <v>-10</v>
      </c>
      <c r="G2048" t="s">
        <v>866</v>
      </c>
    </row>
    <row r="2049" spans="1:7">
      <c r="A2049" t="s">
        <v>4920</v>
      </c>
      <c r="B2049" t="s">
        <v>4921</v>
      </c>
      <c r="C2049">
        <v>10</v>
      </c>
      <c r="D2049" s="260">
        <v>46178</v>
      </c>
      <c r="E2049" s="260">
        <v>46191</v>
      </c>
      <c r="F2049">
        <v>5</v>
      </c>
      <c r="G2049" t="s">
        <v>866</v>
      </c>
    </row>
    <row r="2050" spans="1:7">
      <c r="A2050" t="s">
        <v>4922</v>
      </c>
      <c r="B2050" t="s">
        <v>4923</v>
      </c>
      <c r="C2050">
        <v>10</v>
      </c>
      <c r="D2050" s="260">
        <v>46219</v>
      </c>
      <c r="E2050" s="260">
        <v>46237</v>
      </c>
      <c r="F2050">
        <v>-1</v>
      </c>
      <c r="G2050" t="s">
        <v>866</v>
      </c>
    </row>
    <row r="2051" spans="1:7">
      <c r="A2051" t="s">
        <v>4924</v>
      </c>
      <c r="B2051" t="s">
        <v>4925</v>
      </c>
      <c r="C2051">
        <v>10</v>
      </c>
      <c r="D2051" s="260">
        <v>46275</v>
      </c>
      <c r="E2051" s="260">
        <v>46288</v>
      </c>
      <c r="F2051">
        <v>7</v>
      </c>
      <c r="G2051" t="s">
        <v>866</v>
      </c>
    </row>
    <row r="2052" spans="1:7">
      <c r="A2052" t="s">
        <v>4926</v>
      </c>
      <c r="B2052" t="s">
        <v>4927</v>
      </c>
      <c r="C2052">
        <v>10</v>
      </c>
      <c r="D2052" s="260">
        <v>46303</v>
      </c>
      <c r="E2052" s="260">
        <v>46317</v>
      </c>
      <c r="F2052">
        <v>22</v>
      </c>
      <c r="G2052" t="s">
        <v>866</v>
      </c>
    </row>
    <row r="2053" spans="1:7">
      <c r="A2053" t="s">
        <v>4928</v>
      </c>
      <c r="B2053" t="s">
        <v>4929</v>
      </c>
      <c r="C2053">
        <v>10</v>
      </c>
      <c r="D2053" s="260">
        <v>46335</v>
      </c>
      <c r="E2053" s="260">
        <v>46346</v>
      </c>
      <c r="F2053">
        <v>22</v>
      </c>
      <c r="G2053" t="s">
        <v>866</v>
      </c>
    </row>
    <row r="2054" spans="1:7">
      <c r="A2054" t="s">
        <v>4930</v>
      </c>
      <c r="C2054">
        <v>153</v>
      </c>
      <c r="D2054" s="260">
        <v>46150</v>
      </c>
      <c r="E2054" s="260">
        <v>46378</v>
      </c>
      <c r="F2054">
        <v>7</v>
      </c>
      <c r="G2054" t="s">
        <v>866</v>
      </c>
    </row>
    <row r="2055" spans="1:7">
      <c r="A2055" t="s">
        <v>4931</v>
      </c>
      <c r="B2055" t="s">
        <v>4932</v>
      </c>
      <c r="C2055">
        <v>10</v>
      </c>
      <c r="D2055" s="260">
        <v>46150</v>
      </c>
      <c r="E2055" s="260">
        <v>46163</v>
      </c>
      <c r="F2055">
        <v>-10</v>
      </c>
      <c r="G2055" t="s">
        <v>866</v>
      </c>
    </row>
    <row r="2056" spans="1:7">
      <c r="A2056" t="s">
        <v>4933</v>
      </c>
      <c r="B2056" t="s">
        <v>4934</v>
      </c>
      <c r="C2056">
        <v>10</v>
      </c>
      <c r="D2056" s="260">
        <v>46192</v>
      </c>
      <c r="E2056" s="260">
        <v>46205</v>
      </c>
      <c r="F2056">
        <v>5</v>
      </c>
      <c r="G2056" t="s">
        <v>866</v>
      </c>
    </row>
    <row r="2057" spans="1:7">
      <c r="A2057" t="s">
        <v>4935</v>
      </c>
      <c r="B2057" t="s">
        <v>4936</v>
      </c>
      <c r="C2057">
        <v>5</v>
      </c>
      <c r="D2057" s="260">
        <v>46245</v>
      </c>
      <c r="E2057" s="260">
        <v>46252</v>
      </c>
      <c r="F2057">
        <v>-10</v>
      </c>
      <c r="G2057" t="s">
        <v>866</v>
      </c>
    </row>
    <row r="2058" spans="1:7">
      <c r="A2058" t="s">
        <v>4937</v>
      </c>
      <c r="B2058" t="s">
        <v>4938</v>
      </c>
      <c r="C2058">
        <v>15</v>
      </c>
      <c r="D2058" s="260">
        <v>46261</v>
      </c>
      <c r="E2058" s="260">
        <v>46281</v>
      </c>
      <c r="F2058">
        <v>7</v>
      </c>
      <c r="G2058" t="s">
        <v>866</v>
      </c>
    </row>
    <row r="2059" spans="1:7">
      <c r="A2059" t="s">
        <v>4939</v>
      </c>
      <c r="B2059" t="s">
        <v>4940</v>
      </c>
      <c r="C2059">
        <v>5</v>
      </c>
      <c r="D2059" s="260">
        <v>46372</v>
      </c>
      <c r="E2059" s="260">
        <v>46378</v>
      </c>
      <c r="F2059">
        <v>7</v>
      </c>
      <c r="G2059" t="s">
        <v>866</v>
      </c>
    </row>
    <row r="2060" spans="1:7">
      <c r="A2060" t="s">
        <v>4941</v>
      </c>
      <c r="B2060" t="s">
        <v>4942</v>
      </c>
      <c r="C2060">
        <v>10</v>
      </c>
      <c r="D2060" s="260">
        <v>46275</v>
      </c>
      <c r="E2060" s="260">
        <v>46288</v>
      </c>
      <c r="F2060">
        <v>7</v>
      </c>
      <c r="G2060" t="s">
        <v>866</v>
      </c>
    </row>
    <row r="2061" spans="1:7">
      <c r="A2061" t="s">
        <v>4943</v>
      </c>
      <c r="B2061" t="s">
        <v>4944</v>
      </c>
      <c r="C2061">
        <v>5</v>
      </c>
      <c r="D2061" s="260">
        <v>46372</v>
      </c>
      <c r="E2061" s="260">
        <v>46378</v>
      </c>
      <c r="F2061">
        <v>7</v>
      </c>
      <c r="G2061" t="s">
        <v>866</v>
      </c>
    </row>
    <row r="2062" spans="1:7">
      <c r="A2062" t="s">
        <v>4945</v>
      </c>
      <c r="C2062">
        <v>111</v>
      </c>
      <c r="D2062" s="260">
        <v>46191</v>
      </c>
      <c r="E2062" s="260">
        <v>46353</v>
      </c>
      <c r="F2062">
        <v>7</v>
      </c>
      <c r="G2062" t="s">
        <v>866</v>
      </c>
    </row>
    <row r="2063" spans="1:7">
      <c r="A2063" t="s">
        <v>4946</v>
      </c>
      <c r="B2063" t="s">
        <v>4947</v>
      </c>
      <c r="C2063">
        <v>20</v>
      </c>
      <c r="D2063" s="260">
        <v>46191</v>
      </c>
      <c r="E2063" s="260">
        <v>46218</v>
      </c>
      <c r="F2063">
        <v>-10</v>
      </c>
      <c r="G2063" t="s">
        <v>866</v>
      </c>
    </row>
    <row r="2064" spans="1:7">
      <c r="A2064" t="s">
        <v>4948</v>
      </c>
      <c r="B2064" t="s">
        <v>4949</v>
      </c>
      <c r="C2064">
        <v>5</v>
      </c>
      <c r="D2064" s="260">
        <v>46238</v>
      </c>
      <c r="E2064" s="260">
        <v>46244</v>
      </c>
      <c r="F2064">
        <v>-10</v>
      </c>
      <c r="G2064" t="s">
        <v>866</v>
      </c>
    </row>
    <row r="2065" spans="1:7">
      <c r="A2065" t="s">
        <v>4950</v>
      </c>
      <c r="B2065" t="s">
        <v>4951</v>
      </c>
      <c r="C2065">
        <v>20</v>
      </c>
      <c r="D2065" s="260">
        <v>46303</v>
      </c>
      <c r="E2065" s="260">
        <v>46332</v>
      </c>
      <c r="F2065">
        <v>7</v>
      </c>
      <c r="G2065" t="s">
        <v>866</v>
      </c>
    </row>
    <row r="2066" spans="1:7">
      <c r="A2066" t="s">
        <v>4952</v>
      </c>
      <c r="B2066" t="s">
        <v>4953</v>
      </c>
      <c r="C2066">
        <v>5</v>
      </c>
      <c r="D2066" s="260">
        <v>46349</v>
      </c>
      <c r="E2066" s="260">
        <v>46353</v>
      </c>
      <c r="F2066">
        <v>7</v>
      </c>
      <c r="G2066" t="s">
        <v>866</v>
      </c>
    </row>
    <row r="2067" spans="1:7">
      <c r="A2067" t="s">
        <v>4954</v>
      </c>
      <c r="B2067" t="s">
        <v>4955</v>
      </c>
      <c r="C2067">
        <v>20</v>
      </c>
      <c r="D2067" s="260">
        <v>46303</v>
      </c>
      <c r="E2067" s="260">
        <v>46332</v>
      </c>
      <c r="F2067">
        <v>7</v>
      </c>
      <c r="G2067" t="s">
        <v>866</v>
      </c>
    </row>
    <row r="2068" spans="1:7">
      <c r="A2068" t="s">
        <v>4956</v>
      </c>
      <c r="B2068" t="s">
        <v>4957</v>
      </c>
      <c r="C2068">
        <v>5</v>
      </c>
      <c r="D2068" s="260">
        <v>46349</v>
      </c>
      <c r="E2068" s="260">
        <v>46353</v>
      </c>
      <c r="F2068">
        <v>7</v>
      </c>
      <c r="G2068" t="s">
        <v>866</v>
      </c>
    </row>
    <row r="2069" spans="1:7">
      <c r="A2069" t="s">
        <v>4958</v>
      </c>
      <c r="C2069">
        <v>180</v>
      </c>
      <c r="D2069" s="260">
        <v>46085</v>
      </c>
      <c r="E2069" s="260">
        <v>46353</v>
      </c>
      <c r="F2069">
        <v>22</v>
      </c>
      <c r="G2069" t="s">
        <v>866</v>
      </c>
    </row>
    <row r="2070" spans="1:7">
      <c r="A2070" t="s">
        <v>4959</v>
      </c>
      <c r="B2070" t="s">
        <v>4960</v>
      </c>
      <c r="C2070">
        <v>20</v>
      </c>
      <c r="D2070" s="260">
        <v>46085</v>
      </c>
      <c r="E2070" s="260">
        <v>46112</v>
      </c>
      <c r="F2070">
        <v>52</v>
      </c>
      <c r="G2070" t="s">
        <v>866</v>
      </c>
    </row>
    <row r="2071" spans="1:7">
      <c r="A2071" t="s">
        <v>4961</v>
      </c>
      <c r="B2071" t="s">
        <v>4962</v>
      </c>
      <c r="C2071">
        <v>10</v>
      </c>
      <c r="D2071" s="260">
        <v>46133</v>
      </c>
      <c r="E2071" s="260">
        <v>46147</v>
      </c>
      <c r="F2071">
        <v>142</v>
      </c>
      <c r="G2071" t="s">
        <v>866</v>
      </c>
    </row>
    <row r="2072" spans="1:7">
      <c r="A2072" t="s">
        <v>4963</v>
      </c>
      <c r="B2072" t="s">
        <v>4964</v>
      </c>
      <c r="C2072">
        <v>10</v>
      </c>
      <c r="D2072" s="260">
        <v>46162</v>
      </c>
      <c r="E2072" s="260">
        <v>46177</v>
      </c>
      <c r="F2072">
        <v>142</v>
      </c>
      <c r="G2072" t="s">
        <v>866</v>
      </c>
    </row>
    <row r="2073" spans="1:7">
      <c r="A2073" t="s">
        <v>4965</v>
      </c>
      <c r="B2073" t="s">
        <v>4966</v>
      </c>
      <c r="C2073">
        <v>20</v>
      </c>
      <c r="D2073" s="260">
        <v>46112</v>
      </c>
      <c r="E2073" s="260">
        <v>46146</v>
      </c>
      <c r="F2073">
        <v>143</v>
      </c>
      <c r="G2073" t="s">
        <v>866</v>
      </c>
    </row>
    <row r="2074" spans="1:7">
      <c r="A2074" t="s">
        <v>4967</v>
      </c>
      <c r="B2074" t="s">
        <v>4968</v>
      </c>
      <c r="C2074">
        <v>10</v>
      </c>
      <c r="D2074" s="260">
        <v>46161</v>
      </c>
      <c r="E2074" s="260">
        <v>46175</v>
      </c>
      <c r="F2074">
        <v>143</v>
      </c>
      <c r="G2074" t="s">
        <v>866</v>
      </c>
    </row>
    <row r="2075" spans="1:7">
      <c r="A2075" t="s">
        <v>4969</v>
      </c>
      <c r="B2075" t="s">
        <v>4970</v>
      </c>
      <c r="C2075">
        <v>20</v>
      </c>
      <c r="D2075" s="260">
        <v>46111</v>
      </c>
      <c r="E2075" s="260">
        <v>46142</v>
      </c>
      <c r="F2075">
        <v>101</v>
      </c>
      <c r="G2075" t="s">
        <v>866</v>
      </c>
    </row>
    <row r="2076" spans="1:7">
      <c r="A2076" t="s">
        <v>4971</v>
      </c>
      <c r="B2076" t="s">
        <v>4972</v>
      </c>
      <c r="C2076">
        <v>10</v>
      </c>
      <c r="D2076" s="260">
        <v>46160</v>
      </c>
      <c r="E2076" s="260">
        <v>46171</v>
      </c>
      <c r="F2076">
        <v>144</v>
      </c>
      <c r="G2076" t="s">
        <v>866</v>
      </c>
    </row>
    <row r="2077" spans="1:7">
      <c r="A2077" t="s">
        <v>4973</v>
      </c>
      <c r="B2077" t="s">
        <v>4974</v>
      </c>
      <c r="C2077">
        <v>30</v>
      </c>
      <c r="D2077" s="260">
        <v>46163</v>
      </c>
      <c r="E2077" s="260">
        <v>46206</v>
      </c>
      <c r="F2077">
        <v>101</v>
      </c>
      <c r="G2077" t="s">
        <v>866</v>
      </c>
    </row>
    <row r="2078" spans="1:7">
      <c r="A2078" t="s">
        <v>4975</v>
      </c>
      <c r="B2078" t="s">
        <v>4976</v>
      </c>
      <c r="C2078">
        <v>10</v>
      </c>
      <c r="D2078" s="260">
        <v>46223</v>
      </c>
      <c r="E2078" s="260">
        <v>46239</v>
      </c>
      <c r="F2078">
        <v>101</v>
      </c>
      <c r="G2078" t="s">
        <v>866</v>
      </c>
    </row>
    <row r="2079" spans="1:7">
      <c r="A2079" t="s">
        <v>4977</v>
      </c>
      <c r="B2079" t="s">
        <v>4978</v>
      </c>
      <c r="C2079">
        <v>10</v>
      </c>
      <c r="D2079" s="260">
        <v>46121</v>
      </c>
      <c r="E2079" s="260">
        <v>46139</v>
      </c>
      <c r="F2079">
        <v>152</v>
      </c>
      <c r="G2079" t="s">
        <v>866</v>
      </c>
    </row>
    <row r="2080" spans="1:7">
      <c r="A2080" t="s">
        <v>4979</v>
      </c>
      <c r="B2080" t="s">
        <v>4980</v>
      </c>
      <c r="C2080">
        <v>5</v>
      </c>
      <c r="D2080" s="260">
        <v>46155</v>
      </c>
      <c r="E2080" s="260">
        <v>46161</v>
      </c>
      <c r="F2080">
        <v>152</v>
      </c>
      <c r="G2080" t="s">
        <v>866</v>
      </c>
    </row>
    <row r="2081" spans="1:7">
      <c r="A2081" t="s">
        <v>4981</v>
      </c>
      <c r="B2081" t="s">
        <v>4982</v>
      </c>
      <c r="C2081">
        <v>10</v>
      </c>
      <c r="D2081" s="260">
        <v>46164</v>
      </c>
      <c r="E2081" s="260">
        <v>46181</v>
      </c>
      <c r="F2081">
        <v>105</v>
      </c>
      <c r="G2081" t="s">
        <v>866</v>
      </c>
    </row>
    <row r="2082" spans="1:7">
      <c r="A2082" t="s">
        <v>4983</v>
      </c>
      <c r="B2082" t="s">
        <v>4984</v>
      </c>
      <c r="C2082">
        <v>5</v>
      </c>
      <c r="D2082" s="260">
        <v>46196</v>
      </c>
      <c r="E2082" s="260">
        <v>46202</v>
      </c>
      <c r="F2082">
        <v>105</v>
      </c>
      <c r="G2082" t="s">
        <v>866</v>
      </c>
    </row>
    <row r="2083" spans="1:7">
      <c r="A2083" t="s">
        <v>4985</v>
      </c>
      <c r="B2083" t="s">
        <v>4986</v>
      </c>
      <c r="C2083">
        <v>5</v>
      </c>
      <c r="D2083" s="260">
        <v>46203</v>
      </c>
      <c r="E2083" s="260">
        <v>46209</v>
      </c>
      <c r="F2083">
        <v>105</v>
      </c>
      <c r="G2083" t="s">
        <v>866</v>
      </c>
    </row>
    <row r="2084" spans="1:7">
      <c r="A2084" t="s">
        <v>4987</v>
      </c>
      <c r="B2084" t="s">
        <v>4988</v>
      </c>
      <c r="C2084">
        <v>10</v>
      </c>
      <c r="D2084" s="260">
        <v>46121</v>
      </c>
      <c r="E2084" s="260">
        <v>46139</v>
      </c>
      <c r="F2084">
        <v>152</v>
      </c>
      <c r="G2084" t="s">
        <v>866</v>
      </c>
    </row>
    <row r="2085" spans="1:7">
      <c r="A2085" t="s">
        <v>4989</v>
      </c>
      <c r="B2085" t="s">
        <v>4990</v>
      </c>
      <c r="C2085">
        <v>5</v>
      </c>
      <c r="D2085" s="260">
        <v>46155</v>
      </c>
      <c r="E2085" s="260">
        <v>46161</v>
      </c>
      <c r="F2085">
        <v>152</v>
      </c>
      <c r="G2085" t="s">
        <v>866</v>
      </c>
    </row>
    <row r="2086" spans="1:7">
      <c r="A2086" t="s">
        <v>4991</v>
      </c>
      <c r="B2086" t="s">
        <v>4992</v>
      </c>
      <c r="C2086">
        <v>15</v>
      </c>
      <c r="D2086" s="260">
        <v>46185</v>
      </c>
      <c r="E2086" s="260">
        <v>46205</v>
      </c>
      <c r="F2086">
        <v>97</v>
      </c>
      <c r="G2086" t="s">
        <v>866</v>
      </c>
    </row>
    <row r="2087" spans="1:7">
      <c r="A2087" t="s">
        <v>4993</v>
      </c>
      <c r="B2087" t="s">
        <v>4994</v>
      </c>
      <c r="C2087">
        <v>10</v>
      </c>
      <c r="D2087" s="260">
        <v>46220</v>
      </c>
      <c r="E2087" s="260">
        <v>46238</v>
      </c>
      <c r="F2087">
        <v>97</v>
      </c>
      <c r="G2087" t="s">
        <v>866</v>
      </c>
    </row>
    <row r="2088" spans="1:7">
      <c r="A2088" t="s">
        <v>4995</v>
      </c>
      <c r="B2088" t="s">
        <v>4996</v>
      </c>
      <c r="C2088">
        <v>5</v>
      </c>
      <c r="D2088" s="260">
        <v>46239</v>
      </c>
      <c r="E2088" s="260">
        <v>46245</v>
      </c>
      <c r="F2088">
        <v>97</v>
      </c>
      <c r="G2088" t="s">
        <v>866</v>
      </c>
    </row>
    <row r="2089" spans="1:7">
      <c r="A2089" t="s">
        <v>4997</v>
      </c>
      <c r="B2089" t="s">
        <v>4998</v>
      </c>
      <c r="C2089">
        <v>10</v>
      </c>
      <c r="D2089" s="260">
        <v>46148</v>
      </c>
      <c r="E2089" s="260">
        <v>46161</v>
      </c>
      <c r="F2089">
        <v>67</v>
      </c>
      <c r="G2089" t="s">
        <v>866</v>
      </c>
    </row>
    <row r="2090" spans="1:7">
      <c r="A2090" t="s">
        <v>4999</v>
      </c>
      <c r="B2090" t="s">
        <v>5000</v>
      </c>
      <c r="C2090">
        <v>5</v>
      </c>
      <c r="D2090" s="260">
        <v>46178</v>
      </c>
      <c r="E2090" s="260">
        <v>46184</v>
      </c>
      <c r="F2090">
        <v>132</v>
      </c>
      <c r="G2090" t="s">
        <v>866</v>
      </c>
    </row>
    <row r="2091" spans="1:7">
      <c r="A2091" t="s">
        <v>5001</v>
      </c>
      <c r="B2091" t="s">
        <v>5002</v>
      </c>
      <c r="C2091">
        <v>10</v>
      </c>
      <c r="D2091" s="260">
        <v>46196</v>
      </c>
      <c r="E2091" s="260">
        <v>46209</v>
      </c>
      <c r="F2091">
        <v>75</v>
      </c>
      <c r="G2091" t="s">
        <v>866</v>
      </c>
    </row>
    <row r="2092" spans="1:7">
      <c r="A2092" t="s">
        <v>5003</v>
      </c>
      <c r="B2092" t="s">
        <v>5004</v>
      </c>
      <c r="C2092">
        <v>10</v>
      </c>
      <c r="D2092" s="260">
        <v>46224</v>
      </c>
      <c r="E2092" s="260">
        <v>46240</v>
      </c>
      <c r="F2092">
        <v>90</v>
      </c>
      <c r="G2092" t="s">
        <v>866</v>
      </c>
    </row>
    <row r="2093" spans="1:7">
      <c r="A2093" t="s">
        <v>5005</v>
      </c>
      <c r="B2093" t="s">
        <v>5006</v>
      </c>
      <c r="C2093">
        <v>10</v>
      </c>
      <c r="D2093" s="260">
        <v>46210</v>
      </c>
      <c r="E2093" s="260">
        <v>46223</v>
      </c>
      <c r="F2093">
        <v>75</v>
      </c>
      <c r="G2093" t="s">
        <v>866</v>
      </c>
    </row>
    <row r="2094" spans="1:7">
      <c r="A2094" t="s">
        <v>5007</v>
      </c>
      <c r="B2094" t="s">
        <v>5008</v>
      </c>
      <c r="C2094">
        <v>5</v>
      </c>
      <c r="D2094" s="260">
        <v>46241</v>
      </c>
      <c r="E2094" s="260">
        <v>46248</v>
      </c>
      <c r="F2094">
        <v>75</v>
      </c>
      <c r="G2094" t="s">
        <v>866</v>
      </c>
    </row>
    <row r="2095" spans="1:7">
      <c r="A2095" t="s">
        <v>5009</v>
      </c>
      <c r="B2095" t="s">
        <v>5010</v>
      </c>
      <c r="C2095">
        <v>5</v>
      </c>
      <c r="D2095" s="260">
        <v>46265</v>
      </c>
      <c r="E2095" s="260">
        <v>46269</v>
      </c>
      <c r="F2095">
        <v>75</v>
      </c>
      <c r="G2095" t="s">
        <v>866</v>
      </c>
    </row>
    <row r="2096" spans="1:7">
      <c r="A2096" t="s">
        <v>5011</v>
      </c>
      <c r="B2096" t="s">
        <v>5012</v>
      </c>
      <c r="C2096">
        <v>5</v>
      </c>
      <c r="D2096" s="260">
        <v>46272</v>
      </c>
      <c r="E2096" s="260">
        <v>46276</v>
      </c>
      <c r="F2096">
        <v>75</v>
      </c>
      <c r="G2096" t="s">
        <v>866</v>
      </c>
    </row>
    <row r="2097" spans="1:7">
      <c r="A2097" t="s">
        <v>5013</v>
      </c>
      <c r="B2097" t="s">
        <v>5014</v>
      </c>
      <c r="C2097">
        <v>10</v>
      </c>
      <c r="D2097" s="260">
        <v>46185</v>
      </c>
      <c r="E2097" s="260">
        <v>46198</v>
      </c>
      <c r="F2097">
        <v>52</v>
      </c>
      <c r="G2097" t="s">
        <v>866</v>
      </c>
    </row>
    <row r="2098" spans="1:7">
      <c r="A2098" t="s">
        <v>5015</v>
      </c>
      <c r="B2098" t="s">
        <v>5016</v>
      </c>
      <c r="C2098">
        <v>5</v>
      </c>
      <c r="D2098" s="260">
        <v>46213</v>
      </c>
      <c r="E2098" s="260">
        <v>46219</v>
      </c>
      <c r="F2098">
        <v>112</v>
      </c>
      <c r="G2098" t="s">
        <v>866</v>
      </c>
    </row>
    <row r="2099" spans="1:7">
      <c r="A2099" t="s">
        <v>5017</v>
      </c>
      <c r="B2099" t="s">
        <v>5018</v>
      </c>
      <c r="C2099">
        <v>15</v>
      </c>
      <c r="D2099" s="260">
        <v>46261</v>
      </c>
      <c r="E2099" s="260">
        <v>46281</v>
      </c>
      <c r="F2099">
        <v>52</v>
      </c>
      <c r="G2099" t="s">
        <v>866</v>
      </c>
    </row>
    <row r="2100" spans="1:7">
      <c r="A2100" t="s">
        <v>5019</v>
      </c>
      <c r="B2100" t="s">
        <v>5020</v>
      </c>
      <c r="C2100">
        <v>10</v>
      </c>
      <c r="D2100" s="260">
        <v>46296</v>
      </c>
      <c r="E2100" s="260">
        <v>46310</v>
      </c>
      <c r="F2100">
        <v>52</v>
      </c>
      <c r="G2100" t="s">
        <v>866</v>
      </c>
    </row>
    <row r="2101" spans="1:7">
      <c r="A2101" t="s">
        <v>5021</v>
      </c>
      <c r="B2101" t="s">
        <v>5022</v>
      </c>
      <c r="C2101">
        <v>15</v>
      </c>
      <c r="D2101" s="260">
        <v>46185</v>
      </c>
      <c r="E2101" s="260">
        <v>46205</v>
      </c>
      <c r="F2101">
        <v>82</v>
      </c>
      <c r="G2101" t="s">
        <v>866</v>
      </c>
    </row>
    <row r="2102" spans="1:7">
      <c r="A2102" t="s">
        <v>5023</v>
      </c>
      <c r="B2102" t="s">
        <v>5024</v>
      </c>
      <c r="C2102">
        <v>10</v>
      </c>
      <c r="D2102" s="260">
        <v>46220</v>
      </c>
      <c r="E2102" s="260">
        <v>46238</v>
      </c>
      <c r="F2102">
        <v>82</v>
      </c>
      <c r="G2102" t="s">
        <v>866</v>
      </c>
    </row>
    <row r="2103" spans="1:7">
      <c r="A2103" t="s">
        <v>5025</v>
      </c>
      <c r="B2103" t="s">
        <v>5026</v>
      </c>
      <c r="C2103">
        <v>10</v>
      </c>
      <c r="D2103" s="260">
        <v>46254</v>
      </c>
      <c r="E2103" s="260">
        <v>46267</v>
      </c>
      <c r="F2103">
        <v>82</v>
      </c>
      <c r="G2103" t="s">
        <v>866</v>
      </c>
    </row>
    <row r="2104" spans="1:7">
      <c r="A2104" t="s">
        <v>5027</v>
      </c>
      <c r="B2104" t="s">
        <v>5028</v>
      </c>
      <c r="C2104">
        <v>30</v>
      </c>
      <c r="D2104" s="260">
        <v>46160</v>
      </c>
      <c r="E2104" s="260">
        <v>46203</v>
      </c>
      <c r="F2104">
        <v>84</v>
      </c>
      <c r="G2104" t="s">
        <v>866</v>
      </c>
    </row>
    <row r="2105" spans="1:7">
      <c r="A2105" t="s">
        <v>5029</v>
      </c>
      <c r="B2105" t="s">
        <v>5030</v>
      </c>
      <c r="C2105">
        <v>10</v>
      </c>
      <c r="D2105" s="260">
        <v>46218</v>
      </c>
      <c r="E2105" s="260">
        <v>46234</v>
      </c>
      <c r="F2105">
        <v>84</v>
      </c>
      <c r="G2105" t="s">
        <v>866</v>
      </c>
    </row>
    <row r="2106" spans="1:7">
      <c r="A2106" t="s">
        <v>5031</v>
      </c>
      <c r="B2106" t="s">
        <v>5032</v>
      </c>
      <c r="C2106">
        <v>10</v>
      </c>
      <c r="D2106" s="260">
        <v>46275</v>
      </c>
      <c r="E2106" s="260">
        <v>46288</v>
      </c>
      <c r="F2106">
        <v>67</v>
      </c>
      <c r="G2106" t="s">
        <v>866</v>
      </c>
    </row>
    <row r="2107" spans="1:7">
      <c r="A2107" t="s">
        <v>5033</v>
      </c>
      <c r="B2107" t="s">
        <v>5034</v>
      </c>
      <c r="C2107">
        <v>40</v>
      </c>
      <c r="D2107" s="260">
        <v>46153</v>
      </c>
      <c r="E2107" s="260">
        <v>46210</v>
      </c>
      <c r="F2107">
        <v>79</v>
      </c>
      <c r="G2107" t="s">
        <v>866</v>
      </c>
    </row>
    <row r="2108" spans="1:7">
      <c r="A2108" t="s">
        <v>5035</v>
      </c>
      <c r="B2108" t="s">
        <v>5036</v>
      </c>
      <c r="C2108">
        <v>10</v>
      </c>
      <c r="D2108" s="260">
        <v>46225</v>
      </c>
      <c r="E2108" s="260">
        <v>46241</v>
      </c>
      <c r="F2108">
        <v>79</v>
      </c>
      <c r="G2108" t="s">
        <v>866</v>
      </c>
    </row>
    <row r="2109" spans="1:7">
      <c r="A2109" t="s">
        <v>5037</v>
      </c>
      <c r="B2109" t="s">
        <v>5038</v>
      </c>
      <c r="C2109">
        <v>10</v>
      </c>
      <c r="D2109" s="260">
        <v>46259</v>
      </c>
      <c r="E2109" s="260">
        <v>46272</v>
      </c>
      <c r="F2109">
        <v>79</v>
      </c>
      <c r="G2109" t="s">
        <v>866</v>
      </c>
    </row>
    <row r="2110" spans="1:7">
      <c r="A2110" t="s">
        <v>5039</v>
      </c>
      <c r="B2110" t="s">
        <v>5040</v>
      </c>
      <c r="C2110">
        <v>30</v>
      </c>
      <c r="D2110" s="260">
        <v>46218</v>
      </c>
      <c r="E2110" s="260">
        <v>46265</v>
      </c>
      <c r="F2110">
        <v>44</v>
      </c>
      <c r="G2110" t="s">
        <v>866</v>
      </c>
    </row>
    <row r="2111" spans="1:7">
      <c r="A2111" t="s">
        <v>5041</v>
      </c>
      <c r="B2111" t="s">
        <v>5042</v>
      </c>
      <c r="C2111">
        <v>10</v>
      </c>
      <c r="D2111" s="260">
        <v>46280</v>
      </c>
      <c r="E2111" s="260">
        <v>46293</v>
      </c>
      <c r="F2111">
        <v>44</v>
      </c>
      <c r="G2111" t="s">
        <v>866</v>
      </c>
    </row>
    <row r="2112" spans="1:7">
      <c r="A2112" t="s">
        <v>5043</v>
      </c>
      <c r="B2112" t="s">
        <v>5044</v>
      </c>
      <c r="C2112">
        <v>10</v>
      </c>
      <c r="D2112" s="260">
        <v>46309</v>
      </c>
      <c r="E2112" s="260">
        <v>46323</v>
      </c>
      <c r="F2112">
        <v>44</v>
      </c>
      <c r="G2112" t="s">
        <v>866</v>
      </c>
    </row>
    <row r="2113" spans="1:7">
      <c r="A2113" t="s">
        <v>5045</v>
      </c>
      <c r="B2113" t="s">
        <v>5046</v>
      </c>
      <c r="C2113">
        <v>30</v>
      </c>
      <c r="D2113" s="260">
        <v>46218</v>
      </c>
      <c r="E2113" s="260">
        <v>46265</v>
      </c>
      <c r="F2113">
        <v>44</v>
      </c>
      <c r="G2113" t="s">
        <v>866</v>
      </c>
    </row>
    <row r="2114" spans="1:7">
      <c r="A2114" t="s">
        <v>5047</v>
      </c>
      <c r="B2114" t="s">
        <v>5048</v>
      </c>
      <c r="C2114">
        <v>10</v>
      </c>
      <c r="D2114" s="260">
        <v>46280</v>
      </c>
      <c r="E2114" s="260">
        <v>46293</v>
      </c>
      <c r="F2114">
        <v>44</v>
      </c>
      <c r="G2114" t="s">
        <v>866</v>
      </c>
    </row>
    <row r="2115" spans="1:7">
      <c r="A2115" t="s">
        <v>5049</v>
      </c>
      <c r="B2115" t="s">
        <v>5050</v>
      </c>
      <c r="C2115">
        <v>10</v>
      </c>
      <c r="D2115" s="260">
        <v>46309</v>
      </c>
      <c r="E2115" s="260">
        <v>46323</v>
      </c>
      <c r="F2115">
        <v>44</v>
      </c>
      <c r="G2115" t="s">
        <v>866</v>
      </c>
    </row>
    <row r="2116" spans="1:7">
      <c r="A2116" t="s">
        <v>5051</v>
      </c>
      <c r="B2116" t="s">
        <v>5052</v>
      </c>
      <c r="C2116">
        <v>40</v>
      </c>
      <c r="D2116" s="260">
        <v>46182</v>
      </c>
      <c r="E2116" s="260">
        <v>46240</v>
      </c>
      <c r="F2116">
        <v>60</v>
      </c>
      <c r="G2116" t="s">
        <v>866</v>
      </c>
    </row>
    <row r="2117" spans="1:7">
      <c r="A2117" t="s">
        <v>5053</v>
      </c>
      <c r="B2117" t="s">
        <v>5054</v>
      </c>
      <c r="C2117">
        <v>10</v>
      </c>
      <c r="D2117" s="260">
        <v>46258</v>
      </c>
      <c r="E2117" s="260">
        <v>46269</v>
      </c>
      <c r="F2117">
        <v>60</v>
      </c>
      <c r="G2117" t="s">
        <v>866</v>
      </c>
    </row>
    <row r="2118" spans="1:7">
      <c r="A2118" t="s">
        <v>5055</v>
      </c>
      <c r="B2118" t="s">
        <v>5056</v>
      </c>
      <c r="C2118">
        <v>10</v>
      </c>
      <c r="D2118" s="260">
        <v>46286</v>
      </c>
      <c r="E2118" s="260">
        <v>46297</v>
      </c>
      <c r="F2118">
        <v>60</v>
      </c>
      <c r="G2118" t="s">
        <v>866</v>
      </c>
    </row>
    <row r="2119" spans="1:7">
      <c r="A2119" t="s">
        <v>5057</v>
      </c>
      <c r="B2119" t="s">
        <v>5058</v>
      </c>
      <c r="C2119">
        <v>15</v>
      </c>
      <c r="D2119" s="260">
        <v>46185</v>
      </c>
      <c r="E2119" s="260">
        <v>46205</v>
      </c>
      <c r="F2119">
        <v>82</v>
      </c>
      <c r="G2119" t="s">
        <v>866</v>
      </c>
    </row>
    <row r="2120" spans="1:7">
      <c r="A2120" t="s">
        <v>5059</v>
      </c>
      <c r="B2120" t="s">
        <v>5060</v>
      </c>
      <c r="C2120">
        <v>10</v>
      </c>
      <c r="D2120" s="260">
        <v>46220</v>
      </c>
      <c r="E2120" s="260">
        <v>46238</v>
      </c>
      <c r="F2120">
        <v>82</v>
      </c>
      <c r="G2120" t="s">
        <v>866</v>
      </c>
    </row>
    <row r="2121" spans="1:7">
      <c r="A2121" t="s">
        <v>5061</v>
      </c>
      <c r="B2121" t="s">
        <v>5062</v>
      </c>
      <c r="C2121">
        <v>10</v>
      </c>
      <c r="D2121" s="260">
        <v>46254</v>
      </c>
      <c r="E2121" s="260">
        <v>46267</v>
      </c>
      <c r="F2121">
        <v>82</v>
      </c>
      <c r="G2121" t="s">
        <v>866</v>
      </c>
    </row>
    <row r="2122" spans="1:7">
      <c r="A2122" t="s">
        <v>5063</v>
      </c>
      <c r="B2122" t="s">
        <v>5064</v>
      </c>
      <c r="C2122">
        <v>20</v>
      </c>
      <c r="D2122" s="260">
        <v>46182</v>
      </c>
      <c r="E2122" s="260">
        <v>46209</v>
      </c>
      <c r="F2122">
        <v>80</v>
      </c>
      <c r="G2122" t="s">
        <v>866</v>
      </c>
    </row>
    <row r="2123" spans="1:7">
      <c r="A2123" t="s">
        <v>5065</v>
      </c>
      <c r="B2123" t="s">
        <v>5066</v>
      </c>
      <c r="C2123">
        <v>10</v>
      </c>
      <c r="D2123" s="260">
        <v>46224</v>
      </c>
      <c r="E2123" s="260">
        <v>46240</v>
      </c>
      <c r="F2123">
        <v>80</v>
      </c>
      <c r="G2123" t="s">
        <v>866</v>
      </c>
    </row>
    <row r="2124" spans="1:7">
      <c r="A2124" t="s">
        <v>5067</v>
      </c>
      <c r="B2124" t="s">
        <v>5068</v>
      </c>
      <c r="C2124">
        <v>10</v>
      </c>
      <c r="D2124" s="260">
        <v>46258</v>
      </c>
      <c r="E2124" s="260">
        <v>46269</v>
      </c>
      <c r="F2124">
        <v>80</v>
      </c>
      <c r="G2124" t="s">
        <v>866</v>
      </c>
    </row>
    <row r="2125" spans="1:7">
      <c r="A2125" t="s">
        <v>5069</v>
      </c>
      <c r="B2125" t="s">
        <v>5070</v>
      </c>
      <c r="C2125">
        <v>30</v>
      </c>
      <c r="D2125" s="260">
        <v>46282</v>
      </c>
      <c r="E2125" s="260">
        <v>46325</v>
      </c>
      <c r="F2125">
        <v>22</v>
      </c>
      <c r="G2125" t="s">
        <v>866</v>
      </c>
    </row>
    <row r="2126" spans="1:7">
      <c r="A2126" t="s">
        <v>5071</v>
      </c>
      <c r="B2126" t="s">
        <v>5072</v>
      </c>
      <c r="C2126">
        <v>10</v>
      </c>
      <c r="D2126" s="260">
        <v>46342</v>
      </c>
      <c r="E2126" s="260">
        <v>46353</v>
      </c>
      <c r="F2126">
        <v>22</v>
      </c>
      <c r="G2126" t="s">
        <v>866</v>
      </c>
    </row>
    <row r="2127" spans="1:7">
      <c r="A2127" t="s">
        <v>5073</v>
      </c>
      <c r="B2127" t="s">
        <v>5074</v>
      </c>
      <c r="C2127">
        <v>15</v>
      </c>
      <c r="D2127" s="260">
        <v>46185</v>
      </c>
      <c r="E2127" s="260">
        <v>46205</v>
      </c>
      <c r="F2127">
        <v>102</v>
      </c>
      <c r="G2127" t="s">
        <v>866</v>
      </c>
    </row>
    <row r="2128" spans="1:7">
      <c r="A2128" t="s">
        <v>5075</v>
      </c>
      <c r="B2128" t="s">
        <v>5076</v>
      </c>
      <c r="C2128">
        <v>10</v>
      </c>
      <c r="D2128" s="260">
        <v>46220</v>
      </c>
      <c r="E2128" s="260">
        <v>46238</v>
      </c>
      <c r="F2128">
        <v>102</v>
      </c>
      <c r="G2128" t="s">
        <v>866</v>
      </c>
    </row>
    <row r="2129" spans="1:7">
      <c r="A2129" t="s">
        <v>5077</v>
      </c>
      <c r="B2129" t="s">
        <v>5078</v>
      </c>
      <c r="C2129">
        <v>20</v>
      </c>
      <c r="D2129" s="260">
        <v>46113</v>
      </c>
      <c r="E2129" s="260">
        <v>46147</v>
      </c>
      <c r="F2129">
        <v>52</v>
      </c>
      <c r="G2129" t="s">
        <v>866</v>
      </c>
    </row>
    <row r="2130" spans="1:7">
      <c r="A2130" t="s">
        <v>5079</v>
      </c>
      <c r="B2130" t="s">
        <v>5080</v>
      </c>
      <c r="C2130">
        <v>10</v>
      </c>
      <c r="D2130" s="260">
        <v>46162</v>
      </c>
      <c r="E2130" s="260">
        <v>46177</v>
      </c>
      <c r="F2130">
        <v>117</v>
      </c>
      <c r="G2130" t="s">
        <v>866</v>
      </c>
    </row>
    <row r="2131" spans="1:7">
      <c r="A2131" t="s">
        <v>5081</v>
      </c>
      <c r="B2131" t="s">
        <v>5082</v>
      </c>
      <c r="C2131">
        <v>5</v>
      </c>
      <c r="D2131" s="260">
        <v>46192</v>
      </c>
      <c r="E2131" s="260">
        <v>46198</v>
      </c>
      <c r="F2131">
        <v>117</v>
      </c>
      <c r="G2131" t="s">
        <v>866</v>
      </c>
    </row>
    <row r="2132" spans="1:7">
      <c r="A2132" t="s">
        <v>5083</v>
      </c>
      <c r="B2132" t="s">
        <v>5084</v>
      </c>
      <c r="C2132">
        <v>20</v>
      </c>
      <c r="D2132" s="260">
        <v>46113</v>
      </c>
      <c r="E2132" s="260">
        <v>46147</v>
      </c>
      <c r="F2132">
        <v>52</v>
      </c>
      <c r="G2132" t="s">
        <v>866</v>
      </c>
    </row>
    <row r="2133" spans="1:7">
      <c r="A2133" t="s">
        <v>5085</v>
      </c>
      <c r="B2133" t="s">
        <v>5086</v>
      </c>
      <c r="C2133">
        <v>10</v>
      </c>
      <c r="D2133" s="260">
        <v>46162</v>
      </c>
      <c r="E2133" s="260">
        <v>46177</v>
      </c>
      <c r="F2133">
        <v>132</v>
      </c>
      <c r="G2133" t="s">
        <v>866</v>
      </c>
    </row>
    <row r="2134" spans="1:7">
      <c r="A2134" t="s">
        <v>5087</v>
      </c>
      <c r="B2134" t="s">
        <v>5088</v>
      </c>
      <c r="C2134">
        <v>20</v>
      </c>
      <c r="D2134" s="260">
        <v>46113</v>
      </c>
      <c r="E2134" s="260">
        <v>46147</v>
      </c>
      <c r="F2134">
        <v>52</v>
      </c>
      <c r="G2134" t="s">
        <v>866</v>
      </c>
    </row>
    <row r="2135" spans="1:7">
      <c r="A2135" t="s">
        <v>5089</v>
      </c>
      <c r="B2135" t="s">
        <v>5090</v>
      </c>
      <c r="C2135">
        <v>10</v>
      </c>
      <c r="D2135" s="260">
        <v>46162</v>
      </c>
      <c r="E2135" s="260">
        <v>46177</v>
      </c>
      <c r="F2135">
        <v>132</v>
      </c>
      <c r="G2135" t="s">
        <v>866</v>
      </c>
    </row>
    <row r="2136" spans="1:7">
      <c r="A2136" t="s">
        <v>5091</v>
      </c>
      <c r="B2136" t="s">
        <v>5092</v>
      </c>
      <c r="C2136">
        <v>15</v>
      </c>
      <c r="D2136" s="260">
        <v>46162</v>
      </c>
      <c r="E2136" s="260">
        <v>46184</v>
      </c>
      <c r="F2136">
        <v>27</v>
      </c>
      <c r="G2136" t="s">
        <v>866</v>
      </c>
    </row>
    <row r="2137" spans="1:7">
      <c r="A2137" t="s">
        <v>5093</v>
      </c>
      <c r="B2137" t="s">
        <v>5094</v>
      </c>
      <c r="C2137">
        <v>10</v>
      </c>
      <c r="D2137" s="260">
        <v>46199</v>
      </c>
      <c r="E2137" s="260">
        <v>46212</v>
      </c>
      <c r="F2137">
        <v>97</v>
      </c>
      <c r="G2137" t="s">
        <v>866</v>
      </c>
    </row>
    <row r="2138" spans="1:7">
      <c r="A2138" t="s">
        <v>5095</v>
      </c>
      <c r="B2138" t="s">
        <v>5096</v>
      </c>
      <c r="C2138">
        <v>10</v>
      </c>
      <c r="D2138" s="260">
        <v>46227</v>
      </c>
      <c r="E2138" s="260">
        <v>46245</v>
      </c>
      <c r="F2138">
        <v>97</v>
      </c>
      <c r="G2138" t="s">
        <v>866</v>
      </c>
    </row>
    <row r="2139" spans="1:7">
      <c r="A2139" t="s">
        <v>5097</v>
      </c>
      <c r="B2139" t="s">
        <v>5098</v>
      </c>
      <c r="C2139">
        <v>10</v>
      </c>
      <c r="D2139" s="260">
        <v>46140</v>
      </c>
      <c r="E2139" s="260">
        <v>46154</v>
      </c>
      <c r="F2139">
        <v>102</v>
      </c>
      <c r="G2139" t="s">
        <v>866</v>
      </c>
    </row>
    <row r="2140" spans="1:7">
      <c r="A2140" t="s">
        <v>5099</v>
      </c>
      <c r="B2140" t="s">
        <v>5100</v>
      </c>
      <c r="C2140">
        <v>10</v>
      </c>
      <c r="D2140" s="260">
        <v>46171</v>
      </c>
      <c r="E2140" s="260">
        <v>46188</v>
      </c>
      <c r="F2140">
        <v>105</v>
      </c>
      <c r="G2140" t="s">
        <v>866</v>
      </c>
    </row>
    <row r="2141" spans="1:7">
      <c r="A2141" t="s">
        <v>5101</v>
      </c>
      <c r="B2141" t="s">
        <v>5102</v>
      </c>
      <c r="C2141">
        <v>5</v>
      </c>
      <c r="D2141" s="260">
        <v>46203</v>
      </c>
      <c r="E2141" s="260">
        <v>46209</v>
      </c>
      <c r="F2141">
        <v>110</v>
      </c>
      <c r="G2141" t="s">
        <v>866</v>
      </c>
    </row>
    <row r="2142" spans="1:7">
      <c r="A2142" t="s">
        <v>5103</v>
      </c>
      <c r="B2142" t="s">
        <v>5104</v>
      </c>
      <c r="C2142">
        <v>15</v>
      </c>
      <c r="D2142" s="260">
        <v>46155</v>
      </c>
      <c r="E2142" s="260">
        <v>46177</v>
      </c>
      <c r="F2142">
        <v>102</v>
      </c>
      <c r="G2142" t="s">
        <v>866</v>
      </c>
    </row>
    <row r="2143" spans="1:7">
      <c r="A2143" t="s">
        <v>5105</v>
      </c>
      <c r="B2143" t="s">
        <v>5106</v>
      </c>
      <c r="C2143">
        <v>10</v>
      </c>
      <c r="D2143" s="260">
        <v>46192</v>
      </c>
      <c r="E2143" s="260">
        <v>46205</v>
      </c>
      <c r="F2143">
        <v>102</v>
      </c>
      <c r="G2143" t="s">
        <v>866</v>
      </c>
    </row>
    <row r="2144" spans="1:7">
      <c r="A2144" t="s">
        <v>5107</v>
      </c>
      <c r="B2144" t="s">
        <v>5108</v>
      </c>
      <c r="C2144">
        <v>10</v>
      </c>
      <c r="D2144" s="260">
        <v>46220</v>
      </c>
      <c r="E2144" s="260">
        <v>46238</v>
      </c>
      <c r="F2144">
        <v>102</v>
      </c>
      <c r="G2144" t="s">
        <v>866</v>
      </c>
    </row>
    <row r="2145" spans="1:7">
      <c r="A2145" t="s">
        <v>5109</v>
      </c>
      <c r="B2145" t="s">
        <v>5110</v>
      </c>
      <c r="C2145">
        <v>15</v>
      </c>
      <c r="D2145" s="260">
        <v>46155</v>
      </c>
      <c r="E2145" s="260">
        <v>46177</v>
      </c>
      <c r="F2145">
        <v>102</v>
      </c>
      <c r="G2145" t="s">
        <v>866</v>
      </c>
    </row>
    <row r="2146" spans="1:7">
      <c r="A2146" t="s">
        <v>5111</v>
      </c>
      <c r="B2146" t="s">
        <v>5112</v>
      </c>
      <c r="C2146">
        <v>10</v>
      </c>
      <c r="D2146" s="260">
        <v>46192</v>
      </c>
      <c r="E2146" s="260">
        <v>46205</v>
      </c>
      <c r="F2146">
        <v>102</v>
      </c>
      <c r="G2146" t="s">
        <v>866</v>
      </c>
    </row>
    <row r="2147" spans="1:7">
      <c r="A2147" t="s">
        <v>5113</v>
      </c>
      <c r="B2147" t="s">
        <v>5114</v>
      </c>
      <c r="C2147">
        <v>10</v>
      </c>
      <c r="D2147" s="260">
        <v>46220</v>
      </c>
      <c r="E2147" s="260">
        <v>46238</v>
      </c>
      <c r="F2147">
        <v>102</v>
      </c>
      <c r="G2147" t="s">
        <v>866</v>
      </c>
    </row>
    <row r="2148" spans="1:7">
      <c r="A2148" t="s">
        <v>5115</v>
      </c>
      <c r="B2148" t="s">
        <v>5116</v>
      </c>
      <c r="C2148">
        <v>15</v>
      </c>
      <c r="D2148" s="260">
        <v>46155</v>
      </c>
      <c r="E2148" s="260">
        <v>46177</v>
      </c>
      <c r="F2148">
        <v>102</v>
      </c>
      <c r="G2148" t="s">
        <v>866</v>
      </c>
    </row>
    <row r="2149" spans="1:7">
      <c r="A2149" t="s">
        <v>5117</v>
      </c>
      <c r="B2149" t="s">
        <v>5118</v>
      </c>
      <c r="C2149">
        <v>10</v>
      </c>
      <c r="D2149" s="260">
        <v>46192</v>
      </c>
      <c r="E2149" s="260">
        <v>46205</v>
      </c>
      <c r="F2149">
        <v>102</v>
      </c>
      <c r="G2149" t="s">
        <v>866</v>
      </c>
    </row>
    <row r="2150" spans="1:7">
      <c r="A2150" t="s">
        <v>5119</v>
      </c>
      <c r="B2150" t="s">
        <v>5120</v>
      </c>
      <c r="C2150">
        <v>10</v>
      </c>
      <c r="D2150" s="260">
        <v>46220</v>
      </c>
      <c r="E2150" s="260">
        <v>46238</v>
      </c>
      <c r="F2150">
        <v>102</v>
      </c>
      <c r="G2150" t="s">
        <v>866</v>
      </c>
    </row>
    <row r="2151" spans="1:7">
      <c r="A2151" t="s">
        <v>5121</v>
      </c>
      <c r="B2151" t="s">
        <v>5122</v>
      </c>
      <c r="C2151">
        <v>15</v>
      </c>
      <c r="D2151" s="260">
        <v>46155</v>
      </c>
      <c r="E2151" s="260">
        <v>46177</v>
      </c>
      <c r="F2151">
        <v>102</v>
      </c>
      <c r="G2151" t="s">
        <v>866</v>
      </c>
    </row>
    <row r="2152" spans="1:7">
      <c r="A2152" t="s">
        <v>5123</v>
      </c>
      <c r="B2152" t="s">
        <v>5124</v>
      </c>
      <c r="C2152">
        <v>10</v>
      </c>
      <c r="D2152" s="260">
        <v>46192</v>
      </c>
      <c r="E2152" s="260">
        <v>46205</v>
      </c>
      <c r="F2152">
        <v>102</v>
      </c>
      <c r="G2152" t="s">
        <v>866</v>
      </c>
    </row>
    <row r="2153" spans="1:7">
      <c r="A2153" t="s">
        <v>5125</v>
      </c>
      <c r="B2153" t="s">
        <v>5126</v>
      </c>
      <c r="C2153">
        <v>10</v>
      </c>
      <c r="D2153" s="260">
        <v>46220</v>
      </c>
      <c r="E2153" s="260">
        <v>46238</v>
      </c>
      <c r="F2153">
        <v>102</v>
      </c>
      <c r="G2153" t="s">
        <v>866</v>
      </c>
    </row>
    <row r="2154" spans="1:7">
      <c r="A2154" t="s">
        <v>5127</v>
      </c>
      <c r="B2154" t="s">
        <v>5128</v>
      </c>
      <c r="C2154">
        <v>15</v>
      </c>
      <c r="D2154" s="260">
        <v>46169</v>
      </c>
      <c r="E2154" s="260">
        <v>46191</v>
      </c>
      <c r="F2154">
        <v>92</v>
      </c>
      <c r="G2154" t="s">
        <v>866</v>
      </c>
    </row>
    <row r="2155" spans="1:7">
      <c r="A2155" t="s">
        <v>5129</v>
      </c>
      <c r="B2155" t="s">
        <v>5130</v>
      </c>
      <c r="C2155">
        <v>10</v>
      </c>
      <c r="D2155" s="260">
        <v>46213</v>
      </c>
      <c r="E2155" s="260">
        <v>46226</v>
      </c>
      <c r="F2155">
        <v>87</v>
      </c>
      <c r="G2155" t="s">
        <v>866</v>
      </c>
    </row>
    <row r="2156" spans="1:7">
      <c r="A2156" t="s">
        <v>5131</v>
      </c>
      <c r="B2156" t="s">
        <v>5132</v>
      </c>
      <c r="C2156">
        <v>10</v>
      </c>
      <c r="D2156" s="260">
        <v>46275</v>
      </c>
      <c r="E2156" s="260">
        <v>46288</v>
      </c>
      <c r="F2156">
        <v>67</v>
      </c>
      <c r="G2156" t="s">
        <v>866</v>
      </c>
    </row>
    <row r="2157" spans="1:7">
      <c r="A2157" t="s">
        <v>5133</v>
      </c>
      <c r="B2157" t="s">
        <v>5134</v>
      </c>
      <c r="C2157">
        <v>15</v>
      </c>
      <c r="D2157" s="260">
        <v>46169</v>
      </c>
      <c r="E2157" s="260">
        <v>46191</v>
      </c>
      <c r="F2157">
        <v>92</v>
      </c>
      <c r="G2157" t="s">
        <v>866</v>
      </c>
    </row>
    <row r="2158" spans="1:7">
      <c r="A2158" t="s">
        <v>5135</v>
      </c>
      <c r="B2158" t="s">
        <v>5136</v>
      </c>
      <c r="C2158">
        <v>10</v>
      </c>
      <c r="D2158" s="260">
        <v>46213</v>
      </c>
      <c r="E2158" s="260">
        <v>46226</v>
      </c>
      <c r="F2158">
        <v>87</v>
      </c>
      <c r="G2158" t="s">
        <v>866</v>
      </c>
    </row>
    <row r="2159" spans="1:7">
      <c r="A2159" t="s">
        <v>5137</v>
      </c>
      <c r="B2159" t="s">
        <v>5138</v>
      </c>
      <c r="C2159">
        <v>10</v>
      </c>
      <c r="D2159" s="260">
        <v>46275</v>
      </c>
      <c r="E2159" s="260">
        <v>46288</v>
      </c>
      <c r="F2159">
        <v>67</v>
      </c>
      <c r="G2159" t="s">
        <v>866</v>
      </c>
    </row>
    <row r="2160" spans="1:7">
      <c r="A2160" t="s">
        <v>5139</v>
      </c>
      <c r="B2160" t="s">
        <v>5140</v>
      </c>
      <c r="C2160">
        <v>15</v>
      </c>
      <c r="D2160" s="260">
        <v>46169</v>
      </c>
      <c r="E2160" s="260">
        <v>46191</v>
      </c>
      <c r="F2160">
        <v>32</v>
      </c>
      <c r="G2160" t="s">
        <v>866</v>
      </c>
    </row>
    <row r="2161" spans="1:7">
      <c r="A2161" t="s">
        <v>5141</v>
      </c>
      <c r="B2161" t="s">
        <v>5142</v>
      </c>
      <c r="C2161">
        <v>10</v>
      </c>
      <c r="D2161" s="260">
        <v>46213</v>
      </c>
      <c r="E2161" s="260">
        <v>46226</v>
      </c>
      <c r="F2161">
        <v>77</v>
      </c>
      <c r="G2161" t="s">
        <v>866</v>
      </c>
    </row>
    <row r="2162" spans="1:7">
      <c r="A2162" t="s">
        <v>5143</v>
      </c>
      <c r="B2162" t="s">
        <v>643</v>
      </c>
      <c r="C2162">
        <v>10</v>
      </c>
      <c r="D2162" s="260">
        <v>46275</v>
      </c>
      <c r="E2162" s="260">
        <v>46288</v>
      </c>
      <c r="F2162">
        <v>67</v>
      </c>
      <c r="G2162" t="s">
        <v>866</v>
      </c>
    </row>
    <row r="2163" spans="1:7">
      <c r="A2163" t="s">
        <v>5144</v>
      </c>
      <c r="B2163" t="s">
        <v>5145</v>
      </c>
      <c r="C2163">
        <v>15</v>
      </c>
      <c r="D2163" s="260">
        <v>46169</v>
      </c>
      <c r="E2163" s="260">
        <v>46191</v>
      </c>
      <c r="F2163">
        <v>77</v>
      </c>
      <c r="G2163" t="s">
        <v>866</v>
      </c>
    </row>
    <row r="2164" spans="1:7">
      <c r="A2164" t="s">
        <v>5146</v>
      </c>
      <c r="B2164" t="s">
        <v>5147</v>
      </c>
      <c r="C2164">
        <v>10</v>
      </c>
      <c r="D2164" s="260">
        <v>46213</v>
      </c>
      <c r="E2164" s="260">
        <v>46226</v>
      </c>
      <c r="F2164">
        <v>77</v>
      </c>
      <c r="G2164" t="s">
        <v>866</v>
      </c>
    </row>
    <row r="2165" spans="1:7">
      <c r="A2165" t="s">
        <v>5148</v>
      </c>
      <c r="B2165" t="s">
        <v>670</v>
      </c>
      <c r="C2165">
        <v>10</v>
      </c>
      <c r="D2165" s="260">
        <v>46275</v>
      </c>
      <c r="E2165" s="260">
        <v>46288</v>
      </c>
      <c r="F2165">
        <v>67</v>
      </c>
      <c r="G2165" t="s">
        <v>866</v>
      </c>
    </row>
    <row r="2166" spans="1:7">
      <c r="A2166" t="s">
        <v>5149</v>
      </c>
      <c r="B2166" t="s">
        <v>5150</v>
      </c>
      <c r="C2166">
        <v>15</v>
      </c>
      <c r="D2166" s="260">
        <v>46192</v>
      </c>
      <c r="E2166" s="260">
        <v>46212</v>
      </c>
      <c r="F2166">
        <v>32</v>
      </c>
      <c r="G2166" t="s">
        <v>866</v>
      </c>
    </row>
    <row r="2167" spans="1:7">
      <c r="A2167" t="s">
        <v>5151</v>
      </c>
      <c r="B2167" t="s">
        <v>5152</v>
      </c>
      <c r="C2167">
        <v>10</v>
      </c>
      <c r="D2167" s="260">
        <v>46227</v>
      </c>
      <c r="E2167" s="260">
        <v>46245</v>
      </c>
      <c r="F2167">
        <v>77</v>
      </c>
      <c r="G2167" t="s">
        <v>866</v>
      </c>
    </row>
    <row r="2168" spans="1:7">
      <c r="A2168" t="s">
        <v>5153</v>
      </c>
      <c r="B2168" t="s">
        <v>5154</v>
      </c>
      <c r="C2168">
        <v>10</v>
      </c>
      <c r="D2168" s="260">
        <v>46261</v>
      </c>
      <c r="E2168" s="260">
        <v>46274</v>
      </c>
      <c r="F2168">
        <v>77</v>
      </c>
      <c r="G2168" t="s">
        <v>866</v>
      </c>
    </row>
    <row r="2169" spans="1:7">
      <c r="A2169" t="s">
        <v>5155</v>
      </c>
      <c r="B2169" t="s">
        <v>5156</v>
      </c>
      <c r="C2169">
        <v>15</v>
      </c>
      <c r="D2169" s="260">
        <v>46192</v>
      </c>
      <c r="E2169" s="260">
        <v>46212</v>
      </c>
      <c r="F2169">
        <v>77</v>
      </c>
      <c r="G2169" t="s">
        <v>866</v>
      </c>
    </row>
    <row r="2170" spans="1:7">
      <c r="A2170" t="s">
        <v>5157</v>
      </c>
      <c r="B2170" t="s">
        <v>5158</v>
      </c>
      <c r="C2170">
        <v>10</v>
      </c>
      <c r="D2170" s="260">
        <v>46227</v>
      </c>
      <c r="E2170" s="260">
        <v>46245</v>
      </c>
      <c r="F2170">
        <v>77</v>
      </c>
      <c r="G2170" t="s">
        <v>866</v>
      </c>
    </row>
    <row r="2171" spans="1:7">
      <c r="A2171" t="s">
        <v>5159</v>
      </c>
      <c r="B2171" t="s">
        <v>5160</v>
      </c>
      <c r="C2171">
        <v>10</v>
      </c>
      <c r="D2171" s="260">
        <v>46261</v>
      </c>
      <c r="E2171" s="260">
        <v>46274</v>
      </c>
      <c r="F2171">
        <v>77</v>
      </c>
      <c r="G2171" t="s">
        <v>866</v>
      </c>
    </row>
    <row r="2172" spans="1:7">
      <c r="A2172" t="s">
        <v>5161</v>
      </c>
      <c r="B2172" t="s">
        <v>5162</v>
      </c>
      <c r="C2172">
        <v>15</v>
      </c>
      <c r="D2172" s="260">
        <v>46192</v>
      </c>
      <c r="E2172" s="260">
        <v>46212</v>
      </c>
      <c r="F2172">
        <v>32</v>
      </c>
      <c r="G2172" t="s">
        <v>866</v>
      </c>
    </row>
    <row r="2173" spans="1:7">
      <c r="A2173" t="s">
        <v>5163</v>
      </c>
      <c r="B2173" t="s">
        <v>5164</v>
      </c>
      <c r="C2173">
        <v>10</v>
      </c>
      <c r="D2173" s="260">
        <v>46227</v>
      </c>
      <c r="E2173" s="260">
        <v>46245</v>
      </c>
      <c r="F2173">
        <v>62</v>
      </c>
      <c r="G2173" t="s">
        <v>866</v>
      </c>
    </row>
    <row r="2174" spans="1:7">
      <c r="A2174" t="s">
        <v>5165</v>
      </c>
      <c r="B2174" t="s">
        <v>5166</v>
      </c>
      <c r="C2174">
        <v>10</v>
      </c>
      <c r="D2174" s="260">
        <v>46261</v>
      </c>
      <c r="E2174" s="260">
        <v>46274</v>
      </c>
      <c r="F2174">
        <v>62</v>
      </c>
      <c r="G2174" t="s">
        <v>866</v>
      </c>
    </row>
    <row r="2175" spans="1:7">
      <c r="A2175" t="s">
        <v>5167</v>
      </c>
      <c r="B2175" t="s">
        <v>5168</v>
      </c>
      <c r="C2175">
        <v>15</v>
      </c>
      <c r="D2175" s="260">
        <v>46192</v>
      </c>
      <c r="E2175" s="260">
        <v>46212</v>
      </c>
      <c r="F2175">
        <v>32</v>
      </c>
      <c r="G2175" t="s">
        <v>866</v>
      </c>
    </row>
    <row r="2176" spans="1:7">
      <c r="A2176" t="s">
        <v>5169</v>
      </c>
      <c r="B2176" t="s">
        <v>5170</v>
      </c>
      <c r="C2176">
        <v>10</v>
      </c>
      <c r="D2176" s="260">
        <v>46227</v>
      </c>
      <c r="E2176" s="260">
        <v>46245</v>
      </c>
      <c r="F2176">
        <v>62</v>
      </c>
      <c r="G2176" t="s">
        <v>866</v>
      </c>
    </row>
    <row r="2177" spans="1:7">
      <c r="A2177" t="s">
        <v>5171</v>
      </c>
      <c r="B2177" t="s">
        <v>5172</v>
      </c>
      <c r="C2177">
        <v>10</v>
      </c>
      <c r="D2177" s="260">
        <v>46261</v>
      </c>
      <c r="E2177" s="260">
        <v>46274</v>
      </c>
      <c r="F2177">
        <v>62</v>
      </c>
      <c r="G2177" t="s">
        <v>866</v>
      </c>
    </row>
    <row r="2178" spans="1:7">
      <c r="A2178" t="s">
        <v>5173</v>
      </c>
      <c r="C2178">
        <v>85</v>
      </c>
      <c r="D2178" s="260">
        <v>46185</v>
      </c>
      <c r="E2178" s="260">
        <v>46310</v>
      </c>
      <c r="F2178">
        <v>52</v>
      </c>
      <c r="G2178" t="s">
        <v>866</v>
      </c>
    </row>
    <row r="2179" spans="1:7">
      <c r="A2179" t="s">
        <v>5174</v>
      </c>
      <c r="B2179" t="s">
        <v>5175</v>
      </c>
      <c r="C2179">
        <v>15</v>
      </c>
      <c r="D2179" s="260">
        <v>46185</v>
      </c>
      <c r="E2179" s="260">
        <v>46205</v>
      </c>
      <c r="F2179">
        <v>27</v>
      </c>
      <c r="G2179" t="s">
        <v>866</v>
      </c>
    </row>
    <row r="2180" spans="1:7">
      <c r="A2180" t="s">
        <v>5176</v>
      </c>
      <c r="B2180" t="s">
        <v>5177</v>
      </c>
      <c r="C2180">
        <v>10</v>
      </c>
      <c r="D2180" s="260">
        <v>46296</v>
      </c>
      <c r="E2180" s="260">
        <v>46310</v>
      </c>
      <c r="F2180">
        <v>52</v>
      </c>
      <c r="G2180" t="s">
        <v>866</v>
      </c>
    </row>
    <row r="2181" spans="1:7">
      <c r="A2181" t="s">
        <v>5178</v>
      </c>
      <c r="B2181" t="s">
        <v>5179</v>
      </c>
      <c r="C2181">
        <v>15</v>
      </c>
      <c r="D2181" s="260">
        <v>46185</v>
      </c>
      <c r="E2181" s="260">
        <v>46205</v>
      </c>
      <c r="F2181">
        <v>27</v>
      </c>
      <c r="G2181" t="s">
        <v>866</v>
      </c>
    </row>
    <row r="2182" spans="1:7">
      <c r="A2182" t="s">
        <v>5180</v>
      </c>
      <c r="B2182" t="s">
        <v>5181</v>
      </c>
      <c r="C2182">
        <v>10</v>
      </c>
      <c r="D2182" s="260">
        <v>46296</v>
      </c>
      <c r="E2182" s="260">
        <v>46310</v>
      </c>
      <c r="F2182">
        <v>52</v>
      </c>
      <c r="G2182" t="s">
        <v>866</v>
      </c>
    </row>
    <row r="2183" spans="1:7">
      <c r="A2183" t="s">
        <v>5182</v>
      </c>
      <c r="B2183" t="s">
        <v>5183</v>
      </c>
      <c r="C2183">
        <v>15</v>
      </c>
      <c r="D2183" s="260">
        <v>46185</v>
      </c>
      <c r="E2183" s="260">
        <v>46205</v>
      </c>
      <c r="F2183">
        <v>27</v>
      </c>
      <c r="G2183" t="s">
        <v>866</v>
      </c>
    </row>
    <row r="2184" spans="1:7">
      <c r="A2184" t="s">
        <v>5184</v>
      </c>
      <c r="B2184" t="s">
        <v>5185</v>
      </c>
      <c r="C2184">
        <v>10</v>
      </c>
      <c r="D2184" s="260">
        <v>46296</v>
      </c>
      <c r="E2184" s="260">
        <v>46310</v>
      </c>
      <c r="F2184">
        <v>52</v>
      </c>
      <c r="G2184" t="s">
        <v>866</v>
      </c>
    </row>
    <row r="2185" spans="1:7">
      <c r="A2185" t="s">
        <v>5186</v>
      </c>
      <c r="C2185">
        <v>95</v>
      </c>
      <c r="D2185" s="260">
        <v>46206</v>
      </c>
      <c r="E2185" s="260">
        <v>46346</v>
      </c>
      <c r="F2185">
        <v>27</v>
      </c>
      <c r="G2185" t="s">
        <v>866</v>
      </c>
    </row>
    <row r="2186" spans="1:7">
      <c r="A2186" t="s">
        <v>5187</v>
      </c>
      <c r="B2186" t="s">
        <v>5188</v>
      </c>
      <c r="C2186">
        <v>10</v>
      </c>
      <c r="D2186" s="260">
        <v>46206</v>
      </c>
      <c r="E2186" s="260">
        <v>46219</v>
      </c>
      <c r="F2186">
        <v>27</v>
      </c>
      <c r="G2186" t="s">
        <v>866</v>
      </c>
    </row>
    <row r="2187" spans="1:7">
      <c r="A2187" t="s">
        <v>5189</v>
      </c>
      <c r="B2187" t="s">
        <v>5190</v>
      </c>
      <c r="C2187">
        <v>5</v>
      </c>
      <c r="D2187" s="260">
        <v>46342</v>
      </c>
      <c r="E2187" s="260">
        <v>46346</v>
      </c>
      <c r="F2187">
        <v>27</v>
      </c>
      <c r="G2187" t="s">
        <v>866</v>
      </c>
    </row>
    <row r="2188" spans="1:7">
      <c r="A2188" t="s">
        <v>5191</v>
      </c>
      <c r="B2188" t="s">
        <v>5192</v>
      </c>
      <c r="C2188">
        <v>10</v>
      </c>
      <c r="D2188" s="260">
        <v>46206</v>
      </c>
      <c r="E2188" s="260">
        <v>46219</v>
      </c>
      <c r="F2188">
        <v>27</v>
      </c>
      <c r="G2188" t="s">
        <v>866</v>
      </c>
    </row>
    <row r="2189" spans="1:7">
      <c r="A2189" t="s">
        <v>5193</v>
      </c>
      <c r="B2189" t="s">
        <v>5194</v>
      </c>
      <c r="C2189">
        <v>5</v>
      </c>
      <c r="D2189" s="260">
        <v>46342</v>
      </c>
      <c r="E2189" s="260">
        <v>46346</v>
      </c>
      <c r="F2189">
        <v>27</v>
      </c>
      <c r="G2189" t="s">
        <v>866</v>
      </c>
    </row>
    <row r="2190" spans="1:7">
      <c r="A2190" t="s">
        <v>5195</v>
      </c>
      <c r="B2190" t="s">
        <v>5196</v>
      </c>
      <c r="C2190">
        <v>10</v>
      </c>
      <c r="D2190" s="260">
        <v>46206</v>
      </c>
      <c r="E2190" s="260">
        <v>46219</v>
      </c>
      <c r="F2190">
        <v>27</v>
      </c>
      <c r="G2190" t="s">
        <v>866</v>
      </c>
    </row>
    <row r="2191" spans="1:7">
      <c r="A2191" t="s">
        <v>5197</v>
      </c>
      <c r="B2191" t="s">
        <v>5198</v>
      </c>
      <c r="C2191">
        <v>5</v>
      </c>
      <c r="D2191" s="260">
        <v>46342</v>
      </c>
      <c r="E2191" s="260">
        <v>46346</v>
      </c>
      <c r="F2191">
        <v>27</v>
      </c>
      <c r="G2191" t="s">
        <v>866</v>
      </c>
    </row>
    <row r="2192" spans="1:7">
      <c r="A2192" t="s">
        <v>5199</v>
      </c>
      <c r="C2192">
        <v>60</v>
      </c>
      <c r="D2192" s="260">
        <v>46254</v>
      </c>
      <c r="E2192" s="260">
        <v>46339</v>
      </c>
      <c r="F2192">
        <v>27</v>
      </c>
      <c r="G2192" t="s">
        <v>866</v>
      </c>
    </row>
    <row r="2193" spans="1:7">
      <c r="A2193" t="s">
        <v>5200</v>
      </c>
      <c r="B2193" t="s">
        <v>5201</v>
      </c>
      <c r="C2193">
        <v>20</v>
      </c>
      <c r="D2193" s="260">
        <v>46254</v>
      </c>
      <c r="E2193" s="260">
        <v>46281</v>
      </c>
      <c r="F2193">
        <v>27</v>
      </c>
      <c r="G2193" t="s">
        <v>866</v>
      </c>
    </row>
    <row r="2194" spans="1:7">
      <c r="A2194" t="s">
        <v>5202</v>
      </c>
      <c r="B2194" t="s">
        <v>5203</v>
      </c>
      <c r="C2194">
        <v>10</v>
      </c>
      <c r="D2194" s="260">
        <v>46296</v>
      </c>
      <c r="E2194" s="260">
        <v>46310</v>
      </c>
      <c r="F2194">
        <v>27</v>
      </c>
      <c r="G2194" t="s">
        <v>866</v>
      </c>
    </row>
    <row r="2195" spans="1:7">
      <c r="A2195" t="s">
        <v>5204</v>
      </c>
      <c r="B2195" t="s">
        <v>5205</v>
      </c>
      <c r="C2195">
        <v>10</v>
      </c>
      <c r="D2195" s="260">
        <v>46328</v>
      </c>
      <c r="E2195" s="260">
        <v>46339</v>
      </c>
      <c r="F2195">
        <v>27</v>
      </c>
      <c r="G2195" t="s">
        <v>866</v>
      </c>
    </row>
    <row r="2196" spans="1:7">
      <c r="A2196" t="s">
        <v>5206</v>
      </c>
      <c r="B2196" t="s">
        <v>5207</v>
      </c>
      <c r="C2196">
        <v>20</v>
      </c>
      <c r="D2196" s="260">
        <v>46254</v>
      </c>
      <c r="E2196" s="260">
        <v>46281</v>
      </c>
      <c r="F2196">
        <v>27</v>
      </c>
      <c r="G2196" t="s">
        <v>866</v>
      </c>
    </row>
    <row r="2197" spans="1:7">
      <c r="A2197" t="s">
        <v>5208</v>
      </c>
      <c r="B2197" t="s">
        <v>5209</v>
      </c>
      <c r="C2197">
        <v>10</v>
      </c>
      <c r="D2197" s="260">
        <v>46296</v>
      </c>
      <c r="E2197" s="260">
        <v>46310</v>
      </c>
      <c r="F2197">
        <v>27</v>
      </c>
      <c r="G2197" t="s">
        <v>866</v>
      </c>
    </row>
    <row r="2198" spans="1:7">
      <c r="A2198" t="s">
        <v>5210</v>
      </c>
      <c r="B2198" t="s">
        <v>5211</v>
      </c>
      <c r="C2198">
        <v>10</v>
      </c>
      <c r="D2198" s="260">
        <v>46328</v>
      </c>
      <c r="E2198" s="260">
        <v>46339</v>
      </c>
      <c r="F2198">
        <v>27</v>
      </c>
      <c r="G2198" t="s">
        <v>866</v>
      </c>
    </row>
    <row r="2199" spans="1:7">
      <c r="A2199" t="s">
        <v>5212</v>
      </c>
      <c r="B2199" t="s">
        <v>5213</v>
      </c>
      <c r="C2199">
        <v>20</v>
      </c>
      <c r="D2199" s="260">
        <v>46254</v>
      </c>
      <c r="E2199" s="260">
        <v>46281</v>
      </c>
      <c r="F2199">
        <v>27</v>
      </c>
      <c r="G2199" t="s">
        <v>866</v>
      </c>
    </row>
    <row r="2200" spans="1:7">
      <c r="A2200" t="s">
        <v>5214</v>
      </c>
      <c r="B2200" t="s">
        <v>5215</v>
      </c>
      <c r="C2200">
        <v>10</v>
      </c>
      <c r="D2200" s="260">
        <v>46296</v>
      </c>
      <c r="E2200" s="260">
        <v>46310</v>
      </c>
      <c r="F2200">
        <v>27</v>
      </c>
      <c r="G2200" t="s">
        <v>866</v>
      </c>
    </row>
    <row r="2201" spans="1:7">
      <c r="A2201" t="s">
        <v>5216</v>
      </c>
      <c r="B2201" t="s">
        <v>5217</v>
      </c>
      <c r="C2201">
        <v>10</v>
      </c>
      <c r="D2201" s="260">
        <v>46328</v>
      </c>
      <c r="E2201" s="260">
        <v>46339</v>
      </c>
      <c r="F2201">
        <v>27</v>
      </c>
      <c r="G2201" t="s">
        <v>866</v>
      </c>
    </row>
    <row r="2202" spans="1:7">
      <c r="A2202" t="s">
        <v>1190</v>
      </c>
      <c r="C2202">
        <v>10</v>
      </c>
      <c r="D2202" s="260">
        <v>46167</v>
      </c>
      <c r="E2202" s="260">
        <v>46182</v>
      </c>
      <c r="F2202">
        <v>99</v>
      </c>
      <c r="G2202" t="s">
        <v>866</v>
      </c>
    </row>
    <row r="2203" spans="1:7">
      <c r="A2203" t="s">
        <v>5218</v>
      </c>
      <c r="B2203" t="s">
        <v>5219</v>
      </c>
      <c r="C2203">
        <v>10</v>
      </c>
      <c r="D2203" s="260">
        <v>46167</v>
      </c>
      <c r="E2203" s="260">
        <v>46182</v>
      </c>
      <c r="F2203">
        <v>99</v>
      </c>
      <c r="G2203" t="s">
        <v>866</v>
      </c>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W247"/>
  <sheetViews>
    <sheetView view="pageBreakPreview" zoomScale="85" zoomScaleNormal="55" workbookViewId="0">
      <pane xSplit="10" ySplit="16" topLeftCell="R23" activePane="bottomRight" state="frozen"/>
      <selection pane="topRight"/>
      <selection pane="bottomLeft"/>
      <selection pane="bottomRight" activeCell="Y35" sqref="Y35:Y37"/>
    </sheetView>
  </sheetViews>
  <sheetFormatPr defaultColWidth="10.796875" defaultRowHeight="18"/>
  <cols>
    <col min="1" max="1" width="3.86328125" style="170" customWidth="1"/>
    <col min="2" max="2" width="11.1328125" style="170" customWidth="1"/>
    <col min="3" max="3" width="10.796875" style="24" customWidth="1"/>
    <col min="4" max="4" width="19.86328125" style="24" customWidth="1"/>
    <col min="5" max="5" width="17.86328125" style="24" customWidth="1"/>
    <col min="6" max="6" width="11.86328125" style="24" customWidth="1"/>
    <col min="7" max="7" width="10.86328125" style="171" customWidth="1"/>
    <col min="8" max="9" width="10.46484375" style="172" customWidth="1"/>
    <col min="10" max="10" width="8.46484375" style="172" customWidth="1"/>
    <col min="11" max="11" width="11" style="172" customWidth="1"/>
    <col min="12" max="15" width="11" style="173" customWidth="1"/>
    <col min="16" max="16" width="11" style="174" customWidth="1"/>
    <col min="17" max="17" width="11" style="175" customWidth="1"/>
    <col min="18" max="21" width="11" style="173" customWidth="1"/>
    <col min="22" max="22" width="10.46484375" style="173" customWidth="1"/>
    <col min="23" max="23" width="10.46484375" style="176" customWidth="1"/>
    <col min="24" max="25" width="10.46484375" style="173" customWidth="1"/>
    <col min="26" max="27" width="10.46484375" style="177" customWidth="1"/>
    <col min="28" max="28" width="10.46484375" style="178" customWidth="1"/>
    <col min="29" max="39" width="10.796875" style="172" customWidth="1"/>
    <col min="40" max="40" width="10.796875" style="172"/>
    <col min="41" max="41" width="10.796875" style="172" customWidth="1"/>
    <col min="42" max="44" width="11" style="173" customWidth="1"/>
    <col min="45" max="45" width="10.46484375" style="179" customWidth="1"/>
    <col min="46" max="47" width="10.796875" style="172" customWidth="1"/>
    <col min="48" max="48" width="10.796875" style="172"/>
    <col min="49" max="49" width="10.796875" style="180" customWidth="1"/>
    <col min="50" max="16384" width="10.796875" style="172"/>
  </cols>
  <sheetData>
    <row r="1" spans="1:49" ht="53.1" customHeight="1">
      <c r="A1" s="35" t="s">
        <v>5220</v>
      </c>
      <c r="B1" s="35"/>
      <c r="G1" s="25"/>
      <c r="H1" s="25"/>
      <c r="I1" s="25" t="s">
        <v>5221</v>
      </c>
      <c r="J1" s="38"/>
      <c r="K1" s="38"/>
      <c r="L1" s="181"/>
      <c r="M1" s="181"/>
      <c r="N1" s="181"/>
      <c r="O1" s="181"/>
      <c r="P1" s="182"/>
      <c r="Q1" s="183"/>
      <c r="R1" s="181"/>
      <c r="S1" s="181"/>
      <c r="T1" s="181"/>
      <c r="U1" s="181"/>
      <c r="V1" s="181"/>
      <c r="W1" s="184"/>
      <c r="X1" s="185"/>
      <c r="Y1" s="186"/>
      <c r="Z1" s="187"/>
      <c r="AA1" s="187"/>
      <c r="AB1" s="188"/>
      <c r="AP1" s="181"/>
      <c r="AQ1" s="181"/>
      <c r="AR1" s="181"/>
      <c r="AS1" s="189"/>
    </row>
    <row r="2" spans="1:49" ht="53.1" hidden="1" customHeight="1">
      <c r="A2" s="35"/>
      <c r="B2" s="35"/>
      <c r="G2" s="25"/>
      <c r="H2" s="25"/>
      <c r="I2" s="25"/>
      <c r="J2" s="38"/>
      <c r="K2" s="38"/>
      <c r="L2" s="181"/>
      <c r="M2" s="181"/>
      <c r="N2" s="181"/>
      <c r="O2" s="181"/>
      <c r="P2" s="182"/>
      <c r="Q2" s="183"/>
      <c r="R2" s="181"/>
      <c r="S2" s="181"/>
      <c r="T2" s="181"/>
      <c r="U2" s="181"/>
      <c r="V2" s="181"/>
      <c r="W2" s="184"/>
      <c r="X2" s="185"/>
      <c r="Y2" s="186"/>
      <c r="Z2" s="187"/>
      <c r="AA2" s="187"/>
      <c r="AB2" s="188"/>
      <c r="AP2" s="181"/>
      <c r="AQ2" s="181"/>
      <c r="AR2" s="181"/>
      <c r="AS2" s="189"/>
    </row>
    <row r="3" spans="1:49" ht="53.1" hidden="1" customHeight="1">
      <c r="A3" s="35"/>
      <c r="B3" s="35"/>
      <c r="G3" s="25"/>
      <c r="H3" s="25"/>
      <c r="I3" s="25"/>
      <c r="J3" s="38"/>
      <c r="K3" s="38"/>
      <c r="L3" s="181"/>
      <c r="M3" s="181"/>
      <c r="N3" s="181"/>
      <c r="O3" s="181"/>
      <c r="P3" s="182"/>
      <c r="Q3" s="183"/>
      <c r="R3" s="181"/>
      <c r="S3" s="181"/>
      <c r="T3" s="181"/>
      <c r="U3" s="181"/>
      <c r="V3" s="181"/>
      <c r="W3" s="184"/>
      <c r="X3" s="185"/>
      <c r="Y3" s="186"/>
      <c r="Z3" s="187"/>
      <c r="AA3" s="187"/>
      <c r="AB3" s="188"/>
      <c r="AP3" s="181"/>
      <c r="AQ3" s="181"/>
      <c r="AR3" s="181"/>
      <c r="AS3" s="189"/>
    </row>
    <row r="4" spans="1:49" ht="53.1" hidden="1" customHeight="1">
      <c r="A4" s="35"/>
      <c r="B4" s="35"/>
      <c r="G4" s="25"/>
      <c r="H4" s="25"/>
      <c r="I4" s="25"/>
      <c r="J4" s="38"/>
      <c r="K4" s="38"/>
      <c r="L4" s="181"/>
      <c r="M4" s="181"/>
      <c r="N4" s="181"/>
      <c r="O4" s="181"/>
      <c r="P4" s="182"/>
      <c r="Q4" s="183"/>
      <c r="R4" s="181"/>
      <c r="S4" s="181"/>
      <c r="T4" s="181"/>
      <c r="U4" s="181"/>
      <c r="V4" s="181"/>
      <c r="W4" s="184"/>
      <c r="X4" s="185"/>
      <c r="Y4" s="186"/>
      <c r="Z4" s="187"/>
      <c r="AA4" s="187"/>
      <c r="AB4" s="188"/>
      <c r="AP4" s="181"/>
      <c r="AQ4" s="181"/>
      <c r="AR4" s="181"/>
      <c r="AS4" s="189"/>
    </row>
    <row r="5" spans="1:49" ht="53.1" hidden="1" customHeight="1">
      <c r="A5" s="35"/>
      <c r="B5" s="35"/>
      <c r="G5" s="25"/>
      <c r="H5" s="25"/>
      <c r="I5" s="25"/>
      <c r="J5" s="38"/>
      <c r="K5" s="38"/>
      <c r="L5" s="181"/>
      <c r="M5" s="181"/>
      <c r="N5" s="181"/>
      <c r="O5" s="181"/>
      <c r="P5" s="182"/>
      <c r="Q5" s="183"/>
      <c r="R5" s="181"/>
      <c r="S5" s="181"/>
      <c r="T5" s="181"/>
      <c r="U5" s="181"/>
      <c r="V5" s="181"/>
      <c r="W5" s="184"/>
      <c r="X5" s="185"/>
      <c r="Y5" s="186"/>
      <c r="Z5" s="187"/>
      <c r="AA5" s="187"/>
      <c r="AB5" s="188"/>
      <c r="AP5" s="181"/>
      <c r="AQ5" s="181"/>
      <c r="AR5" s="181"/>
      <c r="AS5" s="189"/>
    </row>
    <row r="6" spans="1:49" ht="53.1" hidden="1" customHeight="1">
      <c r="A6" s="35"/>
      <c r="B6" s="35"/>
      <c r="G6" s="25"/>
      <c r="H6" s="25"/>
      <c r="I6" s="25"/>
      <c r="J6" s="38"/>
      <c r="K6" s="38"/>
      <c r="L6" s="181"/>
      <c r="M6" s="181"/>
      <c r="N6" s="181"/>
      <c r="O6" s="181"/>
      <c r="P6" s="182"/>
      <c r="Q6" s="183"/>
      <c r="R6" s="181"/>
      <c r="S6" s="181"/>
      <c r="T6" s="181"/>
      <c r="U6" s="181"/>
      <c r="V6" s="181"/>
      <c r="W6" s="184"/>
      <c r="X6" s="185"/>
      <c r="Y6" s="186"/>
      <c r="Z6" s="187"/>
      <c r="AA6" s="187"/>
      <c r="AB6" s="188"/>
      <c r="AP6" s="181"/>
      <c r="AQ6" s="181"/>
      <c r="AR6" s="181"/>
      <c r="AS6" s="189"/>
    </row>
    <row r="7" spans="1:49" ht="53.1" hidden="1" customHeight="1">
      <c r="A7" s="35"/>
      <c r="B7" s="35"/>
      <c r="G7" s="25"/>
      <c r="H7" s="25"/>
      <c r="I7" s="25"/>
      <c r="J7" s="38"/>
      <c r="K7" s="38"/>
      <c r="L7" s="181"/>
      <c r="M7" s="181"/>
      <c r="N7" s="181"/>
      <c r="O7" s="181"/>
      <c r="P7" s="182"/>
      <c r="Q7" s="183"/>
      <c r="R7" s="181"/>
      <c r="S7" s="181"/>
      <c r="T7" s="181"/>
      <c r="U7" s="181"/>
      <c r="V7" s="181"/>
      <c r="W7" s="184"/>
      <c r="X7" s="185"/>
      <c r="Y7" s="186"/>
      <c r="Z7" s="187"/>
      <c r="AA7" s="187"/>
      <c r="AB7" s="188"/>
      <c r="AP7" s="181"/>
      <c r="AQ7" s="181"/>
      <c r="AR7" s="181"/>
      <c r="AS7" s="189"/>
    </row>
    <row r="8" spans="1:49" ht="53.1" hidden="1" customHeight="1">
      <c r="A8" s="35"/>
      <c r="B8" s="35"/>
      <c r="G8" s="25"/>
      <c r="H8" s="25"/>
      <c r="I8" s="25"/>
      <c r="J8" s="38"/>
      <c r="K8" s="38"/>
      <c r="L8" s="181"/>
      <c r="M8" s="181"/>
      <c r="N8" s="181"/>
      <c r="O8" s="181"/>
      <c r="P8" s="182"/>
      <c r="Q8" s="183"/>
      <c r="R8" s="181"/>
      <c r="S8" s="181"/>
      <c r="T8" s="181"/>
      <c r="U8" s="181"/>
      <c r="V8" s="181"/>
      <c r="W8" s="184"/>
      <c r="X8" s="185"/>
      <c r="Y8" s="186"/>
      <c r="Z8" s="187"/>
      <c r="AA8" s="187"/>
      <c r="AB8" s="188"/>
      <c r="AP8" s="181"/>
      <c r="AQ8" s="181"/>
      <c r="AR8" s="181"/>
      <c r="AS8" s="189"/>
    </row>
    <row r="9" spans="1:49" ht="53.1" hidden="1" customHeight="1">
      <c r="A9" s="35"/>
      <c r="B9" s="35"/>
      <c r="G9" s="25"/>
      <c r="H9" s="25"/>
      <c r="I9" s="25"/>
      <c r="J9" s="38"/>
      <c r="K9" s="38"/>
      <c r="L9" s="181"/>
      <c r="M9" s="181"/>
      <c r="N9" s="181"/>
      <c r="O9" s="181"/>
      <c r="P9" s="182"/>
      <c r="Q9" s="183"/>
      <c r="R9" s="181"/>
      <c r="S9" s="181"/>
      <c r="T9" s="181"/>
      <c r="U9" s="181"/>
      <c r="V9" s="181"/>
      <c r="W9" s="184"/>
      <c r="X9" s="185"/>
      <c r="Y9" s="186"/>
      <c r="Z9" s="187"/>
      <c r="AA9" s="187"/>
      <c r="AB9" s="188"/>
      <c r="AP9" s="181"/>
      <c r="AQ9" s="181"/>
      <c r="AR9" s="181"/>
      <c r="AS9" s="189"/>
    </row>
    <row r="10" spans="1:49" ht="53.1" hidden="1" customHeight="1">
      <c r="A10" s="35"/>
      <c r="B10" s="35"/>
      <c r="G10" s="25"/>
      <c r="H10" s="25"/>
      <c r="I10" s="25"/>
      <c r="J10" s="38"/>
      <c r="K10" s="38"/>
      <c r="L10" s="181"/>
      <c r="M10" s="181"/>
      <c r="N10" s="181"/>
      <c r="O10" s="181"/>
      <c r="P10" s="182"/>
      <c r="Q10" s="183"/>
      <c r="R10" s="181"/>
      <c r="S10" s="181"/>
      <c r="T10" s="181"/>
      <c r="U10" s="181"/>
      <c r="V10" s="181"/>
      <c r="W10" s="184"/>
      <c r="X10" s="185"/>
      <c r="Y10" s="186"/>
      <c r="Z10" s="187"/>
      <c r="AA10" s="187"/>
      <c r="AB10" s="188"/>
      <c r="AP10" s="181"/>
      <c r="AQ10" s="181"/>
      <c r="AR10" s="181"/>
      <c r="AS10" s="189"/>
    </row>
    <row r="11" spans="1:49" ht="6" customHeight="1">
      <c r="A11" s="35"/>
      <c r="B11" s="35"/>
      <c r="G11" s="25"/>
      <c r="H11" s="25"/>
      <c r="I11" s="25"/>
      <c r="J11" s="38"/>
      <c r="K11" s="38"/>
      <c r="L11" s="181"/>
      <c r="M11" s="181"/>
      <c r="N11" s="181"/>
      <c r="O11" s="181"/>
      <c r="P11" s="182"/>
      <c r="Q11" s="183"/>
      <c r="R11" s="181"/>
      <c r="S11" s="181"/>
      <c r="T11" s="181"/>
      <c r="U11" s="181"/>
      <c r="V11" s="181"/>
      <c r="W11" s="184"/>
      <c r="X11" s="185"/>
      <c r="Y11" s="186"/>
      <c r="Z11" s="187"/>
      <c r="AA11" s="187"/>
      <c r="AB11" s="188"/>
      <c r="AP11" s="181"/>
      <c r="AQ11" s="181"/>
      <c r="AR11" s="181"/>
      <c r="AS11" s="189"/>
    </row>
    <row r="12" spans="1:49" ht="12" customHeight="1">
      <c r="A12" s="44"/>
      <c r="B12" s="44"/>
      <c r="G12" s="25"/>
      <c r="H12" s="190"/>
      <c r="I12" s="190" t="s">
        <v>6</v>
      </c>
      <c r="J12" s="38"/>
      <c r="K12" s="38"/>
      <c r="L12" s="191">
        <v>1</v>
      </c>
      <c r="M12" s="191">
        <v>5</v>
      </c>
      <c r="N12" s="192">
        <v>1</v>
      </c>
      <c r="O12" s="191">
        <v>5</v>
      </c>
      <c r="P12" s="193"/>
      <c r="Q12" s="194"/>
      <c r="R12" s="192">
        <v>10</v>
      </c>
      <c r="S12" s="191">
        <v>20</v>
      </c>
      <c r="T12" s="191">
        <v>3</v>
      </c>
      <c r="U12" s="192">
        <v>10</v>
      </c>
      <c r="V12" s="192">
        <v>2</v>
      </c>
      <c r="W12" s="195">
        <f>SUM(L12:V12)</f>
        <v>57</v>
      </c>
      <c r="X12" s="186"/>
      <c r="Y12" s="186"/>
      <c r="Z12" s="187"/>
      <c r="AA12" s="187"/>
      <c r="AB12" s="188"/>
      <c r="AP12" s="192">
        <v>2</v>
      </c>
      <c r="AQ12" s="192">
        <v>4</v>
      </c>
      <c r="AR12" s="192">
        <v>5</v>
      </c>
      <c r="AS12" s="189"/>
    </row>
    <row r="13" spans="1:49" ht="12" customHeight="1">
      <c r="A13" s="46"/>
      <c r="B13" s="46"/>
      <c r="G13" s="25"/>
      <c r="H13" s="45"/>
      <c r="I13" s="45" t="s">
        <v>7</v>
      </c>
      <c r="J13" s="38"/>
      <c r="K13" s="38"/>
      <c r="L13" s="191">
        <v>1</v>
      </c>
      <c r="M13" s="191">
        <v>5</v>
      </c>
      <c r="N13" s="192">
        <v>1</v>
      </c>
      <c r="O13" s="191">
        <v>5</v>
      </c>
      <c r="P13" s="193"/>
      <c r="Q13" s="194"/>
      <c r="R13" s="192">
        <v>10</v>
      </c>
      <c r="S13" s="191">
        <v>20</v>
      </c>
      <c r="T13" s="191">
        <v>3</v>
      </c>
      <c r="U13" s="192">
        <v>10</v>
      </c>
      <c r="V13" s="192">
        <v>2</v>
      </c>
      <c r="W13" s="195">
        <f>SUM(L13:V13)</f>
        <v>57</v>
      </c>
      <c r="X13" s="186"/>
      <c r="Y13" s="186"/>
      <c r="Z13" s="187"/>
      <c r="AA13" s="187"/>
      <c r="AB13" s="188"/>
      <c r="AP13" s="192">
        <v>2</v>
      </c>
      <c r="AQ13" s="192">
        <v>4</v>
      </c>
      <c r="AR13" s="192">
        <v>5</v>
      </c>
      <c r="AS13" s="189"/>
    </row>
    <row r="14" spans="1:49" ht="12" customHeight="1">
      <c r="A14" s="46"/>
      <c r="B14" s="46"/>
      <c r="G14" s="25"/>
      <c r="H14" s="45"/>
      <c r="I14" s="45" t="s">
        <v>8</v>
      </c>
      <c r="J14" s="38"/>
      <c r="K14" s="38"/>
      <c r="L14" s="191">
        <v>3</v>
      </c>
      <c r="M14" s="191">
        <v>10</v>
      </c>
      <c r="N14" s="192">
        <v>1</v>
      </c>
      <c r="O14" s="191">
        <v>10</v>
      </c>
      <c r="P14" s="193"/>
      <c r="Q14" s="194"/>
      <c r="R14" s="192">
        <v>10</v>
      </c>
      <c r="S14" s="191">
        <v>15</v>
      </c>
      <c r="T14" s="191">
        <v>10</v>
      </c>
      <c r="U14" s="192">
        <v>10</v>
      </c>
      <c r="V14" s="192">
        <v>2</v>
      </c>
      <c r="W14" s="195">
        <f>SUM(L14:V14)</f>
        <v>71</v>
      </c>
      <c r="X14" s="186"/>
      <c r="Y14" s="186"/>
      <c r="Z14" s="187"/>
      <c r="AA14" s="187"/>
      <c r="AB14" s="188"/>
      <c r="AP14" s="192">
        <v>2</v>
      </c>
      <c r="AQ14" s="192">
        <v>2</v>
      </c>
      <c r="AR14" s="192">
        <v>5</v>
      </c>
      <c r="AS14" s="189"/>
    </row>
    <row r="15" spans="1:49" s="164" customFormat="1" ht="21.75" customHeight="1">
      <c r="A15" s="46"/>
      <c r="B15" s="46"/>
      <c r="C15" s="24"/>
      <c r="D15" s="24"/>
      <c r="E15" s="24"/>
      <c r="F15" s="24"/>
      <c r="G15" s="25"/>
      <c r="H15" s="45"/>
      <c r="I15" s="45" t="s">
        <v>9</v>
      </c>
      <c r="J15" s="196"/>
      <c r="K15" s="196"/>
      <c r="L15" s="191">
        <v>3</v>
      </c>
      <c r="M15" s="191">
        <v>5</v>
      </c>
      <c r="N15" s="192">
        <v>1</v>
      </c>
      <c r="O15" s="191">
        <v>3</v>
      </c>
      <c r="P15" s="193"/>
      <c r="Q15" s="194"/>
      <c r="R15" s="192">
        <v>5</v>
      </c>
      <c r="S15" s="191">
        <v>7</v>
      </c>
      <c r="T15" s="191">
        <v>2</v>
      </c>
      <c r="U15" s="192">
        <v>5</v>
      </c>
      <c r="V15" s="192">
        <v>2</v>
      </c>
      <c r="W15" s="195">
        <f>SUM(L15:V15)</f>
        <v>33</v>
      </c>
      <c r="X15" s="192"/>
      <c r="Y15" s="192"/>
      <c r="Z15" s="197"/>
      <c r="AA15" s="197"/>
      <c r="AB15" s="198"/>
      <c r="AP15" s="192">
        <v>2</v>
      </c>
      <c r="AQ15" s="192">
        <v>2</v>
      </c>
      <c r="AR15" s="192">
        <v>5</v>
      </c>
      <c r="AS15" s="199"/>
      <c r="AW15" s="200"/>
    </row>
    <row r="16" spans="1:49" s="165" customFormat="1" ht="42" customHeight="1">
      <c r="A16" s="201" t="s">
        <v>11</v>
      </c>
      <c r="B16" s="201" t="s">
        <v>5222</v>
      </c>
      <c r="C16" s="202" t="s">
        <v>12</v>
      </c>
      <c r="D16" s="202" t="s">
        <v>13</v>
      </c>
      <c r="E16" s="202" t="s">
        <v>5223</v>
      </c>
      <c r="F16" s="202" t="s">
        <v>19</v>
      </c>
      <c r="G16" s="202" t="s">
        <v>20</v>
      </c>
      <c r="H16" s="201" t="s">
        <v>21</v>
      </c>
      <c r="I16" s="201" t="s">
        <v>22</v>
      </c>
      <c r="J16" s="201"/>
      <c r="K16" s="202" t="s">
        <v>23</v>
      </c>
      <c r="L16" s="203" t="s">
        <v>5224</v>
      </c>
      <c r="M16" s="203" t="s">
        <v>25</v>
      </c>
      <c r="N16" s="203" t="s">
        <v>26</v>
      </c>
      <c r="O16" s="203" t="s">
        <v>27</v>
      </c>
      <c r="P16" s="204" t="s">
        <v>5225</v>
      </c>
      <c r="Q16" s="205" t="s">
        <v>28</v>
      </c>
      <c r="R16" s="203" t="s">
        <v>29</v>
      </c>
      <c r="S16" s="203" t="s">
        <v>30</v>
      </c>
      <c r="T16" s="203" t="s">
        <v>31</v>
      </c>
      <c r="U16" s="203" t="s">
        <v>33</v>
      </c>
      <c r="V16" s="203" t="s">
        <v>34</v>
      </c>
      <c r="W16" s="206" t="s">
        <v>15</v>
      </c>
      <c r="X16" s="203" t="s">
        <v>5226</v>
      </c>
      <c r="Y16" s="207" t="s">
        <v>5227</v>
      </c>
      <c r="Z16" s="207" t="s">
        <v>48</v>
      </c>
      <c r="AA16" s="207" t="s">
        <v>5228</v>
      </c>
      <c r="AB16" s="207" t="s">
        <v>5229</v>
      </c>
      <c r="AC16" s="208">
        <v>40329</v>
      </c>
      <c r="AD16" s="209">
        <v>40359</v>
      </c>
      <c r="AE16" s="209">
        <v>40390</v>
      </c>
      <c r="AF16" s="209">
        <v>40421</v>
      </c>
      <c r="AG16" s="209">
        <v>40451</v>
      </c>
      <c r="AH16" s="209">
        <v>40482</v>
      </c>
      <c r="AI16" s="209">
        <v>40512</v>
      </c>
      <c r="AJ16" s="209">
        <v>40543</v>
      </c>
      <c r="AK16" s="209">
        <v>40574</v>
      </c>
      <c r="AL16" s="209">
        <v>40602</v>
      </c>
      <c r="AM16" s="209">
        <f ca="1">TODAY()</f>
        <v>46287</v>
      </c>
      <c r="AP16" s="207" t="s">
        <v>5230</v>
      </c>
      <c r="AQ16" s="207" t="s">
        <v>5231</v>
      </c>
      <c r="AR16" s="207" t="s">
        <v>5232</v>
      </c>
      <c r="AS16" s="210" t="s">
        <v>5233</v>
      </c>
      <c r="AW16" s="211"/>
    </row>
    <row r="17" spans="1:49" s="166" customFormat="1" ht="18" customHeight="1">
      <c r="A17" s="736">
        <v>1</v>
      </c>
      <c r="B17" s="738"/>
      <c r="C17" s="741" t="s">
        <v>5234</v>
      </c>
      <c r="D17" s="741" t="s">
        <v>5235</v>
      </c>
      <c r="E17" s="746"/>
      <c r="F17" s="750" t="s">
        <v>59</v>
      </c>
      <c r="G17" s="741" t="str">
        <f>IF(_xlfn.XLOOKUP(C17,'[38]Before Award'!D:D,'[38]Before Award'!AV:AV,"N/A")="N/A","N","Y")</f>
        <v>N</v>
      </c>
      <c r="H17" s="746"/>
      <c r="I17" s="212" t="s">
        <v>6</v>
      </c>
      <c r="J17" s="214" t="s">
        <v>5236</v>
      </c>
      <c r="K17" s="215">
        <f>WORKDAY(L17,-INDEX(L$12:L$15,MATCH($I17,$I$12:$I$15,0)))</f>
        <v>46140</v>
      </c>
      <c r="L17" s="215">
        <f>WORKDAY(M17,-INDEX(M$12:M$15,MATCH($I17,$I$12:$I$15,0)))</f>
        <v>46141</v>
      </c>
      <c r="M17" s="215">
        <f>WORKDAY(N17,-INDEX(N$12:N$15,MATCH($I17,$I$12:$I$15,0)))</f>
        <v>46148</v>
      </c>
      <c r="N17" s="215">
        <f>WORKDAY(O17,-INDEX(O$12:O$15,MATCH($I17,$I$12:$I$15,0)))</f>
        <v>46149</v>
      </c>
      <c r="O17" s="215">
        <f>WORKDAY(R17,-INDEX(R$12:R$15,MATCH($I17,$I$12:$I$15,0)))</f>
        <v>46156</v>
      </c>
      <c r="P17" s="216">
        <f>U17-L17</f>
        <v>76</v>
      </c>
      <c r="Q17" s="217"/>
      <c r="R17" s="215">
        <f>WORKDAY(S17,-INDEX(S$12:S$15,MATCH($I17,$I$12:$I$15,0)))</f>
        <v>46170</v>
      </c>
      <c r="S17" s="215">
        <f>WORKDAY(T17,-INDEX(T$12:T$15,MATCH($I17,$I$12:$I$15,0)))</f>
        <v>46198</v>
      </c>
      <c r="T17" s="215">
        <f>WORKDAY(U17,-INDEX(U$12:U$15,MATCH($I17,$I$12:$I$15,0)))</f>
        <v>46203</v>
      </c>
      <c r="U17" s="215">
        <f>X17-Y17</f>
        <v>46217</v>
      </c>
      <c r="V17" s="215">
        <f>WORKDAY(U17,INDEX(V$12:V$15,MATCH($I17,$I$12:$I$15,0)))</f>
        <v>46219</v>
      </c>
      <c r="W17" s="218">
        <f>Y17/7</f>
        <v>50</v>
      </c>
      <c r="X17" s="215">
        <f>Z17</f>
        <v>46567</v>
      </c>
      <c r="Y17" s="768">
        <v>350</v>
      </c>
      <c r="Z17" s="772">
        <v>46567</v>
      </c>
      <c r="AA17" s="773">
        <v>46567</v>
      </c>
      <c r="AB17" s="777">
        <f>Z17-X18</f>
        <v>0</v>
      </c>
      <c r="AC17" s="220">
        <f>IF(ISERROR(LOOKUP(AC$16,$L17:$X17,#REF!)),0,(LOOKUP(AC$16,$L17:$X17,#REF!)))</f>
        <v>0</v>
      </c>
      <c r="AD17" s="221">
        <f>IF(ISERROR(LOOKUP(AD$16,$L17:$X17,#REF!)),0,(LOOKUP(AD$16,$L17:$X17,#REF!)))</f>
        <v>0</v>
      </c>
      <c r="AE17" s="221">
        <f>IF(ISERROR(LOOKUP(AE$16,$L17:$X17,#REF!)),0,(LOOKUP(AE$16,$L17:$X17,#REF!)))</f>
        <v>0</v>
      </c>
      <c r="AF17" s="221">
        <f>IF(ISERROR(LOOKUP(AF$16,$L17:$X17,#REF!)),0,(LOOKUP(AF$16,$L17:$X17,#REF!)))</f>
        <v>0</v>
      </c>
      <c r="AG17" s="221">
        <f>IF(ISERROR(LOOKUP(AG$16,$L17:$X17,#REF!)),0,(LOOKUP(AG$16,$L17:$X17,#REF!)))</f>
        <v>0</v>
      </c>
      <c r="AH17" s="221">
        <f>IF(ISERROR(LOOKUP(AH$16,$L17:$X17,#REF!)),0,(LOOKUP(AH$16,$L17:$X17,#REF!)))</f>
        <v>0</v>
      </c>
      <c r="AI17" s="221">
        <f>IF(ISERROR(LOOKUP(AI$16,$L17:$X17,#REF!)),0,(LOOKUP(AI$16,$L17:$X17,#REF!)))</f>
        <v>0</v>
      </c>
      <c r="AJ17" s="221">
        <f>IF(ISERROR(LOOKUP(AJ$16,$L17:$X17,#REF!)),0,(LOOKUP(AJ$16,$L17:$X17,#REF!)))</f>
        <v>0</v>
      </c>
      <c r="AK17" s="221">
        <f>IF(ISERROR(LOOKUP(AK$16,$L17:$X17,#REF!)),0,(LOOKUP(AK$16,$L17:$X17,#REF!)))</f>
        <v>0</v>
      </c>
      <c r="AL17" s="221">
        <f>IF(ISERROR(LOOKUP(AL$16,$L17:$X17,#REF!)),0,(LOOKUP(AL$16,$L17:$X17,#REF!)))</f>
        <v>0</v>
      </c>
      <c r="AM17" s="221">
        <f ca="1">IF(ISERROR(LOOKUP(AM$16,$L17:$X17,#REF!)),0,(LOOKUP(AM$16,$L17:$X17,#REF!)))</f>
        <v>0</v>
      </c>
      <c r="AO17" s="166">
        <f t="shared" ref="AO17:AO71" si="0">U17-T17</f>
        <v>14</v>
      </c>
      <c r="AP17" s="215" t="e">
        <f>WORKDAY(AQ17,-INDEX(AQ$12:AQ$15,MATCH($I17,$I$12:$I$15,0)),$AW$17:$AW$148)</f>
        <v>#REF!</v>
      </c>
      <c r="AQ17" s="215" t="e">
        <f>WORKDAY(U17,-INDEX(U$12:U$15,MATCH($I17,$I$12:$I$15,0)),$AW$17:$AW$148)</f>
        <v>#REF!</v>
      </c>
      <c r="AR17" s="215" t="e">
        <f>WORKDAY(U17,-INDEX(U$12:U$15,MATCH($I17,$I$12:$I$15,0)),$AW$17:$AW$148)</f>
        <v>#REF!</v>
      </c>
      <c r="AS17" s="778">
        <v>14</v>
      </c>
      <c r="AW17" s="223" t="e" cm="1">
        <f t="array" ref="AW17:AW95">'[38]Equipment List and MR List (3)'!$A$2:$A$80</f>
        <v>#REF!</v>
      </c>
    </row>
    <row r="18" spans="1:49" s="166" customFormat="1" ht="18" customHeight="1">
      <c r="A18" s="736"/>
      <c r="B18" s="739"/>
      <c r="C18" s="741" t="str">
        <f>C17</f>
        <v>RFQ-001</v>
      </c>
      <c r="D18" s="741" t="str">
        <f>D17</f>
        <v>Pedestal Crane</v>
      </c>
      <c r="E18" s="747"/>
      <c r="F18" s="751"/>
      <c r="G18" s="741"/>
      <c r="H18" s="747"/>
      <c r="I18" s="212" t="str">
        <f>I17</f>
        <v>LA</v>
      </c>
      <c r="J18" s="214" t="s">
        <v>65</v>
      </c>
      <c r="K18" s="215">
        <f>K17</f>
        <v>46140</v>
      </c>
      <c r="L18" s="215">
        <f>WORKDAY(IF(K19="",K18,K19),INDEX(L$12:L$15,MATCH($I17,$I$12:$I$15,0)))</f>
        <v>46141</v>
      </c>
      <c r="M18" s="215">
        <f>WORKDAY(IF(L19="",L18,L19),INDEX(M$12:M$15,MATCH($I17,$I$12:$I$15,0)))</f>
        <v>46148</v>
      </c>
      <c r="N18" s="215">
        <f>WORKDAY(IF(M19="",M18,M19),INDEX(N$12:N$15,MATCH($I17,$I$12:$I$15,0)))</f>
        <v>46149</v>
      </c>
      <c r="O18" s="215">
        <f>WORKDAY(IF(N19="",N18,N19),INDEX(O$12:O$15,MATCH($I17,$I$12:$I$15,0)))</f>
        <v>46156</v>
      </c>
      <c r="P18" s="216"/>
      <c r="Q18" s="217"/>
      <c r="R18" s="215">
        <f>WORKDAY(IF(O19="",O18,O19),INDEX(R$12:R$15,MATCH($I17,$I$12:$I$15,0)))</f>
        <v>46170</v>
      </c>
      <c r="S18" s="215">
        <f>WORKDAY(IF(R19="",R18,R19),INDEX(S$12:S$15,MATCH($I17,$I$12:$I$15,0)))</f>
        <v>46198</v>
      </c>
      <c r="T18" s="215">
        <f>WORKDAY(IF(S19="",S18,S19),INDEX(T$12:T$15,MATCH($I17,$I$12:$I$15,0)))</f>
        <v>46203</v>
      </c>
      <c r="U18" s="215">
        <f>WORKDAY(IF(T19="",T18,T19),INDEX(U$12:U$15,MATCH($I17,$I$12:$I$15,0)))</f>
        <v>46217</v>
      </c>
      <c r="V18" s="215">
        <f>WORKDAY(IF(U19="",U18,U19),INDEX(V$12:V$15,MATCH($I17,$I$12:$I$15,0)))</f>
        <v>46219</v>
      </c>
      <c r="W18" s="218"/>
      <c r="X18" s="215">
        <f>U18+Y17</f>
        <v>46567</v>
      </c>
      <c r="Y18" s="768"/>
      <c r="Z18" s="772"/>
      <c r="AA18" s="773"/>
      <c r="AB18" s="777"/>
      <c r="AC18" s="220">
        <f>IF(ISERROR(LOOKUP(AC$16,$L18:$X18,#REF!)),0,(LOOKUP(AC$16,$L18:$X18,#REF!)))</f>
        <v>0</v>
      </c>
      <c r="AD18" s="221">
        <f>IF(ISERROR(LOOKUP(AD$16,$L18:$X18,#REF!)),0,(LOOKUP(AD$16,$L18:$X18,#REF!)))</f>
        <v>0</v>
      </c>
      <c r="AE18" s="221">
        <f>IF(ISERROR(LOOKUP(AE$16,$L18:$X18,#REF!)),0,(LOOKUP(AE$16,$L18:$X18,#REF!)))</f>
        <v>0</v>
      </c>
      <c r="AF18" s="221">
        <f>IF(ISERROR(LOOKUP(AF$16,$L18:$X18,#REF!)),0,(LOOKUP(AF$16,$L18:$X18,#REF!)))</f>
        <v>0</v>
      </c>
      <c r="AG18" s="221">
        <f>IF(ISERROR(LOOKUP(AG$16,$L18:$X18,#REF!)),0,(LOOKUP(AG$16,$L18:$X18,#REF!)))</f>
        <v>0</v>
      </c>
      <c r="AH18" s="221">
        <f>IF(ISERROR(LOOKUP(AH$16,$L18:$X18,#REF!)),0,(LOOKUP(AH$16,$L18:$X18,#REF!)))</f>
        <v>0</v>
      </c>
      <c r="AI18" s="221">
        <f>IF(ISERROR(LOOKUP(AI$16,$L18:$X18,#REF!)),0,(LOOKUP(AI$16,$L18:$X18,#REF!)))</f>
        <v>0</v>
      </c>
      <c r="AJ18" s="221">
        <f>IF(ISERROR(LOOKUP(AJ$16,$L18:$X18,#REF!)),0,(LOOKUP(AJ$16,$L18:$X18,#REF!)))</f>
        <v>0</v>
      </c>
      <c r="AK18" s="221">
        <f>IF(ISERROR(LOOKUP(AK$16,$L18:$X18,#REF!)),0,(LOOKUP(AK$16,$L18:$X18,#REF!)))</f>
        <v>0</v>
      </c>
      <c r="AL18" s="221">
        <f>IF(ISERROR(LOOKUP(AL$16,$L18:$X18,#REF!)),0,(LOOKUP(AL$16,$L18:$X18,#REF!)))</f>
        <v>0</v>
      </c>
      <c r="AM18" s="221">
        <f ca="1">IF(ISERROR(LOOKUP(AM$16,$L18:$X18,#REF!)),0,(LOOKUP(AM$16,$L18:$X18,#REF!)))</f>
        <v>0</v>
      </c>
      <c r="AO18" s="166">
        <f t="shared" si="0"/>
        <v>14</v>
      </c>
      <c r="AP18" s="215" t="e">
        <f>WORKDAY(IF(T19="",T18,T19),INDEX(AP$12:AP$15,MATCH($I17,$I$12:$I$15,0)),$AW$17:$AW$148)</f>
        <v>#REF!</v>
      </c>
      <c r="AQ18" s="215" t="e">
        <f>WORKDAY(IF(AP19="",AP18,AP19),INDEX(AQ$12:AQ$15,MATCH($I17,$I$12:$I$15,0)),$AW$17:$AW$148)</f>
        <v>#REF!</v>
      </c>
      <c r="AR18" s="215" t="e">
        <f>WORKDAY(IF(AQ19="",AQ18,AQ19),INDEX(AR$12:AR$15,MATCH($I17,$I$12:$I$15,0)),$AW$17:$AW$148)</f>
        <v>#REF!</v>
      </c>
      <c r="AS18" s="778"/>
      <c r="AW18" s="223" t="e">
        <v>#REF!</v>
      </c>
    </row>
    <row r="19" spans="1:49" s="166" customFormat="1" ht="18" customHeight="1">
      <c r="A19" s="736"/>
      <c r="B19" s="740"/>
      <c r="C19" s="741" t="str">
        <f>C17</f>
        <v>RFQ-001</v>
      </c>
      <c r="D19" s="741" t="str">
        <f>D17</f>
        <v>Pedestal Crane</v>
      </c>
      <c r="E19" s="748"/>
      <c r="F19" s="752"/>
      <c r="G19" s="741"/>
      <c r="H19" s="748"/>
      <c r="I19" s="212" t="str">
        <f>I17</f>
        <v>LA</v>
      </c>
      <c r="J19" s="214" t="s">
        <v>67</v>
      </c>
      <c r="K19" s="212"/>
      <c r="L19" s="212"/>
      <c r="M19" s="212"/>
      <c r="N19" s="212"/>
      <c r="O19" s="212"/>
      <c r="P19" s="226"/>
      <c r="Q19" s="227"/>
      <c r="R19" s="212"/>
      <c r="S19" s="212"/>
      <c r="T19" s="212"/>
      <c r="U19" s="212"/>
      <c r="V19" s="212"/>
      <c r="W19" s="228"/>
      <c r="X19" s="212"/>
      <c r="Y19" s="768"/>
      <c r="Z19" s="772"/>
      <c r="AA19" s="773"/>
      <c r="AB19" s="777"/>
      <c r="AC19" s="229">
        <f>IF(ISERROR(LOOKUP(AC$16,$L19:$X19,#REF!)),0,(LOOKUP(AC$16,$L19:$X19,#REF!)))</f>
        <v>0</v>
      </c>
      <c r="AD19" s="230">
        <f>IF(ISERROR(LOOKUP(AD$16,$L19:$X19,#REF!)),0,(LOOKUP(AD$16,$L19:$X19,#REF!)))</f>
        <v>0</v>
      </c>
      <c r="AE19" s="230">
        <f>IF(ISERROR(LOOKUP(AE$16,$L19:$X19,#REF!)),0,(LOOKUP(AE$16,$L19:$X19,#REF!)))</f>
        <v>0</v>
      </c>
      <c r="AF19" s="230">
        <f>IF(ISERROR(LOOKUP(AF$16,$L19:$X19,#REF!)),0,(LOOKUP(AF$16,$L19:$X19,#REF!)))</f>
        <v>0</v>
      </c>
      <c r="AG19" s="230">
        <f>IF(ISERROR(LOOKUP(AG$16,$L19:$X19,#REF!)),0,(LOOKUP(AG$16,$L19:$X19,#REF!)))</f>
        <v>0</v>
      </c>
      <c r="AH19" s="230">
        <f>IF(ISERROR(LOOKUP(AH$16,$L19:$X19,#REF!)),0,(LOOKUP(AH$16,$L19:$X19,#REF!)))</f>
        <v>0</v>
      </c>
      <c r="AI19" s="230">
        <f>IF(ISERROR(LOOKUP(AI$16,$L19:$X19,#REF!)),0,(LOOKUP(AI$16,$L19:$X19,#REF!)))</f>
        <v>0</v>
      </c>
      <c r="AJ19" s="230">
        <f>IF(ISERROR(LOOKUP(AJ$16,$L19:$X19,#REF!)),0,(LOOKUP(AJ$16,$L19:$X19,#REF!)))</f>
        <v>0</v>
      </c>
      <c r="AK19" s="230">
        <f>IF(ISERROR(LOOKUP(AK$16,$L19:$X19,#REF!)),0,(LOOKUP(AK$16,$L19:$X19,#REF!)))</f>
        <v>0</v>
      </c>
      <c r="AL19" s="230">
        <f>IF(ISERROR(LOOKUP(AL$16,$L19:$X19,#REF!)),0,(LOOKUP(AL$16,$L19:$X19,#REF!)))</f>
        <v>0</v>
      </c>
      <c r="AM19" s="230">
        <f ca="1">IF(ISERROR(LOOKUP(AM$16,$L19:$X19,#REF!)),0,(LOOKUP(AM$16,$L19:$X19,#REF!)))</f>
        <v>0</v>
      </c>
      <c r="AO19" s="166">
        <f t="shared" si="0"/>
        <v>0</v>
      </c>
      <c r="AP19" s="212"/>
      <c r="AQ19" s="212"/>
      <c r="AR19" s="212"/>
      <c r="AS19" s="778"/>
      <c r="AW19" s="223" t="e">
        <v>#REF!</v>
      </c>
    </row>
    <row r="20" spans="1:49" s="167" customFormat="1" ht="18" customHeight="1">
      <c r="A20" s="737">
        <f>A17+1</f>
        <v>2</v>
      </c>
      <c r="B20" s="738"/>
      <c r="C20" s="742" t="s">
        <v>5237</v>
      </c>
      <c r="D20" s="742" t="s">
        <v>71</v>
      </c>
      <c r="E20" s="746"/>
      <c r="F20" s="753" t="s">
        <v>59</v>
      </c>
      <c r="G20" s="742" t="s">
        <v>73</v>
      </c>
      <c r="H20" s="765"/>
      <c r="I20" s="45" t="s">
        <v>8</v>
      </c>
      <c r="J20" s="233" t="s">
        <v>5236</v>
      </c>
      <c r="K20" s="215">
        <f>WORKDAY(L20,-INDEX(L$12:L$15,MATCH($I20,$I$12:$I$15,0)))</f>
        <v>46296</v>
      </c>
      <c r="L20" s="215">
        <f>WORKDAY(M20,-INDEX(M$12:M$15,MATCH($I20,$I$12:$I$15,0)))</f>
        <v>46301</v>
      </c>
      <c r="M20" s="215">
        <f>WORKDAY(N20,-INDEX(N$12:N$15,MATCH($I20,$I$12:$I$15,0)))</f>
        <v>46315</v>
      </c>
      <c r="N20" s="215">
        <f>WORKDAY(O20,-INDEX(O$12:O$15,MATCH($I20,$I$12:$I$15,0)))</f>
        <v>46316</v>
      </c>
      <c r="O20" s="215">
        <f>WORKDAY(R20,-INDEX(R$12:R$15,MATCH($I20,$I$12:$I$15,0)))</f>
        <v>46330</v>
      </c>
      <c r="P20" s="216">
        <f>U20-L20</f>
        <v>92</v>
      </c>
      <c r="Q20" s="217"/>
      <c r="R20" s="215">
        <f>WORKDAY(S20,-INDEX(S$12:S$15,MATCH($I20,$I$12:$I$15,0)))</f>
        <v>46344</v>
      </c>
      <c r="S20" s="215">
        <f>WORKDAY(T20,-INDEX(T$12:T$15,MATCH($I20,$I$12:$I$15,0)))</f>
        <v>46365</v>
      </c>
      <c r="T20" s="215">
        <f>WORKDAY(U20,-INDEX(U$12:U$15,MATCH($I20,$I$12:$I$15,0)))</f>
        <v>46379</v>
      </c>
      <c r="U20" s="215">
        <f>X20-Y20</f>
        <v>46393</v>
      </c>
      <c r="V20" s="215">
        <f>WORKDAY(U20,INDEX(V$12:V$15,MATCH($I20,$I$12:$I$15,0)))</f>
        <v>46395</v>
      </c>
      <c r="W20" s="218">
        <f>Y20/7</f>
        <v>25</v>
      </c>
      <c r="X20" s="215">
        <f>Z20</f>
        <v>46568</v>
      </c>
      <c r="Y20" s="768">
        <v>175</v>
      </c>
      <c r="Z20" s="772">
        <v>46568</v>
      </c>
      <c r="AA20" s="773">
        <v>46568</v>
      </c>
      <c r="AB20" s="777">
        <f>Z20-X21</f>
        <v>0</v>
      </c>
      <c r="AC20" s="234">
        <f>IF(ISERROR(LOOKUP(AC$16,$L20:$X20,#REF!)),0,(LOOKUP(AC$16,$L20:$X20,#REF!)))</f>
        <v>0</v>
      </c>
      <c r="AD20" s="235">
        <f>IF(ISERROR(LOOKUP(AD$16,$L20:$X20,#REF!)),0,(LOOKUP(AD$16,$L20:$X20,#REF!)))</f>
        <v>0</v>
      </c>
      <c r="AE20" s="235">
        <f>IF(ISERROR(LOOKUP(AE$16,$L20:$X20,#REF!)),0,(LOOKUP(AE$16,$L20:$X20,#REF!)))</f>
        <v>0</v>
      </c>
      <c r="AF20" s="235">
        <f>IF(ISERROR(LOOKUP(AF$16,$L20:$X20,#REF!)),0,(LOOKUP(AF$16,$L20:$X20,#REF!)))</f>
        <v>0</v>
      </c>
      <c r="AG20" s="235">
        <f>IF(ISERROR(LOOKUP(AG$16,$L20:$X20,#REF!)),0,(LOOKUP(AG$16,$L20:$X20,#REF!)))</f>
        <v>0</v>
      </c>
      <c r="AH20" s="235">
        <f>IF(ISERROR(LOOKUP(AH$16,$L20:$X20,#REF!)),0,(LOOKUP(AH$16,$L20:$X20,#REF!)))</f>
        <v>0</v>
      </c>
      <c r="AI20" s="235">
        <f>IF(ISERROR(LOOKUP(AI$16,$L20:$X20,#REF!)),0,(LOOKUP(AI$16,$L20:$X20,#REF!)))</f>
        <v>0</v>
      </c>
      <c r="AJ20" s="235">
        <f>IF(ISERROR(LOOKUP(AJ$16,$L20:$X20,#REF!)),0,(LOOKUP(AJ$16,$L20:$X20,#REF!)))</f>
        <v>0</v>
      </c>
      <c r="AK20" s="235">
        <f>IF(ISERROR(LOOKUP(AK$16,$L20:$X20,#REF!)),0,(LOOKUP(AK$16,$L20:$X20,#REF!)))</f>
        <v>0</v>
      </c>
      <c r="AL20" s="235">
        <f>IF(ISERROR(LOOKUP(AL$16,$L20:$X20,#REF!)),0,(LOOKUP(AL$16,$L20:$X20,#REF!)))</f>
        <v>0</v>
      </c>
      <c r="AM20" s="235">
        <f ca="1">IF(ISERROR(LOOKUP(AM$16,$L20:$X20,#REF!)),0,(LOOKUP(AM$16,$L20:$X20,#REF!)))</f>
        <v>0</v>
      </c>
      <c r="AO20" s="166">
        <f t="shared" si="0"/>
        <v>14</v>
      </c>
      <c r="AP20" s="215" t="e">
        <f>WORKDAY(AQ20,-INDEX(AQ$12:AQ$15,MATCH($I20,$I$12:$I$15,0)),$AW$17:$AW$148)</f>
        <v>#REF!</v>
      </c>
      <c r="AQ20" s="215" t="e">
        <f>WORKDAY(U20,-INDEX(U$12:U$15,MATCH($I20,$I$12:$I$15,0)),$AW$17:$AW$148)</f>
        <v>#REF!</v>
      </c>
      <c r="AR20" s="215" t="e">
        <f>WORKDAY(U20,-INDEX(U$12:U$15,MATCH($I20,$I$12:$I$15,0)),$AW$17:$AW$148)</f>
        <v>#REF!</v>
      </c>
      <c r="AS20" s="778">
        <v>14</v>
      </c>
      <c r="AW20" s="236" t="e">
        <v>#REF!</v>
      </c>
    </row>
    <row r="21" spans="1:49" s="167" customFormat="1" ht="18" customHeight="1">
      <c r="A21" s="737"/>
      <c r="B21" s="739"/>
      <c r="C21" s="742" t="str">
        <f>C20</f>
        <v>RFQ-002</v>
      </c>
      <c r="D21" s="742" t="str">
        <f>D20</f>
        <v>Material Handling Equipment</v>
      </c>
      <c r="E21" s="747"/>
      <c r="F21" s="754"/>
      <c r="G21" s="742" t="str">
        <f>G20</f>
        <v>N</v>
      </c>
      <c r="H21" s="766"/>
      <c r="I21" s="231" t="str">
        <f>I20</f>
        <v>LC</v>
      </c>
      <c r="J21" s="233" t="s">
        <v>65</v>
      </c>
      <c r="K21" s="215">
        <f>K20</f>
        <v>46296</v>
      </c>
      <c r="L21" s="215">
        <f>WORKDAY(IF(K22="",K21,K22),INDEX(L$12:L$15,MATCH($I20,$I$12:$I$15,0)))</f>
        <v>46301</v>
      </c>
      <c r="M21" s="215">
        <f>WORKDAY(IF(L22="",L21,L22),INDEX(M$12:M$15,MATCH($I20,$I$12:$I$15,0)))</f>
        <v>46315</v>
      </c>
      <c r="N21" s="215">
        <f>WORKDAY(IF(M22="",M21,M22),INDEX(N$12:N$15,MATCH($I20,$I$12:$I$15,0)))</f>
        <v>46316</v>
      </c>
      <c r="O21" s="215">
        <f>WORKDAY(IF(N22="",N21,N22),INDEX(O$12:O$15,MATCH($I20,$I$12:$I$15,0)))</f>
        <v>46330</v>
      </c>
      <c r="P21" s="216"/>
      <c r="Q21" s="217"/>
      <c r="R21" s="215">
        <f>WORKDAY(IF(O22="",O21,O22),INDEX(R$12:R$15,MATCH($I20,$I$12:$I$15,0)))</f>
        <v>46344</v>
      </c>
      <c r="S21" s="215">
        <f>WORKDAY(IF(R22="",R21,R22),INDEX(S$12:S$15,MATCH($I20,$I$12:$I$15,0)))</f>
        <v>46365</v>
      </c>
      <c r="T21" s="215">
        <f>WORKDAY(IF(S22="",S21,S22),INDEX(T$12:T$15,MATCH($I20,$I$12:$I$15,0)))</f>
        <v>46379</v>
      </c>
      <c r="U21" s="215">
        <f>WORKDAY(IF(T22="",T21,T22),INDEX(U$12:U$15,MATCH($I20,$I$12:$I$15,0)))</f>
        <v>46393</v>
      </c>
      <c r="V21" s="215">
        <f>WORKDAY(IF(U22="",U21,U22),INDEX(V$12:V$15,MATCH($I20,$I$12:$I$15,0)))</f>
        <v>46395</v>
      </c>
      <c r="W21" s="218"/>
      <c r="X21" s="215">
        <f>U21+Y20</f>
        <v>46568</v>
      </c>
      <c r="Y21" s="768"/>
      <c r="Z21" s="772"/>
      <c r="AA21" s="773"/>
      <c r="AB21" s="777"/>
      <c r="AC21" s="234">
        <f>IF(ISERROR(LOOKUP(AC$16,$L21:$X21,#REF!)),0,(LOOKUP(AC$16,$L21:$X21,#REF!)))</f>
        <v>0</v>
      </c>
      <c r="AD21" s="235">
        <f>IF(ISERROR(LOOKUP(AD$16,$L21:$X21,#REF!)),0,(LOOKUP(AD$16,$L21:$X21,#REF!)))</f>
        <v>0</v>
      </c>
      <c r="AE21" s="235">
        <f>IF(ISERROR(LOOKUP(AE$16,$L21:$X21,#REF!)),0,(LOOKUP(AE$16,$L21:$X21,#REF!)))</f>
        <v>0</v>
      </c>
      <c r="AF21" s="235">
        <f>IF(ISERROR(LOOKUP(AF$16,$L21:$X21,#REF!)),0,(LOOKUP(AF$16,$L21:$X21,#REF!)))</f>
        <v>0</v>
      </c>
      <c r="AG21" s="235">
        <f>IF(ISERROR(LOOKUP(AG$16,$L21:$X21,#REF!)),0,(LOOKUP(AG$16,$L21:$X21,#REF!)))</f>
        <v>0</v>
      </c>
      <c r="AH21" s="235">
        <f>IF(ISERROR(LOOKUP(AH$16,$L21:$X21,#REF!)),0,(LOOKUP(AH$16,$L21:$X21,#REF!)))</f>
        <v>0</v>
      </c>
      <c r="AI21" s="235">
        <f>IF(ISERROR(LOOKUP(AI$16,$L21:$X21,#REF!)),0,(LOOKUP(AI$16,$L21:$X21,#REF!)))</f>
        <v>0</v>
      </c>
      <c r="AJ21" s="235">
        <f>IF(ISERROR(LOOKUP(AJ$16,$L21:$X21,#REF!)),0,(LOOKUP(AJ$16,$L21:$X21,#REF!)))</f>
        <v>0</v>
      </c>
      <c r="AK21" s="235">
        <f>IF(ISERROR(LOOKUP(AK$16,$L21:$X21,#REF!)),0,(LOOKUP(AK$16,$L21:$X21,#REF!)))</f>
        <v>0</v>
      </c>
      <c r="AL21" s="235">
        <f>IF(ISERROR(LOOKUP(AL$16,$L21:$X21,#REF!)),0,(LOOKUP(AL$16,$L21:$X21,#REF!)))</f>
        <v>0</v>
      </c>
      <c r="AM21" s="235">
        <f ca="1">IF(ISERROR(LOOKUP(AM$16,$L21:$X21,#REF!)),0,(LOOKUP(AM$16,$L21:$X21,#REF!)))</f>
        <v>0</v>
      </c>
      <c r="AO21" s="166">
        <f t="shared" si="0"/>
        <v>14</v>
      </c>
      <c r="AP21" s="215" t="e">
        <f>WORKDAY(IF(T22="",T21,T22),INDEX(AP$12:AP$15,MATCH($I20,$I$12:$I$15,0)),$AW$17:$AW$148)</f>
        <v>#REF!</v>
      </c>
      <c r="AQ21" s="215" t="e">
        <f>WORKDAY(IF(AP22="",AP21,AP22),INDEX(AQ$12:AQ$15,MATCH($I20,$I$12:$I$15,0)),$AW$17:$AW$148)</f>
        <v>#REF!</v>
      </c>
      <c r="AR21" s="215" t="e">
        <f>WORKDAY(IF(AQ22="",AQ21,AQ22),INDEX(AR$12:AR$15,MATCH($I20,$I$12:$I$15,0)),$AW$17:$AW$148)</f>
        <v>#REF!</v>
      </c>
      <c r="AS21" s="778"/>
      <c r="AW21" s="236" t="e">
        <v>#REF!</v>
      </c>
    </row>
    <row r="22" spans="1:49" s="167" customFormat="1" ht="18" customHeight="1">
      <c r="A22" s="737"/>
      <c r="B22" s="740"/>
      <c r="C22" s="742" t="str">
        <f>C20</f>
        <v>RFQ-002</v>
      </c>
      <c r="D22" s="742" t="str">
        <f>D20</f>
        <v>Material Handling Equipment</v>
      </c>
      <c r="E22" s="748"/>
      <c r="F22" s="755"/>
      <c r="G22" s="742" t="str">
        <f>G20</f>
        <v>N</v>
      </c>
      <c r="H22" s="767"/>
      <c r="I22" s="231" t="str">
        <f>I20</f>
        <v>LC</v>
      </c>
      <c r="J22" s="233" t="s">
        <v>67</v>
      </c>
      <c r="K22" s="212"/>
      <c r="L22" s="212"/>
      <c r="M22" s="212"/>
      <c r="N22" s="212"/>
      <c r="O22" s="212"/>
      <c r="P22" s="226"/>
      <c r="Q22" s="227"/>
      <c r="R22" s="212"/>
      <c r="S22" s="212"/>
      <c r="T22" s="212"/>
      <c r="U22" s="212"/>
      <c r="V22" s="212"/>
      <c r="W22" s="228"/>
      <c r="X22" s="212"/>
      <c r="Y22" s="768"/>
      <c r="Z22" s="772"/>
      <c r="AA22" s="773"/>
      <c r="AB22" s="777"/>
      <c r="AC22" s="239">
        <f>IF(ISERROR(LOOKUP(AC$16,$L22:$X22,#REF!)),0,(LOOKUP(AC$16,$L22:$X22,#REF!)))</f>
        <v>0</v>
      </c>
      <c r="AD22" s="240">
        <f>IF(ISERROR(LOOKUP(AD$16,$L22:$X22,#REF!)),0,(LOOKUP(AD$16,$L22:$X22,#REF!)))</f>
        <v>0</v>
      </c>
      <c r="AE22" s="240">
        <f>IF(ISERROR(LOOKUP(AE$16,$L22:$X22,#REF!)),0,(LOOKUP(AE$16,$L22:$X22,#REF!)))</f>
        <v>0</v>
      </c>
      <c r="AF22" s="240">
        <f>IF(ISERROR(LOOKUP(AF$16,$L22:$X22,#REF!)),0,(LOOKUP(AF$16,$L22:$X22,#REF!)))</f>
        <v>0</v>
      </c>
      <c r="AG22" s="240">
        <f>IF(ISERROR(LOOKUP(AG$16,$L22:$X22,#REF!)),0,(LOOKUP(AG$16,$L22:$X22,#REF!)))</f>
        <v>0</v>
      </c>
      <c r="AH22" s="240">
        <f>IF(ISERROR(LOOKUP(AH$16,$L22:$X22,#REF!)),0,(LOOKUP(AH$16,$L22:$X22,#REF!)))</f>
        <v>0</v>
      </c>
      <c r="AI22" s="240">
        <f>IF(ISERROR(LOOKUP(AI$16,$L22:$X22,#REF!)),0,(LOOKUP(AI$16,$L22:$X22,#REF!)))</f>
        <v>0</v>
      </c>
      <c r="AJ22" s="240">
        <f>IF(ISERROR(LOOKUP(AJ$16,$L22:$X22,#REF!)),0,(LOOKUP(AJ$16,$L22:$X22,#REF!)))</f>
        <v>0</v>
      </c>
      <c r="AK22" s="240">
        <f>IF(ISERROR(LOOKUP(AK$16,$L22:$X22,#REF!)),0,(LOOKUP(AK$16,$L22:$X22,#REF!)))</f>
        <v>0</v>
      </c>
      <c r="AL22" s="240">
        <f>IF(ISERROR(LOOKUP(AL$16,$L22:$X22,#REF!)),0,(LOOKUP(AL$16,$L22:$X22,#REF!)))</f>
        <v>0</v>
      </c>
      <c r="AM22" s="240">
        <f ca="1">IF(ISERROR(LOOKUP(AM$16,$L22:$X22,#REF!)),0,(LOOKUP(AM$16,$L22:$X22,#REF!)))</f>
        <v>0</v>
      </c>
      <c r="AO22" s="166">
        <f t="shared" si="0"/>
        <v>0</v>
      </c>
      <c r="AP22" s="212"/>
      <c r="AQ22" s="212"/>
      <c r="AR22" s="212"/>
      <c r="AS22" s="778"/>
      <c r="AW22" s="236" t="e">
        <v>#REF!</v>
      </c>
    </row>
    <row r="23" spans="1:49" s="167" customFormat="1" ht="18" customHeight="1">
      <c r="A23" s="737">
        <f>A20+1</f>
        <v>3</v>
      </c>
      <c r="B23" s="738"/>
      <c r="C23" s="743" t="s">
        <v>5238</v>
      </c>
      <c r="D23" s="743" t="s">
        <v>77</v>
      </c>
      <c r="E23" s="746"/>
      <c r="F23" s="756" t="s">
        <v>59</v>
      </c>
      <c r="G23" s="742" t="s">
        <v>64</v>
      </c>
      <c r="H23" s="765"/>
      <c r="I23" s="231" t="s">
        <v>6</v>
      </c>
      <c r="J23" s="233" t="s">
        <v>5236</v>
      </c>
      <c r="K23" s="215">
        <f>WORKDAY(L23,-INDEX(L$12:L$15,MATCH($I23,$I$12:$I$15,0)))</f>
        <v>46209</v>
      </c>
      <c r="L23" s="215">
        <f>WORKDAY(M23,-INDEX(M$12:M$15,MATCH($I23,$I$12:$I$15,0)))</f>
        <v>46210</v>
      </c>
      <c r="M23" s="215">
        <f>WORKDAY(N23,-INDEX(N$12:N$15,MATCH($I23,$I$12:$I$15,0)))</f>
        <v>46217</v>
      </c>
      <c r="N23" s="215">
        <f>WORKDAY(O23,-INDEX(O$12:O$15,MATCH($I23,$I$12:$I$15,0)))</f>
        <v>46218</v>
      </c>
      <c r="O23" s="215">
        <f>WORKDAY(R23,-INDEX(R$12:R$15,MATCH($I23,$I$12:$I$15,0)))</f>
        <v>46225</v>
      </c>
      <c r="P23" s="216">
        <f>U23-L23</f>
        <v>76</v>
      </c>
      <c r="Q23" s="217"/>
      <c r="R23" s="215">
        <f>WORKDAY(S23,-INDEX(S$12:S$15,MATCH($I23,$I$12:$I$15,0)))</f>
        <v>46239</v>
      </c>
      <c r="S23" s="215">
        <f>WORKDAY(T23,-INDEX(T$12:T$15,MATCH($I23,$I$12:$I$15,0)))</f>
        <v>46267</v>
      </c>
      <c r="T23" s="215">
        <f>WORKDAY(U23,-INDEX(U$12:U$15,MATCH($I23,$I$12:$I$15,0)))</f>
        <v>46272</v>
      </c>
      <c r="U23" s="215">
        <f>X23-Y23</f>
        <v>46286</v>
      </c>
      <c r="V23" s="215">
        <f>WORKDAY(U23,INDEX(V$12:V$15,MATCH($I23,$I$12:$I$15,0)))</f>
        <v>46288</v>
      </c>
      <c r="W23" s="218">
        <f>Y23/7</f>
        <v>25.714285714285701</v>
      </c>
      <c r="X23" s="215">
        <f>Z23</f>
        <v>46466</v>
      </c>
      <c r="Y23" s="768">
        <v>180</v>
      </c>
      <c r="Z23" s="773">
        <v>46466</v>
      </c>
      <c r="AA23" s="773">
        <v>46466</v>
      </c>
      <c r="AB23" s="777">
        <f>Z23-X24</f>
        <v>0</v>
      </c>
      <c r="AC23" s="234">
        <f>IF(ISERROR(LOOKUP(AC$16,$L23:$X23,#REF!)),0,(LOOKUP(AC$16,$L23:$X23,#REF!)))</f>
        <v>0</v>
      </c>
      <c r="AD23" s="235">
        <f>IF(ISERROR(LOOKUP(AD$16,$L23:$X23,#REF!)),0,(LOOKUP(AD$16,$L23:$X23,#REF!)))</f>
        <v>0</v>
      </c>
      <c r="AE23" s="235">
        <f>IF(ISERROR(LOOKUP(AE$16,$L23:$X23,#REF!)),0,(LOOKUP(AE$16,$L23:$X23,#REF!)))</f>
        <v>0</v>
      </c>
      <c r="AF23" s="235">
        <f>IF(ISERROR(LOOKUP(AF$16,$L23:$X23,#REF!)),0,(LOOKUP(AF$16,$L23:$X23,#REF!)))</f>
        <v>0</v>
      </c>
      <c r="AG23" s="235">
        <f>IF(ISERROR(LOOKUP(AG$16,$L23:$X23,#REF!)),0,(LOOKUP(AG$16,$L23:$X23,#REF!)))</f>
        <v>0</v>
      </c>
      <c r="AH23" s="235">
        <f>IF(ISERROR(LOOKUP(AH$16,$L23:$X23,#REF!)),0,(LOOKUP(AH$16,$L23:$X23,#REF!)))</f>
        <v>0</v>
      </c>
      <c r="AI23" s="235">
        <f>IF(ISERROR(LOOKUP(AI$16,$L23:$X23,#REF!)),0,(LOOKUP(AI$16,$L23:$X23,#REF!)))</f>
        <v>0</v>
      </c>
      <c r="AJ23" s="235">
        <f>IF(ISERROR(LOOKUP(AJ$16,$L23:$X23,#REF!)),0,(LOOKUP(AJ$16,$L23:$X23,#REF!)))</f>
        <v>0</v>
      </c>
      <c r="AK23" s="235">
        <f>IF(ISERROR(LOOKUP(AK$16,$L23:$X23,#REF!)),0,(LOOKUP(AK$16,$L23:$X23,#REF!)))</f>
        <v>0</v>
      </c>
      <c r="AL23" s="235">
        <f>IF(ISERROR(LOOKUP(AL$16,$L23:$X23,#REF!)),0,(LOOKUP(AL$16,$L23:$X23,#REF!)))</f>
        <v>0</v>
      </c>
      <c r="AM23" s="235">
        <f ca="1">IF(ISERROR(LOOKUP(AM$16,$L23:$X23,#REF!)),0,(LOOKUP(AM$16,$L23:$X23,#REF!)))</f>
        <v>0</v>
      </c>
      <c r="AO23" s="166">
        <f t="shared" si="0"/>
        <v>14</v>
      </c>
      <c r="AP23" s="215" t="e">
        <f>WORKDAY(AQ23,-INDEX(AQ$12:AQ$15,MATCH($I23,$I$12:$I$15,0)),$AW$17:$AW$148)</f>
        <v>#REF!</v>
      </c>
      <c r="AQ23" s="215" t="e">
        <f>WORKDAY(U23,-INDEX(U$12:U$15,MATCH($I23,$I$12:$I$15,0)),$AW$17:$AW$148)</f>
        <v>#REF!</v>
      </c>
      <c r="AR23" s="215" t="e">
        <f>WORKDAY(U23,-INDEX(U$12:U$15,MATCH($I23,$I$12:$I$15,0)),$AW$17:$AW$148)</f>
        <v>#REF!</v>
      </c>
      <c r="AS23" s="778">
        <v>7</v>
      </c>
      <c r="AW23" s="236" t="e">
        <v>#REF!</v>
      </c>
    </row>
    <row r="24" spans="1:49" s="167" customFormat="1" ht="18" customHeight="1">
      <c r="A24" s="737"/>
      <c r="B24" s="739"/>
      <c r="C24" s="743" t="str">
        <f>C23</f>
        <v>RFQ-003</v>
      </c>
      <c r="D24" s="743" t="str">
        <f>D23</f>
        <v>Instrument Gas Filter Coalescer</v>
      </c>
      <c r="E24" s="747"/>
      <c r="F24" s="757"/>
      <c r="G24" s="742" t="str">
        <f>G23</f>
        <v>Y</v>
      </c>
      <c r="H24" s="766"/>
      <c r="I24" s="231" t="str">
        <f>I23</f>
        <v>LA</v>
      </c>
      <c r="J24" s="233" t="s">
        <v>65</v>
      </c>
      <c r="K24" s="215">
        <f>K23</f>
        <v>46209</v>
      </c>
      <c r="L24" s="215">
        <f>WORKDAY(IF(K25="",K24,K25),INDEX(L$12:L$15,MATCH($I23,$I$12:$I$15,0)))</f>
        <v>46210</v>
      </c>
      <c r="M24" s="215">
        <f>WORKDAY(IF(L25="",L24,L25),INDEX(M$12:M$15,MATCH($I23,$I$12:$I$15,0)))</f>
        <v>46217</v>
      </c>
      <c r="N24" s="215">
        <f>WORKDAY(IF(M25="",M24,M25),INDEX(N$12:N$15,MATCH($I23,$I$12:$I$15,0)))</f>
        <v>46218</v>
      </c>
      <c r="O24" s="215">
        <f>WORKDAY(IF(N25="",N24,N25),INDEX(O$12:O$15,MATCH($I23,$I$12:$I$15,0)))</f>
        <v>46225</v>
      </c>
      <c r="P24" s="216"/>
      <c r="Q24" s="217"/>
      <c r="R24" s="215">
        <f>WORKDAY(IF(O25="",O24,O25),INDEX(R$12:R$15,MATCH($I23,$I$12:$I$15,0)))</f>
        <v>46239</v>
      </c>
      <c r="S24" s="215">
        <f>WORKDAY(IF(R25="",R24,R25),INDEX(S$12:S$15,MATCH($I23,$I$12:$I$15,0)))</f>
        <v>46267</v>
      </c>
      <c r="T24" s="215">
        <f>WORKDAY(IF(S25="",S24,S25),INDEX(T$12:T$15,MATCH($I23,$I$12:$I$15,0)))</f>
        <v>46272</v>
      </c>
      <c r="U24" s="215">
        <f>WORKDAY(IF(T25="",T24,T25),INDEX(U$12:U$15,MATCH($I23,$I$12:$I$15,0)))</f>
        <v>46286</v>
      </c>
      <c r="V24" s="215">
        <f>WORKDAY(IF(U25="",U24,U25),INDEX(V$12:V$15,MATCH($I23,$I$12:$I$15,0)))</f>
        <v>46288</v>
      </c>
      <c r="W24" s="218"/>
      <c r="X24" s="215">
        <f>U24+Y23</f>
        <v>46466</v>
      </c>
      <c r="Y24" s="768"/>
      <c r="Z24" s="773"/>
      <c r="AA24" s="773"/>
      <c r="AB24" s="777"/>
      <c r="AC24" s="234">
        <f>IF(ISERROR(LOOKUP(AC$16,$L24:$X24,#REF!)),0,(LOOKUP(AC$16,$L24:$X24,#REF!)))</f>
        <v>0</v>
      </c>
      <c r="AD24" s="235">
        <f>IF(ISERROR(LOOKUP(AD$16,$L24:$X24,#REF!)),0,(LOOKUP(AD$16,$L24:$X24,#REF!)))</f>
        <v>0</v>
      </c>
      <c r="AE24" s="235">
        <f>IF(ISERROR(LOOKUP(AE$16,$L24:$X24,#REF!)),0,(LOOKUP(AE$16,$L24:$X24,#REF!)))</f>
        <v>0</v>
      </c>
      <c r="AF24" s="235">
        <f>IF(ISERROR(LOOKUP(AF$16,$L24:$X24,#REF!)),0,(LOOKUP(AF$16,$L24:$X24,#REF!)))</f>
        <v>0</v>
      </c>
      <c r="AG24" s="235">
        <f>IF(ISERROR(LOOKUP(AG$16,$L24:$X24,#REF!)),0,(LOOKUP(AG$16,$L24:$X24,#REF!)))</f>
        <v>0</v>
      </c>
      <c r="AH24" s="235">
        <f>IF(ISERROR(LOOKUP(AH$16,$L24:$X24,#REF!)),0,(LOOKUP(AH$16,$L24:$X24,#REF!)))</f>
        <v>0</v>
      </c>
      <c r="AI24" s="235">
        <f>IF(ISERROR(LOOKUP(AI$16,$L24:$X24,#REF!)),0,(LOOKUP(AI$16,$L24:$X24,#REF!)))</f>
        <v>0</v>
      </c>
      <c r="AJ24" s="235">
        <f>IF(ISERROR(LOOKUP(AJ$16,$L24:$X24,#REF!)),0,(LOOKUP(AJ$16,$L24:$X24,#REF!)))</f>
        <v>0</v>
      </c>
      <c r="AK24" s="235">
        <f>IF(ISERROR(LOOKUP(AK$16,$L24:$X24,#REF!)),0,(LOOKUP(AK$16,$L24:$X24,#REF!)))</f>
        <v>0</v>
      </c>
      <c r="AL24" s="235">
        <f>IF(ISERROR(LOOKUP(AL$16,$L24:$X24,#REF!)),0,(LOOKUP(AL$16,$L24:$X24,#REF!)))</f>
        <v>0</v>
      </c>
      <c r="AM24" s="235">
        <f ca="1">IF(ISERROR(LOOKUP(AM$16,$L24:$X24,#REF!)),0,(LOOKUP(AM$16,$L24:$X24,#REF!)))</f>
        <v>0</v>
      </c>
      <c r="AO24" s="166">
        <f t="shared" si="0"/>
        <v>14</v>
      </c>
      <c r="AP24" s="215" t="e">
        <f>WORKDAY(IF(T25="",T24,T25),INDEX(AP$12:AP$15,MATCH($I23,$I$12:$I$15,0)),$AW$17:$AW$148)</f>
        <v>#REF!</v>
      </c>
      <c r="AQ24" s="215" t="e">
        <f>WORKDAY(IF(AP25="",AP24,AP25),INDEX(AQ$12:AQ$15,MATCH($I23,$I$12:$I$15,0)),$AW$17:$AW$148)</f>
        <v>#REF!</v>
      </c>
      <c r="AR24" s="215" t="e">
        <f>WORKDAY(IF(AQ25="",AQ24,AQ25),INDEX(AR$12:AR$15,MATCH($I23,$I$12:$I$15,0)),$AW$17:$AW$148)</f>
        <v>#REF!</v>
      </c>
      <c r="AS24" s="778"/>
      <c r="AW24" s="236" t="e">
        <v>#REF!</v>
      </c>
    </row>
    <row r="25" spans="1:49" s="167" customFormat="1" ht="18" customHeight="1">
      <c r="A25" s="737"/>
      <c r="B25" s="740"/>
      <c r="C25" s="743" t="str">
        <f>C23</f>
        <v>RFQ-003</v>
      </c>
      <c r="D25" s="743" t="str">
        <f>D23</f>
        <v>Instrument Gas Filter Coalescer</v>
      </c>
      <c r="E25" s="748"/>
      <c r="F25" s="758"/>
      <c r="G25" s="742" t="str">
        <f>G23</f>
        <v>Y</v>
      </c>
      <c r="H25" s="767"/>
      <c r="I25" s="231" t="str">
        <f>I23</f>
        <v>LA</v>
      </c>
      <c r="J25" s="233" t="s">
        <v>67</v>
      </c>
      <c r="K25" s="212"/>
      <c r="L25" s="212"/>
      <c r="M25" s="212"/>
      <c r="N25" s="212"/>
      <c r="O25" s="212"/>
      <c r="P25" s="226"/>
      <c r="Q25" s="227"/>
      <c r="R25" s="212"/>
      <c r="S25" s="212"/>
      <c r="T25" s="212"/>
      <c r="U25" s="212"/>
      <c r="V25" s="212"/>
      <c r="W25" s="228"/>
      <c r="X25" s="212"/>
      <c r="Y25" s="768"/>
      <c r="Z25" s="773"/>
      <c r="AA25" s="773"/>
      <c r="AB25" s="777"/>
      <c r="AC25" s="239">
        <f>IF(ISERROR(LOOKUP(AC$16,$L25:$X25,#REF!)),0,(LOOKUP(AC$16,$L25:$X25,#REF!)))</f>
        <v>0</v>
      </c>
      <c r="AD25" s="240">
        <f>IF(ISERROR(LOOKUP(AD$16,$L25:$X25,#REF!)),0,(LOOKUP(AD$16,$L25:$X25,#REF!)))</f>
        <v>0</v>
      </c>
      <c r="AE25" s="240">
        <f>IF(ISERROR(LOOKUP(AE$16,$L25:$X25,#REF!)),0,(LOOKUP(AE$16,$L25:$X25,#REF!)))</f>
        <v>0</v>
      </c>
      <c r="AF25" s="240">
        <f>IF(ISERROR(LOOKUP(AF$16,$L25:$X25,#REF!)),0,(LOOKUP(AF$16,$L25:$X25,#REF!)))</f>
        <v>0</v>
      </c>
      <c r="AG25" s="240">
        <f>IF(ISERROR(LOOKUP(AG$16,$L25:$X25,#REF!)),0,(LOOKUP(AG$16,$L25:$X25,#REF!)))</f>
        <v>0</v>
      </c>
      <c r="AH25" s="240">
        <f>IF(ISERROR(LOOKUP(AH$16,$L25:$X25,#REF!)),0,(LOOKUP(AH$16,$L25:$X25,#REF!)))</f>
        <v>0</v>
      </c>
      <c r="AI25" s="240">
        <f>IF(ISERROR(LOOKUP(AI$16,$L25:$X25,#REF!)),0,(LOOKUP(AI$16,$L25:$X25,#REF!)))</f>
        <v>0</v>
      </c>
      <c r="AJ25" s="240">
        <f>IF(ISERROR(LOOKUP(AJ$16,$L25:$X25,#REF!)),0,(LOOKUP(AJ$16,$L25:$X25,#REF!)))</f>
        <v>0</v>
      </c>
      <c r="AK25" s="240">
        <f>IF(ISERROR(LOOKUP(AK$16,$L25:$X25,#REF!)),0,(LOOKUP(AK$16,$L25:$X25,#REF!)))</f>
        <v>0</v>
      </c>
      <c r="AL25" s="240">
        <f>IF(ISERROR(LOOKUP(AL$16,$L25:$X25,#REF!)),0,(LOOKUP(AL$16,$L25:$X25,#REF!)))</f>
        <v>0</v>
      </c>
      <c r="AM25" s="240">
        <f ca="1">IF(ISERROR(LOOKUP(AM$16,$L25:$X25,#REF!)),0,(LOOKUP(AM$16,$L25:$X25,#REF!)))</f>
        <v>0</v>
      </c>
      <c r="AO25" s="166">
        <f t="shared" si="0"/>
        <v>0</v>
      </c>
      <c r="AP25" s="212"/>
      <c r="AQ25" s="212"/>
      <c r="AR25" s="212"/>
      <c r="AS25" s="778"/>
      <c r="AW25" s="236" t="e">
        <v>#REF!</v>
      </c>
    </row>
    <row r="26" spans="1:49" s="168" customFormat="1" ht="16.5" customHeight="1">
      <c r="A26" s="737">
        <f>A23+1</f>
        <v>4</v>
      </c>
      <c r="B26" s="738"/>
      <c r="C26" s="744" t="s">
        <v>5239</v>
      </c>
      <c r="D26" s="744" t="s">
        <v>5240</v>
      </c>
      <c r="E26" s="746"/>
      <c r="F26" s="744" t="s">
        <v>59</v>
      </c>
      <c r="G26" s="741" t="str">
        <f>IF(_xlfn.XLOOKUP(C26,'[38]Before Award'!D:D,'[38]Before Award'!AV:AV,"N/A")="N/A","N","Y")</f>
        <v>N</v>
      </c>
      <c r="H26" s="746"/>
      <c r="I26" s="212" t="s">
        <v>6</v>
      </c>
      <c r="J26" s="214" t="s">
        <v>5236</v>
      </c>
      <c r="K26" s="215">
        <v>46211</v>
      </c>
      <c r="L26" s="215">
        <v>46212</v>
      </c>
      <c r="M26" s="215">
        <v>46217</v>
      </c>
      <c r="N26" s="215">
        <v>46218</v>
      </c>
      <c r="O26" s="215">
        <v>46223</v>
      </c>
      <c r="P26" s="216">
        <f>U26-L26</f>
        <v>71</v>
      </c>
      <c r="Q26" s="217"/>
      <c r="R26" s="215">
        <v>46237</v>
      </c>
      <c r="S26" s="215">
        <v>46265</v>
      </c>
      <c r="T26" s="215">
        <v>46268</v>
      </c>
      <c r="U26" s="215">
        <v>46283</v>
      </c>
      <c r="V26" s="215">
        <v>46290</v>
      </c>
      <c r="W26" s="218">
        <v>26</v>
      </c>
      <c r="X26" s="215">
        <v>46466</v>
      </c>
      <c r="Y26" s="768">
        <f>W26*7</f>
        <v>182</v>
      </c>
      <c r="Z26" s="773">
        <v>46466</v>
      </c>
      <c r="AA26" s="774">
        <v>46466</v>
      </c>
      <c r="AB26" s="777">
        <f>Z26-X27</f>
        <v>0</v>
      </c>
      <c r="AC26" s="242">
        <f>IF(ISERROR(LOOKUP(AC$16,$L26:$X26,#REF!)),0,(LOOKUP(AC$16,$L26:$X26,#REF!)))</f>
        <v>0</v>
      </c>
      <c r="AD26" s="243">
        <f>IF(ISERROR(LOOKUP(AD$16,$L26:$X26,#REF!)),0,(LOOKUP(AD$16,$L26:$X26,#REF!)))</f>
        <v>0</v>
      </c>
      <c r="AE26" s="243">
        <f>IF(ISERROR(LOOKUP(AE$16,$L26:$X26,#REF!)),0,(LOOKUP(AE$16,$L26:$X26,#REF!)))</f>
        <v>0</v>
      </c>
      <c r="AF26" s="243">
        <f>IF(ISERROR(LOOKUP(AF$16,$L26:$X26,#REF!)),0,(LOOKUP(AF$16,$L26:$X26,#REF!)))</f>
        <v>0</v>
      </c>
      <c r="AG26" s="243">
        <f>IF(ISERROR(LOOKUP(AG$16,$L26:$X26,#REF!)),0,(LOOKUP(AG$16,$L26:$X26,#REF!)))</f>
        <v>0</v>
      </c>
      <c r="AH26" s="243">
        <f>IF(ISERROR(LOOKUP(AH$16,$L26:$X26,#REF!)),0,(LOOKUP(AH$16,$L26:$X26,#REF!)))</f>
        <v>0</v>
      </c>
      <c r="AI26" s="243">
        <f>IF(ISERROR(LOOKUP(AI$16,$L26:$X26,#REF!)),0,(LOOKUP(AI$16,$L26:$X26,#REF!)))</f>
        <v>0</v>
      </c>
      <c r="AJ26" s="243">
        <f>IF(ISERROR(LOOKUP(AJ$16,$L26:$X26,#REF!)),0,(LOOKUP(AJ$16,$L26:$X26,#REF!)))</f>
        <v>0</v>
      </c>
      <c r="AK26" s="243">
        <f>IF(ISERROR(LOOKUP(AK$16,$L26:$X26,#REF!)),0,(LOOKUP(AK$16,$L26:$X26,#REF!)))</f>
        <v>0</v>
      </c>
      <c r="AL26" s="243">
        <f>IF(ISERROR(LOOKUP(AL$16,$L26:$X26,#REF!)),0,(LOOKUP(AL$16,$L26:$X26,#REF!)))</f>
        <v>0</v>
      </c>
      <c r="AM26" s="243">
        <f ca="1">IF(ISERROR(LOOKUP(AM$16,$L26:$X26,#REF!)),0,(LOOKUP(AM$16,$L26:$X26,#REF!)))</f>
        <v>0</v>
      </c>
      <c r="AO26" s="166">
        <f t="shared" si="0"/>
        <v>15</v>
      </c>
      <c r="AP26" s="215">
        <v>46272</v>
      </c>
      <c r="AQ26" s="215">
        <v>46276</v>
      </c>
      <c r="AR26" s="215">
        <v>46276</v>
      </c>
      <c r="AS26" s="778">
        <v>14</v>
      </c>
      <c r="AW26" s="244" t="e">
        <v>#REF!</v>
      </c>
    </row>
    <row r="27" spans="1:49" s="168" customFormat="1" ht="16.5" customHeight="1">
      <c r="A27" s="737"/>
      <c r="B27" s="739"/>
      <c r="C27" s="744" t="str">
        <f>C26</f>
        <v>RFQ-004</v>
      </c>
      <c r="D27" s="744" t="str">
        <f>D26</f>
        <v>Production &amp; Test Seperator</v>
      </c>
      <c r="E27" s="747"/>
      <c r="F27" s="744"/>
      <c r="G27" s="741" t="str">
        <f>G26</f>
        <v>N</v>
      </c>
      <c r="H27" s="747"/>
      <c r="I27" s="212" t="str">
        <f>I26</f>
        <v>LA</v>
      </c>
      <c r="J27" s="214" t="s">
        <v>65</v>
      </c>
      <c r="K27" s="215">
        <v>46211</v>
      </c>
      <c r="L27" s="215">
        <v>46212</v>
      </c>
      <c r="M27" s="215">
        <v>46217</v>
      </c>
      <c r="N27" s="215">
        <v>46218</v>
      </c>
      <c r="O27" s="215">
        <v>46223</v>
      </c>
      <c r="P27" s="216"/>
      <c r="Q27" s="217"/>
      <c r="R27" s="215">
        <v>46237</v>
      </c>
      <c r="S27" s="215">
        <v>46265</v>
      </c>
      <c r="T27" s="215">
        <v>46268</v>
      </c>
      <c r="U27" s="215">
        <v>46283</v>
      </c>
      <c r="V27" s="215">
        <v>46290</v>
      </c>
      <c r="W27" s="218"/>
      <c r="X27" s="215">
        <v>46466</v>
      </c>
      <c r="Y27" s="768"/>
      <c r="Z27" s="773"/>
      <c r="AA27" s="775"/>
      <c r="AB27" s="777"/>
      <c r="AC27" s="242">
        <f>IF(ISERROR(LOOKUP(AC$16,$L27:$X27,#REF!)),0,(LOOKUP(AC$16,$L27:$X27,#REF!)))</f>
        <v>0</v>
      </c>
      <c r="AD27" s="243">
        <f>IF(ISERROR(LOOKUP(AD$16,$L27:$X27,#REF!)),0,(LOOKUP(AD$16,$L27:$X27,#REF!)))</f>
        <v>0</v>
      </c>
      <c r="AE27" s="243">
        <f>IF(ISERROR(LOOKUP(AE$16,$L27:$X27,#REF!)),0,(LOOKUP(AE$16,$L27:$X27,#REF!)))</f>
        <v>0</v>
      </c>
      <c r="AF27" s="243">
        <f>IF(ISERROR(LOOKUP(AF$16,$L27:$X27,#REF!)),0,(LOOKUP(AF$16,$L27:$X27,#REF!)))</f>
        <v>0</v>
      </c>
      <c r="AG27" s="243">
        <f>IF(ISERROR(LOOKUP(AG$16,$L27:$X27,#REF!)),0,(LOOKUP(AG$16,$L27:$X27,#REF!)))</f>
        <v>0</v>
      </c>
      <c r="AH27" s="243">
        <f>IF(ISERROR(LOOKUP(AH$16,$L27:$X27,#REF!)),0,(LOOKUP(AH$16,$L27:$X27,#REF!)))</f>
        <v>0</v>
      </c>
      <c r="AI27" s="243">
        <f>IF(ISERROR(LOOKUP(AI$16,$L27:$X27,#REF!)),0,(LOOKUP(AI$16,$L27:$X27,#REF!)))</f>
        <v>0</v>
      </c>
      <c r="AJ27" s="243">
        <f>IF(ISERROR(LOOKUP(AJ$16,$L27:$X27,#REF!)),0,(LOOKUP(AJ$16,$L27:$X27,#REF!)))</f>
        <v>0</v>
      </c>
      <c r="AK27" s="243">
        <f>IF(ISERROR(LOOKUP(AK$16,$L27:$X27,#REF!)),0,(LOOKUP(AK$16,$L27:$X27,#REF!)))</f>
        <v>0</v>
      </c>
      <c r="AL27" s="243">
        <f>IF(ISERROR(LOOKUP(AL$16,$L27:$X27,#REF!)),0,(LOOKUP(AL$16,$L27:$X27,#REF!)))</f>
        <v>0</v>
      </c>
      <c r="AM27" s="243">
        <f ca="1">IF(ISERROR(LOOKUP(AM$16,$L27:$X27,#REF!)),0,(LOOKUP(AM$16,$L27:$X27,#REF!)))</f>
        <v>0</v>
      </c>
      <c r="AO27" s="166">
        <f t="shared" si="0"/>
        <v>15</v>
      </c>
      <c r="AP27" s="215">
        <v>46272</v>
      </c>
      <c r="AQ27" s="215">
        <v>46276</v>
      </c>
      <c r="AR27" s="215">
        <v>46283</v>
      </c>
      <c r="AS27" s="778"/>
      <c r="AW27" s="244" t="e">
        <v>#REF!</v>
      </c>
    </row>
    <row r="28" spans="1:49" s="168" customFormat="1" ht="16.5" customHeight="1">
      <c r="A28" s="737"/>
      <c r="B28" s="740"/>
      <c r="C28" s="745" t="str">
        <f>C26</f>
        <v>RFQ-004</v>
      </c>
      <c r="D28" s="745" t="str">
        <f>D26</f>
        <v>Production &amp; Test Seperator</v>
      </c>
      <c r="E28" s="748"/>
      <c r="F28" s="745"/>
      <c r="G28" s="741" t="str">
        <f>G26</f>
        <v>N</v>
      </c>
      <c r="H28" s="748"/>
      <c r="I28" s="212" t="str">
        <f>I26</f>
        <v>LA</v>
      </c>
      <c r="J28" s="214" t="s">
        <v>67</v>
      </c>
      <c r="K28" s="212"/>
      <c r="L28" s="212"/>
      <c r="M28" s="212"/>
      <c r="N28" s="212"/>
      <c r="O28" s="212"/>
      <c r="P28" s="226"/>
      <c r="Q28" s="227"/>
      <c r="R28" s="212"/>
      <c r="S28" s="212"/>
      <c r="T28" s="212"/>
      <c r="U28" s="219"/>
      <c r="V28" s="212"/>
      <c r="W28" s="228"/>
      <c r="X28" s="212"/>
      <c r="Y28" s="768"/>
      <c r="Z28" s="773"/>
      <c r="AA28" s="776"/>
      <c r="AB28" s="777"/>
      <c r="AC28" s="246">
        <f>IF(ISERROR(LOOKUP(AC$16,$L28:$X28,#REF!)),0,(LOOKUP(AC$16,$L28:$X28,#REF!)))</f>
        <v>0</v>
      </c>
      <c r="AD28" s="247">
        <f>IF(ISERROR(LOOKUP(AD$16,$L28:$X28,#REF!)),0,(LOOKUP(AD$16,$L28:$X28,#REF!)))</f>
        <v>0</v>
      </c>
      <c r="AE28" s="247">
        <f>IF(ISERROR(LOOKUP(AE$16,$L28:$X28,#REF!)),0,(LOOKUP(AE$16,$L28:$X28,#REF!)))</f>
        <v>0</v>
      </c>
      <c r="AF28" s="247">
        <f>IF(ISERROR(LOOKUP(AF$16,$L28:$X28,#REF!)),0,(LOOKUP(AF$16,$L28:$X28,#REF!)))</f>
        <v>0</v>
      </c>
      <c r="AG28" s="247">
        <f>IF(ISERROR(LOOKUP(AG$16,$L28:$X28,#REF!)),0,(LOOKUP(AG$16,$L28:$X28,#REF!)))</f>
        <v>0</v>
      </c>
      <c r="AH28" s="247">
        <f>IF(ISERROR(LOOKUP(AH$16,$L28:$X28,#REF!)),0,(LOOKUP(AH$16,$L28:$X28,#REF!)))</f>
        <v>0</v>
      </c>
      <c r="AI28" s="247">
        <f>IF(ISERROR(LOOKUP(AI$16,$L28:$X28,#REF!)),0,(LOOKUP(AI$16,$L28:$X28,#REF!)))</f>
        <v>0</v>
      </c>
      <c r="AJ28" s="247">
        <f>IF(ISERROR(LOOKUP(AJ$16,$L28:$X28,#REF!)),0,(LOOKUP(AJ$16,$L28:$X28,#REF!)))</f>
        <v>0</v>
      </c>
      <c r="AK28" s="247">
        <f>IF(ISERROR(LOOKUP(AK$16,$L28:$X28,#REF!)),0,(LOOKUP(AK$16,$L28:$X28,#REF!)))</f>
        <v>0</v>
      </c>
      <c r="AL28" s="247">
        <f>IF(ISERROR(LOOKUP(AL$16,$L28:$X28,#REF!)),0,(LOOKUP(AL$16,$L28:$X28,#REF!)))</f>
        <v>0</v>
      </c>
      <c r="AM28" s="247">
        <f ca="1">IF(ISERROR(LOOKUP(AM$16,$L28:$X28,#REF!)),0,(LOOKUP(AM$16,$L28:$X28,#REF!)))</f>
        <v>0</v>
      </c>
      <c r="AO28" s="166">
        <f t="shared" si="0"/>
        <v>0</v>
      </c>
      <c r="AP28" s="212"/>
      <c r="AQ28" s="212"/>
      <c r="AR28" s="212"/>
      <c r="AS28" s="778"/>
      <c r="AW28" s="244" t="e">
        <v>#REF!</v>
      </c>
    </row>
    <row r="29" spans="1:49" s="168" customFormat="1" ht="16.5" customHeight="1">
      <c r="A29" s="737">
        <f>A26+1</f>
        <v>5</v>
      </c>
      <c r="B29" s="738"/>
      <c r="C29" s="744" t="s">
        <v>5241</v>
      </c>
      <c r="D29" s="744" t="s">
        <v>5242</v>
      </c>
      <c r="E29" s="746"/>
      <c r="F29" s="744" t="s">
        <v>86</v>
      </c>
      <c r="G29" s="741" t="s">
        <v>64</v>
      </c>
      <c r="H29" s="746"/>
      <c r="I29" s="212" t="s">
        <v>6</v>
      </c>
      <c r="J29" s="214" t="s">
        <v>5236</v>
      </c>
      <c r="K29" s="215">
        <v>46176</v>
      </c>
      <c r="L29" s="215">
        <v>46177</v>
      </c>
      <c r="M29" s="215">
        <v>46182</v>
      </c>
      <c r="N29" s="215">
        <v>46183</v>
      </c>
      <c r="O29" s="215">
        <v>46188</v>
      </c>
      <c r="P29" s="216">
        <f>U29-L29</f>
        <v>71</v>
      </c>
      <c r="Q29" s="217"/>
      <c r="R29" s="215">
        <v>46202</v>
      </c>
      <c r="S29" s="215">
        <v>46230</v>
      </c>
      <c r="T29" s="215">
        <v>46233</v>
      </c>
      <c r="U29" s="215">
        <v>46248</v>
      </c>
      <c r="V29" s="215">
        <v>46255</v>
      </c>
      <c r="W29" s="218">
        <v>32</v>
      </c>
      <c r="X29" s="215">
        <v>46472</v>
      </c>
      <c r="Y29" s="768">
        <f>W29*7</f>
        <v>224</v>
      </c>
      <c r="Z29" s="773">
        <v>46472</v>
      </c>
      <c r="AA29" s="773">
        <v>46472</v>
      </c>
      <c r="AB29" s="777">
        <f>Z29-X30</f>
        <v>0</v>
      </c>
      <c r="AC29" s="242">
        <f>IF(ISERROR(LOOKUP(AC$16,$L29:$X29,#REF!)),0,(LOOKUP(AC$16,$L29:$X29,#REF!)))</f>
        <v>0</v>
      </c>
      <c r="AD29" s="243">
        <f>IF(ISERROR(LOOKUP(AD$16,$L29:$X29,#REF!)),0,(LOOKUP(AD$16,$L29:$X29,#REF!)))</f>
        <v>0</v>
      </c>
      <c r="AE29" s="243">
        <f>IF(ISERROR(LOOKUP(AE$16,$L29:$X29,#REF!)),0,(LOOKUP(AE$16,$L29:$X29,#REF!)))</f>
        <v>0</v>
      </c>
      <c r="AF29" s="243">
        <f>IF(ISERROR(LOOKUP(AF$16,$L29:$X29,#REF!)),0,(LOOKUP(AF$16,$L29:$X29,#REF!)))</f>
        <v>0</v>
      </c>
      <c r="AG29" s="243">
        <f>IF(ISERROR(LOOKUP(AG$16,$L29:$X29,#REF!)),0,(LOOKUP(AG$16,$L29:$X29,#REF!)))</f>
        <v>0</v>
      </c>
      <c r="AH29" s="243">
        <f>IF(ISERROR(LOOKUP(AH$16,$L29:$X29,#REF!)),0,(LOOKUP(AH$16,$L29:$X29,#REF!)))</f>
        <v>0</v>
      </c>
      <c r="AI29" s="243">
        <f>IF(ISERROR(LOOKUP(AI$16,$L29:$X29,#REF!)),0,(LOOKUP(AI$16,$L29:$X29,#REF!)))</f>
        <v>0</v>
      </c>
      <c r="AJ29" s="243">
        <f>IF(ISERROR(LOOKUP(AJ$16,$L29:$X29,#REF!)),0,(LOOKUP(AJ$16,$L29:$X29,#REF!)))</f>
        <v>0</v>
      </c>
      <c r="AK29" s="243">
        <f>IF(ISERROR(LOOKUP(AK$16,$L29:$X29,#REF!)),0,(LOOKUP(AK$16,$L29:$X29,#REF!)))</f>
        <v>0</v>
      </c>
      <c r="AL29" s="243">
        <f>IF(ISERROR(LOOKUP(AL$16,$L29:$X29,#REF!)),0,(LOOKUP(AL$16,$L29:$X29,#REF!)))</f>
        <v>0</v>
      </c>
      <c r="AM29" s="243">
        <f ca="1">IF(ISERROR(LOOKUP(AM$16,$L29:$X29,#REF!)),0,(LOOKUP(AM$16,$L29:$X29,#REF!)))</f>
        <v>0</v>
      </c>
      <c r="AO29" s="166">
        <f t="shared" si="0"/>
        <v>15</v>
      </c>
      <c r="AP29" s="215">
        <v>46237</v>
      </c>
      <c r="AQ29" s="215">
        <v>46241</v>
      </c>
      <c r="AR29" s="215">
        <v>46241</v>
      </c>
      <c r="AS29" s="778">
        <v>14</v>
      </c>
      <c r="AW29" s="244" t="e">
        <v>#REF!</v>
      </c>
    </row>
    <row r="30" spans="1:49" s="168" customFormat="1" ht="16.5" customHeight="1">
      <c r="A30" s="737"/>
      <c r="B30" s="739"/>
      <c r="C30" s="744" t="str">
        <f>C29</f>
        <v>RFQ-005</v>
      </c>
      <c r="D30" s="744" t="str">
        <f>D29</f>
        <v>Pig Launcher and Receiver</v>
      </c>
      <c r="E30" s="747"/>
      <c r="F30" s="744" t="str">
        <f>F29</f>
        <v>Piping</v>
      </c>
      <c r="G30" s="741" t="str">
        <f>G29</f>
        <v>Y</v>
      </c>
      <c r="H30" s="747"/>
      <c r="I30" s="212" t="str">
        <f>I29</f>
        <v>LA</v>
      </c>
      <c r="J30" s="214" t="s">
        <v>65</v>
      </c>
      <c r="K30" s="215">
        <v>46176</v>
      </c>
      <c r="L30" s="215">
        <v>46177</v>
      </c>
      <c r="M30" s="215">
        <v>46182</v>
      </c>
      <c r="N30" s="215">
        <v>46183</v>
      </c>
      <c r="O30" s="215">
        <v>46188</v>
      </c>
      <c r="P30" s="216"/>
      <c r="Q30" s="217"/>
      <c r="R30" s="215">
        <v>46202</v>
      </c>
      <c r="S30" s="215">
        <v>46230</v>
      </c>
      <c r="T30" s="215">
        <v>46233</v>
      </c>
      <c r="U30" s="215">
        <v>46248</v>
      </c>
      <c r="V30" s="215">
        <v>46255</v>
      </c>
      <c r="W30" s="218"/>
      <c r="X30" s="215">
        <v>46472</v>
      </c>
      <c r="Y30" s="768"/>
      <c r="Z30" s="773"/>
      <c r="AA30" s="773"/>
      <c r="AB30" s="777"/>
      <c r="AC30" s="242">
        <f>IF(ISERROR(LOOKUP(AC$16,$L30:$X30,#REF!)),0,(LOOKUP(AC$16,$L30:$X30,#REF!)))</f>
        <v>0</v>
      </c>
      <c r="AD30" s="243">
        <f>IF(ISERROR(LOOKUP(AD$16,$L30:$X30,#REF!)),0,(LOOKUP(AD$16,$L30:$X30,#REF!)))</f>
        <v>0</v>
      </c>
      <c r="AE30" s="243">
        <f>IF(ISERROR(LOOKUP(AE$16,$L30:$X30,#REF!)),0,(LOOKUP(AE$16,$L30:$X30,#REF!)))</f>
        <v>0</v>
      </c>
      <c r="AF30" s="243">
        <f>IF(ISERROR(LOOKUP(AF$16,$L30:$X30,#REF!)),0,(LOOKUP(AF$16,$L30:$X30,#REF!)))</f>
        <v>0</v>
      </c>
      <c r="AG30" s="243">
        <f>IF(ISERROR(LOOKUP(AG$16,$L30:$X30,#REF!)),0,(LOOKUP(AG$16,$L30:$X30,#REF!)))</f>
        <v>0</v>
      </c>
      <c r="AH30" s="243">
        <f>IF(ISERROR(LOOKUP(AH$16,$L30:$X30,#REF!)),0,(LOOKUP(AH$16,$L30:$X30,#REF!)))</f>
        <v>0</v>
      </c>
      <c r="AI30" s="243">
        <f>IF(ISERROR(LOOKUP(AI$16,$L30:$X30,#REF!)),0,(LOOKUP(AI$16,$L30:$X30,#REF!)))</f>
        <v>0</v>
      </c>
      <c r="AJ30" s="243">
        <f>IF(ISERROR(LOOKUP(AJ$16,$L30:$X30,#REF!)),0,(LOOKUP(AJ$16,$L30:$X30,#REF!)))</f>
        <v>0</v>
      </c>
      <c r="AK30" s="243">
        <f>IF(ISERROR(LOOKUP(AK$16,$L30:$X30,#REF!)),0,(LOOKUP(AK$16,$L30:$X30,#REF!)))</f>
        <v>0</v>
      </c>
      <c r="AL30" s="243">
        <f>IF(ISERROR(LOOKUP(AL$16,$L30:$X30,#REF!)),0,(LOOKUP(AL$16,$L30:$X30,#REF!)))</f>
        <v>0</v>
      </c>
      <c r="AM30" s="243">
        <f ca="1">IF(ISERROR(LOOKUP(AM$16,$L30:$X30,#REF!)),0,(LOOKUP(AM$16,$L30:$X30,#REF!)))</f>
        <v>0</v>
      </c>
      <c r="AO30" s="166">
        <f t="shared" si="0"/>
        <v>15</v>
      </c>
      <c r="AP30" s="215">
        <v>46237</v>
      </c>
      <c r="AQ30" s="215">
        <v>46241</v>
      </c>
      <c r="AR30" s="215">
        <v>46248</v>
      </c>
      <c r="AS30" s="778"/>
      <c r="AW30" s="244" t="e">
        <v>#REF!</v>
      </c>
    </row>
    <row r="31" spans="1:49" s="168" customFormat="1" ht="16.5" customHeight="1">
      <c r="A31" s="737"/>
      <c r="B31" s="740"/>
      <c r="C31" s="745" t="str">
        <f>C29</f>
        <v>RFQ-005</v>
      </c>
      <c r="D31" s="745" t="str">
        <f>D29</f>
        <v>Pig Launcher and Receiver</v>
      </c>
      <c r="E31" s="748"/>
      <c r="F31" s="745" t="str">
        <f>F29</f>
        <v>Piping</v>
      </c>
      <c r="G31" s="741" t="str">
        <f>G29</f>
        <v>Y</v>
      </c>
      <c r="H31" s="748"/>
      <c r="I31" s="212" t="str">
        <f>I29</f>
        <v>LA</v>
      </c>
      <c r="J31" s="214" t="s">
        <v>67</v>
      </c>
      <c r="K31" s="212"/>
      <c r="L31" s="212"/>
      <c r="M31" s="212"/>
      <c r="N31" s="212"/>
      <c r="O31" s="212"/>
      <c r="P31" s="226"/>
      <c r="Q31" s="227"/>
      <c r="R31" s="212"/>
      <c r="S31" s="212"/>
      <c r="T31" s="212"/>
      <c r="U31" s="212"/>
      <c r="V31" s="212"/>
      <c r="W31" s="228"/>
      <c r="X31" s="212"/>
      <c r="Y31" s="768"/>
      <c r="Z31" s="773"/>
      <c r="AA31" s="773"/>
      <c r="AB31" s="777"/>
      <c r="AC31" s="246">
        <f>IF(ISERROR(LOOKUP(AC$16,$L31:$X31,#REF!)),0,(LOOKUP(AC$16,$L31:$X31,#REF!)))</f>
        <v>0</v>
      </c>
      <c r="AD31" s="247">
        <f>IF(ISERROR(LOOKUP(AD$16,$L31:$X31,#REF!)),0,(LOOKUP(AD$16,$L31:$X31,#REF!)))</f>
        <v>0</v>
      </c>
      <c r="AE31" s="247">
        <f>IF(ISERROR(LOOKUP(AE$16,$L31:$X31,#REF!)),0,(LOOKUP(AE$16,$L31:$X31,#REF!)))</f>
        <v>0</v>
      </c>
      <c r="AF31" s="247">
        <f>IF(ISERROR(LOOKUP(AF$16,$L31:$X31,#REF!)),0,(LOOKUP(AF$16,$L31:$X31,#REF!)))</f>
        <v>0</v>
      </c>
      <c r="AG31" s="247">
        <f>IF(ISERROR(LOOKUP(AG$16,$L31:$X31,#REF!)),0,(LOOKUP(AG$16,$L31:$X31,#REF!)))</f>
        <v>0</v>
      </c>
      <c r="AH31" s="247">
        <f>IF(ISERROR(LOOKUP(AH$16,$L31:$X31,#REF!)),0,(LOOKUP(AH$16,$L31:$X31,#REF!)))</f>
        <v>0</v>
      </c>
      <c r="AI31" s="247">
        <f>IF(ISERROR(LOOKUP(AI$16,$L31:$X31,#REF!)),0,(LOOKUP(AI$16,$L31:$X31,#REF!)))</f>
        <v>0</v>
      </c>
      <c r="AJ31" s="247">
        <f>IF(ISERROR(LOOKUP(AJ$16,$L31:$X31,#REF!)),0,(LOOKUP(AJ$16,$L31:$X31,#REF!)))</f>
        <v>0</v>
      </c>
      <c r="AK31" s="247">
        <f>IF(ISERROR(LOOKUP(AK$16,$L31:$X31,#REF!)),0,(LOOKUP(AK$16,$L31:$X31,#REF!)))</f>
        <v>0</v>
      </c>
      <c r="AL31" s="247">
        <f>IF(ISERROR(LOOKUP(AL$16,$L31:$X31,#REF!)),0,(LOOKUP(AL$16,$L31:$X31,#REF!)))</f>
        <v>0</v>
      </c>
      <c r="AM31" s="247">
        <f ca="1">IF(ISERROR(LOOKUP(AM$16,$L31:$X31,#REF!)),0,(LOOKUP(AM$16,$L31:$X31,#REF!)))</f>
        <v>0</v>
      </c>
      <c r="AO31" s="166">
        <f t="shared" si="0"/>
        <v>0</v>
      </c>
      <c r="AP31" s="212"/>
      <c r="AQ31" s="212"/>
      <c r="AR31" s="212"/>
      <c r="AS31" s="778"/>
      <c r="AW31" s="244" t="e">
        <v>#REF!</v>
      </c>
    </row>
    <row r="32" spans="1:49" s="166" customFormat="1" ht="18" customHeight="1">
      <c r="A32" s="736">
        <f>A29+1</f>
        <v>6</v>
      </c>
      <c r="B32" s="738"/>
      <c r="C32" s="746" t="s">
        <v>5243</v>
      </c>
      <c r="D32" s="746" t="s">
        <v>5244</v>
      </c>
      <c r="E32" s="213"/>
      <c r="F32" s="750" t="s">
        <v>59</v>
      </c>
      <c r="G32" s="741" t="s">
        <v>73</v>
      </c>
      <c r="H32" s="746"/>
      <c r="I32" s="212" t="s">
        <v>6</v>
      </c>
      <c r="J32" s="214" t="s">
        <v>5236</v>
      </c>
      <c r="K32" s="215">
        <f>WORKDAY(L32,-INDEX(L$12:L$15,MATCH($I32,$I$12:$I$15,0)))</f>
        <v>46143</v>
      </c>
      <c r="L32" s="215">
        <f>WORKDAY(M32,-INDEX(M$12:M$15,MATCH($I32,$I$12:$I$15,0)))</f>
        <v>46146</v>
      </c>
      <c r="M32" s="215">
        <f>WORKDAY(N32,-INDEX(N$12:N$15,MATCH($I32,$I$12:$I$15,0)))</f>
        <v>46153</v>
      </c>
      <c r="N32" s="215">
        <f>WORKDAY(O32,-INDEX(O$12:O$15,MATCH($I32,$I$12:$I$15,0)))</f>
        <v>46154</v>
      </c>
      <c r="O32" s="215">
        <f>WORKDAY(R32,-INDEX(R$12:R$15,MATCH($I32,$I$12:$I$15,0)))</f>
        <v>46161</v>
      </c>
      <c r="P32" s="216">
        <f>U32-L32</f>
        <v>74</v>
      </c>
      <c r="Q32" s="217"/>
      <c r="R32" s="215">
        <f>WORKDAY(S32,-INDEX(S$12:S$15,MATCH($I32,$I$12:$I$15,0)))</f>
        <v>46175</v>
      </c>
      <c r="S32" s="215">
        <f>WORKDAY(T32,-INDEX(T$12:T$15,MATCH($I32,$I$12:$I$15,0)))</f>
        <v>46203</v>
      </c>
      <c r="T32" s="215">
        <f>WORKDAY(U32,-INDEX(U$12:U$15,MATCH($I32,$I$12:$I$15,0)))</f>
        <v>46206</v>
      </c>
      <c r="U32" s="215">
        <f>X32-Y32</f>
        <v>46220</v>
      </c>
      <c r="V32" s="215">
        <f>WORKDAY(U32,INDEX(V$12:V$15,MATCH($I32,$I$12:$I$15,0)))</f>
        <v>46224</v>
      </c>
      <c r="W32" s="218">
        <f>Y32/7</f>
        <v>32</v>
      </c>
      <c r="X32" s="215">
        <f>Z32</f>
        <v>46444</v>
      </c>
      <c r="Y32" s="769">
        <f>32*7</f>
        <v>224</v>
      </c>
      <c r="Z32" s="773">
        <v>46444</v>
      </c>
      <c r="AA32" s="773">
        <v>46444</v>
      </c>
      <c r="AB32" s="777">
        <f>Z32-X33</f>
        <v>0</v>
      </c>
      <c r="AC32" s="220">
        <f>IF(ISERROR(LOOKUP(AC$16,$L32:$X32,#REF!)),0,(LOOKUP(AC$16,$L32:$X32,#REF!)))</f>
        <v>0</v>
      </c>
      <c r="AD32" s="221">
        <f>IF(ISERROR(LOOKUP(AD$16,$L32:$X32,#REF!)),0,(LOOKUP(AD$16,$L32:$X32,#REF!)))</f>
        <v>0</v>
      </c>
      <c r="AE32" s="221">
        <f>IF(ISERROR(LOOKUP(AE$16,$L32:$X32,#REF!)),0,(LOOKUP(AE$16,$L32:$X32,#REF!)))</f>
        <v>0</v>
      </c>
      <c r="AF32" s="221">
        <f>IF(ISERROR(LOOKUP(AF$16,$L32:$X32,#REF!)),0,(LOOKUP(AF$16,$L32:$X32,#REF!)))</f>
        <v>0</v>
      </c>
      <c r="AG32" s="221">
        <f>IF(ISERROR(LOOKUP(AG$16,$L32:$X32,#REF!)),0,(LOOKUP(AG$16,$L32:$X32,#REF!)))</f>
        <v>0</v>
      </c>
      <c r="AH32" s="221">
        <f>IF(ISERROR(LOOKUP(AH$16,$L32:$X32,#REF!)),0,(LOOKUP(AH$16,$L32:$X32,#REF!)))</f>
        <v>0</v>
      </c>
      <c r="AI32" s="221">
        <f>IF(ISERROR(LOOKUP(AI$16,$L32:$X32,#REF!)),0,(LOOKUP(AI$16,$L32:$X32,#REF!)))</f>
        <v>0</v>
      </c>
      <c r="AJ32" s="221">
        <f>IF(ISERROR(LOOKUP(AJ$16,$L32:$X32,#REF!)),0,(LOOKUP(AJ$16,$L32:$X32,#REF!)))</f>
        <v>0</v>
      </c>
      <c r="AK32" s="221">
        <f>IF(ISERROR(LOOKUP(AK$16,$L32:$X32,#REF!)),0,(LOOKUP(AK$16,$L32:$X32,#REF!)))</f>
        <v>0</v>
      </c>
      <c r="AL32" s="221">
        <f>IF(ISERROR(LOOKUP(AL$16,$L32:$X32,#REF!)),0,(LOOKUP(AL$16,$L32:$X32,#REF!)))</f>
        <v>0</v>
      </c>
      <c r="AM32" s="221">
        <f ca="1">IF(ISERROR(LOOKUP(AM$16,$L32:$X32,#REF!)),0,(LOOKUP(AM$16,$L32:$X32,#REF!)))</f>
        <v>0</v>
      </c>
      <c r="AO32" s="166">
        <f t="shared" si="0"/>
        <v>14</v>
      </c>
      <c r="AP32" s="215" t="e">
        <f>WORKDAY(AQ32,-INDEX(AQ$12:AQ$15,MATCH($I32,$I$12:$I$15,0)),$AW$17:$AW$148)</f>
        <v>#REF!</v>
      </c>
      <c r="AQ32" s="215" t="e">
        <f>WORKDAY(U32,-INDEX(U$12:U$15,MATCH($I32,$I$12:$I$15,0)),$AW$17:$AW$148)</f>
        <v>#REF!</v>
      </c>
      <c r="AR32" s="215" t="e">
        <f>WORKDAY(U32,-INDEX(U$12:U$15,MATCH($I32,$I$12:$I$15,0)),$AW$17:$AW$148)</f>
        <v>#REF!</v>
      </c>
      <c r="AS32" s="778">
        <v>14</v>
      </c>
      <c r="AW32" s="223" t="e">
        <v>#REF!</v>
      </c>
    </row>
    <row r="33" spans="1:49" s="166" customFormat="1" ht="18" customHeight="1">
      <c r="A33" s="736"/>
      <c r="B33" s="739"/>
      <c r="C33" s="747" t="str">
        <f>C32</f>
        <v>RFQ-006</v>
      </c>
      <c r="D33" s="747"/>
      <c r="E33" s="224"/>
      <c r="F33" s="751"/>
      <c r="G33" s="741" t="str">
        <f>G32</f>
        <v>N</v>
      </c>
      <c r="H33" s="747"/>
      <c r="I33" s="212" t="str">
        <f>I32</f>
        <v>LA</v>
      </c>
      <c r="J33" s="214" t="s">
        <v>65</v>
      </c>
      <c r="K33" s="215">
        <f>K32</f>
        <v>46143</v>
      </c>
      <c r="L33" s="215">
        <f>WORKDAY(IF(K34="",K33,K34),INDEX(L$12:L$15,MATCH($I32,$I$12:$I$15,0)))</f>
        <v>46146</v>
      </c>
      <c r="M33" s="215">
        <f>WORKDAY(IF(L34="",L33,L34),INDEX(M$12:M$15,MATCH($I32,$I$12:$I$15,0)))</f>
        <v>46153</v>
      </c>
      <c r="N33" s="215">
        <f>WORKDAY(IF(M34="",M33,M34),INDEX(N$12:N$15,MATCH($I32,$I$12:$I$15,0)))</f>
        <v>46154</v>
      </c>
      <c r="O33" s="215">
        <f>WORKDAY(IF(N34="",N33,N34),INDEX(O$12:O$15,MATCH($I32,$I$12:$I$15,0)))</f>
        <v>46161</v>
      </c>
      <c r="P33" s="216"/>
      <c r="Q33" s="217"/>
      <c r="R33" s="215">
        <f>WORKDAY(IF(O34="",O33,O34),INDEX(R$12:R$15,MATCH($I32,$I$12:$I$15,0)))</f>
        <v>46175</v>
      </c>
      <c r="S33" s="215">
        <f>WORKDAY(IF(R34="",R33,R34),INDEX(S$12:S$15,MATCH($I32,$I$12:$I$15,0)))</f>
        <v>46203</v>
      </c>
      <c r="T33" s="215">
        <f>WORKDAY(IF(S34="",S33,S34),INDEX(T$12:T$15,MATCH($I32,$I$12:$I$15,0)))</f>
        <v>46206</v>
      </c>
      <c r="U33" s="215">
        <f>WORKDAY(IF(T34="",T33,T34),INDEX(U$12:U$15,MATCH($I32,$I$12:$I$15,0)))</f>
        <v>46220</v>
      </c>
      <c r="V33" s="215">
        <f>WORKDAY(IF(U34="",U33,U34),INDEX(V$12:V$15,MATCH($I32,$I$12:$I$15,0)))</f>
        <v>46224</v>
      </c>
      <c r="W33" s="218"/>
      <c r="X33" s="215">
        <f>U33+Y32</f>
        <v>46444</v>
      </c>
      <c r="Y33" s="770"/>
      <c r="Z33" s="773"/>
      <c r="AA33" s="773"/>
      <c r="AB33" s="777"/>
      <c r="AC33" s="220">
        <f>IF(ISERROR(LOOKUP(AC$16,$L33:$X33,#REF!)),0,(LOOKUP(AC$16,$L33:$X33,#REF!)))</f>
        <v>0</v>
      </c>
      <c r="AD33" s="221">
        <f>IF(ISERROR(LOOKUP(AD$16,$L33:$X33,#REF!)),0,(LOOKUP(AD$16,$L33:$X33,#REF!)))</f>
        <v>0</v>
      </c>
      <c r="AE33" s="221">
        <f>IF(ISERROR(LOOKUP(AE$16,$L33:$X33,#REF!)),0,(LOOKUP(AE$16,$L33:$X33,#REF!)))</f>
        <v>0</v>
      </c>
      <c r="AF33" s="221">
        <f>IF(ISERROR(LOOKUP(AF$16,$L33:$X33,#REF!)),0,(LOOKUP(AF$16,$L33:$X33,#REF!)))</f>
        <v>0</v>
      </c>
      <c r="AG33" s="221">
        <f>IF(ISERROR(LOOKUP(AG$16,$L33:$X33,#REF!)),0,(LOOKUP(AG$16,$L33:$X33,#REF!)))</f>
        <v>0</v>
      </c>
      <c r="AH33" s="221">
        <f>IF(ISERROR(LOOKUP(AH$16,$L33:$X33,#REF!)),0,(LOOKUP(AH$16,$L33:$X33,#REF!)))</f>
        <v>0</v>
      </c>
      <c r="AI33" s="221">
        <f>IF(ISERROR(LOOKUP(AI$16,$L33:$X33,#REF!)),0,(LOOKUP(AI$16,$L33:$X33,#REF!)))</f>
        <v>0</v>
      </c>
      <c r="AJ33" s="221">
        <f>IF(ISERROR(LOOKUP(AJ$16,$L33:$X33,#REF!)),0,(LOOKUP(AJ$16,$L33:$X33,#REF!)))</f>
        <v>0</v>
      </c>
      <c r="AK33" s="221">
        <f>IF(ISERROR(LOOKUP(AK$16,$L33:$X33,#REF!)),0,(LOOKUP(AK$16,$L33:$X33,#REF!)))</f>
        <v>0</v>
      </c>
      <c r="AL33" s="221">
        <f>IF(ISERROR(LOOKUP(AL$16,$L33:$X33,#REF!)),0,(LOOKUP(AL$16,$L33:$X33,#REF!)))</f>
        <v>0</v>
      </c>
      <c r="AM33" s="221">
        <f ca="1">IF(ISERROR(LOOKUP(AM$16,$L33:$X33,#REF!)),0,(LOOKUP(AM$16,$L33:$X33,#REF!)))</f>
        <v>0</v>
      </c>
      <c r="AO33" s="166">
        <f t="shared" si="0"/>
        <v>14</v>
      </c>
      <c r="AP33" s="215" t="e">
        <f>WORKDAY(IF(T34="",T33,T34),INDEX(AP$12:AP$15,MATCH($I32,$I$12:$I$15,0)),$AW$17:$AW$148)</f>
        <v>#REF!</v>
      </c>
      <c r="AQ33" s="215" t="e">
        <f>WORKDAY(IF(AP34="",AP33,AP34),INDEX(AQ$12:AQ$15,MATCH($I32,$I$12:$I$15,0)),$AW$17:$AW$148)</f>
        <v>#REF!</v>
      </c>
      <c r="AR33" s="215" t="e">
        <f>WORKDAY(IF(AQ34="",AQ33,AQ34),INDEX(AR$12:AR$15,MATCH($I32,$I$12:$I$15,0)),$AW$17:$AW$148)</f>
        <v>#REF!</v>
      </c>
      <c r="AS33" s="778"/>
      <c r="AW33" s="223" t="e">
        <v>#REF!</v>
      </c>
    </row>
    <row r="34" spans="1:49" s="166" customFormat="1" ht="18" customHeight="1">
      <c r="A34" s="736"/>
      <c r="B34" s="740"/>
      <c r="C34" s="748" t="str">
        <f>C32</f>
        <v>RFQ-006</v>
      </c>
      <c r="D34" s="748"/>
      <c r="E34" s="225"/>
      <c r="F34" s="752"/>
      <c r="G34" s="741" t="str">
        <f>G32</f>
        <v>N</v>
      </c>
      <c r="H34" s="748"/>
      <c r="I34" s="212" t="str">
        <f>I32</f>
        <v>LA</v>
      </c>
      <c r="J34" s="214" t="s">
        <v>67</v>
      </c>
      <c r="K34" s="212"/>
      <c r="L34" s="212"/>
      <c r="M34" s="212"/>
      <c r="N34" s="212"/>
      <c r="O34" s="212"/>
      <c r="P34" s="226"/>
      <c r="Q34" s="227"/>
      <c r="R34" s="212"/>
      <c r="S34" s="212"/>
      <c r="T34" s="212"/>
      <c r="U34" s="212"/>
      <c r="V34" s="212"/>
      <c r="W34" s="228"/>
      <c r="X34" s="212"/>
      <c r="Y34" s="771"/>
      <c r="Z34" s="773"/>
      <c r="AA34" s="773"/>
      <c r="AB34" s="777"/>
      <c r="AC34" s="229">
        <f>IF(ISERROR(LOOKUP(AC$16,$L34:$X34,#REF!)),0,(LOOKUP(AC$16,$L34:$X34,#REF!)))</f>
        <v>0</v>
      </c>
      <c r="AD34" s="230">
        <f>IF(ISERROR(LOOKUP(AD$16,$L34:$X34,#REF!)),0,(LOOKUP(AD$16,$L34:$X34,#REF!)))</f>
        <v>0</v>
      </c>
      <c r="AE34" s="230">
        <f>IF(ISERROR(LOOKUP(AE$16,$L34:$X34,#REF!)),0,(LOOKUP(AE$16,$L34:$X34,#REF!)))</f>
        <v>0</v>
      </c>
      <c r="AF34" s="230">
        <f>IF(ISERROR(LOOKUP(AF$16,$L34:$X34,#REF!)),0,(LOOKUP(AF$16,$L34:$X34,#REF!)))</f>
        <v>0</v>
      </c>
      <c r="AG34" s="230">
        <f>IF(ISERROR(LOOKUP(AG$16,$L34:$X34,#REF!)),0,(LOOKUP(AG$16,$L34:$X34,#REF!)))</f>
        <v>0</v>
      </c>
      <c r="AH34" s="230">
        <f>IF(ISERROR(LOOKUP(AH$16,$L34:$X34,#REF!)),0,(LOOKUP(AH$16,$L34:$X34,#REF!)))</f>
        <v>0</v>
      </c>
      <c r="AI34" s="230">
        <f>IF(ISERROR(LOOKUP(AI$16,$L34:$X34,#REF!)),0,(LOOKUP(AI$16,$L34:$X34,#REF!)))</f>
        <v>0</v>
      </c>
      <c r="AJ34" s="230">
        <f>IF(ISERROR(LOOKUP(AJ$16,$L34:$X34,#REF!)),0,(LOOKUP(AJ$16,$L34:$X34,#REF!)))</f>
        <v>0</v>
      </c>
      <c r="AK34" s="230">
        <f>IF(ISERROR(LOOKUP(AK$16,$L34:$X34,#REF!)),0,(LOOKUP(AK$16,$L34:$X34,#REF!)))</f>
        <v>0</v>
      </c>
      <c r="AL34" s="230">
        <f>IF(ISERROR(LOOKUP(AL$16,$L34:$X34,#REF!)),0,(LOOKUP(AL$16,$L34:$X34,#REF!)))</f>
        <v>0</v>
      </c>
      <c r="AM34" s="230">
        <f ca="1">IF(ISERROR(LOOKUP(AM$16,$L34:$X34,#REF!)),0,(LOOKUP(AM$16,$L34:$X34,#REF!)))</f>
        <v>0</v>
      </c>
      <c r="AO34" s="166">
        <f t="shared" si="0"/>
        <v>0</v>
      </c>
      <c r="AP34" s="212"/>
      <c r="AQ34" s="212"/>
      <c r="AR34" s="212"/>
      <c r="AS34" s="778"/>
      <c r="AW34" s="223" t="e">
        <v>#REF!</v>
      </c>
    </row>
    <row r="35" spans="1:49" s="167" customFormat="1" ht="18" customHeight="1">
      <c r="A35" s="737">
        <f>A32+1</f>
        <v>7</v>
      </c>
      <c r="B35" s="738"/>
      <c r="C35" s="742" t="s">
        <v>5245</v>
      </c>
      <c r="D35" s="742" t="s">
        <v>5246</v>
      </c>
      <c r="E35" s="746"/>
      <c r="F35" s="753" t="s">
        <v>59</v>
      </c>
      <c r="G35" s="741" t="s">
        <v>73</v>
      </c>
      <c r="H35" s="746"/>
      <c r="I35" s="212" t="s">
        <v>6</v>
      </c>
      <c r="J35" s="214" t="s">
        <v>5236</v>
      </c>
      <c r="K35" s="215">
        <f>WORKDAY(L35,-INDEX(L$12:L$15,MATCH($I35,$I$12:$I$15,0)))</f>
        <v>46176</v>
      </c>
      <c r="L35" s="215">
        <f>WORKDAY(M35,-INDEX(M$12:M$15,MATCH($I35,$I$12:$I$15,0)))</f>
        <v>46177</v>
      </c>
      <c r="M35" s="215">
        <f>WORKDAY(N35,-INDEX(N$12:N$15,MATCH($I35,$I$12:$I$15,0)))</f>
        <v>46184</v>
      </c>
      <c r="N35" s="215">
        <f>WORKDAY(O35,-INDEX(O$12:O$15,MATCH($I35,$I$12:$I$15,0)))</f>
        <v>46185</v>
      </c>
      <c r="O35" s="215">
        <f>WORKDAY(R35,-INDEX(R$12:R$15,MATCH($I35,$I$12:$I$15,0)))</f>
        <v>46192</v>
      </c>
      <c r="P35" s="216">
        <f>U35-L35</f>
        <v>76</v>
      </c>
      <c r="Q35" s="217"/>
      <c r="R35" s="215">
        <f>WORKDAY(S35,-INDEX(S$12:S$15,MATCH($I35,$I$12:$I$15,0)))</f>
        <v>46206</v>
      </c>
      <c r="S35" s="215">
        <f>WORKDAY(T35,-INDEX(T$12:T$15,MATCH($I35,$I$12:$I$15,0)))</f>
        <v>46234</v>
      </c>
      <c r="T35" s="215">
        <f>WORKDAY(U35,-INDEX(U$12:U$15,MATCH($I35,$I$12:$I$15,0)))</f>
        <v>46239</v>
      </c>
      <c r="U35" s="215">
        <f>X35-Y35</f>
        <v>46253</v>
      </c>
      <c r="V35" s="215">
        <f>WORKDAY(U35,INDEX(V$12:V$15,MATCH($I35,$I$12:$I$15,0)))</f>
        <v>46255</v>
      </c>
      <c r="W35" s="218">
        <f>Y35/7</f>
        <v>32</v>
      </c>
      <c r="X35" s="215">
        <f>Z35</f>
        <v>46477</v>
      </c>
      <c r="Y35" s="768">
        <f>32*7</f>
        <v>224</v>
      </c>
      <c r="Z35" s="773">
        <v>46477</v>
      </c>
      <c r="AA35" s="773">
        <v>46477</v>
      </c>
      <c r="AB35" s="777">
        <f>Z35-X36</f>
        <v>0</v>
      </c>
      <c r="AC35" s="234">
        <f>IF(ISERROR(LOOKUP(AC$16,$L35:$X35,#REF!)),0,(LOOKUP(AC$16,$L35:$X35,#REF!)))</f>
        <v>0</v>
      </c>
      <c r="AD35" s="235">
        <f>IF(ISERROR(LOOKUP(AD$16,$L35:$X35,#REF!)),0,(LOOKUP(AD$16,$L35:$X35,#REF!)))</f>
        <v>0</v>
      </c>
      <c r="AE35" s="235">
        <f>IF(ISERROR(LOOKUP(AE$16,$L35:$X35,#REF!)),0,(LOOKUP(AE$16,$L35:$X35,#REF!)))</f>
        <v>0</v>
      </c>
      <c r="AF35" s="235">
        <f>IF(ISERROR(LOOKUP(AF$16,$L35:$X35,#REF!)),0,(LOOKUP(AF$16,$L35:$X35,#REF!)))</f>
        <v>0</v>
      </c>
      <c r="AG35" s="235">
        <f>IF(ISERROR(LOOKUP(AG$16,$L35:$X35,#REF!)),0,(LOOKUP(AG$16,$L35:$X35,#REF!)))</f>
        <v>0</v>
      </c>
      <c r="AH35" s="235">
        <f>IF(ISERROR(LOOKUP(AH$16,$L35:$X35,#REF!)),0,(LOOKUP(AH$16,$L35:$X35,#REF!)))</f>
        <v>0</v>
      </c>
      <c r="AI35" s="235">
        <f>IF(ISERROR(LOOKUP(AI$16,$L35:$X35,#REF!)),0,(LOOKUP(AI$16,$L35:$X35,#REF!)))</f>
        <v>0</v>
      </c>
      <c r="AJ35" s="235">
        <f>IF(ISERROR(LOOKUP(AJ$16,$L35:$X35,#REF!)),0,(LOOKUP(AJ$16,$L35:$X35,#REF!)))</f>
        <v>0</v>
      </c>
      <c r="AK35" s="235">
        <f>IF(ISERROR(LOOKUP(AK$16,$L35:$X35,#REF!)),0,(LOOKUP(AK$16,$L35:$X35,#REF!)))</f>
        <v>0</v>
      </c>
      <c r="AL35" s="235">
        <f>IF(ISERROR(LOOKUP(AL$16,$L35:$X35,#REF!)),0,(LOOKUP(AL$16,$L35:$X35,#REF!)))</f>
        <v>0</v>
      </c>
      <c r="AM35" s="235">
        <f ca="1">IF(ISERROR(LOOKUP(AM$16,$L35:$X35,#REF!)),0,(LOOKUP(AM$16,$L35:$X35,#REF!)))</f>
        <v>0</v>
      </c>
      <c r="AO35" s="166">
        <f t="shared" si="0"/>
        <v>14</v>
      </c>
      <c r="AP35" s="215" t="e">
        <f>WORKDAY(AQ35,-INDEX(AQ$12:AQ$15,MATCH($I35,$I$12:$I$15,0)),$AW$17:$AW$148)</f>
        <v>#REF!</v>
      </c>
      <c r="AQ35" s="215" t="e">
        <f>WORKDAY(U35,-INDEX(U$12:U$15,MATCH($I35,$I$12:$I$15,0)),$AW$17:$AW$148)</f>
        <v>#REF!</v>
      </c>
      <c r="AR35" s="215" t="e">
        <f>WORKDAY(U35,-INDEX(U$12:U$15,MATCH($I35,$I$12:$I$15,0)),$AW$17:$AW$148)</f>
        <v>#REF!</v>
      </c>
      <c r="AS35" s="778">
        <v>14</v>
      </c>
      <c r="AW35" s="236" t="e">
        <v>#REF!</v>
      </c>
    </row>
    <row r="36" spans="1:49" s="167" customFormat="1" ht="18" customHeight="1">
      <c r="A36" s="737"/>
      <c r="B36" s="739"/>
      <c r="C36" s="742" t="str">
        <f>C35</f>
        <v>RFQ-007</v>
      </c>
      <c r="D36" s="742" t="str">
        <f>D35</f>
        <v>Demulsifier/Water Clarifier Injection Pump</v>
      </c>
      <c r="E36" s="747"/>
      <c r="F36" s="754"/>
      <c r="G36" s="741" t="str">
        <f>G35</f>
        <v>N</v>
      </c>
      <c r="H36" s="747"/>
      <c r="I36" s="212" t="str">
        <f>I35</f>
        <v>LA</v>
      </c>
      <c r="J36" s="214" t="s">
        <v>65</v>
      </c>
      <c r="K36" s="215">
        <f>K35</f>
        <v>46176</v>
      </c>
      <c r="L36" s="215">
        <f>WORKDAY(IF(K37="",K36,K37),INDEX(L$12:L$15,MATCH($I35,$I$12:$I$15,0)))</f>
        <v>46177</v>
      </c>
      <c r="M36" s="215">
        <f>WORKDAY(IF(L37="",L36,L37),INDEX(M$12:M$15,MATCH($I35,$I$12:$I$15,0)))</f>
        <v>46184</v>
      </c>
      <c r="N36" s="215">
        <f>WORKDAY(IF(M37="",M36,M37),INDEX(N$12:N$15,MATCH($I35,$I$12:$I$15,0)))</f>
        <v>46185</v>
      </c>
      <c r="O36" s="215">
        <f>WORKDAY(IF(N37="",N36,N37),INDEX(O$12:O$15,MATCH($I35,$I$12:$I$15,0)))</f>
        <v>46192</v>
      </c>
      <c r="P36" s="216"/>
      <c r="Q36" s="217"/>
      <c r="R36" s="215">
        <f>WORKDAY(IF(O37="",O36,O37),INDEX(R$12:R$15,MATCH($I35,$I$12:$I$15,0)))</f>
        <v>46206</v>
      </c>
      <c r="S36" s="215">
        <f>WORKDAY(IF(R37="",R36,R37),INDEX(S$12:S$15,MATCH($I35,$I$12:$I$15,0)))</f>
        <v>46234</v>
      </c>
      <c r="T36" s="215">
        <f>WORKDAY(IF(S37="",S36,S37),INDEX(T$12:T$15,MATCH($I35,$I$12:$I$15,0)))</f>
        <v>46239</v>
      </c>
      <c r="U36" s="215">
        <f>WORKDAY(IF(T37="",T36,T37),INDEX(U$12:U$15,MATCH($I35,$I$12:$I$15,0)))</f>
        <v>46253</v>
      </c>
      <c r="V36" s="215">
        <f>WORKDAY(IF(U37="",U36,U37),INDEX(V$12:V$15,MATCH($I35,$I$12:$I$15,0)))</f>
        <v>46255</v>
      </c>
      <c r="W36" s="218"/>
      <c r="X36" s="215">
        <f>U36+Y35</f>
        <v>46477</v>
      </c>
      <c r="Y36" s="768"/>
      <c r="Z36" s="773"/>
      <c r="AA36" s="773"/>
      <c r="AB36" s="777"/>
      <c r="AC36" s="234">
        <f>IF(ISERROR(LOOKUP(AC$16,$L36:$X36,#REF!)),0,(LOOKUP(AC$16,$L36:$X36,#REF!)))</f>
        <v>0</v>
      </c>
      <c r="AD36" s="235">
        <f>IF(ISERROR(LOOKUP(AD$16,$L36:$X36,#REF!)),0,(LOOKUP(AD$16,$L36:$X36,#REF!)))</f>
        <v>0</v>
      </c>
      <c r="AE36" s="235">
        <f>IF(ISERROR(LOOKUP(AE$16,$L36:$X36,#REF!)),0,(LOOKUP(AE$16,$L36:$X36,#REF!)))</f>
        <v>0</v>
      </c>
      <c r="AF36" s="235">
        <f>IF(ISERROR(LOOKUP(AF$16,$L36:$X36,#REF!)),0,(LOOKUP(AF$16,$L36:$X36,#REF!)))</f>
        <v>0</v>
      </c>
      <c r="AG36" s="235">
        <f>IF(ISERROR(LOOKUP(AG$16,$L36:$X36,#REF!)),0,(LOOKUP(AG$16,$L36:$X36,#REF!)))</f>
        <v>0</v>
      </c>
      <c r="AH36" s="235">
        <f>IF(ISERROR(LOOKUP(AH$16,$L36:$X36,#REF!)),0,(LOOKUP(AH$16,$L36:$X36,#REF!)))</f>
        <v>0</v>
      </c>
      <c r="AI36" s="235">
        <f>IF(ISERROR(LOOKUP(AI$16,$L36:$X36,#REF!)),0,(LOOKUP(AI$16,$L36:$X36,#REF!)))</f>
        <v>0</v>
      </c>
      <c r="AJ36" s="235">
        <f>IF(ISERROR(LOOKUP(AJ$16,$L36:$X36,#REF!)),0,(LOOKUP(AJ$16,$L36:$X36,#REF!)))</f>
        <v>0</v>
      </c>
      <c r="AK36" s="235">
        <f>IF(ISERROR(LOOKUP(AK$16,$L36:$X36,#REF!)),0,(LOOKUP(AK$16,$L36:$X36,#REF!)))</f>
        <v>0</v>
      </c>
      <c r="AL36" s="235">
        <f>IF(ISERROR(LOOKUP(AL$16,$L36:$X36,#REF!)),0,(LOOKUP(AL$16,$L36:$X36,#REF!)))</f>
        <v>0</v>
      </c>
      <c r="AM36" s="235">
        <f ca="1">IF(ISERROR(LOOKUP(AM$16,$L36:$X36,#REF!)),0,(LOOKUP(AM$16,$L36:$X36,#REF!)))</f>
        <v>0</v>
      </c>
      <c r="AO36" s="166">
        <f t="shared" si="0"/>
        <v>14</v>
      </c>
      <c r="AP36" s="215" t="e">
        <f>WORKDAY(IF(T37="",T36,T37),INDEX(AP$12:AP$15,MATCH($I35,$I$12:$I$15,0)),$AW$17:$AW$148)</f>
        <v>#REF!</v>
      </c>
      <c r="AQ36" s="215" t="e">
        <f>WORKDAY(IF(AP37="",AP36,AP37),INDEX(AQ$12:AQ$15,MATCH($I35,$I$12:$I$15,0)),$AW$17:$AW$148)</f>
        <v>#REF!</v>
      </c>
      <c r="AR36" s="215" t="e">
        <f>WORKDAY(IF(AQ37="",AQ36,AQ37),INDEX(AR$12:AR$15,MATCH($I35,$I$12:$I$15,0)),$AW$17:$AW$148)</f>
        <v>#REF!</v>
      </c>
      <c r="AS36" s="778"/>
      <c r="AW36" s="236" t="e">
        <v>#REF!</v>
      </c>
    </row>
    <row r="37" spans="1:49" s="167" customFormat="1" ht="18" customHeight="1">
      <c r="A37" s="737"/>
      <c r="B37" s="740"/>
      <c r="C37" s="742" t="str">
        <f>C35</f>
        <v>RFQ-007</v>
      </c>
      <c r="D37" s="742" t="str">
        <f>D35</f>
        <v>Demulsifier/Water Clarifier Injection Pump</v>
      </c>
      <c r="E37" s="748"/>
      <c r="F37" s="755"/>
      <c r="G37" s="741" t="str">
        <f>G35</f>
        <v>N</v>
      </c>
      <c r="H37" s="748"/>
      <c r="I37" s="212" t="str">
        <f>I35</f>
        <v>LA</v>
      </c>
      <c r="J37" s="214" t="s">
        <v>67</v>
      </c>
      <c r="K37" s="212"/>
      <c r="L37" s="212"/>
      <c r="M37" s="212"/>
      <c r="N37" s="212"/>
      <c r="O37" s="212"/>
      <c r="P37" s="226"/>
      <c r="Q37" s="227"/>
      <c r="R37" s="212"/>
      <c r="S37" s="212"/>
      <c r="T37" s="212"/>
      <c r="U37" s="212"/>
      <c r="V37" s="212"/>
      <c r="W37" s="228"/>
      <c r="X37" s="212"/>
      <c r="Y37" s="768"/>
      <c r="Z37" s="773"/>
      <c r="AA37" s="773"/>
      <c r="AB37" s="777"/>
      <c r="AC37" s="239">
        <f>IF(ISERROR(LOOKUP(AC$16,$L37:$X37,#REF!)),0,(LOOKUP(AC$16,$L37:$X37,#REF!)))</f>
        <v>0</v>
      </c>
      <c r="AD37" s="240">
        <f>IF(ISERROR(LOOKUP(AD$16,$L37:$X37,#REF!)),0,(LOOKUP(AD$16,$L37:$X37,#REF!)))</f>
        <v>0</v>
      </c>
      <c r="AE37" s="240">
        <f>IF(ISERROR(LOOKUP(AE$16,$L37:$X37,#REF!)),0,(LOOKUP(AE$16,$L37:$X37,#REF!)))</f>
        <v>0</v>
      </c>
      <c r="AF37" s="240">
        <f>IF(ISERROR(LOOKUP(AF$16,$L37:$X37,#REF!)),0,(LOOKUP(AF$16,$L37:$X37,#REF!)))</f>
        <v>0</v>
      </c>
      <c r="AG37" s="240">
        <f>IF(ISERROR(LOOKUP(AG$16,$L37:$X37,#REF!)),0,(LOOKUP(AG$16,$L37:$X37,#REF!)))</f>
        <v>0</v>
      </c>
      <c r="AH37" s="240">
        <f>IF(ISERROR(LOOKUP(AH$16,$L37:$X37,#REF!)),0,(LOOKUP(AH$16,$L37:$X37,#REF!)))</f>
        <v>0</v>
      </c>
      <c r="AI37" s="240">
        <f>IF(ISERROR(LOOKUP(AI$16,$L37:$X37,#REF!)),0,(LOOKUP(AI$16,$L37:$X37,#REF!)))</f>
        <v>0</v>
      </c>
      <c r="AJ37" s="240">
        <f>IF(ISERROR(LOOKUP(AJ$16,$L37:$X37,#REF!)),0,(LOOKUP(AJ$16,$L37:$X37,#REF!)))</f>
        <v>0</v>
      </c>
      <c r="AK37" s="240">
        <f>IF(ISERROR(LOOKUP(AK$16,$L37:$X37,#REF!)),0,(LOOKUP(AK$16,$L37:$X37,#REF!)))</f>
        <v>0</v>
      </c>
      <c r="AL37" s="240">
        <f>IF(ISERROR(LOOKUP(AL$16,$L37:$X37,#REF!)),0,(LOOKUP(AL$16,$L37:$X37,#REF!)))</f>
        <v>0</v>
      </c>
      <c r="AM37" s="240">
        <f ca="1">IF(ISERROR(LOOKUP(AM$16,$L37:$X37,#REF!)),0,(LOOKUP(AM$16,$L37:$X37,#REF!)))</f>
        <v>0</v>
      </c>
      <c r="AO37" s="166">
        <f t="shared" si="0"/>
        <v>0</v>
      </c>
      <c r="AP37" s="212"/>
      <c r="AQ37" s="212"/>
      <c r="AR37" s="212"/>
      <c r="AS37" s="778"/>
      <c r="AW37" s="236" t="e">
        <v>#REF!</v>
      </c>
    </row>
    <row r="38" spans="1:49" s="168" customFormat="1" ht="18" customHeight="1">
      <c r="A38" s="737">
        <f>A35+1</f>
        <v>8</v>
      </c>
      <c r="B38" s="738"/>
      <c r="C38" s="744" t="s">
        <v>5247</v>
      </c>
      <c r="D38" s="744" t="s">
        <v>5248</v>
      </c>
      <c r="E38" s="746"/>
      <c r="F38" s="744" t="s">
        <v>59</v>
      </c>
      <c r="G38" s="741" t="str">
        <f>IF(_xlfn.XLOOKUP(C38,'[38]Before Award'!D:D,'[38]Before Award'!AV:AV,"N/A")="N/A","N","Y")</f>
        <v>N</v>
      </c>
      <c r="H38" s="746"/>
      <c r="I38" s="212" t="s">
        <v>5249</v>
      </c>
      <c r="J38" s="214" t="s">
        <v>5236</v>
      </c>
      <c r="K38" s="215">
        <v>46162</v>
      </c>
      <c r="L38" s="215">
        <v>46163</v>
      </c>
      <c r="M38" s="215">
        <v>46168</v>
      </c>
      <c r="N38" s="215">
        <v>46169</v>
      </c>
      <c r="O38" s="215">
        <v>46174</v>
      </c>
      <c r="P38" s="216">
        <f>U38-L38</f>
        <v>71</v>
      </c>
      <c r="Q38" s="217"/>
      <c r="R38" s="215">
        <v>46188</v>
      </c>
      <c r="S38" s="215">
        <v>46216</v>
      </c>
      <c r="T38" s="215">
        <v>46219</v>
      </c>
      <c r="U38" s="215">
        <v>46234</v>
      </c>
      <c r="V38" s="215">
        <v>46241</v>
      </c>
      <c r="W38" s="218">
        <v>26</v>
      </c>
      <c r="X38" s="215">
        <v>46416</v>
      </c>
      <c r="Y38" s="768">
        <f>W38*7</f>
        <v>182</v>
      </c>
      <c r="Z38" s="773">
        <v>46416</v>
      </c>
      <c r="AA38" s="773">
        <v>46416</v>
      </c>
      <c r="AB38" s="777">
        <f>Z38-X39</f>
        <v>0</v>
      </c>
      <c r="AC38" s="242">
        <f>IF(ISERROR(LOOKUP(AC$16,$L38:$X38,#REF!)),0,(LOOKUP(AC$16,$L38:$X38,#REF!)))</f>
        <v>0</v>
      </c>
      <c r="AD38" s="243">
        <f>IF(ISERROR(LOOKUP(AD$16,$L38:$X38,#REF!)),0,(LOOKUP(AD$16,$L38:$X38,#REF!)))</f>
        <v>0</v>
      </c>
      <c r="AE38" s="243">
        <f>IF(ISERROR(LOOKUP(AE$16,$L38:$X38,#REF!)),0,(LOOKUP(AE$16,$L38:$X38,#REF!)))</f>
        <v>0</v>
      </c>
      <c r="AF38" s="243">
        <f>IF(ISERROR(LOOKUP(AF$16,$L38:$X38,#REF!)),0,(LOOKUP(AF$16,$L38:$X38,#REF!)))</f>
        <v>0</v>
      </c>
      <c r="AG38" s="243">
        <f>IF(ISERROR(LOOKUP(AG$16,$L38:$X38,#REF!)),0,(LOOKUP(AG$16,$L38:$X38,#REF!)))</f>
        <v>0</v>
      </c>
      <c r="AH38" s="243">
        <f>IF(ISERROR(LOOKUP(AH$16,$L38:$X38,#REF!)),0,(LOOKUP(AH$16,$L38:$X38,#REF!)))</f>
        <v>0</v>
      </c>
      <c r="AI38" s="243">
        <f>IF(ISERROR(LOOKUP(AI$16,$L38:$X38,#REF!)),0,(LOOKUP(AI$16,$L38:$X38,#REF!)))</f>
        <v>0</v>
      </c>
      <c r="AJ38" s="243">
        <f>IF(ISERROR(LOOKUP(AJ$16,$L38:$X38,#REF!)),0,(LOOKUP(AJ$16,$L38:$X38,#REF!)))</f>
        <v>0</v>
      </c>
      <c r="AK38" s="243">
        <f>IF(ISERROR(LOOKUP(AK$16,$L38:$X38,#REF!)),0,(LOOKUP(AK$16,$L38:$X38,#REF!)))</f>
        <v>0</v>
      </c>
      <c r="AL38" s="243">
        <f>IF(ISERROR(LOOKUP(AL$16,$L38:$X38,#REF!)),0,(LOOKUP(AL$16,$L38:$X38,#REF!)))</f>
        <v>0</v>
      </c>
      <c r="AM38" s="243">
        <f ca="1">IF(ISERROR(LOOKUP(AM$16,$L38:$X38,#REF!)),0,(LOOKUP(AM$16,$L38:$X38,#REF!)))</f>
        <v>0</v>
      </c>
      <c r="AO38" s="166">
        <f t="shared" si="0"/>
        <v>15</v>
      </c>
      <c r="AP38" s="215">
        <v>46223</v>
      </c>
      <c r="AQ38" s="215">
        <v>46227</v>
      </c>
      <c r="AR38" s="215">
        <v>46227</v>
      </c>
      <c r="AS38" s="778">
        <v>14</v>
      </c>
      <c r="AW38" s="244" t="e">
        <v>#REF!</v>
      </c>
    </row>
    <row r="39" spans="1:49" s="168" customFormat="1" ht="18" customHeight="1">
      <c r="A39" s="737"/>
      <c r="B39" s="739"/>
      <c r="C39" s="744" t="str">
        <f>C38</f>
        <v>RFQ-008</v>
      </c>
      <c r="D39" s="744" t="str">
        <f>D38</f>
        <v>De-Oiler Hydrocyclone</v>
      </c>
      <c r="E39" s="747"/>
      <c r="F39" s="744"/>
      <c r="G39" s="741" t="str">
        <f>G38</f>
        <v>N</v>
      </c>
      <c r="H39" s="747"/>
      <c r="I39" s="212" t="str">
        <f>I38</f>
        <v/>
      </c>
      <c r="J39" s="214" t="s">
        <v>65</v>
      </c>
      <c r="K39" s="215">
        <v>46162</v>
      </c>
      <c r="L39" s="215">
        <v>46163</v>
      </c>
      <c r="M39" s="215">
        <v>46168</v>
      </c>
      <c r="N39" s="215">
        <v>46169</v>
      </c>
      <c r="O39" s="215">
        <v>46174</v>
      </c>
      <c r="P39" s="216"/>
      <c r="Q39" s="217"/>
      <c r="R39" s="215">
        <v>46188</v>
      </c>
      <c r="S39" s="215">
        <v>46216</v>
      </c>
      <c r="T39" s="215">
        <v>46219</v>
      </c>
      <c r="U39" s="215">
        <v>46234</v>
      </c>
      <c r="V39" s="215">
        <v>46241</v>
      </c>
      <c r="W39" s="218"/>
      <c r="X39" s="215">
        <v>46416</v>
      </c>
      <c r="Y39" s="768"/>
      <c r="Z39" s="773"/>
      <c r="AA39" s="773"/>
      <c r="AB39" s="777"/>
      <c r="AC39" s="242">
        <f>IF(ISERROR(LOOKUP(AC$16,$L39:$X39,#REF!)),0,(LOOKUP(AC$16,$L39:$X39,#REF!)))</f>
        <v>0</v>
      </c>
      <c r="AD39" s="243">
        <f>IF(ISERROR(LOOKUP(AD$16,$L39:$X39,#REF!)),0,(LOOKUP(AD$16,$L39:$X39,#REF!)))</f>
        <v>0</v>
      </c>
      <c r="AE39" s="243">
        <f>IF(ISERROR(LOOKUP(AE$16,$L39:$X39,#REF!)),0,(LOOKUP(AE$16,$L39:$X39,#REF!)))</f>
        <v>0</v>
      </c>
      <c r="AF39" s="243">
        <f>IF(ISERROR(LOOKUP(AF$16,$L39:$X39,#REF!)),0,(LOOKUP(AF$16,$L39:$X39,#REF!)))</f>
        <v>0</v>
      </c>
      <c r="AG39" s="243">
        <f>IF(ISERROR(LOOKUP(AG$16,$L39:$X39,#REF!)),0,(LOOKUP(AG$16,$L39:$X39,#REF!)))</f>
        <v>0</v>
      </c>
      <c r="AH39" s="243">
        <f>IF(ISERROR(LOOKUP(AH$16,$L39:$X39,#REF!)),0,(LOOKUP(AH$16,$L39:$X39,#REF!)))</f>
        <v>0</v>
      </c>
      <c r="AI39" s="243">
        <f>IF(ISERROR(LOOKUP(AI$16,$L39:$X39,#REF!)),0,(LOOKUP(AI$16,$L39:$X39,#REF!)))</f>
        <v>0</v>
      </c>
      <c r="AJ39" s="243">
        <f>IF(ISERROR(LOOKUP(AJ$16,$L39:$X39,#REF!)),0,(LOOKUP(AJ$16,$L39:$X39,#REF!)))</f>
        <v>0</v>
      </c>
      <c r="AK39" s="243">
        <f>IF(ISERROR(LOOKUP(AK$16,$L39:$X39,#REF!)),0,(LOOKUP(AK$16,$L39:$X39,#REF!)))</f>
        <v>0</v>
      </c>
      <c r="AL39" s="243">
        <f>IF(ISERROR(LOOKUP(AL$16,$L39:$X39,#REF!)),0,(LOOKUP(AL$16,$L39:$X39,#REF!)))</f>
        <v>0</v>
      </c>
      <c r="AM39" s="243">
        <f ca="1">IF(ISERROR(LOOKUP(AM$16,$L39:$X39,#REF!)),0,(LOOKUP(AM$16,$L39:$X39,#REF!)))</f>
        <v>0</v>
      </c>
      <c r="AO39" s="166">
        <f t="shared" si="0"/>
        <v>15</v>
      </c>
      <c r="AP39" s="215">
        <v>46223</v>
      </c>
      <c r="AQ39" s="215">
        <v>46227</v>
      </c>
      <c r="AR39" s="215">
        <v>46234</v>
      </c>
      <c r="AS39" s="778"/>
      <c r="AW39" s="244" t="e">
        <v>#REF!</v>
      </c>
    </row>
    <row r="40" spans="1:49" s="168" customFormat="1" ht="18" customHeight="1">
      <c r="A40" s="737"/>
      <c r="B40" s="740"/>
      <c r="C40" s="745" t="str">
        <f>C38</f>
        <v>RFQ-008</v>
      </c>
      <c r="D40" s="745" t="str">
        <f>D38</f>
        <v>De-Oiler Hydrocyclone</v>
      </c>
      <c r="E40" s="748"/>
      <c r="F40" s="745"/>
      <c r="G40" s="741" t="str">
        <f>G38</f>
        <v>N</v>
      </c>
      <c r="H40" s="748"/>
      <c r="I40" s="212" t="str">
        <f>I38</f>
        <v/>
      </c>
      <c r="J40" s="214" t="s">
        <v>67</v>
      </c>
      <c r="K40" s="212"/>
      <c r="L40" s="212"/>
      <c r="M40" s="212"/>
      <c r="N40" s="212"/>
      <c r="O40" s="212"/>
      <c r="P40" s="226"/>
      <c r="Q40" s="227"/>
      <c r="R40" s="212"/>
      <c r="S40" s="212"/>
      <c r="T40" s="212"/>
      <c r="U40" s="212"/>
      <c r="V40" s="212"/>
      <c r="W40" s="228"/>
      <c r="X40" s="212"/>
      <c r="Y40" s="768"/>
      <c r="Z40" s="773"/>
      <c r="AA40" s="773"/>
      <c r="AB40" s="777"/>
      <c r="AC40" s="246">
        <f>IF(ISERROR(LOOKUP(AC$16,$L40:$X40,#REF!)),0,(LOOKUP(AC$16,$L40:$X40,#REF!)))</f>
        <v>0</v>
      </c>
      <c r="AD40" s="247">
        <f>IF(ISERROR(LOOKUP(AD$16,$L40:$X40,#REF!)),0,(LOOKUP(AD$16,$L40:$X40,#REF!)))</f>
        <v>0</v>
      </c>
      <c r="AE40" s="247">
        <f>IF(ISERROR(LOOKUP(AE$16,$L40:$X40,#REF!)),0,(LOOKUP(AE$16,$L40:$X40,#REF!)))</f>
        <v>0</v>
      </c>
      <c r="AF40" s="247">
        <f>IF(ISERROR(LOOKUP(AF$16,$L40:$X40,#REF!)),0,(LOOKUP(AF$16,$L40:$X40,#REF!)))</f>
        <v>0</v>
      </c>
      <c r="AG40" s="247">
        <f>IF(ISERROR(LOOKUP(AG$16,$L40:$X40,#REF!)),0,(LOOKUP(AG$16,$L40:$X40,#REF!)))</f>
        <v>0</v>
      </c>
      <c r="AH40" s="247">
        <f>IF(ISERROR(LOOKUP(AH$16,$L40:$X40,#REF!)),0,(LOOKUP(AH$16,$L40:$X40,#REF!)))</f>
        <v>0</v>
      </c>
      <c r="AI40" s="247">
        <f>IF(ISERROR(LOOKUP(AI$16,$L40:$X40,#REF!)),0,(LOOKUP(AI$16,$L40:$X40,#REF!)))</f>
        <v>0</v>
      </c>
      <c r="AJ40" s="247">
        <f>IF(ISERROR(LOOKUP(AJ$16,$L40:$X40,#REF!)),0,(LOOKUP(AJ$16,$L40:$X40,#REF!)))</f>
        <v>0</v>
      </c>
      <c r="AK40" s="247">
        <f>IF(ISERROR(LOOKUP(AK$16,$L40:$X40,#REF!)),0,(LOOKUP(AK$16,$L40:$X40,#REF!)))</f>
        <v>0</v>
      </c>
      <c r="AL40" s="247">
        <f>IF(ISERROR(LOOKUP(AL$16,$L40:$X40,#REF!)),0,(LOOKUP(AL$16,$L40:$X40,#REF!)))</f>
        <v>0</v>
      </c>
      <c r="AM40" s="247">
        <f ca="1">IF(ISERROR(LOOKUP(AM$16,$L40:$X40,#REF!)),0,(LOOKUP(AM$16,$L40:$X40,#REF!)))</f>
        <v>0</v>
      </c>
      <c r="AO40" s="166">
        <f t="shared" si="0"/>
        <v>0</v>
      </c>
      <c r="AP40" s="212"/>
      <c r="AQ40" s="212"/>
      <c r="AR40" s="212"/>
      <c r="AS40" s="778"/>
      <c r="AW40" s="244" t="e">
        <v>#REF!</v>
      </c>
    </row>
    <row r="41" spans="1:49" s="168" customFormat="1" ht="18" customHeight="1">
      <c r="A41" s="737">
        <f>A38+1</f>
        <v>9</v>
      </c>
      <c r="B41" s="738"/>
      <c r="C41" s="744" t="s">
        <v>5250</v>
      </c>
      <c r="D41" s="744" t="s">
        <v>5251</v>
      </c>
      <c r="E41" s="746"/>
      <c r="F41" s="744" t="s">
        <v>59</v>
      </c>
      <c r="G41" s="741" t="str">
        <f>IF(_xlfn.XLOOKUP(C41,'[38]Before Award'!D:D,'[38]Before Award'!AV:AV,"N/A")="N/A","N","Y")</f>
        <v>N</v>
      </c>
      <c r="H41" s="746"/>
      <c r="I41" s="212" t="s">
        <v>6</v>
      </c>
      <c r="J41" s="214" t="s">
        <v>5236</v>
      </c>
      <c r="K41" s="215">
        <v>46162</v>
      </c>
      <c r="L41" s="215">
        <v>46163</v>
      </c>
      <c r="M41" s="215">
        <v>46168</v>
      </c>
      <c r="N41" s="215">
        <v>46169</v>
      </c>
      <c r="O41" s="215">
        <v>46174</v>
      </c>
      <c r="P41" s="216">
        <f>U41-L41</f>
        <v>71</v>
      </c>
      <c r="Q41" s="217"/>
      <c r="R41" s="215">
        <v>46188</v>
      </c>
      <c r="S41" s="215">
        <v>46216</v>
      </c>
      <c r="T41" s="215">
        <v>46219</v>
      </c>
      <c r="U41" s="215">
        <v>46234</v>
      </c>
      <c r="V41" s="215">
        <v>46241</v>
      </c>
      <c r="W41" s="218">
        <v>26</v>
      </c>
      <c r="X41" s="215">
        <v>46416</v>
      </c>
      <c r="Y41" s="768">
        <f>W41*7</f>
        <v>182</v>
      </c>
      <c r="Z41" s="773">
        <v>46416</v>
      </c>
      <c r="AA41" s="773">
        <v>46416</v>
      </c>
      <c r="AB41" s="777">
        <f>Z41-X42</f>
        <v>0</v>
      </c>
      <c r="AC41" s="242">
        <f>IF(ISERROR(LOOKUP(AC$16,$L41:$X41,#REF!)),0,(LOOKUP(AC$16,$L41:$X41,#REF!)))</f>
        <v>0</v>
      </c>
      <c r="AD41" s="243">
        <f>IF(ISERROR(LOOKUP(AD$16,$L41:$X41,#REF!)),0,(LOOKUP(AD$16,$L41:$X41,#REF!)))</f>
        <v>0</v>
      </c>
      <c r="AE41" s="243">
        <f>IF(ISERROR(LOOKUP(AE$16,$L41:$X41,#REF!)),0,(LOOKUP(AE$16,$L41:$X41,#REF!)))</f>
        <v>0</v>
      </c>
      <c r="AF41" s="243">
        <f>IF(ISERROR(LOOKUP(AF$16,$L41:$X41,#REF!)),0,(LOOKUP(AF$16,$L41:$X41,#REF!)))</f>
        <v>0</v>
      </c>
      <c r="AG41" s="243">
        <f>IF(ISERROR(LOOKUP(AG$16,$L41:$X41,#REF!)),0,(LOOKUP(AG$16,$L41:$X41,#REF!)))</f>
        <v>0</v>
      </c>
      <c r="AH41" s="243">
        <f>IF(ISERROR(LOOKUP(AH$16,$L41:$X41,#REF!)),0,(LOOKUP(AH$16,$L41:$X41,#REF!)))</f>
        <v>0</v>
      </c>
      <c r="AI41" s="243">
        <f>IF(ISERROR(LOOKUP(AI$16,$L41:$X41,#REF!)),0,(LOOKUP(AI$16,$L41:$X41,#REF!)))</f>
        <v>0</v>
      </c>
      <c r="AJ41" s="243">
        <f>IF(ISERROR(LOOKUP(AJ$16,$L41:$X41,#REF!)),0,(LOOKUP(AJ$16,$L41:$X41,#REF!)))</f>
        <v>0</v>
      </c>
      <c r="AK41" s="243">
        <f>IF(ISERROR(LOOKUP(AK$16,$L41:$X41,#REF!)),0,(LOOKUP(AK$16,$L41:$X41,#REF!)))</f>
        <v>0</v>
      </c>
      <c r="AL41" s="243">
        <f>IF(ISERROR(LOOKUP(AL$16,$L41:$X41,#REF!)),0,(LOOKUP(AL$16,$L41:$X41,#REF!)))</f>
        <v>0</v>
      </c>
      <c r="AM41" s="243">
        <f ca="1">IF(ISERROR(LOOKUP(AM$16,$L41:$X41,#REF!)),0,(LOOKUP(AM$16,$L41:$X41,#REF!)))</f>
        <v>0</v>
      </c>
      <c r="AO41" s="166">
        <f t="shared" si="0"/>
        <v>15</v>
      </c>
      <c r="AP41" s="215">
        <v>46223</v>
      </c>
      <c r="AQ41" s="215">
        <v>46227</v>
      </c>
      <c r="AR41" s="215">
        <v>46227</v>
      </c>
      <c r="AS41" s="778">
        <v>14</v>
      </c>
      <c r="AW41" s="244" t="e">
        <v>#REF!</v>
      </c>
    </row>
    <row r="42" spans="1:49" s="168" customFormat="1" ht="18" customHeight="1">
      <c r="A42" s="737"/>
      <c r="B42" s="739"/>
      <c r="C42" s="744" t="str">
        <f>C41</f>
        <v>RFQ-009</v>
      </c>
      <c r="D42" s="744" t="str">
        <f>D41</f>
        <v>Degasser</v>
      </c>
      <c r="E42" s="747"/>
      <c r="F42" s="744"/>
      <c r="G42" s="741" t="str">
        <f>G41</f>
        <v>N</v>
      </c>
      <c r="H42" s="747"/>
      <c r="I42" s="212" t="str">
        <f>I41</f>
        <v>LA</v>
      </c>
      <c r="J42" s="214" t="s">
        <v>65</v>
      </c>
      <c r="K42" s="215">
        <v>46162</v>
      </c>
      <c r="L42" s="215">
        <v>46163</v>
      </c>
      <c r="M42" s="215">
        <v>46168</v>
      </c>
      <c r="N42" s="215">
        <v>46169</v>
      </c>
      <c r="O42" s="215">
        <v>46174</v>
      </c>
      <c r="P42" s="216"/>
      <c r="Q42" s="217"/>
      <c r="R42" s="215">
        <v>46188</v>
      </c>
      <c r="S42" s="215">
        <v>46216</v>
      </c>
      <c r="T42" s="215">
        <v>46219</v>
      </c>
      <c r="U42" s="215">
        <v>46234</v>
      </c>
      <c r="V42" s="215">
        <v>46241</v>
      </c>
      <c r="W42" s="218"/>
      <c r="X42" s="215">
        <v>46416</v>
      </c>
      <c r="Y42" s="768"/>
      <c r="Z42" s="773"/>
      <c r="AA42" s="773"/>
      <c r="AB42" s="777"/>
      <c r="AC42" s="242">
        <f>IF(ISERROR(LOOKUP(AC$16,$L42:$X42,#REF!)),0,(LOOKUP(AC$16,$L42:$X42,#REF!)))</f>
        <v>0</v>
      </c>
      <c r="AD42" s="243">
        <f>IF(ISERROR(LOOKUP(AD$16,$L42:$X42,#REF!)),0,(LOOKUP(AD$16,$L42:$X42,#REF!)))</f>
        <v>0</v>
      </c>
      <c r="AE42" s="243">
        <f>IF(ISERROR(LOOKUP(AE$16,$L42:$X42,#REF!)),0,(LOOKUP(AE$16,$L42:$X42,#REF!)))</f>
        <v>0</v>
      </c>
      <c r="AF42" s="243">
        <f>IF(ISERROR(LOOKUP(AF$16,$L42:$X42,#REF!)),0,(LOOKUP(AF$16,$L42:$X42,#REF!)))</f>
        <v>0</v>
      </c>
      <c r="AG42" s="243">
        <f>IF(ISERROR(LOOKUP(AG$16,$L42:$X42,#REF!)),0,(LOOKUP(AG$16,$L42:$X42,#REF!)))</f>
        <v>0</v>
      </c>
      <c r="AH42" s="243">
        <f>IF(ISERROR(LOOKUP(AH$16,$L42:$X42,#REF!)),0,(LOOKUP(AH$16,$L42:$X42,#REF!)))</f>
        <v>0</v>
      </c>
      <c r="AI42" s="243">
        <f>IF(ISERROR(LOOKUP(AI$16,$L42:$X42,#REF!)),0,(LOOKUP(AI$16,$L42:$X42,#REF!)))</f>
        <v>0</v>
      </c>
      <c r="AJ42" s="243">
        <f>IF(ISERROR(LOOKUP(AJ$16,$L42:$X42,#REF!)),0,(LOOKUP(AJ$16,$L42:$X42,#REF!)))</f>
        <v>0</v>
      </c>
      <c r="AK42" s="243">
        <f>IF(ISERROR(LOOKUP(AK$16,$L42:$X42,#REF!)),0,(LOOKUP(AK$16,$L42:$X42,#REF!)))</f>
        <v>0</v>
      </c>
      <c r="AL42" s="243">
        <f>IF(ISERROR(LOOKUP(AL$16,$L42:$X42,#REF!)),0,(LOOKUP(AL$16,$L42:$X42,#REF!)))</f>
        <v>0</v>
      </c>
      <c r="AM42" s="243">
        <f ca="1">IF(ISERROR(LOOKUP(AM$16,$L42:$X42,#REF!)),0,(LOOKUP(AM$16,$L42:$X42,#REF!)))</f>
        <v>0</v>
      </c>
      <c r="AO42" s="166">
        <f t="shared" si="0"/>
        <v>15</v>
      </c>
      <c r="AP42" s="215">
        <v>46223</v>
      </c>
      <c r="AQ42" s="215">
        <v>46227</v>
      </c>
      <c r="AR42" s="215">
        <v>46234</v>
      </c>
      <c r="AS42" s="778"/>
      <c r="AW42" s="244" t="e">
        <v>#REF!</v>
      </c>
    </row>
    <row r="43" spans="1:49" s="168" customFormat="1" ht="18" customHeight="1">
      <c r="A43" s="737"/>
      <c r="B43" s="740"/>
      <c r="C43" s="745" t="str">
        <f>C41</f>
        <v>RFQ-009</v>
      </c>
      <c r="D43" s="745" t="str">
        <f>D41</f>
        <v>Degasser</v>
      </c>
      <c r="E43" s="748"/>
      <c r="F43" s="745"/>
      <c r="G43" s="741" t="str">
        <f>G41</f>
        <v>N</v>
      </c>
      <c r="H43" s="748"/>
      <c r="I43" s="212" t="str">
        <f>I41</f>
        <v>LA</v>
      </c>
      <c r="J43" s="214" t="s">
        <v>67</v>
      </c>
      <c r="K43" s="212"/>
      <c r="L43" s="212"/>
      <c r="M43" s="212"/>
      <c r="N43" s="212"/>
      <c r="O43" s="212"/>
      <c r="P43" s="226"/>
      <c r="Q43" s="227"/>
      <c r="R43" s="212"/>
      <c r="S43" s="212"/>
      <c r="T43" s="212"/>
      <c r="U43" s="212"/>
      <c r="V43" s="212"/>
      <c r="W43" s="228"/>
      <c r="X43" s="212"/>
      <c r="Y43" s="768"/>
      <c r="Z43" s="773"/>
      <c r="AA43" s="773"/>
      <c r="AB43" s="777"/>
      <c r="AC43" s="246">
        <f>IF(ISERROR(LOOKUP(AC$16,$L43:$X43,#REF!)),0,(LOOKUP(AC$16,$L43:$X43,#REF!)))</f>
        <v>0</v>
      </c>
      <c r="AD43" s="247">
        <f>IF(ISERROR(LOOKUP(AD$16,$L43:$X43,#REF!)),0,(LOOKUP(AD$16,$L43:$X43,#REF!)))</f>
        <v>0</v>
      </c>
      <c r="AE43" s="247">
        <f>IF(ISERROR(LOOKUP(AE$16,$L43:$X43,#REF!)),0,(LOOKUP(AE$16,$L43:$X43,#REF!)))</f>
        <v>0</v>
      </c>
      <c r="AF43" s="247">
        <f>IF(ISERROR(LOOKUP(AF$16,$L43:$X43,#REF!)),0,(LOOKUP(AF$16,$L43:$X43,#REF!)))</f>
        <v>0</v>
      </c>
      <c r="AG43" s="247">
        <f>IF(ISERROR(LOOKUP(AG$16,$L43:$X43,#REF!)),0,(LOOKUP(AG$16,$L43:$X43,#REF!)))</f>
        <v>0</v>
      </c>
      <c r="AH43" s="247">
        <f>IF(ISERROR(LOOKUP(AH$16,$L43:$X43,#REF!)),0,(LOOKUP(AH$16,$L43:$X43,#REF!)))</f>
        <v>0</v>
      </c>
      <c r="AI43" s="247">
        <f>IF(ISERROR(LOOKUP(AI$16,$L43:$X43,#REF!)),0,(LOOKUP(AI$16,$L43:$X43,#REF!)))</f>
        <v>0</v>
      </c>
      <c r="AJ43" s="247">
        <f>IF(ISERROR(LOOKUP(AJ$16,$L43:$X43,#REF!)),0,(LOOKUP(AJ$16,$L43:$X43,#REF!)))</f>
        <v>0</v>
      </c>
      <c r="AK43" s="247">
        <f>IF(ISERROR(LOOKUP(AK$16,$L43:$X43,#REF!)),0,(LOOKUP(AK$16,$L43:$X43,#REF!)))</f>
        <v>0</v>
      </c>
      <c r="AL43" s="247">
        <f>IF(ISERROR(LOOKUP(AL$16,$L43:$X43,#REF!)),0,(LOOKUP(AL$16,$L43:$X43,#REF!)))</f>
        <v>0</v>
      </c>
      <c r="AM43" s="247">
        <f ca="1">IF(ISERROR(LOOKUP(AM$16,$L43:$X43,#REF!)),0,(LOOKUP(AM$16,$L43:$X43,#REF!)))</f>
        <v>0</v>
      </c>
      <c r="AO43" s="166">
        <f t="shared" si="0"/>
        <v>0</v>
      </c>
      <c r="AP43" s="212"/>
      <c r="AQ43" s="212"/>
      <c r="AR43" s="212"/>
      <c r="AS43" s="778"/>
      <c r="AW43" s="244" t="e">
        <v>#REF!</v>
      </c>
    </row>
    <row r="44" spans="1:49" s="168" customFormat="1" ht="18.600000000000001" customHeight="1">
      <c r="A44" s="737">
        <f>A41+1</f>
        <v>10</v>
      </c>
      <c r="B44" s="738"/>
      <c r="C44" s="744" t="s">
        <v>5252</v>
      </c>
      <c r="D44" s="744" t="s">
        <v>102</v>
      </c>
      <c r="E44" s="746"/>
      <c r="F44" s="744" t="s">
        <v>59</v>
      </c>
      <c r="G44" s="741" t="str">
        <f>IF(_xlfn.XLOOKUP(C44,'[38]Before Award'!D:D,'[38]Before Award'!AV:AV,"N/A")="N/A","N","Y")</f>
        <v>N</v>
      </c>
      <c r="H44" s="746"/>
      <c r="I44" s="212" t="s">
        <v>6</v>
      </c>
      <c r="J44" s="214" t="s">
        <v>5236</v>
      </c>
      <c r="K44" s="215">
        <v>46162</v>
      </c>
      <c r="L44" s="215">
        <v>46163</v>
      </c>
      <c r="M44" s="215">
        <v>46168</v>
      </c>
      <c r="N44" s="215">
        <v>46169</v>
      </c>
      <c r="O44" s="215">
        <v>46174</v>
      </c>
      <c r="P44" s="216">
        <f>U44-L44</f>
        <v>71</v>
      </c>
      <c r="Q44" s="217"/>
      <c r="R44" s="215">
        <v>46188</v>
      </c>
      <c r="S44" s="215">
        <v>46216</v>
      </c>
      <c r="T44" s="215">
        <v>46219</v>
      </c>
      <c r="U44" s="215">
        <v>46234</v>
      </c>
      <c r="V44" s="215">
        <v>46241</v>
      </c>
      <c r="W44" s="218">
        <v>26</v>
      </c>
      <c r="X44" s="215">
        <v>46416</v>
      </c>
      <c r="Y44" s="768">
        <f>W44*7</f>
        <v>182</v>
      </c>
      <c r="Z44" s="773">
        <v>46416</v>
      </c>
      <c r="AA44" s="773">
        <v>46416</v>
      </c>
      <c r="AB44" s="777">
        <f>Z44-X45</f>
        <v>0</v>
      </c>
      <c r="AC44" s="242">
        <f>IF(ISERROR(LOOKUP(AC$16,$L44:$X44,#REF!)),0,(LOOKUP(AC$16,$L44:$X44,#REF!)))</f>
        <v>0</v>
      </c>
      <c r="AD44" s="243">
        <f>IF(ISERROR(LOOKUP(AD$16,$L44:$X44,#REF!)),0,(LOOKUP(AD$16,$L44:$X44,#REF!)))</f>
        <v>0</v>
      </c>
      <c r="AE44" s="243">
        <f>IF(ISERROR(LOOKUP(AE$16,$L44:$X44,#REF!)),0,(LOOKUP(AE$16,$L44:$X44,#REF!)))</f>
        <v>0</v>
      </c>
      <c r="AF44" s="243">
        <f>IF(ISERROR(LOOKUP(AF$16,$L44:$X44,#REF!)),0,(LOOKUP(AF$16,$L44:$X44,#REF!)))</f>
        <v>0</v>
      </c>
      <c r="AG44" s="243">
        <f>IF(ISERROR(LOOKUP(AG$16,$L44:$X44,#REF!)),0,(LOOKUP(AG$16,$L44:$X44,#REF!)))</f>
        <v>0</v>
      </c>
      <c r="AH44" s="243">
        <f>IF(ISERROR(LOOKUP(AH$16,$L44:$X44,#REF!)),0,(LOOKUP(AH$16,$L44:$X44,#REF!)))</f>
        <v>0</v>
      </c>
      <c r="AI44" s="243">
        <f>IF(ISERROR(LOOKUP(AI$16,$L44:$X44,#REF!)),0,(LOOKUP(AI$16,$L44:$X44,#REF!)))</f>
        <v>0</v>
      </c>
      <c r="AJ44" s="243">
        <f>IF(ISERROR(LOOKUP(AJ$16,$L44:$X44,#REF!)),0,(LOOKUP(AJ$16,$L44:$X44,#REF!)))</f>
        <v>0</v>
      </c>
      <c r="AK44" s="243">
        <f>IF(ISERROR(LOOKUP(AK$16,$L44:$X44,#REF!)),0,(LOOKUP(AK$16,$L44:$X44,#REF!)))</f>
        <v>0</v>
      </c>
      <c r="AL44" s="243">
        <f>IF(ISERROR(LOOKUP(AL$16,$L44:$X44,#REF!)),0,(LOOKUP(AL$16,$L44:$X44,#REF!)))</f>
        <v>0</v>
      </c>
      <c r="AM44" s="243">
        <f ca="1">IF(ISERROR(LOOKUP(AM$16,$L44:$X44,#REF!)),0,(LOOKUP(AM$16,$L44:$X44,#REF!)))</f>
        <v>0</v>
      </c>
      <c r="AO44" s="166">
        <f t="shared" si="0"/>
        <v>15</v>
      </c>
      <c r="AP44" s="215">
        <v>46223</v>
      </c>
      <c r="AQ44" s="215">
        <v>46227</v>
      </c>
      <c r="AR44" s="215">
        <v>46227</v>
      </c>
      <c r="AS44" s="778">
        <v>14</v>
      </c>
      <c r="AW44" s="244" t="e">
        <v>#REF!</v>
      </c>
    </row>
    <row r="45" spans="1:49" s="168" customFormat="1" ht="18.600000000000001" customHeight="1">
      <c r="A45" s="737"/>
      <c r="B45" s="739"/>
      <c r="C45" s="744" t="str">
        <f>C44</f>
        <v>RFQ-010</v>
      </c>
      <c r="D45" s="744" t="str">
        <f>D44</f>
        <v>Skim Tank Vessel</v>
      </c>
      <c r="E45" s="747"/>
      <c r="F45" s="744"/>
      <c r="G45" s="741" t="str">
        <f>G44</f>
        <v>N</v>
      </c>
      <c r="H45" s="747"/>
      <c r="I45" s="212" t="str">
        <f>I44</f>
        <v>LA</v>
      </c>
      <c r="J45" s="214" t="s">
        <v>65</v>
      </c>
      <c r="K45" s="215">
        <v>46162</v>
      </c>
      <c r="L45" s="215">
        <v>46163</v>
      </c>
      <c r="M45" s="215">
        <v>46168</v>
      </c>
      <c r="N45" s="215">
        <v>46169</v>
      </c>
      <c r="O45" s="215">
        <v>46174</v>
      </c>
      <c r="P45" s="216"/>
      <c r="Q45" s="217"/>
      <c r="R45" s="215">
        <v>46188</v>
      </c>
      <c r="S45" s="215">
        <v>46216</v>
      </c>
      <c r="T45" s="215">
        <v>46219</v>
      </c>
      <c r="U45" s="215">
        <v>46234</v>
      </c>
      <c r="V45" s="215">
        <v>46241</v>
      </c>
      <c r="W45" s="218"/>
      <c r="X45" s="215">
        <v>46416</v>
      </c>
      <c r="Y45" s="768"/>
      <c r="Z45" s="773"/>
      <c r="AA45" s="773"/>
      <c r="AB45" s="777"/>
      <c r="AC45" s="242">
        <f>IF(ISERROR(LOOKUP(AC$16,$L45:$X45,#REF!)),0,(LOOKUP(AC$16,$L45:$X45,#REF!)))</f>
        <v>0</v>
      </c>
      <c r="AD45" s="243">
        <f>IF(ISERROR(LOOKUP(AD$16,$L45:$X45,#REF!)),0,(LOOKUP(AD$16,$L45:$X45,#REF!)))</f>
        <v>0</v>
      </c>
      <c r="AE45" s="243">
        <f>IF(ISERROR(LOOKUP(AE$16,$L45:$X45,#REF!)),0,(LOOKUP(AE$16,$L45:$X45,#REF!)))</f>
        <v>0</v>
      </c>
      <c r="AF45" s="243">
        <f>IF(ISERROR(LOOKUP(AF$16,$L45:$X45,#REF!)),0,(LOOKUP(AF$16,$L45:$X45,#REF!)))</f>
        <v>0</v>
      </c>
      <c r="AG45" s="243">
        <f>IF(ISERROR(LOOKUP(AG$16,$L45:$X45,#REF!)),0,(LOOKUP(AG$16,$L45:$X45,#REF!)))</f>
        <v>0</v>
      </c>
      <c r="AH45" s="243">
        <f>IF(ISERROR(LOOKUP(AH$16,$L45:$X45,#REF!)),0,(LOOKUP(AH$16,$L45:$X45,#REF!)))</f>
        <v>0</v>
      </c>
      <c r="AI45" s="243">
        <f>IF(ISERROR(LOOKUP(AI$16,$L45:$X45,#REF!)),0,(LOOKUP(AI$16,$L45:$X45,#REF!)))</f>
        <v>0</v>
      </c>
      <c r="AJ45" s="243">
        <f>IF(ISERROR(LOOKUP(AJ$16,$L45:$X45,#REF!)),0,(LOOKUP(AJ$16,$L45:$X45,#REF!)))</f>
        <v>0</v>
      </c>
      <c r="AK45" s="243">
        <f>IF(ISERROR(LOOKUP(AK$16,$L45:$X45,#REF!)),0,(LOOKUP(AK$16,$L45:$X45,#REF!)))</f>
        <v>0</v>
      </c>
      <c r="AL45" s="243">
        <f>IF(ISERROR(LOOKUP(AL$16,$L45:$X45,#REF!)),0,(LOOKUP(AL$16,$L45:$X45,#REF!)))</f>
        <v>0</v>
      </c>
      <c r="AM45" s="243">
        <f ca="1">IF(ISERROR(LOOKUP(AM$16,$L45:$X45,#REF!)),0,(LOOKUP(AM$16,$L45:$X45,#REF!)))</f>
        <v>0</v>
      </c>
      <c r="AO45" s="166">
        <f t="shared" si="0"/>
        <v>15</v>
      </c>
      <c r="AP45" s="215">
        <v>46223</v>
      </c>
      <c r="AQ45" s="215">
        <v>46227</v>
      </c>
      <c r="AR45" s="215">
        <v>46234</v>
      </c>
      <c r="AS45" s="778"/>
      <c r="AW45" s="244" t="e">
        <v>#REF!</v>
      </c>
    </row>
    <row r="46" spans="1:49" s="168" customFormat="1" ht="18.600000000000001" customHeight="1">
      <c r="A46" s="737"/>
      <c r="B46" s="740"/>
      <c r="C46" s="745" t="str">
        <f>C44</f>
        <v>RFQ-010</v>
      </c>
      <c r="D46" s="745" t="str">
        <f>D44</f>
        <v>Skim Tank Vessel</v>
      </c>
      <c r="E46" s="748"/>
      <c r="F46" s="745"/>
      <c r="G46" s="741" t="str">
        <f>G44</f>
        <v>N</v>
      </c>
      <c r="H46" s="748"/>
      <c r="I46" s="212" t="str">
        <f>I44</f>
        <v>LA</v>
      </c>
      <c r="J46" s="214" t="s">
        <v>67</v>
      </c>
      <c r="K46" s="212"/>
      <c r="L46" s="212"/>
      <c r="M46" s="212"/>
      <c r="N46" s="212"/>
      <c r="O46" s="212"/>
      <c r="P46" s="226"/>
      <c r="Q46" s="227"/>
      <c r="R46" s="212"/>
      <c r="S46" s="212"/>
      <c r="T46" s="212"/>
      <c r="U46" s="212"/>
      <c r="V46" s="212"/>
      <c r="W46" s="228"/>
      <c r="X46" s="212"/>
      <c r="Y46" s="768"/>
      <c r="Z46" s="773"/>
      <c r="AA46" s="773"/>
      <c r="AB46" s="777"/>
      <c r="AC46" s="246">
        <f>IF(ISERROR(LOOKUP(AC$16,$L46:$X46,#REF!)),0,(LOOKUP(AC$16,$L46:$X46,#REF!)))</f>
        <v>0</v>
      </c>
      <c r="AD46" s="247">
        <f>IF(ISERROR(LOOKUP(AD$16,$L46:$X46,#REF!)),0,(LOOKUP(AD$16,$L46:$X46,#REF!)))</f>
        <v>0</v>
      </c>
      <c r="AE46" s="247">
        <f>IF(ISERROR(LOOKUP(AE$16,$L46:$X46,#REF!)),0,(LOOKUP(AE$16,$L46:$X46,#REF!)))</f>
        <v>0</v>
      </c>
      <c r="AF46" s="247">
        <f>IF(ISERROR(LOOKUP(AF$16,$L46:$X46,#REF!)),0,(LOOKUP(AF$16,$L46:$X46,#REF!)))</f>
        <v>0</v>
      </c>
      <c r="AG46" s="247">
        <f>IF(ISERROR(LOOKUP(AG$16,$L46:$X46,#REF!)),0,(LOOKUP(AG$16,$L46:$X46,#REF!)))</f>
        <v>0</v>
      </c>
      <c r="AH46" s="247">
        <f>IF(ISERROR(LOOKUP(AH$16,$L46:$X46,#REF!)),0,(LOOKUP(AH$16,$L46:$X46,#REF!)))</f>
        <v>0</v>
      </c>
      <c r="AI46" s="247">
        <f>IF(ISERROR(LOOKUP(AI$16,$L46:$X46,#REF!)),0,(LOOKUP(AI$16,$L46:$X46,#REF!)))</f>
        <v>0</v>
      </c>
      <c r="AJ46" s="247">
        <f>IF(ISERROR(LOOKUP(AJ$16,$L46:$X46,#REF!)),0,(LOOKUP(AJ$16,$L46:$X46,#REF!)))</f>
        <v>0</v>
      </c>
      <c r="AK46" s="247">
        <f>IF(ISERROR(LOOKUP(AK$16,$L46:$X46,#REF!)),0,(LOOKUP(AK$16,$L46:$X46,#REF!)))</f>
        <v>0</v>
      </c>
      <c r="AL46" s="247">
        <f>IF(ISERROR(LOOKUP(AL$16,$L46:$X46,#REF!)),0,(LOOKUP(AL$16,$L46:$X46,#REF!)))</f>
        <v>0</v>
      </c>
      <c r="AM46" s="247">
        <f ca="1">IF(ISERROR(LOOKUP(AM$16,$L46:$X46,#REF!)),0,(LOOKUP(AM$16,$L46:$X46,#REF!)))</f>
        <v>0</v>
      </c>
      <c r="AO46" s="166">
        <f t="shared" si="0"/>
        <v>0</v>
      </c>
      <c r="AP46" s="212"/>
      <c r="AQ46" s="212"/>
      <c r="AR46" s="212"/>
      <c r="AS46" s="778"/>
      <c r="AW46" s="244" t="e">
        <v>#REF!</v>
      </c>
    </row>
    <row r="47" spans="1:49" s="168" customFormat="1" ht="18.600000000000001" customHeight="1">
      <c r="A47" s="737">
        <f>A44+1</f>
        <v>11</v>
      </c>
      <c r="B47" s="738"/>
      <c r="C47" s="744" t="s">
        <v>5253</v>
      </c>
      <c r="D47" s="744" t="s">
        <v>105</v>
      </c>
      <c r="E47" s="746"/>
      <c r="F47" s="744" t="s">
        <v>59</v>
      </c>
      <c r="G47" s="741" t="s">
        <v>64</v>
      </c>
      <c r="H47" s="746"/>
      <c r="I47" s="212" t="s">
        <v>6</v>
      </c>
      <c r="J47" s="214" t="s">
        <v>5236</v>
      </c>
      <c r="K47" s="215">
        <v>46183</v>
      </c>
      <c r="L47" s="215">
        <v>46184</v>
      </c>
      <c r="M47" s="215">
        <v>46189</v>
      </c>
      <c r="N47" s="215">
        <v>46190</v>
      </c>
      <c r="O47" s="215">
        <v>46195</v>
      </c>
      <c r="P47" s="216">
        <f>U47-L47</f>
        <v>71</v>
      </c>
      <c r="Q47" s="217"/>
      <c r="R47" s="215">
        <v>46209</v>
      </c>
      <c r="S47" s="215">
        <v>46237</v>
      </c>
      <c r="T47" s="215">
        <v>46240</v>
      </c>
      <c r="U47" s="215">
        <v>46255</v>
      </c>
      <c r="V47" s="215">
        <v>46262</v>
      </c>
      <c r="W47" s="218">
        <v>26</v>
      </c>
      <c r="X47" s="215">
        <v>46437</v>
      </c>
      <c r="Y47" s="768">
        <f>W47*7</f>
        <v>182</v>
      </c>
      <c r="Z47" s="773">
        <v>46437</v>
      </c>
      <c r="AA47" s="773">
        <v>46386</v>
      </c>
      <c r="AB47" s="777">
        <f>Z47-X48</f>
        <v>0</v>
      </c>
      <c r="AC47" s="242">
        <f>IF(ISERROR(LOOKUP(AC$16,$L47:$X47,#REF!)),0,(LOOKUP(AC$16,$L47:$X47,#REF!)))</f>
        <v>0</v>
      </c>
      <c r="AD47" s="243">
        <f>IF(ISERROR(LOOKUP(AD$16,$L47:$X47,#REF!)),0,(LOOKUP(AD$16,$L47:$X47,#REF!)))</f>
        <v>0</v>
      </c>
      <c r="AE47" s="243">
        <f>IF(ISERROR(LOOKUP(AE$16,$L47:$X47,#REF!)),0,(LOOKUP(AE$16,$L47:$X47,#REF!)))</f>
        <v>0</v>
      </c>
      <c r="AF47" s="243">
        <f>IF(ISERROR(LOOKUP(AF$16,$L47:$X47,#REF!)),0,(LOOKUP(AF$16,$L47:$X47,#REF!)))</f>
        <v>0</v>
      </c>
      <c r="AG47" s="243">
        <f>IF(ISERROR(LOOKUP(AG$16,$L47:$X47,#REF!)),0,(LOOKUP(AG$16,$L47:$X47,#REF!)))</f>
        <v>0</v>
      </c>
      <c r="AH47" s="243">
        <f>IF(ISERROR(LOOKUP(AH$16,$L47:$X47,#REF!)),0,(LOOKUP(AH$16,$L47:$X47,#REF!)))</f>
        <v>0</v>
      </c>
      <c r="AI47" s="243">
        <f>IF(ISERROR(LOOKUP(AI$16,$L47:$X47,#REF!)),0,(LOOKUP(AI$16,$L47:$X47,#REF!)))</f>
        <v>0</v>
      </c>
      <c r="AJ47" s="243">
        <f>IF(ISERROR(LOOKUP(AJ$16,$L47:$X47,#REF!)),0,(LOOKUP(AJ$16,$L47:$X47,#REF!)))</f>
        <v>0</v>
      </c>
      <c r="AK47" s="243">
        <f>IF(ISERROR(LOOKUP(AK$16,$L47:$X47,#REF!)),0,(LOOKUP(AK$16,$L47:$X47,#REF!)))</f>
        <v>0</v>
      </c>
      <c r="AL47" s="243">
        <f>IF(ISERROR(LOOKUP(AL$16,$L47:$X47,#REF!)),0,(LOOKUP(AL$16,$L47:$X47,#REF!)))</f>
        <v>0</v>
      </c>
      <c r="AM47" s="243">
        <f ca="1">IF(ISERROR(LOOKUP(AM$16,$L47:$X47,#REF!)),0,(LOOKUP(AM$16,$L47:$X47,#REF!)))</f>
        <v>0</v>
      </c>
      <c r="AO47" s="166">
        <f t="shared" si="0"/>
        <v>15</v>
      </c>
      <c r="AP47" s="215">
        <v>46244</v>
      </c>
      <c r="AQ47" s="215">
        <v>46248</v>
      </c>
      <c r="AR47" s="215">
        <v>46248</v>
      </c>
      <c r="AS47" s="778">
        <v>14</v>
      </c>
      <c r="AW47" s="244" t="e">
        <v>#REF!</v>
      </c>
    </row>
    <row r="48" spans="1:49" s="168" customFormat="1" ht="18.600000000000001" customHeight="1">
      <c r="A48" s="737"/>
      <c r="B48" s="739"/>
      <c r="C48" s="744" t="str">
        <f>C47</f>
        <v>RFQ-011</v>
      </c>
      <c r="D48" s="744" t="str">
        <f>D47</f>
        <v>Closed Drain Sump Vessel</v>
      </c>
      <c r="E48" s="747"/>
      <c r="F48" s="744"/>
      <c r="G48" s="741" t="str">
        <f>G47</f>
        <v>Y</v>
      </c>
      <c r="H48" s="747"/>
      <c r="I48" s="212" t="str">
        <f>I47</f>
        <v>LA</v>
      </c>
      <c r="J48" s="214" t="s">
        <v>65</v>
      </c>
      <c r="K48" s="215">
        <v>46183</v>
      </c>
      <c r="L48" s="215">
        <v>46184</v>
      </c>
      <c r="M48" s="215">
        <v>46189</v>
      </c>
      <c r="N48" s="215">
        <v>46190</v>
      </c>
      <c r="O48" s="215">
        <v>46195</v>
      </c>
      <c r="P48" s="216"/>
      <c r="Q48" s="217"/>
      <c r="R48" s="215">
        <v>46209</v>
      </c>
      <c r="S48" s="215">
        <v>46237</v>
      </c>
      <c r="T48" s="215">
        <v>46240</v>
      </c>
      <c r="U48" s="215">
        <v>46255</v>
      </c>
      <c r="V48" s="215">
        <v>46262</v>
      </c>
      <c r="W48" s="218"/>
      <c r="X48" s="215">
        <v>46437</v>
      </c>
      <c r="Y48" s="768"/>
      <c r="Z48" s="773"/>
      <c r="AA48" s="773"/>
      <c r="AB48" s="777"/>
      <c r="AC48" s="242">
        <f>IF(ISERROR(LOOKUP(AC$16,$L48:$X48,#REF!)),0,(LOOKUP(AC$16,$L48:$X48,#REF!)))</f>
        <v>0</v>
      </c>
      <c r="AD48" s="243">
        <f>IF(ISERROR(LOOKUP(AD$16,$L48:$X48,#REF!)),0,(LOOKUP(AD$16,$L48:$X48,#REF!)))</f>
        <v>0</v>
      </c>
      <c r="AE48" s="243">
        <f>IF(ISERROR(LOOKUP(AE$16,$L48:$X48,#REF!)),0,(LOOKUP(AE$16,$L48:$X48,#REF!)))</f>
        <v>0</v>
      </c>
      <c r="AF48" s="243">
        <f>IF(ISERROR(LOOKUP(AF$16,$L48:$X48,#REF!)),0,(LOOKUP(AF$16,$L48:$X48,#REF!)))</f>
        <v>0</v>
      </c>
      <c r="AG48" s="243">
        <f>IF(ISERROR(LOOKUP(AG$16,$L48:$X48,#REF!)),0,(LOOKUP(AG$16,$L48:$X48,#REF!)))</f>
        <v>0</v>
      </c>
      <c r="AH48" s="243">
        <f>IF(ISERROR(LOOKUP(AH$16,$L48:$X48,#REF!)),0,(LOOKUP(AH$16,$L48:$X48,#REF!)))</f>
        <v>0</v>
      </c>
      <c r="AI48" s="243">
        <f>IF(ISERROR(LOOKUP(AI$16,$L48:$X48,#REF!)),0,(LOOKUP(AI$16,$L48:$X48,#REF!)))</f>
        <v>0</v>
      </c>
      <c r="AJ48" s="243">
        <f>IF(ISERROR(LOOKUP(AJ$16,$L48:$X48,#REF!)),0,(LOOKUP(AJ$16,$L48:$X48,#REF!)))</f>
        <v>0</v>
      </c>
      <c r="AK48" s="243">
        <f>IF(ISERROR(LOOKUP(AK$16,$L48:$X48,#REF!)),0,(LOOKUP(AK$16,$L48:$X48,#REF!)))</f>
        <v>0</v>
      </c>
      <c r="AL48" s="243">
        <f>IF(ISERROR(LOOKUP(AL$16,$L48:$X48,#REF!)),0,(LOOKUP(AL$16,$L48:$X48,#REF!)))</f>
        <v>0</v>
      </c>
      <c r="AM48" s="243">
        <f ca="1">IF(ISERROR(LOOKUP(AM$16,$L48:$X48,#REF!)),0,(LOOKUP(AM$16,$L48:$X48,#REF!)))</f>
        <v>0</v>
      </c>
      <c r="AO48" s="166">
        <f t="shared" si="0"/>
        <v>15</v>
      </c>
      <c r="AP48" s="215">
        <v>46244</v>
      </c>
      <c r="AQ48" s="215">
        <v>46248</v>
      </c>
      <c r="AR48" s="215">
        <v>46255</v>
      </c>
      <c r="AS48" s="778"/>
      <c r="AW48" s="244" t="e">
        <v>#REF!</v>
      </c>
    </row>
    <row r="49" spans="1:49" s="168" customFormat="1" ht="18.600000000000001" customHeight="1">
      <c r="A49" s="737"/>
      <c r="B49" s="740"/>
      <c r="C49" s="745" t="str">
        <f>C47</f>
        <v>RFQ-011</v>
      </c>
      <c r="D49" s="745" t="str">
        <f>D47</f>
        <v>Closed Drain Sump Vessel</v>
      </c>
      <c r="E49" s="748"/>
      <c r="F49" s="745"/>
      <c r="G49" s="741" t="str">
        <f>G47</f>
        <v>Y</v>
      </c>
      <c r="H49" s="748"/>
      <c r="I49" s="212" t="str">
        <f>I47</f>
        <v>LA</v>
      </c>
      <c r="J49" s="214" t="s">
        <v>67</v>
      </c>
      <c r="K49" s="212"/>
      <c r="L49" s="212"/>
      <c r="M49" s="212"/>
      <c r="N49" s="212"/>
      <c r="O49" s="212"/>
      <c r="P49" s="226"/>
      <c r="Q49" s="227"/>
      <c r="R49" s="212"/>
      <c r="S49" s="212"/>
      <c r="T49" s="212"/>
      <c r="U49" s="212"/>
      <c r="V49" s="212"/>
      <c r="W49" s="228"/>
      <c r="X49" s="212"/>
      <c r="Y49" s="768"/>
      <c r="Z49" s="773"/>
      <c r="AA49" s="773"/>
      <c r="AB49" s="777"/>
      <c r="AC49" s="246">
        <f>IF(ISERROR(LOOKUP(AC$16,$L49:$X49,#REF!)),0,(LOOKUP(AC$16,$L49:$X49,#REF!)))</f>
        <v>0</v>
      </c>
      <c r="AD49" s="247">
        <f>IF(ISERROR(LOOKUP(AD$16,$L49:$X49,#REF!)),0,(LOOKUP(AD$16,$L49:$X49,#REF!)))</f>
        <v>0</v>
      </c>
      <c r="AE49" s="247">
        <f>IF(ISERROR(LOOKUP(AE$16,$L49:$X49,#REF!)),0,(LOOKUP(AE$16,$L49:$X49,#REF!)))</f>
        <v>0</v>
      </c>
      <c r="AF49" s="247">
        <f>IF(ISERROR(LOOKUP(AF$16,$L49:$X49,#REF!)),0,(LOOKUP(AF$16,$L49:$X49,#REF!)))</f>
        <v>0</v>
      </c>
      <c r="AG49" s="247">
        <f>IF(ISERROR(LOOKUP(AG$16,$L49:$X49,#REF!)),0,(LOOKUP(AG$16,$L49:$X49,#REF!)))</f>
        <v>0</v>
      </c>
      <c r="AH49" s="247">
        <f>IF(ISERROR(LOOKUP(AH$16,$L49:$X49,#REF!)),0,(LOOKUP(AH$16,$L49:$X49,#REF!)))</f>
        <v>0</v>
      </c>
      <c r="AI49" s="247">
        <f>IF(ISERROR(LOOKUP(AI$16,$L49:$X49,#REF!)),0,(LOOKUP(AI$16,$L49:$X49,#REF!)))</f>
        <v>0</v>
      </c>
      <c r="AJ49" s="247">
        <f>IF(ISERROR(LOOKUP(AJ$16,$L49:$X49,#REF!)),0,(LOOKUP(AJ$16,$L49:$X49,#REF!)))</f>
        <v>0</v>
      </c>
      <c r="AK49" s="247">
        <f>IF(ISERROR(LOOKUP(AK$16,$L49:$X49,#REF!)),0,(LOOKUP(AK$16,$L49:$X49,#REF!)))</f>
        <v>0</v>
      </c>
      <c r="AL49" s="247">
        <f>IF(ISERROR(LOOKUP(AL$16,$L49:$X49,#REF!)),0,(LOOKUP(AL$16,$L49:$X49,#REF!)))</f>
        <v>0</v>
      </c>
      <c r="AM49" s="247">
        <f ca="1">IF(ISERROR(LOOKUP(AM$16,$L49:$X49,#REF!)),0,(LOOKUP(AM$16,$L49:$X49,#REF!)))</f>
        <v>0</v>
      </c>
      <c r="AO49" s="166">
        <f t="shared" si="0"/>
        <v>0</v>
      </c>
      <c r="AP49" s="212"/>
      <c r="AQ49" s="212"/>
      <c r="AR49" s="212"/>
      <c r="AS49" s="778"/>
      <c r="AW49" s="244" t="e">
        <v>#REF!</v>
      </c>
    </row>
    <row r="50" spans="1:49" s="168" customFormat="1" ht="18.600000000000001" customHeight="1">
      <c r="A50" s="737">
        <f>A47+1</f>
        <v>12</v>
      </c>
      <c r="B50" s="738"/>
      <c r="C50" s="744" t="s">
        <v>5254</v>
      </c>
      <c r="D50" s="744" t="s">
        <v>5255</v>
      </c>
      <c r="E50" s="241"/>
      <c r="F50" s="744" t="s">
        <v>59</v>
      </c>
      <c r="G50" s="741" t="str">
        <f>IF(_xlfn.XLOOKUP(C50,'[38]Before Award'!D:D,'[38]Before Award'!AV:AV,"N/A")="N/A","N","Y")</f>
        <v>N</v>
      </c>
      <c r="H50" s="746"/>
      <c r="I50" s="212" t="s">
        <v>6</v>
      </c>
      <c r="J50" s="214" t="s">
        <v>5236</v>
      </c>
      <c r="K50" s="215">
        <v>46204</v>
      </c>
      <c r="L50" s="215">
        <v>46205</v>
      </c>
      <c r="M50" s="215">
        <v>46210</v>
      </c>
      <c r="N50" s="215">
        <v>46211</v>
      </c>
      <c r="O50" s="215">
        <v>46216</v>
      </c>
      <c r="P50" s="216">
        <f>U50-L50</f>
        <v>71</v>
      </c>
      <c r="Q50" s="217"/>
      <c r="R50" s="215">
        <v>46230</v>
      </c>
      <c r="S50" s="215">
        <v>46258</v>
      </c>
      <c r="T50" s="215">
        <v>46261</v>
      </c>
      <c r="U50" s="215">
        <v>46276</v>
      </c>
      <c r="V50" s="215">
        <v>46283</v>
      </c>
      <c r="W50" s="218">
        <v>20</v>
      </c>
      <c r="X50" s="215">
        <v>46416</v>
      </c>
      <c r="Y50" s="768">
        <f>W50*7</f>
        <v>140</v>
      </c>
      <c r="Z50" s="773">
        <v>46416</v>
      </c>
      <c r="AA50" s="773">
        <v>46416</v>
      </c>
      <c r="AB50" s="777">
        <f>Z50-X51</f>
        <v>0</v>
      </c>
      <c r="AC50" s="242">
        <f>IF(ISERROR(LOOKUP(AC$16,$L50:$X50,#REF!)),0,(LOOKUP(AC$16,$L50:$X50,#REF!)))</f>
        <v>0</v>
      </c>
      <c r="AD50" s="243">
        <f>IF(ISERROR(LOOKUP(AD$16,$L50:$X50,#REF!)),0,(LOOKUP(AD$16,$L50:$X50,#REF!)))</f>
        <v>0</v>
      </c>
      <c r="AE50" s="243">
        <f>IF(ISERROR(LOOKUP(AE$16,$L50:$X50,#REF!)),0,(LOOKUP(AE$16,$L50:$X50,#REF!)))</f>
        <v>0</v>
      </c>
      <c r="AF50" s="243">
        <f>IF(ISERROR(LOOKUP(AF$16,$L50:$X50,#REF!)),0,(LOOKUP(AF$16,$L50:$X50,#REF!)))</f>
        <v>0</v>
      </c>
      <c r="AG50" s="243">
        <f>IF(ISERROR(LOOKUP(AG$16,$L50:$X50,#REF!)),0,(LOOKUP(AG$16,$L50:$X50,#REF!)))</f>
        <v>0</v>
      </c>
      <c r="AH50" s="243">
        <f>IF(ISERROR(LOOKUP(AH$16,$L50:$X50,#REF!)),0,(LOOKUP(AH$16,$L50:$X50,#REF!)))</f>
        <v>0</v>
      </c>
      <c r="AI50" s="243">
        <f>IF(ISERROR(LOOKUP(AI$16,$L50:$X50,#REF!)),0,(LOOKUP(AI$16,$L50:$X50,#REF!)))</f>
        <v>0</v>
      </c>
      <c r="AJ50" s="243">
        <f>IF(ISERROR(LOOKUP(AJ$16,$L50:$X50,#REF!)),0,(LOOKUP(AJ$16,$L50:$X50,#REF!)))</f>
        <v>0</v>
      </c>
      <c r="AK50" s="243">
        <f>IF(ISERROR(LOOKUP(AK$16,$L50:$X50,#REF!)),0,(LOOKUP(AK$16,$L50:$X50,#REF!)))</f>
        <v>0</v>
      </c>
      <c r="AL50" s="243">
        <f>IF(ISERROR(LOOKUP(AL$16,$L50:$X50,#REF!)),0,(LOOKUP(AL$16,$L50:$X50,#REF!)))</f>
        <v>0</v>
      </c>
      <c r="AM50" s="243">
        <f ca="1">IF(ISERROR(LOOKUP(AM$16,$L50:$X50,#REF!)),0,(LOOKUP(AM$16,$L50:$X50,#REF!)))</f>
        <v>0</v>
      </c>
      <c r="AO50" s="166">
        <f t="shared" si="0"/>
        <v>15</v>
      </c>
      <c r="AP50" s="215">
        <v>46265</v>
      </c>
      <c r="AQ50" s="215">
        <v>46269</v>
      </c>
      <c r="AR50" s="215">
        <v>46269</v>
      </c>
      <c r="AS50" s="778">
        <v>14</v>
      </c>
      <c r="AW50" s="244" t="e">
        <v>#REF!</v>
      </c>
    </row>
    <row r="51" spans="1:49" s="168" customFormat="1" ht="18.600000000000001" customHeight="1">
      <c r="A51" s="737"/>
      <c r="B51" s="739"/>
      <c r="C51" s="744" t="str">
        <f>C50</f>
        <v>RFQ-012</v>
      </c>
      <c r="D51" s="744" t="str">
        <f>D50</f>
        <v>Storage Tote Tank</v>
      </c>
      <c r="E51" s="241"/>
      <c r="F51" s="744"/>
      <c r="G51" s="741" t="str">
        <f>G50</f>
        <v>N</v>
      </c>
      <c r="H51" s="747"/>
      <c r="I51" s="212" t="str">
        <f>I50</f>
        <v>LA</v>
      </c>
      <c r="J51" s="214" t="s">
        <v>65</v>
      </c>
      <c r="K51" s="215">
        <v>46204</v>
      </c>
      <c r="L51" s="215">
        <v>46205</v>
      </c>
      <c r="M51" s="215">
        <v>46210</v>
      </c>
      <c r="N51" s="215">
        <v>46211</v>
      </c>
      <c r="O51" s="215">
        <v>46216</v>
      </c>
      <c r="P51" s="216"/>
      <c r="Q51" s="217"/>
      <c r="R51" s="215">
        <v>46230</v>
      </c>
      <c r="S51" s="215">
        <v>46258</v>
      </c>
      <c r="T51" s="215">
        <v>46261</v>
      </c>
      <c r="U51" s="215">
        <v>46276</v>
      </c>
      <c r="V51" s="215">
        <v>46283</v>
      </c>
      <c r="W51" s="218"/>
      <c r="X51" s="215">
        <v>46416</v>
      </c>
      <c r="Y51" s="768"/>
      <c r="Z51" s="773"/>
      <c r="AA51" s="773"/>
      <c r="AB51" s="777"/>
      <c r="AC51" s="242">
        <f>IF(ISERROR(LOOKUP(AC$16,$L51:$X51,#REF!)),0,(LOOKUP(AC$16,$L51:$X51,#REF!)))</f>
        <v>0</v>
      </c>
      <c r="AD51" s="243">
        <f>IF(ISERROR(LOOKUP(AD$16,$L51:$X51,#REF!)),0,(LOOKUP(AD$16,$L51:$X51,#REF!)))</f>
        <v>0</v>
      </c>
      <c r="AE51" s="243">
        <f>IF(ISERROR(LOOKUP(AE$16,$L51:$X51,#REF!)),0,(LOOKUP(AE$16,$L51:$X51,#REF!)))</f>
        <v>0</v>
      </c>
      <c r="AF51" s="243">
        <f>IF(ISERROR(LOOKUP(AF$16,$L51:$X51,#REF!)),0,(LOOKUP(AF$16,$L51:$X51,#REF!)))</f>
        <v>0</v>
      </c>
      <c r="AG51" s="243">
        <f>IF(ISERROR(LOOKUP(AG$16,$L51:$X51,#REF!)),0,(LOOKUP(AG$16,$L51:$X51,#REF!)))</f>
        <v>0</v>
      </c>
      <c r="AH51" s="243">
        <f>IF(ISERROR(LOOKUP(AH$16,$L51:$X51,#REF!)),0,(LOOKUP(AH$16,$L51:$X51,#REF!)))</f>
        <v>0</v>
      </c>
      <c r="AI51" s="243">
        <f>IF(ISERROR(LOOKUP(AI$16,$L51:$X51,#REF!)),0,(LOOKUP(AI$16,$L51:$X51,#REF!)))</f>
        <v>0</v>
      </c>
      <c r="AJ51" s="243">
        <f>IF(ISERROR(LOOKUP(AJ$16,$L51:$X51,#REF!)),0,(LOOKUP(AJ$16,$L51:$X51,#REF!)))</f>
        <v>0</v>
      </c>
      <c r="AK51" s="243">
        <f>IF(ISERROR(LOOKUP(AK$16,$L51:$X51,#REF!)),0,(LOOKUP(AK$16,$L51:$X51,#REF!)))</f>
        <v>0</v>
      </c>
      <c r="AL51" s="243">
        <f>IF(ISERROR(LOOKUP(AL$16,$L51:$X51,#REF!)),0,(LOOKUP(AL$16,$L51:$X51,#REF!)))</f>
        <v>0</v>
      </c>
      <c r="AM51" s="243">
        <f ca="1">IF(ISERROR(LOOKUP(AM$16,$L51:$X51,#REF!)),0,(LOOKUP(AM$16,$L51:$X51,#REF!)))</f>
        <v>0</v>
      </c>
      <c r="AO51" s="166">
        <f t="shared" si="0"/>
        <v>15</v>
      </c>
      <c r="AP51" s="215">
        <v>46265</v>
      </c>
      <c r="AQ51" s="215">
        <v>46269</v>
      </c>
      <c r="AR51" s="215">
        <v>46276</v>
      </c>
      <c r="AS51" s="778"/>
      <c r="AW51" s="244" t="e">
        <v>#REF!</v>
      </c>
    </row>
    <row r="52" spans="1:49" s="168" customFormat="1" ht="18.600000000000001" customHeight="1">
      <c r="A52" s="737"/>
      <c r="B52" s="740"/>
      <c r="C52" s="745" t="str">
        <f>C50</f>
        <v>RFQ-012</v>
      </c>
      <c r="D52" s="745" t="str">
        <f>D50</f>
        <v>Storage Tote Tank</v>
      </c>
      <c r="E52" s="245"/>
      <c r="F52" s="745"/>
      <c r="G52" s="741" t="str">
        <f>G50</f>
        <v>N</v>
      </c>
      <c r="H52" s="748"/>
      <c r="I52" s="212" t="str">
        <f>I50</f>
        <v>LA</v>
      </c>
      <c r="J52" s="214" t="s">
        <v>67</v>
      </c>
      <c r="K52" s="212"/>
      <c r="L52" s="212"/>
      <c r="M52" s="212"/>
      <c r="N52" s="212"/>
      <c r="O52" s="212"/>
      <c r="P52" s="226"/>
      <c r="Q52" s="227"/>
      <c r="R52" s="212"/>
      <c r="S52" s="212"/>
      <c r="T52" s="212"/>
      <c r="U52" s="212"/>
      <c r="V52" s="212"/>
      <c r="W52" s="228"/>
      <c r="X52" s="212"/>
      <c r="Y52" s="768"/>
      <c r="Z52" s="773"/>
      <c r="AA52" s="773"/>
      <c r="AB52" s="777"/>
      <c r="AC52" s="246">
        <f>IF(ISERROR(LOOKUP(AC$16,$L52:$X52,#REF!)),0,(LOOKUP(AC$16,$L52:$X52,#REF!)))</f>
        <v>0</v>
      </c>
      <c r="AD52" s="247">
        <f>IF(ISERROR(LOOKUP(AD$16,$L52:$X52,#REF!)),0,(LOOKUP(AD$16,$L52:$X52,#REF!)))</f>
        <v>0</v>
      </c>
      <c r="AE52" s="247">
        <f>IF(ISERROR(LOOKUP(AE$16,$L52:$X52,#REF!)),0,(LOOKUP(AE$16,$L52:$X52,#REF!)))</f>
        <v>0</v>
      </c>
      <c r="AF52" s="247">
        <f>IF(ISERROR(LOOKUP(AF$16,$L52:$X52,#REF!)),0,(LOOKUP(AF$16,$L52:$X52,#REF!)))</f>
        <v>0</v>
      </c>
      <c r="AG52" s="247">
        <f>IF(ISERROR(LOOKUP(AG$16,$L52:$X52,#REF!)),0,(LOOKUP(AG$16,$L52:$X52,#REF!)))</f>
        <v>0</v>
      </c>
      <c r="AH52" s="247">
        <f>IF(ISERROR(LOOKUP(AH$16,$L52:$X52,#REF!)),0,(LOOKUP(AH$16,$L52:$X52,#REF!)))</f>
        <v>0</v>
      </c>
      <c r="AI52" s="247">
        <f>IF(ISERROR(LOOKUP(AI$16,$L52:$X52,#REF!)),0,(LOOKUP(AI$16,$L52:$X52,#REF!)))</f>
        <v>0</v>
      </c>
      <c r="AJ52" s="247">
        <f>IF(ISERROR(LOOKUP(AJ$16,$L52:$X52,#REF!)),0,(LOOKUP(AJ$16,$L52:$X52,#REF!)))</f>
        <v>0</v>
      </c>
      <c r="AK52" s="247">
        <f>IF(ISERROR(LOOKUP(AK$16,$L52:$X52,#REF!)),0,(LOOKUP(AK$16,$L52:$X52,#REF!)))</f>
        <v>0</v>
      </c>
      <c r="AL52" s="247">
        <f>IF(ISERROR(LOOKUP(AL$16,$L52:$X52,#REF!)),0,(LOOKUP(AL$16,$L52:$X52,#REF!)))</f>
        <v>0</v>
      </c>
      <c r="AM52" s="247">
        <f ca="1">IF(ISERROR(LOOKUP(AM$16,$L52:$X52,#REF!)),0,(LOOKUP(AM$16,$L52:$X52,#REF!)))</f>
        <v>0</v>
      </c>
      <c r="AO52" s="166">
        <f t="shared" si="0"/>
        <v>0</v>
      </c>
      <c r="AP52" s="212"/>
      <c r="AQ52" s="212"/>
      <c r="AR52" s="212"/>
      <c r="AS52" s="778"/>
      <c r="AW52" s="244" t="e">
        <v>#REF!</v>
      </c>
    </row>
    <row r="53" spans="1:49" s="168" customFormat="1" ht="18.600000000000001" customHeight="1">
      <c r="A53" s="737">
        <f>A50+1</f>
        <v>13</v>
      </c>
      <c r="B53" s="738"/>
      <c r="C53" s="744" t="s">
        <v>5256</v>
      </c>
      <c r="D53" s="744" t="s">
        <v>109</v>
      </c>
      <c r="E53" s="241"/>
      <c r="F53" s="744" t="s">
        <v>59</v>
      </c>
      <c r="G53" s="741" t="str">
        <f>IF(_xlfn.XLOOKUP(C53,'[38]Before Award'!D:D,'[38]Before Award'!AV:AV,"N/A")="N/A","N","Y")</f>
        <v>N</v>
      </c>
      <c r="H53" s="746"/>
      <c r="I53" s="212" t="s">
        <v>6</v>
      </c>
      <c r="J53" s="214" t="s">
        <v>5236</v>
      </c>
      <c r="K53" s="215">
        <v>46240</v>
      </c>
      <c r="L53" s="215">
        <v>46241</v>
      </c>
      <c r="M53" s="215">
        <v>46246</v>
      </c>
      <c r="N53" s="215">
        <v>46247</v>
      </c>
      <c r="O53" s="215">
        <v>46252</v>
      </c>
      <c r="P53" s="216">
        <f>U53-L53</f>
        <v>73</v>
      </c>
      <c r="Q53" s="217"/>
      <c r="R53" s="215">
        <v>46266</v>
      </c>
      <c r="S53" s="215">
        <v>46294</v>
      </c>
      <c r="T53" s="215">
        <v>46297</v>
      </c>
      <c r="U53" s="215">
        <v>46314</v>
      </c>
      <c r="V53" s="215">
        <v>46321</v>
      </c>
      <c r="W53" s="218">
        <v>20</v>
      </c>
      <c r="X53" s="215">
        <v>46454</v>
      </c>
      <c r="Y53" s="768">
        <f>W53*7</f>
        <v>140</v>
      </c>
      <c r="Z53" s="773">
        <v>46454</v>
      </c>
      <c r="AA53" s="773">
        <v>46416</v>
      </c>
      <c r="AB53" s="777">
        <f>Z53-X54</f>
        <v>0</v>
      </c>
      <c r="AC53" s="242">
        <f>IF(ISERROR(LOOKUP(AC$16,$L53:$X53,#REF!)),0,(LOOKUP(AC$16,$L53:$X53,#REF!)))</f>
        <v>0</v>
      </c>
      <c r="AD53" s="243">
        <f>IF(ISERROR(LOOKUP(AD$16,$L53:$X53,#REF!)),0,(LOOKUP(AD$16,$L53:$X53,#REF!)))</f>
        <v>0</v>
      </c>
      <c r="AE53" s="243">
        <f>IF(ISERROR(LOOKUP(AE$16,$L53:$X53,#REF!)),0,(LOOKUP(AE$16,$L53:$X53,#REF!)))</f>
        <v>0</v>
      </c>
      <c r="AF53" s="243">
        <f>IF(ISERROR(LOOKUP(AF$16,$L53:$X53,#REF!)),0,(LOOKUP(AF$16,$L53:$X53,#REF!)))</f>
        <v>0</v>
      </c>
      <c r="AG53" s="243">
        <f>IF(ISERROR(LOOKUP(AG$16,$L53:$X53,#REF!)),0,(LOOKUP(AG$16,$L53:$X53,#REF!)))</f>
        <v>0</v>
      </c>
      <c r="AH53" s="243">
        <f>IF(ISERROR(LOOKUP(AH$16,$L53:$X53,#REF!)),0,(LOOKUP(AH$16,$L53:$X53,#REF!)))</f>
        <v>0</v>
      </c>
      <c r="AI53" s="243">
        <f>IF(ISERROR(LOOKUP(AI$16,$L53:$X53,#REF!)),0,(LOOKUP(AI$16,$L53:$X53,#REF!)))</f>
        <v>0</v>
      </c>
      <c r="AJ53" s="243">
        <f>IF(ISERROR(LOOKUP(AJ$16,$L53:$X53,#REF!)),0,(LOOKUP(AJ$16,$L53:$X53,#REF!)))</f>
        <v>0</v>
      </c>
      <c r="AK53" s="243">
        <f>IF(ISERROR(LOOKUP(AK$16,$L53:$X53,#REF!)),0,(LOOKUP(AK$16,$L53:$X53,#REF!)))</f>
        <v>0</v>
      </c>
      <c r="AL53" s="243">
        <f>IF(ISERROR(LOOKUP(AL$16,$L53:$X53,#REF!)),0,(LOOKUP(AL$16,$L53:$X53,#REF!)))</f>
        <v>0</v>
      </c>
      <c r="AM53" s="243">
        <f ca="1">IF(ISERROR(LOOKUP(AM$16,$L53:$X53,#REF!)),0,(LOOKUP(AM$16,$L53:$X53,#REF!)))</f>
        <v>0</v>
      </c>
      <c r="AO53" s="166">
        <f t="shared" si="0"/>
        <v>17</v>
      </c>
      <c r="AP53" s="215">
        <v>46301</v>
      </c>
      <c r="AQ53" s="215">
        <v>46307</v>
      </c>
      <c r="AR53" s="215">
        <v>46307</v>
      </c>
      <c r="AS53" s="778">
        <v>14</v>
      </c>
      <c r="AW53" s="244" t="e">
        <v>#REF!</v>
      </c>
    </row>
    <row r="54" spans="1:49" s="168" customFormat="1" ht="18.600000000000001" customHeight="1">
      <c r="A54" s="737"/>
      <c r="B54" s="739"/>
      <c r="C54" s="744" t="str">
        <f>C53</f>
        <v>RFQ-013</v>
      </c>
      <c r="D54" s="744" t="str">
        <f>D53</f>
        <v>Storage Tank</v>
      </c>
      <c r="E54" s="241"/>
      <c r="F54" s="744"/>
      <c r="G54" s="741" t="str">
        <f>G53</f>
        <v>N</v>
      </c>
      <c r="H54" s="747"/>
      <c r="I54" s="212" t="str">
        <f>I53</f>
        <v>LA</v>
      </c>
      <c r="J54" s="214" t="s">
        <v>65</v>
      </c>
      <c r="K54" s="215">
        <v>46240</v>
      </c>
      <c r="L54" s="215">
        <v>46241</v>
      </c>
      <c r="M54" s="215">
        <v>46246</v>
      </c>
      <c r="N54" s="215">
        <v>46247</v>
      </c>
      <c r="O54" s="215">
        <v>46252</v>
      </c>
      <c r="P54" s="216"/>
      <c r="Q54" s="217"/>
      <c r="R54" s="215">
        <v>46266</v>
      </c>
      <c r="S54" s="215">
        <v>46294</v>
      </c>
      <c r="T54" s="215">
        <v>46297</v>
      </c>
      <c r="U54" s="215">
        <v>46314</v>
      </c>
      <c r="V54" s="215">
        <v>46321</v>
      </c>
      <c r="W54" s="218"/>
      <c r="X54" s="215">
        <v>46454</v>
      </c>
      <c r="Y54" s="768"/>
      <c r="Z54" s="773"/>
      <c r="AA54" s="773"/>
      <c r="AB54" s="777"/>
      <c r="AC54" s="242">
        <f>IF(ISERROR(LOOKUP(AC$16,$L54:$X54,#REF!)),0,(LOOKUP(AC$16,$L54:$X54,#REF!)))</f>
        <v>0</v>
      </c>
      <c r="AD54" s="243">
        <f>IF(ISERROR(LOOKUP(AD$16,$L54:$X54,#REF!)),0,(LOOKUP(AD$16,$L54:$X54,#REF!)))</f>
        <v>0</v>
      </c>
      <c r="AE54" s="243">
        <f>IF(ISERROR(LOOKUP(AE$16,$L54:$X54,#REF!)),0,(LOOKUP(AE$16,$L54:$X54,#REF!)))</f>
        <v>0</v>
      </c>
      <c r="AF54" s="243">
        <f>IF(ISERROR(LOOKUP(AF$16,$L54:$X54,#REF!)),0,(LOOKUP(AF$16,$L54:$X54,#REF!)))</f>
        <v>0</v>
      </c>
      <c r="AG54" s="243">
        <f>IF(ISERROR(LOOKUP(AG$16,$L54:$X54,#REF!)),0,(LOOKUP(AG$16,$L54:$X54,#REF!)))</f>
        <v>0</v>
      </c>
      <c r="AH54" s="243">
        <f>IF(ISERROR(LOOKUP(AH$16,$L54:$X54,#REF!)),0,(LOOKUP(AH$16,$L54:$X54,#REF!)))</f>
        <v>0</v>
      </c>
      <c r="AI54" s="243">
        <f>IF(ISERROR(LOOKUP(AI$16,$L54:$X54,#REF!)),0,(LOOKUP(AI$16,$L54:$X54,#REF!)))</f>
        <v>0</v>
      </c>
      <c r="AJ54" s="243">
        <f>IF(ISERROR(LOOKUP(AJ$16,$L54:$X54,#REF!)),0,(LOOKUP(AJ$16,$L54:$X54,#REF!)))</f>
        <v>0</v>
      </c>
      <c r="AK54" s="243">
        <f>IF(ISERROR(LOOKUP(AK$16,$L54:$X54,#REF!)),0,(LOOKUP(AK$16,$L54:$X54,#REF!)))</f>
        <v>0</v>
      </c>
      <c r="AL54" s="243">
        <f>IF(ISERROR(LOOKUP(AL$16,$L54:$X54,#REF!)),0,(LOOKUP(AL$16,$L54:$X54,#REF!)))</f>
        <v>0</v>
      </c>
      <c r="AM54" s="243">
        <f ca="1">IF(ISERROR(LOOKUP(AM$16,$L54:$X54,#REF!)),0,(LOOKUP(AM$16,$L54:$X54,#REF!)))</f>
        <v>0</v>
      </c>
      <c r="AO54" s="166">
        <f t="shared" si="0"/>
        <v>17</v>
      </c>
      <c r="AP54" s="215">
        <v>46301</v>
      </c>
      <c r="AQ54" s="215">
        <v>46307</v>
      </c>
      <c r="AR54" s="215">
        <v>46314</v>
      </c>
      <c r="AS54" s="778"/>
      <c r="AW54" s="244" t="e">
        <v>#REF!</v>
      </c>
    </row>
    <row r="55" spans="1:49" s="168" customFormat="1" ht="18.600000000000001" customHeight="1">
      <c r="A55" s="737"/>
      <c r="B55" s="740"/>
      <c r="C55" s="745" t="str">
        <f>C53</f>
        <v>RFQ-013</v>
      </c>
      <c r="D55" s="745" t="str">
        <f>D53</f>
        <v>Storage Tank</v>
      </c>
      <c r="E55" s="245"/>
      <c r="F55" s="745"/>
      <c r="G55" s="741" t="str">
        <f>G53</f>
        <v>N</v>
      </c>
      <c r="H55" s="748"/>
      <c r="I55" s="212" t="str">
        <f>I53</f>
        <v>LA</v>
      </c>
      <c r="J55" s="214" t="s">
        <v>67</v>
      </c>
      <c r="K55" s="212"/>
      <c r="L55" s="212"/>
      <c r="M55" s="212"/>
      <c r="N55" s="212"/>
      <c r="O55" s="212"/>
      <c r="P55" s="226"/>
      <c r="Q55" s="227"/>
      <c r="R55" s="212"/>
      <c r="S55" s="212"/>
      <c r="T55" s="212"/>
      <c r="U55" s="248"/>
      <c r="V55" s="248"/>
      <c r="W55" s="228"/>
      <c r="X55" s="248"/>
      <c r="Y55" s="768"/>
      <c r="Z55" s="773"/>
      <c r="AA55" s="773"/>
      <c r="AB55" s="777"/>
      <c r="AC55" s="246">
        <f>IF(ISERROR(LOOKUP(AC$16,$L55:$X55,#REF!)),0,(LOOKUP(AC$16,$L55:$X55,#REF!)))</f>
        <v>0</v>
      </c>
      <c r="AD55" s="247">
        <f>IF(ISERROR(LOOKUP(AD$16,$L55:$X55,#REF!)),0,(LOOKUP(AD$16,$L55:$X55,#REF!)))</f>
        <v>0</v>
      </c>
      <c r="AE55" s="247">
        <f>IF(ISERROR(LOOKUP(AE$16,$L55:$X55,#REF!)),0,(LOOKUP(AE$16,$L55:$X55,#REF!)))</f>
        <v>0</v>
      </c>
      <c r="AF55" s="247">
        <f>IF(ISERROR(LOOKUP(AF$16,$L55:$X55,#REF!)),0,(LOOKUP(AF$16,$L55:$X55,#REF!)))</f>
        <v>0</v>
      </c>
      <c r="AG55" s="247">
        <f>IF(ISERROR(LOOKUP(AG$16,$L55:$X55,#REF!)),0,(LOOKUP(AG$16,$L55:$X55,#REF!)))</f>
        <v>0</v>
      </c>
      <c r="AH55" s="247">
        <f>IF(ISERROR(LOOKUP(AH$16,$L55:$X55,#REF!)),0,(LOOKUP(AH$16,$L55:$X55,#REF!)))</f>
        <v>0</v>
      </c>
      <c r="AI55" s="247">
        <f>IF(ISERROR(LOOKUP(AI$16,$L55:$X55,#REF!)),0,(LOOKUP(AI$16,$L55:$X55,#REF!)))</f>
        <v>0</v>
      </c>
      <c r="AJ55" s="247">
        <f>IF(ISERROR(LOOKUP(AJ$16,$L55:$X55,#REF!)),0,(LOOKUP(AJ$16,$L55:$X55,#REF!)))</f>
        <v>0</v>
      </c>
      <c r="AK55" s="247">
        <f>IF(ISERROR(LOOKUP(AK$16,$L55:$X55,#REF!)),0,(LOOKUP(AK$16,$L55:$X55,#REF!)))</f>
        <v>0</v>
      </c>
      <c r="AL55" s="247">
        <f>IF(ISERROR(LOOKUP(AL$16,$L55:$X55,#REF!)),0,(LOOKUP(AL$16,$L55:$X55,#REF!)))</f>
        <v>0</v>
      </c>
      <c r="AM55" s="247">
        <f ca="1">IF(ISERROR(LOOKUP(AM$16,$L55:$X55,#REF!)),0,(LOOKUP(AM$16,$L55:$X55,#REF!)))</f>
        <v>0</v>
      </c>
      <c r="AO55" s="166">
        <f t="shared" si="0"/>
        <v>0</v>
      </c>
      <c r="AP55" s="248"/>
      <c r="AQ55" s="248"/>
      <c r="AR55" s="248"/>
      <c r="AS55" s="778"/>
      <c r="AW55" s="244" t="e">
        <v>#REF!</v>
      </c>
    </row>
    <row r="56" spans="1:49" s="166" customFormat="1" ht="18" customHeight="1">
      <c r="A56" s="736">
        <f>A53+1</f>
        <v>14</v>
      </c>
      <c r="B56" s="738"/>
      <c r="C56" s="741" t="s">
        <v>5257</v>
      </c>
      <c r="D56" s="741" t="s">
        <v>5258</v>
      </c>
      <c r="E56" s="213"/>
      <c r="F56" s="750" t="s">
        <v>59</v>
      </c>
      <c r="G56" s="741" t="str">
        <f>IF(_xlfn.XLOOKUP(C56,'[38]Before Award'!D:D,'[38]Before Award'!AV:AV,"N/A")="N/A","N","Y")</f>
        <v>N</v>
      </c>
      <c r="H56" s="746"/>
      <c r="I56" s="212" t="s">
        <v>6</v>
      </c>
      <c r="J56" s="214" t="s">
        <v>5236</v>
      </c>
      <c r="K56" s="215">
        <f>WORKDAY(L56,-INDEX(L$12:L$15,MATCH($I56,$I$12:$I$15,0)))</f>
        <v>46133</v>
      </c>
      <c r="L56" s="215">
        <f>WORKDAY(M56,-INDEX(M$12:M$15,MATCH($I56,$I$12:$I$15,0)))</f>
        <v>46134</v>
      </c>
      <c r="M56" s="215">
        <f>WORKDAY(N56,-INDEX(N$12:N$15,MATCH($I56,$I$12:$I$15,0)))</f>
        <v>46141</v>
      </c>
      <c r="N56" s="215">
        <f>WORKDAY(O56,-INDEX(O$12:O$15,MATCH($I56,$I$12:$I$15,0)))</f>
        <v>46142</v>
      </c>
      <c r="O56" s="215">
        <f>WORKDAY(R56,-INDEX(R$12:R$15,MATCH($I56,$I$12:$I$15,0)))</f>
        <v>46149</v>
      </c>
      <c r="P56" s="216">
        <f>U56-L56</f>
        <v>76</v>
      </c>
      <c r="Q56" s="217"/>
      <c r="R56" s="215">
        <f>WORKDAY(S56,-INDEX(S$12:S$15,MATCH($I56,$I$12:$I$15,0)))</f>
        <v>46163</v>
      </c>
      <c r="S56" s="215">
        <f>WORKDAY(T56,-INDEX(T$12:T$15,MATCH($I56,$I$12:$I$15,0)))</f>
        <v>46191</v>
      </c>
      <c r="T56" s="215">
        <f>WORKDAY(U56,-INDEX(U$12:U$15,MATCH($I56,$I$12:$I$15,0)))</f>
        <v>46196</v>
      </c>
      <c r="U56" s="215">
        <f>X56-Y56</f>
        <v>46210</v>
      </c>
      <c r="V56" s="215">
        <f>WORKDAY(U56,INDEX(V$12:V$15,MATCH($I56,$I$12:$I$15,0)))</f>
        <v>46212</v>
      </c>
      <c r="W56" s="218">
        <f>Y56/7</f>
        <v>32</v>
      </c>
      <c r="X56" s="215">
        <f>Z56</f>
        <v>46434</v>
      </c>
      <c r="Y56" s="768">
        <f>32*7</f>
        <v>224</v>
      </c>
      <c r="Z56" s="773">
        <v>46434</v>
      </c>
      <c r="AA56" s="773">
        <v>46386</v>
      </c>
      <c r="AB56" s="777">
        <f>Z56-X57</f>
        <v>0</v>
      </c>
      <c r="AC56" s="220">
        <f>IF(ISERROR(LOOKUP(AC$16,$L56:$X56,#REF!)),0,(LOOKUP(AC$16,$L56:$X56,#REF!)))</f>
        <v>0</v>
      </c>
      <c r="AD56" s="221">
        <f>IF(ISERROR(LOOKUP(AD$16,$L56:$X56,#REF!)),0,(LOOKUP(AD$16,$L56:$X56,#REF!)))</f>
        <v>0</v>
      </c>
      <c r="AE56" s="221">
        <f>IF(ISERROR(LOOKUP(AE$16,$L56:$X56,#REF!)),0,(LOOKUP(AE$16,$L56:$X56,#REF!)))</f>
        <v>0</v>
      </c>
      <c r="AF56" s="221">
        <f>IF(ISERROR(LOOKUP(AF$16,$L56:$X56,#REF!)),0,(LOOKUP(AF$16,$L56:$X56,#REF!)))</f>
        <v>0</v>
      </c>
      <c r="AG56" s="221">
        <f>IF(ISERROR(LOOKUP(AG$16,$L56:$X56,#REF!)),0,(LOOKUP(AG$16,$L56:$X56,#REF!)))</f>
        <v>0</v>
      </c>
      <c r="AH56" s="221">
        <f>IF(ISERROR(LOOKUP(AH$16,$L56:$X56,#REF!)),0,(LOOKUP(AH$16,$L56:$X56,#REF!)))</f>
        <v>0</v>
      </c>
      <c r="AI56" s="221">
        <f>IF(ISERROR(LOOKUP(AI$16,$L56:$X56,#REF!)),0,(LOOKUP(AI$16,$L56:$X56,#REF!)))</f>
        <v>0</v>
      </c>
      <c r="AJ56" s="221">
        <f>IF(ISERROR(LOOKUP(AJ$16,$L56:$X56,#REF!)),0,(LOOKUP(AJ$16,$L56:$X56,#REF!)))</f>
        <v>0</v>
      </c>
      <c r="AK56" s="221">
        <f>IF(ISERROR(LOOKUP(AK$16,$L56:$X56,#REF!)),0,(LOOKUP(AK$16,$L56:$X56,#REF!)))</f>
        <v>0</v>
      </c>
      <c r="AL56" s="221">
        <f>IF(ISERROR(LOOKUP(AL$16,$L56:$X56,#REF!)),0,(LOOKUP(AL$16,$L56:$X56,#REF!)))</f>
        <v>0</v>
      </c>
      <c r="AM56" s="221">
        <f ca="1">IF(ISERROR(LOOKUP(AM$16,$L56:$X56,#REF!)),0,(LOOKUP(AM$16,$L56:$X56,#REF!)))</f>
        <v>0</v>
      </c>
      <c r="AO56" s="166">
        <f t="shared" si="0"/>
        <v>14</v>
      </c>
      <c r="AP56" s="215" t="e">
        <f>WORKDAY(AQ56,-INDEX(AQ$12:AQ$15,MATCH($I56,$I$12:$I$15,0)),$AW$17:$AW$148)</f>
        <v>#REF!</v>
      </c>
      <c r="AQ56" s="215" t="e">
        <f>WORKDAY(U56,-INDEX(U$12:U$15,MATCH($I56,$I$12:$I$15,0)),$AW$17:$AW$148)</f>
        <v>#REF!</v>
      </c>
      <c r="AR56" s="215" t="e">
        <f>WORKDAY(U56,-INDEX(U$12:U$15,MATCH($I56,$I$12:$I$15,0)),$AW$17:$AW$148)</f>
        <v>#REF!</v>
      </c>
      <c r="AS56" s="778">
        <v>14</v>
      </c>
      <c r="AW56" s="223" t="e">
        <v>#REF!</v>
      </c>
    </row>
    <row r="57" spans="1:49" s="166" customFormat="1" ht="18" customHeight="1">
      <c r="A57" s="736"/>
      <c r="B57" s="739"/>
      <c r="C57" s="741" t="str">
        <f>C56</f>
        <v>RFQ-014</v>
      </c>
      <c r="D57" s="741" t="str">
        <f>D56</f>
        <v>Closed Drain Sump Pump</v>
      </c>
      <c r="E57" s="224"/>
      <c r="F57" s="751"/>
      <c r="G57" s="741" t="str">
        <f>G56</f>
        <v>N</v>
      </c>
      <c r="H57" s="747"/>
      <c r="I57" s="212" t="str">
        <f>I56</f>
        <v>LA</v>
      </c>
      <c r="J57" s="214" t="s">
        <v>65</v>
      </c>
      <c r="K57" s="215">
        <f>K56</f>
        <v>46133</v>
      </c>
      <c r="L57" s="215">
        <f>WORKDAY(IF(K58="",K57,K58),INDEX(L$12:L$15,MATCH($I56,$I$12:$I$15,0)))</f>
        <v>46134</v>
      </c>
      <c r="M57" s="215">
        <f>WORKDAY(IF(L58="",L57,L58),INDEX(M$12:M$15,MATCH($I56,$I$12:$I$15,0)))</f>
        <v>46141</v>
      </c>
      <c r="N57" s="215">
        <f>WORKDAY(IF(M58="",M57,M58),INDEX(N$12:N$15,MATCH($I56,$I$12:$I$15,0)))</f>
        <v>46142</v>
      </c>
      <c r="O57" s="215">
        <f>WORKDAY(IF(N58="",N57,N58),INDEX(O$12:O$15,MATCH($I56,$I$12:$I$15,0)))</f>
        <v>46149</v>
      </c>
      <c r="P57" s="216"/>
      <c r="Q57" s="217"/>
      <c r="R57" s="215">
        <f>WORKDAY(IF(O58="",O57,O58),INDEX(R$12:R$15,MATCH($I56,$I$12:$I$15,0)))</f>
        <v>46163</v>
      </c>
      <c r="S57" s="215">
        <f>WORKDAY(IF(R58="",R57,R58),INDEX(S$12:S$15,MATCH($I56,$I$12:$I$15,0)))</f>
        <v>46191</v>
      </c>
      <c r="T57" s="215">
        <f>WORKDAY(IF(S58="",S57,S58),INDEX(T$12:T$15,MATCH($I56,$I$12:$I$15,0)))</f>
        <v>46196</v>
      </c>
      <c r="U57" s="215">
        <f>WORKDAY(IF(T58="",T57,T58),INDEX(U$12:U$15,MATCH($I56,$I$12:$I$15,0)))</f>
        <v>46210</v>
      </c>
      <c r="V57" s="215">
        <f>WORKDAY(IF(U58="",U57,U58),INDEX(V$12:V$15,MATCH($I56,$I$12:$I$15,0)))</f>
        <v>46212</v>
      </c>
      <c r="W57" s="218"/>
      <c r="X57" s="215">
        <f>U57+Y56</f>
        <v>46434</v>
      </c>
      <c r="Y57" s="768"/>
      <c r="Z57" s="773"/>
      <c r="AA57" s="773"/>
      <c r="AB57" s="777"/>
      <c r="AC57" s="220">
        <f>IF(ISERROR(LOOKUP(AC$16,$L57:$X57,#REF!)),0,(LOOKUP(AC$16,$L57:$X57,#REF!)))</f>
        <v>0</v>
      </c>
      <c r="AD57" s="221">
        <f>IF(ISERROR(LOOKUP(AD$16,$L57:$X57,#REF!)),0,(LOOKUP(AD$16,$L57:$X57,#REF!)))</f>
        <v>0</v>
      </c>
      <c r="AE57" s="221">
        <f>IF(ISERROR(LOOKUP(AE$16,$L57:$X57,#REF!)),0,(LOOKUP(AE$16,$L57:$X57,#REF!)))</f>
        <v>0</v>
      </c>
      <c r="AF57" s="221">
        <f>IF(ISERROR(LOOKUP(AF$16,$L57:$X57,#REF!)),0,(LOOKUP(AF$16,$L57:$X57,#REF!)))</f>
        <v>0</v>
      </c>
      <c r="AG57" s="221">
        <f>IF(ISERROR(LOOKUP(AG$16,$L57:$X57,#REF!)),0,(LOOKUP(AG$16,$L57:$X57,#REF!)))</f>
        <v>0</v>
      </c>
      <c r="AH57" s="221">
        <f>IF(ISERROR(LOOKUP(AH$16,$L57:$X57,#REF!)),0,(LOOKUP(AH$16,$L57:$X57,#REF!)))</f>
        <v>0</v>
      </c>
      <c r="AI57" s="221">
        <f>IF(ISERROR(LOOKUP(AI$16,$L57:$X57,#REF!)),0,(LOOKUP(AI$16,$L57:$X57,#REF!)))</f>
        <v>0</v>
      </c>
      <c r="AJ57" s="221">
        <f>IF(ISERROR(LOOKUP(AJ$16,$L57:$X57,#REF!)),0,(LOOKUP(AJ$16,$L57:$X57,#REF!)))</f>
        <v>0</v>
      </c>
      <c r="AK57" s="221">
        <f>IF(ISERROR(LOOKUP(AK$16,$L57:$X57,#REF!)),0,(LOOKUP(AK$16,$L57:$X57,#REF!)))</f>
        <v>0</v>
      </c>
      <c r="AL57" s="221">
        <f>IF(ISERROR(LOOKUP(AL$16,$L57:$X57,#REF!)),0,(LOOKUP(AL$16,$L57:$X57,#REF!)))</f>
        <v>0</v>
      </c>
      <c r="AM57" s="221">
        <f ca="1">IF(ISERROR(LOOKUP(AM$16,$L57:$X57,#REF!)),0,(LOOKUP(AM$16,$L57:$X57,#REF!)))</f>
        <v>0</v>
      </c>
      <c r="AO57" s="166">
        <f t="shared" si="0"/>
        <v>14</v>
      </c>
      <c r="AP57" s="215" t="e">
        <f>WORKDAY(IF(T58="",T57,T58),INDEX(AP$12:AP$15,MATCH($I56,$I$12:$I$15,0)),$AW$17:$AW$148)</f>
        <v>#REF!</v>
      </c>
      <c r="AQ57" s="215" t="e">
        <f>WORKDAY(IF(AP58="",AP57,AP58),INDEX(AQ$12:AQ$15,MATCH($I56,$I$12:$I$15,0)),$AW$17:$AW$148)</f>
        <v>#REF!</v>
      </c>
      <c r="AR57" s="215" t="e">
        <f>WORKDAY(IF(AQ58="",AQ57,AQ58),INDEX(AR$12:AR$15,MATCH($I56,$I$12:$I$15,0)),$AW$17:$AW$148)</f>
        <v>#REF!</v>
      </c>
      <c r="AS57" s="778"/>
      <c r="AW57" s="223" t="e">
        <v>#REF!</v>
      </c>
    </row>
    <row r="58" spans="1:49" s="166" customFormat="1" ht="18" customHeight="1">
      <c r="A58" s="736"/>
      <c r="B58" s="740"/>
      <c r="C58" s="741" t="str">
        <f>C56</f>
        <v>RFQ-014</v>
      </c>
      <c r="D58" s="741" t="str">
        <f>D56</f>
        <v>Closed Drain Sump Pump</v>
      </c>
      <c r="E58" s="225"/>
      <c r="F58" s="752"/>
      <c r="G58" s="741" t="str">
        <f>G56</f>
        <v>N</v>
      </c>
      <c r="H58" s="748"/>
      <c r="I58" s="212" t="str">
        <f>I56</f>
        <v>LA</v>
      </c>
      <c r="J58" s="214" t="s">
        <v>67</v>
      </c>
      <c r="K58" s="212"/>
      <c r="L58" s="212"/>
      <c r="M58" s="212"/>
      <c r="N58" s="212"/>
      <c r="O58" s="212"/>
      <c r="P58" s="226"/>
      <c r="Q58" s="227"/>
      <c r="R58" s="212"/>
      <c r="S58" s="212"/>
      <c r="T58" s="212"/>
      <c r="U58" s="212"/>
      <c r="V58" s="212"/>
      <c r="W58" s="228"/>
      <c r="X58" s="212"/>
      <c r="Y58" s="768"/>
      <c r="Z58" s="773"/>
      <c r="AA58" s="773"/>
      <c r="AB58" s="777"/>
      <c r="AC58" s="229">
        <f>IF(ISERROR(LOOKUP(AC$16,$L58:$X58,#REF!)),0,(LOOKUP(AC$16,$L58:$X58,#REF!)))</f>
        <v>0</v>
      </c>
      <c r="AD58" s="230">
        <f>IF(ISERROR(LOOKUP(AD$16,$L58:$X58,#REF!)),0,(LOOKUP(AD$16,$L58:$X58,#REF!)))</f>
        <v>0</v>
      </c>
      <c r="AE58" s="230">
        <f>IF(ISERROR(LOOKUP(AE$16,$L58:$X58,#REF!)),0,(LOOKUP(AE$16,$L58:$X58,#REF!)))</f>
        <v>0</v>
      </c>
      <c r="AF58" s="230">
        <f>IF(ISERROR(LOOKUP(AF$16,$L58:$X58,#REF!)),0,(LOOKUP(AF$16,$L58:$X58,#REF!)))</f>
        <v>0</v>
      </c>
      <c r="AG58" s="230">
        <f>IF(ISERROR(LOOKUP(AG$16,$L58:$X58,#REF!)),0,(LOOKUP(AG$16,$L58:$X58,#REF!)))</f>
        <v>0</v>
      </c>
      <c r="AH58" s="230">
        <f>IF(ISERROR(LOOKUP(AH$16,$L58:$X58,#REF!)),0,(LOOKUP(AH$16,$L58:$X58,#REF!)))</f>
        <v>0</v>
      </c>
      <c r="AI58" s="230">
        <f>IF(ISERROR(LOOKUP(AI$16,$L58:$X58,#REF!)),0,(LOOKUP(AI$16,$L58:$X58,#REF!)))</f>
        <v>0</v>
      </c>
      <c r="AJ58" s="230">
        <f>IF(ISERROR(LOOKUP(AJ$16,$L58:$X58,#REF!)),0,(LOOKUP(AJ$16,$L58:$X58,#REF!)))</f>
        <v>0</v>
      </c>
      <c r="AK58" s="230">
        <f>IF(ISERROR(LOOKUP(AK$16,$L58:$X58,#REF!)),0,(LOOKUP(AK$16,$L58:$X58,#REF!)))</f>
        <v>0</v>
      </c>
      <c r="AL58" s="230">
        <f>IF(ISERROR(LOOKUP(AL$16,$L58:$X58,#REF!)),0,(LOOKUP(AL$16,$L58:$X58,#REF!)))</f>
        <v>0</v>
      </c>
      <c r="AM58" s="230">
        <f ca="1">IF(ISERROR(LOOKUP(AM$16,$L58:$X58,#REF!)),0,(LOOKUP(AM$16,$L58:$X58,#REF!)))</f>
        <v>0</v>
      </c>
      <c r="AO58" s="166">
        <f t="shared" si="0"/>
        <v>0</v>
      </c>
      <c r="AP58" s="212"/>
      <c r="AQ58" s="212"/>
      <c r="AR58" s="212"/>
      <c r="AS58" s="778"/>
      <c r="AW58" s="223" t="e">
        <v>#REF!</v>
      </c>
    </row>
    <row r="59" spans="1:49" s="166" customFormat="1" ht="18" customHeight="1">
      <c r="A59" s="736">
        <f>A56+1</f>
        <v>15</v>
      </c>
      <c r="B59" s="738"/>
      <c r="C59" s="741" t="s">
        <v>5259</v>
      </c>
      <c r="D59" s="741" t="s">
        <v>5260</v>
      </c>
      <c r="E59" s="213"/>
      <c r="F59" s="750" t="s">
        <v>59</v>
      </c>
      <c r="G59" s="741" t="s">
        <v>73</v>
      </c>
      <c r="H59" s="746"/>
      <c r="I59" s="212" t="s">
        <v>6</v>
      </c>
      <c r="J59" s="214" t="s">
        <v>5236</v>
      </c>
      <c r="K59" s="215">
        <f>WORKDAY(L59,-INDEX(L$12:L$15,MATCH($I59,$I$12:$I$15,0)))</f>
        <v>46220</v>
      </c>
      <c r="L59" s="215">
        <f>WORKDAY(M59,-INDEX(M$12:M$15,MATCH($I59,$I$12:$I$15,0)))</f>
        <v>46223</v>
      </c>
      <c r="M59" s="215">
        <f>WORKDAY(N59,-INDEX(N$12:N$15,MATCH($I59,$I$12:$I$15,0)))</f>
        <v>46230</v>
      </c>
      <c r="N59" s="215">
        <f>WORKDAY(O59,-INDEX(O$12:O$15,MATCH($I59,$I$12:$I$15,0)))</f>
        <v>46231</v>
      </c>
      <c r="O59" s="215">
        <f>WORKDAY(R59,-INDEX(R$12:R$15,MATCH($I59,$I$12:$I$15,0)))</f>
        <v>46238</v>
      </c>
      <c r="P59" s="216">
        <f>U59-L59</f>
        <v>74</v>
      </c>
      <c r="Q59" s="217"/>
      <c r="R59" s="215">
        <f>WORKDAY(S59,-INDEX(S$12:S$15,MATCH($I59,$I$12:$I$15,0)))</f>
        <v>46252</v>
      </c>
      <c r="S59" s="215">
        <f>WORKDAY(T59,-INDEX(T$12:T$15,MATCH($I59,$I$12:$I$15,0)))</f>
        <v>46280</v>
      </c>
      <c r="T59" s="215">
        <f>WORKDAY(U59,-INDEX(U$12:U$15,MATCH($I59,$I$12:$I$15,0)))</f>
        <v>46283</v>
      </c>
      <c r="U59" s="215">
        <f>X59-Y59</f>
        <v>46297</v>
      </c>
      <c r="V59" s="215">
        <f>WORKDAY(U59,INDEX(V$12:V$15,MATCH($I59,$I$12:$I$15,0)))</f>
        <v>46301</v>
      </c>
      <c r="W59" s="218">
        <f>Y59/7</f>
        <v>32</v>
      </c>
      <c r="X59" s="215">
        <f>Z59</f>
        <v>46521</v>
      </c>
      <c r="Y59" s="768">
        <f>32*7</f>
        <v>224</v>
      </c>
      <c r="Z59" s="773">
        <v>46521</v>
      </c>
      <c r="AA59" s="773">
        <v>46521</v>
      </c>
      <c r="AB59" s="777">
        <f>Z59-X60</f>
        <v>0</v>
      </c>
      <c r="AC59" s="220">
        <f>IF(ISERROR(LOOKUP(AC$16,$L59:$X59,#REF!)),0,(LOOKUP(AC$16,$L59:$X59,#REF!)))</f>
        <v>0</v>
      </c>
      <c r="AD59" s="221">
        <f>IF(ISERROR(LOOKUP(AD$16,$L59:$X59,#REF!)),0,(LOOKUP(AD$16,$L59:$X59,#REF!)))</f>
        <v>0</v>
      </c>
      <c r="AE59" s="221">
        <f>IF(ISERROR(LOOKUP(AE$16,$L59:$X59,#REF!)),0,(LOOKUP(AE$16,$L59:$X59,#REF!)))</f>
        <v>0</v>
      </c>
      <c r="AF59" s="221">
        <f>IF(ISERROR(LOOKUP(AF$16,$L59:$X59,#REF!)),0,(LOOKUP(AF$16,$L59:$X59,#REF!)))</f>
        <v>0</v>
      </c>
      <c r="AG59" s="221">
        <f>IF(ISERROR(LOOKUP(AG$16,$L59:$X59,#REF!)),0,(LOOKUP(AG$16,$L59:$X59,#REF!)))</f>
        <v>0</v>
      </c>
      <c r="AH59" s="221">
        <f>IF(ISERROR(LOOKUP(AH$16,$L59:$X59,#REF!)),0,(LOOKUP(AH$16,$L59:$X59,#REF!)))</f>
        <v>0</v>
      </c>
      <c r="AI59" s="221">
        <f>IF(ISERROR(LOOKUP(AI$16,$L59:$X59,#REF!)),0,(LOOKUP(AI$16,$L59:$X59,#REF!)))</f>
        <v>0</v>
      </c>
      <c r="AJ59" s="221">
        <f>IF(ISERROR(LOOKUP(AJ$16,$L59:$X59,#REF!)),0,(LOOKUP(AJ$16,$L59:$X59,#REF!)))</f>
        <v>0</v>
      </c>
      <c r="AK59" s="221">
        <f>IF(ISERROR(LOOKUP(AK$16,$L59:$X59,#REF!)),0,(LOOKUP(AK$16,$L59:$X59,#REF!)))</f>
        <v>0</v>
      </c>
      <c r="AL59" s="221">
        <f>IF(ISERROR(LOOKUP(AL$16,$L59:$X59,#REF!)),0,(LOOKUP(AL$16,$L59:$X59,#REF!)))</f>
        <v>0</v>
      </c>
      <c r="AM59" s="221">
        <f ca="1">IF(ISERROR(LOOKUP(AM$16,$L59:$X59,#REF!)),0,(LOOKUP(AM$16,$L59:$X59,#REF!)))</f>
        <v>0</v>
      </c>
      <c r="AO59" s="166">
        <f t="shared" si="0"/>
        <v>14</v>
      </c>
      <c r="AP59" s="215" t="e">
        <f>WORKDAY(AQ59,-INDEX(AQ$12:AQ$15,MATCH($I59,$I$12:$I$15,0)),$AW$17:$AW$148)</f>
        <v>#REF!</v>
      </c>
      <c r="AQ59" s="215" t="e">
        <f>WORKDAY(U59,-INDEX(U$12:U$15,MATCH($I59,$I$12:$I$15,0)),$AW$17:$AW$148)</f>
        <v>#REF!</v>
      </c>
      <c r="AR59" s="215" t="e">
        <f>WORKDAY(U59,-INDEX(U$12:U$15,MATCH($I59,$I$12:$I$15,0)),$AW$17:$AW$148)</f>
        <v>#REF!</v>
      </c>
      <c r="AS59" s="778">
        <v>14</v>
      </c>
      <c r="AW59" s="223" t="e">
        <v>#REF!</v>
      </c>
    </row>
    <row r="60" spans="1:49" s="166" customFormat="1" ht="18" customHeight="1">
      <c r="A60" s="736"/>
      <c r="B60" s="739"/>
      <c r="C60" s="741" t="str">
        <f>C59</f>
        <v>RFQ-015</v>
      </c>
      <c r="D60" s="741" t="str">
        <f>D59</f>
        <v>Diesel Transfer Pump</v>
      </c>
      <c r="E60" s="224"/>
      <c r="F60" s="751"/>
      <c r="G60" s="741" t="str">
        <f>G59</f>
        <v>N</v>
      </c>
      <c r="H60" s="747"/>
      <c r="I60" s="212" t="str">
        <f>I59</f>
        <v>LA</v>
      </c>
      <c r="J60" s="214" t="s">
        <v>65</v>
      </c>
      <c r="K60" s="215">
        <f>K59</f>
        <v>46220</v>
      </c>
      <c r="L60" s="215">
        <f>WORKDAY(IF(K61="",K60,K61),INDEX(L$12:L$15,MATCH($I59,$I$12:$I$15,0)))</f>
        <v>46223</v>
      </c>
      <c r="M60" s="215">
        <f>WORKDAY(IF(L61="",L60,L61),INDEX(M$12:M$15,MATCH($I59,$I$12:$I$15,0)))</f>
        <v>46230</v>
      </c>
      <c r="N60" s="215">
        <f>WORKDAY(IF(M61="",M60,M61),INDEX(N$12:N$15,MATCH($I59,$I$12:$I$15,0)))</f>
        <v>46231</v>
      </c>
      <c r="O60" s="215">
        <f>WORKDAY(IF(N61="",N60,N61),INDEX(O$12:O$15,MATCH($I59,$I$12:$I$15,0)))</f>
        <v>46238</v>
      </c>
      <c r="P60" s="216"/>
      <c r="Q60" s="217"/>
      <c r="R60" s="215">
        <f>WORKDAY(IF(O61="",O60,O61),INDEX(R$12:R$15,MATCH($I59,$I$12:$I$15,0)))</f>
        <v>46252</v>
      </c>
      <c r="S60" s="215">
        <f>WORKDAY(IF(R61="",R60,R61),INDEX(S$12:S$15,MATCH($I59,$I$12:$I$15,0)))</f>
        <v>46280</v>
      </c>
      <c r="T60" s="215">
        <f>WORKDAY(IF(S61="",S60,S61),INDEX(T$12:T$15,MATCH($I59,$I$12:$I$15,0)))</f>
        <v>46283</v>
      </c>
      <c r="U60" s="215">
        <f>WORKDAY(IF(T61="",T60,T61),INDEX(U$12:U$15,MATCH($I59,$I$12:$I$15,0)))</f>
        <v>46297</v>
      </c>
      <c r="V60" s="215">
        <f>WORKDAY(IF(U61="",U60,U61),INDEX(V$12:V$15,MATCH($I59,$I$12:$I$15,0)))</f>
        <v>46301</v>
      </c>
      <c r="W60" s="218"/>
      <c r="X60" s="215">
        <f>U60+Y59</f>
        <v>46521</v>
      </c>
      <c r="Y60" s="768"/>
      <c r="Z60" s="773"/>
      <c r="AA60" s="773"/>
      <c r="AB60" s="777"/>
      <c r="AC60" s="220">
        <f>IF(ISERROR(LOOKUP(AC$16,$L60:$X60,#REF!)),0,(LOOKUP(AC$16,$L60:$X60,#REF!)))</f>
        <v>0</v>
      </c>
      <c r="AD60" s="221">
        <f>IF(ISERROR(LOOKUP(AD$16,$L60:$X60,#REF!)),0,(LOOKUP(AD$16,$L60:$X60,#REF!)))</f>
        <v>0</v>
      </c>
      <c r="AE60" s="221">
        <f>IF(ISERROR(LOOKUP(AE$16,$L60:$X60,#REF!)),0,(LOOKUP(AE$16,$L60:$X60,#REF!)))</f>
        <v>0</v>
      </c>
      <c r="AF60" s="221">
        <f>IF(ISERROR(LOOKUP(AF$16,$L60:$X60,#REF!)),0,(LOOKUP(AF$16,$L60:$X60,#REF!)))</f>
        <v>0</v>
      </c>
      <c r="AG60" s="221">
        <f>IF(ISERROR(LOOKUP(AG$16,$L60:$X60,#REF!)),0,(LOOKUP(AG$16,$L60:$X60,#REF!)))</f>
        <v>0</v>
      </c>
      <c r="AH60" s="221">
        <f>IF(ISERROR(LOOKUP(AH$16,$L60:$X60,#REF!)),0,(LOOKUP(AH$16,$L60:$X60,#REF!)))</f>
        <v>0</v>
      </c>
      <c r="AI60" s="221">
        <f>IF(ISERROR(LOOKUP(AI$16,$L60:$X60,#REF!)),0,(LOOKUP(AI$16,$L60:$X60,#REF!)))</f>
        <v>0</v>
      </c>
      <c r="AJ60" s="221">
        <f>IF(ISERROR(LOOKUP(AJ$16,$L60:$X60,#REF!)),0,(LOOKUP(AJ$16,$L60:$X60,#REF!)))</f>
        <v>0</v>
      </c>
      <c r="AK60" s="221">
        <f>IF(ISERROR(LOOKUP(AK$16,$L60:$X60,#REF!)),0,(LOOKUP(AK$16,$L60:$X60,#REF!)))</f>
        <v>0</v>
      </c>
      <c r="AL60" s="221">
        <f>IF(ISERROR(LOOKUP(AL$16,$L60:$X60,#REF!)),0,(LOOKUP(AL$16,$L60:$X60,#REF!)))</f>
        <v>0</v>
      </c>
      <c r="AM60" s="221">
        <f ca="1">IF(ISERROR(LOOKUP(AM$16,$L60:$X60,#REF!)),0,(LOOKUP(AM$16,$L60:$X60,#REF!)))</f>
        <v>0</v>
      </c>
      <c r="AO60" s="166">
        <f t="shared" si="0"/>
        <v>14</v>
      </c>
      <c r="AP60" s="215" t="e">
        <f>WORKDAY(IF(T61="",T60,T61),INDEX(AP$12:AP$15,MATCH($I59,$I$12:$I$15,0)),$AW$17:$AW$148)</f>
        <v>#REF!</v>
      </c>
      <c r="AQ60" s="215" t="e">
        <f>WORKDAY(IF(AP61="",AP60,AP61),INDEX(AQ$12:AQ$15,MATCH($I59,$I$12:$I$15,0)),$AW$17:$AW$148)</f>
        <v>#REF!</v>
      </c>
      <c r="AR60" s="215" t="e">
        <f>WORKDAY(IF(AQ61="",AQ60,AQ61),INDEX(AR$12:AR$15,MATCH($I59,$I$12:$I$15,0)),$AW$17:$AW$148)</f>
        <v>#REF!</v>
      </c>
      <c r="AS60" s="778"/>
      <c r="AW60" s="223" t="e">
        <v>#REF!</v>
      </c>
    </row>
    <row r="61" spans="1:49" s="166" customFormat="1" ht="18" customHeight="1">
      <c r="A61" s="736"/>
      <c r="B61" s="740"/>
      <c r="C61" s="741" t="str">
        <f>C59</f>
        <v>RFQ-015</v>
      </c>
      <c r="D61" s="741" t="str">
        <f>D59</f>
        <v>Diesel Transfer Pump</v>
      </c>
      <c r="E61" s="225"/>
      <c r="F61" s="752"/>
      <c r="G61" s="741" t="str">
        <f>G59</f>
        <v>N</v>
      </c>
      <c r="H61" s="748"/>
      <c r="I61" s="212" t="str">
        <f>I59</f>
        <v>LA</v>
      </c>
      <c r="J61" s="214" t="s">
        <v>67</v>
      </c>
      <c r="K61" s="212"/>
      <c r="L61" s="212"/>
      <c r="M61" s="212"/>
      <c r="N61" s="212"/>
      <c r="O61" s="212"/>
      <c r="P61" s="226"/>
      <c r="Q61" s="227"/>
      <c r="R61" s="212"/>
      <c r="S61" s="212"/>
      <c r="T61" s="212"/>
      <c r="U61" s="212"/>
      <c r="V61" s="212"/>
      <c r="W61" s="228"/>
      <c r="X61" s="212"/>
      <c r="Y61" s="768"/>
      <c r="Z61" s="773"/>
      <c r="AA61" s="773"/>
      <c r="AB61" s="777"/>
      <c r="AC61" s="229">
        <f>IF(ISERROR(LOOKUP(AC$16,$L61:$X61,#REF!)),0,(LOOKUP(AC$16,$L61:$X61,#REF!)))</f>
        <v>0</v>
      </c>
      <c r="AD61" s="230">
        <f>IF(ISERROR(LOOKUP(AD$16,$L61:$X61,#REF!)),0,(LOOKUP(AD$16,$L61:$X61,#REF!)))</f>
        <v>0</v>
      </c>
      <c r="AE61" s="230">
        <f>IF(ISERROR(LOOKUP(AE$16,$L61:$X61,#REF!)),0,(LOOKUP(AE$16,$L61:$X61,#REF!)))</f>
        <v>0</v>
      </c>
      <c r="AF61" s="230">
        <f>IF(ISERROR(LOOKUP(AF$16,$L61:$X61,#REF!)),0,(LOOKUP(AF$16,$L61:$X61,#REF!)))</f>
        <v>0</v>
      </c>
      <c r="AG61" s="230">
        <f>IF(ISERROR(LOOKUP(AG$16,$L61:$X61,#REF!)),0,(LOOKUP(AG$16,$L61:$X61,#REF!)))</f>
        <v>0</v>
      </c>
      <c r="AH61" s="230">
        <f>IF(ISERROR(LOOKUP(AH$16,$L61:$X61,#REF!)),0,(LOOKUP(AH$16,$L61:$X61,#REF!)))</f>
        <v>0</v>
      </c>
      <c r="AI61" s="230">
        <f>IF(ISERROR(LOOKUP(AI$16,$L61:$X61,#REF!)),0,(LOOKUP(AI$16,$L61:$X61,#REF!)))</f>
        <v>0</v>
      </c>
      <c r="AJ61" s="230">
        <f>IF(ISERROR(LOOKUP(AJ$16,$L61:$X61,#REF!)),0,(LOOKUP(AJ$16,$L61:$X61,#REF!)))</f>
        <v>0</v>
      </c>
      <c r="AK61" s="230">
        <f>IF(ISERROR(LOOKUP(AK$16,$L61:$X61,#REF!)),0,(LOOKUP(AK$16,$L61:$X61,#REF!)))</f>
        <v>0</v>
      </c>
      <c r="AL61" s="230">
        <f>IF(ISERROR(LOOKUP(AL$16,$L61:$X61,#REF!)),0,(LOOKUP(AL$16,$L61:$X61,#REF!)))</f>
        <v>0</v>
      </c>
      <c r="AM61" s="230">
        <f ca="1">IF(ISERROR(LOOKUP(AM$16,$L61:$X61,#REF!)),0,(LOOKUP(AM$16,$L61:$X61,#REF!)))</f>
        <v>0</v>
      </c>
      <c r="AO61" s="166">
        <f t="shared" si="0"/>
        <v>0</v>
      </c>
      <c r="AP61" s="212"/>
      <c r="AQ61" s="212"/>
      <c r="AR61" s="212"/>
      <c r="AS61" s="778"/>
      <c r="AW61" s="223" t="e">
        <v>#REF!</v>
      </c>
    </row>
    <row r="62" spans="1:49" s="166" customFormat="1" ht="18" customHeight="1">
      <c r="A62" s="736">
        <f>A59+1</f>
        <v>16</v>
      </c>
      <c r="B62" s="738"/>
      <c r="C62" s="741" t="s">
        <v>5261</v>
      </c>
      <c r="D62" s="741" t="s">
        <v>5262</v>
      </c>
      <c r="E62" s="213"/>
      <c r="F62" s="750" t="s">
        <v>59</v>
      </c>
      <c r="G62" s="741" t="s">
        <v>73</v>
      </c>
      <c r="H62" s="746"/>
      <c r="I62" s="212" t="s">
        <v>6</v>
      </c>
      <c r="J62" s="214" t="s">
        <v>5236</v>
      </c>
      <c r="K62" s="215">
        <f>WORKDAY(L62,-INDEX(L$12:L$15,MATCH($I62,$I$12:$I$15,0)))</f>
        <v>46176</v>
      </c>
      <c r="L62" s="215">
        <f>WORKDAY(M62,-INDEX(M$12:M$15,MATCH($I62,$I$12:$I$15,0)))</f>
        <v>46177</v>
      </c>
      <c r="M62" s="215">
        <f>WORKDAY(N62,-INDEX(N$12:N$15,MATCH($I62,$I$12:$I$15,0)))</f>
        <v>46184</v>
      </c>
      <c r="N62" s="215">
        <f>WORKDAY(O62,-INDEX(O$12:O$15,MATCH($I62,$I$12:$I$15,0)))</f>
        <v>46185</v>
      </c>
      <c r="O62" s="215">
        <f>WORKDAY(R62,-INDEX(R$12:R$15,MATCH($I62,$I$12:$I$15,0)))</f>
        <v>46192</v>
      </c>
      <c r="P62" s="216">
        <f>U62-L62</f>
        <v>76</v>
      </c>
      <c r="Q62" s="217"/>
      <c r="R62" s="215">
        <f>WORKDAY(S62,-INDEX(S$12:S$15,MATCH($I62,$I$12:$I$15,0)))</f>
        <v>46206</v>
      </c>
      <c r="S62" s="215">
        <f>WORKDAY(T62,-INDEX(T$12:T$15,MATCH($I62,$I$12:$I$15,0)))</f>
        <v>46234</v>
      </c>
      <c r="T62" s="215">
        <f>WORKDAY(U62,-INDEX(U$12:U$15,MATCH($I62,$I$12:$I$15,0)))</f>
        <v>46239</v>
      </c>
      <c r="U62" s="215">
        <f>X62-Y62</f>
        <v>46253</v>
      </c>
      <c r="V62" s="215">
        <f>WORKDAY(U62,INDEX(V$12:V$15,MATCH($I62,$I$12:$I$15,0)))</f>
        <v>46255</v>
      </c>
      <c r="W62" s="218">
        <f>Y62/7</f>
        <v>32</v>
      </c>
      <c r="X62" s="215">
        <f>Z62</f>
        <v>46477</v>
      </c>
      <c r="Y62" s="768">
        <f>32*7</f>
        <v>224</v>
      </c>
      <c r="Z62" s="773">
        <v>46477</v>
      </c>
      <c r="AA62" s="773">
        <v>46477</v>
      </c>
      <c r="AB62" s="777">
        <f>Z62-X63</f>
        <v>0</v>
      </c>
      <c r="AC62" s="220">
        <f>IF(ISERROR(LOOKUP(AC$16,$L62:$X62,#REF!)),0,(LOOKUP(AC$16,$L62:$X62,#REF!)))</f>
        <v>0</v>
      </c>
      <c r="AD62" s="221">
        <f>IF(ISERROR(LOOKUP(AD$16,$L62:$X62,#REF!)),0,(LOOKUP(AD$16,$L62:$X62,#REF!)))</f>
        <v>0</v>
      </c>
      <c r="AE62" s="221">
        <f>IF(ISERROR(LOOKUP(AE$16,$L62:$X62,#REF!)),0,(LOOKUP(AE$16,$L62:$X62,#REF!)))</f>
        <v>0</v>
      </c>
      <c r="AF62" s="221">
        <f>IF(ISERROR(LOOKUP(AF$16,$L62:$X62,#REF!)),0,(LOOKUP(AF$16,$L62:$X62,#REF!)))</f>
        <v>0</v>
      </c>
      <c r="AG62" s="221">
        <f>IF(ISERROR(LOOKUP(AG$16,$L62:$X62,#REF!)),0,(LOOKUP(AG$16,$L62:$X62,#REF!)))</f>
        <v>0</v>
      </c>
      <c r="AH62" s="221">
        <f>IF(ISERROR(LOOKUP(AH$16,$L62:$X62,#REF!)),0,(LOOKUP(AH$16,$L62:$X62,#REF!)))</f>
        <v>0</v>
      </c>
      <c r="AI62" s="221">
        <f>IF(ISERROR(LOOKUP(AI$16,$L62:$X62,#REF!)),0,(LOOKUP(AI$16,$L62:$X62,#REF!)))</f>
        <v>0</v>
      </c>
      <c r="AJ62" s="221">
        <f>IF(ISERROR(LOOKUP(AJ$16,$L62:$X62,#REF!)),0,(LOOKUP(AJ$16,$L62:$X62,#REF!)))</f>
        <v>0</v>
      </c>
      <c r="AK62" s="221">
        <f>IF(ISERROR(LOOKUP(AK$16,$L62:$X62,#REF!)),0,(LOOKUP(AK$16,$L62:$X62,#REF!)))</f>
        <v>0</v>
      </c>
      <c r="AL62" s="221">
        <f>IF(ISERROR(LOOKUP(AL$16,$L62:$X62,#REF!)),0,(LOOKUP(AL$16,$L62:$X62,#REF!)))</f>
        <v>0</v>
      </c>
      <c r="AM62" s="221">
        <f ca="1">IF(ISERROR(LOOKUP(AM$16,$L62:$X62,#REF!)),0,(LOOKUP(AM$16,$L62:$X62,#REF!)))</f>
        <v>0</v>
      </c>
      <c r="AO62" s="166">
        <f t="shared" si="0"/>
        <v>14</v>
      </c>
      <c r="AP62" s="215" t="e">
        <f>WORKDAY(AQ62,-INDEX(AQ$12:AQ$15,MATCH($I62,$I$12:$I$15,0)),$AW$17:$AW$148)</f>
        <v>#REF!</v>
      </c>
      <c r="AQ62" s="215" t="e">
        <f>WORKDAY(U62,-INDEX(U$12:U$15,MATCH($I62,$I$12:$I$15,0)),$AW$17:$AW$148)</f>
        <v>#REF!</v>
      </c>
      <c r="AR62" s="215" t="e">
        <f>WORKDAY(U62,-INDEX(U$12:U$15,MATCH($I62,$I$12:$I$15,0)),$AW$17:$AW$148)</f>
        <v>#REF!</v>
      </c>
      <c r="AS62" s="778">
        <v>14</v>
      </c>
      <c r="AW62" s="223" t="e">
        <v>#REF!</v>
      </c>
    </row>
    <row r="63" spans="1:49" s="166" customFormat="1" ht="18" customHeight="1">
      <c r="A63" s="736"/>
      <c r="B63" s="739"/>
      <c r="C63" s="741" t="str">
        <f>C62</f>
        <v>RFQ-016</v>
      </c>
      <c r="D63" s="741" t="str">
        <f>D62</f>
        <v>Open Drain Caisson Pump</v>
      </c>
      <c r="E63" s="224"/>
      <c r="F63" s="751"/>
      <c r="G63" s="741" t="str">
        <f>G62</f>
        <v>N</v>
      </c>
      <c r="H63" s="747"/>
      <c r="I63" s="212" t="str">
        <f>I62</f>
        <v>LA</v>
      </c>
      <c r="J63" s="214" t="s">
        <v>65</v>
      </c>
      <c r="K63" s="215">
        <f>K62</f>
        <v>46176</v>
      </c>
      <c r="L63" s="215">
        <f>WORKDAY(IF(K64="",K63,K64),INDEX(L$12:L$15,MATCH($I62,$I$12:$I$15,0)))</f>
        <v>46177</v>
      </c>
      <c r="M63" s="215">
        <f>WORKDAY(IF(L64="",L63,L64),INDEX(M$12:M$15,MATCH($I62,$I$12:$I$15,0)))</f>
        <v>46184</v>
      </c>
      <c r="N63" s="215">
        <f>WORKDAY(IF(M64="",M63,M64),INDEX(N$12:N$15,MATCH($I62,$I$12:$I$15,0)))</f>
        <v>46185</v>
      </c>
      <c r="O63" s="215">
        <f>WORKDAY(IF(N64="",N63,N64),INDEX(O$12:O$15,MATCH($I62,$I$12:$I$15,0)))</f>
        <v>46192</v>
      </c>
      <c r="P63" s="216"/>
      <c r="Q63" s="217"/>
      <c r="R63" s="215">
        <f>WORKDAY(IF(O64="",O63,O64),INDEX(R$12:R$15,MATCH($I62,$I$12:$I$15,0)))</f>
        <v>46206</v>
      </c>
      <c r="S63" s="215">
        <f>WORKDAY(IF(R64="",R63,R64),INDEX(S$12:S$15,MATCH($I62,$I$12:$I$15,0)))</f>
        <v>46234</v>
      </c>
      <c r="T63" s="215">
        <f>WORKDAY(IF(S64="",S63,S64),INDEX(T$12:T$15,MATCH($I62,$I$12:$I$15,0)))</f>
        <v>46239</v>
      </c>
      <c r="U63" s="215">
        <f>WORKDAY(IF(T64="",T63,T64),INDEX(U$12:U$15,MATCH($I62,$I$12:$I$15,0)))</f>
        <v>46253</v>
      </c>
      <c r="V63" s="215">
        <f>WORKDAY(IF(U64="",U63,U64),INDEX(V$12:V$15,MATCH($I62,$I$12:$I$15,0)))</f>
        <v>46255</v>
      </c>
      <c r="W63" s="218"/>
      <c r="X63" s="215">
        <f>U63+Y62</f>
        <v>46477</v>
      </c>
      <c r="Y63" s="768"/>
      <c r="Z63" s="773"/>
      <c r="AA63" s="773"/>
      <c r="AB63" s="777"/>
      <c r="AC63" s="220">
        <f>IF(ISERROR(LOOKUP(AC$16,$L63:$X63,#REF!)),0,(LOOKUP(AC$16,$L63:$X63,#REF!)))</f>
        <v>0</v>
      </c>
      <c r="AD63" s="221">
        <f>IF(ISERROR(LOOKUP(AD$16,$L63:$X63,#REF!)),0,(LOOKUP(AD$16,$L63:$X63,#REF!)))</f>
        <v>0</v>
      </c>
      <c r="AE63" s="221">
        <f>IF(ISERROR(LOOKUP(AE$16,$L63:$X63,#REF!)),0,(LOOKUP(AE$16,$L63:$X63,#REF!)))</f>
        <v>0</v>
      </c>
      <c r="AF63" s="221">
        <f>IF(ISERROR(LOOKUP(AF$16,$L63:$X63,#REF!)),0,(LOOKUP(AF$16,$L63:$X63,#REF!)))</f>
        <v>0</v>
      </c>
      <c r="AG63" s="221">
        <f>IF(ISERROR(LOOKUP(AG$16,$L63:$X63,#REF!)),0,(LOOKUP(AG$16,$L63:$X63,#REF!)))</f>
        <v>0</v>
      </c>
      <c r="AH63" s="221">
        <f>IF(ISERROR(LOOKUP(AH$16,$L63:$X63,#REF!)),0,(LOOKUP(AH$16,$L63:$X63,#REF!)))</f>
        <v>0</v>
      </c>
      <c r="AI63" s="221">
        <f>IF(ISERROR(LOOKUP(AI$16,$L63:$X63,#REF!)),0,(LOOKUP(AI$16,$L63:$X63,#REF!)))</f>
        <v>0</v>
      </c>
      <c r="AJ63" s="221">
        <f>IF(ISERROR(LOOKUP(AJ$16,$L63:$X63,#REF!)),0,(LOOKUP(AJ$16,$L63:$X63,#REF!)))</f>
        <v>0</v>
      </c>
      <c r="AK63" s="221">
        <f>IF(ISERROR(LOOKUP(AK$16,$L63:$X63,#REF!)),0,(LOOKUP(AK$16,$L63:$X63,#REF!)))</f>
        <v>0</v>
      </c>
      <c r="AL63" s="221">
        <f>IF(ISERROR(LOOKUP(AL$16,$L63:$X63,#REF!)),0,(LOOKUP(AL$16,$L63:$X63,#REF!)))</f>
        <v>0</v>
      </c>
      <c r="AM63" s="221">
        <f ca="1">IF(ISERROR(LOOKUP(AM$16,$L63:$X63,#REF!)),0,(LOOKUP(AM$16,$L63:$X63,#REF!)))</f>
        <v>0</v>
      </c>
      <c r="AO63" s="166">
        <f t="shared" si="0"/>
        <v>14</v>
      </c>
      <c r="AP63" s="215" t="e">
        <f>WORKDAY(IF(T64="",T63,T64),INDEX(AP$12:AP$15,MATCH($I62,$I$12:$I$15,0)),$AW$17:$AW$148)</f>
        <v>#REF!</v>
      </c>
      <c r="AQ63" s="215" t="e">
        <f>WORKDAY(IF(AP64="",AP63,AP64),INDEX(AQ$12:AQ$15,MATCH($I62,$I$12:$I$15,0)),$AW$17:$AW$148)</f>
        <v>#REF!</v>
      </c>
      <c r="AR63" s="215" t="e">
        <f>WORKDAY(IF(AQ64="",AQ63,AQ64),INDEX(AR$12:AR$15,MATCH($I62,$I$12:$I$15,0)),$AW$17:$AW$148)</f>
        <v>#REF!</v>
      </c>
      <c r="AS63" s="778"/>
      <c r="AW63" s="223" t="e">
        <v>#REF!</v>
      </c>
    </row>
    <row r="64" spans="1:49" s="166" customFormat="1" ht="18" customHeight="1">
      <c r="A64" s="736"/>
      <c r="B64" s="740"/>
      <c r="C64" s="741" t="str">
        <f>C62</f>
        <v>RFQ-016</v>
      </c>
      <c r="D64" s="741" t="str">
        <f>D62</f>
        <v>Open Drain Caisson Pump</v>
      </c>
      <c r="E64" s="225"/>
      <c r="F64" s="752"/>
      <c r="G64" s="741" t="str">
        <f>G62</f>
        <v>N</v>
      </c>
      <c r="H64" s="748"/>
      <c r="I64" s="212" t="str">
        <f>I62</f>
        <v>LA</v>
      </c>
      <c r="J64" s="214" t="s">
        <v>67</v>
      </c>
      <c r="K64" s="212"/>
      <c r="L64" s="212"/>
      <c r="M64" s="212"/>
      <c r="N64" s="212"/>
      <c r="O64" s="212"/>
      <c r="P64" s="226"/>
      <c r="Q64" s="227"/>
      <c r="R64" s="212"/>
      <c r="S64" s="212"/>
      <c r="T64" s="212"/>
      <c r="U64" s="212"/>
      <c r="V64" s="212"/>
      <c r="W64" s="228"/>
      <c r="X64" s="212"/>
      <c r="Y64" s="768"/>
      <c r="Z64" s="773"/>
      <c r="AA64" s="773"/>
      <c r="AB64" s="777"/>
      <c r="AC64" s="229">
        <f>IF(ISERROR(LOOKUP(AC$16,$L64:$X64,#REF!)),0,(LOOKUP(AC$16,$L64:$X64,#REF!)))</f>
        <v>0</v>
      </c>
      <c r="AD64" s="230">
        <f>IF(ISERROR(LOOKUP(AD$16,$L64:$X64,#REF!)),0,(LOOKUP(AD$16,$L64:$X64,#REF!)))</f>
        <v>0</v>
      </c>
      <c r="AE64" s="230">
        <f>IF(ISERROR(LOOKUP(AE$16,$L64:$X64,#REF!)),0,(LOOKUP(AE$16,$L64:$X64,#REF!)))</f>
        <v>0</v>
      </c>
      <c r="AF64" s="230">
        <f>IF(ISERROR(LOOKUP(AF$16,$L64:$X64,#REF!)),0,(LOOKUP(AF$16,$L64:$X64,#REF!)))</f>
        <v>0</v>
      </c>
      <c r="AG64" s="230">
        <f>IF(ISERROR(LOOKUP(AG$16,$L64:$X64,#REF!)),0,(LOOKUP(AG$16,$L64:$X64,#REF!)))</f>
        <v>0</v>
      </c>
      <c r="AH64" s="230">
        <f>IF(ISERROR(LOOKUP(AH$16,$L64:$X64,#REF!)),0,(LOOKUP(AH$16,$L64:$X64,#REF!)))</f>
        <v>0</v>
      </c>
      <c r="AI64" s="230">
        <f>IF(ISERROR(LOOKUP(AI$16,$L64:$X64,#REF!)),0,(LOOKUP(AI$16,$L64:$X64,#REF!)))</f>
        <v>0</v>
      </c>
      <c r="AJ64" s="230">
        <f>IF(ISERROR(LOOKUP(AJ$16,$L64:$X64,#REF!)),0,(LOOKUP(AJ$16,$L64:$X64,#REF!)))</f>
        <v>0</v>
      </c>
      <c r="AK64" s="230">
        <f>IF(ISERROR(LOOKUP(AK$16,$L64:$X64,#REF!)),0,(LOOKUP(AK$16,$L64:$X64,#REF!)))</f>
        <v>0</v>
      </c>
      <c r="AL64" s="230">
        <f>IF(ISERROR(LOOKUP(AL$16,$L64:$X64,#REF!)),0,(LOOKUP(AL$16,$L64:$X64,#REF!)))</f>
        <v>0</v>
      </c>
      <c r="AM64" s="230">
        <f ca="1">IF(ISERROR(LOOKUP(AM$16,$L64:$X64,#REF!)),0,(LOOKUP(AM$16,$L64:$X64,#REF!)))</f>
        <v>0</v>
      </c>
      <c r="AO64" s="166">
        <f t="shared" si="0"/>
        <v>0</v>
      </c>
      <c r="AP64" s="212"/>
      <c r="AQ64" s="212"/>
      <c r="AR64" s="212"/>
      <c r="AS64" s="778"/>
      <c r="AW64" s="223" t="e">
        <v>#REF!</v>
      </c>
    </row>
    <row r="65" spans="1:49" s="166" customFormat="1" ht="20.25" customHeight="1">
      <c r="A65" s="736">
        <f>A62+1</f>
        <v>17</v>
      </c>
      <c r="B65" s="738"/>
      <c r="C65" s="741" t="s">
        <v>5263</v>
      </c>
      <c r="D65" s="741" t="s">
        <v>5264</v>
      </c>
      <c r="E65" s="213"/>
      <c r="F65" s="750" t="s">
        <v>124</v>
      </c>
      <c r="G65" s="741" t="s">
        <v>73</v>
      </c>
      <c r="H65" s="746"/>
      <c r="I65" s="212" t="s">
        <v>7</v>
      </c>
      <c r="J65" s="214" t="s">
        <v>5236</v>
      </c>
      <c r="K65" s="215">
        <f>WORKDAY(L65,-INDEX(L$12:L$15,MATCH($I65,$I$12:$I$15,0)))</f>
        <v>46190</v>
      </c>
      <c r="L65" s="215">
        <f>WORKDAY(M65,-INDEX(M$12:M$15,MATCH($I65,$I$12:$I$15,0)))</f>
        <v>46191</v>
      </c>
      <c r="M65" s="215">
        <f>WORKDAY(N65,-INDEX(N$12:N$15,MATCH($I65,$I$12:$I$15,0)))</f>
        <v>46198</v>
      </c>
      <c r="N65" s="215">
        <f>WORKDAY(O65,-INDEX(O$12:O$15,MATCH($I65,$I$12:$I$15,0)))</f>
        <v>46199</v>
      </c>
      <c r="O65" s="215">
        <f>WORKDAY(R65,-INDEX(R$12:R$15,MATCH($I65,$I$12:$I$15,0)))</f>
        <v>46206</v>
      </c>
      <c r="P65" s="216">
        <f>U65-L65</f>
        <v>76</v>
      </c>
      <c r="Q65" s="217"/>
      <c r="R65" s="215">
        <f>WORKDAY(S65,-INDEX(S$12:S$15,MATCH($I65,$I$12:$I$15,0)))</f>
        <v>46220</v>
      </c>
      <c r="S65" s="215">
        <f>WORKDAY(T65,-INDEX(T$12:T$15,MATCH($I65,$I$12:$I$15,0)))</f>
        <v>46248</v>
      </c>
      <c r="T65" s="215">
        <f>WORKDAY(U65,-INDEX(U$12:U$15,MATCH($I65,$I$12:$I$15,0)))</f>
        <v>46253</v>
      </c>
      <c r="U65" s="215">
        <f>X65-Y65</f>
        <v>46267</v>
      </c>
      <c r="V65" s="215">
        <f>WORKDAY(U65,INDEX(V$12:V$15,MATCH($I65,$I$12:$I$15,0)))</f>
        <v>46269</v>
      </c>
      <c r="W65" s="218">
        <f>Y65/7</f>
        <v>34</v>
      </c>
      <c r="X65" s="215">
        <f>Z65</f>
        <v>46505</v>
      </c>
      <c r="Y65" s="768">
        <f>34*7</f>
        <v>238</v>
      </c>
      <c r="Z65" s="773">
        <v>46505</v>
      </c>
      <c r="AA65" s="773">
        <v>46505</v>
      </c>
      <c r="AB65" s="777">
        <f>Z65-X66</f>
        <v>0</v>
      </c>
      <c r="AC65" s="220">
        <f>IF(ISERROR(LOOKUP(AC$16,$L65:$X65,#REF!)),0,(LOOKUP(AC$16,$L65:$X65,#REF!)))</f>
        <v>0</v>
      </c>
      <c r="AD65" s="221">
        <f>IF(ISERROR(LOOKUP(AD$16,$L65:$X65,#REF!)),0,(LOOKUP(AD$16,$L65:$X65,#REF!)))</f>
        <v>0</v>
      </c>
      <c r="AE65" s="221">
        <f>IF(ISERROR(LOOKUP(AE$16,$L65:$X65,#REF!)),0,(LOOKUP(AE$16,$L65:$X65,#REF!)))</f>
        <v>0</v>
      </c>
      <c r="AF65" s="221">
        <f>IF(ISERROR(LOOKUP(AF$16,$L65:$X65,#REF!)),0,(LOOKUP(AF$16,$L65:$X65,#REF!)))</f>
        <v>0</v>
      </c>
      <c r="AG65" s="221">
        <f>IF(ISERROR(LOOKUP(AG$16,$L65:$X65,#REF!)),0,(LOOKUP(AG$16,$L65:$X65,#REF!)))</f>
        <v>0</v>
      </c>
      <c r="AH65" s="221">
        <f>IF(ISERROR(LOOKUP(AH$16,$L65:$X65,#REF!)),0,(LOOKUP(AH$16,$L65:$X65,#REF!)))</f>
        <v>0</v>
      </c>
      <c r="AI65" s="221">
        <f>IF(ISERROR(LOOKUP(AI$16,$L65:$X65,#REF!)),0,(LOOKUP(AI$16,$L65:$X65,#REF!)))</f>
        <v>0</v>
      </c>
      <c r="AJ65" s="221">
        <f>IF(ISERROR(LOOKUP(AJ$16,$L65:$X65,#REF!)),0,(LOOKUP(AJ$16,$L65:$X65,#REF!)))</f>
        <v>0</v>
      </c>
      <c r="AK65" s="221">
        <f>IF(ISERROR(LOOKUP(AK$16,$L65:$X65,#REF!)),0,(LOOKUP(AK$16,$L65:$X65,#REF!)))</f>
        <v>0</v>
      </c>
      <c r="AL65" s="221">
        <f>IF(ISERROR(LOOKUP(AL$16,$L65:$X65,#REF!)),0,(LOOKUP(AL$16,$L65:$X65,#REF!)))</f>
        <v>0</v>
      </c>
      <c r="AM65" s="221">
        <f ca="1">IF(ISERROR(LOOKUP(AM$16,$L65:$X65,#REF!)),0,(LOOKUP(AM$16,$L65:$X65,#REF!)))</f>
        <v>0</v>
      </c>
      <c r="AO65" s="166">
        <f t="shared" si="0"/>
        <v>14</v>
      </c>
      <c r="AP65" s="215" t="e">
        <f>WORKDAY(AQ65,-INDEX(AQ$12:AQ$15,MATCH($I65,$I$12:$I$15,0)),$AW$17:$AW$148)</f>
        <v>#REF!</v>
      </c>
      <c r="AQ65" s="215" t="e">
        <f>WORKDAY(U65,-INDEX(U$12:U$15,MATCH($I65,$I$12:$I$15,0)),$AW$17:$AW$148)</f>
        <v>#REF!</v>
      </c>
      <c r="AR65" s="215" t="e">
        <f>WORKDAY(U65,-INDEX(U$12:U$15,MATCH($I65,$I$12:$I$15,0)),$AW$17:$AW$148)</f>
        <v>#REF!</v>
      </c>
      <c r="AS65" s="778">
        <v>14</v>
      </c>
      <c r="AW65" s="223" t="e">
        <v>#REF!</v>
      </c>
    </row>
    <row r="66" spans="1:49" s="166" customFormat="1" ht="20.25" customHeight="1">
      <c r="A66" s="736"/>
      <c r="B66" s="739"/>
      <c r="C66" s="741" t="str">
        <f>C65</f>
        <v>RFQ-017</v>
      </c>
      <c r="D66" s="741" t="str">
        <f>D65</f>
        <v>DC Distribution Board</v>
      </c>
      <c r="E66" s="224"/>
      <c r="F66" s="751"/>
      <c r="G66" s="741" t="str">
        <f>G65</f>
        <v>N</v>
      </c>
      <c r="H66" s="747"/>
      <c r="I66" s="212" t="str">
        <f>I65</f>
        <v>LB</v>
      </c>
      <c r="J66" s="214" t="s">
        <v>65</v>
      </c>
      <c r="K66" s="215">
        <f>K65</f>
        <v>46190</v>
      </c>
      <c r="L66" s="215">
        <f>WORKDAY(IF(K67="",K66,K67),INDEX(L$12:L$15,MATCH($I65,$I$12:$I$15,0)))</f>
        <v>46191</v>
      </c>
      <c r="M66" s="215">
        <f>WORKDAY(IF(L67="",L66,L67),INDEX(M$12:M$15,MATCH($I65,$I$12:$I$15,0)))</f>
        <v>46198</v>
      </c>
      <c r="N66" s="215">
        <f>WORKDAY(IF(M67="",M66,M67),INDEX(N$12:N$15,MATCH($I65,$I$12:$I$15,0)))</f>
        <v>46199</v>
      </c>
      <c r="O66" s="215">
        <f>WORKDAY(IF(N67="",N66,N67),INDEX(O$12:O$15,MATCH($I65,$I$12:$I$15,0)))</f>
        <v>46206</v>
      </c>
      <c r="P66" s="216"/>
      <c r="Q66" s="217"/>
      <c r="R66" s="215">
        <f>WORKDAY(IF(O67="",O66,O67),INDEX(R$12:R$15,MATCH($I65,$I$12:$I$15,0)))</f>
        <v>46220</v>
      </c>
      <c r="S66" s="215">
        <f>WORKDAY(IF(R67="",R66,R67),INDEX(S$12:S$15,MATCH($I65,$I$12:$I$15,0)))</f>
        <v>46248</v>
      </c>
      <c r="T66" s="215">
        <f>WORKDAY(IF(S67="",S66,S67),INDEX(T$12:T$15,MATCH($I65,$I$12:$I$15,0)))</f>
        <v>46253</v>
      </c>
      <c r="U66" s="215">
        <f>WORKDAY(IF(T67="",T66,T67),INDEX(U$12:U$15,MATCH($I65,$I$12:$I$15,0)))</f>
        <v>46267</v>
      </c>
      <c r="V66" s="215">
        <f>WORKDAY(IF(U67="",U66,U67),INDEX(V$12:V$15,MATCH($I65,$I$12:$I$15,0)))</f>
        <v>46269</v>
      </c>
      <c r="W66" s="218"/>
      <c r="X66" s="215">
        <f>U66+Y65</f>
        <v>46505</v>
      </c>
      <c r="Y66" s="768"/>
      <c r="Z66" s="773"/>
      <c r="AA66" s="773"/>
      <c r="AB66" s="777"/>
      <c r="AC66" s="220">
        <f>IF(ISERROR(LOOKUP(AC$16,$L66:$X66,#REF!)),0,(LOOKUP(AC$16,$L66:$X66,#REF!)))</f>
        <v>0</v>
      </c>
      <c r="AD66" s="221">
        <f>IF(ISERROR(LOOKUP(AD$16,$L66:$X66,#REF!)),0,(LOOKUP(AD$16,$L66:$X66,#REF!)))</f>
        <v>0</v>
      </c>
      <c r="AE66" s="221">
        <f>IF(ISERROR(LOOKUP(AE$16,$L66:$X66,#REF!)),0,(LOOKUP(AE$16,$L66:$X66,#REF!)))</f>
        <v>0</v>
      </c>
      <c r="AF66" s="221">
        <f>IF(ISERROR(LOOKUP(AF$16,$L66:$X66,#REF!)),0,(LOOKUP(AF$16,$L66:$X66,#REF!)))</f>
        <v>0</v>
      </c>
      <c r="AG66" s="221">
        <f>IF(ISERROR(LOOKUP(AG$16,$L66:$X66,#REF!)),0,(LOOKUP(AG$16,$L66:$X66,#REF!)))</f>
        <v>0</v>
      </c>
      <c r="AH66" s="221">
        <f>IF(ISERROR(LOOKUP(AH$16,$L66:$X66,#REF!)),0,(LOOKUP(AH$16,$L66:$X66,#REF!)))</f>
        <v>0</v>
      </c>
      <c r="AI66" s="221">
        <f>IF(ISERROR(LOOKUP(AI$16,$L66:$X66,#REF!)),0,(LOOKUP(AI$16,$L66:$X66,#REF!)))</f>
        <v>0</v>
      </c>
      <c r="AJ66" s="221">
        <f>IF(ISERROR(LOOKUP(AJ$16,$L66:$X66,#REF!)),0,(LOOKUP(AJ$16,$L66:$X66,#REF!)))</f>
        <v>0</v>
      </c>
      <c r="AK66" s="221">
        <f>IF(ISERROR(LOOKUP(AK$16,$L66:$X66,#REF!)),0,(LOOKUP(AK$16,$L66:$X66,#REF!)))</f>
        <v>0</v>
      </c>
      <c r="AL66" s="221">
        <f>IF(ISERROR(LOOKUP(AL$16,$L66:$X66,#REF!)),0,(LOOKUP(AL$16,$L66:$X66,#REF!)))</f>
        <v>0</v>
      </c>
      <c r="AM66" s="221">
        <f ca="1">IF(ISERROR(LOOKUP(AM$16,$L66:$X66,#REF!)),0,(LOOKUP(AM$16,$L66:$X66,#REF!)))</f>
        <v>0</v>
      </c>
      <c r="AO66" s="166">
        <f t="shared" si="0"/>
        <v>14</v>
      </c>
      <c r="AP66" s="215" t="e">
        <f>WORKDAY(IF(T67="",T66,T67),INDEX(AP$12:AP$15,MATCH($I65,$I$12:$I$15,0)),$AW$17:$AW$148)</f>
        <v>#REF!</v>
      </c>
      <c r="AQ66" s="215" t="e">
        <f>WORKDAY(IF(AP67="",AP66,AP67),INDEX(AQ$12:AQ$15,MATCH($I65,$I$12:$I$15,0)),$AW$17:$AW$148)</f>
        <v>#REF!</v>
      </c>
      <c r="AR66" s="215" t="e">
        <f>WORKDAY(IF(AQ67="",AQ66,AQ67),INDEX(AR$12:AR$15,MATCH($I65,$I$12:$I$15,0)),$AW$17:$AW$148)</f>
        <v>#REF!</v>
      </c>
      <c r="AS66" s="778"/>
      <c r="AW66" s="223" t="e">
        <v>#REF!</v>
      </c>
    </row>
    <row r="67" spans="1:49" s="166" customFormat="1" ht="20.25" customHeight="1">
      <c r="A67" s="736"/>
      <c r="B67" s="740"/>
      <c r="C67" s="741" t="str">
        <f>C65</f>
        <v>RFQ-017</v>
      </c>
      <c r="D67" s="741" t="str">
        <f>D65</f>
        <v>DC Distribution Board</v>
      </c>
      <c r="E67" s="225"/>
      <c r="F67" s="752"/>
      <c r="G67" s="741" t="str">
        <f>G65</f>
        <v>N</v>
      </c>
      <c r="H67" s="748"/>
      <c r="I67" s="212" t="str">
        <f>I65</f>
        <v>LB</v>
      </c>
      <c r="J67" s="214" t="s">
        <v>67</v>
      </c>
      <c r="K67" s="212"/>
      <c r="L67" s="212"/>
      <c r="M67" s="212"/>
      <c r="N67" s="212"/>
      <c r="O67" s="212"/>
      <c r="P67" s="226"/>
      <c r="Q67" s="227"/>
      <c r="R67" s="212"/>
      <c r="S67" s="212"/>
      <c r="T67" s="212"/>
      <c r="U67" s="212"/>
      <c r="V67" s="212"/>
      <c r="W67" s="228"/>
      <c r="X67" s="212"/>
      <c r="Y67" s="768"/>
      <c r="Z67" s="773"/>
      <c r="AA67" s="773"/>
      <c r="AB67" s="777"/>
      <c r="AC67" s="229">
        <f>IF(ISERROR(LOOKUP(AC$16,$L67:$X67,#REF!)),0,(LOOKUP(AC$16,$L67:$X67,#REF!)))</f>
        <v>0</v>
      </c>
      <c r="AD67" s="230">
        <f>IF(ISERROR(LOOKUP(AD$16,$L67:$X67,#REF!)),0,(LOOKUP(AD$16,$L67:$X67,#REF!)))</f>
        <v>0</v>
      </c>
      <c r="AE67" s="230">
        <f>IF(ISERROR(LOOKUP(AE$16,$L67:$X67,#REF!)),0,(LOOKUP(AE$16,$L67:$X67,#REF!)))</f>
        <v>0</v>
      </c>
      <c r="AF67" s="230">
        <f>IF(ISERROR(LOOKUP(AF$16,$L67:$X67,#REF!)),0,(LOOKUP(AF$16,$L67:$X67,#REF!)))</f>
        <v>0</v>
      </c>
      <c r="AG67" s="230">
        <f>IF(ISERROR(LOOKUP(AG$16,$L67:$X67,#REF!)),0,(LOOKUP(AG$16,$L67:$X67,#REF!)))</f>
        <v>0</v>
      </c>
      <c r="AH67" s="230">
        <f>IF(ISERROR(LOOKUP(AH$16,$L67:$X67,#REF!)),0,(LOOKUP(AH$16,$L67:$X67,#REF!)))</f>
        <v>0</v>
      </c>
      <c r="AI67" s="230">
        <f>IF(ISERROR(LOOKUP(AI$16,$L67:$X67,#REF!)),0,(LOOKUP(AI$16,$L67:$X67,#REF!)))</f>
        <v>0</v>
      </c>
      <c r="AJ67" s="230">
        <f>IF(ISERROR(LOOKUP(AJ$16,$L67:$X67,#REF!)),0,(LOOKUP(AJ$16,$L67:$X67,#REF!)))</f>
        <v>0</v>
      </c>
      <c r="AK67" s="230">
        <f>IF(ISERROR(LOOKUP(AK$16,$L67:$X67,#REF!)),0,(LOOKUP(AK$16,$L67:$X67,#REF!)))</f>
        <v>0</v>
      </c>
      <c r="AL67" s="230">
        <f>IF(ISERROR(LOOKUP(AL$16,$L67:$X67,#REF!)),0,(LOOKUP(AL$16,$L67:$X67,#REF!)))</f>
        <v>0</v>
      </c>
      <c r="AM67" s="230">
        <f ca="1">IF(ISERROR(LOOKUP(AM$16,$L67:$X67,#REF!)),0,(LOOKUP(AM$16,$L67:$X67,#REF!)))</f>
        <v>0</v>
      </c>
      <c r="AO67" s="166">
        <f t="shared" si="0"/>
        <v>0</v>
      </c>
      <c r="AP67" s="212"/>
      <c r="AQ67" s="212"/>
      <c r="AR67" s="212"/>
      <c r="AS67" s="778"/>
      <c r="AW67" s="223" t="e">
        <v>#REF!</v>
      </c>
    </row>
    <row r="68" spans="1:49" s="166" customFormat="1" ht="22.5" customHeight="1">
      <c r="A68" s="736">
        <f>A65+1</f>
        <v>18</v>
      </c>
      <c r="B68" s="738"/>
      <c r="C68" s="741" t="s">
        <v>5265</v>
      </c>
      <c r="D68" s="741" t="s">
        <v>128</v>
      </c>
      <c r="E68" s="213"/>
      <c r="F68" s="750" t="s">
        <v>124</v>
      </c>
      <c r="G68" s="741" t="str">
        <f>IF(_xlfn.XLOOKUP(C68,'[38]Before Award'!D:D,'[38]Before Award'!AV:AV,"N/A")="N/A","N","Y")</f>
        <v>N</v>
      </c>
      <c r="H68" s="746"/>
      <c r="I68" s="212" t="s">
        <v>6</v>
      </c>
      <c r="J68" s="214" t="s">
        <v>5236</v>
      </c>
      <c r="K68" s="215">
        <f>WORKDAY(L68,-INDEX(L$12:L$15,MATCH($I68,$I$12:$I$15,0)))</f>
        <v>46148</v>
      </c>
      <c r="L68" s="215">
        <f>WORKDAY(M68,-INDEX(M$12:M$15,MATCH($I68,$I$12:$I$15,0)))</f>
        <v>46149</v>
      </c>
      <c r="M68" s="215">
        <f>WORKDAY(N68,-INDEX(N$12:N$15,MATCH($I68,$I$12:$I$15,0)))</f>
        <v>46156</v>
      </c>
      <c r="N68" s="215">
        <f>WORKDAY(O68,-INDEX(O$12:O$15,MATCH($I68,$I$12:$I$15,0)))</f>
        <v>46157</v>
      </c>
      <c r="O68" s="215">
        <f>WORKDAY(R68,-INDEX(R$12:R$15,MATCH($I68,$I$12:$I$15,0)))</f>
        <v>46164</v>
      </c>
      <c r="P68" s="216">
        <f>U68-L68</f>
        <v>76</v>
      </c>
      <c r="Q68" s="217"/>
      <c r="R68" s="215">
        <f>WORKDAY(S68,-INDEX(S$12:S$15,MATCH($I68,$I$12:$I$15,0)))</f>
        <v>46178</v>
      </c>
      <c r="S68" s="215">
        <f>WORKDAY(T68,-INDEX(T$12:T$15,MATCH($I68,$I$12:$I$15,0)))</f>
        <v>46206</v>
      </c>
      <c r="T68" s="215">
        <f>WORKDAY(U68,-INDEX(U$12:U$15,MATCH($I68,$I$12:$I$15,0)))</f>
        <v>46211</v>
      </c>
      <c r="U68" s="215">
        <f>X68-Y68</f>
        <v>46225</v>
      </c>
      <c r="V68" s="215">
        <f>WORKDAY(U68,INDEX(V$12:V$15,MATCH($I68,$I$12:$I$15,0)))</f>
        <v>46227</v>
      </c>
      <c r="W68" s="218">
        <f>Y68/7</f>
        <v>36</v>
      </c>
      <c r="X68" s="215">
        <f>Z68</f>
        <v>46477</v>
      </c>
      <c r="Y68" s="768">
        <f>36*7</f>
        <v>252</v>
      </c>
      <c r="Z68" s="773">
        <v>46477</v>
      </c>
      <c r="AA68" s="773">
        <v>46477</v>
      </c>
      <c r="AB68" s="777">
        <f>Z68-X69</f>
        <v>0</v>
      </c>
      <c r="AC68" s="220">
        <f>IF(ISERROR(LOOKUP(AC$16,$L68:$X68,#REF!)),0,(LOOKUP(AC$16,$L68:$X68,#REF!)))</f>
        <v>0</v>
      </c>
      <c r="AD68" s="221">
        <f>IF(ISERROR(LOOKUP(AD$16,$L68:$X68,#REF!)),0,(LOOKUP(AD$16,$L68:$X68,#REF!)))</f>
        <v>0</v>
      </c>
      <c r="AE68" s="221">
        <f>IF(ISERROR(LOOKUP(AE$16,$L68:$X68,#REF!)),0,(LOOKUP(AE$16,$L68:$X68,#REF!)))</f>
        <v>0</v>
      </c>
      <c r="AF68" s="221">
        <f>IF(ISERROR(LOOKUP(AF$16,$L68:$X68,#REF!)),0,(LOOKUP(AF$16,$L68:$X68,#REF!)))</f>
        <v>0</v>
      </c>
      <c r="AG68" s="221">
        <f>IF(ISERROR(LOOKUP(AG$16,$L68:$X68,#REF!)),0,(LOOKUP(AG$16,$L68:$X68,#REF!)))</f>
        <v>0</v>
      </c>
      <c r="AH68" s="221">
        <f>IF(ISERROR(LOOKUP(AH$16,$L68:$X68,#REF!)),0,(LOOKUP(AH$16,$L68:$X68,#REF!)))</f>
        <v>0</v>
      </c>
      <c r="AI68" s="221">
        <f>IF(ISERROR(LOOKUP(AI$16,$L68:$X68,#REF!)),0,(LOOKUP(AI$16,$L68:$X68,#REF!)))</f>
        <v>0</v>
      </c>
      <c r="AJ68" s="221">
        <f>IF(ISERROR(LOOKUP(AJ$16,$L68:$X68,#REF!)),0,(LOOKUP(AJ$16,$L68:$X68,#REF!)))</f>
        <v>0</v>
      </c>
      <c r="AK68" s="221">
        <f>IF(ISERROR(LOOKUP(AK$16,$L68:$X68,#REF!)),0,(LOOKUP(AK$16,$L68:$X68,#REF!)))</f>
        <v>0</v>
      </c>
      <c r="AL68" s="221">
        <f>IF(ISERROR(LOOKUP(AL$16,$L68:$X68,#REF!)),0,(LOOKUP(AL$16,$L68:$X68,#REF!)))</f>
        <v>0</v>
      </c>
      <c r="AM68" s="221">
        <f ca="1">IF(ISERROR(LOOKUP(AM$16,$L68:$X68,#REF!)),0,(LOOKUP(AM$16,$L68:$X68,#REF!)))</f>
        <v>0</v>
      </c>
      <c r="AO68" s="166">
        <f t="shared" si="0"/>
        <v>14</v>
      </c>
      <c r="AP68" s="215" t="e">
        <f>WORKDAY(AQ68,-INDEX(AQ$12:AQ$15,MATCH($I68,$I$12:$I$15,0)),$AW$17:$AW$148)</f>
        <v>#REF!</v>
      </c>
      <c r="AQ68" s="215" t="e">
        <f>WORKDAY(U68,-INDEX(U$12:U$15,MATCH($I68,$I$12:$I$15,0)),$AW$17:$AW$148)</f>
        <v>#REF!</v>
      </c>
      <c r="AR68" s="215" t="e">
        <f>WORKDAY(U68,-INDEX(U$12:U$15,MATCH($I68,$I$12:$I$15,0)),$AW$17:$AW$148)</f>
        <v>#REF!</v>
      </c>
      <c r="AS68" s="778">
        <v>14</v>
      </c>
      <c r="AW68" s="223" t="e">
        <v>#REF!</v>
      </c>
    </row>
    <row r="69" spans="1:49" s="166" customFormat="1" ht="22.5" customHeight="1">
      <c r="A69" s="736"/>
      <c r="B69" s="739"/>
      <c r="C69" s="741" t="str">
        <f>C68</f>
        <v>RFQ-018</v>
      </c>
      <c r="D69" s="741" t="str">
        <f>D68</f>
        <v>Solar Power System</v>
      </c>
      <c r="E69" s="224"/>
      <c r="F69" s="751"/>
      <c r="G69" s="741" t="str">
        <f>G68</f>
        <v>N</v>
      </c>
      <c r="H69" s="747"/>
      <c r="I69" s="212" t="str">
        <f>I68</f>
        <v>LA</v>
      </c>
      <c r="J69" s="214" t="s">
        <v>65</v>
      </c>
      <c r="K69" s="215">
        <f>K68</f>
        <v>46148</v>
      </c>
      <c r="L69" s="215">
        <f>WORKDAY(IF(K70="",K69,K70),INDEX(L$12:L$15,MATCH($I68,$I$12:$I$15,0)))</f>
        <v>46149</v>
      </c>
      <c r="M69" s="215">
        <f>WORKDAY(IF(L70="",L69,L70),INDEX(M$12:M$15,MATCH($I68,$I$12:$I$15,0)))</f>
        <v>46156</v>
      </c>
      <c r="N69" s="215">
        <f>WORKDAY(IF(M70="",M69,M70),INDEX(N$12:N$15,MATCH($I68,$I$12:$I$15,0)))</f>
        <v>46157</v>
      </c>
      <c r="O69" s="215">
        <f>WORKDAY(IF(N70="",N69,N70),INDEX(O$12:O$15,MATCH($I68,$I$12:$I$15,0)))</f>
        <v>46164</v>
      </c>
      <c r="P69" s="216"/>
      <c r="Q69" s="217"/>
      <c r="R69" s="215">
        <f>WORKDAY(IF(O70="",O69,O70),INDEX(R$12:R$15,MATCH($I68,$I$12:$I$15,0)))</f>
        <v>46178</v>
      </c>
      <c r="S69" s="215">
        <f>WORKDAY(IF(R70="",R69,R70),INDEX(S$12:S$15,MATCH($I68,$I$12:$I$15,0)))</f>
        <v>46206</v>
      </c>
      <c r="T69" s="215">
        <f>WORKDAY(IF(S70="",S69,S70),INDEX(T$12:T$15,MATCH($I68,$I$12:$I$15,0)))</f>
        <v>46211</v>
      </c>
      <c r="U69" s="215">
        <f>WORKDAY(IF(T70="",T69,T70),INDEX(U$12:U$15,MATCH($I68,$I$12:$I$15,0)))</f>
        <v>46225</v>
      </c>
      <c r="V69" s="215">
        <f>WORKDAY(IF(U70="",U69,U70),INDEX(V$12:V$15,MATCH($I68,$I$12:$I$15,0)))</f>
        <v>46227</v>
      </c>
      <c r="W69" s="218"/>
      <c r="X69" s="215">
        <f>U69+Y68</f>
        <v>46477</v>
      </c>
      <c r="Y69" s="768"/>
      <c r="Z69" s="773"/>
      <c r="AA69" s="773"/>
      <c r="AB69" s="777"/>
      <c r="AC69" s="220">
        <f>IF(ISERROR(LOOKUP(AC$16,$L69:$X69,#REF!)),0,(LOOKUP(AC$16,$L69:$X69,#REF!)))</f>
        <v>0</v>
      </c>
      <c r="AD69" s="221">
        <f>IF(ISERROR(LOOKUP(AD$16,$L69:$X69,#REF!)),0,(LOOKUP(AD$16,$L69:$X69,#REF!)))</f>
        <v>0</v>
      </c>
      <c r="AE69" s="221">
        <f>IF(ISERROR(LOOKUP(AE$16,$L69:$X69,#REF!)),0,(LOOKUP(AE$16,$L69:$X69,#REF!)))</f>
        <v>0</v>
      </c>
      <c r="AF69" s="221">
        <f>IF(ISERROR(LOOKUP(AF$16,$L69:$X69,#REF!)),0,(LOOKUP(AF$16,$L69:$X69,#REF!)))</f>
        <v>0</v>
      </c>
      <c r="AG69" s="221">
        <f>IF(ISERROR(LOOKUP(AG$16,$L69:$X69,#REF!)),0,(LOOKUP(AG$16,$L69:$X69,#REF!)))</f>
        <v>0</v>
      </c>
      <c r="AH69" s="221">
        <f>IF(ISERROR(LOOKUP(AH$16,$L69:$X69,#REF!)),0,(LOOKUP(AH$16,$L69:$X69,#REF!)))</f>
        <v>0</v>
      </c>
      <c r="AI69" s="221">
        <f>IF(ISERROR(LOOKUP(AI$16,$L69:$X69,#REF!)),0,(LOOKUP(AI$16,$L69:$X69,#REF!)))</f>
        <v>0</v>
      </c>
      <c r="AJ69" s="221">
        <f>IF(ISERROR(LOOKUP(AJ$16,$L69:$X69,#REF!)),0,(LOOKUP(AJ$16,$L69:$X69,#REF!)))</f>
        <v>0</v>
      </c>
      <c r="AK69" s="221">
        <f>IF(ISERROR(LOOKUP(AK$16,$L69:$X69,#REF!)),0,(LOOKUP(AK$16,$L69:$X69,#REF!)))</f>
        <v>0</v>
      </c>
      <c r="AL69" s="221">
        <f>IF(ISERROR(LOOKUP(AL$16,$L69:$X69,#REF!)),0,(LOOKUP(AL$16,$L69:$X69,#REF!)))</f>
        <v>0</v>
      </c>
      <c r="AM69" s="221">
        <f ca="1">IF(ISERROR(LOOKUP(AM$16,$L69:$X69,#REF!)),0,(LOOKUP(AM$16,$L69:$X69,#REF!)))</f>
        <v>0</v>
      </c>
      <c r="AO69" s="166">
        <f t="shared" si="0"/>
        <v>14</v>
      </c>
      <c r="AP69" s="215" t="e">
        <f>WORKDAY(IF(T70="",T69,T70),INDEX(AP$12:AP$15,MATCH($I68,$I$12:$I$15,0)),$AW$17:$AW$148)</f>
        <v>#REF!</v>
      </c>
      <c r="AQ69" s="215" t="e">
        <f>WORKDAY(IF(AP70="",AP69,AP70),INDEX(AQ$12:AQ$15,MATCH($I68,$I$12:$I$15,0)),$AW$17:$AW$148)</f>
        <v>#REF!</v>
      </c>
      <c r="AR69" s="215" t="e">
        <f>WORKDAY(IF(AQ70="",AQ69,AQ70),INDEX(AR$12:AR$15,MATCH($I68,$I$12:$I$15,0)),$AW$17:$AW$148)</f>
        <v>#REF!</v>
      </c>
      <c r="AS69" s="778"/>
      <c r="AW69" s="223" t="e">
        <v>#REF!</v>
      </c>
    </row>
    <row r="70" spans="1:49" s="166" customFormat="1" ht="15" customHeight="1">
      <c r="A70" s="736"/>
      <c r="B70" s="740"/>
      <c r="C70" s="741" t="str">
        <f>C68</f>
        <v>RFQ-018</v>
      </c>
      <c r="D70" s="741" t="str">
        <f>D68</f>
        <v>Solar Power System</v>
      </c>
      <c r="E70" s="225"/>
      <c r="F70" s="752"/>
      <c r="G70" s="741" t="str">
        <f>G68</f>
        <v>N</v>
      </c>
      <c r="H70" s="748"/>
      <c r="I70" s="212" t="str">
        <f>I68</f>
        <v>LA</v>
      </c>
      <c r="J70" s="214" t="s">
        <v>67</v>
      </c>
      <c r="K70" s="212"/>
      <c r="L70" s="212"/>
      <c r="M70" s="212"/>
      <c r="N70" s="212"/>
      <c r="O70" s="212"/>
      <c r="P70" s="226"/>
      <c r="Q70" s="227"/>
      <c r="R70" s="212"/>
      <c r="S70" s="212"/>
      <c r="T70" s="212"/>
      <c r="U70" s="212"/>
      <c r="V70" s="212"/>
      <c r="W70" s="228"/>
      <c r="X70" s="212"/>
      <c r="Y70" s="768"/>
      <c r="Z70" s="773"/>
      <c r="AA70" s="773"/>
      <c r="AB70" s="777"/>
      <c r="AC70" s="229">
        <f>IF(ISERROR(LOOKUP(AC$16,$L70:$X70,#REF!)),0,(LOOKUP(AC$16,$L70:$X70,#REF!)))</f>
        <v>0</v>
      </c>
      <c r="AD70" s="230">
        <f>IF(ISERROR(LOOKUP(AD$16,$L70:$X70,#REF!)),0,(LOOKUP(AD$16,$L70:$X70,#REF!)))</f>
        <v>0</v>
      </c>
      <c r="AE70" s="230">
        <f>IF(ISERROR(LOOKUP(AE$16,$L70:$X70,#REF!)),0,(LOOKUP(AE$16,$L70:$X70,#REF!)))</f>
        <v>0</v>
      </c>
      <c r="AF70" s="230">
        <f>IF(ISERROR(LOOKUP(AF$16,$L70:$X70,#REF!)),0,(LOOKUP(AF$16,$L70:$X70,#REF!)))</f>
        <v>0</v>
      </c>
      <c r="AG70" s="230">
        <f>IF(ISERROR(LOOKUP(AG$16,$L70:$X70,#REF!)),0,(LOOKUP(AG$16,$L70:$X70,#REF!)))</f>
        <v>0</v>
      </c>
      <c r="AH70" s="230">
        <f>IF(ISERROR(LOOKUP(AH$16,$L70:$X70,#REF!)),0,(LOOKUP(AH$16,$L70:$X70,#REF!)))</f>
        <v>0</v>
      </c>
      <c r="AI70" s="230">
        <f>IF(ISERROR(LOOKUP(AI$16,$L70:$X70,#REF!)),0,(LOOKUP(AI$16,$L70:$X70,#REF!)))</f>
        <v>0</v>
      </c>
      <c r="AJ70" s="230">
        <f>IF(ISERROR(LOOKUP(AJ$16,$L70:$X70,#REF!)),0,(LOOKUP(AJ$16,$L70:$X70,#REF!)))</f>
        <v>0</v>
      </c>
      <c r="AK70" s="230">
        <f>IF(ISERROR(LOOKUP(AK$16,$L70:$X70,#REF!)),0,(LOOKUP(AK$16,$L70:$X70,#REF!)))</f>
        <v>0</v>
      </c>
      <c r="AL70" s="230">
        <f>IF(ISERROR(LOOKUP(AL$16,$L70:$X70,#REF!)),0,(LOOKUP(AL$16,$L70:$X70,#REF!)))</f>
        <v>0</v>
      </c>
      <c r="AM70" s="230">
        <f ca="1">IF(ISERROR(LOOKUP(AM$16,$L70:$X70,#REF!)),0,(LOOKUP(AM$16,$L70:$X70,#REF!)))</f>
        <v>0</v>
      </c>
      <c r="AO70" s="166">
        <f t="shared" si="0"/>
        <v>0</v>
      </c>
      <c r="AP70" s="212"/>
      <c r="AQ70" s="212"/>
      <c r="AR70" s="212"/>
      <c r="AS70" s="778"/>
      <c r="AW70" s="223" t="e">
        <v>#REF!</v>
      </c>
    </row>
    <row r="71" spans="1:49" s="166" customFormat="1" ht="18" customHeight="1">
      <c r="A71" s="736">
        <f>A68+1</f>
        <v>19</v>
      </c>
      <c r="B71" s="738"/>
      <c r="C71" s="741" t="s">
        <v>5266</v>
      </c>
      <c r="D71" s="741" t="s">
        <v>131</v>
      </c>
      <c r="E71" s="213"/>
      <c r="F71" s="750" t="s">
        <v>124</v>
      </c>
      <c r="G71" s="742" t="s">
        <v>64</v>
      </c>
      <c r="H71" s="746"/>
      <c r="I71" s="212" t="s">
        <v>7</v>
      </c>
      <c r="J71" s="214" t="s">
        <v>5236</v>
      </c>
      <c r="K71" s="215">
        <f>WORKDAY(L71,-INDEX(L$12:L$15,MATCH($I71,$I$12:$I$15,0)))</f>
        <v>46197</v>
      </c>
      <c r="L71" s="215">
        <f>WORKDAY(M71,-INDEX(M$12:M$15,MATCH($I71,$I$12:$I$15,0)))</f>
        <v>46198</v>
      </c>
      <c r="M71" s="215">
        <f>WORKDAY(N71,-INDEX(N$12:N$15,MATCH($I71,$I$12:$I$15,0)))</f>
        <v>46205</v>
      </c>
      <c r="N71" s="215">
        <f>WORKDAY(O71,-INDEX(O$12:O$15,MATCH($I71,$I$12:$I$15,0)))</f>
        <v>46206</v>
      </c>
      <c r="O71" s="215">
        <f>WORKDAY(R71,-INDEX(R$12:R$15,MATCH($I71,$I$12:$I$15,0)))</f>
        <v>46213</v>
      </c>
      <c r="P71" s="216">
        <f>U71-L71</f>
        <v>76</v>
      </c>
      <c r="Q71" s="217"/>
      <c r="R71" s="215">
        <f>WORKDAY(S71,-INDEX(S$12:S$15,MATCH($I71,$I$12:$I$15,0)))</f>
        <v>46227</v>
      </c>
      <c r="S71" s="215">
        <f>WORKDAY(T71,-INDEX(T$12:T$15,MATCH($I71,$I$12:$I$15,0)))</f>
        <v>46255</v>
      </c>
      <c r="T71" s="215">
        <f>WORKDAY(U71,-INDEX(U$12:U$15,MATCH($I71,$I$12:$I$15,0)))</f>
        <v>46260</v>
      </c>
      <c r="U71" s="215">
        <f>X71-Y71</f>
        <v>46274</v>
      </c>
      <c r="V71" s="215">
        <f>WORKDAY(U71,INDEX(V$12:V$15,MATCH($I71,$I$12:$I$15,0)))</f>
        <v>46276</v>
      </c>
      <c r="W71" s="218">
        <f>Y71/7</f>
        <v>42</v>
      </c>
      <c r="X71" s="215">
        <f>Z71</f>
        <v>46568</v>
      </c>
      <c r="Y71" s="768">
        <v>294</v>
      </c>
      <c r="Z71" s="772">
        <v>46568</v>
      </c>
      <c r="AA71" s="773">
        <v>46598</v>
      </c>
      <c r="AB71" s="777">
        <f>Z71-X72</f>
        <v>0</v>
      </c>
      <c r="AC71" s="220">
        <f>IF(ISERROR(LOOKUP(AC$16,$L71:$X71,#REF!)),0,(LOOKUP(AC$16,$L71:$X71,#REF!)))</f>
        <v>0</v>
      </c>
      <c r="AD71" s="221">
        <f>IF(ISERROR(LOOKUP(AD$16,$L71:$X71,#REF!)),0,(LOOKUP(AD$16,$L71:$X71,#REF!)))</f>
        <v>0</v>
      </c>
      <c r="AE71" s="221">
        <f>IF(ISERROR(LOOKUP(AE$16,$L71:$X71,#REF!)),0,(LOOKUP(AE$16,$L71:$X71,#REF!)))</f>
        <v>0</v>
      </c>
      <c r="AF71" s="221">
        <f>IF(ISERROR(LOOKUP(AF$16,$L71:$X71,#REF!)),0,(LOOKUP(AF$16,$L71:$X71,#REF!)))</f>
        <v>0</v>
      </c>
      <c r="AG71" s="221">
        <f>IF(ISERROR(LOOKUP(AG$16,$L71:$X71,#REF!)),0,(LOOKUP(AG$16,$L71:$X71,#REF!)))</f>
        <v>0</v>
      </c>
      <c r="AH71" s="221">
        <f>IF(ISERROR(LOOKUP(AH$16,$L71:$X71,#REF!)),0,(LOOKUP(AH$16,$L71:$X71,#REF!)))</f>
        <v>0</v>
      </c>
      <c r="AI71" s="221">
        <f>IF(ISERROR(LOOKUP(AI$16,$L71:$X71,#REF!)),0,(LOOKUP(AI$16,$L71:$X71,#REF!)))</f>
        <v>0</v>
      </c>
      <c r="AJ71" s="221">
        <f>IF(ISERROR(LOOKUP(AJ$16,$L71:$X71,#REF!)),0,(LOOKUP(AJ$16,$L71:$X71,#REF!)))</f>
        <v>0</v>
      </c>
      <c r="AK71" s="221">
        <f>IF(ISERROR(LOOKUP(AK$16,$L71:$X71,#REF!)),0,(LOOKUP(AK$16,$L71:$X71,#REF!)))</f>
        <v>0</v>
      </c>
      <c r="AL71" s="221">
        <f>IF(ISERROR(LOOKUP(AL$16,$L71:$X71,#REF!)),0,(LOOKUP(AL$16,$L71:$X71,#REF!)))</f>
        <v>0</v>
      </c>
      <c r="AM71" s="221">
        <f ca="1">IF(ISERROR(LOOKUP(AM$16,$L71:$X71,#REF!)),0,(LOOKUP(AM$16,$L71:$X71,#REF!)))</f>
        <v>0</v>
      </c>
      <c r="AO71" s="166">
        <f t="shared" si="0"/>
        <v>14</v>
      </c>
      <c r="AP71" s="215" t="e">
        <f>WORKDAY(AQ71,-INDEX(AQ$12:AQ$15,MATCH($I71,$I$12:$I$15,0)),$AW$17:$AW$148)</f>
        <v>#REF!</v>
      </c>
      <c r="AQ71" s="215" t="e">
        <f>WORKDAY(U71,-INDEX(U$12:U$15,MATCH($I71,$I$12:$I$15,0)),$AW$17:$AW$148)</f>
        <v>#REF!</v>
      </c>
      <c r="AR71" s="215" t="e">
        <f>WORKDAY(U71,-INDEX(U$12:U$15,MATCH($I71,$I$12:$I$15,0)),$AW$17:$AW$148)</f>
        <v>#REF!</v>
      </c>
      <c r="AS71" s="778">
        <v>14</v>
      </c>
      <c r="AW71" s="223" t="e">
        <v>#REF!</v>
      </c>
    </row>
    <row r="72" spans="1:49" s="166" customFormat="1" ht="18" customHeight="1">
      <c r="A72" s="736"/>
      <c r="B72" s="739"/>
      <c r="C72" s="741" t="str">
        <f>C71</f>
        <v>RFQ-019</v>
      </c>
      <c r="D72" s="741" t="str">
        <f>D71</f>
        <v>Navigation Aid System</v>
      </c>
      <c r="E72" s="224"/>
      <c r="F72" s="751"/>
      <c r="G72" s="742" t="str">
        <f>G71</f>
        <v>Y</v>
      </c>
      <c r="H72" s="747"/>
      <c r="I72" s="212" t="str">
        <f>I71</f>
        <v>LB</v>
      </c>
      <c r="J72" s="214" t="s">
        <v>65</v>
      </c>
      <c r="K72" s="215">
        <f>K71</f>
        <v>46197</v>
      </c>
      <c r="L72" s="215">
        <f>WORKDAY(IF(K73="",K72,K73),INDEX(L$12:L$15,MATCH($I71,$I$12:$I$15,0)))</f>
        <v>46198</v>
      </c>
      <c r="M72" s="215">
        <f>WORKDAY(IF(L73="",L72,L73),INDEX(M$12:M$15,MATCH($I71,$I$12:$I$15,0)))</f>
        <v>46205</v>
      </c>
      <c r="N72" s="215">
        <f>WORKDAY(IF(M73="",M72,M73),INDEX(N$12:N$15,MATCH($I71,$I$12:$I$15,0)))</f>
        <v>46206</v>
      </c>
      <c r="O72" s="215">
        <f>WORKDAY(IF(N73="",N72,N73),INDEX(O$12:O$15,MATCH($I71,$I$12:$I$15,0)))</f>
        <v>46213</v>
      </c>
      <c r="P72" s="216"/>
      <c r="Q72" s="217"/>
      <c r="R72" s="215">
        <f>WORKDAY(IF(O73="",O72,O73),INDEX(R$12:R$15,MATCH($I71,$I$12:$I$15,0)))</f>
        <v>46227</v>
      </c>
      <c r="S72" s="215">
        <f>WORKDAY(IF(R73="",R72,R73),INDEX(S$12:S$15,MATCH($I71,$I$12:$I$15,0)))</f>
        <v>46255</v>
      </c>
      <c r="T72" s="215">
        <f>WORKDAY(IF(S73="",S72,S73),INDEX(T$12:T$15,MATCH($I71,$I$12:$I$15,0)))</f>
        <v>46260</v>
      </c>
      <c r="U72" s="215">
        <f>WORKDAY(IF(T73="",T72,T73),INDEX(U$12:U$15,MATCH($I71,$I$12:$I$15,0)))</f>
        <v>46274</v>
      </c>
      <c r="V72" s="215">
        <f>WORKDAY(IF(U73="",U72,U73),INDEX(V$12:V$15,MATCH($I71,$I$12:$I$15,0)))</f>
        <v>46276</v>
      </c>
      <c r="W72" s="218"/>
      <c r="X72" s="215">
        <f>U72+Y71</f>
        <v>46568</v>
      </c>
      <c r="Y72" s="768"/>
      <c r="Z72" s="772"/>
      <c r="AA72" s="773"/>
      <c r="AB72" s="777"/>
      <c r="AC72" s="220">
        <f>IF(ISERROR(LOOKUP(AC$16,$L72:$X72,#REF!)),0,(LOOKUP(AC$16,$L72:$X72,#REF!)))</f>
        <v>0</v>
      </c>
      <c r="AD72" s="221">
        <f>IF(ISERROR(LOOKUP(AD$16,$L72:$X72,#REF!)),0,(LOOKUP(AD$16,$L72:$X72,#REF!)))</f>
        <v>0</v>
      </c>
      <c r="AE72" s="221">
        <f>IF(ISERROR(LOOKUP(AE$16,$L72:$X72,#REF!)),0,(LOOKUP(AE$16,$L72:$X72,#REF!)))</f>
        <v>0</v>
      </c>
      <c r="AF72" s="221">
        <f>IF(ISERROR(LOOKUP(AF$16,$L72:$X72,#REF!)),0,(LOOKUP(AF$16,$L72:$X72,#REF!)))</f>
        <v>0</v>
      </c>
      <c r="AG72" s="221">
        <f>IF(ISERROR(LOOKUP(AG$16,$L72:$X72,#REF!)),0,(LOOKUP(AG$16,$L72:$X72,#REF!)))</f>
        <v>0</v>
      </c>
      <c r="AH72" s="221">
        <f>IF(ISERROR(LOOKUP(AH$16,$L72:$X72,#REF!)),0,(LOOKUP(AH$16,$L72:$X72,#REF!)))</f>
        <v>0</v>
      </c>
      <c r="AI72" s="221">
        <f>IF(ISERROR(LOOKUP(AI$16,$L72:$X72,#REF!)),0,(LOOKUP(AI$16,$L72:$X72,#REF!)))</f>
        <v>0</v>
      </c>
      <c r="AJ72" s="221">
        <f>IF(ISERROR(LOOKUP(AJ$16,$L72:$X72,#REF!)),0,(LOOKUP(AJ$16,$L72:$X72,#REF!)))</f>
        <v>0</v>
      </c>
      <c r="AK72" s="221">
        <f>IF(ISERROR(LOOKUP(AK$16,$L72:$X72,#REF!)),0,(LOOKUP(AK$16,$L72:$X72,#REF!)))</f>
        <v>0</v>
      </c>
      <c r="AL72" s="221">
        <f>IF(ISERROR(LOOKUP(AL$16,$L72:$X72,#REF!)),0,(LOOKUP(AL$16,$L72:$X72,#REF!)))</f>
        <v>0</v>
      </c>
      <c r="AM72" s="221">
        <f ca="1">IF(ISERROR(LOOKUP(AM$16,$L72:$X72,#REF!)),0,(LOOKUP(AM$16,$L72:$X72,#REF!)))</f>
        <v>0</v>
      </c>
      <c r="AP72" s="215" t="e">
        <f>WORKDAY(IF(T73="",T72,T73),INDEX(AP$12:AP$15,MATCH($I71,$I$12:$I$15,0)),$AW$17:$AW$148)</f>
        <v>#REF!</v>
      </c>
      <c r="AQ72" s="215" t="e">
        <f>WORKDAY(IF(AP73="",AP72,AP73),INDEX(AQ$12:AQ$15,MATCH($I71,$I$12:$I$15,0)),$AW$17:$AW$148)</f>
        <v>#REF!</v>
      </c>
      <c r="AR72" s="215" t="e">
        <f>WORKDAY(IF(AQ73="",AQ72,AQ73),INDEX(AR$12:AR$15,MATCH($I71,$I$12:$I$15,0)),$AW$17:$AW$148)</f>
        <v>#REF!</v>
      </c>
      <c r="AS72" s="778"/>
      <c r="AW72" s="223" t="e">
        <v>#REF!</v>
      </c>
    </row>
    <row r="73" spans="1:49" s="166" customFormat="1" ht="18" customHeight="1">
      <c r="A73" s="736"/>
      <c r="B73" s="740"/>
      <c r="C73" s="741" t="str">
        <f>C71</f>
        <v>RFQ-019</v>
      </c>
      <c r="D73" s="741" t="str">
        <f>D71</f>
        <v>Navigation Aid System</v>
      </c>
      <c r="E73" s="225"/>
      <c r="F73" s="752"/>
      <c r="G73" s="742" t="str">
        <f>G71</f>
        <v>Y</v>
      </c>
      <c r="H73" s="748"/>
      <c r="I73" s="212" t="str">
        <f>I71</f>
        <v>LB</v>
      </c>
      <c r="J73" s="214" t="s">
        <v>67</v>
      </c>
      <c r="K73" s="212"/>
      <c r="L73" s="212"/>
      <c r="M73" s="212"/>
      <c r="N73" s="212"/>
      <c r="O73" s="212"/>
      <c r="P73" s="226"/>
      <c r="Q73" s="227"/>
      <c r="R73" s="212"/>
      <c r="S73" s="212"/>
      <c r="T73" s="212"/>
      <c r="U73" s="212"/>
      <c r="V73" s="212"/>
      <c r="W73" s="228"/>
      <c r="X73" s="212"/>
      <c r="Y73" s="768"/>
      <c r="Z73" s="772"/>
      <c r="AA73" s="773"/>
      <c r="AB73" s="777"/>
      <c r="AC73" s="229">
        <f>IF(ISERROR(LOOKUP(AC$16,$L73:$X73,#REF!)),0,(LOOKUP(AC$16,$L73:$X73,#REF!)))</f>
        <v>0</v>
      </c>
      <c r="AD73" s="230">
        <f>IF(ISERROR(LOOKUP(AD$16,$L73:$X73,#REF!)),0,(LOOKUP(AD$16,$L73:$X73,#REF!)))</f>
        <v>0</v>
      </c>
      <c r="AE73" s="230">
        <f>IF(ISERROR(LOOKUP(AE$16,$L73:$X73,#REF!)),0,(LOOKUP(AE$16,$L73:$X73,#REF!)))</f>
        <v>0</v>
      </c>
      <c r="AF73" s="230">
        <f>IF(ISERROR(LOOKUP(AF$16,$L73:$X73,#REF!)),0,(LOOKUP(AF$16,$L73:$X73,#REF!)))</f>
        <v>0</v>
      </c>
      <c r="AG73" s="230">
        <f>IF(ISERROR(LOOKUP(AG$16,$L73:$X73,#REF!)),0,(LOOKUP(AG$16,$L73:$X73,#REF!)))</f>
        <v>0</v>
      </c>
      <c r="AH73" s="230">
        <f>IF(ISERROR(LOOKUP(AH$16,$L73:$X73,#REF!)),0,(LOOKUP(AH$16,$L73:$X73,#REF!)))</f>
        <v>0</v>
      </c>
      <c r="AI73" s="230">
        <f>IF(ISERROR(LOOKUP(AI$16,$L73:$X73,#REF!)),0,(LOOKUP(AI$16,$L73:$X73,#REF!)))</f>
        <v>0</v>
      </c>
      <c r="AJ73" s="230">
        <f>IF(ISERROR(LOOKUP(AJ$16,$L73:$X73,#REF!)),0,(LOOKUP(AJ$16,$L73:$X73,#REF!)))</f>
        <v>0</v>
      </c>
      <c r="AK73" s="230">
        <f>IF(ISERROR(LOOKUP(AK$16,$L73:$X73,#REF!)),0,(LOOKUP(AK$16,$L73:$X73,#REF!)))</f>
        <v>0</v>
      </c>
      <c r="AL73" s="230">
        <f>IF(ISERROR(LOOKUP(AL$16,$L73:$X73,#REF!)),0,(LOOKUP(AL$16,$L73:$X73,#REF!)))</f>
        <v>0</v>
      </c>
      <c r="AM73" s="230">
        <f ca="1">IF(ISERROR(LOOKUP(AM$16,$L73:$X73,#REF!)),0,(LOOKUP(AM$16,$L73:$X73,#REF!)))</f>
        <v>0</v>
      </c>
      <c r="AP73" s="212"/>
      <c r="AQ73" s="212"/>
      <c r="AR73" s="212"/>
      <c r="AS73" s="778"/>
      <c r="AW73" s="223" t="e">
        <v>#REF!</v>
      </c>
    </row>
    <row r="74" spans="1:49" s="166" customFormat="1" ht="18" customHeight="1">
      <c r="A74" s="737">
        <f>A71+1</f>
        <v>20</v>
      </c>
      <c r="B74" s="738"/>
      <c r="C74" s="742" t="s">
        <v>5267</v>
      </c>
      <c r="D74" s="742" t="s">
        <v>134</v>
      </c>
      <c r="E74" s="232"/>
      <c r="F74" s="753" t="s">
        <v>124</v>
      </c>
      <c r="G74" s="742" t="s">
        <v>64</v>
      </c>
      <c r="H74" s="765"/>
      <c r="I74" s="212" t="s">
        <v>8</v>
      </c>
      <c r="J74" s="214" t="s">
        <v>5236</v>
      </c>
      <c r="K74" s="215">
        <f>WORKDAY(L74,-INDEX(L$12:L$15,MATCH($I74,$I$12:$I$15,0)))</f>
        <v>46174</v>
      </c>
      <c r="L74" s="215">
        <f>WORKDAY(M74,-INDEX(M$12:M$15,MATCH($I74,$I$12:$I$15,0)))</f>
        <v>46177</v>
      </c>
      <c r="M74" s="215">
        <f>WORKDAY(N74,-INDEX(N$12:N$15,MATCH($I74,$I$12:$I$15,0)))</f>
        <v>46191</v>
      </c>
      <c r="N74" s="215">
        <f>WORKDAY(O74,-INDEX(O$12:O$15,MATCH($I74,$I$12:$I$15,0)))</f>
        <v>46192</v>
      </c>
      <c r="O74" s="215">
        <f>WORKDAY(R74,-INDEX(R$12:R$15,MATCH($I74,$I$12:$I$15,0)))</f>
        <v>46206</v>
      </c>
      <c r="P74" s="216">
        <f>U74-L74</f>
        <v>92</v>
      </c>
      <c r="Q74" s="217"/>
      <c r="R74" s="215">
        <f>WORKDAY(S74,-INDEX(S$12:S$15,MATCH($I74,$I$12:$I$15,0)))</f>
        <v>46220</v>
      </c>
      <c r="S74" s="215">
        <f>WORKDAY(T74,-INDEX(T$12:T$15,MATCH($I74,$I$12:$I$15,0)))</f>
        <v>46241</v>
      </c>
      <c r="T74" s="215">
        <f>WORKDAY(U74,-INDEX(U$12:U$15,MATCH($I74,$I$12:$I$15,0)))</f>
        <v>46255</v>
      </c>
      <c r="U74" s="215">
        <f>X74-Y74</f>
        <v>46269</v>
      </c>
      <c r="V74" s="215">
        <f>WORKDAY(U74,INDEX(V$12:V$15,MATCH($I74,$I$12:$I$15,0)))</f>
        <v>46273</v>
      </c>
      <c r="W74" s="218">
        <f>Y74/7</f>
        <v>36</v>
      </c>
      <c r="X74" s="215">
        <f>Z74</f>
        <v>46521</v>
      </c>
      <c r="Y74" s="768">
        <f>36*7</f>
        <v>252</v>
      </c>
      <c r="Z74" s="773">
        <v>46521</v>
      </c>
      <c r="AA74" s="773">
        <v>46521</v>
      </c>
      <c r="AB74" s="777">
        <f>Z74-X75</f>
        <v>0</v>
      </c>
      <c r="AC74" s="220">
        <f>IF(ISERROR(LOOKUP(AC$16,$L74:$X74,#REF!)),0,(LOOKUP(AC$16,$L74:$X74,#REF!)))</f>
        <v>0</v>
      </c>
      <c r="AD74" s="221">
        <f>IF(ISERROR(LOOKUP(AD$16,$L74:$X74,#REF!)),0,(LOOKUP(AD$16,$L74:$X74,#REF!)))</f>
        <v>0</v>
      </c>
      <c r="AE74" s="221">
        <f>IF(ISERROR(LOOKUP(AE$16,$L74:$X74,#REF!)),0,(LOOKUP(AE$16,$L74:$X74,#REF!)))</f>
        <v>0</v>
      </c>
      <c r="AF74" s="221">
        <f>IF(ISERROR(LOOKUP(AF$16,$L74:$X74,#REF!)),0,(LOOKUP(AF$16,$L74:$X74,#REF!)))</f>
        <v>0</v>
      </c>
      <c r="AG74" s="221">
        <f>IF(ISERROR(LOOKUP(AG$16,$L74:$X74,#REF!)),0,(LOOKUP(AG$16,$L74:$X74,#REF!)))</f>
        <v>0</v>
      </c>
      <c r="AH74" s="221">
        <f>IF(ISERROR(LOOKUP(AH$16,$L74:$X74,#REF!)),0,(LOOKUP(AH$16,$L74:$X74,#REF!)))</f>
        <v>0</v>
      </c>
      <c r="AI74" s="221">
        <f>IF(ISERROR(LOOKUP(AI$16,$L74:$X74,#REF!)),0,(LOOKUP(AI$16,$L74:$X74,#REF!)))</f>
        <v>0</v>
      </c>
      <c r="AJ74" s="221">
        <f>IF(ISERROR(LOOKUP(AJ$16,$L74:$X74,#REF!)),0,(LOOKUP(AJ$16,$L74:$X74,#REF!)))</f>
        <v>0</v>
      </c>
      <c r="AK74" s="221">
        <f>IF(ISERROR(LOOKUP(AK$16,$L74:$X74,#REF!)),0,(LOOKUP(AK$16,$L74:$X74,#REF!)))</f>
        <v>0</v>
      </c>
      <c r="AL74" s="221">
        <f>IF(ISERROR(LOOKUP(AL$16,$L74:$X74,#REF!)),0,(LOOKUP(AL$16,$L74:$X74,#REF!)))</f>
        <v>0</v>
      </c>
      <c r="AM74" s="221">
        <f ca="1">IF(ISERROR(LOOKUP(AM$16,$L74:$X74,#REF!)),0,(LOOKUP(AM$16,$L74:$X74,#REF!)))</f>
        <v>0</v>
      </c>
      <c r="AP74" s="215" t="e">
        <f>WORKDAY(AQ74,-INDEX(AQ$12:AQ$15,MATCH($I74,$I$12:$I$15,0)),$AW$17:$AW$148)</f>
        <v>#REF!</v>
      </c>
      <c r="AQ74" s="215" t="e">
        <f>WORKDAY(U74,-INDEX(U$12:U$15,MATCH($I74,$I$12:$I$15,0)),$AW$17:$AW$148)</f>
        <v>#REF!</v>
      </c>
      <c r="AR74" s="215" t="e">
        <f>WORKDAY(U74,-INDEX(U$12:U$15,MATCH($I74,$I$12:$I$15,0)),$AW$17:$AW$148)</f>
        <v>#REF!</v>
      </c>
      <c r="AS74" s="778">
        <v>14</v>
      </c>
      <c r="AW74" s="223" t="e">
        <v>#REF!</v>
      </c>
    </row>
    <row r="75" spans="1:49" s="166" customFormat="1" ht="18" customHeight="1">
      <c r="A75" s="737"/>
      <c r="B75" s="739"/>
      <c r="C75" s="742" t="str">
        <f>C74</f>
        <v>RFQ-020</v>
      </c>
      <c r="D75" s="742" t="str">
        <f>D74</f>
        <v>External Battery Charger</v>
      </c>
      <c r="E75" s="237"/>
      <c r="F75" s="754"/>
      <c r="G75" s="742" t="str">
        <f>G74</f>
        <v>Y</v>
      </c>
      <c r="H75" s="766"/>
      <c r="I75" s="212" t="str">
        <f>I74</f>
        <v>LC</v>
      </c>
      <c r="J75" s="214" t="s">
        <v>65</v>
      </c>
      <c r="K75" s="215">
        <f>K74</f>
        <v>46174</v>
      </c>
      <c r="L75" s="215">
        <f>WORKDAY(IF(K76="",K75,K76),INDEX(L$12:L$15,MATCH($I74,$I$12:$I$15,0)))</f>
        <v>46177</v>
      </c>
      <c r="M75" s="215">
        <f>WORKDAY(IF(L76="",L75,L76),INDEX(M$12:M$15,MATCH($I74,$I$12:$I$15,0)))</f>
        <v>46191</v>
      </c>
      <c r="N75" s="215">
        <f>WORKDAY(IF(M76="",M75,M76),INDEX(N$12:N$15,MATCH($I74,$I$12:$I$15,0)))</f>
        <v>46192</v>
      </c>
      <c r="O75" s="215">
        <f>WORKDAY(IF(N76="",N75,N76),INDEX(O$12:O$15,MATCH($I74,$I$12:$I$15,0)))</f>
        <v>46206</v>
      </c>
      <c r="P75" s="216"/>
      <c r="Q75" s="217"/>
      <c r="R75" s="215">
        <f>WORKDAY(IF(O76="",O75,O76),INDEX(R$12:R$15,MATCH($I74,$I$12:$I$15,0)))</f>
        <v>46220</v>
      </c>
      <c r="S75" s="215">
        <f>WORKDAY(IF(R76="",R75,R76),INDEX(S$12:S$15,MATCH($I74,$I$12:$I$15,0)))</f>
        <v>46241</v>
      </c>
      <c r="T75" s="215">
        <f>WORKDAY(IF(S76="",S75,S76),INDEX(T$12:T$15,MATCH($I74,$I$12:$I$15,0)))</f>
        <v>46255</v>
      </c>
      <c r="U75" s="215">
        <f>WORKDAY(IF(T76="",T75,T76),INDEX(U$12:U$15,MATCH($I74,$I$12:$I$15,0)))</f>
        <v>46269</v>
      </c>
      <c r="V75" s="215">
        <f>WORKDAY(IF(U76="",U75,U76),INDEX(V$12:V$15,MATCH($I74,$I$12:$I$15,0)))</f>
        <v>46273</v>
      </c>
      <c r="W75" s="218"/>
      <c r="X75" s="215">
        <f>U75+Y74</f>
        <v>46521</v>
      </c>
      <c r="Y75" s="768"/>
      <c r="Z75" s="773"/>
      <c r="AA75" s="773"/>
      <c r="AB75" s="777"/>
      <c r="AC75" s="220">
        <f>IF(ISERROR(LOOKUP(AC$16,$L75:$X75,#REF!)),0,(LOOKUP(AC$16,$L75:$X75,#REF!)))</f>
        <v>0</v>
      </c>
      <c r="AD75" s="221">
        <f>IF(ISERROR(LOOKUP(AD$16,$L75:$X75,#REF!)),0,(LOOKUP(AD$16,$L75:$X75,#REF!)))</f>
        <v>0</v>
      </c>
      <c r="AE75" s="221">
        <f>IF(ISERROR(LOOKUP(AE$16,$L75:$X75,#REF!)),0,(LOOKUP(AE$16,$L75:$X75,#REF!)))</f>
        <v>0</v>
      </c>
      <c r="AF75" s="221">
        <f>IF(ISERROR(LOOKUP(AF$16,$L75:$X75,#REF!)),0,(LOOKUP(AF$16,$L75:$X75,#REF!)))</f>
        <v>0</v>
      </c>
      <c r="AG75" s="221">
        <f>IF(ISERROR(LOOKUP(AG$16,$L75:$X75,#REF!)),0,(LOOKUP(AG$16,$L75:$X75,#REF!)))</f>
        <v>0</v>
      </c>
      <c r="AH75" s="221">
        <f>IF(ISERROR(LOOKUP(AH$16,$L75:$X75,#REF!)),0,(LOOKUP(AH$16,$L75:$X75,#REF!)))</f>
        <v>0</v>
      </c>
      <c r="AI75" s="221">
        <f>IF(ISERROR(LOOKUP(AI$16,$L75:$X75,#REF!)),0,(LOOKUP(AI$16,$L75:$X75,#REF!)))</f>
        <v>0</v>
      </c>
      <c r="AJ75" s="221">
        <f>IF(ISERROR(LOOKUP(AJ$16,$L75:$X75,#REF!)),0,(LOOKUP(AJ$16,$L75:$X75,#REF!)))</f>
        <v>0</v>
      </c>
      <c r="AK75" s="221">
        <f>IF(ISERROR(LOOKUP(AK$16,$L75:$X75,#REF!)),0,(LOOKUP(AK$16,$L75:$X75,#REF!)))</f>
        <v>0</v>
      </c>
      <c r="AL75" s="221">
        <f>IF(ISERROR(LOOKUP(AL$16,$L75:$X75,#REF!)),0,(LOOKUP(AL$16,$L75:$X75,#REF!)))</f>
        <v>0</v>
      </c>
      <c r="AM75" s="221">
        <f ca="1">IF(ISERROR(LOOKUP(AM$16,$L75:$X75,#REF!)),0,(LOOKUP(AM$16,$L75:$X75,#REF!)))</f>
        <v>0</v>
      </c>
      <c r="AP75" s="215" t="e">
        <f>WORKDAY(IF(T76="",T75,T76),INDEX(AP$12:AP$15,MATCH($I74,$I$12:$I$15,0)),$AW$17:$AW$148)</f>
        <v>#REF!</v>
      </c>
      <c r="AQ75" s="215" t="e">
        <f>WORKDAY(IF(AP76="",AP75,AP76),INDEX(AQ$12:AQ$15,MATCH($I74,$I$12:$I$15,0)),$AW$17:$AW$148)</f>
        <v>#REF!</v>
      </c>
      <c r="AR75" s="215" t="e">
        <f>WORKDAY(IF(AQ76="",AQ75,AQ76),INDEX(AR$12:AR$15,MATCH($I74,$I$12:$I$15,0)),$AW$17:$AW$148)</f>
        <v>#REF!</v>
      </c>
      <c r="AS75" s="778"/>
      <c r="AW75" s="223" t="e">
        <v>#REF!</v>
      </c>
    </row>
    <row r="76" spans="1:49" s="167" customFormat="1" ht="18" customHeight="1">
      <c r="A76" s="737"/>
      <c r="B76" s="740"/>
      <c r="C76" s="742" t="str">
        <f>C74</f>
        <v>RFQ-020</v>
      </c>
      <c r="D76" s="742" t="str">
        <f>D74</f>
        <v>External Battery Charger</v>
      </c>
      <c r="E76" s="238"/>
      <c r="F76" s="755"/>
      <c r="G76" s="742" t="str">
        <f>G74</f>
        <v>Y</v>
      </c>
      <c r="H76" s="767"/>
      <c r="I76" s="231" t="str">
        <f>I74</f>
        <v>LC</v>
      </c>
      <c r="J76" s="233" t="s">
        <v>67</v>
      </c>
      <c r="K76" s="212"/>
      <c r="L76" s="212"/>
      <c r="M76" s="212"/>
      <c r="N76" s="212"/>
      <c r="O76" s="212"/>
      <c r="P76" s="226"/>
      <c r="Q76" s="227"/>
      <c r="R76" s="212"/>
      <c r="S76" s="212"/>
      <c r="T76" s="212"/>
      <c r="U76" s="212"/>
      <c r="V76" s="212"/>
      <c r="W76" s="228"/>
      <c r="X76" s="212"/>
      <c r="Y76" s="768"/>
      <c r="Z76" s="773"/>
      <c r="AA76" s="773"/>
      <c r="AB76" s="777"/>
      <c r="AC76" s="239">
        <f>IF(ISERROR(LOOKUP(AC$16,$L76:$X76,#REF!)),0,(LOOKUP(AC$16,$L76:$X76,#REF!)))</f>
        <v>0</v>
      </c>
      <c r="AD76" s="240">
        <f>IF(ISERROR(LOOKUP(AD$16,$L76:$X76,#REF!)),0,(LOOKUP(AD$16,$L76:$X76,#REF!)))</f>
        <v>0</v>
      </c>
      <c r="AE76" s="240">
        <f>IF(ISERROR(LOOKUP(AE$16,$L76:$X76,#REF!)),0,(LOOKUP(AE$16,$L76:$X76,#REF!)))</f>
        <v>0</v>
      </c>
      <c r="AF76" s="240">
        <f>IF(ISERROR(LOOKUP(AF$16,$L76:$X76,#REF!)),0,(LOOKUP(AF$16,$L76:$X76,#REF!)))</f>
        <v>0</v>
      </c>
      <c r="AG76" s="240">
        <f>IF(ISERROR(LOOKUP(AG$16,$L76:$X76,#REF!)),0,(LOOKUP(AG$16,$L76:$X76,#REF!)))</f>
        <v>0</v>
      </c>
      <c r="AH76" s="240">
        <f>IF(ISERROR(LOOKUP(AH$16,$L76:$X76,#REF!)),0,(LOOKUP(AH$16,$L76:$X76,#REF!)))</f>
        <v>0</v>
      </c>
      <c r="AI76" s="240">
        <f>IF(ISERROR(LOOKUP(AI$16,$L76:$X76,#REF!)),0,(LOOKUP(AI$16,$L76:$X76,#REF!)))</f>
        <v>0</v>
      </c>
      <c r="AJ76" s="240">
        <f>IF(ISERROR(LOOKUP(AJ$16,$L76:$X76,#REF!)),0,(LOOKUP(AJ$16,$L76:$X76,#REF!)))</f>
        <v>0</v>
      </c>
      <c r="AK76" s="240">
        <f>IF(ISERROR(LOOKUP(AK$16,$L76:$X76,#REF!)),0,(LOOKUP(AK$16,$L76:$X76,#REF!)))</f>
        <v>0</v>
      </c>
      <c r="AL76" s="240">
        <f>IF(ISERROR(LOOKUP(AL$16,$L76:$X76,#REF!)),0,(LOOKUP(AL$16,$L76:$X76,#REF!)))</f>
        <v>0</v>
      </c>
      <c r="AM76" s="240">
        <f ca="1">IF(ISERROR(LOOKUP(AM$16,$L76:$X76,#REF!)),0,(LOOKUP(AM$16,$L76:$X76,#REF!)))</f>
        <v>0</v>
      </c>
      <c r="AP76" s="212"/>
      <c r="AQ76" s="212"/>
      <c r="AR76" s="212"/>
      <c r="AS76" s="778"/>
      <c r="AW76" s="236" t="e">
        <v>#REF!</v>
      </c>
    </row>
    <row r="77" spans="1:49" s="167" customFormat="1" ht="18" customHeight="1">
      <c r="A77" s="737">
        <f>A74+1</f>
        <v>21</v>
      </c>
      <c r="B77" s="738"/>
      <c r="C77" s="742" t="s">
        <v>5268</v>
      </c>
      <c r="D77" s="742" t="s">
        <v>136</v>
      </c>
      <c r="E77" s="232"/>
      <c r="F77" s="753" t="s">
        <v>137</v>
      </c>
      <c r="G77" s="742" t="s">
        <v>73</v>
      </c>
      <c r="H77" s="765"/>
      <c r="I77" s="231" t="s">
        <v>7</v>
      </c>
      <c r="J77" s="233" t="s">
        <v>5236</v>
      </c>
      <c r="K77" s="215">
        <f>WORKDAY(L77,-INDEX(L$12:L$15,MATCH($I77,$I$12:$I$15,0)))</f>
        <v>46258</v>
      </c>
      <c r="L77" s="215">
        <f>WORKDAY(M77,-INDEX(M$12:M$15,MATCH($I77,$I$12:$I$15,0)))</f>
        <v>46259</v>
      </c>
      <c r="M77" s="215">
        <f>WORKDAY(N77,-INDEX(N$12:N$15,MATCH($I77,$I$12:$I$15,0)))</f>
        <v>46266</v>
      </c>
      <c r="N77" s="215">
        <f>WORKDAY(O77,-INDEX(O$12:O$15,MATCH($I77,$I$12:$I$15,0)))</f>
        <v>46267</v>
      </c>
      <c r="O77" s="215">
        <f>WORKDAY(R77,-INDEX(R$12:R$15,MATCH($I77,$I$12:$I$15,0)))</f>
        <v>46274</v>
      </c>
      <c r="P77" s="216">
        <f>U77-L77</f>
        <v>76</v>
      </c>
      <c r="Q77" s="217"/>
      <c r="R77" s="215">
        <f>WORKDAY(S77,-INDEX(S$12:S$15,MATCH($I77,$I$12:$I$15,0)))</f>
        <v>46288</v>
      </c>
      <c r="S77" s="215">
        <f>WORKDAY(T77,-INDEX(T$12:T$15,MATCH($I77,$I$12:$I$15,0)))</f>
        <v>46316</v>
      </c>
      <c r="T77" s="215">
        <f>WORKDAY(U77,-INDEX(U$12:U$15,MATCH($I77,$I$12:$I$15,0)))</f>
        <v>46321</v>
      </c>
      <c r="U77" s="215">
        <f>X77-Y77</f>
        <v>46335</v>
      </c>
      <c r="V77" s="215">
        <f>WORKDAY(U77,INDEX(V$12:V$15,MATCH($I77,$I$12:$I$15,0)))</f>
        <v>46337</v>
      </c>
      <c r="W77" s="218">
        <f>Y77/7</f>
        <v>28.571428571428601</v>
      </c>
      <c r="X77" s="215">
        <f>Z77</f>
        <v>46535</v>
      </c>
      <c r="Y77" s="768">
        <v>200</v>
      </c>
      <c r="Z77" s="773">
        <v>46535</v>
      </c>
      <c r="AA77" s="773">
        <v>46535</v>
      </c>
      <c r="AB77" s="777">
        <f>Z77-X78</f>
        <v>0</v>
      </c>
      <c r="AC77" s="234">
        <f>IF(ISERROR(LOOKUP(AC$16,$L77:$X77,#REF!)),0,(LOOKUP(AC$16,$L77:$X77,#REF!)))</f>
        <v>0</v>
      </c>
      <c r="AD77" s="235">
        <f>IF(ISERROR(LOOKUP(AD$16,$L77:$X77,#REF!)),0,(LOOKUP(AD$16,$L77:$X77,#REF!)))</f>
        <v>0</v>
      </c>
      <c r="AE77" s="235">
        <f>IF(ISERROR(LOOKUP(AE$16,$L77:$X77,#REF!)),0,(LOOKUP(AE$16,$L77:$X77,#REF!)))</f>
        <v>0</v>
      </c>
      <c r="AF77" s="235">
        <f>IF(ISERROR(LOOKUP(AF$16,$L77:$X77,#REF!)),0,(LOOKUP(AF$16,$L77:$X77,#REF!)))</f>
        <v>0</v>
      </c>
      <c r="AG77" s="235">
        <f>IF(ISERROR(LOOKUP(AG$16,$L77:$X77,#REF!)),0,(LOOKUP(AG$16,$L77:$X77,#REF!)))</f>
        <v>0</v>
      </c>
      <c r="AH77" s="235">
        <f>IF(ISERROR(LOOKUP(AH$16,$L77:$X77,#REF!)),0,(LOOKUP(AH$16,$L77:$X77,#REF!)))</f>
        <v>0</v>
      </c>
      <c r="AI77" s="235">
        <f>IF(ISERROR(LOOKUP(AI$16,$L77:$X77,#REF!)),0,(LOOKUP(AI$16,$L77:$X77,#REF!)))</f>
        <v>0</v>
      </c>
      <c r="AJ77" s="235">
        <f>IF(ISERROR(LOOKUP(AJ$16,$L77:$X77,#REF!)),0,(LOOKUP(AJ$16,$L77:$X77,#REF!)))</f>
        <v>0</v>
      </c>
      <c r="AK77" s="235">
        <f>IF(ISERROR(LOOKUP(AK$16,$L77:$X77,#REF!)),0,(LOOKUP(AK$16,$L77:$X77,#REF!)))</f>
        <v>0</v>
      </c>
      <c r="AL77" s="235">
        <f>IF(ISERROR(LOOKUP(AL$16,$L77:$X77,#REF!)),0,(LOOKUP(AL$16,$L77:$X77,#REF!)))</f>
        <v>0</v>
      </c>
      <c r="AM77" s="235">
        <f ca="1">IF(ISERROR(LOOKUP(AM$16,$L77:$X77,#REF!)),0,(LOOKUP(AM$16,$L77:$X77,#REF!)))</f>
        <v>0</v>
      </c>
      <c r="AP77" s="215" t="e">
        <f>WORKDAY(AQ77,-INDEX(AQ$12:AQ$15,MATCH($I77,$I$12:$I$15,0)),$AW$17:$AW$148)</f>
        <v>#REF!</v>
      </c>
      <c r="AQ77" s="215" t="e">
        <f>WORKDAY(U77,-INDEX(U$12:U$15,MATCH($I77,$I$12:$I$15,0)),$AW$17:$AW$148)</f>
        <v>#REF!</v>
      </c>
      <c r="AR77" s="215" t="e">
        <f>WORKDAY(U77,-INDEX(U$12:U$15,MATCH($I77,$I$12:$I$15,0)),$AW$17:$AW$148)</f>
        <v>#REF!</v>
      </c>
      <c r="AS77" s="778">
        <v>7</v>
      </c>
      <c r="AW77" s="236" t="e">
        <v>#REF!</v>
      </c>
    </row>
    <row r="78" spans="1:49" s="167" customFormat="1" ht="18" customHeight="1">
      <c r="A78" s="737"/>
      <c r="B78" s="739"/>
      <c r="C78" s="742" t="str">
        <f>C77</f>
        <v>RFQ-021</v>
      </c>
      <c r="D78" s="742" t="str">
        <f>D77</f>
        <v>Control Valve</v>
      </c>
      <c r="E78" s="237"/>
      <c r="F78" s="754" t="str">
        <f>F77</f>
        <v>Instrument</v>
      </c>
      <c r="G78" s="742" t="str">
        <f>G77</f>
        <v>N</v>
      </c>
      <c r="H78" s="766"/>
      <c r="I78" s="231" t="str">
        <f>I77</f>
        <v>LB</v>
      </c>
      <c r="J78" s="233" t="s">
        <v>65</v>
      </c>
      <c r="K78" s="215">
        <f>K77</f>
        <v>46258</v>
      </c>
      <c r="L78" s="215">
        <f>WORKDAY(IF(K79="",K78,K79),INDEX(L$12:L$15,MATCH($I77,$I$12:$I$15,0)))</f>
        <v>46259</v>
      </c>
      <c r="M78" s="215">
        <f>WORKDAY(IF(L79="",L78,L79),INDEX(M$12:M$15,MATCH($I77,$I$12:$I$15,0)))</f>
        <v>46266</v>
      </c>
      <c r="N78" s="215">
        <f>WORKDAY(IF(M79="",M78,M79),INDEX(N$12:N$15,MATCH($I77,$I$12:$I$15,0)))</f>
        <v>46267</v>
      </c>
      <c r="O78" s="215">
        <f>WORKDAY(IF(N79="",N78,N79),INDEX(O$12:O$15,MATCH($I77,$I$12:$I$15,0)))</f>
        <v>46274</v>
      </c>
      <c r="P78" s="216"/>
      <c r="Q78" s="217"/>
      <c r="R78" s="215">
        <f>WORKDAY(IF(O79="",O78,O79),INDEX(R$12:R$15,MATCH($I77,$I$12:$I$15,0)))</f>
        <v>46288</v>
      </c>
      <c r="S78" s="215">
        <f>WORKDAY(IF(R79="",R78,R79),INDEX(S$12:S$15,MATCH($I77,$I$12:$I$15,0)))</f>
        <v>46316</v>
      </c>
      <c r="T78" s="215">
        <f>WORKDAY(IF(S79="",S78,S79),INDEX(T$12:T$15,MATCH($I77,$I$12:$I$15,0)))</f>
        <v>46321</v>
      </c>
      <c r="U78" s="215">
        <f>WORKDAY(IF(T79="",T78,T79),INDEX(U$12:U$15,MATCH($I77,$I$12:$I$15,0)))</f>
        <v>46335</v>
      </c>
      <c r="V78" s="215">
        <f>WORKDAY(IF(U79="",U78,U79),INDEX(V$12:V$15,MATCH($I77,$I$12:$I$15,0)))</f>
        <v>46337</v>
      </c>
      <c r="W78" s="218"/>
      <c r="X78" s="215">
        <f>U78+Y77</f>
        <v>46535</v>
      </c>
      <c r="Y78" s="768"/>
      <c r="Z78" s="773"/>
      <c r="AA78" s="773"/>
      <c r="AB78" s="777"/>
      <c r="AC78" s="234">
        <f>IF(ISERROR(LOOKUP(AC$16,$L78:$X78,#REF!)),0,(LOOKUP(AC$16,$L78:$X78,#REF!)))</f>
        <v>0</v>
      </c>
      <c r="AD78" s="235">
        <f>IF(ISERROR(LOOKUP(AD$16,$L78:$X78,#REF!)),0,(LOOKUP(AD$16,$L78:$X78,#REF!)))</f>
        <v>0</v>
      </c>
      <c r="AE78" s="235">
        <f>IF(ISERROR(LOOKUP(AE$16,$L78:$X78,#REF!)),0,(LOOKUP(AE$16,$L78:$X78,#REF!)))</f>
        <v>0</v>
      </c>
      <c r="AF78" s="235">
        <f>IF(ISERROR(LOOKUP(AF$16,$L78:$X78,#REF!)),0,(LOOKUP(AF$16,$L78:$X78,#REF!)))</f>
        <v>0</v>
      </c>
      <c r="AG78" s="235">
        <f>IF(ISERROR(LOOKUP(AG$16,$L78:$X78,#REF!)),0,(LOOKUP(AG$16,$L78:$X78,#REF!)))</f>
        <v>0</v>
      </c>
      <c r="AH78" s="235">
        <f>IF(ISERROR(LOOKUP(AH$16,$L78:$X78,#REF!)),0,(LOOKUP(AH$16,$L78:$X78,#REF!)))</f>
        <v>0</v>
      </c>
      <c r="AI78" s="235">
        <f>IF(ISERROR(LOOKUP(AI$16,$L78:$X78,#REF!)),0,(LOOKUP(AI$16,$L78:$X78,#REF!)))</f>
        <v>0</v>
      </c>
      <c r="AJ78" s="235">
        <f>IF(ISERROR(LOOKUP(AJ$16,$L78:$X78,#REF!)),0,(LOOKUP(AJ$16,$L78:$X78,#REF!)))</f>
        <v>0</v>
      </c>
      <c r="AK78" s="235">
        <f>IF(ISERROR(LOOKUP(AK$16,$L78:$X78,#REF!)),0,(LOOKUP(AK$16,$L78:$X78,#REF!)))</f>
        <v>0</v>
      </c>
      <c r="AL78" s="235">
        <f>IF(ISERROR(LOOKUP(AL$16,$L78:$X78,#REF!)),0,(LOOKUP(AL$16,$L78:$X78,#REF!)))</f>
        <v>0</v>
      </c>
      <c r="AM78" s="235">
        <f ca="1">IF(ISERROR(LOOKUP(AM$16,$L78:$X78,#REF!)),0,(LOOKUP(AM$16,$L78:$X78,#REF!)))</f>
        <v>0</v>
      </c>
      <c r="AP78" s="215" t="e">
        <f>WORKDAY(IF(T79="",T78,T79),INDEX(AP$12:AP$15,MATCH($I77,$I$12:$I$15,0)),$AW$17:$AW$148)</f>
        <v>#REF!</v>
      </c>
      <c r="AQ78" s="215" t="e">
        <f>WORKDAY(IF(AP79="",AP78,AP79),INDEX(AQ$12:AQ$15,MATCH($I77,$I$12:$I$15,0)),$AW$17:$AW$148)</f>
        <v>#REF!</v>
      </c>
      <c r="AR78" s="215" t="e">
        <f>WORKDAY(IF(AQ79="",AQ78,AQ79),INDEX(AR$12:AR$15,MATCH($I77,$I$12:$I$15,0)),$AW$17:$AW$148)</f>
        <v>#REF!</v>
      </c>
      <c r="AS78" s="778"/>
      <c r="AW78" s="236" t="e">
        <v>#REF!</v>
      </c>
    </row>
    <row r="79" spans="1:49" s="167" customFormat="1" ht="18" customHeight="1">
      <c r="A79" s="737"/>
      <c r="B79" s="740"/>
      <c r="C79" s="742" t="str">
        <f>C77</f>
        <v>RFQ-021</v>
      </c>
      <c r="D79" s="742" t="str">
        <f>D77</f>
        <v>Control Valve</v>
      </c>
      <c r="E79" s="238"/>
      <c r="F79" s="755" t="str">
        <f>F77</f>
        <v>Instrument</v>
      </c>
      <c r="G79" s="742" t="str">
        <f>G77</f>
        <v>N</v>
      </c>
      <c r="H79" s="767"/>
      <c r="I79" s="231" t="str">
        <f>I77</f>
        <v>LB</v>
      </c>
      <c r="J79" s="233" t="s">
        <v>67</v>
      </c>
      <c r="K79" s="212"/>
      <c r="L79" s="212"/>
      <c r="M79" s="212"/>
      <c r="N79" s="212"/>
      <c r="O79" s="212"/>
      <c r="P79" s="226"/>
      <c r="Q79" s="227"/>
      <c r="R79" s="212"/>
      <c r="S79" s="212"/>
      <c r="T79" s="212"/>
      <c r="U79" s="212"/>
      <c r="V79" s="212"/>
      <c r="W79" s="228"/>
      <c r="X79" s="212"/>
      <c r="Y79" s="768"/>
      <c r="Z79" s="773"/>
      <c r="AA79" s="773"/>
      <c r="AB79" s="777"/>
      <c r="AC79" s="239">
        <f>IF(ISERROR(LOOKUP(AC$16,$L79:$X79,#REF!)),0,(LOOKUP(AC$16,$L79:$X79,#REF!)))</f>
        <v>0</v>
      </c>
      <c r="AD79" s="240">
        <f>IF(ISERROR(LOOKUP(AD$16,$L79:$X79,#REF!)),0,(LOOKUP(AD$16,$L79:$X79,#REF!)))</f>
        <v>0</v>
      </c>
      <c r="AE79" s="240">
        <f>IF(ISERROR(LOOKUP(AE$16,$L79:$X79,#REF!)),0,(LOOKUP(AE$16,$L79:$X79,#REF!)))</f>
        <v>0</v>
      </c>
      <c r="AF79" s="240">
        <f>IF(ISERROR(LOOKUP(AF$16,$L79:$X79,#REF!)),0,(LOOKUP(AF$16,$L79:$X79,#REF!)))</f>
        <v>0</v>
      </c>
      <c r="AG79" s="240">
        <f>IF(ISERROR(LOOKUP(AG$16,$L79:$X79,#REF!)),0,(LOOKUP(AG$16,$L79:$X79,#REF!)))</f>
        <v>0</v>
      </c>
      <c r="AH79" s="240">
        <f>IF(ISERROR(LOOKUP(AH$16,$L79:$X79,#REF!)),0,(LOOKUP(AH$16,$L79:$X79,#REF!)))</f>
        <v>0</v>
      </c>
      <c r="AI79" s="240">
        <f>IF(ISERROR(LOOKUP(AI$16,$L79:$X79,#REF!)),0,(LOOKUP(AI$16,$L79:$X79,#REF!)))</f>
        <v>0</v>
      </c>
      <c r="AJ79" s="240">
        <f>IF(ISERROR(LOOKUP(AJ$16,$L79:$X79,#REF!)),0,(LOOKUP(AJ$16,$L79:$X79,#REF!)))</f>
        <v>0</v>
      </c>
      <c r="AK79" s="240">
        <f>IF(ISERROR(LOOKUP(AK$16,$L79:$X79,#REF!)),0,(LOOKUP(AK$16,$L79:$X79,#REF!)))</f>
        <v>0</v>
      </c>
      <c r="AL79" s="240">
        <f>IF(ISERROR(LOOKUP(AL$16,$L79:$X79,#REF!)),0,(LOOKUP(AL$16,$L79:$X79,#REF!)))</f>
        <v>0</v>
      </c>
      <c r="AM79" s="240">
        <f ca="1">IF(ISERROR(LOOKUP(AM$16,$L79:$X79,#REF!)),0,(LOOKUP(AM$16,$L79:$X79,#REF!)))</f>
        <v>0</v>
      </c>
      <c r="AP79" s="212"/>
      <c r="AQ79" s="212"/>
      <c r="AR79" s="212"/>
      <c r="AS79" s="778"/>
      <c r="AW79" s="236" t="e">
        <v>#REF!</v>
      </c>
    </row>
    <row r="80" spans="1:49" s="166" customFormat="1" ht="18" customHeight="1">
      <c r="A80" s="736">
        <f>A77+1</f>
        <v>22</v>
      </c>
      <c r="B80" s="738"/>
      <c r="C80" s="741" t="s">
        <v>5269</v>
      </c>
      <c r="D80" s="741" t="s">
        <v>142</v>
      </c>
      <c r="E80" s="213"/>
      <c r="F80" s="759" t="s">
        <v>137</v>
      </c>
      <c r="G80" s="741" t="s">
        <v>73</v>
      </c>
      <c r="H80" s="746"/>
      <c r="I80" s="212" t="s">
        <v>7</v>
      </c>
      <c r="J80" s="249" t="s">
        <v>5236</v>
      </c>
      <c r="K80" s="215">
        <f>WORKDAY(L80,-INDEX(L$12:L$15,MATCH($I80,$I$12:$I$15,0)))</f>
        <v>46261</v>
      </c>
      <c r="L80" s="215">
        <f>WORKDAY(M80,-INDEX(M$12:M$15,MATCH($I80,$I$12:$I$15,0)))</f>
        <v>46262</v>
      </c>
      <c r="M80" s="215">
        <f>WORKDAY(N80,-INDEX(N$12:N$15,MATCH($I80,$I$12:$I$15,0)))</f>
        <v>46269</v>
      </c>
      <c r="N80" s="215">
        <f>WORKDAY(O80,-INDEX(O$12:O$15,MATCH($I80,$I$12:$I$15,0)))</f>
        <v>46272</v>
      </c>
      <c r="O80" s="215">
        <f>WORKDAY(R80,-INDEX(R$12:R$15,MATCH($I80,$I$12:$I$15,0)))</f>
        <v>46279</v>
      </c>
      <c r="P80" s="216">
        <f>U80-L80</f>
        <v>76</v>
      </c>
      <c r="Q80" s="217"/>
      <c r="R80" s="215">
        <f>WORKDAY(S80,-INDEX(S$12:S$15,MATCH($I80,$I$12:$I$15,0)))</f>
        <v>46293</v>
      </c>
      <c r="S80" s="215">
        <f>WORKDAY(T80,-INDEX(T$12:T$15,MATCH($I80,$I$12:$I$15,0)))</f>
        <v>46321</v>
      </c>
      <c r="T80" s="215">
        <f>WORKDAY(U80,-INDEX(U$12:U$15,MATCH($I80,$I$12:$I$15,0)))</f>
        <v>46324</v>
      </c>
      <c r="U80" s="215">
        <f>X80-Y80</f>
        <v>46338</v>
      </c>
      <c r="V80" s="215">
        <f>WORKDAY(U80,INDEX(V$12:V$15,MATCH($I80,$I$12:$I$15,0)))</f>
        <v>46342</v>
      </c>
      <c r="W80" s="218">
        <f>Y80/7</f>
        <v>28.571428571428601</v>
      </c>
      <c r="X80" s="215">
        <f>Z80</f>
        <v>46538</v>
      </c>
      <c r="Y80" s="768">
        <v>200</v>
      </c>
      <c r="Z80" s="773">
        <v>46538</v>
      </c>
      <c r="AA80" s="773">
        <v>46538</v>
      </c>
      <c r="AB80" s="777">
        <f>Z80-X81</f>
        <v>0</v>
      </c>
      <c r="AC80" s="220">
        <f>IF(ISERROR(LOOKUP(AC$16,$L80:$X80,#REF!)),0,(LOOKUP(AC$16,$L80:$X80,#REF!)))</f>
        <v>0</v>
      </c>
      <c r="AD80" s="221">
        <f>IF(ISERROR(LOOKUP(AD$16,$L80:$X80,#REF!)),0,(LOOKUP(AD$16,$L80:$X80,#REF!)))</f>
        <v>0</v>
      </c>
      <c r="AE80" s="221">
        <f>IF(ISERROR(LOOKUP(AE$16,$L80:$X80,#REF!)),0,(LOOKUP(AE$16,$L80:$X80,#REF!)))</f>
        <v>0</v>
      </c>
      <c r="AF80" s="221">
        <f>IF(ISERROR(LOOKUP(AF$16,$L80:$X80,#REF!)),0,(LOOKUP(AF$16,$L80:$X80,#REF!)))</f>
        <v>0</v>
      </c>
      <c r="AG80" s="221">
        <f>IF(ISERROR(LOOKUP(AG$16,$L80:$X80,#REF!)),0,(LOOKUP(AG$16,$L80:$X80,#REF!)))</f>
        <v>0</v>
      </c>
      <c r="AH80" s="221">
        <f>IF(ISERROR(LOOKUP(AH$16,$L80:$X80,#REF!)),0,(LOOKUP(AH$16,$L80:$X80,#REF!)))</f>
        <v>0</v>
      </c>
      <c r="AI80" s="221">
        <f>IF(ISERROR(LOOKUP(AI$16,$L80:$X80,#REF!)),0,(LOOKUP(AI$16,$L80:$X80,#REF!)))</f>
        <v>0</v>
      </c>
      <c r="AJ80" s="221">
        <f>IF(ISERROR(LOOKUP(AJ$16,$L80:$X80,#REF!)),0,(LOOKUP(AJ$16,$L80:$X80,#REF!)))</f>
        <v>0</v>
      </c>
      <c r="AK80" s="221">
        <f>IF(ISERROR(LOOKUP(AK$16,$L80:$X80,#REF!)),0,(LOOKUP(AK$16,$L80:$X80,#REF!)))</f>
        <v>0</v>
      </c>
      <c r="AL80" s="221">
        <f>IF(ISERROR(LOOKUP(AL$16,$L80:$X80,#REF!)),0,(LOOKUP(AL$16,$L80:$X80,#REF!)))</f>
        <v>0</v>
      </c>
      <c r="AM80" s="221">
        <f ca="1">IF(ISERROR(LOOKUP(AM$16,$L80:$X80,#REF!)),0,(LOOKUP(AM$16,$L80:$X80,#REF!)))</f>
        <v>0</v>
      </c>
      <c r="AP80" s="215" t="e">
        <f>WORKDAY(AQ80,-INDEX(AQ$12:AQ$15,MATCH($I80,$I$12:$I$15,0)),$AW$17:$AW$148)</f>
        <v>#REF!</v>
      </c>
      <c r="AQ80" s="215" t="e">
        <f>WORKDAY(U80,-INDEX(U$12:U$15,MATCH($I80,$I$12:$I$15,0)),$AW$17:$AW$148)</f>
        <v>#REF!</v>
      </c>
      <c r="AR80" s="215" t="e">
        <f>WORKDAY(U80,-INDEX(U$12:U$15,MATCH($I80,$I$12:$I$15,0)),$AW$17:$AW$148)</f>
        <v>#REF!</v>
      </c>
      <c r="AS80" s="778">
        <v>7</v>
      </c>
      <c r="AW80" s="223" t="e">
        <v>#REF!</v>
      </c>
    </row>
    <row r="81" spans="1:49" s="166" customFormat="1" ht="18" customHeight="1">
      <c r="A81" s="736"/>
      <c r="B81" s="739"/>
      <c r="C81" s="741" t="str">
        <f>C80</f>
        <v>RFQ-022</v>
      </c>
      <c r="D81" s="741" t="str">
        <f>D80</f>
        <v>Self Regulator Valve</v>
      </c>
      <c r="E81" s="224"/>
      <c r="F81" s="760" t="str">
        <f>F80</f>
        <v>Instrument</v>
      </c>
      <c r="G81" s="741" t="str">
        <f>G80</f>
        <v>N</v>
      </c>
      <c r="H81" s="747"/>
      <c r="I81" s="212" t="str">
        <f>I80</f>
        <v>LB</v>
      </c>
      <c r="J81" s="249" t="s">
        <v>65</v>
      </c>
      <c r="K81" s="215">
        <f>K80</f>
        <v>46261</v>
      </c>
      <c r="L81" s="215">
        <f>WORKDAY(IF(K82="",K81,K82),INDEX(L$12:L$15,MATCH($I80,$I$12:$I$15,0)))</f>
        <v>46262</v>
      </c>
      <c r="M81" s="215">
        <f>WORKDAY(IF(L82="",L81,L82),INDEX(M$12:M$15,MATCH($I80,$I$12:$I$15,0)))</f>
        <v>46269</v>
      </c>
      <c r="N81" s="215">
        <f>WORKDAY(IF(M82="",M81,M82),INDEX(N$12:N$15,MATCH($I80,$I$12:$I$15,0)))</f>
        <v>46272</v>
      </c>
      <c r="O81" s="215">
        <f>WORKDAY(IF(N82="",N81,N82),INDEX(O$12:O$15,MATCH($I80,$I$12:$I$15,0)))</f>
        <v>46279</v>
      </c>
      <c r="P81" s="216"/>
      <c r="Q81" s="217"/>
      <c r="R81" s="215">
        <f>WORKDAY(IF(O82="",O81,O82),INDEX(R$12:R$15,MATCH($I80,$I$12:$I$15,0)))</f>
        <v>46293</v>
      </c>
      <c r="S81" s="215">
        <f>WORKDAY(IF(R82="",R81,R82),INDEX(S$12:S$15,MATCH($I80,$I$12:$I$15,0)))</f>
        <v>46321</v>
      </c>
      <c r="T81" s="215">
        <f>WORKDAY(IF(S82="",S81,S82),INDEX(T$12:T$15,MATCH($I80,$I$12:$I$15,0)))</f>
        <v>46324</v>
      </c>
      <c r="U81" s="215">
        <f>WORKDAY(IF(T82="",T81,T82),INDEX(U$12:U$15,MATCH($I80,$I$12:$I$15,0)))</f>
        <v>46338</v>
      </c>
      <c r="V81" s="215">
        <f>WORKDAY(IF(U82="",U81,U82),INDEX(V$12:V$15,MATCH($I80,$I$12:$I$15,0)))</f>
        <v>46342</v>
      </c>
      <c r="W81" s="218"/>
      <c r="X81" s="215">
        <f>U81+Y80</f>
        <v>46538</v>
      </c>
      <c r="Y81" s="768"/>
      <c r="Z81" s="773"/>
      <c r="AA81" s="773"/>
      <c r="AB81" s="777"/>
      <c r="AC81" s="220">
        <f>IF(ISERROR(LOOKUP(AC$16,$L81:$X81,#REF!)),0,(LOOKUP(AC$16,$L81:$X81,#REF!)))</f>
        <v>0</v>
      </c>
      <c r="AD81" s="221">
        <f>IF(ISERROR(LOOKUP(AD$16,$L81:$X81,#REF!)),0,(LOOKUP(AD$16,$L81:$X81,#REF!)))</f>
        <v>0</v>
      </c>
      <c r="AE81" s="221">
        <f>IF(ISERROR(LOOKUP(AE$16,$L81:$X81,#REF!)),0,(LOOKUP(AE$16,$L81:$X81,#REF!)))</f>
        <v>0</v>
      </c>
      <c r="AF81" s="221">
        <f>IF(ISERROR(LOOKUP(AF$16,$L81:$X81,#REF!)),0,(LOOKUP(AF$16,$L81:$X81,#REF!)))</f>
        <v>0</v>
      </c>
      <c r="AG81" s="221">
        <f>IF(ISERROR(LOOKUP(AG$16,$L81:$X81,#REF!)),0,(LOOKUP(AG$16,$L81:$X81,#REF!)))</f>
        <v>0</v>
      </c>
      <c r="AH81" s="221">
        <f>IF(ISERROR(LOOKUP(AH$16,$L81:$X81,#REF!)),0,(LOOKUP(AH$16,$L81:$X81,#REF!)))</f>
        <v>0</v>
      </c>
      <c r="AI81" s="221">
        <f>IF(ISERROR(LOOKUP(AI$16,$L81:$X81,#REF!)),0,(LOOKUP(AI$16,$L81:$X81,#REF!)))</f>
        <v>0</v>
      </c>
      <c r="AJ81" s="221">
        <f>IF(ISERROR(LOOKUP(AJ$16,$L81:$X81,#REF!)),0,(LOOKUP(AJ$16,$L81:$X81,#REF!)))</f>
        <v>0</v>
      </c>
      <c r="AK81" s="221">
        <f>IF(ISERROR(LOOKUP(AK$16,$L81:$X81,#REF!)),0,(LOOKUP(AK$16,$L81:$X81,#REF!)))</f>
        <v>0</v>
      </c>
      <c r="AL81" s="221">
        <f>IF(ISERROR(LOOKUP(AL$16,$L81:$X81,#REF!)),0,(LOOKUP(AL$16,$L81:$X81,#REF!)))</f>
        <v>0</v>
      </c>
      <c r="AM81" s="221">
        <f ca="1">IF(ISERROR(LOOKUP(AM$16,$L81:$X81,#REF!)),0,(LOOKUP(AM$16,$L81:$X81,#REF!)))</f>
        <v>0</v>
      </c>
      <c r="AP81" s="215" t="e">
        <f>WORKDAY(IF(T82="",T81,T82),INDEX(AP$12:AP$15,MATCH($I80,$I$12:$I$15,0)),$AW$17:$AW$148)</f>
        <v>#REF!</v>
      </c>
      <c r="AQ81" s="215" t="e">
        <f>WORKDAY(IF(AP82="",AP81,AP82),INDEX(AQ$12:AQ$15,MATCH($I80,$I$12:$I$15,0)),$AW$17:$AW$148)</f>
        <v>#REF!</v>
      </c>
      <c r="AR81" s="215" t="e">
        <f>WORKDAY(IF(AQ82="",AQ81,AQ82),INDEX(AR$12:AR$15,MATCH($I80,$I$12:$I$15,0)),$AW$17:$AW$148)</f>
        <v>#REF!</v>
      </c>
      <c r="AS81" s="778"/>
      <c r="AW81" s="223" t="e">
        <v>#REF!</v>
      </c>
    </row>
    <row r="82" spans="1:49" s="166" customFormat="1" ht="22.35" customHeight="1">
      <c r="A82" s="736"/>
      <c r="B82" s="740"/>
      <c r="C82" s="741" t="str">
        <f>C80</f>
        <v>RFQ-022</v>
      </c>
      <c r="D82" s="741" t="str">
        <f>D80</f>
        <v>Self Regulator Valve</v>
      </c>
      <c r="E82" s="225"/>
      <c r="F82" s="761" t="str">
        <f>F80</f>
        <v>Instrument</v>
      </c>
      <c r="G82" s="741" t="str">
        <f>G80</f>
        <v>N</v>
      </c>
      <c r="H82" s="748"/>
      <c r="I82" s="212" t="str">
        <f>I80</f>
        <v>LB</v>
      </c>
      <c r="J82" s="249" t="s">
        <v>67</v>
      </c>
      <c r="K82" s="212"/>
      <c r="L82" s="212"/>
      <c r="M82" s="212"/>
      <c r="N82" s="212"/>
      <c r="O82" s="212"/>
      <c r="P82" s="226"/>
      <c r="Q82" s="227"/>
      <c r="R82" s="212"/>
      <c r="S82" s="212"/>
      <c r="T82" s="212"/>
      <c r="U82" s="212"/>
      <c r="V82" s="212"/>
      <c r="W82" s="228"/>
      <c r="X82" s="212"/>
      <c r="Y82" s="768"/>
      <c r="Z82" s="773"/>
      <c r="AA82" s="773"/>
      <c r="AB82" s="777"/>
      <c r="AC82" s="229">
        <f>IF(ISERROR(LOOKUP(AC$16,$L82:$X82,#REF!)),0,(LOOKUP(AC$16,$L82:$X82,#REF!)))</f>
        <v>0</v>
      </c>
      <c r="AD82" s="230">
        <f>IF(ISERROR(LOOKUP(AD$16,$L82:$X82,#REF!)),0,(LOOKUP(AD$16,$L82:$X82,#REF!)))</f>
        <v>0</v>
      </c>
      <c r="AE82" s="230">
        <f>IF(ISERROR(LOOKUP(AE$16,$L82:$X82,#REF!)),0,(LOOKUP(AE$16,$L82:$X82,#REF!)))</f>
        <v>0</v>
      </c>
      <c r="AF82" s="230">
        <f>IF(ISERROR(LOOKUP(AF$16,$L82:$X82,#REF!)),0,(LOOKUP(AF$16,$L82:$X82,#REF!)))</f>
        <v>0</v>
      </c>
      <c r="AG82" s="230">
        <f>IF(ISERROR(LOOKUP(AG$16,$L82:$X82,#REF!)),0,(LOOKUP(AG$16,$L82:$X82,#REF!)))</f>
        <v>0</v>
      </c>
      <c r="AH82" s="230">
        <f>IF(ISERROR(LOOKUP(AH$16,$L82:$X82,#REF!)),0,(LOOKUP(AH$16,$L82:$X82,#REF!)))</f>
        <v>0</v>
      </c>
      <c r="AI82" s="230">
        <f>IF(ISERROR(LOOKUP(AI$16,$L82:$X82,#REF!)),0,(LOOKUP(AI$16,$L82:$X82,#REF!)))</f>
        <v>0</v>
      </c>
      <c r="AJ82" s="230">
        <f>IF(ISERROR(LOOKUP(AJ$16,$L82:$X82,#REF!)),0,(LOOKUP(AJ$16,$L82:$X82,#REF!)))</f>
        <v>0</v>
      </c>
      <c r="AK82" s="230">
        <f>IF(ISERROR(LOOKUP(AK$16,$L82:$X82,#REF!)),0,(LOOKUP(AK$16,$L82:$X82,#REF!)))</f>
        <v>0</v>
      </c>
      <c r="AL82" s="230">
        <f>IF(ISERROR(LOOKUP(AL$16,$L82:$X82,#REF!)),0,(LOOKUP(AL$16,$L82:$X82,#REF!)))</f>
        <v>0</v>
      </c>
      <c r="AM82" s="230">
        <f ca="1">IF(ISERROR(LOOKUP(AM$16,$L82:$X82,#REF!)),0,(LOOKUP(AM$16,$L82:$X82,#REF!)))</f>
        <v>0</v>
      </c>
      <c r="AP82" s="212"/>
      <c r="AQ82" s="212"/>
      <c r="AR82" s="212"/>
      <c r="AS82" s="778"/>
      <c r="AW82" s="223" t="e">
        <v>#REF!</v>
      </c>
    </row>
    <row r="83" spans="1:49" s="169" customFormat="1" ht="22.5" customHeight="1">
      <c r="A83" s="736">
        <f>A80+1</f>
        <v>23</v>
      </c>
      <c r="B83" s="738"/>
      <c r="C83" s="741" t="s">
        <v>5270</v>
      </c>
      <c r="D83" s="741" t="s">
        <v>145</v>
      </c>
      <c r="E83" s="213"/>
      <c r="F83" s="750" t="s">
        <v>137</v>
      </c>
      <c r="G83" s="741" t="s">
        <v>73</v>
      </c>
      <c r="H83" s="746"/>
      <c r="I83" s="190" t="s">
        <v>6</v>
      </c>
      <c r="J83" s="249" t="s">
        <v>5236</v>
      </c>
      <c r="K83" s="215">
        <f>WORKDAY(L83,-INDEX(L$12:L$15,MATCH($I83,$I$12:$I$15,0)))</f>
        <v>46153</v>
      </c>
      <c r="L83" s="215">
        <f>WORKDAY(M83,-INDEX(M$12:M$15,MATCH($I83,$I$12:$I$15,0)))</f>
        <v>46154</v>
      </c>
      <c r="M83" s="215">
        <f>WORKDAY(N83,-INDEX(N$12:N$15,MATCH($I83,$I$12:$I$15,0)))</f>
        <v>46161</v>
      </c>
      <c r="N83" s="215">
        <f>WORKDAY(O83,-INDEX(O$12:O$15,MATCH($I83,$I$12:$I$15,0)))</f>
        <v>46162</v>
      </c>
      <c r="O83" s="215">
        <f>WORKDAY(R83,-INDEX(R$12:R$15,MATCH($I83,$I$12:$I$15,0)))</f>
        <v>46169</v>
      </c>
      <c r="P83" s="216">
        <f>U83-L83</f>
        <v>76</v>
      </c>
      <c r="Q83" s="217"/>
      <c r="R83" s="215">
        <f>WORKDAY(S83,-INDEX(S$12:S$15,MATCH($I83,$I$12:$I$15,0)))</f>
        <v>46183</v>
      </c>
      <c r="S83" s="215">
        <f>WORKDAY(T83,-INDEX(T$12:T$15,MATCH($I83,$I$12:$I$15,0)))</f>
        <v>46211</v>
      </c>
      <c r="T83" s="215">
        <f>WORKDAY(U83,-INDEX(U$12:U$15,MATCH($I83,$I$12:$I$15,0)))</f>
        <v>46216</v>
      </c>
      <c r="U83" s="215">
        <f>X83-Y83</f>
        <v>46230</v>
      </c>
      <c r="V83" s="215">
        <f>WORKDAY(U83,INDEX(V$12:V$15,MATCH($I83,$I$12:$I$15,0)))</f>
        <v>46232</v>
      </c>
      <c r="W83" s="218">
        <f>Y83/7</f>
        <v>44</v>
      </c>
      <c r="X83" s="215">
        <f>Z83</f>
        <v>46538</v>
      </c>
      <c r="Y83" s="768">
        <f>44*7</f>
        <v>308</v>
      </c>
      <c r="Z83" s="773">
        <v>46538</v>
      </c>
      <c r="AA83" s="773">
        <v>46538</v>
      </c>
      <c r="AB83" s="777">
        <f>Z83-X84</f>
        <v>0</v>
      </c>
      <c r="AC83" s="250">
        <f>IF(ISERROR(LOOKUP(AC$16,$L83:$X83,#REF!)),0,(LOOKUP(AC$16,$L83:$X83,#REF!)))</f>
        <v>0</v>
      </c>
      <c r="AD83" s="251">
        <f>IF(ISERROR(LOOKUP(AD$16,$L83:$X83,#REF!)),0,(LOOKUP(AD$16,$L83:$X83,#REF!)))</f>
        <v>0</v>
      </c>
      <c r="AE83" s="251">
        <f>IF(ISERROR(LOOKUP(AE$16,$L83:$X83,#REF!)),0,(LOOKUP(AE$16,$L83:$X83,#REF!)))</f>
        <v>0</v>
      </c>
      <c r="AF83" s="251">
        <f>IF(ISERROR(LOOKUP(AF$16,$L83:$X83,#REF!)),0,(LOOKUP(AF$16,$L83:$X83,#REF!)))</f>
        <v>0</v>
      </c>
      <c r="AG83" s="251">
        <f>IF(ISERROR(LOOKUP(AG$16,$L83:$X83,#REF!)),0,(LOOKUP(AG$16,$L83:$X83,#REF!)))</f>
        <v>0</v>
      </c>
      <c r="AH83" s="251">
        <f>IF(ISERROR(LOOKUP(AH$16,$L83:$X83,#REF!)),0,(LOOKUP(AH$16,$L83:$X83,#REF!)))</f>
        <v>0</v>
      </c>
      <c r="AI83" s="251">
        <f>IF(ISERROR(LOOKUP(AI$16,$L83:$X83,#REF!)),0,(LOOKUP(AI$16,$L83:$X83,#REF!)))</f>
        <v>0</v>
      </c>
      <c r="AJ83" s="251">
        <f>IF(ISERROR(LOOKUP(AJ$16,$L83:$X83,#REF!)),0,(LOOKUP(AJ$16,$L83:$X83,#REF!)))</f>
        <v>0</v>
      </c>
      <c r="AK83" s="251">
        <f>IF(ISERROR(LOOKUP(AK$16,$L83:$X83,#REF!)),0,(LOOKUP(AK$16,$L83:$X83,#REF!)))</f>
        <v>0</v>
      </c>
      <c r="AL83" s="251">
        <f>IF(ISERROR(LOOKUP(AL$16,$L83:$X83,#REF!)),0,(LOOKUP(AL$16,$L83:$X83,#REF!)))</f>
        <v>0</v>
      </c>
      <c r="AM83" s="251">
        <f ca="1">IF(ISERROR(LOOKUP(AM$16,$L83:$X83,#REF!)),0,(LOOKUP(AM$16,$L83:$X83,#REF!)))</f>
        <v>0</v>
      </c>
      <c r="AP83" s="215" t="e">
        <f>WORKDAY(AQ83,-INDEX(AQ$12:AQ$15,MATCH($I83,$I$12:$I$15,0)),$AW$17:$AW$148)</f>
        <v>#REF!</v>
      </c>
      <c r="AQ83" s="215" t="e">
        <f>WORKDAY(U83,-INDEX(U$12:U$15,MATCH($I83,$I$12:$I$15,0)),$AW$17:$AW$148)</f>
        <v>#REF!</v>
      </c>
      <c r="AR83" s="215" t="e">
        <f>WORKDAY(U83,-INDEX(U$12:U$15,MATCH($I83,$I$12:$I$15,0)),$AW$17:$AW$148)</f>
        <v>#REF!</v>
      </c>
      <c r="AS83" s="778">
        <v>7</v>
      </c>
      <c r="AW83" s="252" t="e">
        <v>#REF!</v>
      </c>
    </row>
    <row r="84" spans="1:49" s="169" customFormat="1" ht="22.5" customHeight="1">
      <c r="A84" s="736"/>
      <c r="B84" s="739"/>
      <c r="C84" s="741" t="str">
        <f>C83</f>
        <v>RFQ-023</v>
      </c>
      <c r="D84" s="741" t="str">
        <f>D83</f>
        <v>Actuated Choke Valve</v>
      </c>
      <c r="E84" s="224"/>
      <c r="F84" s="751" t="str">
        <f>F83</f>
        <v>Instrument</v>
      </c>
      <c r="G84" s="741" t="str">
        <f>G83</f>
        <v>N</v>
      </c>
      <c r="H84" s="747"/>
      <c r="I84" s="212" t="str">
        <f>I83</f>
        <v>LA</v>
      </c>
      <c r="J84" s="253" t="s">
        <v>65</v>
      </c>
      <c r="K84" s="215">
        <f>K83</f>
        <v>46153</v>
      </c>
      <c r="L84" s="215">
        <f>WORKDAY(IF(K85="",K84,K85),INDEX(L$12:L$15,MATCH($I83,$I$12:$I$15,0)))</f>
        <v>46154</v>
      </c>
      <c r="M84" s="215">
        <f>WORKDAY(IF(L85="",L84,L85),INDEX(M$12:M$15,MATCH($I83,$I$12:$I$15,0)))</f>
        <v>46161</v>
      </c>
      <c r="N84" s="215">
        <f>WORKDAY(IF(M85="",M84,M85),INDEX(N$12:N$15,MATCH($I83,$I$12:$I$15,0)))</f>
        <v>46162</v>
      </c>
      <c r="O84" s="215">
        <f>WORKDAY(IF(N85="",N84,N85),INDEX(O$12:O$15,MATCH($I83,$I$12:$I$15,0)))</f>
        <v>46169</v>
      </c>
      <c r="P84" s="216"/>
      <c r="Q84" s="217"/>
      <c r="R84" s="215">
        <f>WORKDAY(IF(O85="",O84,O85),INDEX(R$12:R$15,MATCH($I83,$I$12:$I$15,0)))</f>
        <v>46183</v>
      </c>
      <c r="S84" s="215">
        <f>WORKDAY(IF(R85="",R84,R85),INDEX(S$12:S$15,MATCH($I83,$I$12:$I$15,0)))</f>
        <v>46211</v>
      </c>
      <c r="T84" s="215">
        <f>WORKDAY(IF(S85="",S84,S85),INDEX(T$12:T$15,MATCH($I83,$I$12:$I$15,0)))</f>
        <v>46216</v>
      </c>
      <c r="U84" s="215">
        <f>WORKDAY(IF(T85="",T84,T85),INDEX(U$12:U$15,MATCH($I83,$I$12:$I$15,0)))</f>
        <v>46230</v>
      </c>
      <c r="V84" s="215">
        <f>WORKDAY(IF(U85="",U84,U85),INDEX(V$12:V$15,MATCH($I83,$I$12:$I$15,0)))</f>
        <v>46232</v>
      </c>
      <c r="W84" s="218"/>
      <c r="X84" s="215">
        <f>U84+Y83</f>
        <v>46538</v>
      </c>
      <c r="Y84" s="768"/>
      <c r="Z84" s="773"/>
      <c r="AA84" s="773"/>
      <c r="AB84" s="777"/>
      <c r="AC84" s="250">
        <f>IF(ISERROR(LOOKUP(AC$16,$L84:$X84,#REF!)),0,(LOOKUP(AC$16,$L84:$X84,#REF!)))</f>
        <v>0</v>
      </c>
      <c r="AD84" s="251">
        <f>IF(ISERROR(LOOKUP(AD$16,$L84:$X84,#REF!)),0,(LOOKUP(AD$16,$L84:$X84,#REF!)))</f>
        <v>0</v>
      </c>
      <c r="AE84" s="251">
        <f>IF(ISERROR(LOOKUP(AE$16,$L84:$X84,#REF!)),0,(LOOKUP(AE$16,$L84:$X84,#REF!)))</f>
        <v>0</v>
      </c>
      <c r="AF84" s="251">
        <f>IF(ISERROR(LOOKUP(AF$16,$L84:$X84,#REF!)),0,(LOOKUP(AF$16,$L84:$X84,#REF!)))</f>
        <v>0</v>
      </c>
      <c r="AG84" s="251">
        <f>IF(ISERROR(LOOKUP(AG$16,$L84:$X84,#REF!)),0,(LOOKUP(AG$16,$L84:$X84,#REF!)))</f>
        <v>0</v>
      </c>
      <c r="AH84" s="251">
        <f>IF(ISERROR(LOOKUP(AH$16,$L84:$X84,#REF!)),0,(LOOKUP(AH$16,$L84:$X84,#REF!)))</f>
        <v>0</v>
      </c>
      <c r="AI84" s="251">
        <f>IF(ISERROR(LOOKUP(AI$16,$L84:$X84,#REF!)),0,(LOOKUP(AI$16,$L84:$X84,#REF!)))</f>
        <v>0</v>
      </c>
      <c r="AJ84" s="251">
        <f>IF(ISERROR(LOOKUP(AJ$16,$L84:$X84,#REF!)),0,(LOOKUP(AJ$16,$L84:$X84,#REF!)))</f>
        <v>0</v>
      </c>
      <c r="AK84" s="251">
        <f>IF(ISERROR(LOOKUP(AK$16,$L84:$X84,#REF!)),0,(LOOKUP(AK$16,$L84:$X84,#REF!)))</f>
        <v>0</v>
      </c>
      <c r="AL84" s="251">
        <f>IF(ISERROR(LOOKUP(AL$16,$L84:$X84,#REF!)),0,(LOOKUP(AL$16,$L84:$X84,#REF!)))</f>
        <v>0</v>
      </c>
      <c r="AM84" s="251">
        <f ca="1">IF(ISERROR(LOOKUP(AM$16,$L84:$X84,#REF!)),0,(LOOKUP(AM$16,$L84:$X84,#REF!)))</f>
        <v>0</v>
      </c>
      <c r="AP84" s="215" t="e">
        <f>WORKDAY(IF(T85="",T84,T85),INDEX(AP$12:AP$15,MATCH($I83,$I$12:$I$15,0)),$AW$17:$AW$148)</f>
        <v>#REF!</v>
      </c>
      <c r="AQ84" s="215" t="e">
        <f>WORKDAY(IF(AP85="",AP84,AP85),INDEX(AQ$12:AQ$15,MATCH($I83,$I$12:$I$15,0)),$AW$17:$AW$148)</f>
        <v>#REF!</v>
      </c>
      <c r="AR84" s="215" t="e">
        <f>WORKDAY(IF(AQ85="",AQ84,AQ85),INDEX(AR$12:AR$15,MATCH($I83,$I$12:$I$15,0)),$AW$17:$AW$148)</f>
        <v>#REF!</v>
      </c>
      <c r="AS84" s="778"/>
      <c r="AW84" s="252" t="e">
        <v>#REF!</v>
      </c>
    </row>
    <row r="85" spans="1:49" s="169" customFormat="1" ht="15" customHeight="1">
      <c r="A85" s="736"/>
      <c r="B85" s="740"/>
      <c r="C85" s="741" t="str">
        <f>C83</f>
        <v>RFQ-023</v>
      </c>
      <c r="D85" s="741" t="str">
        <f>D83</f>
        <v>Actuated Choke Valve</v>
      </c>
      <c r="E85" s="225"/>
      <c r="F85" s="752" t="str">
        <f>F83</f>
        <v>Instrument</v>
      </c>
      <c r="G85" s="741" t="str">
        <f>G83</f>
        <v>N</v>
      </c>
      <c r="H85" s="748"/>
      <c r="I85" s="212" t="str">
        <f>I83</f>
        <v>LA</v>
      </c>
      <c r="J85" s="249" t="s">
        <v>67</v>
      </c>
      <c r="K85" s="212"/>
      <c r="L85" s="212"/>
      <c r="M85" s="212"/>
      <c r="N85" s="212"/>
      <c r="O85" s="212"/>
      <c r="P85" s="226"/>
      <c r="Q85" s="227"/>
      <c r="R85" s="212"/>
      <c r="S85" s="212"/>
      <c r="T85" s="212"/>
      <c r="U85" s="212"/>
      <c r="V85" s="212"/>
      <c r="W85" s="228"/>
      <c r="X85" s="212"/>
      <c r="Y85" s="768"/>
      <c r="Z85" s="773"/>
      <c r="AA85" s="773"/>
      <c r="AB85" s="777"/>
      <c r="AC85" s="254">
        <f>IF(ISERROR(LOOKUP(AC$16,$L85:$X85,#REF!)),0,(LOOKUP(AC$16,$L85:$X85,#REF!)))</f>
        <v>0</v>
      </c>
      <c r="AD85" s="255">
        <f>IF(ISERROR(LOOKUP(AD$16,$L85:$X85,#REF!)),0,(LOOKUP(AD$16,$L85:$X85,#REF!)))</f>
        <v>0</v>
      </c>
      <c r="AE85" s="255">
        <f>IF(ISERROR(LOOKUP(AE$16,$L85:$X85,#REF!)),0,(LOOKUP(AE$16,$L85:$X85,#REF!)))</f>
        <v>0</v>
      </c>
      <c r="AF85" s="255">
        <f>IF(ISERROR(LOOKUP(AF$16,$L85:$X85,#REF!)),0,(LOOKUP(AF$16,$L85:$X85,#REF!)))</f>
        <v>0</v>
      </c>
      <c r="AG85" s="255">
        <f>IF(ISERROR(LOOKUP(AG$16,$L85:$X85,#REF!)),0,(LOOKUP(AG$16,$L85:$X85,#REF!)))</f>
        <v>0</v>
      </c>
      <c r="AH85" s="255">
        <f>IF(ISERROR(LOOKUP(AH$16,$L85:$X85,#REF!)),0,(LOOKUP(AH$16,$L85:$X85,#REF!)))</f>
        <v>0</v>
      </c>
      <c r="AI85" s="255">
        <f>IF(ISERROR(LOOKUP(AI$16,$L85:$X85,#REF!)),0,(LOOKUP(AI$16,$L85:$X85,#REF!)))</f>
        <v>0</v>
      </c>
      <c r="AJ85" s="255">
        <f>IF(ISERROR(LOOKUP(AJ$16,$L85:$X85,#REF!)),0,(LOOKUP(AJ$16,$L85:$X85,#REF!)))</f>
        <v>0</v>
      </c>
      <c r="AK85" s="255">
        <f>IF(ISERROR(LOOKUP(AK$16,$L85:$X85,#REF!)),0,(LOOKUP(AK$16,$L85:$X85,#REF!)))</f>
        <v>0</v>
      </c>
      <c r="AL85" s="255">
        <f>IF(ISERROR(LOOKUP(AL$16,$L85:$X85,#REF!)),0,(LOOKUP(AL$16,$L85:$X85,#REF!)))</f>
        <v>0</v>
      </c>
      <c r="AM85" s="255">
        <f ca="1">IF(ISERROR(LOOKUP(AM$16,$L85:$X85,#REF!)),0,(LOOKUP(AM$16,$L85:$X85,#REF!)))</f>
        <v>0</v>
      </c>
      <c r="AP85" s="212"/>
      <c r="AQ85" s="212"/>
      <c r="AR85" s="212"/>
      <c r="AS85" s="778"/>
      <c r="AW85" s="252" t="e">
        <v>#REF!</v>
      </c>
    </row>
    <row r="86" spans="1:49" s="166" customFormat="1" ht="18" customHeight="1">
      <c r="A86" s="736">
        <f>A83+1</f>
        <v>24</v>
      </c>
      <c r="B86" s="738"/>
      <c r="C86" s="741" t="s">
        <v>5271</v>
      </c>
      <c r="D86" s="741" t="s">
        <v>149</v>
      </c>
      <c r="E86" s="213"/>
      <c r="F86" s="759" t="s">
        <v>137</v>
      </c>
      <c r="G86" s="741" t="s">
        <v>73</v>
      </c>
      <c r="H86" s="746"/>
      <c r="I86" s="212" t="s">
        <v>7</v>
      </c>
      <c r="J86" s="249" t="s">
        <v>5236</v>
      </c>
      <c r="K86" s="215">
        <f>WORKDAY(L86,-INDEX(L$12:L$15,MATCH($I86,$I$12:$I$15,0)))</f>
        <v>46209</v>
      </c>
      <c r="L86" s="215">
        <f>WORKDAY(M86,-INDEX(M$12:M$15,MATCH($I86,$I$12:$I$15,0)))</f>
        <v>46210</v>
      </c>
      <c r="M86" s="215">
        <f>WORKDAY(N86,-INDEX(N$12:N$15,MATCH($I86,$I$12:$I$15,0)))</f>
        <v>46217</v>
      </c>
      <c r="N86" s="215">
        <f>WORKDAY(O86,-INDEX(O$12:O$15,MATCH($I86,$I$12:$I$15,0)))</f>
        <v>46218</v>
      </c>
      <c r="O86" s="215">
        <f>WORKDAY(R86,-INDEX(R$12:R$15,MATCH($I86,$I$12:$I$15,0)))</f>
        <v>46225</v>
      </c>
      <c r="P86" s="216">
        <f>U86-L86</f>
        <v>76</v>
      </c>
      <c r="Q86" s="217"/>
      <c r="R86" s="215">
        <f>WORKDAY(S86,-INDEX(S$12:S$15,MATCH($I86,$I$12:$I$15,0)))</f>
        <v>46239</v>
      </c>
      <c r="S86" s="215">
        <f>WORKDAY(T86,-INDEX(T$12:T$15,MATCH($I86,$I$12:$I$15,0)))</f>
        <v>46267</v>
      </c>
      <c r="T86" s="215">
        <f>WORKDAY(U86,-INDEX(U$12:U$15,MATCH($I86,$I$12:$I$15,0)))</f>
        <v>46272</v>
      </c>
      <c r="U86" s="215">
        <f>X86-Y86</f>
        <v>46286</v>
      </c>
      <c r="V86" s="215">
        <f>WORKDAY(U86,INDEX(V$12:V$15,MATCH($I86,$I$12:$I$15,0)))</f>
        <v>46288</v>
      </c>
      <c r="W86" s="218">
        <f>Y86/7</f>
        <v>36</v>
      </c>
      <c r="X86" s="215">
        <f>Z86</f>
        <v>46538</v>
      </c>
      <c r="Y86" s="768">
        <f>36*7</f>
        <v>252</v>
      </c>
      <c r="Z86" s="773">
        <v>46538</v>
      </c>
      <c r="AA86" s="773">
        <v>46538</v>
      </c>
      <c r="AB86" s="777">
        <f>Z86-X87</f>
        <v>0</v>
      </c>
      <c r="AC86" s="220">
        <f>IF(ISERROR(LOOKUP(AC$16,$L86:$X86,#REF!)),0,(LOOKUP(AC$16,$L86:$X86,#REF!)))</f>
        <v>0</v>
      </c>
      <c r="AD86" s="221">
        <f>IF(ISERROR(LOOKUP(AD$16,$L86:$X86,#REF!)),0,(LOOKUP(AD$16,$L86:$X86,#REF!)))</f>
        <v>0</v>
      </c>
      <c r="AE86" s="221">
        <f>IF(ISERROR(LOOKUP(AE$16,$L86:$X86,#REF!)),0,(LOOKUP(AE$16,$L86:$X86,#REF!)))</f>
        <v>0</v>
      </c>
      <c r="AF86" s="221">
        <f>IF(ISERROR(LOOKUP(AF$16,$L86:$X86,#REF!)),0,(LOOKUP(AF$16,$L86:$X86,#REF!)))</f>
        <v>0</v>
      </c>
      <c r="AG86" s="221">
        <f>IF(ISERROR(LOOKUP(AG$16,$L86:$X86,#REF!)),0,(LOOKUP(AG$16,$L86:$X86,#REF!)))</f>
        <v>0</v>
      </c>
      <c r="AH86" s="221">
        <f>IF(ISERROR(LOOKUP(AH$16,$L86:$X86,#REF!)),0,(LOOKUP(AH$16,$L86:$X86,#REF!)))</f>
        <v>0</v>
      </c>
      <c r="AI86" s="221">
        <f>IF(ISERROR(LOOKUP(AI$16,$L86:$X86,#REF!)),0,(LOOKUP(AI$16,$L86:$X86,#REF!)))</f>
        <v>0</v>
      </c>
      <c r="AJ86" s="221">
        <f>IF(ISERROR(LOOKUP(AJ$16,$L86:$X86,#REF!)),0,(LOOKUP(AJ$16,$L86:$X86,#REF!)))</f>
        <v>0</v>
      </c>
      <c r="AK86" s="221">
        <f>IF(ISERROR(LOOKUP(AK$16,$L86:$X86,#REF!)),0,(LOOKUP(AK$16,$L86:$X86,#REF!)))</f>
        <v>0</v>
      </c>
      <c r="AL86" s="221">
        <f>IF(ISERROR(LOOKUP(AL$16,$L86:$X86,#REF!)),0,(LOOKUP(AL$16,$L86:$X86,#REF!)))</f>
        <v>0</v>
      </c>
      <c r="AM86" s="221">
        <f ca="1">IF(ISERROR(LOOKUP(AM$16,$L86:$X86,#REF!)),0,(LOOKUP(AM$16,$L86:$X86,#REF!)))</f>
        <v>0</v>
      </c>
      <c r="AP86" s="215" t="e">
        <f>WORKDAY(AQ86,-INDEX(AQ$12:AQ$15,MATCH($I86,$I$12:$I$15,0)),$AW$17:$AW$148)</f>
        <v>#REF!</v>
      </c>
      <c r="AQ86" s="215" t="e">
        <f>WORKDAY(U86,-INDEX(U$12:U$15,MATCH($I86,$I$12:$I$15,0)),$AW$17:$AW$148)</f>
        <v>#REF!</v>
      </c>
      <c r="AR86" s="215" t="e">
        <f>WORKDAY(U86,-INDEX(U$12:U$15,MATCH($I86,$I$12:$I$15,0)),$AW$17:$AW$148)</f>
        <v>#REF!</v>
      </c>
      <c r="AS86" s="778">
        <v>7</v>
      </c>
      <c r="AW86" s="223" t="e">
        <v>#REF!</v>
      </c>
    </row>
    <row r="87" spans="1:49" s="166" customFormat="1" ht="18" customHeight="1">
      <c r="A87" s="736"/>
      <c r="B87" s="739"/>
      <c r="C87" s="741" t="str">
        <f>C86</f>
        <v>RFQ-024</v>
      </c>
      <c r="D87" s="741" t="str">
        <f>D86</f>
        <v>Actuated Ball Valve</v>
      </c>
      <c r="E87" s="224"/>
      <c r="F87" s="760" t="str">
        <f>F86</f>
        <v>Instrument</v>
      </c>
      <c r="G87" s="741" t="str">
        <f>G86</f>
        <v>N</v>
      </c>
      <c r="H87" s="747"/>
      <c r="I87" s="212" t="str">
        <f>I86</f>
        <v>LB</v>
      </c>
      <c r="J87" s="249" t="s">
        <v>65</v>
      </c>
      <c r="K87" s="215">
        <f>K86</f>
        <v>46209</v>
      </c>
      <c r="L87" s="215">
        <f>WORKDAY(IF(K88="",K87,K88),INDEX(L$12:L$15,MATCH($I86,$I$12:$I$15,0)))</f>
        <v>46210</v>
      </c>
      <c r="M87" s="215">
        <f>WORKDAY(IF(L88="",L87,L88),INDEX(M$12:M$15,MATCH($I86,$I$12:$I$15,0)))</f>
        <v>46217</v>
      </c>
      <c r="N87" s="215">
        <f>WORKDAY(IF(M88="",M87,M88),INDEX(N$12:N$15,MATCH($I86,$I$12:$I$15,0)))</f>
        <v>46218</v>
      </c>
      <c r="O87" s="215">
        <f>WORKDAY(IF(N88="",N87,N88),INDEX(O$12:O$15,MATCH($I86,$I$12:$I$15,0)))</f>
        <v>46225</v>
      </c>
      <c r="P87" s="216"/>
      <c r="Q87" s="217"/>
      <c r="R87" s="215">
        <f>WORKDAY(IF(O88="",O87,O88),INDEX(R$12:R$15,MATCH($I86,$I$12:$I$15,0)))</f>
        <v>46239</v>
      </c>
      <c r="S87" s="215">
        <f>WORKDAY(IF(R88="",R87,R88),INDEX(S$12:S$15,MATCH($I86,$I$12:$I$15,0)))</f>
        <v>46267</v>
      </c>
      <c r="T87" s="215">
        <f>WORKDAY(IF(S88="",S87,S88),INDEX(T$12:T$15,MATCH($I86,$I$12:$I$15,0)))</f>
        <v>46272</v>
      </c>
      <c r="U87" s="215">
        <f>WORKDAY(IF(T88="",T87,T88),INDEX(U$12:U$15,MATCH($I86,$I$12:$I$15,0)))</f>
        <v>46286</v>
      </c>
      <c r="V87" s="215">
        <f>WORKDAY(IF(U88="",U87,U88),INDEX(V$12:V$15,MATCH($I86,$I$12:$I$15,0)))</f>
        <v>46288</v>
      </c>
      <c r="W87" s="218"/>
      <c r="X87" s="215">
        <f>U87+Y86</f>
        <v>46538</v>
      </c>
      <c r="Y87" s="768"/>
      <c r="Z87" s="773"/>
      <c r="AA87" s="773"/>
      <c r="AB87" s="777"/>
      <c r="AC87" s="220">
        <f>IF(ISERROR(LOOKUP(AC$16,$L87:$X87,#REF!)),0,(LOOKUP(AC$16,$L87:$X87,#REF!)))</f>
        <v>0</v>
      </c>
      <c r="AD87" s="221">
        <f>IF(ISERROR(LOOKUP(AD$16,$L87:$X87,#REF!)),0,(LOOKUP(AD$16,$L87:$X87,#REF!)))</f>
        <v>0</v>
      </c>
      <c r="AE87" s="221">
        <f>IF(ISERROR(LOOKUP(AE$16,$L87:$X87,#REF!)),0,(LOOKUP(AE$16,$L87:$X87,#REF!)))</f>
        <v>0</v>
      </c>
      <c r="AF87" s="221">
        <f>IF(ISERROR(LOOKUP(AF$16,$L87:$X87,#REF!)),0,(LOOKUP(AF$16,$L87:$X87,#REF!)))</f>
        <v>0</v>
      </c>
      <c r="AG87" s="221">
        <f>IF(ISERROR(LOOKUP(AG$16,$L87:$X87,#REF!)),0,(LOOKUP(AG$16,$L87:$X87,#REF!)))</f>
        <v>0</v>
      </c>
      <c r="AH87" s="221">
        <f>IF(ISERROR(LOOKUP(AH$16,$L87:$X87,#REF!)),0,(LOOKUP(AH$16,$L87:$X87,#REF!)))</f>
        <v>0</v>
      </c>
      <c r="AI87" s="221">
        <f>IF(ISERROR(LOOKUP(AI$16,$L87:$X87,#REF!)),0,(LOOKUP(AI$16,$L87:$X87,#REF!)))</f>
        <v>0</v>
      </c>
      <c r="AJ87" s="221">
        <f>IF(ISERROR(LOOKUP(AJ$16,$L87:$X87,#REF!)),0,(LOOKUP(AJ$16,$L87:$X87,#REF!)))</f>
        <v>0</v>
      </c>
      <c r="AK87" s="221">
        <f>IF(ISERROR(LOOKUP(AK$16,$L87:$X87,#REF!)),0,(LOOKUP(AK$16,$L87:$X87,#REF!)))</f>
        <v>0</v>
      </c>
      <c r="AL87" s="221">
        <f>IF(ISERROR(LOOKUP(AL$16,$L87:$X87,#REF!)),0,(LOOKUP(AL$16,$L87:$X87,#REF!)))</f>
        <v>0</v>
      </c>
      <c r="AM87" s="221">
        <f ca="1">IF(ISERROR(LOOKUP(AM$16,$L87:$X87,#REF!)),0,(LOOKUP(AM$16,$L87:$X87,#REF!)))</f>
        <v>0</v>
      </c>
      <c r="AP87" s="215" t="e">
        <f>WORKDAY(IF(T88="",T87,T88),INDEX(AP$12:AP$15,MATCH($I86,$I$12:$I$15,0)),$AW$17:$AW$148)</f>
        <v>#REF!</v>
      </c>
      <c r="AQ87" s="215" t="e">
        <f>WORKDAY(IF(AP88="",AP87,AP88),INDEX(AQ$12:AQ$15,MATCH($I86,$I$12:$I$15,0)),$AW$17:$AW$148)</f>
        <v>#REF!</v>
      </c>
      <c r="AR87" s="215" t="e">
        <f>WORKDAY(IF(AQ88="",AQ87,AQ88),INDEX(AR$12:AR$15,MATCH($I86,$I$12:$I$15,0)),$AW$17:$AW$148)</f>
        <v>#REF!</v>
      </c>
      <c r="AS87" s="778"/>
      <c r="AW87" s="223" t="e">
        <v>#REF!</v>
      </c>
    </row>
    <row r="88" spans="1:49" s="166" customFormat="1" ht="18" customHeight="1">
      <c r="A88" s="736"/>
      <c r="B88" s="740"/>
      <c r="C88" s="741" t="str">
        <f>C86</f>
        <v>RFQ-024</v>
      </c>
      <c r="D88" s="741" t="str">
        <f>D86</f>
        <v>Actuated Ball Valve</v>
      </c>
      <c r="E88" s="225"/>
      <c r="F88" s="761" t="str">
        <f>F86</f>
        <v>Instrument</v>
      </c>
      <c r="G88" s="741" t="str">
        <f>G86</f>
        <v>N</v>
      </c>
      <c r="H88" s="748"/>
      <c r="I88" s="212" t="str">
        <f>I86</f>
        <v>LB</v>
      </c>
      <c r="J88" s="249" t="s">
        <v>67</v>
      </c>
      <c r="K88" s="212"/>
      <c r="L88" s="212"/>
      <c r="M88" s="212"/>
      <c r="N88" s="212"/>
      <c r="O88" s="212"/>
      <c r="P88" s="226"/>
      <c r="Q88" s="227"/>
      <c r="R88" s="212"/>
      <c r="S88" s="212"/>
      <c r="T88" s="212"/>
      <c r="U88" s="212"/>
      <c r="V88" s="212"/>
      <c r="W88" s="228"/>
      <c r="X88" s="212"/>
      <c r="Y88" s="768"/>
      <c r="Z88" s="773"/>
      <c r="AA88" s="773"/>
      <c r="AB88" s="777"/>
      <c r="AC88" s="229">
        <f>IF(ISERROR(LOOKUP(AC$16,$L88:$X88,#REF!)),0,(LOOKUP(AC$16,$L88:$X88,#REF!)))</f>
        <v>0</v>
      </c>
      <c r="AD88" s="230">
        <f>IF(ISERROR(LOOKUP(AD$16,$L88:$X88,#REF!)),0,(LOOKUP(AD$16,$L88:$X88,#REF!)))</f>
        <v>0</v>
      </c>
      <c r="AE88" s="230">
        <f>IF(ISERROR(LOOKUP(AE$16,$L88:$X88,#REF!)),0,(LOOKUP(AE$16,$L88:$X88,#REF!)))</f>
        <v>0</v>
      </c>
      <c r="AF88" s="230">
        <f>IF(ISERROR(LOOKUP(AF$16,$L88:$X88,#REF!)),0,(LOOKUP(AF$16,$L88:$X88,#REF!)))</f>
        <v>0</v>
      </c>
      <c r="AG88" s="230">
        <f>IF(ISERROR(LOOKUP(AG$16,$L88:$X88,#REF!)),0,(LOOKUP(AG$16,$L88:$X88,#REF!)))</f>
        <v>0</v>
      </c>
      <c r="AH88" s="230">
        <f>IF(ISERROR(LOOKUP(AH$16,$L88:$X88,#REF!)),0,(LOOKUP(AH$16,$L88:$X88,#REF!)))</f>
        <v>0</v>
      </c>
      <c r="AI88" s="230">
        <f>IF(ISERROR(LOOKUP(AI$16,$L88:$X88,#REF!)),0,(LOOKUP(AI$16,$L88:$X88,#REF!)))</f>
        <v>0</v>
      </c>
      <c r="AJ88" s="230">
        <f>IF(ISERROR(LOOKUP(AJ$16,$L88:$X88,#REF!)),0,(LOOKUP(AJ$16,$L88:$X88,#REF!)))</f>
        <v>0</v>
      </c>
      <c r="AK88" s="230">
        <f>IF(ISERROR(LOOKUP(AK$16,$L88:$X88,#REF!)),0,(LOOKUP(AK$16,$L88:$X88,#REF!)))</f>
        <v>0</v>
      </c>
      <c r="AL88" s="230">
        <f>IF(ISERROR(LOOKUP(AL$16,$L88:$X88,#REF!)),0,(LOOKUP(AL$16,$L88:$X88,#REF!)))</f>
        <v>0</v>
      </c>
      <c r="AM88" s="230">
        <f ca="1">IF(ISERROR(LOOKUP(AM$16,$L88:$X88,#REF!)),0,(LOOKUP(AM$16,$L88:$X88,#REF!)))</f>
        <v>0</v>
      </c>
      <c r="AP88" s="212"/>
      <c r="AQ88" s="212"/>
      <c r="AR88" s="212"/>
      <c r="AS88" s="778"/>
      <c r="AW88" s="223" t="e">
        <v>#REF!</v>
      </c>
    </row>
    <row r="89" spans="1:49" s="166" customFormat="1" ht="18" customHeight="1">
      <c r="A89" s="736">
        <f>A86+1</f>
        <v>25</v>
      </c>
      <c r="B89" s="738"/>
      <c r="C89" s="741" t="s">
        <v>5272</v>
      </c>
      <c r="D89" s="741" t="s">
        <v>153</v>
      </c>
      <c r="E89" s="213"/>
      <c r="F89" s="759" t="s">
        <v>137</v>
      </c>
      <c r="G89" s="741" t="str">
        <f>IF(_xlfn.XLOOKUP(C89,'[38]Before Award'!D:D,'[38]Before Award'!AV:AV,"N/A")="N/A","N","Y")</f>
        <v>N</v>
      </c>
      <c r="H89" s="746"/>
      <c r="I89" s="212" t="s">
        <v>7</v>
      </c>
      <c r="J89" s="249" t="s">
        <v>5236</v>
      </c>
      <c r="K89" s="215">
        <f>WORKDAY(L89,-INDEX(L$12:L$15,MATCH($I89,$I$12:$I$15,0)))</f>
        <v>46181</v>
      </c>
      <c r="L89" s="215">
        <f>WORKDAY(M89,-INDEX(M$12:M$15,MATCH($I89,$I$12:$I$15,0)))</f>
        <v>46182</v>
      </c>
      <c r="M89" s="215">
        <f>WORKDAY(N89,-INDEX(N$12:N$15,MATCH($I89,$I$12:$I$15,0)))</f>
        <v>46189</v>
      </c>
      <c r="N89" s="215">
        <f>WORKDAY(O89,-INDEX(O$12:O$15,MATCH($I89,$I$12:$I$15,0)))</f>
        <v>46190</v>
      </c>
      <c r="O89" s="215">
        <f>WORKDAY(R89,-INDEX(R$12:R$15,MATCH($I89,$I$12:$I$15,0)))</f>
        <v>46197</v>
      </c>
      <c r="P89" s="216">
        <f>U89-L89</f>
        <v>76</v>
      </c>
      <c r="Q89" s="217"/>
      <c r="R89" s="215">
        <f>WORKDAY(S89,-INDEX(S$12:S$15,MATCH($I89,$I$12:$I$15,0)))</f>
        <v>46211</v>
      </c>
      <c r="S89" s="215">
        <f>WORKDAY(T89,-INDEX(T$12:T$15,MATCH($I89,$I$12:$I$15,0)))</f>
        <v>46239</v>
      </c>
      <c r="T89" s="215">
        <f>WORKDAY(U89,-INDEX(U$12:U$15,MATCH($I89,$I$12:$I$15,0)))</f>
        <v>46244</v>
      </c>
      <c r="U89" s="215">
        <f>X89-Y89</f>
        <v>46258</v>
      </c>
      <c r="V89" s="215">
        <f>WORKDAY(U89,INDEX(V$12:V$15,MATCH($I89,$I$12:$I$15,0)))</f>
        <v>46260</v>
      </c>
      <c r="W89" s="218">
        <f>Y89/7</f>
        <v>40</v>
      </c>
      <c r="X89" s="215">
        <f>Z89</f>
        <v>46538</v>
      </c>
      <c r="Y89" s="768">
        <v>280</v>
      </c>
      <c r="Z89" s="773">
        <v>46538</v>
      </c>
      <c r="AA89" s="773">
        <v>46538</v>
      </c>
      <c r="AB89" s="777">
        <f>Z89-X90</f>
        <v>0</v>
      </c>
      <c r="AC89" s="220">
        <f>IF(ISERROR(LOOKUP(AC$16,$L89:$X89,#REF!)),0,(LOOKUP(AC$16,$L89:$X89,#REF!)))</f>
        <v>0</v>
      </c>
      <c r="AD89" s="221">
        <f>IF(ISERROR(LOOKUP(AD$16,$L89:$X89,#REF!)),0,(LOOKUP(AD$16,$L89:$X89,#REF!)))</f>
        <v>0</v>
      </c>
      <c r="AE89" s="221">
        <f>IF(ISERROR(LOOKUP(AE$16,$L89:$X89,#REF!)),0,(LOOKUP(AE$16,$L89:$X89,#REF!)))</f>
        <v>0</v>
      </c>
      <c r="AF89" s="221">
        <f>IF(ISERROR(LOOKUP(AF$16,$L89:$X89,#REF!)),0,(LOOKUP(AF$16,$L89:$X89,#REF!)))</f>
        <v>0</v>
      </c>
      <c r="AG89" s="221">
        <f>IF(ISERROR(LOOKUP(AG$16,$L89:$X89,#REF!)),0,(LOOKUP(AG$16,$L89:$X89,#REF!)))</f>
        <v>0</v>
      </c>
      <c r="AH89" s="221">
        <f>IF(ISERROR(LOOKUP(AH$16,$L89:$X89,#REF!)),0,(LOOKUP(AH$16,$L89:$X89,#REF!)))</f>
        <v>0</v>
      </c>
      <c r="AI89" s="221">
        <f>IF(ISERROR(LOOKUP(AI$16,$L89:$X89,#REF!)),0,(LOOKUP(AI$16,$L89:$X89,#REF!)))</f>
        <v>0</v>
      </c>
      <c r="AJ89" s="221">
        <f>IF(ISERROR(LOOKUP(AJ$16,$L89:$X89,#REF!)),0,(LOOKUP(AJ$16,$L89:$X89,#REF!)))</f>
        <v>0</v>
      </c>
      <c r="AK89" s="221">
        <f>IF(ISERROR(LOOKUP(AK$16,$L89:$X89,#REF!)),0,(LOOKUP(AK$16,$L89:$X89,#REF!)))</f>
        <v>0</v>
      </c>
      <c r="AL89" s="221">
        <f>IF(ISERROR(LOOKUP(AL$16,$L89:$X89,#REF!)),0,(LOOKUP(AL$16,$L89:$X89,#REF!)))</f>
        <v>0</v>
      </c>
      <c r="AM89" s="221">
        <f ca="1">IF(ISERROR(LOOKUP(AM$16,$L89:$X89,#REF!)),0,(LOOKUP(AM$16,$L89:$X89,#REF!)))</f>
        <v>0</v>
      </c>
      <c r="AP89" s="215" t="e">
        <f>WORKDAY(AQ89,-INDEX(AQ$12:AQ$15,MATCH($I89,$I$12:$I$15,0)),$AW$17:$AW$148)</f>
        <v>#REF!</v>
      </c>
      <c r="AQ89" s="215" t="e">
        <f>WORKDAY(U89,-INDEX(U$12:U$15,MATCH($I89,$I$12:$I$15,0)),$AW$17:$AW$148)</f>
        <v>#REF!</v>
      </c>
      <c r="AR89" s="215" t="e">
        <f>WORKDAY(U89,-INDEX(U$12:U$15,MATCH($I89,$I$12:$I$15,0)),$AW$17:$AW$148)</f>
        <v>#REF!</v>
      </c>
      <c r="AS89" s="778">
        <v>7</v>
      </c>
      <c r="AW89" s="223" t="e">
        <v>#REF!</v>
      </c>
    </row>
    <row r="90" spans="1:49" s="166" customFormat="1" ht="18" customHeight="1">
      <c r="A90" s="736"/>
      <c r="B90" s="739"/>
      <c r="C90" s="741" t="str">
        <f>C89</f>
        <v>RFQ-025</v>
      </c>
      <c r="D90" s="741" t="str">
        <f>D89</f>
        <v>Actuated Compact Ball Valve</v>
      </c>
      <c r="E90" s="224"/>
      <c r="F90" s="760" t="str">
        <f>F89</f>
        <v>Instrument</v>
      </c>
      <c r="G90" s="741" t="str">
        <f>G89</f>
        <v>N</v>
      </c>
      <c r="H90" s="747"/>
      <c r="I90" s="212" t="str">
        <f>I89</f>
        <v>LB</v>
      </c>
      <c r="J90" s="249" t="s">
        <v>65</v>
      </c>
      <c r="K90" s="215">
        <f>K89</f>
        <v>46181</v>
      </c>
      <c r="L90" s="215">
        <f>WORKDAY(IF(K91="",K90,K91),INDEX(L$12:L$15,MATCH($I89,$I$12:$I$15,0)))</f>
        <v>46182</v>
      </c>
      <c r="M90" s="215">
        <f>WORKDAY(IF(L91="",L90,L91),INDEX(M$12:M$15,MATCH($I89,$I$12:$I$15,0)))</f>
        <v>46189</v>
      </c>
      <c r="N90" s="215">
        <f>WORKDAY(IF(M91="",M90,M91),INDEX(N$12:N$15,MATCH($I89,$I$12:$I$15,0)))</f>
        <v>46190</v>
      </c>
      <c r="O90" s="215">
        <f>WORKDAY(IF(N91="",N90,N91),INDEX(O$12:O$15,MATCH($I89,$I$12:$I$15,0)))</f>
        <v>46197</v>
      </c>
      <c r="P90" s="216"/>
      <c r="Q90" s="217"/>
      <c r="R90" s="215">
        <f>WORKDAY(IF(O91="",O90,O91),INDEX(R$12:R$15,MATCH($I89,$I$12:$I$15,0)))</f>
        <v>46211</v>
      </c>
      <c r="S90" s="215">
        <f>WORKDAY(IF(R91="",R90,R91),INDEX(S$12:S$15,MATCH($I89,$I$12:$I$15,0)))</f>
        <v>46239</v>
      </c>
      <c r="T90" s="215">
        <f>WORKDAY(IF(S91="",S90,S91),INDEX(T$12:T$15,MATCH($I89,$I$12:$I$15,0)))</f>
        <v>46244</v>
      </c>
      <c r="U90" s="215">
        <f>WORKDAY(IF(T91="",T90,T91),INDEX(U$12:U$15,MATCH($I89,$I$12:$I$15,0)))</f>
        <v>46258</v>
      </c>
      <c r="V90" s="215">
        <f>WORKDAY(IF(U91="",U90,U91),INDEX(V$12:V$15,MATCH($I89,$I$12:$I$15,0)))</f>
        <v>46260</v>
      </c>
      <c r="W90" s="218"/>
      <c r="X90" s="215">
        <f>U90+Y89</f>
        <v>46538</v>
      </c>
      <c r="Y90" s="768"/>
      <c r="Z90" s="773"/>
      <c r="AA90" s="773"/>
      <c r="AB90" s="777"/>
      <c r="AC90" s="220">
        <f>IF(ISERROR(LOOKUP(AC$16,$L90:$X90,#REF!)),0,(LOOKUP(AC$16,$L90:$X90,#REF!)))</f>
        <v>0</v>
      </c>
      <c r="AD90" s="221">
        <f>IF(ISERROR(LOOKUP(AD$16,$L90:$X90,#REF!)),0,(LOOKUP(AD$16,$L90:$X90,#REF!)))</f>
        <v>0</v>
      </c>
      <c r="AE90" s="221">
        <f>IF(ISERROR(LOOKUP(AE$16,$L90:$X90,#REF!)),0,(LOOKUP(AE$16,$L90:$X90,#REF!)))</f>
        <v>0</v>
      </c>
      <c r="AF90" s="221">
        <f>IF(ISERROR(LOOKUP(AF$16,$L90:$X90,#REF!)),0,(LOOKUP(AF$16,$L90:$X90,#REF!)))</f>
        <v>0</v>
      </c>
      <c r="AG90" s="221">
        <f>IF(ISERROR(LOOKUP(AG$16,$L90:$X90,#REF!)),0,(LOOKUP(AG$16,$L90:$X90,#REF!)))</f>
        <v>0</v>
      </c>
      <c r="AH90" s="221">
        <f>IF(ISERROR(LOOKUP(AH$16,$L90:$X90,#REF!)),0,(LOOKUP(AH$16,$L90:$X90,#REF!)))</f>
        <v>0</v>
      </c>
      <c r="AI90" s="221">
        <f>IF(ISERROR(LOOKUP(AI$16,$L90:$X90,#REF!)),0,(LOOKUP(AI$16,$L90:$X90,#REF!)))</f>
        <v>0</v>
      </c>
      <c r="AJ90" s="221">
        <f>IF(ISERROR(LOOKUP(AJ$16,$L90:$X90,#REF!)),0,(LOOKUP(AJ$16,$L90:$X90,#REF!)))</f>
        <v>0</v>
      </c>
      <c r="AK90" s="221">
        <f>IF(ISERROR(LOOKUP(AK$16,$L90:$X90,#REF!)),0,(LOOKUP(AK$16,$L90:$X90,#REF!)))</f>
        <v>0</v>
      </c>
      <c r="AL90" s="221">
        <f>IF(ISERROR(LOOKUP(AL$16,$L90:$X90,#REF!)),0,(LOOKUP(AL$16,$L90:$X90,#REF!)))</f>
        <v>0</v>
      </c>
      <c r="AM90" s="221">
        <f ca="1">IF(ISERROR(LOOKUP(AM$16,$L90:$X90,#REF!)),0,(LOOKUP(AM$16,$L90:$X90,#REF!)))</f>
        <v>0</v>
      </c>
      <c r="AP90" s="215" t="e">
        <f>WORKDAY(IF(T91="",T90,T91),INDEX(AP$12:AP$15,MATCH($I89,$I$12:$I$15,0)),$AW$17:$AW$148)</f>
        <v>#REF!</v>
      </c>
      <c r="AQ90" s="215" t="e">
        <f>WORKDAY(IF(AP91="",AP90,AP91),INDEX(AQ$12:AQ$15,MATCH($I89,$I$12:$I$15,0)),$AW$17:$AW$148)</f>
        <v>#REF!</v>
      </c>
      <c r="AR90" s="215" t="e">
        <f>WORKDAY(IF(AQ91="",AQ90,AQ91),INDEX(AR$12:AR$15,MATCH($I89,$I$12:$I$15,0)),$AW$17:$AW$148)</f>
        <v>#REF!</v>
      </c>
      <c r="AS90" s="778"/>
      <c r="AW90" s="223" t="e">
        <v>#REF!</v>
      </c>
    </row>
    <row r="91" spans="1:49" s="166" customFormat="1" ht="18" customHeight="1">
      <c r="A91" s="736"/>
      <c r="B91" s="740"/>
      <c r="C91" s="741" t="str">
        <f>C89</f>
        <v>RFQ-025</v>
      </c>
      <c r="D91" s="741" t="str">
        <f>D89</f>
        <v>Actuated Compact Ball Valve</v>
      </c>
      <c r="E91" s="225"/>
      <c r="F91" s="761" t="str">
        <f>F89</f>
        <v>Instrument</v>
      </c>
      <c r="G91" s="741" t="str">
        <f>G89</f>
        <v>N</v>
      </c>
      <c r="H91" s="748"/>
      <c r="I91" s="212" t="str">
        <f>I89</f>
        <v>LB</v>
      </c>
      <c r="J91" s="249" t="s">
        <v>67</v>
      </c>
      <c r="K91" s="212"/>
      <c r="L91" s="212"/>
      <c r="M91" s="212"/>
      <c r="N91" s="212"/>
      <c r="O91" s="212"/>
      <c r="P91" s="226"/>
      <c r="Q91" s="227"/>
      <c r="R91" s="212"/>
      <c r="S91" s="212"/>
      <c r="T91" s="212"/>
      <c r="U91" s="212"/>
      <c r="V91" s="212"/>
      <c r="W91" s="228"/>
      <c r="X91" s="212"/>
      <c r="Y91" s="768"/>
      <c r="Z91" s="773"/>
      <c r="AA91" s="773"/>
      <c r="AB91" s="777"/>
      <c r="AC91" s="229">
        <f>IF(ISERROR(LOOKUP(AC$16,$L91:$X91,#REF!)),0,(LOOKUP(AC$16,$L91:$X91,#REF!)))</f>
        <v>0</v>
      </c>
      <c r="AD91" s="230">
        <f>IF(ISERROR(LOOKUP(AD$16,$L91:$X91,#REF!)),0,(LOOKUP(AD$16,$L91:$X91,#REF!)))</f>
        <v>0</v>
      </c>
      <c r="AE91" s="230">
        <f>IF(ISERROR(LOOKUP(AE$16,$L91:$X91,#REF!)),0,(LOOKUP(AE$16,$L91:$X91,#REF!)))</f>
        <v>0</v>
      </c>
      <c r="AF91" s="230">
        <f>IF(ISERROR(LOOKUP(AF$16,$L91:$X91,#REF!)),0,(LOOKUP(AF$16,$L91:$X91,#REF!)))</f>
        <v>0</v>
      </c>
      <c r="AG91" s="230">
        <f>IF(ISERROR(LOOKUP(AG$16,$L91:$X91,#REF!)),0,(LOOKUP(AG$16,$L91:$X91,#REF!)))</f>
        <v>0</v>
      </c>
      <c r="AH91" s="230">
        <f>IF(ISERROR(LOOKUP(AH$16,$L91:$X91,#REF!)),0,(LOOKUP(AH$16,$L91:$X91,#REF!)))</f>
        <v>0</v>
      </c>
      <c r="AI91" s="230">
        <f>IF(ISERROR(LOOKUP(AI$16,$L91:$X91,#REF!)),0,(LOOKUP(AI$16,$L91:$X91,#REF!)))</f>
        <v>0</v>
      </c>
      <c r="AJ91" s="230">
        <f>IF(ISERROR(LOOKUP(AJ$16,$L91:$X91,#REF!)),0,(LOOKUP(AJ$16,$L91:$X91,#REF!)))</f>
        <v>0</v>
      </c>
      <c r="AK91" s="230">
        <f>IF(ISERROR(LOOKUP(AK$16,$L91:$X91,#REF!)),0,(LOOKUP(AK$16,$L91:$X91,#REF!)))</f>
        <v>0</v>
      </c>
      <c r="AL91" s="230">
        <f>IF(ISERROR(LOOKUP(AL$16,$L91:$X91,#REF!)),0,(LOOKUP(AL$16,$L91:$X91,#REF!)))</f>
        <v>0</v>
      </c>
      <c r="AM91" s="230">
        <f ca="1">IF(ISERROR(LOOKUP(AM$16,$L91:$X91,#REF!)),0,(LOOKUP(AM$16,$L91:$X91,#REF!)))</f>
        <v>0</v>
      </c>
      <c r="AP91" s="212"/>
      <c r="AQ91" s="212"/>
      <c r="AR91" s="212"/>
      <c r="AS91" s="778"/>
      <c r="AW91" s="223" t="e">
        <v>#REF!</v>
      </c>
    </row>
    <row r="92" spans="1:49" s="166" customFormat="1" ht="18" customHeight="1">
      <c r="A92" s="736">
        <f>A89+1</f>
        <v>26</v>
      </c>
      <c r="B92" s="738"/>
      <c r="C92" s="741" t="s">
        <v>5273</v>
      </c>
      <c r="D92" s="741" t="s">
        <v>155</v>
      </c>
      <c r="E92" s="213"/>
      <c r="F92" s="759" t="s">
        <v>137</v>
      </c>
      <c r="G92" s="741" t="s">
        <v>73</v>
      </c>
      <c r="H92" s="746"/>
      <c r="I92" s="212" t="s">
        <v>7</v>
      </c>
      <c r="J92" s="249" t="s">
        <v>5236</v>
      </c>
      <c r="K92" s="215">
        <f>WORKDAY(L92,-INDEX(L$12:L$15,MATCH($I92,$I$12:$I$15,0)))</f>
        <v>46279</v>
      </c>
      <c r="L92" s="215">
        <f>WORKDAY(M92,-INDEX(M$12:M$15,MATCH($I92,$I$12:$I$15,0)))</f>
        <v>46280</v>
      </c>
      <c r="M92" s="215">
        <f>WORKDAY(N92,-INDEX(N$12:N$15,MATCH($I92,$I$12:$I$15,0)))</f>
        <v>46287</v>
      </c>
      <c r="N92" s="215">
        <f>WORKDAY(O92,-INDEX(O$12:O$15,MATCH($I92,$I$12:$I$15,0)))</f>
        <v>46288</v>
      </c>
      <c r="O92" s="215">
        <f>WORKDAY(R92,-INDEX(R$12:R$15,MATCH($I92,$I$12:$I$15,0)))</f>
        <v>46295</v>
      </c>
      <c r="P92" s="216">
        <f>U92-L92</f>
        <v>76</v>
      </c>
      <c r="Q92" s="217"/>
      <c r="R92" s="215">
        <f>WORKDAY(S92,-INDEX(S$12:S$15,MATCH($I92,$I$12:$I$15,0)))</f>
        <v>46309</v>
      </c>
      <c r="S92" s="215">
        <f>WORKDAY(T92,-INDEX(T$12:T$15,MATCH($I92,$I$12:$I$15,0)))</f>
        <v>46337</v>
      </c>
      <c r="T92" s="215">
        <f>WORKDAY(U92,-INDEX(U$12:U$15,MATCH($I92,$I$12:$I$15,0)))</f>
        <v>46342</v>
      </c>
      <c r="U92" s="215">
        <f>X92-Y92+2</f>
        <v>46356</v>
      </c>
      <c r="V92" s="215">
        <f>WORKDAY(U92,INDEX(V$12:V$15,MATCH($I92,$I$12:$I$15,0)))</f>
        <v>46358</v>
      </c>
      <c r="W92" s="218">
        <f>Y92/7</f>
        <v>26.285714285714299</v>
      </c>
      <c r="X92" s="215">
        <f>Z92</f>
        <v>46538</v>
      </c>
      <c r="Y92" s="768">
        <v>184</v>
      </c>
      <c r="Z92" s="773">
        <v>46538</v>
      </c>
      <c r="AA92" s="773">
        <v>46538</v>
      </c>
      <c r="AB92" s="777">
        <f>Z92-X93</f>
        <v>0</v>
      </c>
      <c r="AC92" s="220">
        <f>IF(ISERROR(LOOKUP(AC$16,$L92:$X92,#REF!)),0,(LOOKUP(AC$16,$L92:$X92,#REF!)))</f>
        <v>0</v>
      </c>
      <c r="AD92" s="221">
        <f>IF(ISERROR(LOOKUP(AD$16,$L92:$X92,#REF!)),0,(LOOKUP(AD$16,$L92:$X92,#REF!)))</f>
        <v>0</v>
      </c>
      <c r="AE92" s="221">
        <f>IF(ISERROR(LOOKUP(AE$16,$L92:$X92,#REF!)),0,(LOOKUP(AE$16,$L92:$X92,#REF!)))</f>
        <v>0</v>
      </c>
      <c r="AF92" s="221">
        <f>IF(ISERROR(LOOKUP(AF$16,$L92:$X92,#REF!)),0,(LOOKUP(AF$16,$L92:$X92,#REF!)))</f>
        <v>0</v>
      </c>
      <c r="AG92" s="221">
        <f>IF(ISERROR(LOOKUP(AG$16,$L92:$X92,#REF!)),0,(LOOKUP(AG$16,$L92:$X92,#REF!)))</f>
        <v>0</v>
      </c>
      <c r="AH92" s="221">
        <f>IF(ISERROR(LOOKUP(AH$16,$L92:$X92,#REF!)),0,(LOOKUP(AH$16,$L92:$X92,#REF!)))</f>
        <v>0</v>
      </c>
      <c r="AI92" s="221">
        <f>IF(ISERROR(LOOKUP(AI$16,$L92:$X92,#REF!)),0,(LOOKUP(AI$16,$L92:$X92,#REF!)))</f>
        <v>0</v>
      </c>
      <c r="AJ92" s="221">
        <f>IF(ISERROR(LOOKUP(AJ$16,$L92:$X92,#REF!)),0,(LOOKUP(AJ$16,$L92:$X92,#REF!)))</f>
        <v>0</v>
      </c>
      <c r="AK92" s="221">
        <f>IF(ISERROR(LOOKUP(AK$16,$L92:$X92,#REF!)),0,(LOOKUP(AK$16,$L92:$X92,#REF!)))</f>
        <v>0</v>
      </c>
      <c r="AL92" s="221">
        <f>IF(ISERROR(LOOKUP(AL$16,$L92:$X92,#REF!)),0,(LOOKUP(AL$16,$L92:$X92,#REF!)))</f>
        <v>0</v>
      </c>
      <c r="AM92" s="221">
        <f ca="1">IF(ISERROR(LOOKUP(AM$16,$L92:$X92,#REF!)),0,(LOOKUP(AM$16,$L92:$X92,#REF!)))</f>
        <v>0</v>
      </c>
      <c r="AP92" s="215" t="e">
        <f>WORKDAY(AQ92,-INDEX(AQ$12:AQ$15,MATCH($I92,$I$12:$I$15,0)),$AW$17:$AW$148)</f>
        <v>#REF!</v>
      </c>
      <c r="AQ92" s="215" t="e">
        <f>WORKDAY(U92,-INDEX(U$12:U$15,MATCH($I92,$I$12:$I$15,0)),$AW$17:$AW$148)</f>
        <v>#REF!</v>
      </c>
      <c r="AR92" s="215" t="e">
        <f>WORKDAY(U92,-INDEX(U$12:U$15,MATCH($I92,$I$12:$I$15,0)),$AW$17:$AW$148)</f>
        <v>#REF!</v>
      </c>
      <c r="AS92" s="778">
        <v>7</v>
      </c>
      <c r="AW92" s="223" t="e">
        <v>#REF!</v>
      </c>
    </row>
    <row r="93" spans="1:49" s="166" customFormat="1" ht="18" customHeight="1">
      <c r="A93" s="736"/>
      <c r="B93" s="739"/>
      <c r="C93" s="741" t="str">
        <f>C92</f>
        <v>RFQ-026</v>
      </c>
      <c r="D93" s="741" t="str">
        <f>D92</f>
        <v>Safety Relief Valves</v>
      </c>
      <c r="E93" s="224"/>
      <c r="F93" s="760" t="str">
        <f>F92</f>
        <v>Instrument</v>
      </c>
      <c r="G93" s="741" t="str">
        <f>G92</f>
        <v>N</v>
      </c>
      <c r="H93" s="747"/>
      <c r="I93" s="212" t="str">
        <f>I92</f>
        <v>LB</v>
      </c>
      <c r="J93" s="249" t="s">
        <v>65</v>
      </c>
      <c r="K93" s="215">
        <f>K92</f>
        <v>46279</v>
      </c>
      <c r="L93" s="215">
        <f>WORKDAY(IF(K94="",K93,K94),INDEX(L$12:L$15,MATCH($I92,$I$12:$I$15,0)))</f>
        <v>46280</v>
      </c>
      <c r="M93" s="215">
        <f>WORKDAY(IF(L94="",L93,L94),INDEX(M$12:M$15,MATCH($I92,$I$12:$I$15,0)))</f>
        <v>46287</v>
      </c>
      <c r="N93" s="215">
        <f>WORKDAY(IF(M94="",M93,M94),INDEX(N$12:N$15,MATCH($I92,$I$12:$I$15,0)))</f>
        <v>46288</v>
      </c>
      <c r="O93" s="215">
        <f>WORKDAY(IF(N94="",N93,N94),INDEX(O$12:O$15,MATCH($I92,$I$12:$I$15,0)))</f>
        <v>46295</v>
      </c>
      <c r="P93" s="216"/>
      <c r="Q93" s="217"/>
      <c r="R93" s="215">
        <f>WORKDAY(IF(O94="",O93,O94),INDEX(R$12:R$15,MATCH($I92,$I$12:$I$15,0)))</f>
        <v>46309</v>
      </c>
      <c r="S93" s="215">
        <f>WORKDAY(IF(R94="",R93,R94),INDEX(S$12:S$15,MATCH($I92,$I$12:$I$15,0)))</f>
        <v>46337</v>
      </c>
      <c r="T93" s="215">
        <f>WORKDAY(IF(S94="",S93,S94),INDEX(T$12:T$15,MATCH($I92,$I$12:$I$15,0)))</f>
        <v>46342</v>
      </c>
      <c r="U93" s="215">
        <f>WORKDAY(IF(T94="",T93,T94),INDEX(U$12:U$15,MATCH($I92,$I$12:$I$15,0)))</f>
        <v>46356</v>
      </c>
      <c r="V93" s="215">
        <f>WORKDAY(IF(U94="",U93,U94),INDEX(V$12:V$15,MATCH($I92,$I$12:$I$15,0)))</f>
        <v>46358</v>
      </c>
      <c r="W93" s="218"/>
      <c r="X93" s="215">
        <f>U93+Y92-2</f>
        <v>46538</v>
      </c>
      <c r="Y93" s="768"/>
      <c r="Z93" s="773"/>
      <c r="AA93" s="773"/>
      <c r="AB93" s="777"/>
      <c r="AC93" s="220">
        <f>IF(ISERROR(LOOKUP(AC$16,$L93:$X93,#REF!)),0,(LOOKUP(AC$16,$L93:$X93,#REF!)))</f>
        <v>0</v>
      </c>
      <c r="AD93" s="221">
        <f>IF(ISERROR(LOOKUP(AD$16,$L93:$X93,#REF!)),0,(LOOKUP(AD$16,$L93:$X93,#REF!)))</f>
        <v>0</v>
      </c>
      <c r="AE93" s="221">
        <f>IF(ISERROR(LOOKUP(AE$16,$L93:$X93,#REF!)),0,(LOOKUP(AE$16,$L93:$X93,#REF!)))</f>
        <v>0</v>
      </c>
      <c r="AF93" s="221">
        <f>IF(ISERROR(LOOKUP(AF$16,$L93:$X93,#REF!)),0,(LOOKUP(AF$16,$L93:$X93,#REF!)))</f>
        <v>0</v>
      </c>
      <c r="AG93" s="221">
        <f>IF(ISERROR(LOOKUP(AG$16,$L93:$X93,#REF!)),0,(LOOKUP(AG$16,$L93:$X93,#REF!)))</f>
        <v>0</v>
      </c>
      <c r="AH93" s="221">
        <f>IF(ISERROR(LOOKUP(AH$16,$L93:$X93,#REF!)),0,(LOOKUP(AH$16,$L93:$X93,#REF!)))</f>
        <v>0</v>
      </c>
      <c r="AI93" s="221">
        <f>IF(ISERROR(LOOKUP(AI$16,$L93:$X93,#REF!)),0,(LOOKUP(AI$16,$L93:$X93,#REF!)))</f>
        <v>0</v>
      </c>
      <c r="AJ93" s="221">
        <f>IF(ISERROR(LOOKUP(AJ$16,$L93:$X93,#REF!)),0,(LOOKUP(AJ$16,$L93:$X93,#REF!)))</f>
        <v>0</v>
      </c>
      <c r="AK93" s="221">
        <f>IF(ISERROR(LOOKUP(AK$16,$L93:$X93,#REF!)),0,(LOOKUP(AK$16,$L93:$X93,#REF!)))</f>
        <v>0</v>
      </c>
      <c r="AL93" s="221">
        <f>IF(ISERROR(LOOKUP(AL$16,$L93:$X93,#REF!)),0,(LOOKUP(AL$16,$L93:$X93,#REF!)))</f>
        <v>0</v>
      </c>
      <c r="AM93" s="221">
        <f ca="1">IF(ISERROR(LOOKUP(AM$16,$L93:$X93,#REF!)),0,(LOOKUP(AM$16,$L93:$X93,#REF!)))</f>
        <v>0</v>
      </c>
      <c r="AP93" s="215" t="e">
        <f>WORKDAY(IF(T94="",T93,T94),INDEX(AP$12:AP$15,MATCH($I92,$I$12:$I$15,0)),$AW$17:$AW$148)</f>
        <v>#REF!</v>
      </c>
      <c r="AQ93" s="215" t="e">
        <f>WORKDAY(IF(AP94="",AP93,AP94),INDEX(AQ$12:AQ$15,MATCH($I92,$I$12:$I$15,0)),$AW$17:$AW$148)</f>
        <v>#REF!</v>
      </c>
      <c r="AR93" s="215" t="e">
        <f>WORKDAY(IF(AQ94="",AQ93,AQ94),INDEX(AR$12:AR$15,MATCH($I92,$I$12:$I$15,0)),$AW$17:$AW$148)</f>
        <v>#REF!</v>
      </c>
      <c r="AS93" s="778"/>
      <c r="AW93" s="223" t="e">
        <v>#REF!</v>
      </c>
    </row>
    <row r="94" spans="1:49" s="166" customFormat="1" ht="18" customHeight="1">
      <c r="A94" s="736"/>
      <c r="B94" s="740"/>
      <c r="C94" s="741" t="str">
        <f>C92</f>
        <v>RFQ-026</v>
      </c>
      <c r="D94" s="741" t="str">
        <f>D92</f>
        <v>Safety Relief Valves</v>
      </c>
      <c r="E94" s="225"/>
      <c r="F94" s="761" t="str">
        <f>F92</f>
        <v>Instrument</v>
      </c>
      <c r="G94" s="741" t="str">
        <f>G92</f>
        <v>N</v>
      </c>
      <c r="H94" s="748"/>
      <c r="I94" s="212" t="str">
        <f>I92</f>
        <v>LB</v>
      </c>
      <c r="J94" s="249" t="s">
        <v>67</v>
      </c>
      <c r="K94" s="212"/>
      <c r="L94" s="212"/>
      <c r="M94" s="212"/>
      <c r="N94" s="212"/>
      <c r="O94" s="212"/>
      <c r="P94" s="226"/>
      <c r="Q94" s="227"/>
      <c r="R94" s="212"/>
      <c r="S94" s="212"/>
      <c r="T94" s="212"/>
      <c r="U94" s="212"/>
      <c r="V94" s="212"/>
      <c r="W94" s="228"/>
      <c r="X94" s="212"/>
      <c r="Y94" s="768"/>
      <c r="Z94" s="773"/>
      <c r="AA94" s="773"/>
      <c r="AB94" s="777"/>
      <c r="AC94" s="229">
        <f>IF(ISERROR(LOOKUP(AC$16,$L94:$X94,#REF!)),0,(LOOKUP(AC$16,$L94:$X94,#REF!)))</f>
        <v>0</v>
      </c>
      <c r="AD94" s="230">
        <f>IF(ISERROR(LOOKUP(AD$16,$L94:$X94,#REF!)),0,(LOOKUP(AD$16,$L94:$X94,#REF!)))</f>
        <v>0</v>
      </c>
      <c r="AE94" s="230">
        <f>IF(ISERROR(LOOKUP(AE$16,$L94:$X94,#REF!)),0,(LOOKUP(AE$16,$L94:$X94,#REF!)))</f>
        <v>0</v>
      </c>
      <c r="AF94" s="230">
        <f>IF(ISERROR(LOOKUP(AF$16,$L94:$X94,#REF!)),0,(LOOKUP(AF$16,$L94:$X94,#REF!)))</f>
        <v>0</v>
      </c>
      <c r="AG94" s="230">
        <f>IF(ISERROR(LOOKUP(AG$16,$L94:$X94,#REF!)),0,(LOOKUP(AG$16,$L94:$X94,#REF!)))</f>
        <v>0</v>
      </c>
      <c r="AH94" s="230">
        <f>IF(ISERROR(LOOKUP(AH$16,$L94:$X94,#REF!)),0,(LOOKUP(AH$16,$L94:$X94,#REF!)))</f>
        <v>0</v>
      </c>
      <c r="AI94" s="230">
        <f>IF(ISERROR(LOOKUP(AI$16,$L94:$X94,#REF!)),0,(LOOKUP(AI$16,$L94:$X94,#REF!)))</f>
        <v>0</v>
      </c>
      <c r="AJ94" s="230">
        <f>IF(ISERROR(LOOKUP(AJ$16,$L94:$X94,#REF!)),0,(LOOKUP(AJ$16,$L94:$X94,#REF!)))</f>
        <v>0</v>
      </c>
      <c r="AK94" s="230">
        <f>IF(ISERROR(LOOKUP(AK$16,$L94:$X94,#REF!)),0,(LOOKUP(AK$16,$L94:$X94,#REF!)))</f>
        <v>0</v>
      </c>
      <c r="AL94" s="230">
        <f>IF(ISERROR(LOOKUP(AL$16,$L94:$X94,#REF!)),0,(LOOKUP(AL$16,$L94:$X94,#REF!)))</f>
        <v>0</v>
      </c>
      <c r="AM94" s="230">
        <f ca="1">IF(ISERROR(LOOKUP(AM$16,$L94:$X94,#REF!)),0,(LOOKUP(AM$16,$L94:$X94,#REF!)))</f>
        <v>0</v>
      </c>
      <c r="AP94" s="212"/>
      <c r="AQ94" s="212"/>
      <c r="AR94" s="212"/>
      <c r="AS94" s="778"/>
      <c r="AW94" s="223" t="e">
        <v>#REF!</v>
      </c>
    </row>
    <row r="95" spans="1:49" s="166" customFormat="1" ht="18" customHeight="1">
      <c r="A95" s="736">
        <f>A92+1</f>
        <v>27</v>
      </c>
      <c r="B95" s="738"/>
      <c r="C95" s="741" t="s">
        <v>5274</v>
      </c>
      <c r="D95" s="741" t="s">
        <v>159</v>
      </c>
      <c r="E95" s="213"/>
      <c r="F95" s="759" t="s">
        <v>137</v>
      </c>
      <c r="G95" s="741" t="s">
        <v>73</v>
      </c>
      <c r="H95" s="746"/>
      <c r="I95" s="212" t="s">
        <v>8</v>
      </c>
      <c r="J95" s="249" t="s">
        <v>5236</v>
      </c>
      <c r="K95" s="215">
        <f>WORKDAY(L95,-INDEX(L$12:L$15,MATCH($I95,$I$12:$I$15,0)))</f>
        <v>46296</v>
      </c>
      <c r="L95" s="215">
        <f>WORKDAY(M95,-INDEX(M$12:M$15,MATCH($I95,$I$12:$I$15,0)))</f>
        <v>46301</v>
      </c>
      <c r="M95" s="215">
        <f>WORKDAY(N95,-INDEX(N$12:N$15,MATCH($I95,$I$12:$I$15,0)))</f>
        <v>46315</v>
      </c>
      <c r="N95" s="215">
        <f>WORKDAY(O95,-INDEX(O$12:O$15,MATCH($I95,$I$12:$I$15,0)))</f>
        <v>46316</v>
      </c>
      <c r="O95" s="215">
        <f>WORKDAY(R95,-INDEX(R$12:R$15,MATCH($I95,$I$12:$I$15,0)))</f>
        <v>46330</v>
      </c>
      <c r="P95" s="216">
        <f>U95-L95</f>
        <v>92</v>
      </c>
      <c r="Q95" s="217"/>
      <c r="R95" s="215">
        <f>WORKDAY(S95,-INDEX(S$12:S$15,MATCH($I95,$I$12:$I$15,0)))</f>
        <v>46344</v>
      </c>
      <c r="S95" s="215">
        <f>WORKDAY(T95,-INDEX(T$12:T$15,MATCH($I95,$I$12:$I$15,0)))</f>
        <v>46365</v>
      </c>
      <c r="T95" s="215">
        <f>WORKDAY(U95,-INDEX(U$12:U$15,MATCH($I95,$I$12:$I$15,0)))</f>
        <v>46379</v>
      </c>
      <c r="U95" s="215">
        <f>X95-Y95</f>
        <v>46393</v>
      </c>
      <c r="V95" s="215">
        <f>WORKDAY(U95,INDEX(V$12:V$15,MATCH($I95,$I$12:$I$15,0)))</f>
        <v>46395</v>
      </c>
      <c r="W95" s="218">
        <f>Y95/7</f>
        <v>20.714285714285701</v>
      </c>
      <c r="X95" s="215">
        <f>Z95</f>
        <v>46538</v>
      </c>
      <c r="Y95" s="768">
        <v>145</v>
      </c>
      <c r="Z95" s="773">
        <v>46538</v>
      </c>
      <c r="AA95" s="773">
        <v>46538</v>
      </c>
      <c r="AB95" s="777">
        <f>Z95-X96</f>
        <v>0</v>
      </c>
      <c r="AC95" s="220">
        <f>IF(ISERROR(LOOKUP(AC$16,$L95:$X95,#REF!)),0,(LOOKUP(AC$16,$L95:$X95,#REF!)))</f>
        <v>0</v>
      </c>
      <c r="AD95" s="221">
        <f>IF(ISERROR(LOOKUP(AD$16,$L95:$X95,#REF!)),0,(LOOKUP(AD$16,$L95:$X95,#REF!)))</f>
        <v>0</v>
      </c>
      <c r="AE95" s="221">
        <f>IF(ISERROR(LOOKUP(AE$16,$L95:$X95,#REF!)),0,(LOOKUP(AE$16,$L95:$X95,#REF!)))</f>
        <v>0</v>
      </c>
      <c r="AF95" s="221">
        <f>IF(ISERROR(LOOKUP(AF$16,$L95:$X95,#REF!)),0,(LOOKUP(AF$16,$L95:$X95,#REF!)))</f>
        <v>0</v>
      </c>
      <c r="AG95" s="221">
        <f>IF(ISERROR(LOOKUP(AG$16,$L95:$X95,#REF!)),0,(LOOKUP(AG$16,$L95:$X95,#REF!)))</f>
        <v>0</v>
      </c>
      <c r="AH95" s="221">
        <f>IF(ISERROR(LOOKUP(AH$16,$L95:$X95,#REF!)),0,(LOOKUP(AH$16,$L95:$X95,#REF!)))</f>
        <v>0</v>
      </c>
      <c r="AI95" s="221">
        <f>IF(ISERROR(LOOKUP(AI$16,$L95:$X95,#REF!)),0,(LOOKUP(AI$16,$L95:$X95,#REF!)))</f>
        <v>0</v>
      </c>
      <c r="AJ95" s="221">
        <f>IF(ISERROR(LOOKUP(AJ$16,$L95:$X95,#REF!)),0,(LOOKUP(AJ$16,$L95:$X95,#REF!)))</f>
        <v>0</v>
      </c>
      <c r="AK95" s="221">
        <f>IF(ISERROR(LOOKUP(AK$16,$L95:$X95,#REF!)),0,(LOOKUP(AK$16,$L95:$X95,#REF!)))</f>
        <v>0</v>
      </c>
      <c r="AL95" s="221">
        <f>IF(ISERROR(LOOKUP(AL$16,$L95:$X95,#REF!)),0,(LOOKUP(AL$16,$L95:$X95,#REF!)))</f>
        <v>0</v>
      </c>
      <c r="AM95" s="221">
        <f ca="1">IF(ISERROR(LOOKUP(AM$16,$L95:$X95,#REF!)),0,(LOOKUP(AM$16,$L95:$X95,#REF!)))</f>
        <v>0</v>
      </c>
      <c r="AP95" s="215" t="e">
        <f>WORKDAY(AQ95,-INDEX(AQ$12:AQ$15,MATCH($I95,$I$12:$I$15,0)),$AW$17:$AW$148)</f>
        <v>#REF!</v>
      </c>
      <c r="AQ95" s="215" t="e">
        <f>WORKDAY(U95,-INDEX(U$12:U$15,MATCH($I95,$I$12:$I$15,0)),$AW$17:$AW$148)</f>
        <v>#REF!</v>
      </c>
      <c r="AR95" s="215" t="e">
        <f>WORKDAY(U95,-INDEX(U$12:U$15,MATCH($I95,$I$12:$I$15,0)),$AW$17:$AW$148)</f>
        <v>#REF!</v>
      </c>
      <c r="AS95" s="778">
        <v>7</v>
      </c>
      <c r="AW95" s="223" t="e">
        <v>#REF!</v>
      </c>
    </row>
    <row r="96" spans="1:49" s="166" customFormat="1" ht="18" customHeight="1">
      <c r="A96" s="736"/>
      <c r="B96" s="739"/>
      <c r="C96" s="741" t="str">
        <f>C95</f>
        <v>RFQ-027</v>
      </c>
      <c r="D96" s="741" t="str">
        <f>D95</f>
        <v>Coriolis Flow Meters</v>
      </c>
      <c r="E96" s="224"/>
      <c r="F96" s="760" t="str">
        <f>F95</f>
        <v>Instrument</v>
      </c>
      <c r="G96" s="741" t="str">
        <f>G95</f>
        <v>N</v>
      </c>
      <c r="H96" s="747"/>
      <c r="I96" s="212" t="str">
        <f>I95</f>
        <v>LC</v>
      </c>
      <c r="J96" s="249" t="s">
        <v>65</v>
      </c>
      <c r="K96" s="215">
        <f>K95</f>
        <v>46296</v>
      </c>
      <c r="L96" s="215">
        <f>WORKDAY(IF(K97="",K96,K97),INDEX(L$12:L$15,MATCH($I95,$I$12:$I$15,0)))</f>
        <v>46301</v>
      </c>
      <c r="M96" s="215">
        <f>WORKDAY(IF(L97="",L96,L97),INDEX(M$12:M$15,MATCH($I95,$I$12:$I$15,0)))</f>
        <v>46315</v>
      </c>
      <c r="N96" s="215">
        <f>WORKDAY(IF(M97="",M96,M97),INDEX(N$12:N$15,MATCH($I95,$I$12:$I$15,0)))</f>
        <v>46316</v>
      </c>
      <c r="O96" s="215">
        <f>WORKDAY(IF(N97="",N96,N97),INDEX(O$12:O$15,MATCH($I95,$I$12:$I$15,0)))</f>
        <v>46330</v>
      </c>
      <c r="P96" s="216"/>
      <c r="Q96" s="217"/>
      <c r="R96" s="215">
        <f>WORKDAY(IF(O97="",O96,O97),INDEX(R$12:R$15,MATCH($I95,$I$12:$I$15,0)))</f>
        <v>46344</v>
      </c>
      <c r="S96" s="215">
        <f>WORKDAY(IF(R97="",R96,R97),INDEX(S$12:S$15,MATCH($I95,$I$12:$I$15,0)))</f>
        <v>46365</v>
      </c>
      <c r="T96" s="215">
        <f>WORKDAY(IF(S97="",S96,S97),INDEX(T$12:T$15,MATCH($I95,$I$12:$I$15,0)))</f>
        <v>46379</v>
      </c>
      <c r="U96" s="215">
        <f>WORKDAY(IF(T97="",T96,T97),INDEX(U$12:U$15,MATCH($I95,$I$12:$I$15,0)))</f>
        <v>46393</v>
      </c>
      <c r="V96" s="215">
        <f>WORKDAY(IF(U97="",U96,U97),INDEX(V$12:V$15,MATCH($I95,$I$12:$I$15,0)))</f>
        <v>46395</v>
      </c>
      <c r="W96" s="218"/>
      <c r="X96" s="215">
        <f>U96+Y95</f>
        <v>46538</v>
      </c>
      <c r="Y96" s="768"/>
      <c r="Z96" s="773"/>
      <c r="AA96" s="773"/>
      <c r="AB96" s="777"/>
      <c r="AC96" s="220">
        <f>IF(ISERROR(LOOKUP(AC$16,$L96:$X96,#REF!)),0,(LOOKUP(AC$16,$L96:$X96,#REF!)))</f>
        <v>0</v>
      </c>
      <c r="AD96" s="221">
        <f>IF(ISERROR(LOOKUP(AD$16,$L96:$X96,#REF!)),0,(LOOKUP(AD$16,$L96:$X96,#REF!)))</f>
        <v>0</v>
      </c>
      <c r="AE96" s="221">
        <f>IF(ISERROR(LOOKUP(AE$16,$L96:$X96,#REF!)),0,(LOOKUP(AE$16,$L96:$X96,#REF!)))</f>
        <v>0</v>
      </c>
      <c r="AF96" s="221">
        <f>IF(ISERROR(LOOKUP(AF$16,$L96:$X96,#REF!)),0,(LOOKUP(AF$16,$L96:$X96,#REF!)))</f>
        <v>0</v>
      </c>
      <c r="AG96" s="221">
        <f>IF(ISERROR(LOOKUP(AG$16,$L96:$X96,#REF!)),0,(LOOKUP(AG$16,$L96:$X96,#REF!)))</f>
        <v>0</v>
      </c>
      <c r="AH96" s="221">
        <f>IF(ISERROR(LOOKUP(AH$16,$L96:$X96,#REF!)),0,(LOOKUP(AH$16,$L96:$X96,#REF!)))</f>
        <v>0</v>
      </c>
      <c r="AI96" s="221">
        <f>IF(ISERROR(LOOKUP(AI$16,$L96:$X96,#REF!)),0,(LOOKUP(AI$16,$L96:$X96,#REF!)))</f>
        <v>0</v>
      </c>
      <c r="AJ96" s="221">
        <f>IF(ISERROR(LOOKUP(AJ$16,$L96:$X96,#REF!)),0,(LOOKUP(AJ$16,$L96:$X96,#REF!)))</f>
        <v>0</v>
      </c>
      <c r="AK96" s="221">
        <f>IF(ISERROR(LOOKUP(AK$16,$L96:$X96,#REF!)),0,(LOOKUP(AK$16,$L96:$X96,#REF!)))</f>
        <v>0</v>
      </c>
      <c r="AL96" s="221">
        <f>IF(ISERROR(LOOKUP(AL$16,$L96:$X96,#REF!)),0,(LOOKUP(AL$16,$L96:$X96,#REF!)))</f>
        <v>0</v>
      </c>
      <c r="AM96" s="221">
        <f ca="1">IF(ISERROR(LOOKUP(AM$16,$L96:$X96,#REF!)),0,(LOOKUP(AM$16,$L96:$X96,#REF!)))</f>
        <v>0</v>
      </c>
      <c r="AP96" s="215" t="e">
        <f>WORKDAY(IF(T97="",T96,T97),INDEX(AP$12:AP$15,MATCH($I95,$I$12:$I$15,0)),$AW$17:$AW$148)</f>
        <v>#REF!</v>
      </c>
      <c r="AQ96" s="215" t="e">
        <f>WORKDAY(IF(AP97="",AP96,AP97),INDEX(AQ$12:AQ$15,MATCH($I95,$I$12:$I$15,0)),$AW$17:$AW$148)</f>
        <v>#REF!</v>
      </c>
      <c r="AR96" s="215" t="e">
        <f>WORKDAY(IF(AQ97="",AQ96,AQ97),INDEX(AR$12:AR$15,MATCH($I95,$I$12:$I$15,0)),$AW$17:$AW$148)</f>
        <v>#REF!</v>
      </c>
      <c r="AS96" s="778"/>
      <c r="AW96" s="223" t="e" cm="1">
        <f t="array" ref="AW96:AW174">'[38]Procurement progress '!$A$2:$A$80</f>
        <v>#REF!</v>
      </c>
    </row>
    <row r="97" spans="1:49" s="166" customFormat="1" ht="18" customHeight="1">
      <c r="A97" s="736"/>
      <c r="B97" s="740"/>
      <c r="C97" s="741" t="str">
        <f>C95</f>
        <v>RFQ-027</v>
      </c>
      <c r="D97" s="741" t="str">
        <f>D95</f>
        <v>Coriolis Flow Meters</v>
      </c>
      <c r="E97" s="225"/>
      <c r="F97" s="761" t="str">
        <f>F95</f>
        <v>Instrument</v>
      </c>
      <c r="G97" s="741" t="str">
        <f>G95</f>
        <v>N</v>
      </c>
      <c r="H97" s="748"/>
      <c r="I97" s="212" t="str">
        <f>I95</f>
        <v>LC</v>
      </c>
      <c r="J97" s="249" t="s">
        <v>67</v>
      </c>
      <c r="K97" s="212"/>
      <c r="L97" s="212"/>
      <c r="M97" s="212"/>
      <c r="N97" s="212"/>
      <c r="O97" s="212"/>
      <c r="P97" s="226"/>
      <c r="Q97" s="227"/>
      <c r="R97" s="212"/>
      <c r="S97" s="212"/>
      <c r="T97" s="212"/>
      <c r="U97" s="212"/>
      <c r="V97" s="212"/>
      <c r="W97" s="228"/>
      <c r="X97" s="212"/>
      <c r="Y97" s="768"/>
      <c r="Z97" s="773"/>
      <c r="AA97" s="773"/>
      <c r="AB97" s="777"/>
      <c r="AC97" s="229">
        <f>IF(ISERROR(LOOKUP(AC$16,$L97:$X97,#REF!)),0,(LOOKUP(AC$16,$L97:$X97,#REF!)))</f>
        <v>0</v>
      </c>
      <c r="AD97" s="230">
        <f>IF(ISERROR(LOOKUP(AD$16,$L97:$X97,#REF!)),0,(LOOKUP(AD$16,$L97:$X97,#REF!)))</f>
        <v>0</v>
      </c>
      <c r="AE97" s="230">
        <f>IF(ISERROR(LOOKUP(AE$16,$L97:$X97,#REF!)),0,(LOOKUP(AE$16,$L97:$X97,#REF!)))</f>
        <v>0</v>
      </c>
      <c r="AF97" s="230">
        <f>IF(ISERROR(LOOKUP(AF$16,$L97:$X97,#REF!)),0,(LOOKUP(AF$16,$L97:$X97,#REF!)))</f>
        <v>0</v>
      </c>
      <c r="AG97" s="230">
        <f>IF(ISERROR(LOOKUP(AG$16,$L97:$X97,#REF!)),0,(LOOKUP(AG$16,$L97:$X97,#REF!)))</f>
        <v>0</v>
      </c>
      <c r="AH97" s="230">
        <f>IF(ISERROR(LOOKUP(AH$16,$L97:$X97,#REF!)),0,(LOOKUP(AH$16,$L97:$X97,#REF!)))</f>
        <v>0</v>
      </c>
      <c r="AI97" s="230">
        <f>IF(ISERROR(LOOKUP(AI$16,$L97:$X97,#REF!)),0,(LOOKUP(AI$16,$L97:$X97,#REF!)))</f>
        <v>0</v>
      </c>
      <c r="AJ97" s="230">
        <f>IF(ISERROR(LOOKUP(AJ$16,$L97:$X97,#REF!)),0,(LOOKUP(AJ$16,$L97:$X97,#REF!)))</f>
        <v>0</v>
      </c>
      <c r="AK97" s="230">
        <f>IF(ISERROR(LOOKUP(AK$16,$L97:$X97,#REF!)),0,(LOOKUP(AK$16,$L97:$X97,#REF!)))</f>
        <v>0</v>
      </c>
      <c r="AL97" s="230">
        <f>IF(ISERROR(LOOKUP(AL$16,$L97:$X97,#REF!)),0,(LOOKUP(AL$16,$L97:$X97,#REF!)))</f>
        <v>0</v>
      </c>
      <c r="AM97" s="230">
        <f ca="1">IF(ISERROR(LOOKUP(AM$16,$L97:$X97,#REF!)),0,(LOOKUP(AM$16,$L97:$X97,#REF!)))</f>
        <v>0</v>
      </c>
      <c r="AP97" s="248"/>
      <c r="AQ97" s="248"/>
      <c r="AR97" s="248"/>
      <c r="AS97" s="778"/>
      <c r="AW97" s="223" t="e">
        <v>#REF!</v>
      </c>
    </row>
    <row r="98" spans="1:49" s="169" customFormat="1" ht="22.5" customHeight="1">
      <c r="A98" s="736">
        <f>A95+1</f>
        <v>28</v>
      </c>
      <c r="B98" s="738"/>
      <c r="C98" s="741" t="s">
        <v>5275</v>
      </c>
      <c r="D98" s="741" t="s">
        <v>5276</v>
      </c>
      <c r="E98" s="213"/>
      <c r="F98" s="750" t="s">
        <v>137</v>
      </c>
      <c r="G98" s="741" t="s">
        <v>64</v>
      </c>
      <c r="H98" s="746"/>
      <c r="I98" s="212" t="s">
        <v>6</v>
      </c>
      <c r="J98" s="214" t="s">
        <v>5236</v>
      </c>
      <c r="K98" s="215">
        <f>WORKDAY(L98,-INDEX(L$12:L$15,MATCH($I98,$I$12:$I$15,0)))</f>
        <v>46147</v>
      </c>
      <c r="L98" s="215">
        <f>WORKDAY(M98,-INDEX(M$12:M$15,MATCH($I98,$I$12:$I$15,0)))</f>
        <v>46148</v>
      </c>
      <c r="M98" s="215">
        <f>WORKDAY(N98,-INDEX(N$12:N$15,MATCH($I98,$I$12:$I$15,0)))</f>
        <v>46155</v>
      </c>
      <c r="N98" s="215">
        <f>WORKDAY(O98,-INDEX(O$12:O$15,MATCH($I98,$I$12:$I$15,0)))</f>
        <v>46156</v>
      </c>
      <c r="O98" s="215">
        <f>WORKDAY(R98,-INDEX(R$12:R$15,MATCH($I98,$I$12:$I$15,0)))</f>
        <v>46163</v>
      </c>
      <c r="P98" s="216">
        <f>U98-L98</f>
        <v>76</v>
      </c>
      <c r="Q98" s="217"/>
      <c r="R98" s="215">
        <f>WORKDAY(S98,-INDEX(S$12:S$15,MATCH($I98,$I$12:$I$15,0)))</f>
        <v>46177</v>
      </c>
      <c r="S98" s="215">
        <f>WORKDAY(T98,-INDEX(T$12:T$15,MATCH($I98,$I$12:$I$15,0)))</f>
        <v>46205</v>
      </c>
      <c r="T98" s="215">
        <f>WORKDAY(U98,-INDEX(U$12:U$15,MATCH($I98,$I$12:$I$15,0)))</f>
        <v>46210</v>
      </c>
      <c r="U98" s="215">
        <f>X98-Y98</f>
        <v>46224</v>
      </c>
      <c r="V98" s="215">
        <f>WORKDAY(U98,INDEX(V$12:V$15,MATCH($I98,$I$12:$I$15,0)))</f>
        <v>46226</v>
      </c>
      <c r="W98" s="218">
        <f>Y98/7</f>
        <v>36</v>
      </c>
      <c r="X98" s="215">
        <f>Z98</f>
        <v>46476</v>
      </c>
      <c r="Y98" s="768">
        <v>252</v>
      </c>
      <c r="Z98" s="773">
        <v>46476</v>
      </c>
      <c r="AA98" s="773">
        <v>46416</v>
      </c>
      <c r="AB98" s="777">
        <f>Z98-X99</f>
        <v>0</v>
      </c>
      <c r="AC98" s="250">
        <f>IF(ISERROR(LOOKUP(AC$16,$L98:$X98,#REF!)),0,(LOOKUP(AC$16,$L98:$X98,#REF!)))</f>
        <v>0</v>
      </c>
      <c r="AD98" s="251">
        <f>IF(ISERROR(LOOKUP(AD$16,$L98:$X98,#REF!)),0,(LOOKUP(AD$16,$L98:$X98,#REF!)))</f>
        <v>0</v>
      </c>
      <c r="AE98" s="251">
        <f>IF(ISERROR(LOOKUP(AE$16,$L98:$X98,#REF!)),0,(LOOKUP(AE$16,$L98:$X98,#REF!)))</f>
        <v>0</v>
      </c>
      <c r="AF98" s="251">
        <f>IF(ISERROR(LOOKUP(AF$16,$L98:$X98,#REF!)),0,(LOOKUP(AF$16,$L98:$X98,#REF!)))</f>
        <v>0</v>
      </c>
      <c r="AG98" s="251">
        <f>IF(ISERROR(LOOKUP(AG$16,$L98:$X98,#REF!)),0,(LOOKUP(AG$16,$L98:$X98,#REF!)))</f>
        <v>0</v>
      </c>
      <c r="AH98" s="251">
        <f>IF(ISERROR(LOOKUP(AH$16,$L98:$X98,#REF!)),0,(LOOKUP(AH$16,$L98:$X98,#REF!)))</f>
        <v>0</v>
      </c>
      <c r="AI98" s="251">
        <f>IF(ISERROR(LOOKUP(AI$16,$L98:$X98,#REF!)),0,(LOOKUP(AI$16,$L98:$X98,#REF!)))</f>
        <v>0</v>
      </c>
      <c r="AJ98" s="251">
        <f>IF(ISERROR(LOOKUP(AJ$16,$L98:$X98,#REF!)),0,(LOOKUP(AJ$16,$L98:$X98,#REF!)))</f>
        <v>0</v>
      </c>
      <c r="AK98" s="251">
        <f>IF(ISERROR(LOOKUP(AK$16,$L98:$X98,#REF!)),0,(LOOKUP(AK$16,$L98:$X98,#REF!)))</f>
        <v>0</v>
      </c>
      <c r="AL98" s="251">
        <f>IF(ISERROR(LOOKUP(AL$16,$L98:$X98,#REF!)),0,(LOOKUP(AL$16,$L98:$X98,#REF!)))</f>
        <v>0</v>
      </c>
      <c r="AM98" s="251">
        <f ca="1">IF(ISERROR(LOOKUP(AM$16,$L98:$X98,#REF!)),0,(LOOKUP(AM$16,$L98:$X98,#REF!)))</f>
        <v>0</v>
      </c>
      <c r="AP98" s="215" t="e">
        <f>WORKDAY(AQ98,-INDEX(AQ$12:AQ$15,MATCH($I98,$I$12:$I$15,0)),$AW$17:$AW$148)</f>
        <v>#REF!</v>
      </c>
      <c r="AQ98" s="215" t="e">
        <f>WORKDAY(U98,-INDEX(U$12:U$15,MATCH($I98,$I$12:$I$15,0)),$AW$17:$AW$148)</f>
        <v>#REF!</v>
      </c>
      <c r="AR98" s="215" t="e">
        <f>WORKDAY(U98,-INDEX(U$12:U$15,MATCH($I98,$I$12:$I$15,0)),$AW$17:$AW$148)</f>
        <v>#REF!</v>
      </c>
      <c r="AS98" s="778">
        <v>7</v>
      </c>
      <c r="AW98" s="252" t="e">
        <v>#REF!</v>
      </c>
    </row>
    <row r="99" spans="1:49" s="169" customFormat="1" ht="22.5" customHeight="1">
      <c r="A99" s="736"/>
      <c r="B99" s="739"/>
      <c r="C99" s="741" t="str">
        <f>C98</f>
        <v>RFQ-028</v>
      </c>
      <c r="D99" s="741" t="str">
        <f>D98</f>
        <v>Wellhead Control Panel (WHCP)</v>
      </c>
      <c r="E99" s="224"/>
      <c r="F99" s="751" t="str">
        <f>F98</f>
        <v>Instrument</v>
      </c>
      <c r="G99" s="741" t="str">
        <f>G98</f>
        <v>Y</v>
      </c>
      <c r="H99" s="747"/>
      <c r="I99" s="212" t="str">
        <f>I98</f>
        <v>LA</v>
      </c>
      <c r="J99" s="214" t="s">
        <v>65</v>
      </c>
      <c r="K99" s="215">
        <f>K98</f>
        <v>46147</v>
      </c>
      <c r="L99" s="215">
        <f>WORKDAY(IF(K100="",K99,K100),INDEX(L$12:L$15,MATCH($I98,$I$12:$I$15,0)))</f>
        <v>46148</v>
      </c>
      <c r="M99" s="215">
        <f>WORKDAY(IF(L100="",L99,L100),INDEX(M$12:M$15,MATCH($I98,$I$12:$I$15,0)))</f>
        <v>46155</v>
      </c>
      <c r="N99" s="215">
        <f>WORKDAY(IF(M100="",M99,M100),INDEX(N$12:N$15,MATCH($I98,$I$12:$I$15,0)))</f>
        <v>46156</v>
      </c>
      <c r="O99" s="215">
        <f>WORKDAY(IF(N100="",N99,N100),INDEX(O$12:O$15,MATCH($I98,$I$12:$I$15,0)))</f>
        <v>46163</v>
      </c>
      <c r="P99" s="216"/>
      <c r="Q99" s="217"/>
      <c r="R99" s="215">
        <f>WORKDAY(IF(O100="",O99,O100),INDEX(R$12:R$15,MATCH($I98,$I$12:$I$15,0)))</f>
        <v>46177</v>
      </c>
      <c r="S99" s="215">
        <f>WORKDAY(IF(R100="",R99,R100),INDEX(S$12:S$15,MATCH($I98,$I$12:$I$15,0)))</f>
        <v>46205</v>
      </c>
      <c r="T99" s="215">
        <f>WORKDAY(IF(S100="",S99,S100),INDEX(T$12:T$15,MATCH($I98,$I$12:$I$15,0)))</f>
        <v>46210</v>
      </c>
      <c r="U99" s="215">
        <f>WORKDAY(IF(T100="",T99,T100),INDEX(U$12:U$15,MATCH($I98,$I$12:$I$15,0)))</f>
        <v>46224</v>
      </c>
      <c r="V99" s="215">
        <f>WORKDAY(IF(U100="",U99,U100),INDEX(V$12:V$15,MATCH($I98,$I$12:$I$15,0)))</f>
        <v>46226</v>
      </c>
      <c r="W99" s="218"/>
      <c r="X99" s="215">
        <f>U99+Y98</f>
        <v>46476</v>
      </c>
      <c r="Y99" s="768"/>
      <c r="Z99" s="773"/>
      <c r="AA99" s="773"/>
      <c r="AB99" s="777"/>
      <c r="AC99" s="250">
        <f>IF(ISERROR(LOOKUP(AC$16,$L99:$X99,#REF!)),0,(LOOKUP(AC$16,$L99:$X99,#REF!)))</f>
        <v>0</v>
      </c>
      <c r="AD99" s="251">
        <f>IF(ISERROR(LOOKUP(AD$16,$L99:$X99,#REF!)),0,(LOOKUP(AD$16,$L99:$X99,#REF!)))</f>
        <v>0</v>
      </c>
      <c r="AE99" s="251">
        <f>IF(ISERROR(LOOKUP(AE$16,$L99:$X99,#REF!)),0,(LOOKUP(AE$16,$L99:$X99,#REF!)))</f>
        <v>0</v>
      </c>
      <c r="AF99" s="251">
        <f>IF(ISERROR(LOOKUP(AF$16,$L99:$X99,#REF!)),0,(LOOKUP(AF$16,$L99:$X99,#REF!)))</f>
        <v>0</v>
      </c>
      <c r="AG99" s="251">
        <f>IF(ISERROR(LOOKUP(AG$16,$L99:$X99,#REF!)),0,(LOOKUP(AG$16,$L99:$X99,#REF!)))</f>
        <v>0</v>
      </c>
      <c r="AH99" s="251">
        <f>IF(ISERROR(LOOKUP(AH$16,$L99:$X99,#REF!)),0,(LOOKUP(AH$16,$L99:$X99,#REF!)))</f>
        <v>0</v>
      </c>
      <c r="AI99" s="251">
        <f>IF(ISERROR(LOOKUP(AI$16,$L99:$X99,#REF!)),0,(LOOKUP(AI$16,$L99:$X99,#REF!)))</f>
        <v>0</v>
      </c>
      <c r="AJ99" s="251">
        <f>IF(ISERROR(LOOKUP(AJ$16,$L99:$X99,#REF!)),0,(LOOKUP(AJ$16,$L99:$X99,#REF!)))</f>
        <v>0</v>
      </c>
      <c r="AK99" s="251">
        <f>IF(ISERROR(LOOKUP(AK$16,$L99:$X99,#REF!)),0,(LOOKUP(AK$16,$L99:$X99,#REF!)))</f>
        <v>0</v>
      </c>
      <c r="AL99" s="251">
        <f>IF(ISERROR(LOOKUP(AL$16,$L99:$X99,#REF!)),0,(LOOKUP(AL$16,$L99:$X99,#REF!)))</f>
        <v>0</v>
      </c>
      <c r="AM99" s="251">
        <f ca="1">IF(ISERROR(LOOKUP(AM$16,$L99:$X99,#REF!)),0,(LOOKUP(AM$16,$L99:$X99,#REF!)))</f>
        <v>0</v>
      </c>
      <c r="AP99" s="215" t="e">
        <f>WORKDAY(IF(T100="",T99,T100),INDEX(AP$12:AP$15,MATCH($I98,$I$12:$I$15,0)),$AW$17:$AW$148)</f>
        <v>#REF!</v>
      </c>
      <c r="AQ99" s="215" t="e">
        <f>WORKDAY(IF(AP100="",AP99,AP100),INDEX(AQ$12:AQ$15,MATCH($I98,$I$12:$I$15,0)),$AW$17:$AW$148)</f>
        <v>#REF!</v>
      </c>
      <c r="AR99" s="215" t="e">
        <f>WORKDAY(IF(AQ100="",AQ99,AQ100),INDEX(AR$12:AR$15,MATCH($I98,$I$12:$I$15,0)),$AW$17:$AW$148)</f>
        <v>#REF!</v>
      </c>
      <c r="AS99" s="778"/>
      <c r="AW99" s="252" t="e">
        <v>#REF!</v>
      </c>
    </row>
    <row r="100" spans="1:49" s="169" customFormat="1" ht="15" customHeight="1">
      <c r="A100" s="736"/>
      <c r="B100" s="740"/>
      <c r="C100" s="741" t="str">
        <f>C98</f>
        <v>RFQ-028</v>
      </c>
      <c r="D100" s="741" t="str">
        <f>D98</f>
        <v>Wellhead Control Panel (WHCP)</v>
      </c>
      <c r="E100" s="225"/>
      <c r="F100" s="752" t="str">
        <f>F98</f>
        <v>Instrument</v>
      </c>
      <c r="G100" s="741" t="str">
        <f>G98</f>
        <v>Y</v>
      </c>
      <c r="H100" s="748"/>
      <c r="I100" s="212" t="str">
        <f>I98</f>
        <v>LA</v>
      </c>
      <c r="J100" s="214" t="s">
        <v>67</v>
      </c>
      <c r="K100" s="212"/>
      <c r="L100" s="212"/>
      <c r="M100" s="212"/>
      <c r="N100" s="212"/>
      <c r="O100" s="212"/>
      <c r="P100" s="226"/>
      <c r="Q100" s="227"/>
      <c r="R100" s="212"/>
      <c r="S100" s="212"/>
      <c r="T100" s="212"/>
      <c r="U100" s="212"/>
      <c r="V100" s="212"/>
      <c r="W100" s="228"/>
      <c r="X100" s="212"/>
      <c r="Y100" s="768"/>
      <c r="Z100" s="773"/>
      <c r="AA100" s="773"/>
      <c r="AB100" s="777"/>
      <c r="AC100" s="254">
        <f>IF(ISERROR(LOOKUP(AC$16,$L100:$X100,#REF!)),0,(LOOKUP(AC$16,$L100:$X100,#REF!)))</f>
        <v>0</v>
      </c>
      <c r="AD100" s="255">
        <f>IF(ISERROR(LOOKUP(AD$16,$L100:$X100,#REF!)),0,(LOOKUP(AD$16,$L100:$X100,#REF!)))</f>
        <v>0</v>
      </c>
      <c r="AE100" s="255">
        <f>IF(ISERROR(LOOKUP(AE$16,$L100:$X100,#REF!)),0,(LOOKUP(AE$16,$L100:$X100,#REF!)))</f>
        <v>0</v>
      </c>
      <c r="AF100" s="255">
        <f>IF(ISERROR(LOOKUP(AF$16,$L100:$X100,#REF!)),0,(LOOKUP(AF$16,$L100:$X100,#REF!)))</f>
        <v>0</v>
      </c>
      <c r="AG100" s="255">
        <f>IF(ISERROR(LOOKUP(AG$16,$L100:$X100,#REF!)),0,(LOOKUP(AG$16,$L100:$X100,#REF!)))</f>
        <v>0</v>
      </c>
      <c r="AH100" s="255">
        <f>IF(ISERROR(LOOKUP(AH$16,$L100:$X100,#REF!)),0,(LOOKUP(AH$16,$L100:$X100,#REF!)))</f>
        <v>0</v>
      </c>
      <c r="AI100" s="255">
        <f>IF(ISERROR(LOOKUP(AI$16,$L100:$X100,#REF!)),0,(LOOKUP(AI$16,$L100:$X100,#REF!)))</f>
        <v>0</v>
      </c>
      <c r="AJ100" s="255">
        <f>IF(ISERROR(LOOKUP(AJ$16,$L100:$X100,#REF!)),0,(LOOKUP(AJ$16,$L100:$X100,#REF!)))</f>
        <v>0</v>
      </c>
      <c r="AK100" s="255">
        <f>IF(ISERROR(LOOKUP(AK$16,$L100:$X100,#REF!)),0,(LOOKUP(AK$16,$L100:$X100,#REF!)))</f>
        <v>0</v>
      </c>
      <c r="AL100" s="255">
        <f>IF(ISERROR(LOOKUP(AL$16,$L100:$X100,#REF!)),0,(LOOKUP(AL$16,$L100:$X100,#REF!)))</f>
        <v>0</v>
      </c>
      <c r="AM100" s="255">
        <f ca="1">IF(ISERROR(LOOKUP(AM$16,$L100:$X100,#REF!)),0,(LOOKUP(AM$16,$L100:$X100,#REF!)))</f>
        <v>0</v>
      </c>
      <c r="AP100" s="212"/>
      <c r="AQ100" s="212"/>
      <c r="AR100" s="212"/>
      <c r="AS100" s="778"/>
      <c r="AW100" s="252" t="e">
        <v>#REF!</v>
      </c>
    </row>
    <row r="101" spans="1:49" s="166" customFormat="1" ht="18" customHeight="1">
      <c r="A101" s="736">
        <f>A98+1</f>
        <v>29</v>
      </c>
      <c r="B101" s="738"/>
      <c r="C101" s="741" t="s">
        <v>5277</v>
      </c>
      <c r="D101" s="741" t="s">
        <v>166</v>
      </c>
      <c r="E101" s="213"/>
      <c r="F101" s="759" t="s">
        <v>137</v>
      </c>
      <c r="G101" s="741" t="s">
        <v>73</v>
      </c>
      <c r="H101" s="746"/>
      <c r="I101" s="212" t="s">
        <v>8</v>
      </c>
      <c r="J101" s="249" t="s">
        <v>5236</v>
      </c>
      <c r="K101" s="215">
        <f>WORKDAY(L101,-INDEX(L$12:L$15,MATCH($I101,$I$12:$I$15,0)))</f>
        <v>46315</v>
      </c>
      <c r="L101" s="215">
        <f>WORKDAY(M101,-INDEX(M$12:M$15,MATCH($I101,$I$12:$I$15,0)))</f>
        <v>46318</v>
      </c>
      <c r="M101" s="215">
        <f>WORKDAY(N101,-INDEX(N$12:N$15,MATCH($I101,$I$12:$I$15,0)))</f>
        <v>46332</v>
      </c>
      <c r="N101" s="215">
        <f>WORKDAY(O101,-INDEX(O$12:O$15,MATCH($I101,$I$12:$I$15,0)))</f>
        <v>46335</v>
      </c>
      <c r="O101" s="215">
        <f>WORKDAY(R101,-INDEX(R$12:R$15,MATCH($I101,$I$12:$I$15,0)))</f>
        <v>46349</v>
      </c>
      <c r="P101" s="216">
        <f>U101-L101</f>
        <v>94</v>
      </c>
      <c r="Q101" s="217"/>
      <c r="R101" s="215">
        <f>WORKDAY(S101,-INDEX(S$12:S$15,MATCH($I101,$I$12:$I$15,0)))</f>
        <v>46363</v>
      </c>
      <c r="S101" s="215">
        <f>WORKDAY(T101,-INDEX(T$12:T$15,MATCH($I101,$I$12:$I$15,0)))</f>
        <v>46384</v>
      </c>
      <c r="T101" s="215">
        <f>WORKDAY(U101,-INDEX(U$12:U$15,MATCH($I101,$I$12:$I$15,0)))</f>
        <v>46398</v>
      </c>
      <c r="U101" s="215">
        <f>X101-Y101</f>
        <v>46412</v>
      </c>
      <c r="V101" s="215">
        <f>WORKDAY(U101,INDEX(V$12:V$15,MATCH($I101,$I$12:$I$15,0)))</f>
        <v>46414</v>
      </c>
      <c r="W101" s="218">
        <f>Y101/7</f>
        <v>18</v>
      </c>
      <c r="X101" s="215">
        <f>Z101</f>
        <v>46538</v>
      </c>
      <c r="Y101" s="768">
        <f>18*7</f>
        <v>126</v>
      </c>
      <c r="Z101" s="773">
        <v>46538</v>
      </c>
      <c r="AA101" s="773">
        <v>46538</v>
      </c>
      <c r="AB101" s="777">
        <f>Z101-X102</f>
        <v>0</v>
      </c>
      <c r="AC101" s="220">
        <f>IF(ISERROR(LOOKUP(AC$16,$L101:$X101,#REF!)),0,(LOOKUP(AC$16,$L101:$X101,#REF!)))</f>
        <v>0</v>
      </c>
      <c r="AD101" s="221">
        <f>IF(ISERROR(LOOKUP(AD$16,$L101:$X101,#REF!)),0,(LOOKUP(AD$16,$L101:$X101,#REF!)))</f>
        <v>0</v>
      </c>
      <c r="AE101" s="221">
        <f>IF(ISERROR(LOOKUP(AE$16,$L101:$X101,#REF!)),0,(LOOKUP(AE$16,$L101:$X101,#REF!)))</f>
        <v>0</v>
      </c>
      <c r="AF101" s="221">
        <f>IF(ISERROR(LOOKUP(AF$16,$L101:$X101,#REF!)),0,(LOOKUP(AF$16,$L101:$X101,#REF!)))</f>
        <v>0</v>
      </c>
      <c r="AG101" s="221">
        <f>IF(ISERROR(LOOKUP(AG$16,$L101:$X101,#REF!)),0,(LOOKUP(AG$16,$L101:$X101,#REF!)))</f>
        <v>0</v>
      </c>
      <c r="AH101" s="221">
        <f>IF(ISERROR(LOOKUP(AH$16,$L101:$X101,#REF!)),0,(LOOKUP(AH$16,$L101:$X101,#REF!)))</f>
        <v>0</v>
      </c>
      <c r="AI101" s="221">
        <f>IF(ISERROR(LOOKUP(AI$16,$L101:$X101,#REF!)),0,(LOOKUP(AI$16,$L101:$X101,#REF!)))</f>
        <v>0</v>
      </c>
      <c r="AJ101" s="221">
        <f>IF(ISERROR(LOOKUP(AJ$16,$L101:$X101,#REF!)),0,(LOOKUP(AJ$16,$L101:$X101,#REF!)))</f>
        <v>0</v>
      </c>
      <c r="AK101" s="221">
        <f>IF(ISERROR(LOOKUP(AK$16,$L101:$X101,#REF!)),0,(LOOKUP(AK$16,$L101:$X101,#REF!)))</f>
        <v>0</v>
      </c>
      <c r="AL101" s="221">
        <f>IF(ISERROR(LOOKUP(AL$16,$L101:$X101,#REF!)),0,(LOOKUP(AL$16,$L101:$X101,#REF!)))</f>
        <v>0</v>
      </c>
      <c r="AM101" s="221">
        <f ca="1">IF(ISERROR(LOOKUP(AM$16,$L101:$X101,#REF!)),0,(LOOKUP(AM$16,$L101:$X101,#REF!)))</f>
        <v>0</v>
      </c>
      <c r="AP101" s="215" t="e">
        <f>WORKDAY(AQ101,-INDEX(AQ$12:AQ$15,MATCH($I101,$I$12:$I$15,0)),$AW$17:$AW$148)</f>
        <v>#REF!</v>
      </c>
      <c r="AQ101" s="215" t="e">
        <f>WORKDAY(U101,-INDEX(U$12:U$15,MATCH($I101,$I$12:$I$15,0)),$AW$17:$AW$148)</f>
        <v>#REF!</v>
      </c>
      <c r="AR101" s="215" t="e">
        <f>WORKDAY(U101,-INDEX(U$12:U$15,MATCH($I101,$I$12:$I$15,0)),$AW$17:$AW$148)</f>
        <v>#REF!</v>
      </c>
      <c r="AS101" s="778">
        <v>7</v>
      </c>
      <c r="AW101" s="223" t="e">
        <v>#REF!</v>
      </c>
    </row>
    <row r="102" spans="1:49" s="166" customFormat="1" ht="18" customHeight="1">
      <c r="A102" s="736"/>
      <c r="B102" s="739"/>
      <c r="C102" s="741" t="str">
        <f>C101</f>
        <v>RFQ-029</v>
      </c>
      <c r="D102" s="741" t="str">
        <f>D101</f>
        <v>Pressure Gauge</v>
      </c>
      <c r="E102" s="224"/>
      <c r="F102" s="760" t="str">
        <f>F101</f>
        <v>Instrument</v>
      </c>
      <c r="G102" s="741" t="str">
        <f>G101</f>
        <v>N</v>
      </c>
      <c r="H102" s="747"/>
      <c r="I102" s="212" t="str">
        <f>I101</f>
        <v>LC</v>
      </c>
      <c r="J102" s="249" t="s">
        <v>65</v>
      </c>
      <c r="K102" s="215">
        <f>K101</f>
        <v>46315</v>
      </c>
      <c r="L102" s="215">
        <f>WORKDAY(IF(K103="",K102,K103),INDEX(L$12:L$15,MATCH($I101,$I$12:$I$15,0)))</f>
        <v>46318</v>
      </c>
      <c r="M102" s="215">
        <f>WORKDAY(IF(L103="",L102,L103),INDEX(M$12:M$15,MATCH($I101,$I$12:$I$15,0)))</f>
        <v>46332</v>
      </c>
      <c r="N102" s="215">
        <f>WORKDAY(IF(M103="",M102,M103),INDEX(N$12:N$15,MATCH($I101,$I$12:$I$15,0)))</f>
        <v>46335</v>
      </c>
      <c r="O102" s="215">
        <f>WORKDAY(IF(N103="",N102,N103),INDEX(O$12:O$15,MATCH($I101,$I$12:$I$15,0)))</f>
        <v>46349</v>
      </c>
      <c r="P102" s="216"/>
      <c r="Q102" s="217"/>
      <c r="R102" s="215">
        <f>WORKDAY(IF(O103="",O102,O103),INDEX(R$12:R$15,MATCH($I101,$I$12:$I$15,0)))</f>
        <v>46363</v>
      </c>
      <c r="S102" s="215">
        <f>WORKDAY(IF(R103="",R102,R103),INDEX(S$12:S$15,MATCH($I101,$I$12:$I$15,0)))</f>
        <v>46384</v>
      </c>
      <c r="T102" s="215">
        <f>WORKDAY(IF(S103="",S102,S103),INDEX(T$12:T$15,MATCH($I101,$I$12:$I$15,0)))</f>
        <v>46398</v>
      </c>
      <c r="U102" s="215">
        <f>WORKDAY(IF(T103="",T102,T103),INDEX(U$12:U$15,MATCH($I101,$I$12:$I$15,0)))</f>
        <v>46412</v>
      </c>
      <c r="V102" s="215">
        <f>WORKDAY(IF(U103="",U102,U103),INDEX(V$12:V$15,MATCH($I101,$I$12:$I$15,0)))</f>
        <v>46414</v>
      </c>
      <c r="W102" s="218"/>
      <c r="X102" s="215">
        <f>U102+Y101</f>
        <v>46538</v>
      </c>
      <c r="Y102" s="768"/>
      <c r="Z102" s="773"/>
      <c r="AA102" s="773"/>
      <c r="AB102" s="777"/>
      <c r="AC102" s="220">
        <f>IF(ISERROR(LOOKUP(AC$16,$L102:$X102,#REF!)),0,(LOOKUP(AC$16,$L102:$X102,#REF!)))</f>
        <v>0</v>
      </c>
      <c r="AD102" s="221">
        <f>IF(ISERROR(LOOKUP(AD$16,$L102:$X102,#REF!)),0,(LOOKUP(AD$16,$L102:$X102,#REF!)))</f>
        <v>0</v>
      </c>
      <c r="AE102" s="221">
        <f>IF(ISERROR(LOOKUP(AE$16,$L102:$X102,#REF!)),0,(LOOKUP(AE$16,$L102:$X102,#REF!)))</f>
        <v>0</v>
      </c>
      <c r="AF102" s="221">
        <f>IF(ISERROR(LOOKUP(AF$16,$L102:$X102,#REF!)),0,(LOOKUP(AF$16,$L102:$X102,#REF!)))</f>
        <v>0</v>
      </c>
      <c r="AG102" s="221">
        <f>IF(ISERROR(LOOKUP(AG$16,$L102:$X102,#REF!)),0,(LOOKUP(AG$16,$L102:$X102,#REF!)))</f>
        <v>0</v>
      </c>
      <c r="AH102" s="221">
        <f>IF(ISERROR(LOOKUP(AH$16,$L102:$X102,#REF!)),0,(LOOKUP(AH$16,$L102:$X102,#REF!)))</f>
        <v>0</v>
      </c>
      <c r="AI102" s="221">
        <f>IF(ISERROR(LOOKUP(AI$16,$L102:$X102,#REF!)),0,(LOOKUP(AI$16,$L102:$X102,#REF!)))</f>
        <v>0</v>
      </c>
      <c r="AJ102" s="221">
        <f>IF(ISERROR(LOOKUP(AJ$16,$L102:$X102,#REF!)),0,(LOOKUP(AJ$16,$L102:$X102,#REF!)))</f>
        <v>0</v>
      </c>
      <c r="AK102" s="221">
        <f>IF(ISERROR(LOOKUP(AK$16,$L102:$X102,#REF!)),0,(LOOKUP(AK$16,$L102:$X102,#REF!)))</f>
        <v>0</v>
      </c>
      <c r="AL102" s="221">
        <f>IF(ISERROR(LOOKUP(AL$16,$L102:$X102,#REF!)),0,(LOOKUP(AL$16,$L102:$X102,#REF!)))</f>
        <v>0</v>
      </c>
      <c r="AM102" s="221">
        <f ca="1">IF(ISERROR(LOOKUP(AM$16,$L102:$X102,#REF!)),0,(LOOKUP(AM$16,$L102:$X102,#REF!)))</f>
        <v>0</v>
      </c>
      <c r="AP102" s="215" t="e">
        <f>WORKDAY(IF(T103="",T102,T103),INDEX(AP$12:AP$15,MATCH($I101,$I$12:$I$15,0)),$AW$17:$AW$148)</f>
        <v>#REF!</v>
      </c>
      <c r="AQ102" s="215" t="e">
        <f>WORKDAY(IF(AP103="",AP102,AP103),INDEX(AQ$12:AQ$15,MATCH($I101,$I$12:$I$15,0)),$AW$17:$AW$148)</f>
        <v>#REF!</v>
      </c>
      <c r="AR102" s="215" t="e">
        <f>WORKDAY(IF(AQ103="",AQ102,AQ103),INDEX(AR$12:AR$15,MATCH($I101,$I$12:$I$15,0)),$AW$17:$AW$148)</f>
        <v>#REF!</v>
      </c>
      <c r="AS102" s="778"/>
      <c r="AW102" s="223" t="e">
        <v>#REF!</v>
      </c>
    </row>
    <row r="103" spans="1:49" s="166" customFormat="1" ht="18" customHeight="1">
      <c r="A103" s="736"/>
      <c r="B103" s="740"/>
      <c r="C103" s="741" t="str">
        <f>C101</f>
        <v>RFQ-029</v>
      </c>
      <c r="D103" s="741" t="str">
        <f>D101</f>
        <v>Pressure Gauge</v>
      </c>
      <c r="E103" s="225"/>
      <c r="F103" s="761" t="str">
        <f>F101</f>
        <v>Instrument</v>
      </c>
      <c r="G103" s="741" t="str">
        <f>G101</f>
        <v>N</v>
      </c>
      <c r="H103" s="748"/>
      <c r="I103" s="212" t="str">
        <f>I101</f>
        <v>LC</v>
      </c>
      <c r="J103" s="249" t="s">
        <v>67</v>
      </c>
      <c r="K103" s="212"/>
      <c r="L103" s="212"/>
      <c r="M103" s="212"/>
      <c r="N103" s="212"/>
      <c r="O103" s="212"/>
      <c r="P103" s="226"/>
      <c r="Q103" s="227"/>
      <c r="R103" s="212"/>
      <c r="S103" s="212"/>
      <c r="T103" s="212"/>
      <c r="U103" s="212"/>
      <c r="V103" s="212"/>
      <c r="W103" s="228"/>
      <c r="X103" s="212"/>
      <c r="Y103" s="768"/>
      <c r="Z103" s="773"/>
      <c r="AA103" s="773"/>
      <c r="AB103" s="777"/>
      <c r="AC103" s="229">
        <f>IF(ISERROR(LOOKUP(AC$16,$L103:$X103,#REF!)),0,(LOOKUP(AC$16,$L103:$X103,#REF!)))</f>
        <v>0</v>
      </c>
      <c r="AD103" s="230">
        <f>IF(ISERROR(LOOKUP(AD$16,$L103:$X103,#REF!)),0,(LOOKUP(AD$16,$L103:$X103,#REF!)))</f>
        <v>0</v>
      </c>
      <c r="AE103" s="230">
        <f>IF(ISERROR(LOOKUP(AE$16,$L103:$X103,#REF!)),0,(LOOKUP(AE$16,$L103:$X103,#REF!)))</f>
        <v>0</v>
      </c>
      <c r="AF103" s="230">
        <f>IF(ISERROR(LOOKUP(AF$16,$L103:$X103,#REF!)),0,(LOOKUP(AF$16,$L103:$X103,#REF!)))</f>
        <v>0</v>
      </c>
      <c r="AG103" s="230">
        <f>IF(ISERROR(LOOKUP(AG$16,$L103:$X103,#REF!)),0,(LOOKUP(AG$16,$L103:$X103,#REF!)))</f>
        <v>0</v>
      </c>
      <c r="AH103" s="230">
        <f>IF(ISERROR(LOOKUP(AH$16,$L103:$X103,#REF!)),0,(LOOKUP(AH$16,$L103:$X103,#REF!)))</f>
        <v>0</v>
      </c>
      <c r="AI103" s="230">
        <f>IF(ISERROR(LOOKUP(AI$16,$L103:$X103,#REF!)),0,(LOOKUP(AI$16,$L103:$X103,#REF!)))</f>
        <v>0</v>
      </c>
      <c r="AJ103" s="230">
        <f>IF(ISERROR(LOOKUP(AJ$16,$L103:$X103,#REF!)),0,(LOOKUP(AJ$16,$L103:$X103,#REF!)))</f>
        <v>0</v>
      </c>
      <c r="AK103" s="230">
        <f>IF(ISERROR(LOOKUP(AK$16,$L103:$X103,#REF!)),0,(LOOKUP(AK$16,$L103:$X103,#REF!)))</f>
        <v>0</v>
      </c>
      <c r="AL103" s="230">
        <f>IF(ISERROR(LOOKUP(AL$16,$L103:$X103,#REF!)),0,(LOOKUP(AL$16,$L103:$X103,#REF!)))</f>
        <v>0</v>
      </c>
      <c r="AM103" s="230">
        <f ca="1">IF(ISERROR(LOOKUP(AM$16,$L103:$X103,#REF!)),0,(LOOKUP(AM$16,$L103:$X103,#REF!)))</f>
        <v>0</v>
      </c>
      <c r="AP103" s="212"/>
      <c r="AQ103" s="212"/>
      <c r="AR103" s="212"/>
      <c r="AS103" s="778"/>
      <c r="AW103" s="223" t="e">
        <v>#REF!</v>
      </c>
    </row>
    <row r="104" spans="1:49" s="166" customFormat="1" ht="18" customHeight="1">
      <c r="A104" s="736">
        <f>A101+1</f>
        <v>30</v>
      </c>
      <c r="B104" s="738"/>
      <c r="C104" s="741" t="s">
        <v>5278</v>
      </c>
      <c r="D104" s="741" t="s">
        <v>169</v>
      </c>
      <c r="E104" s="213"/>
      <c r="F104" s="759" t="s">
        <v>137</v>
      </c>
      <c r="G104" s="741" t="s">
        <v>73</v>
      </c>
      <c r="H104" s="746"/>
      <c r="I104" s="212" t="s">
        <v>8</v>
      </c>
      <c r="J104" s="249" t="s">
        <v>5236</v>
      </c>
      <c r="K104" s="215">
        <f>WORKDAY(L104,-INDEX(L$12:L$15,MATCH($I104,$I$12:$I$15,0)))</f>
        <v>46315</v>
      </c>
      <c r="L104" s="215">
        <f>WORKDAY(M104,-INDEX(M$12:M$15,MATCH($I104,$I$12:$I$15,0)))</f>
        <v>46318</v>
      </c>
      <c r="M104" s="215">
        <f>WORKDAY(N104,-INDEX(N$12:N$15,MATCH($I104,$I$12:$I$15,0)))</f>
        <v>46332</v>
      </c>
      <c r="N104" s="215">
        <f>WORKDAY(O104,-INDEX(O$12:O$15,MATCH($I104,$I$12:$I$15,0)))</f>
        <v>46335</v>
      </c>
      <c r="O104" s="215">
        <f>WORKDAY(R104,-INDEX(R$12:R$15,MATCH($I104,$I$12:$I$15,0)))</f>
        <v>46349</v>
      </c>
      <c r="P104" s="216">
        <f>U104-L104</f>
        <v>94</v>
      </c>
      <c r="Q104" s="217"/>
      <c r="R104" s="215">
        <f>WORKDAY(S104,-INDEX(S$12:S$15,MATCH($I104,$I$12:$I$15,0)))</f>
        <v>46363</v>
      </c>
      <c r="S104" s="215">
        <f>WORKDAY(T104,-INDEX(T$12:T$15,MATCH($I104,$I$12:$I$15,0)))</f>
        <v>46384</v>
      </c>
      <c r="T104" s="215">
        <f>WORKDAY(U104,-INDEX(U$12:U$15,MATCH($I104,$I$12:$I$15,0)))</f>
        <v>46398</v>
      </c>
      <c r="U104" s="215">
        <f>X104-Y104</f>
        <v>46412</v>
      </c>
      <c r="V104" s="215">
        <f>WORKDAY(U104,INDEX(V$12:V$15,MATCH($I104,$I$12:$I$15,0)))</f>
        <v>46414</v>
      </c>
      <c r="W104" s="218">
        <f>Y104/7</f>
        <v>18</v>
      </c>
      <c r="X104" s="215">
        <f>Z104</f>
        <v>46538</v>
      </c>
      <c r="Y104" s="768">
        <f>18*7</f>
        <v>126</v>
      </c>
      <c r="Z104" s="773">
        <v>46538</v>
      </c>
      <c r="AA104" s="773">
        <v>46538</v>
      </c>
      <c r="AB104" s="777">
        <f>Z104-X105</f>
        <v>0</v>
      </c>
      <c r="AC104" s="220">
        <f>IF(ISERROR(LOOKUP(AC$16,$L104:$X104,#REF!)),0,(LOOKUP(AC$16,$L104:$X104,#REF!)))</f>
        <v>0</v>
      </c>
      <c r="AD104" s="221">
        <f>IF(ISERROR(LOOKUP(AD$16,$L104:$X104,#REF!)),0,(LOOKUP(AD$16,$L104:$X104,#REF!)))</f>
        <v>0</v>
      </c>
      <c r="AE104" s="221">
        <f>IF(ISERROR(LOOKUP(AE$16,$L104:$X104,#REF!)),0,(LOOKUP(AE$16,$L104:$X104,#REF!)))</f>
        <v>0</v>
      </c>
      <c r="AF104" s="221">
        <f>IF(ISERROR(LOOKUP(AF$16,$L104:$X104,#REF!)),0,(LOOKUP(AF$16,$L104:$X104,#REF!)))</f>
        <v>0</v>
      </c>
      <c r="AG104" s="221">
        <f>IF(ISERROR(LOOKUP(AG$16,$L104:$X104,#REF!)),0,(LOOKUP(AG$16,$L104:$X104,#REF!)))</f>
        <v>0</v>
      </c>
      <c r="AH104" s="221">
        <f>IF(ISERROR(LOOKUP(AH$16,$L104:$X104,#REF!)),0,(LOOKUP(AH$16,$L104:$X104,#REF!)))</f>
        <v>0</v>
      </c>
      <c r="AI104" s="221">
        <f>IF(ISERROR(LOOKUP(AI$16,$L104:$X104,#REF!)),0,(LOOKUP(AI$16,$L104:$X104,#REF!)))</f>
        <v>0</v>
      </c>
      <c r="AJ104" s="221">
        <f>IF(ISERROR(LOOKUP(AJ$16,$L104:$X104,#REF!)),0,(LOOKUP(AJ$16,$L104:$X104,#REF!)))</f>
        <v>0</v>
      </c>
      <c r="AK104" s="221">
        <f>IF(ISERROR(LOOKUP(AK$16,$L104:$X104,#REF!)),0,(LOOKUP(AK$16,$L104:$X104,#REF!)))</f>
        <v>0</v>
      </c>
      <c r="AL104" s="221">
        <f>IF(ISERROR(LOOKUP(AL$16,$L104:$X104,#REF!)),0,(LOOKUP(AL$16,$L104:$X104,#REF!)))</f>
        <v>0</v>
      </c>
      <c r="AM104" s="221">
        <f ca="1">IF(ISERROR(LOOKUP(AM$16,$L104:$X104,#REF!)),0,(LOOKUP(AM$16,$L104:$X104,#REF!)))</f>
        <v>0</v>
      </c>
      <c r="AP104" s="215" t="e">
        <f>WORKDAY(AQ104,-INDEX(AQ$12:AQ$15,MATCH($I104,$I$12:$I$15,0)),$AW$17:$AW$148)</f>
        <v>#REF!</v>
      </c>
      <c r="AQ104" s="215" t="e">
        <f>WORKDAY(U104,-INDEX(U$12:U$15,MATCH($I104,$I$12:$I$15,0)),$AW$17:$AW$148)</f>
        <v>#REF!</v>
      </c>
      <c r="AR104" s="215" t="e">
        <f>WORKDAY(U104,-INDEX(U$12:U$15,MATCH($I104,$I$12:$I$15,0)),$AW$17:$AW$148)</f>
        <v>#REF!</v>
      </c>
      <c r="AS104" s="778">
        <v>7</v>
      </c>
      <c r="AW104" s="223" t="e">
        <v>#REF!</v>
      </c>
    </row>
    <row r="105" spans="1:49" s="166" customFormat="1" ht="18" customHeight="1">
      <c r="A105" s="736"/>
      <c r="B105" s="739"/>
      <c r="C105" s="741" t="str">
        <f>C104</f>
        <v>RFQ-030</v>
      </c>
      <c r="D105" s="741" t="str">
        <f>D104</f>
        <v>Pressure Transmitter</v>
      </c>
      <c r="E105" s="224"/>
      <c r="F105" s="760" t="str">
        <f>F104</f>
        <v>Instrument</v>
      </c>
      <c r="G105" s="741" t="str">
        <f>G104</f>
        <v>N</v>
      </c>
      <c r="H105" s="747"/>
      <c r="I105" s="212" t="str">
        <f>I104</f>
        <v>LC</v>
      </c>
      <c r="J105" s="249" t="s">
        <v>65</v>
      </c>
      <c r="K105" s="215">
        <f>K104</f>
        <v>46315</v>
      </c>
      <c r="L105" s="215">
        <f>WORKDAY(IF(K106="",K105,K106),INDEX(L$12:L$15,MATCH($I104,$I$12:$I$15,0)))</f>
        <v>46318</v>
      </c>
      <c r="M105" s="215">
        <f>WORKDAY(IF(L106="",L105,L106),INDEX(M$12:M$15,MATCH($I104,$I$12:$I$15,0)))</f>
        <v>46332</v>
      </c>
      <c r="N105" s="215">
        <f>WORKDAY(IF(M106="",M105,M106),INDEX(N$12:N$15,MATCH($I104,$I$12:$I$15,0)))</f>
        <v>46335</v>
      </c>
      <c r="O105" s="215">
        <f>WORKDAY(IF(N106="",N105,N106),INDEX(O$12:O$15,MATCH($I104,$I$12:$I$15,0)))</f>
        <v>46349</v>
      </c>
      <c r="P105" s="216"/>
      <c r="Q105" s="217"/>
      <c r="R105" s="215">
        <f>WORKDAY(IF(O106="",O105,O106),INDEX(R$12:R$15,MATCH($I104,$I$12:$I$15,0)))</f>
        <v>46363</v>
      </c>
      <c r="S105" s="215">
        <f>WORKDAY(IF(R106="",R105,R106),INDEX(S$12:S$15,MATCH($I104,$I$12:$I$15,0)))</f>
        <v>46384</v>
      </c>
      <c r="T105" s="215">
        <f>WORKDAY(IF(S106="",S105,S106),INDEX(T$12:T$15,MATCH($I104,$I$12:$I$15,0)))</f>
        <v>46398</v>
      </c>
      <c r="U105" s="215">
        <f>WORKDAY(IF(T106="",T105,T106),INDEX(U$12:U$15,MATCH($I104,$I$12:$I$15,0)))</f>
        <v>46412</v>
      </c>
      <c r="V105" s="215">
        <f>WORKDAY(IF(U106="",U105,U106),INDEX(V$12:V$15,MATCH($I104,$I$12:$I$15,0)))</f>
        <v>46414</v>
      </c>
      <c r="W105" s="218"/>
      <c r="X105" s="215">
        <f>U105+Y104</f>
        <v>46538</v>
      </c>
      <c r="Y105" s="768"/>
      <c r="Z105" s="773"/>
      <c r="AA105" s="773"/>
      <c r="AB105" s="777"/>
      <c r="AC105" s="220">
        <f>IF(ISERROR(LOOKUP(AC$16,$L105:$X105,#REF!)),0,(LOOKUP(AC$16,$L105:$X105,#REF!)))</f>
        <v>0</v>
      </c>
      <c r="AD105" s="221">
        <f>IF(ISERROR(LOOKUP(AD$16,$L105:$X105,#REF!)),0,(LOOKUP(AD$16,$L105:$X105,#REF!)))</f>
        <v>0</v>
      </c>
      <c r="AE105" s="221">
        <f>IF(ISERROR(LOOKUP(AE$16,$L105:$X105,#REF!)),0,(LOOKUP(AE$16,$L105:$X105,#REF!)))</f>
        <v>0</v>
      </c>
      <c r="AF105" s="221">
        <f>IF(ISERROR(LOOKUP(AF$16,$L105:$X105,#REF!)),0,(LOOKUP(AF$16,$L105:$X105,#REF!)))</f>
        <v>0</v>
      </c>
      <c r="AG105" s="221">
        <f>IF(ISERROR(LOOKUP(AG$16,$L105:$X105,#REF!)),0,(LOOKUP(AG$16,$L105:$X105,#REF!)))</f>
        <v>0</v>
      </c>
      <c r="AH105" s="221">
        <f>IF(ISERROR(LOOKUP(AH$16,$L105:$X105,#REF!)),0,(LOOKUP(AH$16,$L105:$X105,#REF!)))</f>
        <v>0</v>
      </c>
      <c r="AI105" s="221">
        <f>IF(ISERROR(LOOKUP(AI$16,$L105:$X105,#REF!)),0,(LOOKUP(AI$16,$L105:$X105,#REF!)))</f>
        <v>0</v>
      </c>
      <c r="AJ105" s="221">
        <f>IF(ISERROR(LOOKUP(AJ$16,$L105:$X105,#REF!)),0,(LOOKUP(AJ$16,$L105:$X105,#REF!)))</f>
        <v>0</v>
      </c>
      <c r="AK105" s="221">
        <f>IF(ISERROR(LOOKUP(AK$16,$L105:$X105,#REF!)),0,(LOOKUP(AK$16,$L105:$X105,#REF!)))</f>
        <v>0</v>
      </c>
      <c r="AL105" s="221">
        <f>IF(ISERROR(LOOKUP(AL$16,$L105:$X105,#REF!)),0,(LOOKUP(AL$16,$L105:$X105,#REF!)))</f>
        <v>0</v>
      </c>
      <c r="AM105" s="221">
        <f ca="1">IF(ISERROR(LOOKUP(AM$16,$L105:$X105,#REF!)),0,(LOOKUP(AM$16,$L105:$X105,#REF!)))</f>
        <v>0</v>
      </c>
      <c r="AP105" s="215" t="e">
        <f>WORKDAY(IF(T106="",T105,T106),INDEX(AP$12:AP$15,MATCH($I104,$I$12:$I$15,0)),$AW$17:$AW$148)</f>
        <v>#REF!</v>
      </c>
      <c r="AQ105" s="215" t="e">
        <f>WORKDAY(IF(AP106="",AP105,AP106),INDEX(AQ$12:AQ$15,MATCH($I104,$I$12:$I$15,0)),$AW$17:$AW$148)</f>
        <v>#REF!</v>
      </c>
      <c r="AR105" s="215" t="e">
        <f>WORKDAY(IF(AQ106="",AQ105,AQ106),INDEX(AR$12:AR$15,MATCH($I104,$I$12:$I$15,0)),$AW$17:$AW$148)</f>
        <v>#REF!</v>
      </c>
      <c r="AS105" s="778"/>
      <c r="AW105" s="223" t="e">
        <v>#REF!</v>
      </c>
    </row>
    <row r="106" spans="1:49" s="166" customFormat="1" ht="18" customHeight="1">
      <c r="A106" s="736"/>
      <c r="B106" s="740"/>
      <c r="C106" s="741" t="str">
        <f>C104</f>
        <v>RFQ-030</v>
      </c>
      <c r="D106" s="741" t="str">
        <f>D104</f>
        <v>Pressure Transmitter</v>
      </c>
      <c r="E106" s="225"/>
      <c r="F106" s="761" t="str">
        <f>F104</f>
        <v>Instrument</v>
      </c>
      <c r="G106" s="741" t="str">
        <f>G104</f>
        <v>N</v>
      </c>
      <c r="H106" s="748"/>
      <c r="I106" s="212" t="str">
        <f>I104</f>
        <v>LC</v>
      </c>
      <c r="J106" s="249" t="s">
        <v>67</v>
      </c>
      <c r="K106" s="212"/>
      <c r="L106" s="212"/>
      <c r="M106" s="212"/>
      <c r="N106" s="212"/>
      <c r="O106" s="212"/>
      <c r="P106" s="226"/>
      <c r="Q106" s="227"/>
      <c r="R106" s="212"/>
      <c r="S106" s="212"/>
      <c r="T106" s="212"/>
      <c r="U106" s="212"/>
      <c r="V106" s="212"/>
      <c r="W106" s="228"/>
      <c r="X106" s="212"/>
      <c r="Y106" s="768"/>
      <c r="Z106" s="773"/>
      <c r="AA106" s="773"/>
      <c r="AB106" s="777"/>
      <c r="AC106" s="229">
        <f>IF(ISERROR(LOOKUP(AC$16,$L106:$X106,#REF!)),0,(LOOKUP(AC$16,$L106:$X106,#REF!)))</f>
        <v>0</v>
      </c>
      <c r="AD106" s="230">
        <f>IF(ISERROR(LOOKUP(AD$16,$L106:$X106,#REF!)),0,(LOOKUP(AD$16,$L106:$X106,#REF!)))</f>
        <v>0</v>
      </c>
      <c r="AE106" s="230">
        <f>IF(ISERROR(LOOKUP(AE$16,$L106:$X106,#REF!)),0,(LOOKUP(AE$16,$L106:$X106,#REF!)))</f>
        <v>0</v>
      </c>
      <c r="AF106" s="230">
        <f>IF(ISERROR(LOOKUP(AF$16,$L106:$X106,#REF!)),0,(LOOKUP(AF$16,$L106:$X106,#REF!)))</f>
        <v>0</v>
      </c>
      <c r="AG106" s="230">
        <f>IF(ISERROR(LOOKUP(AG$16,$L106:$X106,#REF!)),0,(LOOKUP(AG$16,$L106:$X106,#REF!)))</f>
        <v>0</v>
      </c>
      <c r="AH106" s="230">
        <f>IF(ISERROR(LOOKUP(AH$16,$L106:$X106,#REF!)),0,(LOOKUP(AH$16,$L106:$X106,#REF!)))</f>
        <v>0</v>
      </c>
      <c r="AI106" s="230">
        <f>IF(ISERROR(LOOKUP(AI$16,$L106:$X106,#REF!)),0,(LOOKUP(AI$16,$L106:$X106,#REF!)))</f>
        <v>0</v>
      </c>
      <c r="AJ106" s="230">
        <f>IF(ISERROR(LOOKUP(AJ$16,$L106:$X106,#REF!)),0,(LOOKUP(AJ$16,$L106:$X106,#REF!)))</f>
        <v>0</v>
      </c>
      <c r="AK106" s="230">
        <f>IF(ISERROR(LOOKUP(AK$16,$L106:$X106,#REF!)),0,(LOOKUP(AK$16,$L106:$X106,#REF!)))</f>
        <v>0</v>
      </c>
      <c r="AL106" s="230">
        <f>IF(ISERROR(LOOKUP(AL$16,$L106:$X106,#REF!)),0,(LOOKUP(AL$16,$L106:$X106,#REF!)))</f>
        <v>0</v>
      </c>
      <c r="AM106" s="230">
        <f ca="1">IF(ISERROR(LOOKUP(AM$16,$L106:$X106,#REF!)),0,(LOOKUP(AM$16,$L106:$X106,#REF!)))</f>
        <v>0</v>
      </c>
      <c r="AP106" s="212"/>
      <c r="AQ106" s="212"/>
      <c r="AR106" s="212"/>
      <c r="AS106" s="778"/>
      <c r="AW106" s="223" t="e">
        <v>#REF!</v>
      </c>
    </row>
    <row r="107" spans="1:49" s="166" customFormat="1" ht="18" customHeight="1">
      <c r="A107" s="736">
        <f>A104+1</f>
        <v>31</v>
      </c>
      <c r="B107" s="738"/>
      <c r="C107" s="741" t="s">
        <v>5279</v>
      </c>
      <c r="D107" s="741" t="s">
        <v>171</v>
      </c>
      <c r="E107" s="213"/>
      <c r="F107" s="759" t="s">
        <v>137</v>
      </c>
      <c r="G107" s="741" t="s">
        <v>73</v>
      </c>
      <c r="H107" s="746"/>
      <c r="I107" s="212" t="s">
        <v>8</v>
      </c>
      <c r="J107" s="249" t="s">
        <v>5236</v>
      </c>
      <c r="K107" s="215">
        <f>WORKDAY(L107,-INDEX(L$12:L$15,MATCH($I107,$I$12:$I$15,0)))</f>
        <v>46315</v>
      </c>
      <c r="L107" s="215">
        <f>WORKDAY(M107,-INDEX(M$12:M$15,MATCH($I107,$I$12:$I$15,0)))</f>
        <v>46318</v>
      </c>
      <c r="M107" s="215">
        <f>WORKDAY(N107,-INDEX(N$12:N$15,MATCH($I107,$I$12:$I$15,0)))</f>
        <v>46332</v>
      </c>
      <c r="N107" s="215">
        <f>WORKDAY(O107,-INDEX(O$12:O$15,MATCH($I107,$I$12:$I$15,0)))</f>
        <v>46335</v>
      </c>
      <c r="O107" s="215">
        <f>WORKDAY(R107,-INDEX(R$12:R$15,MATCH($I107,$I$12:$I$15,0)))</f>
        <v>46349</v>
      </c>
      <c r="P107" s="216">
        <f>U107-L107</f>
        <v>94</v>
      </c>
      <c r="Q107" s="217"/>
      <c r="R107" s="215">
        <f>WORKDAY(S107,-INDEX(S$12:S$15,MATCH($I107,$I$12:$I$15,0)))</f>
        <v>46363</v>
      </c>
      <c r="S107" s="215">
        <f>WORKDAY(T107,-INDEX(T$12:T$15,MATCH($I107,$I$12:$I$15,0)))</f>
        <v>46384</v>
      </c>
      <c r="T107" s="215">
        <f>WORKDAY(U107,-INDEX(U$12:U$15,MATCH($I107,$I$12:$I$15,0)))</f>
        <v>46398</v>
      </c>
      <c r="U107" s="215">
        <f>X107-Y107</f>
        <v>46412</v>
      </c>
      <c r="V107" s="215">
        <f>WORKDAY(U107,INDEX(V$12:V$15,MATCH($I107,$I$12:$I$15,0)))</f>
        <v>46414</v>
      </c>
      <c r="W107" s="218">
        <f>Y107/7</f>
        <v>18</v>
      </c>
      <c r="X107" s="215">
        <f>Z107</f>
        <v>46538</v>
      </c>
      <c r="Y107" s="768">
        <f>18*7</f>
        <v>126</v>
      </c>
      <c r="Z107" s="773">
        <v>46538</v>
      </c>
      <c r="AA107" s="773">
        <v>46538</v>
      </c>
      <c r="AB107" s="777">
        <f>Z107-X108</f>
        <v>0</v>
      </c>
      <c r="AC107" s="220">
        <f>IF(ISERROR(LOOKUP(AC$16,$L107:$X107,#REF!)),0,(LOOKUP(AC$16,$L107:$X107,#REF!)))</f>
        <v>0</v>
      </c>
      <c r="AD107" s="221">
        <f>IF(ISERROR(LOOKUP(AD$16,$L107:$X107,#REF!)),0,(LOOKUP(AD$16,$L107:$X107,#REF!)))</f>
        <v>0</v>
      </c>
      <c r="AE107" s="221">
        <f>IF(ISERROR(LOOKUP(AE$16,$L107:$X107,#REF!)),0,(LOOKUP(AE$16,$L107:$X107,#REF!)))</f>
        <v>0</v>
      </c>
      <c r="AF107" s="221">
        <f>IF(ISERROR(LOOKUP(AF$16,$L107:$X107,#REF!)),0,(LOOKUP(AF$16,$L107:$X107,#REF!)))</f>
        <v>0</v>
      </c>
      <c r="AG107" s="221">
        <f>IF(ISERROR(LOOKUP(AG$16,$L107:$X107,#REF!)),0,(LOOKUP(AG$16,$L107:$X107,#REF!)))</f>
        <v>0</v>
      </c>
      <c r="AH107" s="221">
        <f>IF(ISERROR(LOOKUP(AH$16,$L107:$X107,#REF!)),0,(LOOKUP(AH$16,$L107:$X107,#REF!)))</f>
        <v>0</v>
      </c>
      <c r="AI107" s="221">
        <f>IF(ISERROR(LOOKUP(AI$16,$L107:$X107,#REF!)),0,(LOOKUP(AI$16,$L107:$X107,#REF!)))</f>
        <v>0</v>
      </c>
      <c r="AJ107" s="221">
        <f>IF(ISERROR(LOOKUP(AJ$16,$L107:$X107,#REF!)),0,(LOOKUP(AJ$16,$L107:$X107,#REF!)))</f>
        <v>0</v>
      </c>
      <c r="AK107" s="221">
        <f>IF(ISERROR(LOOKUP(AK$16,$L107:$X107,#REF!)),0,(LOOKUP(AK$16,$L107:$X107,#REF!)))</f>
        <v>0</v>
      </c>
      <c r="AL107" s="221">
        <f>IF(ISERROR(LOOKUP(AL$16,$L107:$X107,#REF!)),0,(LOOKUP(AL$16,$L107:$X107,#REF!)))</f>
        <v>0</v>
      </c>
      <c r="AM107" s="221">
        <f ca="1">IF(ISERROR(LOOKUP(AM$16,$L107:$X107,#REF!)),0,(LOOKUP(AM$16,$L107:$X107,#REF!)))</f>
        <v>0</v>
      </c>
      <c r="AP107" s="215" t="e">
        <f>WORKDAY(AQ107,-INDEX(AQ$12:AQ$15,MATCH($I107,$I$12:$I$15,0)),$AW$17:$AW$148)</f>
        <v>#REF!</v>
      </c>
      <c r="AQ107" s="215" t="e">
        <f>WORKDAY(U107,-INDEX(U$12:U$15,MATCH($I107,$I$12:$I$15,0)),$AW$17:$AW$148)</f>
        <v>#REF!</v>
      </c>
      <c r="AR107" s="215" t="e">
        <f>WORKDAY(U107,-INDEX(U$12:U$15,MATCH($I107,$I$12:$I$15,0)),$AW$17:$AW$148)</f>
        <v>#REF!</v>
      </c>
      <c r="AS107" s="778">
        <v>7</v>
      </c>
      <c r="AW107" s="223" t="e">
        <v>#REF!</v>
      </c>
    </row>
    <row r="108" spans="1:49" s="166" customFormat="1" ht="18" customHeight="1">
      <c r="A108" s="736"/>
      <c r="B108" s="739"/>
      <c r="C108" s="741" t="str">
        <f>C107</f>
        <v>RFQ-031</v>
      </c>
      <c r="D108" s="741" t="str">
        <f>D107</f>
        <v>Temperature Gauge</v>
      </c>
      <c r="E108" s="224"/>
      <c r="F108" s="760" t="str">
        <f>F107</f>
        <v>Instrument</v>
      </c>
      <c r="G108" s="741" t="str">
        <f>G107</f>
        <v>N</v>
      </c>
      <c r="H108" s="747"/>
      <c r="I108" s="212" t="str">
        <f>I107</f>
        <v>LC</v>
      </c>
      <c r="J108" s="249" t="s">
        <v>65</v>
      </c>
      <c r="K108" s="215">
        <f>K107</f>
        <v>46315</v>
      </c>
      <c r="L108" s="215">
        <f>WORKDAY(IF(K109="",K108,K109),INDEX(L$12:L$15,MATCH($I107,$I$12:$I$15,0)))</f>
        <v>46318</v>
      </c>
      <c r="M108" s="215">
        <f>WORKDAY(IF(L109="",L108,L109),INDEX(M$12:M$15,MATCH($I107,$I$12:$I$15,0)))</f>
        <v>46332</v>
      </c>
      <c r="N108" s="215">
        <f>WORKDAY(IF(M109="",M108,M109),INDEX(N$12:N$15,MATCH($I107,$I$12:$I$15,0)))</f>
        <v>46335</v>
      </c>
      <c r="O108" s="215">
        <f>WORKDAY(IF(N109="",N108,N109),INDEX(O$12:O$15,MATCH($I107,$I$12:$I$15,0)))</f>
        <v>46349</v>
      </c>
      <c r="P108" s="216"/>
      <c r="Q108" s="217"/>
      <c r="R108" s="215">
        <f>WORKDAY(IF(O109="",O108,O109),INDEX(R$12:R$15,MATCH($I107,$I$12:$I$15,0)))</f>
        <v>46363</v>
      </c>
      <c r="S108" s="215">
        <f>WORKDAY(IF(R109="",R108,R109),INDEX(S$12:S$15,MATCH($I107,$I$12:$I$15,0)))</f>
        <v>46384</v>
      </c>
      <c r="T108" s="215">
        <f>WORKDAY(IF(S109="",S108,S109),INDEX(T$12:T$15,MATCH($I107,$I$12:$I$15,0)))</f>
        <v>46398</v>
      </c>
      <c r="U108" s="215">
        <f>WORKDAY(IF(T109="",T108,T109),INDEX(U$12:U$15,MATCH($I107,$I$12:$I$15,0)))</f>
        <v>46412</v>
      </c>
      <c r="V108" s="215">
        <f>WORKDAY(IF(U109="",U108,U109),INDEX(V$12:V$15,MATCH($I107,$I$12:$I$15,0)))</f>
        <v>46414</v>
      </c>
      <c r="W108" s="218"/>
      <c r="X108" s="215">
        <f>U108+Y107</f>
        <v>46538</v>
      </c>
      <c r="Y108" s="768"/>
      <c r="Z108" s="773"/>
      <c r="AA108" s="773"/>
      <c r="AB108" s="777"/>
      <c r="AC108" s="220">
        <f>IF(ISERROR(LOOKUP(AC$16,$L108:$X108,#REF!)),0,(LOOKUP(AC$16,$L108:$X108,#REF!)))</f>
        <v>0</v>
      </c>
      <c r="AD108" s="221">
        <f>IF(ISERROR(LOOKUP(AD$16,$L108:$X108,#REF!)),0,(LOOKUP(AD$16,$L108:$X108,#REF!)))</f>
        <v>0</v>
      </c>
      <c r="AE108" s="221">
        <f>IF(ISERROR(LOOKUP(AE$16,$L108:$X108,#REF!)),0,(LOOKUP(AE$16,$L108:$X108,#REF!)))</f>
        <v>0</v>
      </c>
      <c r="AF108" s="221">
        <f>IF(ISERROR(LOOKUP(AF$16,$L108:$X108,#REF!)),0,(LOOKUP(AF$16,$L108:$X108,#REF!)))</f>
        <v>0</v>
      </c>
      <c r="AG108" s="221">
        <f>IF(ISERROR(LOOKUP(AG$16,$L108:$X108,#REF!)),0,(LOOKUP(AG$16,$L108:$X108,#REF!)))</f>
        <v>0</v>
      </c>
      <c r="AH108" s="221">
        <f>IF(ISERROR(LOOKUP(AH$16,$L108:$X108,#REF!)),0,(LOOKUP(AH$16,$L108:$X108,#REF!)))</f>
        <v>0</v>
      </c>
      <c r="AI108" s="221">
        <f>IF(ISERROR(LOOKUP(AI$16,$L108:$X108,#REF!)),0,(LOOKUP(AI$16,$L108:$X108,#REF!)))</f>
        <v>0</v>
      </c>
      <c r="AJ108" s="221">
        <f>IF(ISERROR(LOOKUP(AJ$16,$L108:$X108,#REF!)),0,(LOOKUP(AJ$16,$L108:$X108,#REF!)))</f>
        <v>0</v>
      </c>
      <c r="AK108" s="221">
        <f>IF(ISERROR(LOOKUP(AK$16,$L108:$X108,#REF!)),0,(LOOKUP(AK$16,$L108:$X108,#REF!)))</f>
        <v>0</v>
      </c>
      <c r="AL108" s="221">
        <f>IF(ISERROR(LOOKUP(AL$16,$L108:$X108,#REF!)),0,(LOOKUP(AL$16,$L108:$X108,#REF!)))</f>
        <v>0</v>
      </c>
      <c r="AM108" s="221">
        <f ca="1">IF(ISERROR(LOOKUP(AM$16,$L108:$X108,#REF!)),0,(LOOKUP(AM$16,$L108:$X108,#REF!)))</f>
        <v>0</v>
      </c>
      <c r="AP108" s="215" t="e">
        <f>WORKDAY(IF(T109="",T108,T109),INDEX(AP$12:AP$15,MATCH($I107,$I$12:$I$15,0)),$AW$17:$AW$148)</f>
        <v>#REF!</v>
      </c>
      <c r="AQ108" s="215" t="e">
        <f>WORKDAY(IF(AP109="",AP108,AP109),INDEX(AQ$12:AQ$15,MATCH($I107,$I$12:$I$15,0)),$AW$17:$AW$148)</f>
        <v>#REF!</v>
      </c>
      <c r="AR108" s="215" t="e">
        <f>WORKDAY(IF(AQ109="",AQ108,AQ109),INDEX(AR$12:AR$15,MATCH($I107,$I$12:$I$15,0)),$AW$17:$AW$148)</f>
        <v>#REF!</v>
      </c>
      <c r="AS108" s="778"/>
      <c r="AW108" s="223" t="e">
        <v>#REF!</v>
      </c>
    </row>
    <row r="109" spans="1:49" s="166" customFormat="1" ht="18" customHeight="1">
      <c r="A109" s="736"/>
      <c r="B109" s="740"/>
      <c r="C109" s="741" t="str">
        <f>C107</f>
        <v>RFQ-031</v>
      </c>
      <c r="D109" s="741" t="str">
        <f>D107</f>
        <v>Temperature Gauge</v>
      </c>
      <c r="E109" s="225"/>
      <c r="F109" s="761" t="str">
        <f>F107</f>
        <v>Instrument</v>
      </c>
      <c r="G109" s="741" t="str">
        <f>G107</f>
        <v>N</v>
      </c>
      <c r="H109" s="748"/>
      <c r="I109" s="212" t="str">
        <f>I107</f>
        <v>LC</v>
      </c>
      <c r="J109" s="249" t="s">
        <v>67</v>
      </c>
      <c r="K109" s="212"/>
      <c r="L109" s="212"/>
      <c r="M109" s="212"/>
      <c r="N109" s="212"/>
      <c r="O109" s="212"/>
      <c r="P109" s="226"/>
      <c r="Q109" s="227"/>
      <c r="R109" s="212"/>
      <c r="S109" s="212"/>
      <c r="T109" s="212"/>
      <c r="U109" s="212"/>
      <c r="V109" s="212"/>
      <c r="W109" s="228"/>
      <c r="X109" s="212"/>
      <c r="Y109" s="768"/>
      <c r="Z109" s="773"/>
      <c r="AA109" s="773"/>
      <c r="AB109" s="777"/>
      <c r="AC109" s="229">
        <f>IF(ISERROR(LOOKUP(AC$16,$L109:$X109,#REF!)),0,(LOOKUP(AC$16,$L109:$X109,#REF!)))</f>
        <v>0</v>
      </c>
      <c r="AD109" s="230">
        <f>IF(ISERROR(LOOKUP(AD$16,$L109:$X109,#REF!)),0,(LOOKUP(AD$16,$L109:$X109,#REF!)))</f>
        <v>0</v>
      </c>
      <c r="AE109" s="230">
        <f>IF(ISERROR(LOOKUP(AE$16,$L109:$X109,#REF!)),0,(LOOKUP(AE$16,$L109:$X109,#REF!)))</f>
        <v>0</v>
      </c>
      <c r="AF109" s="230">
        <f>IF(ISERROR(LOOKUP(AF$16,$L109:$X109,#REF!)),0,(LOOKUP(AF$16,$L109:$X109,#REF!)))</f>
        <v>0</v>
      </c>
      <c r="AG109" s="230">
        <f>IF(ISERROR(LOOKUP(AG$16,$L109:$X109,#REF!)),0,(LOOKUP(AG$16,$L109:$X109,#REF!)))</f>
        <v>0</v>
      </c>
      <c r="AH109" s="230">
        <f>IF(ISERROR(LOOKUP(AH$16,$L109:$X109,#REF!)),0,(LOOKUP(AH$16,$L109:$X109,#REF!)))</f>
        <v>0</v>
      </c>
      <c r="AI109" s="230">
        <f>IF(ISERROR(LOOKUP(AI$16,$L109:$X109,#REF!)),0,(LOOKUP(AI$16,$L109:$X109,#REF!)))</f>
        <v>0</v>
      </c>
      <c r="AJ109" s="230">
        <f>IF(ISERROR(LOOKUP(AJ$16,$L109:$X109,#REF!)),0,(LOOKUP(AJ$16,$L109:$X109,#REF!)))</f>
        <v>0</v>
      </c>
      <c r="AK109" s="230">
        <f>IF(ISERROR(LOOKUP(AK$16,$L109:$X109,#REF!)),0,(LOOKUP(AK$16,$L109:$X109,#REF!)))</f>
        <v>0</v>
      </c>
      <c r="AL109" s="230">
        <f>IF(ISERROR(LOOKUP(AL$16,$L109:$X109,#REF!)),0,(LOOKUP(AL$16,$L109:$X109,#REF!)))</f>
        <v>0</v>
      </c>
      <c r="AM109" s="230">
        <f ca="1">IF(ISERROR(LOOKUP(AM$16,$L109:$X109,#REF!)),0,(LOOKUP(AM$16,$L109:$X109,#REF!)))</f>
        <v>0</v>
      </c>
      <c r="AP109" s="212"/>
      <c r="AQ109" s="212"/>
      <c r="AR109" s="212"/>
      <c r="AS109" s="778"/>
      <c r="AW109" s="223" t="e">
        <v>#REF!</v>
      </c>
    </row>
    <row r="110" spans="1:49" s="166" customFormat="1" ht="18" customHeight="1">
      <c r="A110" s="736">
        <f>A107+1</f>
        <v>32</v>
      </c>
      <c r="B110" s="738"/>
      <c r="C110" s="741" t="s">
        <v>5280</v>
      </c>
      <c r="D110" s="741" t="s">
        <v>173</v>
      </c>
      <c r="E110" s="213"/>
      <c r="F110" s="759" t="s">
        <v>137</v>
      </c>
      <c r="G110" s="741" t="s">
        <v>73</v>
      </c>
      <c r="H110" s="746"/>
      <c r="I110" s="212" t="s">
        <v>8</v>
      </c>
      <c r="J110" s="249" t="s">
        <v>5236</v>
      </c>
      <c r="K110" s="215">
        <f>WORKDAY(L110,-INDEX(L$12:L$15,MATCH($I110,$I$12:$I$15,0)))</f>
        <v>46315</v>
      </c>
      <c r="L110" s="215">
        <f>WORKDAY(M110,-INDEX(M$12:M$15,MATCH($I110,$I$12:$I$15,0)))</f>
        <v>46318</v>
      </c>
      <c r="M110" s="215">
        <f>WORKDAY(N110,-INDEX(N$12:N$15,MATCH($I110,$I$12:$I$15,0)))</f>
        <v>46332</v>
      </c>
      <c r="N110" s="215">
        <f>WORKDAY(O110,-INDEX(O$12:O$15,MATCH($I110,$I$12:$I$15,0)))</f>
        <v>46335</v>
      </c>
      <c r="O110" s="215">
        <f>WORKDAY(R110,-INDEX(R$12:R$15,MATCH($I110,$I$12:$I$15,0)))</f>
        <v>46349</v>
      </c>
      <c r="P110" s="216">
        <f>U110-L110</f>
        <v>94</v>
      </c>
      <c r="Q110" s="217"/>
      <c r="R110" s="215">
        <f>WORKDAY(S110,-INDEX(S$12:S$15,MATCH($I110,$I$12:$I$15,0)))</f>
        <v>46363</v>
      </c>
      <c r="S110" s="215">
        <f>WORKDAY(T110,-INDEX(T$12:T$15,MATCH($I110,$I$12:$I$15,0)))</f>
        <v>46384</v>
      </c>
      <c r="T110" s="215">
        <f>WORKDAY(U110,-INDEX(U$12:U$15,MATCH($I110,$I$12:$I$15,0)))</f>
        <v>46398</v>
      </c>
      <c r="U110" s="215">
        <f>X110-Y110</f>
        <v>46412</v>
      </c>
      <c r="V110" s="215">
        <f>WORKDAY(U110,INDEX(V$12:V$15,MATCH($I110,$I$12:$I$15,0)))</f>
        <v>46414</v>
      </c>
      <c r="W110" s="218">
        <f>Y110/7</f>
        <v>18</v>
      </c>
      <c r="X110" s="215">
        <f>Z110</f>
        <v>46538</v>
      </c>
      <c r="Y110" s="768">
        <f>18*7</f>
        <v>126</v>
      </c>
      <c r="Z110" s="773">
        <v>46538</v>
      </c>
      <c r="AA110" s="773">
        <v>46538</v>
      </c>
      <c r="AB110" s="777">
        <f>Z110-X111</f>
        <v>0</v>
      </c>
      <c r="AC110" s="220">
        <f>IF(ISERROR(LOOKUP(AC$16,$L110:$X110,#REF!)),0,(LOOKUP(AC$16,$L110:$X110,#REF!)))</f>
        <v>0</v>
      </c>
      <c r="AD110" s="221">
        <f>IF(ISERROR(LOOKUP(AD$16,$L110:$X110,#REF!)),0,(LOOKUP(AD$16,$L110:$X110,#REF!)))</f>
        <v>0</v>
      </c>
      <c r="AE110" s="221">
        <f>IF(ISERROR(LOOKUP(AE$16,$L110:$X110,#REF!)),0,(LOOKUP(AE$16,$L110:$X110,#REF!)))</f>
        <v>0</v>
      </c>
      <c r="AF110" s="221">
        <f>IF(ISERROR(LOOKUP(AF$16,$L110:$X110,#REF!)),0,(LOOKUP(AF$16,$L110:$X110,#REF!)))</f>
        <v>0</v>
      </c>
      <c r="AG110" s="221">
        <f>IF(ISERROR(LOOKUP(AG$16,$L110:$X110,#REF!)),0,(LOOKUP(AG$16,$L110:$X110,#REF!)))</f>
        <v>0</v>
      </c>
      <c r="AH110" s="221">
        <f>IF(ISERROR(LOOKUP(AH$16,$L110:$X110,#REF!)),0,(LOOKUP(AH$16,$L110:$X110,#REF!)))</f>
        <v>0</v>
      </c>
      <c r="AI110" s="221">
        <f>IF(ISERROR(LOOKUP(AI$16,$L110:$X110,#REF!)),0,(LOOKUP(AI$16,$L110:$X110,#REF!)))</f>
        <v>0</v>
      </c>
      <c r="AJ110" s="221">
        <f>IF(ISERROR(LOOKUP(AJ$16,$L110:$X110,#REF!)),0,(LOOKUP(AJ$16,$L110:$X110,#REF!)))</f>
        <v>0</v>
      </c>
      <c r="AK110" s="221">
        <f>IF(ISERROR(LOOKUP(AK$16,$L110:$X110,#REF!)),0,(LOOKUP(AK$16,$L110:$X110,#REF!)))</f>
        <v>0</v>
      </c>
      <c r="AL110" s="221">
        <f>IF(ISERROR(LOOKUP(AL$16,$L110:$X110,#REF!)),0,(LOOKUP(AL$16,$L110:$X110,#REF!)))</f>
        <v>0</v>
      </c>
      <c r="AM110" s="221">
        <f ca="1">IF(ISERROR(LOOKUP(AM$16,$L110:$X110,#REF!)),0,(LOOKUP(AM$16,$L110:$X110,#REF!)))</f>
        <v>0</v>
      </c>
      <c r="AP110" s="215" t="e">
        <f>WORKDAY(AQ110,-INDEX(AQ$12:AQ$15,MATCH($I110,$I$12:$I$15,0)),$AW$17:$AW$148)</f>
        <v>#REF!</v>
      </c>
      <c r="AQ110" s="215" t="e">
        <f>WORKDAY(U110,-INDEX(U$12:U$15,MATCH($I110,$I$12:$I$15,0)),$AW$17:$AW$148)</f>
        <v>#REF!</v>
      </c>
      <c r="AR110" s="215" t="e">
        <f>WORKDAY(U110,-INDEX(U$12:U$15,MATCH($I110,$I$12:$I$15,0)),$AW$17:$AW$148)</f>
        <v>#REF!</v>
      </c>
      <c r="AS110" s="778">
        <v>7</v>
      </c>
      <c r="AW110" s="223" t="e">
        <v>#REF!</v>
      </c>
    </row>
    <row r="111" spans="1:49" s="166" customFormat="1" ht="18" customHeight="1">
      <c r="A111" s="736"/>
      <c r="B111" s="739"/>
      <c r="C111" s="741" t="str">
        <f>C110</f>
        <v>RFQ-032</v>
      </c>
      <c r="D111" s="741" t="str">
        <f>D110</f>
        <v>Temperature Transmitter</v>
      </c>
      <c r="E111" s="224"/>
      <c r="F111" s="760" t="str">
        <f>F110</f>
        <v>Instrument</v>
      </c>
      <c r="G111" s="741" t="str">
        <f>G110</f>
        <v>N</v>
      </c>
      <c r="H111" s="747"/>
      <c r="I111" s="212" t="str">
        <f>I110</f>
        <v>LC</v>
      </c>
      <c r="J111" s="249" t="s">
        <v>65</v>
      </c>
      <c r="K111" s="215">
        <f>K110</f>
        <v>46315</v>
      </c>
      <c r="L111" s="215">
        <f>WORKDAY(IF(K112="",K111,K112),INDEX(L$12:L$15,MATCH($I110,$I$12:$I$15,0)))</f>
        <v>46318</v>
      </c>
      <c r="M111" s="215">
        <f>WORKDAY(IF(L112="",L111,L112),INDEX(M$12:M$15,MATCH($I110,$I$12:$I$15,0)))</f>
        <v>46332</v>
      </c>
      <c r="N111" s="215">
        <f>WORKDAY(IF(M112="",M111,M112),INDEX(N$12:N$15,MATCH($I110,$I$12:$I$15,0)))</f>
        <v>46335</v>
      </c>
      <c r="O111" s="215">
        <f>WORKDAY(IF(N112="",N111,N112),INDEX(O$12:O$15,MATCH($I110,$I$12:$I$15,0)))</f>
        <v>46349</v>
      </c>
      <c r="P111" s="216"/>
      <c r="Q111" s="217"/>
      <c r="R111" s="215">
        <f>WORKDAY(IF(O112="",O111,O112),INDEX(R$12:R$15,MATCH($I110,$I$12:$I$15,0)))</f>
        <v>46363</v>
      </c>
      <c r="S111" s="215">
        <f>WORKDAY(IF(R112="",R111,R112),INDEX(S$12:S$15,MATCH($I110,$I$12:$I$15,0)))</f>
        <v>46384</v>
      </c>
      <c r="T111" s="215">
        <f>WORKDAY(IF(S112="",S111,S112),INDEX(T$12:T$15,MATCH($I110,$I$12:$I$15,0)))</f>
        <v>46398</v>
      </c>
      <c r="U111" s="215">
        <f>WORKDAY(IF(T112="",T111,T112),INDEX(U$12:U$15,MATCH($I110,$I$12:$I$15,0)))</f>
        <v>46412</v>
      </c>
      <c r="V111" s="215">
        <f>WORKDAY(IF(U112="",U111,U112),INDEX(V$12:V$15,MATCH($I110,$I$12:$I$15,0)))</f>
        <v>46414</v>
      </c>
      <c r="W111" s="218"/>
      <c r="X111" s="215">
        <f>U111+Y110</f>
        <v>46538</v>
      </c>
      <c r="Y111" s="768"/>
      <c r="Z111" s="773"/>
      <c r="AA111" s="773"/>
      <c r="AB111" s="777"/>
      <c r="AC111" s="220">
        <f>IF(ISERROR(LOOKUP(AC$16,$L111:$X111,#REF!)),0,(LOOKUP(AC$16,$L111:$X111,#REF!)))</f>
        <v>0</v>
      </c>
      <c r="AD111" s="221">
        <f>IF(ISERROR(LOOKUP(AD$16,$L111:$X111,#REF!)),0,(LOOKUP(AD$16,$L111:$X111,#REF!)))</f>
        <v>0</v>
      </c>
      <c r="AE111" s="221">
        <f>IF(ISERROR(LOOKUP(AE$16,$L111:$X111,#REF!)),0,(LOOKUP(AE$16,$L111:$X111,#REF!)))</f>
        <v>0</v>
      </c>
      <c r="AF111" s="221">
        <f>IF(ISERROR(LOOKUP(AF$16,$L111:$X111,#REF!)),0,(LOOKUP(AF$16,$L111:$X111,#REF!)))</f>
        <v>0</v>
      </c>
      <c r="AG111" s="221">
        <f>IF(ISERROR(LOOKUP(AG$16,$L111:$X111,#REF!)),0,(LOOKUP(AG$16,$L111:$X111,#REF!)))</f>
        <v>0</v>
      </c>
      <c r="AH111" s="221">
        <f>IF(ISERROR(LOOKUP(AH$16,$L111:$X111,#REF!)),0,(LOOKUP(AH$16,$L111:$X111,#REF!)))</f>
        <v>0</v>
      </c>
      <c r="AI111" s="221">
        <f>IF(ISERROR(LOOKUP(AI$16,$L111:$X111,#REF!)),0,(LOOKUP(AI$16,$L111:$X111,#REF!)))</f>
        <v>0</v>
      </c>
      <c r="AJ111" s="221">
        <f>IF(ISERROR(LOOKUP(AJ$16,$L111:$X111,#REF!)),0,(LOOKUP(AJ$16,$L111:$X111,#REF!)))</f>
        <v>0</v>
      </c>
      <c r="AK111" s="221">
        <f>IF(ISERROR(LOOKUP(AK$16,$L111:$X111,#REF!)),0,(LOOKUP(AK$16,$L111:$X111,#REF!)))</f>
        <v>0</v>
      </c>
      <c r="AL111" s="221">
        <f>IF(ISERROR(LOOKUP(AL$16,$L111:$X111,#REF!)),0,(LOOKUP(AL$16,$L111:$X111,#REF!)))</f>
        <v>0</v>
      </c>
      <c r="AM111" s="221">
        <f ca="1">IF(ISERROR(LOOKUP(AM$16,$L111:$X111,#REF!)),0,(LOOKUP(AM$16,$L111:$X111,#REF!)))</f>
        <v>0</v>
      </c>
      <c r="AP111" s="215" t="e">
        <f>WORKDAY(IF(T112="",T111,T112),INDEX(AP$12:AP$15,MATCH($I110,$I$12:$I$15,0)),$AW$17:$AW$148)</f>
        <v>#REF!</v>
      </c>
      <c r="AQ111" s="215" t="e">
        <f>WORKDAY(IF(AP112="",AP111,AP112),INDEX(AQ$12:AQ$15,MATCH($I110,$I$12:$I$15,0)),$AW$17:$AW$148)</f>
        <v>#REF!</v>
      </c>
      <c r="AR111" s="215" t="e">
        <f>WORKDAY(IF(AQ112="",AQ111,AQ112),INDEX(AR$12:AR$15,MATCH($I110,$I$12:$I$15,0)),$AW$17:$AW$148)</f>
        <v>#REF!</v>
      </c>
      <c r="AS111" s="778"/>
      <c r="AW111" s="223" t="e">
        <v>#REF!</v>
      </c>
    </row>
    <row r="112" spans="1:49" s="166" customFormat="1" ht="18" customHeight="1">
      <c r="A112" s="736"/>
      <c r="B112" s="740"/>
      <c r="C112" s="741" t="str">
        <f>C110</f>
        <v>RFQ-032</v>
      </c>
      <c r="D112" s="741" t="str">
        <f>D110</f>
        <v>Temperature Transmitter</v>
      </c>
      <c r="E112" s="225"/>
      <c r="F112" s="761" t="str">
        <f>F110</f>
        <v>Instrument</v>
      </c>
      <c r="G112" s="741" t="str">
        <f>G110</f>
        <v>N</v>
      </c>
      <c r="H112" s="748"/>
      <c r="I112" s="212" t="str">
        <f>I110</f>
        <v>LC</v>
      </c>
      <c r="J112" s="249" t="s">
        <v>67</v>
      </c>
      <c r="K112" s="212"/>
      <c r="L112" s="212"/>
      <c r="M112" s="212"/>
      <c r="N112" s="212"/>
      <c r="O112" s="212"/>
      <c r="P112" s="226"/>
      <c r="Q112" s="227"/>
      <c r="R112" s="212"/>
      <c r="S112" s="212"/>
      <c r="T112" s="212"/>
      <c r="U112" s="212"/>
      <c r="V112" s="212"/>
      <c r="W112" s="228"/>
      <c r="X112" s="212"/>
      <c r="Y112" s="768"/>
      <c r="Z112" s="773"/>
      <c r="AA112" s="773"/>
      <c r="AB112" s="777"/>
      <c r="AC112" s="229">
        <f>IF(ISERROR(LOOKUP(AC$16,$L112:$X112,#REF!)),0,(LOOKUP(AC$16,$L112:$X112,#REF!)))</f>
        <v>0</v>
      </c>
      <c r="AD112" s="230">
        <f>IF(ISERROR(LOOKUP(AD$16,$L112:$X112,#REF!)),0,(LOOKUP(AD$16,$L112:$X112,#REF!)))</f>
        <v>0</v>
      </c>
      <c r="AE112" s="230">
        <f>IF(ISERROR(LOOKUP(AE$16,$L112:$X112,#REF!)),0,(LOOKUP(AE$16,$L112:$X112,#REF!)))</f>
        <v>0</v>
      </c>
      <c r="AF112" s="230">
        <f>IF(ISERROR(LOOKUP(AF$16,$L112:$X112,#REF!)),0,(LOOKUP(AF$16,$L112:$X112,#REF!)))</f>
        <v>0</v>
      </c>
      <c r="AG112" s="230">
        <f>IF(ISERROR(LOOKUP(AG$16,$L112:$X112,#REF!)),0,(LOOKUP(AG$16,$L112:$X112,#REF!)))</f>
        <v>0</v>
      </c>
      <c r="AH112" s="230">
        <f>IF(ISERROR(LOOKUP(AH$16,$L112:$X112,#REF!)),0,(LOOKUP(AH$16,$L112:$X112,#REF!)))</f>
        <v>0</v>
      </c>
      <c r="AI112" s="230">
        <f>IF(ISERROR(LOOKUP(AI$16,$L112:$X112,#REF!)),0,(LOOKUP(AI$16,$L112:$X112,#REF!)))</f>
        <v>0</v>
      </c>
      <c r="AJ112" s="230">
        <f>IF(ISERROR(LOOKUP(AJ$16,$L112:$X112,#REF!)),0,(LOOKUP(AJ$16,$L112:$X112,#REF!)))</f>
        <v>0</v>
      </c>
      <c r="AK112" s="230">
        <f>IF(ISERROR(LOOKUP(AK$16,$L112:$X112,#REF!)),0,(LOOKUP(AK$16,$L112:$X112,#REF!)))</f>
        <v>0</v>
      </c>
      <c r="AL112" s="230">
        <f>IF(ISERROR(LOOKUP(AL$16,$L112:$X112,#REF!)),0,(LOOKUP(AL$16,$L112:$X112,#REF!)))</f>
        <v>0</v>
      </c>
      <c r="AM112" s="230">
        <f ca="1">IF(ISERROR(LOOKUP(AM$16,$L112:$X112,#REF!)),0,(LOOKUP(AM$16,$L112:$X112,#REF!)))</f>
        <v>0</v>
      </c>
      <c r="AP112" s="212"/>
      <c r="AQ112" s="212"/>
      <c r="AR112" s="212"/>
      <c r="AS112" s="778"/>
      <c r="AW112" s="223" t="e">
        <v>#REF!</v>
      </c>
    </row>
    <row r="113" spans="1:49" s="166" customFormat="1" ht="18" customHeight="1">
      <c r="A113" s="736">
        <f>A110+1</f>
        <v>33</v>
      </c>
      <c r="B113" s="738"/>
      <c r="C113" s="741" t="s">
        <v>5281</v>
      </c>
      <c r="D113" s="741" t="s">
        <v>175</v>
      </c>
      <c r="E113" s="213"/>
      <c r="F113" s="759" t="s">
        <v>137</v>
      </c>
      <c r="G113" s="741" t="s">
        <v>73</v>
      </c>
      <c r="H113" s="746"/>
      <c r="I113" s="212" t="s">
        <v>8</v>
      </c>
      <c r="J113" s="249" t="s">
        <v>5236</v>
      </c>
      <c r="K113" s="215">
        <f>WORKDAY(L113,-INDEX(L$12:L$15,MATCH($I113,$I$12:$I$15,0)))</f>
        <v>46315</v>
      </c>
      <c r="L113" s="215">
        <f>WORKDAY(M113,-INDEX(M$12:M$15,MATCH($I113,$I$12:$I$15,0)))</f>
        <v>46318</v>
      </c>
      <c r="M113" s="215">
        <f>WORKDAY(N113,-INDEX(N$12:N$15,MATCH($I113,$I$12:$I$15,0)))</f>
        <v>46332</v>
      </c>
      <c r="N113" s="215">
        <f>WORKDAY(O113,-INDEX(O$12:O$15,MATCH($I113,$I$12:$I$15,0)))</f>
        <v>46335</v>
      </c>
      <c r="O113" s="215">
        <f>WORKDAY(R113,-INDEX(R$12:R$15,MATCH($I113,$I$12:$I$15,0)))</f>
        <v>46349</v>
      </c>
      <c r="P113" s="216">
        <f>U113-L113</f>
        <v>94</v>
      </c>
      <c r="Q113" s="217"/>
      <c r="R113" s="215">
        <f>WORKDAY(S113,-INDEX(S$12:S$15,MATCH($I113,$I$12:$I$15,0)))</f>
        <v>46363</v>
      </c>
      <c r="S113" s="215">
        <f>WORKDAY(T113,-INDEX(T$12:T$15,MATCH($I113,$I$12:$I$15,0)))</f>
        <v>46384</v>
      </c>
      <c r="T113" s="215">
        <f>WORKDAY(U113,-INDEX(U$12:U$15,MATCH($I113,$I$12:$I$15,0)))</f>
        <v>46398</v>
      </c>
      <c r="U113" s="215">
        <f>X113-Y113</f>
        <v>46412</v>
      </c>
      <c r="V113" s="215">
        <f>WORKDAY(U113,INDEX(V$12:V$15,MATCH($I113,$I$12:$I$15,0)))</f>
        <v>46414</v>
      </c>
      <c r="W113" s="218">
        <f>Y113/7</f>
        <v>18</v>
      </c>
      <c r="X113" s="215">
        <f>Z113</f>
        <v>46538</v>
      </c>
      <c r="Y113" s="768">
        <f t="shared" ref="Y113" si="1">18*7</f>
        <v>126</v>
      </c>
      <c r="Z113" s="773">
        <v>46538</v>
      </c>
      <c r="AA113" s="773">
        <v>46538</v>
      </c>
      <c r="AB113" s="777">
        <f>Z113-X114</f>
        <v>0</v>
      </c>
      <c r="AC113" s="220">
        <f>IF(ISERROR(LOOKUP(AC$16,$L113:$X113,#REF!)),0,(LOOKUP(AC$16,$L113:$X113,#REF!)))</f>
        <v>0</v>
      </c>
      <c r="AD113" s="221">
        <f>IF(ISERROR(LOOKUP(AD$16,$L113:$X113,#REF!)),0,(LOOKUP(AD$16,$L113:$X113,#REF!)))</f>
        <v>0</v>
      </c>
      <c r="AE113" s="221">
        <f>IF(ISERROR(LOOKUP(AE$16,$L113:$X113,#REF!)),0,(LOOKUP(AE$16,$L113:$X113,#REF!)))</f>
        <v>0</v>
      </c>
      <c r="AF113" s="221">
        <f>IF(ISERROR(LOOKUP(AF$16,$L113:$X113,#REF!)),0,(LOOKUP(AF$16,$L113:$X113,#REF!)))</f>
        <v>0</v>
      </c>
      <c r="AG113" s="221">
        <f>IF(ISERROR(LOOKUP(AG$16,$L113:$X113,#REF!)),0,(LOOKUP(AG$16,$L113:$X113,#REF!)))</f>
        <v>0</v>
      </c>
      <c r="AH113" s="221">
        <f>IF(ISERROR(LOOKUP(AH$16,$L113:$X113,#REF!)),0,(LOOKUP(AH$16,$L113:$X113,#REF!)))</f>
        <v>0</v>
      </c>
      <c r="AI113" s="221">
        <f>IF(ISERROR(LOOKUP(AI$16,$L113:$X113,#REF!)),0,(LOOKUP(AI$16,$L113:$X113,#REF!)))</f>
        <v>0</v>
      </c>
      <c r="AJ113" s="221">
        <f>IF(ISERROR(LOOKUP(AJ$16,$L113:$X113,#REF!)),0,(LOOKUP(AJ$16,$L113:$X113,#REF!)))</f>
        <v>0</v>
      </c>
      <c r="AK113" s="221">
        <f>IF(ISERROR(LOOKUP(AK$16,$L113:$X113,#REF!)),0,(LOOKUP(AK$16,$L113:$X113,#REF!)))</f>
        <v>0</v>
      </c>
      <c r="AL113" s="221">
        <f>IF(ISERROR(LOOKUP(AL$16,$L113:$X113,#REF!)),0,(LOOKUP(AL$16,$L113:$X113,#REF!)))</f>
        <v>0</v>
      </c>
      <c r="AM113" s="221">
        <f ca="1">IF(ISERROR(LOOKUP(AM$16,$L113:$X113,#REF!)),0,(LOOKUP(AM$16,$L113:$X113,#REF!)))</f>
        <v>0</v>
      </c>
      <c r="AP113" s="215" t="e">
        <f>WORKDAY(AQ113,-INDEX(AQ$12:AQ$15,MATCH($I113,$I$12:$I$15,0)),$AW$17:$AW$148)</f>
        <v>#REF!</v>
      </c>
      <c r="AQ113" s="215" t="e">
        <f>WORKDAY(U113,-INDEX(U$12:U$15,MATCH($I113,$I$12:$I$15,0)),$AW$17:$AW$148)</f>
        <v>#REF!</v>
      </c>
      <c r="AR113" s="215" t="e">
        <f>WORKDAY(U113,-INDEX(U$12:U$15,MATCH($I113,$I$12:$I$15,0)),$AW$17:$AW$148)</f>
        <v>#REF!</v>
      </c>
      <c r="AS113" s="778">
        <v>7</v>
      </c>
      <c r="AW113" s="223" t="e">
        <v>#REF!</v>
      </c>
    </row>
    <row r="114" spans="1:49" s="166" customFormat="1" ht="18" customHeight="1">
      <c r="A114" s="736"/>
      <c r="B114" s="739"/>
      <c r="C114" s="741" t="str">
        <f>C113</f>
        <v>RFQ-033</v>
      </c>
      <c r="D114" s="741" t="str">
        <f>D113</f>
        <v>Vortex Flow Meter</v>
      </c>
      <c r="E114" s="224"/>
      <c r="F114" s="760" t="str">
        <f>F113</f>
        <v>Instrument</v>
      </c>
      <c r="G114" s="741" t="str">
        <f>G113</f>
        <v>N</v>
      </c>
      <c r="H114" s="747"/>
      <c r="I114" s="212" t="str">
        <f>I113</f>
        <v>LC</v>
      </c>
      <c r="J114" s="249" t="s">
        <v>65</v>
      </c>
      <c r="K114" s="215">
        <f>K113</f>
        <v>46315</v>
      </c>
      <c r="L114" s="215">
        <f>WORKDAY(IF(K115="",K114,K115),INDEX(L$12:L$15,MATCH($I113,$I$12:$I$15,0)))</f>
        <v>46318</v>
      </c>
      <c r="M114" s="215">
        <f>WORKDAY(IF(L115="",L114,L115),INDEX(M$12:M$15,MATCH($I113,$I$12:$I$15,0)))</f>
        <v>46332</v>
      </c>
      <c r="N114" s="215">
        <f>WORKDAY(IF(M115="",M114,M115),INDEX(N$12:N$15,MATCH($I113,$I$12:$I$15,0)))</f>
        <v>46335</v>
      </c>
      <c r="O114" s="215">
        <f>WORKDAY(IF(N115="",N114,N115),INDEX(O$12:O$15,MATCH($I113,$I$12:$I$15,0)))</f>
        <v>46349</v>
      </c>
      <c r="P114" s="216"/>
      <c r="Q114" s="217"/>
      <c r="R114" s="215">
        <f>WORKDAY(IF(O115="",O114,O115),INDEX(R$12:R$15,MATCH($I113,$I$12:$I$15,0)))</f>
        <v>46363</v>
      </c>
      <c r="S114" s="215">
        <f>WORKDAY(IF(R115="",R114,R115),INDEX(S$12:S$15,MATCH($I113,$I$12:$I$15,0)))</f>
        <v>46384</v>
      </c>
      <c r="T114" s="215">
        <f>WORKDAY(IF(S115="",S114,S115),INDEX(T$12:T$15,MATCH($I113,$I$12:$I$15,0)))</f>
        <v>46398</v>
      </c>
      <c r="U114" s="215">
        <f>WORKDAY(IF(T115="",T114,T115),INDEX(U$12:U$15,MATCH($I113,$I$12:$I$15,0)))</f>
        <v>46412</v>
      </c>
      <c r="V114" s="215">
        <f>WORKDAY(IF(U115="",U114,U115),INDEX(V$12:V$15,MATCH($I113,$I$12:$I$15,0)))</f>
        <v>46414</v>
      </c>
      <c r="W114" s="218"/>
      <c r="X114" s="215">
        <f>U114+Y113</f>
        <v>46538</v>
      </c>
      <c r="Y114" s="768"/>
      <c r="Z114" s="773"/>
      <c r="AA114" s="773"/>
      <c r="AB114" s="777"/>
      <c r="AC114" s="220">
        <f>IF(ISERROR(LOOKUP(AC$16,$L114:$X114,#REF!)),0,(LOOKUP(AC$16,$L114:$X114,#REF!)))</f>
        <v>0</v>
      </c>
      <c r="AD114" s="221">
        <f>IF(ISERROR(LOOKUP(AD$16,$L114:$X114,#REF!)),0,(LOOKUP(AD$16,$L114:$X114,#REF!)))</f>
        <v>0</v>
      </c>
      <c r="AE114" s="221">
        <f>IF(ISERROR(LOOKUP(AE$16,$L114:$X114,#REF!)),0,(LOOKUP(AE$16,$L114:$X114,#REF!)))</f>
        <v>0</v>
      </c>
      <c r="AF114" s="221">
        <f>IF(ISERROR(LOOKUP(AF$16,$L114:$X114,#REF!)),0,(LOOKUP(AF$16,$L114:$X114,#REF!)))</f>
        <v>0</v>
      </c>
      <c r="AG114" s="221">
        <f>IF(ISERROR(LOOKUP(AG$16,$L114:$X114,#REF!)),0,(LOOKUP(AG$16,$L114:$X114,#REF!)))</f>
        <v>0</v>
      </c>
      <c r="AH114" s="221">
        <f>IF(ISERROR(LOOKUP(AH$16,$L114:$X114,#REF!)),0,(LOOKUP(AH$16,$L114:$X114,#REF!)))</f>
        <v>0</v>
      </c>
      <c r="AI114" s="221">
        <f>IF(ISERROR(LOOKUP(AI$16,$L114:$X114,#REF!)),0,(LOOKUP(AI$16,$L114:$X114,#REF!)))</f>
        <v>0</v>
      </c>
      <c r="AJ114" s="221">
        <f>IF(ISERROR(LOOKUP(AJ$16,$L114:$X114,#REF!)),0,(LOOKUP(AJ$16,$L114:$X114,#REF!)))</f>
        <v>0</v>
      </c>
      <c r="AK114" s="221">
        <f>IF(ISERROR(LOOKUP(AK$16,$L114:$X114,#REF!)),0,(LOOKUP(AK$16,$L114:$X114,#REF!)))</f>
        <v>0</v>
      </c>
      <c r="AL114" s="221">
        <f>IF(ISERROR(LOOKUP(AL$16,$L114:$X114,#REF!)),0,(LOOKUP(AL$16,$L114:$X114,#REF!)))</f>
        <v>0</v>
      </c>
      <c r="AM114" s="221">
        <f ca="1">IF(ISERROR(LOOKUP(AM$16,$L114:$X114,#REF!)),0,(LOOKUP(AM$16,$L114:$X114,#REF!)))</f>
        <v>0</v>
      </c>
      <c r="AP114" s="215" t="e">
        <f>WORKDAY(IF(T115="",T114,T115),INDEX(AP$12:AP$15,MATCH($I113,$I$12:$I$15,0)),$AW$17:$AW$148)</f>
        <v>#REF!</v>
      </c>
      <c r="AQ114" s="215" t="e">
        <f>WORKDAY(IF(AP115="",AP114,AP115),INDEX(AQ$12:AQ$15,MATCH($I113,$I$12:$I$15,0)),$AW$17:$AW$148)</f>
        <v>#REF!</v>
      </c>
      <c r="AR114" s="215" t="e">
        <f>WORKDAY(IF(AQ115="",AQ114,AQ115),INDEX(AR$12:AR$15,MATCH($I113,$I$12:$I$15,0)),$AW$17:$AW$148)</f>
        <v>#REF!</v>
      </c>
      <c r="AS114" s="778"/>
      <c r="AW114" s="223" t="e">
        <v>#REF!</v>
      </c>
    </row>
    <row r="115" spans="1:49" s="166" customFormat="1" ht="18" customHeight="1">
      <c r="A115" s="736"/>
      <c r="B115" s="740"/>
      <c r="C115" s="741" t="str">
        <f>C113</f>
        <v>RFQ-033</v>
      </c>
      <c r="D115" s="741" t="str">
        <f>D113</f>
        <v>Vortex Flow Meter</v>
      </c>
      <c r="E115" s="225"/>
      <c r="F115" s="761" t="str">
        <f>F113</f>
        <v>Instrument</v>
      </c>
      <c r="G115" s="741" t="str">
        <f>G113</f>
        <v>N</v>
      </c>
      <c r="H115" s="748"/>
      <c r="I115" s="212" t="str">
        <f>I113</f>
        <v>LC</v>
      </c>
      <c r="J115" s="249" t="s">
        <v>67</v>
      </c>
      <c r="K115" s="212"/>
      <c r="L115" s="212"/>
      <c r="M115" s="212"/>
      <c r="N115" s="212"/>
      <c r="O115" s="212"/>
      <c r="P115" s="226"/>
      <c r="Q115" s="227"/>
      <c r="R115" s="212"/>
      <c r="S115" s="212"/>
      <c r="T115" s="212"/>
      <c r="U115" s="212"/>
      <c r="V115" s="212"/>
      <c r="W115" s="228"/>
      <c r="X115" s="212"/>
      <c r="Y115" s="768"/>
      <c r="Z115" s="773"/>
      <c r="AA115" s="773"/>
      <c r="AB115" s="777"/>
      <c r="AC115" s="229">
        <f>IF(ISERROR(LOOKUP(AC$16,$L115:$X115,#REF!)),0,(LOOKUP(AC$16,$L115:$X115,#REF!)))</f>
        <v>0</v>
      </c>
      <c r="AD115" s="230">
        <f>IF(ISERROR(LOOKUP(AD$16,$L115:$X115,#REF!)),0,(LOOKUP(AD$16,$L115:$X115,#REF!)))</f>
        <v>0</v>
      </c>
      <c r="AE115" s="230">
        <f>IF(ISERROR(LOOKUP(AE$16,$L115:$X115,#REF!)),0,(LOOKUP(AE$16,$L115:$X115,#REF!)))</f>
        <v>0</v>
      </c>
      <c r="AF115" s="230">
        <f>IF(ISERROR(LOOKUP(AF$16,$L115:$X115,#REF!)),0,(LOOKUP(AF$16,$L115:$X115,#REF!)))</f>
        <v>0</v>
      </c>
      <c r="AG115" s="230">
        <f>IF(ISERROR(LOOKUP(AG$16,$L115:$X115,#REF!)),0,(LOOKUP(AG$16,$L115:$X115,#REF!)))</f>
        <v>0</v>
      </c>
      <c r="AH115" s="230">
        <f>IF(ISERROR(LOOKUP(AH$16,$L115:$X115,#REF!)),0,(LOOKUP(AH$16,$L115:$X115,#REF!)))</f>
        <v>0</v>
      </c>
      <c r="AI115" s="230">
        <f>IF(ISERROR(LOOKUP(AI$16,$L115:$X115,#REF!)),0,(LOOKUP(AI$16,$L115:$X115,#REF!)))</f>
        <v>0</v>
      </c>
      <c r="AJ115" s="230">
        <f>IF(ISERROR(LOOKUP(AJ$16,$L115:$X115,#REF!)),0,(LOOKUP(AJ$16,$L115:$X115,#REF!)))</f>
        <v>0</v>
      </c>
      <c r="AK115" s="230">
        <f>IF(ISERROR(LOOKUP(AK$16,$L115:$X115,#REF!)),0,(LOOKUP(AK$16,$L115:$X115,#REF!)))</f>
        <v>0</v>
      </c>
      <c r="AL115" s="230">
        <f>IF(ISERROR(LOOKUP(AL$16,$L115:$X115,#REF!)),0,(LOOKUP(AL$16,$L115:$X115,#REF!)))</f>
        <v>0</v>
      </c>
      <c r="AM115" s="230">
        <f ca="1">IF(ISERROR(LOOKUP(AM$16,$L115:$X115,#REF!)),0,(LOOKUP(AM$16,$L115:$X115,#REF!)))</f>
        <v>0</v>
      </c>
      <c r="AP115" s="212"/>
      <c r="AQ115" s="212"/>
      <c r="AR115" s="212"/>
      <c r="AS115" s="778"/>
      <c r="AW115" s="223" t="e">
        <v>#REF!</v>
      </c>
    </row>
    <row r="116" spans="1:49" s="166" customFormat="1" ht="18" customHeight="1">
      <c r="A116" s="736">
        <f>A113+1</f>
        <v>34</v>
      </c>
      <c r="B116" s="738"/>
      <c r="C116" s="741" t="s">
        <v>5282</v>
      </c>
      <c r="D116" s="741" t="s">
        <v>5283</v>
      </c>
      <c r="E116" s="213"/>
      <c r="F116" s="759" t="s">
        <v>137</v>
      </c>
      <c r="G116" s="741" t="s">
        <v>73</v>
      </c>
      <c r="H116" s="746"/>
      <c r="I116" s="212" t="s">
        <v>8</v>
      </c>
      <c r="J116" s="249" t="s">
        <v>5236</v>
      </c>
      <c r="K116" s="215">
        <f>WORKDAY(L116,-INDEX(L$12:L$15,MATCH($I116,$I$12:$I$15,0)))</f>
        <v>46315</v>
      </c>
      <c r="L116" s="215">
        <f>WORKDAY(M116,-INDEX(M$12:M$15,MATCH($I116,$I$12:$I$15,0)))</f>
        <v>46318</v>
      </c>
      <c r="M116" s="215">
        <f>WORKDAY(N116,-INDEX(N$12:N$15,MATCH($I116,$I$12:$I$15,0)))</f>
        <v>46332</v>
      </c>
      <c r="N116" s="215">
        <f>WORKDAY(O116,-INDEX(O$12:O$15,MATCH($I116,$I$12:$I$15,0)))</f>
        <v>46335</v>
      </c>
      <c r="O116" s="215">
        <f>WORKDAY(R116,-INDEX(R$12:R$15,MATCH($I116,$I$12:$I$15,0)))</f>
        <v>46349</v>
      </c>
      <c r="P116" s="216">
        <f>U116-L116</f>
        <v>94</v>
      </c>
      <c r="Q116" s="217"/>
      <c r="R116" s="215">
        <f>WORKDAY(S116,-INDEX(S$12:S$15,MATCH($I116,$I$12:$I$15,0)))</f>
        <v>46363</v>
      </c>
      <c r="S116" s="215">
        <f>WORKDAY(T116,-INDEX(T$12:T$15,MATCH($I116,$I$12:$I$15,0)))</f>
        <v>46384</v>
      </c>
      <c r="T116" s="215">
        <f>WORKDAY(U116,-INDEX(U$12:U$15,MATCH($I116,$I$12:$I$15,0)))</f>
        <v>46398</v>
      </c>
      <c r="U116" s="215">
        <f>X116-Y116</f>
        <v>46412</v>
      </c>
      <c r="V116" s="215">
        <f>WORKDAY(U116,INDEX(V$12:V$15,MATCH($I116,$I$12:$I$15,0)))</f>
        <v>46414</v>
      </c>
      <c r="W116" s="218">
        <f>Y116/7</f>
        <v>18</v>
      </c>
      <c r="X116" s="215">
        <f>Z116</f>
        <v>46538</v>
      </c>
      <c r="Y116" s="768">
        <f t="shared" ref="Y116" si="2">18*7</f>
        <v>126</v>
      </c>
      <c r="Z116" s="773">
        <v>46538</v>
      </c>
      <c r="AA116" s="773">
        <v>46538</v>
      </c>
      <c r="AB116" s="777">
        <f>Z116-X117</f>
        <v>0</v>
      </c>
      <c r="AC116" s="220">
        <f>IF(ISERROR(LOOKUP(AC$16,$L116:$X116,#REF!)),0,(LOOKUP(AC$16,$L116:$X116,#REF!)))</f>
        <v>0</v>
      </c>
      <c r="AD116" s="221">
        <f>IF(ISERROR(LOOKUP(AD$16,$L116:$X116,#REF!)),0,(LOOKUP(AD$16,$L116:$X116,#REF!)))</f>
        <v>0</v>
      </c>
      <c r="AE116" s="221">
        <f>IF(ISERROR(LOOKUP(AE$16,$L116:$X116,#REF!)),0,(LOOKUP(AE$16,$L116:$X116,#REF!)))</f>
        <v>0</v>
      </c>
      <c r="AF116" s="221">
        <f>IF(ISERROR(LOOKUP(AF$16,$L116:$X116,#REF!)),0,(LOOKUP(AF$16,$L116:$X116,#REF!)))</f>
        <v>0</v>
      </c>
      <c r="AG116" s="221">
        <f>IF(ISERROR(LOOKUP(AG$16,$L116:$X116,#REF!)),0,(LOOKUP(AG$16,$L116:$X116,#REF!)))</f>
        <v>0</v>
      </c>
      <c r="AH116" s="221">
        <f>IF(ISERROR(LOOKUP(AH$16,$L116:$X116,#REF!)),0,(LOOKUP(AH$16,$L116:$X116,#REF!)))</f>
        <v>0</v>
      </c>
      <c r="AI116" s="221">
        <f>IF(ISERROR(LOOKUP(AI$16,$L116:$X116,#REF!)),0,(LOOKUP(AI$16,$L116:$X116,#REF!)))</f>
        <v>0</v>
      </c>
      <c r="AJ116" s="221">
        <f>IF(ISERROR(LOOKUP(AJ$16,$L116:$X116,#REF!)),0,(LOOKUP(AJ$16,$L116:$X116,#REF!)))</f>
        <v>0</v>
      </c>
      <c r="AK116" s="221">
        <f>IF(ISERROR(LOOKUP(AK$16,$L116:$X116,#REF!)),0,(LOOKUP(AK$16,$L116:$X116,#REF!)))</f>
        <v>0</v>
      </c>
      <c r="AL116" s="221">
        <f>IF(ISERROR(LOOKUP(AL$16,$L116:$X116,#REF!)),0,(LOOKUP(AL$16,$L116:$X116,#REF!)))</f>
        <v>0</v>
      </c>
      <c r="AM116" s="221">
        <f ca="1">IF(ISERROR(LOOKUP(AM$16,$L116:$X116,#REF!)),0,(LOOKUP(AM$16,$L116:$X116,#REF!)))</f>
        <v>0</v>
      </c>
      <c r="AP116" s="215" t="e">
        <f>WORKDAY(AQ116,-INDEX(AQ$12:AQ$15,MATCH($I116,$I$12:$I$15,0)),$AW$17:$AW$148)</f>
        <v>#REF!</v>
      </c>
      <c r="AQ116" s="215" t="e">
        <f>WORKDAY(U116,-INDEX(U$12:U$15,MATCH($I116,$I$12:$I$15,0)),$AW$17:$AW$148)</f>
        <v>#REF!</v>
      </c>
      <c r="AR116" s="215" t="e">
        <f>WORKDAY(U116,-INDEX(U$12:U$15,MATCH($I116,$I$12:$I$15,0)),$AW$17:$AW$148)</f>
        <v>#REF!</v>
      </c>
      <c r="AS116" s="778">
        <v>7</v>
      </c>
      <c r="AW116" s="223" t="e">
        <v>#REF!</v>
      </c>
    </row>
    <row r="117" spans="1:49" s="166" customFormat="1" ht="18" customHeight="1">
      <c r="A117" s="736"/>
      <c r="B117" s="739"/>
      <c r="C117" s="741" t="str">
        <f>C116</f>
        <v>RFQ-034</v>
      </c>
      <c r="D117" s="741" t="str">
        <f>D116</f>
        <v>Level Transmitter and Gauge</v>
      </c>
      <c r="E117" s="224"/>
      <c r="F117" s="760" t="str">
        <f>F116</f>
        <v>Instrument</v>
      </c>
      <c r="G117" s="741" t="str">
        <f>G116</f>
        <v>N</v>
      </c>
      <c r="H117" s="747"/>
      <c r="I117" s="212" t="str">
        <f>I116</f>
        <v>LC</v>
      </c>
      <c r="J117" s="249" t="s">
        <v>65</v>
      </c>
      <c r="K117" s="215">
        <f>K116</f>
        <v>46315</v>
      </c>
      <c r="L117" s="215">
        <f>WORKDAY(IF(K118="",K117,K118),INDEX(L$12:L$15,MATCH($I116,$I$12:$I$15,0)))</f>
        <v>46318</v>
      </c>
      <c r="M117" s="215">
        <f>WORKDAY(IF(L118="",L117,L118),INDEX(M$12:M$15,MATCH($I116,$I$12:$I$15,0)))</f>
        <v>46332</v>
      </c>
      <c r="N117" s="215">
        <f>WORKDAY(IF(M118="",M117,M118),INDEX(N$12:N$15,MATCH($I116,$I$12:$I$15,0)))</f>
        <v>46335</v>
      </c>
      <c r="O117" s="215">
        <f>WORKDAY(IF(N118="",N117,N118),INDEX(O$12:O$15,MATCH($I116,$I$12:$I$15,0)))</f>
        <v>46349</v>
      </c>
      <c r="P117" s="216"/>
      <c r="Q117" s="217"/>
      <c r="R117" s="215">
        <f>WORKDAY(IF(O118="",O117,O118),INDEX(R$12:R$15,MATCH($I116,$I$12:$I$15,0)))</f>
        <v>46363</v>
      </c>
      <c r="S117" s="215">
        <f>WORKDAY(IF(R118="",R117,R118),INDEX(S$12:S$15,MATCH($I116,$I$12:$I$15,0)))</f>
        <v>46384</v>
      </c>
      <c r="T117" s="215">
        <f>WORKDAY(IF(S118="",S117,S118),INDEX(T$12:T$15,MATCH($I116,$I$12:$I$15,0)))</f>
        <v>46398</v>
      </c>
      <c r="U117" s="215">
        <f>WORKDAY(IF(T118="",T117,T118),INDEX(U$12:U$15,MATCH($I116,$I$12:$I$15,0)))</f>
        <v>46412</v>
      </c>
      <c r="V117" s="215">
        <f>WORKDAY(IF(U118="",U117,U118),INDEX(V$12:V$15,MATCH($I116,$I$12:$I$15,0)))</f>
        <v>46414</v>
      </c>
      <c r="W117" s="218"/>
      <c r="X117" s="215">
        <f>U117+Y116</f>
        <v>46538</v>
      </c>
      <c r="Y117" s="768"/>
      <c r="Z117" s="773"/>
      <c r="AA117" s="773"/>
      <c r="AB117" s="777"/>
      <c r="AC117" s="220">
        <f>IF(ISERROR(LOOKUP(AC$16,$L117:$X117,#REF!)),0,(LOOKUP(AC$16,$L117:$X117,#REF!)))</f>
        <v>0</v>
      </c>
      <c r="AD117" s="221">
        <f>IF(ISERROR(LOOKUP(AD$16,$L117:$X117,#REF!)),0,(LOOKUP(AD$16,$L117:$X117,#REF!)))</f>
        <v>0</v>
      </c>
      <c r="AE117" s="221">
        <f>IF(ISERROR(LOOKUP(AE$16,$L117:$X117,#REF!)),0,(LOOKUP(AE$16,$L117:$X117,#REF!)))</f>
        <v>0</v>
      </c>
      <c r="AF117" s="221">
        <f>IF(ISERROR(LOOKUP(AF$16,$L117:$X117,#REF!)),0,(LOOKUP(AF$16,$L117:$X117,#REF!)))</f>
        <v>0</v>
      </c>
      <c r="AG117" s="221">
        <f>IF(ISERROR(LOOKUP(AG$16,$L117:$X117,#REF!)),0,(LOOKUP(AG$16,$L117:$X117,#REF!)))</f>
        <v>0</v>
      </c>
      <c r="AH117" s="221">
        <f>IF(ISERROR(LOOKUP(AH$16,$L117:$X117,#REF!)),0,(LOOKUP(AH$16,$L117:$X117,#REF!)))</f>
        <v>0</v>
      </c>
      <c r="AI117" s="221">
        <f>IF(ISERROR(LOOKUP(AI$16,$L117:$X117,#REF!)),0,(LOOKUP(AI$16,$L117:$X117,#REF!)))</f>
        <v>0</v>
      </c>
      <c r="AJ117" s="221">
        <f>IF(ISERROR(LOOKUP(AJ$16,$L117:$X117,#REF!)),0,(LOOKUP(AJ$16,$L117:$X117,#REF!)))</f>
        <v>0</v>
      </c>
      <c r="AK117" s="221">
        <f>IF(ISERROR(LOOKUP(AK$16,$L117:$X117,#REF!)),0,(LOOKUP(AK$16,$L117:$X117,#REF!)))</f>
        <v>0</v>
      </c>
      <c r="AL117" s="221">
        <f>IF(ISERROR(LOOKUP(AL$16,$L117:$X117,#REF!)),0,(LOOKUP(AL$16,$L117:$X117,#REF!)))</f>
        <v>0</v>
      </c>
      <c r="AM117" s="221">
        <f ca="1">IF(ISERROR(LOOKUP(AM$16,$L117:$X117,#REF!)),0,(LOOKUP(AM$16,$L117:$X117,#REF!)))</f>
        <v>0</v>
      </c>
      <c r="AP117" s="215" t="e">
        <f>WORKDAY(IF(T118="",T117,T118),INDEX(AP$12:AP$15,MATCH($I116,$I$12:$I$15,0)),$AW$17:$AW$148)</f>
        <v>#REF!</v>
      </c>
      <c r="AQ117" s="215" t="e">
        <f>WORKDAY(IF(AP118="",AP117,AP118),INDEX(AQ$12:AQ$15,MATCH($I116,$I$12:$I$15,0)),$AW$17:$AW$148)</f>
        <v>#REF!</v>
      </c>
      <c r="AR117" s="215" t="e">
        <f>WORKDAY(IF(AQ118="",AQ117,AQ118),INDEX(AR$12:AR$15,MATCH($I116,$I$12:$I$15,0)),$AW$17:$AW$148)</f>
        <v>#REF!</v>
      </c>
      <c r="AS117" s="778"/>
      <c r="AW117" s="223" t="e">
        <v>#REF!</v>
      </c>
    </row>
    <row r="118" spans="1:49" s="166" customFormat="1" ht="18" customHeight="1">
      <c r="A118" s="736"/>
      <c r="B118" s="740"/>
      <c r="C118" s="741" t="str">
        <f>C116</f>
        <v>RFQ-034</v>
      </c>
      <c r="D118" s="741" t="str">
        <f>D116</f>
        <v>Level Transmitter and Gauge</v>
      </c>
      <c r="E118" s="225"/>
      <c r="F118" s="761" t="str">
        <f>F116</f>
        <v>Instrument</v>
      </c>
      <c r="G118" s="741" t="str">
        <f>G116</f>
        <v>N</v>
      </c>
      <c r="H118" s="748"/>
      <c r="I118" s="212" t="str">
        <f>I116</f>
        <v>LC</v>
      </c>
      <c r="J118" s="249" t="s">
        <v>67</v>
      </c>
      <c r="K118" s="212"/>
      <c r="L118" s="212"/>
      <c r="M118" s="212"/>
      <c r="N118" s="212"/>
      <c r="O118" s="212"/>
      <c r="P118" s="226"/>
      <c r="Q118" s="227"/>
      <c r="R118" s="212"/>
      <c r="S118" s="212"/>
      <c r="T118" s="212"/>
      <c r="U118" s="212"/>
      <c r="V118" s="212"/>
      <c r="W118" s="228"/>
      <c r="X118" s="212"/>
      <c r="Y118" s="768"/>
      <c r="Z118" s="773"/>
      <c r="AA118" s="773"/>
      <c r="AB118" s="777"/>
      <c r="AC118" s="229">
        <f>IF(ISERROR(LOOKUP(AC$16,$L118:$X118,#REF!)),0,(LOOKUP(AC$16,$L118:$X118,#REF!)))</f>
        <v>0</v>
      </c>
      <c r="AD118" s="230">
        <f>IF(ISERROR(LOOKUP(AD$16,$L118:$X118,#REF!)),0,(LOOKUP(AD$16,$L118:$X118,#REF!)))</f>
        <v>0</v>
      </c>
      <c r="AE118" s="230">
        <f>IF(ISERROR(LOOKUP(AE$16,$L118:$X118,#REF!)),0,(LOOKUP(AE$16,$L118:$X118,#REF!)))</f>
        <v>0</v>
      </c>
      <c r="AF118" s="230">
        <f>IF(ISERROR(LOOKUP(AF$16,$L118:$X118,#REF!)),0,(LOOKUP(AF$16,$L118:$X118,#REF!)))</f>
        <v>0</v>
      </c>
      <c r="AG118" s="230">
        <f>IF(ISERROR(LOOKUP(AG$16,$L118:$X118,#REF!)),0,(LOOKUP(AG$16,$L118:$X118,#REF!)))</f>
        <v>0</v>
      </c>
      <c r="AH118" s="230">
        <f>IF(ISERROR(LOOKUP(AH$16,$L118:$X118,#REF!)),0,(LOOKUP(AH$16,$L118:$X118,#REF!)))</f>
        <v>0</v>
      </c>
      <c r="AI118" s="230">
        <f>IF(ISERROR(LOOKUP(AI$16,$L118:$X118,#REF!)),0,(LOOKUP(AI$16,$L118:$X118,#REF!)))</f>
        <v>0</v>
      </c>
      <c r="AJ118" s="230">
        <f>IF(ISERROR(LOOKUP(AJ$16,$L118:$X118,#REF!)),0,(LOOKUP(AJ$16,$L118:$X118,#REF!)))</f>
        <v>0</v>
      </c>
      <c r="AK118" s="230">
        <f>IF(ISERROR(LOOKUP(AK$16,$L118:$X118,#REF!)),0,(LOOKUP(AK$16,$L118:$X118,#REF!)))</f>
        <v>0</v>
      </c>
      <c r="AL118" s="230">
        <f>IF(ISERROR(LOOKUP(AL$16,$L118:$X118,#REF!)),0,(LOOKUP(AL$16,$L118:$X118,#REF!)))</f>
        <v>0</v>
      </c>
      <c r="AM118" s="230">
        <f ca="1">IF(ISERROR(LOOKUP(AM$16,$L118:$X118,#REF!)),0,(LOOKUP(AM$16,$L118:$X118,#REF!)))</f>
        <v>0</v>
      </c>
      <c r="AP118" s="212"/>
      <c r="AQ118" s="212"/>
      <c r="AR118" s="212"/>
      <c r="AS118" s="778"/>
      <c r="AW118" s="223" t="e">
        <v>#REF!</v>
      </c>
    </row>
    <row r="119" spans="1:49" s="166" customFormat="1" ht="18" customHeight="1">
      <c r="A119" s="736">
        <f>A116+1</f>
        <v>35</v>
      </c>
      <c r="B119" s="738"/>
      <c r="C119" s="741" t="s">
        <v>5284</v>
      </c>
      <c r="D119" s="741" t="s">
        <v>180</v>
      </c>
      <c r="E119" s="213"/>
      <c r="F119" s="759" t="s">
        <v>137</v>
      </c>
      <c r="G119" s="741" t="s">
        <v>73</v>
      </c>
      <c r="H119" s="746"/>
      <c r="I119" s="212" t="s">
        <v>8</v>
      </c>
      <c r="J119" s="249" t="s">
        <v>5236</v>
      </c>
      <c r="K119" s="215">
        <f>WORKDAY(L119,-INDEX(L$12:L$15,MATCH($I119,$I$12:$I$15,0)))</f>
        <v>46315</v>
      </c>
      <c r="L119" s="215">
        <f>WORKDAY(M119,-INDEX(M$12:M$15,MATCH($I119,$I$12:$I$15,0)))</f>
        <v>46318</v>
      </c>
      <c r="M119" s="215">
        <f>WORKDAY(N119,-INDEX(N$12:N$15,MATCH($I119,$I$12:$I$15,0)))</f>
        <v>46332</v>
      </c>
      <c r="N119" s="215">
        <f>WORKDAY(O119,-INDEX(O$12:O$15,MATCH($I119,$I$12:$I$15,0)))</f>
        <v>46335</v>
      </c>
      <c r="O119" s="215">
        <f>WORKDAY(R119,-INDEX(R$12:R$15,MATCH($I119,$I$12:$I$15,0)))</f>
        <v>46349</v>
      </c>
      <c r="P119" s="216">
        <f>U119-L119</f>
        <v>94</v>
      </c>
      <c r="Q119" s="217"/>
      <c r="R119" s="215">
        <f>WORKDAY(S119,-INDEX(S$12:S$15,MATCH($I119,$I$12:$I$15,0)))</f>
        <v>46363</v>
      </c>
      <c r="S119" s="215">
        <f>WORKDAY(T119,-INDEX(T$12:T$15,MATCH($I119,$I$12:$I$15,0)))</f>
        <v>46384</v>
      </c>
      <c r="T119" s="215">
        <f>WORKDAY(U119,-INDEX(U$12:U$15,MATCH($I119,$I$12:$I$15,0)))</f>
        <v>46398</v>
      </c>
      <c r="U119" s="215">
        <f>X119-Y119</f>
        <v>46412</v>
      </c>
      <c r="V119" s="215">
        <f>WORKDAY(U119,INDEX(V$12:V$15,MATCH($I119,$I$12:$I$15,0)))</f>
        <v>46414</v>
      </c>
      <c r="W119" s="218">
        <f>Y119/7</f>
        <v>18</v>
      </c>
      <c r="X119" s="215">
        <f>Z119</f>
        <v>46538</v>
      </c>
      <c r="Y119" s="768">
        <f>18*7</f>
        <v>126</v>
      </c>
      <c r="Z119" s="773">
        <v>46538</v>
      </c>
      <c r="AA119" s="773">
        <v>46538</v>
      </c>
      <c r="AB119" s="777">
        <f>Z119-X120</f>
        <v>0</v>
      </c>
      <c r="AC119" s="220">
        <f>IF(ISERROR(LOOKUP(AC$16,$L119:$X119,#REF!)),0,(LOOKUP(AC$16,$L119:$X119,#REF!)))</f>
        <v>0</v>
      </c>
      <c r="AD119" s="221">
        <f>IF(ISERROR(LOOKUP(AD$16,$L119:$X119,#REF!)),0,(LOOKUP(AD$16,$L119:$X119,#REF!)))</f>
        <v>0</v>
      </c>
      <c r="AE119" s="221">
        <f>IF(ISERROR(LOOKUP(AE$16,$L119:$X119,#REF!)),0,(LOOKUP(AE$16,$L119:$X119,#REF!)))</f>
        <v>0</v>
      </c>
      <c r="AF119" s="221">
        <f>IF(ISERROR(LOOKUP(AF$16,$L119:$X119,#REF!)),0,(LOOKUP(AF$16,$L119:$X119,#REF!)))</f>
        <v>0</v>
      </c>
      <c r="AG119" s="221">
        <f>IF(ISERROR(LOOKUP(AG$16,$L119:$X119,#REF!)),0,(LOOKUP(AG$16,$L119:$X119,#REF!)))</f>
        <v>0</v>
      </c>
      <c r="AH119" s="221">
        <f>IF(ISERROR(LOOKUP(AH$16,$L119:$X119,#REF!)),0,(LOOKUP(AH$16,$L119:$X119,#REF!)))</f>
        <v>0</v>
      </c>
      <c r="AI119" s="221">
        <f>IF(ISERROR(LOOKUP(AI$16,$L119:$X119,#REF!)),0,(LOOKUP(AI$16,$L119:$X119,#REF!)))</f>
        <v>0</v>
      </c>
      <c r="AJ119" s="221">
        <f>IF(ISERROR(LOOKUP(AJ$16,$L119:$X119,#REF!)),0,(LOOKUP(AJ$16,$L119:$X119,#REF!)))</f>
        <v>0</v>
      </c>
      <c r="AK119" s="221">
        <f>IF(ISERROR(LOOKUP(AK$16,$L119:$X119,#REF!)),0,(LOOKUP(AK$16,$L119:$X119,#REF!)))</f>
        <v>0</v>
      </c>
      <c r="AL119" s="221">
        <f>IF(ISERROR(LOOKUP(AL$16,$L119:$X119,#REF!)),0,(LOOKUP(AL$16,$L119:$X119,#REF!)))</f>
        <v>0</v>
      </c>
      <c r="AM119" s="221">
        <f ca="1">IF(ISERROR(LOOKUP(AM$16,$L119:$X119,#REF!)),0,(LOOKUP(AM$16,$L119:$X119,#REF!)))</f>
        <v>0</v>
      </c>
      <c r="AP119" s="215" t="e">
        <f>WORKDAY(AQ119,-INDEX(AQ$12:AQ$15,MATCH($I119,$I$12:$I$15,0)),$AW$17:$AW$148)</f>
        <v>#REF!</v>
      </c>
      <c r="AQ119" s="215" t="e">
        <f>WORKDAY(U119,-INDEX(U$12:U$15,MATCH($I119,$I$12:$I$15,0)),$AW$17:$AW$148)</f>
        <v>#REF!</v>
      </c>
      <c r="AR119" s="215" t="e">
        <f>WORKDAY(U119,-INDEX(U$12:U$15,MATCH($I119,$I$12:$I$15,0)),$AW$17:$AW$148)</f>
        <v>#REF!</v>
      </c>
      <c r="AS119" s="778">
        <v>7</v>
      </c>
      <c r="AW119" s="223" t="e">
        <v>#REF!</v>
      </c>
    </row>
    <row r="120" spans="1:49" s="166" customFormat="1" ht="18" customHeight="1">
      <c r="A120" s="736"/>
      <c r="B120" s="739"/>
      <c r="C120" s="741" t="str">
        <f>C119</f>
        <v>RFQ-035</v>
      </c>
      <c r="D120" s="741" t="str">
        <f>D119</f>
        <v>Pig Signaller</v>
      </c>
      <c r="E120" s="224"/>
      <c r="F120" s="760" t="str">
        <f>F119</f>
        <v>Instrument</v>
      </c>
      <c r="G120" s="741" t="str">
        <f>G119</f>
        <v>N</v>
      </c>
      <c r="H120" s="747"/>
      <c r="I120" s="212" t="str">
        <f>I119</f>
        <v>LC</v>
      </c>
      <c r="J120" s="249" t="s">
        <v>65</v>
      </c>
      <c r="K120" s="215">
        <f>K119</f>
        <v>46315</v>
      </c>
      <c r="L120" s="215">
        <f>WORKDAY(IF(K121="",K120,K121),INDEX(L$12:L$15,MATCH($I119,$I$12:$I$15,0)))</f>
        <v>46318</v>
      </c>
      <c r="M120" s="215">
        <f>WORKDAY(IF(L121="",L120,L121),INDEX(M$12:M$15,MATCH($I119,$I$12:$I$15,0)))</f>
        <v>46332</v>
      </c>
      <c r="N120" s="215">
        <f>WORKDAY(IF(M121="",M120,M121),INDEX(N$12:N$15,MATCH($I119,$I$12:$I$15,0)))</f>
        <v>46335</v>
      </c>
      <c r="O120" s="215">
        <f>WORKDAY(IF(N121="",N120,N121),INDEX(O$12:O$15,MATCH($I119,$I$12:$I$15,0)))</f>
        <v>46349</v>
      </c>
      <c r="P120" s="216"/>
      <c r="Q120" s="217"/>
      <c r="R120" s="215">
        <f>WORKDAY(IF(O121="",O120,O121),INDEX(R$12:R$15,MATCH($I119,$I$12:$I$15,0)))</f>
        <v>46363</v>
      </c>
      <c r="S120" s="215">
        <f>WORKDAY(IF(R121="",R120,R121),INDEX(S$12:S$15,MATCH($I119,$I$12:$I$15,0)))</f>
        <v>46384</v>
      </c>
      <c r="T120" s="215">
        <f>WORKDAY(IF(S121="",S120,S121),INDEX(T$12:T$15,MATCH($I119,$I$12:$I$15,0)))</f>
        <v>46398</v>
      </c>
      <c r="U120" s="215">
        <f>WORKDAY(IF(T121="",T120,T121),INDEX(U$12:U$15,MATCH($I119,$I$12:$I$15,0)))</f>
        <v>46412</v>
      </c>
      <c r="V120" s="215">
        <f>WORKDAY(IF(U121="",U120,U121),INDEX(V$12:V$15,MATCH($I119,$I$12:$I$15,0)))</f>
        <v>46414</v>
      </c>
      <c r="W120" s="218"/>
      <c r="X120" s="215">
        <f>U120+Y119</f>
        <v>46538</v>
      </c>
      <c r="Y120" s="768"/>
      <c r="Z120" s="773"/>
      <c r="AA120" s="773"/>
      <c r="AB120" s="777"/>
      <c r="AC120" s="220">
        <f>IF(ISERROR(LOOKUP(AC$16,$L120:$X120,#REF!)),0,(LOOKUP(AC$16,$L120:$X120,#REF!)))</f>
        <v>0</v>
      </c>
      <c r="AD120" s="221">
        <f>IF(ISERROR(LOOKUP(AD$16,$L120:$X120,#REF!)),0,(LOOKUP(AD$16,$L120:$X120,#REF!)))</f>
        <v>0</v>
      </c>
      <c r="AE120" s="221">
        <f>IF(ISERROR(LOOKUP(AE$16,$L120:$X120,#REF!)),0,(LOOKUP(AE$16,$L120:$X120,#REF!)))</f>
        <v>0</v>
      </c>
      <c r="AF120" s="221">
        <f>IF(ISERROR(LOOKUP(AF$16,$L120:$X120,#REF!)),0,(LOOKUP(AF$16,$L120:$X120,#REF!)))</f>
        <v>0</v>
      </c>
      <c r="AG120" s="221">
        <f>IF(ISERROR(LOOKUP(AG$16,$L120:$X120,#REF!)),0,(LOOKUP(AG$16,$L120:$X120,#REF!)))</f>
        <v>0</v>
      </c>
      <c r="AH120" s="221">
        <f>IF(ISERROR(LOOKUP(AH$16,$L120:$X120,#REF!)),0,(LOOKUP(AH$16,$L120:$X120,#REF!)))</f>
        <v>0</v>
      </c>
      <c r="AI120" s="221">
        <f>IF(ISERROR(LOOKUP(AI$16,$L120:$X120,#REF!)),0,(LOOKUP(AI$16,$L120:$X120,#REF!)))</f>
        <v>0</v>
      </c>
      <c r="AJ120" s="221">
        <f>IF(ISERROR(LOOKUP(AJ$16,$L120:$X120,#REF!)),0,(LOOKUP(AJ$16,$L120:$X120,#REF!)))</f>
        <v>0</v>
      </c>
      <c r="AK120" s="221">
        <f>IF(ISERROR(LOOKUP(AK$16,$L120:$X120,#REF!)),0,(LOOKUP(AK$16,$L120:$X120,#REF!)))</f>
        <v>0</v>
      </c>
      <c r="AL120" s="221">
        <f>IF(ISERROR(LOOKUP(AL$16,$L120:$X120,#REF!)),0,(LOOKUP(AL$16,$L120:$X120,#REF!)))</f>
        <v>0</v>
      </c>
      <c r="AM120" s="221">
        <f ca="1">IF(ISERROR(LOOKUP(AM$16,$L120:$X120,#REF!)),0,(LOOKUP(AM$16,$L120:$X120,#REF!)))</f>
        <v>0</v>
      </c>
      <c r="AP120" s="215" t="e">
        <f>WORKDAY(IF(T121="",T120,T121),INDEX(AP$12:AP$15,MATCH($I119,$I$12:$I$15,0)),$AW$17:$AW$148)</f>
        <v>#REF!</v>
      </c>
      <c r="AQ120" s="215" t="e">
        <f>WORKDAY(IF(AP121="",AP120,AP121),INDEX(AQ$12:AQ$15,MATCH($I119,$I$12:$I$15,0)),$AW$17:$AW$148)</f>
        <v>#REF!</v>
      </c>
      <c r="AR120" s="215" t="e">
        <f>WORKDAY(IF(AQ121="",AQ120,AQ121),INDEX(AR$12:AR$15,MATCH($I119,$I$12:$I$15,0)),$AW$17:$AW$148)</f>
        <v>#REF!</v>
      </c>
      <c r="AS120" s="778"/>
      <c r="AW120" s="223" t="e">
        <v>#REF!</v>
      </c>
    </row>
    <row r="121" spans="1:49" s="166" customFormat="1" ht="18" customHeight="1">
      <c r="A121" s="736"/>
      <c r="B121" s="740"/>
      <c r="C121" s="741" t="str">
        <f>C119</f>
        <v>RFQ-035</v>
      </c>
      <c r="D121" s="741" t="str">
        <f>D119</f>
        <v>Pig Signaller</v>
      </c>
      <c r="E121" s="225"/>
      <c r="F121" s="761" t="str">
        <f>F119</f>
        <v>Instrument</v>
      </c>
      <c r="G121" s="741" t="str">
        <f>G119</f>
        <v>N</v>
      </c>
      <c r="H121" s="748"/>
      <c r="I121" s="212" t="str">
        <f>I119</f>
        <v>LC</v>
      </c>
      <c r="J121" s="249" t="s">
        <v>67</v>
      </c>
      <c r="K121" s="212"/>
      <c r="L121" s="212"/>
      <c r="M121" s="212"/>
      <c r="N121" s="212"/>
      <c r="O121" s="212"/>
      <c r="P121" s="226"/>
      <c r="Q121" s="227"/>
      <c r="R121" s="212"/>
      <c r="S121" s="212"/>
      <c r="T121" s="212"/>
      <c r="U121" s="212"/>
      <c r="V121" s="212"/>
      <c r="W121" s="228"/>
      <c r="X121" s="212"/>
      <c r="Y121" s="768"/>
      <c r="Z121" s="773"/>
      <c r="AA121" s="773"/>
      <c r="AB121" s="777"/>
      <c r="AC121" s="229">
        <f>IF(ISERROR(LOOKUP(AC$16,$L121:$X121,#REF!)),0,(LOOKUP(AC$16,$L121:$X121,#REF!)))</f>
        <v>0</v>
      </c>
      <c r="AD121" s="230">
        <f>IF(ISERROR(LOOKUP(AD$16,$L121:$X121,#REF!)),0,(LOOKUP(AD$16,$L121:$X121,#REF!)))</f>
        <v>0</v>
      </c>
      <c r="AE121" s="230">
        <f>IF(ISERROR(LOOKUP(AE$16,$L121:$X121,#REF!)),0,(LOOKUP(AE$16,$L121:$X121,#REF!)))</f>
        <v>0</v>
      </c>
      <c r="AF121" s="230">
        <f>IF(ISERROR(LOOKUP(AF$16,$L121:$X121,#REF!)),0,(LOOKUP(AF$16,$L121:$X121,#REF!)))</f>
        <v>0</v>
      </c>
      <c r="AG121" s="230">
        <f>IF(ISERROR(LOOKUP(AG$16,$L121:$X121,#REF!)),0,(LOOKUP(AG$16,$L121:$X121,#REF!)))</f>
        <v>0</v>
      </c>
      <c r="AH121" s="230">
        <f>IF(ISERROR(LOOKUP(AH$16,$L121:$X121,#REF!)),0,(LOOKUP(AH$16,$L121:$X121,#REF!)))</f>
        <v>0</v>
      </c>
      <c r="AI121" s="230">
        <f>IF(ISERROR(LOOKUP(AI$16,$L121:$X121,#REF!)),0,(LOOKUP(AI$16,$L121:$X121,#REF!)))</f>
        <v>0</v>
      </c>
      <c r="AJ121" s="230">
        <f>IF(ISERROR(LOOKUP(AJ$16,$L121:$X121,#REF!)),0,(LOOKUP(AJ$16,$L121:$X121,#REF!)))</f>
        <v>0</v>
      </c>
      <c r="AK121" s="230">
        <f>IF(ISERROR(LOOKUP(AK$16,$L121:$X121,#REF!)),0,(LOOKUP(AK$16,$L121:$X121,#REF!)))</f>
        <v>0</v>
      </c>
      <c r="AL121" s="230">
        <f>IF(ISERROR(LOOKUP(AL$16,$L121:$X121,#REF!)),0,(LOOKUP(AL$16,$L121:$X121,#REF!)))</f>
        <v>0</v>
      </c>
      <c r="AM121" s="230">
        <f ca="1">IF(ISERROR(LOOKUP(AM$16,$L121:$X121,#REF!)),0,(LOOKUP(AM$16,$L121:$X121,#REF!)))</f>
        <v>0</v>
      </c>
      <c r="AP121" s="212"/>
      <c r="AQ121" s="212"/>
      <c r="AR121" s="212"/>
      <c r="AS121" s="778"/>
      <c r="AW121" s="223" t="e">
        <v>#REF!</v>
      </c>
    </row>
    <row r="122" spans="1:49" s="166" customFormat="1" ht="18" customHeight="1">
      <c r="A122" s="736">
        <f>A119+1</f>
        <v>36</v>
      </c>
      <c r="B122" s="738"/>
      <c r="C122" s="741" t="s">
        <v>5285</v>
      </c>
      <c r="D122" s="741" t="s">
        <v>184</v>
      </c>
      <c r="E122" s="213"/>
      <c r="F122" s="759" t="s">
        <v>137</v>
      </c>
      <c r="G122" s="741" t="s">
        <v>73</v>
      </c>
      <c r="H122" s="746"/>
      <c r="I122" s="212" t="s">
        <v>8</v>
      </c>
      <c r="J122" s="249" t="s">
        <v>5236</v>
      </c>
      <c r="K122" s="215">
        <f>WORKDAY(L122,-INDEX(L$12:L$15,MATCH($I122,$I$12:$I$15,0)))</f>
        <v>46287</v>
      </c>
      <c r="L122" s="215">
        <f>WORKDAY(M122,-INDEX(M$12:M$15,MATCH($I122,$I$12:$I$15,0)))</f>
        <v>46290</v>
      </c>
      <c r="M122" s="215">
        <f>WORKDAY(N122,-INDEX(N$12:N$15,MATCH($I122,$I$12:$I$15,0)))</f>
        <v>46304</v>
      </c>
      <c r="N122" s="215">
        <f>WORKDAY(O122,-INDEX(O$12:O$15,MATCH($I122,$I$12:$I$15,0)))</f>
        <v>46307</v>
      </c>
      <c r="O122" s="215">
        <f>WORKDAY(R122,-INDEX(R$12:R$15,MATCH($I122,$I$12:$I$15,0)))</f>
        <v>46321</v>
      </c>
      <c r="P122" s="216">
        <f>U122-L122</f>
        <v>94</v>
      </c>
      <c r="Q122" s="217"/>
      <c r="R122" s="215">
        <f>WORKDAY(S122,-INDEX(S$12:S$15,MATCH($I122,$I$12:$I$15,0)))</f>
        <v>46335</v>
      </c>
      <c r="S122" s="215">
        <f>WORKDAY(T122,-INDEX(T$12:T$15,MATCH($I122,$I$12:$I$15,0)))</f>
        <v>46356</v>
      </c>
      <c r="T122" s="215">
        <f>WORKDAY(U122,-INDEX(U$12:U$15,MATCH($I122,$I$12:$I$15,0)))</f>
        <v>46370</v>
      </c>
      <c r="U122" s="215">
        <f>X122-Y122</f>
        <v>46384</v>
      </c>
      <c r="V122" s="215">
        <f>WORKDAY(U122,INDEX(V$12:V$15,MATCH($I122,$I$12:$I$15,0)))</f>
        <v>46386</v>
      </c>
      <c r="W122" s="218">
        <f>Y122/7</f>
        <v>22</v>
      </c>
      <c r="X122" s="215">
        <f>Z122</f>
        <v>46538</v>
      </c>
      <c r="Y122" s="768">
        <v>154</v>
      </c>
      <c r="Z122" s="773">
        <v>46538</v>
      </c>
      <c r="AA122" s="773">
        <v>46538</v>
      </c>
      <c r="AB122" s="777">
        <f>Z122-X123</f>
        <v>0</v>
      </c>
      <c r="AC122" s="220">
        <f>IF(ISERROR(LOOKUP(AC$16,$L122:$X122,#REF!)),0,(LOOKUP(AC$16,$L122:$X122,#REF!)))</f>
        <v>0</v>
      </c>
      <c r="AD122" s="221">
        <f>IF(ISERROR(LOOKUP(AD$16,$L122:$X122,#REF!)),0,(LOOKUP(AD$16,$L122:$X122,#REF!)))</f>
        <v>0</v>
      </c>
      <c r="AE122" s="221">
        <f>IF(ISERROR(LOOKUP(AE$16,$L122:$X122,#REF!)),0,(LOOKUP(AE$16,$L122:$X122,#REF!)))</f>
        <v>0</v>
      </c>
      <c r="AF122" s="221">
        <f>IF(ISERROR(LOOKUP(AF$16,$L122:$X122,#REF!)),0,(LOOKUP(AF$16,$L122:$X122,#REF!)))</f>
        <v>0</v>
      </c>
      <c r="AG122" s="221">
        <f>IF(ISERROR(LOOKUP(AG$16,$L122:$X122,#REF!)),0,(LOOKUP(AG$16,$L122:$X122,#REF!)))</f>
        <v>0</v>
      </c>
      <c r="AH122" s="221">
        <f>IF(ISERROR(LOOKUP(AH$16,$L122:$X122,#REF!)),0,(LOOKUP(AH$16,$L122:$X122,#REF!)))</f>
        <v>0</v>
      </c>
      <c r="AI122" s="221">
        <f>IF(ISERROR(LOOKUP(AI$16,$L122:$X122,#REF!)),0,(LOOKUP(AI$16,$L122:$X122,#REF!)))</f>
        <v>0</v>
      </c>
      <c r="AJ122" s="221">
        <f>IF(ISERROR(LOOKUP(AJ$16,$L122:$X122,#REF!)),0,(LOOKUP(AJ$16,$L122:$X122,#REF!)))</f>
        <v>0</v>
      </c>
      <c r="AK122" s="221">
        <f>IF(ISERROR(LOOKUP(AK$16,$L122:$X122,#REF!)),0,(LOOKUP(AK$16,$L122:$X122,#REF!)))</f>
        <v>0</v>
      </c>
      <c r="AL122" s="221">
        <f>IF(ISERROR(LOOKUP(AL$16,$L122:$X122,#REF!)),0,(LOOKUP(AL$16,$L122:$X122,#REF!)))</f>
        <v>0</v>
      </c>
      <c r="AM122" s="221">
        <f ca="1">IF(ISERROR(LOOKUP(AM$16,$L122:$X122,#REF!)),0,(LOOKUP(AM$16,$L122:$X122,#REF!)))</f>
        <v>0</v>
      </c>
      <c r="AP122" s="215" t="e">
        <f>WORKDAY(AQ122,-INDEX(AQ$12:AQ$15,MATCH($I122,$I$12:$I$15,0)),$AW$17:$AW$148)</f>
        <v>#REF!</v>
      </c>
      <c r="AQ122" s="215" t="e">
        <f>WORKDAY(U122,-INDEX(U$12:U$15,MATCH($I122,$I$12:$I$15,0)),$AW$17:$AW$148)</f>
        <v>#REF!</v>
      </c>
      <c r="AR122" s="215" t="e">
        <f>WORKDAY(U122,-INDEX(U$12:U$15,MATCH($I122,$I$12:$I$15,0)),$AW$17:$AW$148)</f>
        <v>#REF!</v>
      </c>
      <c r="AS122" s="778">
        <v>7</v>
      </c>
      <c r="AW122" s="223" t="e">
        <v>#REF!</v>
      </c>
    </row>
    <row r="123" spans="1:49" s="166" customFormat="1" ht="18" customHeight="1">
      <c r="A123" s="736"/>
      <c r="B123" s="739"/>
      <c r="C123" s="741" t="str">
        <f>C122</f>
        <v>RFQ-036</v>
      </c>
      <c r="D123" s="741" t="str">
        <f>D122</f>
        <v>Rrestriction Orifice</v>
      </c>
      <c r="E123" s="224"/>
      <c r="F123" s="760" t="str">
        <f>F122</f>
        <v>Instrument</v>
      </c>
      <c r="G123" s="741" t="str">
        <f>G122</f>
        <v>N</v>
      </c>
      <c r="H123" s="747"/>
      <c r="I123" s="212" t="str">
        <f>I122</f>
        <v>LC</v>
      </c>
      <c r="J123" s="249" t="s">
        <v>65</v>
      </c>
      <c r="K123" s="215">
        <f>K122</f>
        <v>46287</v>
      </c>
      <c r="L123" s="215">
        <f>WORKDAY(IF(K124="",K123,K124),INDEX(L$12:L$15,MATCH($I122,$I$12:$I$15,0)))</f>
        <v>46290</v>
      </c>
      <c r="M123" s="215">
        <f>WORKDAY(IF(L124="",L123,L124),INDEX(M$12:M$15,MATCH($I122,$I$12:$I$15,0)))</f>
        <v>46304</v>
      </c>
      <c r="N123" s="215">
        <f>WORKDAY(IF(M124="",M123,M124),INDEX(N$12:N$15,MATCH($I122,$I$12:$I$15,0)))</f>
        <v>46307</v>
      </c>
      <c r="O123" s="215">
        <f>WORKDAY(IF(N124="",N123,N124),INDEX(O$12:O$15,MATCH($I122,$I$12:$I$15,0)))</f>
        <v>46321</v>
      </c>
      <c r="P123" s="216"/>
      <c r="Q123" s="217"/>
      <c r="R123" s="215">
        <f>WORKDAY(IF(O124="",O123,O124),INDEX(R$12:R$15,MATCH($I122,$I$12:$I$15,0)))</f>
        <v>46335</v>
      </c>
      <c r="S123" s="215">
        <f>WORKDAY(IF(R124="",R123,R124),INDEX(S$12:S$15,MATCH($I122,$I$12:$I$15,0)))</f>
        <v>46356</v>
      </c>
      <c r="T123" s="215">
        <f>WORKDAY(IF(S124="",S123,S124),INDEX(T$12:T$15,MATCH($I122,$I$12:$I$15,0)))</f>
        <v>46370</v>
      </c>
      <c r="U123" s="215">
        <f>WORKDAY(IF(T124="",T123,T124),INDEX(U$12:U$15,MATCH($I122,$I$12:$I$15,0)))</f>
        <v>46384</v>
      </c>
      <c r="V123" s="215">
        <f>WORKDAY(IF(U124="",U123,U124),INDEX(V$12:V$15,MATCH($I122,$I$12:$I$15,0)))</f>
        <v>46386</v>
      </c>
      <c r="W123" s="218"/>
      <c r="X123" s="215">
        <f>U123+Y122</f>
        <v>46538</v>
      </c>
      <c r="Y123" s="768"/>
      <c r="Z123" s="773"/>
      <c r="AA123" s="773"/>
      <c r="AB123" s="777"/>
      <c r="AC123" s="220">
        <f>IF(ISERROR(LOOKUP(AC$16,$L123:$X123,#REF!)),0,(LOOKUP(AC$16,$L123:$X123,#REF!)))</f>
        <v>0</v>
      </c>
      <c r="AD123" s="221">
        <f>IF(ISERROR(LOOKUP(AD$16,$L123:$X123,#REF!)),0,(LOOKUP(AD$16,$L123:$X123,#REF!)))</f>
        <v>0</v>
      </c>
      <c r="AE123" s="221">
        <f>IF(ISERROR(LOOKUP(AE$16,$L123:$X123,#REF!)),0,(LOOKUP(AE$16,$L123:$X123,#REF!)))</f>
        <v>0</v>
      </c>
      <c r="AF123" s="221">
        <f>IF(ISERROR(LOOKUP(AF$16,$L123:$X123,#REF!)),0,(LOOKUP(AF$16,$L123:$X123,#REF!)))</f>
        <v>0</v>
      </c>
      <c r="AG123" s="221">
        <f>IF(ISERROR(LOOKUP(AG$16,$L123:$X123,#REF!)),0,(LOOKUP(AG$16,$L123:$X123,#REF!)))</f>
        <v>0</v>
      </c>
      <c r="AH123" s="221">
        <f>IF(ISERROR(LOOKUP(AH$16,$L123:$X123,#REF!)),0,(LOOKUP(AH$16,$L123:$X123,#REF!)))</f>
        <v>0</v>
      </c>
      <c r="AI123" s="221">
        <f>IF(ISERROR(LOOKUP(AI$16,$L123:$X123,#REF!)),0,(LOOKUP(AI$16,$L123:$X123,#REF!)))</f>
        <v>0</v>
      </c>
      <c r="AJ123" s="221">
        <f>IF(ISERROR(LOOKUP(AJ$16,$L123:$X123,#REF!)),0,(LOOKUP(AJ$16,$L123:$X123,#REF!)))</f>
        <v>0</v>
      </c>
      <c r="AK123" s="221">
        <f>IF(ISERROR(LOOKUP(AK$16,$L123:$X123,#REF!)),0,(LOOKUP(AK$16,$L123:$X123,#REF!)))</f>
        <v>0</v>
      </c>
      <c r="AL123" s="221">
        <f>IF(ISERROR(LOOKUP(AL$16,$L123:$X123,#REF!)),0,(LOOKUP(AL$16,$L123:$X123,#REF!)))</f>
        <v>0</v>
      </c>
      <c r="AM123" s="221">
        <f ca="1">IF(ISERROR(LOOKUP(AM$16,$L123:$X123,#REF!)),0,(LOOKUP(AM$16,$L123:$X123,#REF!)))</f>
        <v>0</v>
      </c>
      <c r="AP123" s="215" t="e">
        <f>WORKDAY(IF(T124="",T123,T124),INDEX(AP$12:AP$15,MATCH($I122,$I$12:$I$15,0)),$AW$17:$AW$148)</f>
        <v>#REF!</v>
      </c>
      <c r="AQ123" s="215" t="e">
        <f>WORKDAY(IF(AP124="",AP123,AP124),INDEX(AQ$12:AQ$15,MATCH($I122,$I$12:$I$15,0)),$AW$17:$AW$148)</f>
        <v>#REF!</v>
      </c>
      <c r="AR123" s="215" t="e">
        <f>WORKDAY(IF(AQ124="",AQ123,AQ124),INDEX(AR$12:AR$15,MATCH($I122,$I$12:$I$15,0)),$AW$17:$AW$148)</f>
        <v>#REF!</v>
      </c>
      <c r="AS123" s="778"/>
      <c r="AW123" s="223" t="e">
        <v>#REF!</v>
      </c>
    </row>
    <row r="124" spans="1:49" s="166" customFormat="1" ht="18" customHeight="1">
      <c r="A124" s="736"/>
      <c r="B124" s="740"/>
      <c r="C124" s="741" t="str">
        <f>C122</f>
        <v>RFQ-036</v>
      </c>
      <c r="D124" s="741" t="str">
        <f>D122</f>
        <v>Rrestriction Orifice</v>
      </c>
      <c r="E124" s="225"/>
      <c r="F124" s="761" t="str">
        <f>F122</f>
        <v>Instrument</v>
      </c>
      <c r="G124" s="741" t="str">
        <f>G122</f>
        <v>N</v>
      </c>
      <c r="H124" s="748"/>
      <c r="I124" s="212" t="str">
        <f>I122</f>
        <v>LC</v>
      </c>
      <c r="J124" s="249" t="s">
        <v>67</v>
      </c>
      <c r="K124" s="212"/>
      <c r="L124" s="212"/>
      <c r="M124" s="212"/>
      <c r="N124" s="212"/>
      <c r="O124" s="212"/>
      <c r="P124" s="226"/>
      <c r="Q124" s="227"/>
      <c r="R124" s="212"/>
      <c r="S124" s="212"/>
      <c r="T124" s="212"/>
      <c r="U124" s="212"/>
      <c r="V124" s="212"/>
      <c r="W124" s="228"/>
      <c r="X124" s="212"/>
      <c r="Y124" s="768"/>
      <c r="Z124" s="773"/>
      <c r="AA124" s="773"/>
      <c r="AB124" s="777"/>
      <c r="AC124" s="229">
        <f>IF(ISERROR(LOOKUP(AC$16,$L124:$X124,#REF!)),0,(LOOKUP(AC$16,$L124:$X124,#REF!)))</f>
        <v>0</v>
      </c>
      <c r="AD124" s="230">
        <f>IF(ISERROR(LOOKUP(AD$16,$L124:$X124,#REF!)),0,(LOOKUP(AD$16,$L124:$X124,#REF!)))</f>
        <v>0</v>
      </c>
      <c r="AE124" s="230">
        <f>IF(ISERROR(LOOKUP(AE$16,$L124:$X124,#REF!)),0,(LOOKUP(AE$16,$L124:$X124,#REF!)))</f>
        <v>0</v>
      </c>
      <c r="AF124" s="230">
        <f>IF(ISERROR(LOOKUP(AF$16,$L124:$X124,#REF!)),0,(LOOKUP(AF$16,$L124:$X124,#REF!)))</f>
        <v>0</v>
      </c>
      <c r="AG124" s="230">
        <f>IF(ISERROR(LOOKUP(AG$16,$L124:$X124,#REF!)),0,(LOOKUP(AG$16,$L124:$X124,#REF!)))</f>
        <v>0</v>
      </c>
      <c r="AH124" s="230">
        <f>IF(ISERROR(LOOKUP(AH$16,$L124:$X124,#REF!)),0,(LOOKUP(AH$16,$L124:$X124,#REF!)))</f>
        <v>0</v>
      </c>
      <c r="AI124" s="230">
        <f>IF(ISERROR(LOOKUP(AI$16,$L124:$X124,#REF!)),0,(LOOKUP(AI$16,$L124:$X124,#REF!)))</f>
        <v>0</v>
      </c>
      <c r="AJ124" s="230">
        <f>IF(ISERROR(LOOKUP(AJ$16,$L124:$X124,#REF!)),0,(LOOKUP(AJ$16,$L124:$X124,#REF!)))</f>
        <v>0</v>
      </c>
      <c r="AK124" s="230">
        <f>IF(ISERROR(LOOKUP(AK$16,$L124:$X124,#REF!)),0,(LOOKUP(AK$16,$L124:$X124,#REF!)))</f>
        <v>0</v>
      </c>
      <c r="AL124" s="230">
        <f>IF(ISERROR(LOOKUP(AL$16,$L124:$X124,#REF!)),0,(LOOKUP(AL$16,$L124:$X124,#REF!)))</f>
        <v>0</v>
      </c>
      <c r="AM124" s="230">
        <f ca="1">IF(ISERROR(LOOKUP(AM$16,$L124:$X124,#REF!)),0,(LOOKUP(AM$16,$L124:$X124,#REF!)))</f>
        <v>0</v>
      </c>
      <c r="AP124" s="212"/>
      <c r="AQ124" s="212"/>
      <c r="AR124" s="212"/>
      <c r="AS124" s="778"/>
      <c r="AW124" s="223" t="e">
        <v>#REF!</v>
      </c>
    </row>
    <row r="125" spans="1:49" s="166" customFormat="1" ht="18" customHeight="1">
      <c r="A125" s="736">
        <f>A122+1</f>
        <v>37</v>
      </c>
      <c r="B125" s="738"/>
      <c r="C125" s="741" t="s">
        <v>5286</v>
      </c>
      <c r="D125" s="741" t="s">
        <v>186</v>
      </c>
      <c r="E125" s="213"/>
      <c r="F125" s="759" t="s">
        <v>137</v>
      </c>
      <c r="G125" s="741" t="s">
        <v>73</v>
      </c>
      <c r="H125" s="746"/>
      <c r="I125" s="212" t="s">
        <v>7</v>
      </c>
      <c r="J125" s="249" t="s">
        <v>5236</v>
      </c>
      <c r="K125" s="215">
        <f>WORKDAY(L125,-INDEX(L$12:L$15,MATCH($I125,$I$12:$I$15,0)))</f>
        <v>46209</v>
      </c>
      <c r="L125" s="215">
        <f>WORKDAY(M125,-INDEX(M$12:M$15,MATCH($I125,$I$12:$I$15,0)))</f>
        <v>46210</v>
      </c>
      <c r="M125" s="215">
        <f>WORKDAY(N125,-INDEX(N$12:N$15,MATCH($I125,$I$12:$I$15,0)))</f>
        <v>46217</v>
      </c>
      <c r="N125" s="215">
        <f>WORKDAY(O125,-INDEX(O$12:O$15,MATCH($I125,$I$12:$I$15,0)))</f>
        <v>46218</v>
      </c>
      <c r="O125" s="215">
        <f>WORKDAY(R125,-INDEX(R$12:R$15,MATCH($I125,$I$12:$I$15,0)))</f>
        <v>46225</v>
      </c>
      <c r="P125" s="216">
        <f>U125-L125</f>
        <v>76</v>
      </c>
      <c r="Q125" s="217"/>
      <c r="R125" s="215">
        <f>WORKDAY(S125,-INDEX(S$12:S$15,MATCH($I125,$I$12:$I$15,0)))</f>
        <v>46239</v>
      </c>
      <c r="S125" s="215">
        <f>WORKDAY(T125,-INDEX(T$12:T$15,MATCH($I125,$I$12:$I$15,0)))</f>
        <v>46267</v>
      </c>
      <c r="T125" s="215">
        <f>WORKDAY(U125,-INDEX(U$12:U$15,MATCH($I125,$I$12:$I$15,0)))</f>
        <v>46272</v>
      </c>
      <c r="U125" s="215">
        <f>X125-Y125</f>
        <v>46286</v>
      </c>
      <c r="V125" s="215">
        <f>WORKDAY(U125,INDEX(V$12:V$15,MATCH($I125,$I$12:$I$15,0)))</f>
        <v>46288</v>
      </c>
      <c r="W125" s="218">
        <f>Y125/7</f>
        <v>36</v>
      </c>
      <c r="X125" s="215">
        <f>Z125</f>
        <v>46538</v>
      </c>
      <c r="Y125" s="768">
        <f>36*7</f>
        <v>252</v>
      </c>
      <c r="Z125" s="773">
        <v>46538</v>
      </c>
      <c r="AA125" s="773">
        <v>46538</v>
      </c>
      <c r="AB125" s="777">
        <f>Z125-X126</f>
        <v>0</v>
      </c>
      <c r="AC125" s="220">
        <f>IF(ISERROR(LOOKUP(AC$16,$L125:$X125,#REF!)),0,(LOOKUP(AC$16,$L125:$X125,#REF!)))</f>
        <v>0</v>
      </c>
      <c r="AD125" s="221">
        <f>IF(ISERROR(LOOKUP(AD$16,$L125:$X125,#REF!)),0,(LOOKUP(AD$16,$L125:$X125,#REF!)))</f>
        <v>0</v>
      </c>
      <c r="AE125" s="221">
        <f>IF(ISERROR(LOOKUP(AE$16,$L125:$X125,#REF!)),0,(LOOKUP(AE$16,$L125:$X125,#REF!)))</f>
        <v>0</v>
      </c>
      <c r="AF125" s="221">
        <f>IF(ISERROR(LOOKUP(AF$16,$L125:$X125,#REF!)),0,(LOOKUP(AF$16,$L125:$X125,#REF!)))</f>
        <v>0</v>
      </c>
      <c r="AG125" s="221">
        <f>IF(ISERROR(LOOKUP(AG$16,$L125:$X125,#REF!)),0,(LOOKUP(AG$16,$L125:$X125,#REF!)))</f>
        <v>0</v>
      </c>
      <c r="AH125" s="221">
        <f>IF(ISERROR(LOOKUP(AH$16,$L125:$X125,#REF!)),0,(LOOKUP(AH$16,$L125:$X125,#REF!)))</f>
        <v>0</v>
      </c>
      <c r="AI125" s="221">
        <f>IF(ISERROR(LOOKUP(AI$16,$L125:$X125,#REF!)),0,(LOOKUP(AI$16,$L125:$X125,#REF!)))</f>
        <v>0</v>
      </c>
      <c r="AJ125" s="221">
        <f>IF(ISERROR(LOOKUP(AJ$16,$L125:$X125,#REF!)),0,(LOOKUP(AJ$16,$L125:$X125,#REF!)))</f>
        <v>0</v>
      </c>
      <c r="AK125" s="221">
        <f>IF(ISERROR(LOOKUP(AK$16,$L125:$X125,#REF!)),0,(LOOKUP(AK$16,$L125:$X125,#REF!)))</f>
        <v>0</v>
      </c>
      <c r="AL125" s="221">
        <f>IF(ISERROR(LOOKUP(AL$16,$L125:$X125,#REF!)),0,(LOOKUP(AL$16,$L125:$X125,#REF!)))</f>
        <v>0</v>
      </c>
      <c r="AM125" s="221">
        <f ca="1">IF(ISERROR(LOOKUP(AM$16,$L125:$X125,#REF!)),0,(LOOKUP(AM$16,$L125:$X125,#REF!)))</f>
        <v>0</v>
      </c>
      <c r="AP125" s="215" t="e">
        <f>WORKDAY(AQ125,-INDEX(AQ$12:AQ$15,MATCH($I125,$I$12:$I$15,0)),$AW$17:$AW$148)</f>
        <v>#REF!</v>
      </c>
      <c r="AQ125" s="215" t="e">
        <f>WORKDAY(U125,-INDEX(U$12:U$15,MATCH($I125,$I$12:$I$15,0)),$AW$17:$AW$148)</f>
        <v>#REF!</v>
      </c>
      <c r="AR125" s="215" t="e">
        <f>WORKDAY(U125,-INDEX(U$12:U$15,MATCH($I125,$I$12:$I$15,0)),$AW$17:$AW$148)</f>
        <v>#REF!</v>
      </c>
      <c r="AS125" s="778">
        <v>7</v>
      </c>
      <c r="AW125" s="223" t="e">
        <v>#REF!</v>
      </c>
    </row>
    <row r="126" spans="1:49" s="166" customFormat="1" ht="18" customHeight="1">
      <c r="A126" s="736"/>
      <c r="B126" s="739"/>
      <c r="C126" s="741" t="str">
        <f>C125</f>
        <v>RFQ-037</v>
      </c>
      <c r="D126" s="741" t="str">
        <f>D125</f>
        <v>PLC System</v>
      </c>
      <c r="E126" s="224"/>
      <c r="F126" s="760" t="str">
        <f>F125</f>
        <v>Instrument</v>
      </c>
      <c r="G126" s="741" t="str">
        <f>G125</f>
        <v>N</v>
      </c>
      <c r="H126" s="747"/>
      <c r="I126" s="212" t="str">
        <f>I125</f>
        <v>LB</v>
      </c>
      <c r="J126" s="249" t="s">
        <v>65</v>
      </c>
      <c r="K126" s="215">
        <f>K125</f>
        <v>46209</v>
      </c>
      <c r="L126" s="215">
        <f>WORKDAY(IF(K127="",K126,K127),INDEX(L$12:L$15,MATCH($I125,$I$12:$I$15,0)))</f>
        <v>46210</v>
      </c>
      <c r="M126" s="215">
        <f>WORKDAY(IF(L127="",L126,L127),INDEX(M$12:M$15,MATCH($I125,$I$12:$I$15,0)))</f>
        <v>46217</v>
      </c>
      <c r="N126" s="215">
        <f>WORKDAY(IF(M127="",M126,M127),INDEX(N$12:N$15,MATCH($I125,$I$12:$I$15,0)))</f>
        <v>46218</v>
      </c>
      <c r="O126" s="215">
        <f>WORKDAY(IF(N127="",N126,N127),INDEX(O$12:O$15,MATCH($I125,$I$12:$I$15,0)))</f>
        <v>46225</v>
      </c>
      <c r="P126" s="216"/>
      <c r="Q126" s="217"/>
      <c r="R126" s="215">
        <f>WORKDAY(IF(O127="",O126,O127),INDEX(R$12:R$15,MATCH($I125,$I$12:$I$15,0)))</f>
        <v>46239</v>
      </c>
      <c r="S126" s="215">
        <f>WORKDAY(IF(R127="",R126,R127),INDEX(S$12:S$15,MATCH($I125,$I$12:$I$15,0)))</f>
        <v>46267</v>
      </c>
      <c r="T126" s="215">
        <f>WORKDAY(IF(S127="",S126,S127),INDEX(T$12:T$15,MATCH($I125,$I$12:$I$15,0)))</f>
        <v>46272</v>
      </c>
      <c r="U126" s="215">
        <f>WORKDAY(IF(T127="",T126,T127),INDEX(U$12:U$15,MATCH($I125,$I$12:$I$15,0)))</f>
        <v>46286</v>
      </c>
      <c r="V126" s="215">
        <f>WORKDAY(IF(U127="",U126,U127),INDEX(V$12:V$15,MATCH($I125,$I$12:$I$15,0)))</f>
        <v>46288</v>
      </c>
      <c r="W126" s="218"/>
      <c r="X126" s="215">
        <f>U126+Y125</f>
        <v>46538</v>
      </c>
      <c r="Y126" s="768"/>
      <c r="Z126" s="773"/>
      <c r="AA126" s="773"/>
      <c r="AB126" s="777"/>
      <c r="AC126" s="220">
        <f>IF(ISERROR(LOOKUP(AC$16,$L126:$X126,#REF!)),0,(LOOKUP(AC$16,$L126:$X126,#REF!)))</f>
        <v>0</v>
      </c>
      <c r="AD126" s="221">
        <f>IF(ISERROR(LOOKUP(AD$16,$L126:$X126,#REF!)),0,(LOOKUP(AD$16,$L126:$X126,#REF!)))</f>
        <v>0</v>
      </c>
      <c r="AE126" s="221">
        <f>IF(ISERROR(LOOKUP(AE$16,$L126:$X126,#REF!)),0,(LOOKUP(AE$16,$L126:$X126,#REF!)))</f>
        <v>0</v>
      </c>
      <c r="AF126" s="221">
        <f>IF(ISERROR(LOOKUP(AF$16,$L126:$X126,#REF!)),0,(LOOKUP(AF$16,$L126:$X126,#REF!)))</f>
        <v>0</v>
      </c>
      <c r="AG126" s="221">
        <f>IF(ISERROR(LOOKUP(AG$16,$L126:$X126,#REF!)),0,(LOOKUP(AG$16,$L126:$X126,#REF!)))</f>
        <v>0</v>
      </c>
      <c r="AH126" s="221">
        <f>IF(ISERROR(LOOKUP(AH$16,$L126:$X126,#REF!)),0,(LOOKUP(AH$16,$L126:$X126,#REF!)))</f>
        <v>0</v>
      </c>
      <c r="AI126" s="221">
        <f>IF(ISERROR(LOOKUP(AI$16,$L126:$X126,#REF!)),0,(LOOKUP(AI$16,$L126:$X126,#REF!)))</f>
        <v>0</v>
      </c>
      <c r="AJ126" s="221">
        <f>IF(ISERROR(LOOKUP(AJ$16,$L126:$X126,#REF!)),0,(LOOKUP(AJ$16,$L126:$X126,#REF!)))</f>
        <v>0</v>
      </c>
      <c r="AK126" s="221">
        <f>IF(ISERROR(LOOKUP(AK$16,$L126:$X126,#REF!)),0,(LOOKUP(AK$16,$L126:$X126,#REF!)))</f>
        <v>0</v>
      </c>
      <c r="AL126" s="221">
        <f>IF(ISERROR(LOOKUP(AL$16,$L126:$X126,#REF!)),0,(LOOKUP(AL$16,$L126:$X126,#REF!)))</f>
        <v>0</v>
      </c>
      <c r="AM126" s="221">
        <f ca="1">IF(ISERROR(LOOKUP(AM$16,$L126:$X126,#REF!)),0,(LOOKUP(AM$16,$L126:$X126,#REF!)))</f>
        <v>0</v>
      </c>
      <c r="AP126" s="215" t="e">
        <f>WORKDAY(IF(T127="",T126,T127),INDEX(AP$12:AP$15,MATCH($I125,$I$12:$I$15,0)),$AW$17:$AW$148)</f>
        <v>#REF!</v>
      </c>
      <c r="AQ126" s="215" t="e">
        <f>WORKDAY(IF(AP127="",AP126,AP127),INDEX(AQ$12:AQ$15,MATCH($I125,$I$12:$I$15,0)),$AW$17:$AW$148)</f>
        <v>#REF!</v>
      </c>
      <c r="AR126" s="215" t="e">
        <f>WORKDAY(IF(AQ127="",AQ126,AQ127),INDEX(AR$12:AR$15,MATCH($I125,$I$12:$I$15,0)),$AW$17:$AW$148)</f>
        <v>#REF!</v>
      </c>
      <c r="AS126" s="778"/>
      <c r="AW126" s="223" t="e">
        <v>#REF!</v>
      </c>
    </row>
    <row r="127" spans="1:49" s="166" customFormat="1" ht="18" customHeight="1">
      <c r="A127" s="736"/>
      <c r="B127" s="740"/>
      <c r="C127" s="741" t="str">
        <f>C125</f>
        <v>RFQ-037</v>
      </c>
      <c r="D127" s="741" t="str">
        <f>D125</f>
        <v>PLC System</v>
      </c>
      <c r="E127" s="225"/>
      <c r="F127" s="761" t="str">
        <f>F125</f>
        <v>Instrument</v>
      </c>
      <c r="G127" s="741" t="str">
        <f>G125</f>
        <v>N</v>
      </c>
      <c r="H127" s="748"/>
      <c r="I127" s="212" t="str">
        <f>I125</f>
        <v>LB</v>
      </c>
      <c r="J127" s="249" t="s">
        <v>67</v>
      </c>
      <c r="K127" s="212"/>
      <c r="L127" s="212"/>
      <c r="M127" s="212"/>
      <c r="N127" s="212"/>
      <c r="O127" s="212"/>
      <c r="P127" s="226"/>
      <c r="Q127" s="227"/>
      <c r="R127" s="212"/>
      <c r="S127" s="212"/>
      <c r="T127" s="212"/>
      <c r="U127" s="212"/>
      <c r="V127" s="212"/>
      <c r="W127" s="228"/>
      <c r="X127" s="212"/>
      <c r="Y127" s="768"/>
      <c r="Z127" s="773"/>
      <c r="AA127" s="773"/>
      <c r="AB127" s="777"/>
      <c r="AC127" s="229">
        <f>IF(ISERROR(LOOKUP(AC$16,$L127:$X127,#REF!)),0,(LOOKUP(AC$16,$L127:$X127,#REF!)))</f>
        <v>0</v>
      </c>
      <c r="AD127" s="230">
        <f>IF(ISERROR(LOOKUP(AD$16,$L127:$X127,#REF!)),0,(LOOKUP(AD$16,$L127:$X127,#REF!)))</f>
        <v>0</v>
      </c>
      <c r="AE127" s="230">
        <f>IF(ISERROR(LOOKUP(AE$16,$L127:$X127,#REF!)),0,(LOOKUP(AE$16,$L127:$X127,#REF!)))</f>
        <v>0</v>
      </c>
      <c r="AF127" s="230">
        <f>IF(ISERROR(LOOKUP(AF$16,$L127:$X127,#REF!)),0,(LOOKUP(AF$16,$L127:$X127,#REF!)))</f>
        <v>0</v>
      </c>
      <c r="AG127" s="230">
        <f>IF(ISERROR(LOOKUP(AG$16,$L127:$X127,#REF!)),0,(LOOKUP(AG$16,$L127:$X127,#REF!)))</f>
        <v>0</v>
      </c>
      <c r="AH127" s="230">
        <f>IF(ISERROR(LOOKUP(AH$16,$L127:$X127,#REF!)),0,(LOOKUP(AH$16,$L127:$X127,#REF!)))</f>
        <v>0</v>
      </c>
      <c r="AI127" s="230">
        <f>IF(ISERROR(LOOKUP(AI$16,$L127:$X127,#REF!)),0,(LOOKUP(AI$16,$L127:$X127,#REF!)))</f>
        <v>0</v>
      </c>
      <c r="AJ127" s="230">
        <f>IF(ISERROR(LOOKUP(AJ$16,$L127:$X127,#REF!)),0,(LOOKUP(AJ$16,$L127:$X127,#REF!)))</f>
        <v>0</v>
      </c>
      <c r="AK127" s="230">
        <f>IF(ISERROR(LOOKUP(AK$16,$L127:$X127,#REF!)),0,(LOOKUP(AK$16,$L127:$X127,#REF!)))</f>
        <v>0</v>
      </c>
      <c r="AL127" s="230">
        <f>IF(ISERROR(LOOKUP(AL$16,$L127:$X127,#REF!)),0,(LOOKUP(AL$16,$L127:$X127,#REF!)))</f>
        <v>0</v>
      </c>
      <c r="AM127" s="230">
        <f ca="1">IF(ISERROR(LOOKUP(AM$16,$L127:$X127,#REF!)),0,(LOOKUP(AM$16,$L127:$X127,#REF!)))</f>
        <v>0</v>
      </c>
      <c r="AP127" s="212"/>
      <c r="AQ127" s="212"/>
      <c r="AR127" s="212"/>
      <c r="AS127" s="778"/>
      <c r="AW127" s="223" t="e">
        <v>#REF!</v>
      </c>
    </row>
    <row r="128" spans="1:49" s="166" customFormat="1" ht="18" customHeight="1">
      <c r="A128" s="736">
        <f>A125+1</f>
        <v>38</v>
      </c>
      <c r="B128" s="738"/>
      <c r="C128" s="741" t="s">
        <v>5287</v>
      </c>
      <c r="D128" s="741" t="s">
        <v>189</v>
      </c>
      <c r="E128" s="213"/>
      <c r="F128" s="759" t="s">
        <v>137</v>
      </c>
      <c r="G128" s="741" t="s">
        <v>73</v>
      </c>
      <c r="H128" s="746"/>
      <c r="I128" s="212" t="s">
        <v>8</v>
      </c>
      <c r="J128" s="249" t="s">
        <v>5236</v>
      </c>
      <c r="K128" s="215">
        <f>WORKDAY(L128,-INDEX(L$12:L$15,MATCH($I128,$I$12:$I$15,0)))</f>
        <v>46310</v>
      </c>
      <c r="L128" s="215">
        <f>WORKDAY(M128,-INDEX(M$12:M$15,MATCH($I128,$I$12:$I$15,0)))</f>
        <v>46315</v>
      </c>
      <c r="M128" s="215">
        <f>WORKDAY(N128,-INDEX(N$12:N$15,MATCH($I128,$I$12:$I$15,0)))</f>
        <v>46329</v>
      </c>
      <c r="N128" s="215">
        <f>WORKDAY(O128,-INDEX(O$12:O$15,MATCH($I128,$I$12:$I$15,0)))</f>
        <v>46330</v>
      </c>
      <c r="O128" s="215">
        <f>WORKDAY(R128,-INDEX(R$12:R$15,MATCH($I128,$I$12:$I$15,0)))</f>
        <v>46344</v>
      </c>
      <c r="P128" s="216">
        <f>U128-L128</f>
        <v>92</v>
      </c>
      <c r="Q128" s="217"/>
      <c r="R128" s="215">
        <f>WORKDAY(S128,-INDEX(S$12:S$15,MATCH($I128,$I$12:$I$15,0)))</f>
        <v>46358</v>
      </c>
      <c r="S128" s="215">
        <f>WORKDAY(T128,-INDEX(T$12:T$15,MATCH($I128,$I$12:$I$15,0)))</f>
        <v>46379</v>
      </c>
      <c r="T128" s="215">
        <f>WORKDAY(U128,-INDEX(U$12:U$15,MATCH($I128,$I$12:$I$15,0)))</f>
        <v>46393</v>
      </c>
      <c r="U128" s="215">
        <f>X128-Y128</f>
        <v>46407</v>
      </c>
      <c r="V128" s="215">
        <f>WORKDAY(U128,INDEX(V$12:V$15,MATCH($I128,$I$12:$I$15,0)))</f>
        <v>46409</v>
      </c>
      <c r="W128" s="218">
        <f>Y128/7</f>
        <v>18.714285714285701</v>
      </c>
      <c r="X128" s="215">
        <f>Z128</f>
        <v>46538</v>
      </c>
      <c r="Y128" s="768">
        <v>131</v>
      </c>
      <c r="Z128" s="773">
        <v>46538</v>
      </c>
      <c r="AA128" s="773">
        <v>46538</v>
      </c>
      <c r="AB128" s="777">
        <f>Z128-X129</f>
        <v>0</v>
      </c>
      <c r="AC128" s="220">
        <f>IF(ISERROR(LOOKUP(AC$16,$L128:$X128,#REF!)),0,(LOOKUP(AC$16,$L128:$X128,#REF!)))</f>
        <v>0</v>
      </c>
      <c r="AD128" s="221">
        <f>IF(ISERROR(LOOKUP(AD$16,$L128:$X128,#REF!)),0,(LOOKUP(AD$16,$L128:$X128,#REF!)))</f>
        <v>0</v>
      </c>
      <c r="AE128" s="221">
        <f>IF(ISERROR(LOOKUP(AE$16,$L128:$X128,#REF!)),0,(LOOKUP(AE$16,$L128:$X128,#REF!)))</f>
        <v>0</v>
      </c>
      <c r="AF128" s="221">
        <f>IF(ISERROR(LOOKUP(AF$16,$L128:$X128,#REF!)),0,(LOOKUP(AF$16,$L128:$X128,#REF!)))</f>
        <v>0</v>
      </c>
      <c r="AG128" s="221">
        <f>IF(ISERROR(LOOKUP(AG$16,$L128:$X128,#REF!)),0,(LOOKUP(AG$16,$L128:$X128,#REF!)))</f>
        <v>0</v>
      </c>
      <c r="AH128" s="221">
        <f>IF(ISERROR(LOOKUP(AH$16,$L128:$X128,#REF!)),0,(LOOKUP(AH$16,$L128:$X128,#REF!)))</f>
        <v>0</v>
      </c>
      <c r="AI128" s="221">
        <f>IF(ISERROR(LOOKUP(AI$16,$L128:$X128,#REF!)),0,(LOOKUP(AI$16,$L128:$X128,#REF!)))</f>
        <v>0</v>
      </c>
      <c r="AJ128" s="221">
        <f>IF(ISERROR(LOOKUP(AJ$16,$L128:$X128,#REF!)),0,(LOOKUP(AJ$16,$L128:$X128,#REF!)))</f>
        <v>0</v>
      </c>
      <c r="AK128" s="221">
        <f>IF(ISERROR(LOOKUP(AK$16,$L128:$X128,#REF!)),0,(LOOKUP(AK$16,$L128:$X128,#REF!)))</f>
        <v>0</v>
      </c>
      <c r="AL128" s="221">
        <f>IF(ISERROR(LOOKUP(AL$16,$L128:$X128,#REF!)),0,(LOOKUP(AL$16,$L128:$X128,#REF!)))</f>
        <v>0</v>
      </c>
      <c r="AM128" s="221">
        <f ca="1">IF(ISERROR(LOOKUP(AM$16,$L128:$X128,#REF!)),0,(LOOKUP(AM$16,$L128:$X128,#REF!)))</f>
        <v>0</v>
      </c>
      <c r="AP128" s="215" t="e">
        <f>WORKDAY(AQ128,-INDEX(AQ$12:AQ$15,MATCH($I128,$I$12:$I$15,0)),$AW$17:$AW$148)</f>
        <v>#REF!</v>
      </c>
      <c r="AQ128" s="215" t="e">
        <f>WORKDAY(U128,-INDEX(U$12:U$15,MATCH($I128,$I$12:$I$15,0)),$AW$17:$AW$148)</f>
        <v>#REF!</v>
      </c>
      <c r="AR128" s="215" t="e">
        <f>WORKDAY(U128,-INDEX(U$12:U$15,MATCH($I128,$I$12:$I$15,0)),$AW$17:$AW$148)</f>
        <v>#REF!</v>
      </c>
      <c r="AS128" s="778">
        <v>7</v>
      </c>
      <c r="AW128" s="223" t="e">
        <v>#REF!</v>
      </c>
    </row>
    <row r="129" spans="1:49" s="166" customFormat="1" ht="18" customHeight="1">
      <c r="A129" s="736"/>
      <c r="B129" s="739"/>
      <c r="C129" s="741" t="str">
        <f>C128</f>
        <v>RFQ-038</v>
      </c>
      <c r="D129" s="741" t="str">
        <f>D128</f>
        <v>Fire and Gas Detector</v>
      </c>
      <c r="E129" s="224"/>
      <c r="F129" s="760" t="str">
        <f>F128</f>
        <v>Instrument</v>
      </c>
      <c r="G129" s="741" t="str">
        <f>G128</f>
        <v>N</v>
      </c>
      <c r="H129" s="747"/>
      <c r="I129" s="212" t="str">
        <f>I128</f>
        <v>LC</v>
      </c>
      <c r="J129" s="249" t="s">
        <v>65</v>
      </c>
      <c r="K129" s="215">
        <f>K128</f>
        <v>46310</v>
      </c>
      <c r="L129" s="215">
        <f>WORKDAY(IF(K130="",K129,K130),INDEX(L$12:L$15,MATCH($I128,$I$12:$I$15,0)))</f>
        <v>46315</v>
      </c>
      <c r="M129" s="215">
        <f>WORKDAY(IF(L130="",L129,L130),INDEX(M$12:M$15,MATCH($I128,$I$12:$I$15,0)))</f>
        <v>46329</v>
      </c>
      <c r="N129" s="215">
        <f>WORKDAY(IF(M130="",M129,M130),INDEX(N$12:N$15,MATCH($I128,$I$12:$I$15,0)))</f>
        <v>46330</v>
      </c>
      <c r="O129" s="215">
        <f>WORKDAY(IF(N130="",N129,N130),INDEX(O$12:O$15,MATCH($I128,$I$12:$I$15,0)))</f>
        <v>46344</v>
      </c>
      <c r="P129" s="216"/>
      <c r="Q129" s="217"/>
      <c r="R129" s="215">
        <f>WORKDAY(IF(O130="",O129,O130),INDEX(R$12:R$15,MATCH($I128,$I$12:$I$15,0)))</f>
        <v>46358</v>
      </c>
      <c r="S129" s="215">
        <f>WORKDAY(IF(R130="",R129,R130),INDEX(S$12:S$15,MATCH($I128,$I$12:$I$15,0)))</f>
        <v>46379</v>
      </c>
      <c r="T129" s="215">
        <f>WORKDAY(IF(S130="",S129,S130),INDEX(T$12:T$15,MATCH($I128,$I$12:$I$15,0)))</f>
        <v>46393</v>
      </c>
      <c r="U129" s="215">
        <f>WORKDAY(IF(T130="",T129,T130),INDEX(U$12:U$15,MATCH($I128,$I$12:$I$15,0)))</f>
        <v>46407</v>
      </c>
      <c r="V129" s="215">
        <f>WORKDAY(IF(U130="",U129,U130),INDEX(V$12:V$15,MATCH($I128,$I$12:$I$15,0)))</f>
        <v>46409</v>
      </c>
      <c r="W129" s="218"/>
      <c r="X129" s="215">
        <f>U129+Y128</f>
        <v>46538</v>
      </c>
      <c r="Y129" s="768"/>
      <c r="Z129" s="773"/>
      <c r="AA129" s="773"/>
      <c r="AB129" s="777"/>
      <c r="AC129" s="220">
        <f>IF(ISERROR(LOOKUP(AC$16,$L129:$X129,#REF!)),0,(LOOKUP(AC$16,$L129:$X129,#REF!)))</f>
        <v>0</v>
      </c>
      <c r="AD129" s="221">
        <f>IF(ISERROR(LOOKUP(AD$16,$L129:$X129,#REF!)),0,(LOOKUP(AD$16,$L129:$X129,#REF!)))</f>
        <v>0</v>
      </c>
      <c r="AE129" s="221">
        <f>IF(ISERROR(LOOKUP(AE$16,$L129:$X129,#REF!)),0,(LOOKUP(AE$16,$L129:$X129,#REF!)))</f>
        <v>0</v>
      </c>
      <c r="AF129" s="221">
        <f>IF(ISERROR(LOOKUP(AF$16,$L129:$X129,#REF!)),0,(LOOKUP(AF$16,$L129:$X129,#REF!)))</f>
        <v>0</v>
      </c>
      <c r="AG129" s="221">
        <f>IF(ISERROR(LOOKUP(AG$16,$L129:$X129,#REF!)),0,(LOOKUP(AG$16,$L129:$X129,#REF!)))</f>
        <v>0</v>
      </c>
      <c r="AH129" s="221">
        <f>IF(ISERROR(LOOKUP(AH$16,$L129:$X129,#REF!)),0,(LOOKUP(AH$16,$L129:$X129,#REF!)))</f>
        <v>0</v>
      </c>
      <c r="AI129" s="221">
        <f>IF(ISERROR(LOOKUP(AI$16,$L129:$X129,#REF!)),0,(LOOKUP(AI$16,$L129:$X129,#REF!)))</f>
        <v>0</v>
      </c>
      <c r="AJ129" s="221">
        <f>IF(ISERROR(LOOKUP(AJ$16,$L129:$X129,#REF!)),0,(LOOKUP(AJ$16,$L129:$X129,#REF!)))</f>
        <v>0</v>
      </c>
      <c r="AK129" s="221">
        <f>IF(ISERROR(LOOKUP(AK$16,$L129:$X129,#REF!)),0,(LOOKUP(AK$16,$L129:$X129,#REF!)))</f>
        <v>0</v>
      </c>
      <c r="AL129" s="221">
        <f>IF(ISERROR(LOOKUP(AL$16,$L129:$X129,#REF!)),0,(LOOKUP(AL$16,$L129:$X129,#REF!)))</f>
        <v>0</v>
      </c>
      <c r="AM129" s="221">
        <f ca="1">IF(ISERROR(LOOKUP(AM$16,$L129:$X129,#REF!)),0,(LOOKUP(AM$16,$L129:$X129,#REF!)))</f>
        <v>0</v>
      </c>
      <c r="AP129" s="215" t="e">
        <f>WORKDAY(IF(T130="",T129,T130),INDEX(AP$12:AP$15,MATCH($I128,$I$12:$I$15,0)),$AW$17:$AW$148)</f>
        <v>#REF!</v>
      </c>
      <c r="AQ129" s="215" t="e">
        <f>WORKDAY(IF(AP130="",AP129,AP130),INDEX(AQ$12:AQ$15,MATCH($I128,$I$12:$I$15,0)),$AW$17:$AW$148)</f>
        <v>#REF!</v>
      </c>
      <c r="AR129" s="215" t="e">
        <f>WORKDAY(IF(AQ130="",AQ129,AQ130),INDEX(AR$12:AR$15,MATCH($I128,$I$12:$I$15,0)),$AW$17:$AW$148)</f>
        <v>#REF!</v>
      </c>
      <c r="AS129" s="778"/>
      <c r="AW129" s="223" t="e">
        <v>#REF!</v>
      </c>
    </row>
    <row r="130" spans="1:49" s="166" customFormat="1" ht="18" customHeight="1">
      <c r="A130" s="736"/>
      <c r="B130" s="740"/>
      <c r="C130" s="741" t="str">
        <f>C128</f>
        <v>RFQ-038</v>
      </c>
      <c r="D130" s="741" t="str">
        <f>D128</f>
        <v>Fire and Gas Detector</v>
      </c>
      <c r="E130" s="225"/>
      <c r="F130" s="761" t="str">
        <f>F128</f>
        <v>Instrument</v>
      </c>
      <c r="G130" s="741" t="str">
        <f>G128</f>
        <v>N</v>
      </c>
      <c r="H130" s="748"/>
      <c r="I130" s="212" t="str">
        <f>I128</f>
        <v>LC</v>
      </c>
      <c r="J130" s="249" t="s">
        <v>67</v>
      </c>
      <c r="K130" s="212"/>
      <c r="L130" s="212"/>
      <c r="M130" s="212"/>
      <c r="N130" s="212"/>
      <c r="O130" s="212"/>
      <c r="P130" s="226"/>
      <c r="Q130" s="227"/>
      <c r="R130" s="212"/>
      <c r="S130" s="212"/>
      <c r="T130" s="212"/>
      <c r="U130" s="212"/>
      <c r="V130" s="212"/>
      <c r="W130" s="228"/>
      <c r="X130" s="212"/>
      <c r="Y130" s="768"/>
      <c r="Z130" s="773"/>
      <c r="AA130" s="773"/>
      <c r="AB130" s="777"/>
      <c r="AC130" s="229">
        <f>IF(ISERROR(LOOKUP(AC$16,$L130:$X130,#REF!)),0,(LOOKUP(AC$16,$L130:$X130,#REF!)))</f>
        <v>0</v>
      </c>
      <c r="AD130" s="230">
        <f>IF(ISERROR(LOOKUP(AD$16,$L130:$X130,#REF!)),0,(LOOKUP(AD$16,$L130:$X130,#REF!)))</f>
        <v>0</v>
      </c>
      <c r="AE130" s="230">
        <f>IF(ISERROR(LOOKUP(AE$16,$L130:$X130,#REF!)),0,(LOOKUP(AE$16,$L130:$X130,#REF!)))</f>
        <v>0</v>
      </c>
      <c r="AF130" s="230">
        <f>IF(ISERROR(LOOKUP(AF$16,$L130:$X130,#REF!)),0,(LOOKUP(AF$16,$L130:$X130,#REF!)))</f>
        <v>0</v>
      </c>
      <c r="AG130" s="230">
        <f>IF(ISERROR(LOOKUP(AG$16,$L130:$X130,#REF!)),0,(LOOKUP(AG$16,$L130:$X130,#REF!)))</f>
        <v>0</v>
      </c>
      <c r="AH130" s="230">
        <f>IF(ISERROR(LOOKUP(AH$16,$L130:$X130,#REF!)),0,(LOOKUP(AH$16,$L130:$X130,#REF!)))</f>
        <v>0</v>
      </c>
      <c r="AI130" s="230">
        <f>IF(ISERROR(LOOKUP(AI$16,$L130:$X130,#REF!)),0,(LOOKUP(AI$16,$L130:$X130,#REF!)))</f>
        <v>0</v>
      </c>
      <c r="AJ130" s="230">
        <f>IF(ISERROR(LOOKUP(AJ$16,$L130:$X130,#REF!)),0,(LOOKUP(AJ$16,$L130:$X130,#REF!)))</f>
        <v>0</v>
      </c>
      <c r="AK130" s="230">
        <f>IF(ISERROR(LOOKUP(AK$16,$L130:$X130,#REF!)),0,(LOOKUP(AK$16,$L130:$X130,#REF!)))</f>
        <v>0</v>
      </c>
      <c r="AL130" s="230">
        <f>IF(ISERROR(LOOKUP(AL$16,$L130:$X130,#REF!)),0,(LOOKUP(AL$16,$L130:$X130,#REF!)))</f>
        <v>0</v>
      </c>
      <c r="AM130" s="230">
        <f ca="1">IF(ISERROR(LOOKUP(AM$16,$L130:$X130,#REF!)),0,(LOOKUP(AM$16,$L130:$X130,#REF!)))</f>
        <v>0</v>
      </c>
      <c r="AP130" s="212"/>
      <c r="AQ130" s="212"/>
      <c r="AR130" s="212"/>
      <c r="AS130" s="778"/>
      <c r="AW130" s="223" t="e">
        <v>#REF!</v>
      </c>
    </row>
    <row r="131" spans="1:49" s="166" customFormat="1" ht="18" customHeight="1">
      <c r="A131" s="736">
        <f>A128+1</f>
        <v>39</v>
      </c>
      <c r="B131" s="738"/>
      <c r="C131" s="741" t="s">
        <v>5288</v>
      </c>
      <c r="D131" s="741" t="s">
        <v>5289</v>
      </c>
      <c r="E131" s="213"/>
      <c r="F131" s="759" t="s">
        <v>137</v>
      </c>
      <c r="G131" s="741" t="s">
        <v>73</v>
      </c>
      <c r="H131" s="746"/>
      <c r="I131" s="212" t="s">
        <v>8</v>
      </c>
      <c r="J131" s="249" t="s">
        <v>5236</v>
      </c>
      <c r="K131" s="215">
        <f>WORKDAY(L131,-INDEX(L$12:L$15,MATCH($I131,$I$12:$I$15,0)))</f>
        <v>46315</v>
      </c>
      <c r="L131" s="215">
        <f>WORKDAY(M131,-INDEX(M$12:M$15,MATCH($I131,$I$12:$I$15,0)))</f>
        <v>46318</v>
      </c>
      <c r="M131" s="215">
        <f>WORKDAY(N131,-INDEX(N$12:N$15,MATCH($I131,$I$12:$I$15,0)))</f>
        <v>46332</v>
      </c>
      <c r="N131" s="215">
        <f>WORKDAY(O131,-INDEX(O$12:O$15,MATCH($I131,$I$12:$I$15,0)))</f>
        <v>46335</v>
      </c>
      <c r="O131" s="215">
        <f>WORKDAY(R131,-INDEX(R$12:R$15,MATCH($I131,$I$12:$I$15,0)))</f>
        <v>46349</v>
      </c>
      <c r="P131" s="216">
        <f>U131-L131</f>
        <v>94</v>
      </c>
      <c r="Q131" s="217"/>
      <c r="R131" s="215">
        <f>WORKDAY(S131,-INDEX(S$12:S$15,MATCH($I131,$I$12:$I$15,0)))</f>
        <v>46363</v>
      </c>
      <c r="S131" s="215">
        <f>WORKDAY(T131,-INDEX(T$12:T$15,MATCH($I131,$I$12:$I$15,0)))</f>
        <v>46384</v>
      </c>
      <c r="T131" s="215">
        <f>WORKDAY(U131,-INDEX(U$12:U$15,MATCH($I131,$I$12:$I$15,0)))</f>
        <v>46398</v>
      </c>
      <c r="U131" s="215">
        <f>X131-Y131</f>
        <v>46412</v>
      </c>
      <c r="V131" s="215">
        <f>WORKDAY(U131,INDEX(V$12:V$15,MATCH($I131,$I$12:$I$15,0)))</f>
        <v>46414</v>
      </c>
      <c r="W131" s="218">
        <f>Y131/7</f>
        <v>18</v>
      </c>
      <c r="X131" s="215">
        <f>Z131</f>
        <v>46538</v>
      </c>
      <c r="Y131" s="768">
        <f>18*7</f>
        <v>126</v>
      </c>
      <c r="Z131" s="773">
        <v>46538</v>
      </c>
      <c r="AA131" s="773">
        <v>46538</v>
      </c>
      <c r="AB131" s="777">
        <f>Z131-X132</f>
        <v>0</v>
      </c>
      <c r="AC131" s="220">
        <f>IF(ISERROR(LOOKUP(AC$16,$L131:$X131,#REF!)),0,(LOOKUP(AC$16,$L131:$X131,#REF!)))</f>
        <v>0</v>
      </c>
      <c r="AD131" s="221">
        <f>IF(ISERROR(LOOKUP(AD$16,$L131:$X131,#REF!)),0,(LOOKUP(AD$16,$L131:$X131,#REF!)))</f>
        <v>0</v>
      </c>
      <c r="AE131" s="221">
        <f>IF(ISERROR(LOOKUP(AE$16,$L131:$X131,#REF!)),0,(LOOKUP(AE$16,$L131:$X131,#REF!)))</f>
        <v>0</v>
      </c>
      <c r="AF131" s="221">
        <f>IF(ISERROR(LOOKUP(AF$16,$L131:$X131,#REF!)),0,(LOOKUP(AF$16,$L131:$X131,#REF!)))</f>
        <v>0</v>
      </c>
      <c r="AG131" s="221">
        <f>IF(ISERROR(LOOKUP(AG$16,$L131:$X131,#REF!)),0,(LOOKUP(AG$16,$L131:$X131,#REF!)))</f>
        <v>0</v>
      </c>
      <c r="AH131" s="221">
        <f>IF(ISERROR(LOOKUP(AH$16,$L131:$X131,#REF!)),0,(LOOKUP(AH$16,$L131:$X131,#REF!)))</f>
        <v>0</v>
      </c>
      <c r="AI131" s="221">
        <f>IF(ISERROR(LOOKUP(AI$16,$L131:$X131,#REF!)),0,(LOOKUP(AI$16,$L131:$X131,#REF!)))</f>
        <v>0</v>
      </c>
      <c r="AJ131" s="221">
        <f>IF(ISERROR(LOOKUP(AJ$16,$L131:$X131,#REF!)),0,(LOOKUP(AJ$16,$L131:$X131,#REF!)))</f>
        <v>0</v>
      </c>
      <c r="AK131" s="221">
        <f>IF(ISERROR(LOOKUP(AK$16,$L131:$X131,#REF!)),0,(LOOKUP(AK$16,$L131:$X131,#REF!)))</f>
        <v>0</v>
      </c>
      <c r="AL131" s="221">
        <f>IF(ISERROR(LOOKUP(AL$16,$L131:$X131,#REF!)),0,(LOOKUP(AL$16,$L131:$X131,#REF!)))</f>
        <v>0</v>
      </c>
      <c r="AM131" s="221">
        <f ca="1">IF(ISERROR(LOOKUP(AM$16,$L131:$X131,#REF!)),0,(LOOKUP(AM$16,$L131:$X131,#REF!)))</f>
        <v>0</v>
      </c>
      <c r="AP131" s="215" t="e">
        <f>WORKDAY(AQ131,-INDEX(AQ$12:AQ$15,MATCH($I131,$I$12:$I$15,0)),$AW$17:$AW$148)</f>
        <v>#REF!</v>
      </c>
      <c r="AQ131" s="215" t="e">
        <f>WORKDAY(U131,-INDEX(U$12:U$15,MATCH($I131,$I$12:$I$15,0)),$AW$17:$AW$148)</f>
        <v>#REF!</v>
      </c>
      <c r="AR131" s="215" t="e">
        <f>WORKDAY(U131,-INDEX(U$12:U$15,MATCH($I131,$I$12:$I$15,0)),$AW$17:$AW$148)</f>
        <v>#REF!</v>
      </c>
      <c r="AS131" s="778">
        <v>7</v>
      </c>
      <c r="AW131" s="223" t="e">
        <v>#REF!</v>
      </c>
    </row>
    <row r="132" spans="1:49" s="166" customFormat="1" ht="18" customHeight="1">
      <c r="A132" s="736"/>
      <c r="B132" s="739"/>
      <c r="C132" s="741" t="str">
        <f>C131</f>
        <v>RFQ-039</v>
      </c>
      <c r="D132" s="741" t="str">
        <f>D131</f>
        <v>Dip Tape Level Indicator</v>
      </c>
      <c r="E132" s="224"/>
      <c r="F132" s="760" t="str">
        <f>F131</f>
        <v>Instrument</v>
      </c>
      <c r="G132" s="741" t="str">
        <f>G131</f>
        <v>N</v>
      </c>
      <c r="H132" s="747"/>
      <c r="I132" s="212" t="str">
        <f>I131</f>
        <v>LC</v>
      </c>
      <c r="J132" s="249" t="s">
        <v>65</v>
      </c>
      <c r="K132" s="215">
        <f>K131</f>
        <v>46315</v>
      </c>
      <c r="L132" s="215">
        <f>WORKDAY(IF(K133="",K132,K133),INDEX(L$12:L$15,MATCH($I131,$I$12:$I$15,0)))</f>
        <v>46318</v>
      </c>
      <c r="M132" s="215">
        <f>WORKDAY(IF(L133="",L132,L133),INDEX(M$12:M$15,MATCH($I131,$I$12:$I$15,0)))</f>
        <v>46332</v>
      </c>
      <c r="N132" s="215">
        <f>WORKDAY(IF(M133="",M132,M133),INDEX(N$12:N$15,MATCH($I131,$I$12:$I$15,0)))</f>
        <v>46335</v>
      </c>
      <c r="O132" s="215">
        <f>WORKDAY(IF(N133="",N132,N133),INDEX(O$12:O$15,MATCH($I131,$I$12:$I$15,0)))</f>
        <v>46349</v>
      </c>
      <c r="P132" s="216"/>
      <c r="Q132" s="217"/>
      <c r="R132" s="215">
        <f>WORKDAY(IF(O133="",O132,O133),INDEX(R$12:R$15,MATCH($I131,$I$12:$I$15,0)))</f>
        <v>46363</v>
      </c>
      <c r="S132" s="215">
        <f>WORKDAY(IF(R133="",R132,R133),INDEX(S$12:S$15,MATCH($I131,$I$12:$I$15,0)))</f>
        <v>46384</v>
      </c>
      <c r="T132" s="215">
        <f>WORKDAY(IF(S133="",S132,S133),INDEX(T$12:T$15,MATCH($I131,$I$12:$I$15,0)))</f>
        <v>46398</v>
      </c>
      <c r="U132" s="215">
        <f>WORKDAY(IF(T133="",T132,T133),INDEX(U$12:U$15,MATCH($I131,$I$12:$I$15,0)))</f>
        <v>46412</v>
      </c>
      <c r="V132" s="215">
        <f>WORKDAY(IF(U133="",U132,U133),INDEX(V$12:V$15,MATCH($I131,$I$12:$I$15,0)))</f>
        <v>46414</v>
      </c>
      <c r="W132" s="218"/>
      <c r="X132" s="215">
        <f>U132+Y131</f>
        <v>46538</v>
      </c>
      <c r="Y132" s="768"/>
      <c r="Z132" s="773"/>
      <c r="AA132" s="773"/>
      <c r="AB132" s="777"/>
      <c r="AC132" s="220">
        <f>IF(ISERROR(LOOKUP(AC$16,$L132:$X132,#REF!)),0,(LOOKUP(AC$16,$L132:$X132,#REF!)))</f>
        <v>0</v>
      </c>
      <c r="AD132" s="221">
        <f>IF(ISERROR(LOOKUP(AD$16,$L132:$X132,#REF!)),0,(LOOKUP(AD$16,$L132:$X132,#REF!)))</f>
        <v>0</v>
      </c>
      <c r="AE132" s="221">
        <f>IF(ISERROR(LOOKUP(AE$16,$L132:$X132,#REF!)),0,(LOOKUP(AE$16,$L132:$X132,#REF!)))</f>
        <v>0</v>
      </c>
      <c r="AF132" s="221">
        <f>IF(ISERROR(LOOKUP(AF$16,$L132:$X132,#REF!)),0,(LOOKUP(AF$16,$L132:$X132,#REF!)))</f>
        <v>0</v>
      </c>
      <c r="AG132" s="221">
        <f>IF(ISERROR(LOOKUP(AG$16,$L132:$X132,#REF!)),0,(LOOKUP(AG$16,$L132:$X132,#REF!)))</f>
        <v>0</v>
      </c>
      <c r="AH132" s="221">
        <f>IF(ISERROR(LOOKUP(AH$16,$L132:$X132,#REF!)),0,(LOOKUP(AH$16,$L132:$X132,#REF!)))</f>
        <v>0</v>
      </c>
      <c r="AI132" s="221">
        <f>IF(ISERROR(LOOKUP(AI$16,$L132:$X132,#REF!)),0,(LOOKUP(AI$16,$L132:$X132,#REF!)))</f>
        <v>0</v>
      </c>
      <c r="AJ132" s="221">
        <f>IF(ISERROR(LOOKUP(AJ$16,$L132:$X132,#REF!)),0,(LOOKUP(AJ$16,$L132:$X132,#REF!)))</f>
        <v>0</v>
      </c>
      <c r="AK132" s="221">
        <f>IF(ISERROR(LOOKUP(AK$16,$L132:$X132,#REF!)),0,(LOOKUP(AK$16,$L132:$X132,#REF!)))</f>
        <v>0</v>
      </c>
      <c r="AL132" s="221">
        <f>IF(ISERROR(LOOKUP(AL$16,$L132:$X132,#REF!)),0,(LOOKUP(AL$16,$L132:$X132,#REF!)))</f>
        <v>0</v>
      </c>
      <c r="AM132" s="221">
        <f ca="1">IF(ISERROR(LOOKUP(AM$16,$L132:$X132,#REF!)),0,(LOOKUP(AM$16,$L132:$X132,#REF!)))</f>
        <v>0</v>
      </c>
      <c r="AP132" s="215" t="e">
        <f>WORKDAY(IF(T133="",T132,T133),INDEX(AP$12:AP$15,MATCH($I131,$I$12:$I$15,0)),$AW$17:$AW$148)</f>
        <v>#REF!</v>
      </c>
      <c r="AQ132" s="215" t="e">
        <f>WORKDAY(IF(AP133="",AP132,AP133),INDEX(AQ$12:AQ$15,MATCH($I131,$I$12:$I$15,0)),$AW$17:$AW$148)</f>
        <v>#REF!</v>
      </c>
      <c r="AR132" s="215" t="e">
        <f>WORKDAY(IF(AQ133="",AQ132,AQ133),INDEX(AR$12:AR$15,MATCH($I131,$I$12:$I$15,0)),$AW$17:$AW$148)</f>
        <v>#REF!</v>
      </c>
      <c r="AS132" s="778"/>
      <c r="AW132" s="223" t="e">
        <v>#REF!</v>
      </c>
    </row>
    <row r="133" spans="1:49" s="166" customFormat="1" ht="18" customHeight="1">
      <c r="A133" s="736"/>
      <c r="B133" s="740"/>
      <c r="C133" s="741" t="str">
        <f>C131</f>
        <v>RFQ-039</v>
      </c>
      <c r="D133" s="741" t="str">
        <f>D131</f>
        <v>Dip Tape Level Indicator</v>
      </c>
      <c r="E133" s="225"/>
      <c r="F133" s="761" t="str">
        <f>F131</f>
        <v>Instrument</v>
      </c>
      <c r="G133" s="741" t="str">
        <f>G131</f>
        <v>N</v>
      </c>
      <c r="H133" s="748"/>
      <c r="I133" s="212" t="str">
        <f>I131</f>
        <v>LC</v>
      </c>
      <c r="J133" s="249" t="s">
        <v>67</v>
      </c>
      <c r="K133" s="212"/>
      <c r="L133" s="212"/>
      <c r="M133" s="212"/>
      <c r="N133" s="212"/>
      <c r="O133" s="212"/>
      <c r="P133" s="226"/>
      <c r="Q133" s="227"/>
      <c r="R133" s="212"/>
      <c r="S133" s="212"/>
      <c r="T133" s="212"/>
      <c r="U133" s="212"/>
      <c r="V133" s="212"/>
      <c r="W133" s="228"/>
      <c r="X133" s="212"/>
      <c r="Y133" s="768"/>
      <c r="Z133" s="773"/>
      <c r="AA133" s="773"/>
      <c r="AB133" s="777"/>
      <c r="AC133" s="229">
        <f>IF(ISERROR(LOOKUP(AC$16,$L133:$X133,#REF!)),0,(LOOKUP(AC$16,$L133:$X133,#REF!)))</f>
        <v>0</v>
      </c>
      <c r="AD133" s="230">
        <f>IF(ISERROR(LOOKUP(AD$16,$L133:$X133,#REF!)),0,(LOOKUP(AD$16,$L133:$X133,#REF!)))</f>
        <v>0</v>
      </c>
      <c r="AE133" s="230">
        <f>IF(ISERROR(LOOKUP(AE$16,$L133:$X133,#REF!)),0,(LOOKUP(AE$16,$L133:$X133,#REF!)))</f>
        <v>0</v>
      </c>
      <c r="AF133" s="230">
        <f>IF(ISERROR(LOOKUP(AF$16,$L133:$X133,#REF!)),0,(LOOKUP(AF$16,$L133:$X133,#REF!)))</f>
        <v>0</v>
      </c>
      <c r="AG133" s="230">
        <f>IF(ISERROR(LOOKUP(AG$16,$L133:$X133,#REF!)),0,(LOOKUP(AG$16,$L133:$X133,#REF!)))</f>
        <v>0</v>
      </c>
      <c r="AH133" s="230">
        <f>IF(ISERROR(LOOKUP(AH$16,$L133:$X133,#REF!)),0,(LOOKUP(AH$16,$L133:$X133,#REF!)))</f>
        <v>0</v>
      </c>
      <c r="AI133" s="230">
        <f>IF(ISERROR(LOOKUP(AI$16,$L133:$X133,#REF!)),0,(LOOKUP(AI$16,$L133:$X133,#REF!)))</f>
        <v>0</v>
      </c>
      <c r="AJ133" s="230">
        <f>IF(ISERROR(LOOKUP(AJ$16,$L133:$X133,#REF!)),0,(LOOKUP(AJ$16,$L133:$X133,#REF!)))</f>
        <v>0</v>
      </c>
      <c r="AK133" s="230">
        <f>IF(ISERROR(LOOKUP(AK$16,$L133:$X133,#REF!)),0,(LOOKUP(AK$16,$L133:$X133,#REF!)))</f>
        <v>0</v>
      </c>
      <c r="AL133" s="230">
        <f>IF(ISERROR(LOOKUP(AL$16,$L133:$X133,#REF!)),0,(LOOKUP(AL$16,$L133:$X133,#REF!)))</f>
        <v>0</v>
      </c>
      <c r="AM133" s="230">
        <f ca="1">IF(ISERROR(LOOKUP(AM$16,$L133:$X133,#REF!)),0,(LOOKUP(AM$16,$L133:$X133,#REF!)))</f>
        <v>0</v>
      </c>
      <c r="AP133" s="212"/>
      <c r="AQ133" s="212"/>
      <c r="AR133" s="212"/>
      <c r="AS133" s="778"/>
      <c r="AW133" s="223" t="e">
        <v>#REF!</v>
      </c>
    </row>
    <row r="134" spans="1:49" s="166" customFormat="1" ht="18" customHeight="1">
      <c r="A134" s="736">
        <f>A131+1</f>
        <v>40</v>
      </c>
      <c r="B134" s="738"/>
      <c r="C134" s="741" t="s">
        <v>5290</v>
      </c>
      <c r="D134" s="741" t="s">
        <v>192</v>
      </c>
      <c r="E134" s="213"/>
      <c r="F134" s="759" t="s">
        <v>137</v>
      </c>
      <c r="G134" s="741" t="s">
        <v>73</v>
      </c>
      <c r="H134" s="746"/>
      <c r="I134" s="212" t="s">
        <v>8</v>
      </c>
      <c r="J134" s="249" t="s">
        <v>5236</v>
      </c>
      <c r="K134" s="215">
        <f>WORKDAY(L134,-INDEX(L$12:L$15,MATCH($I134,$I$12:$I$15,0)))</f>
        <v>46315</v>
      </c>
      <c r="L134" s="215">
        <f>WORKDAY(M134,-INDEX(M$12:M$15,MATCH($I134,$I$12:$I$15,0)))</f>
        <v>46318</v>
      </c>
      <c r="M134" s="215">
        <f>WORKDAY(N134,-INDEX(N$12:N$15,MATCH($I134,$I$12:$I$15,0)))</f>
        <v>46332</v>
      </c>
      <c r="N134" s="215">
        <f>WORKDAY(O134,-INDEX(O$12:O$15,MATCH($I134,$I$12:$I$15,0)))</f>
        <v>46335</v>
      </c>
      <c r="O134" s="215">
        <f>WORKDAY(R134,-INDEX(R$12:R$15,MATCH($I134,$I$12:$I$15,0)))</f>
        <v>46349</v>
      </c>
      <c r="P134" s="216">
        <f>U134-L134</f>
        <v>94</v>
      </c>
      <c r="Q134" s="217"/>
      <c r="R134" s="215">
        <f>WORKDAY(S134,-INDEX(S$12:S$15,MATCH($I134,$I$12:$I$15,0)))</f>
        <v>46363</v>
      </c>
      <c r="S134" s="215">
        <f>WORKDAY(T134,-INDEX(T$12:T$15,MATCH($I134,$I$12:$I$15,0)))</f>
        <v>46384</v>
      </c>
      <c r="T134" s="215">
        <f>WORKDAY(U134,-INDEX(U$12:U$15,MATCH($I134,$I$12:$I$15,0)))</f>
        <v>46398</v>
      </c>
      <c r="U134" s="215">
        <f>X134-Y134</f>
        <v>46412</v>
      </c>
      <c r="V134" s="215">
        <f>WORKDAY(U134,INDEX(V$12:V$15,MATCH($I134,$I$12:$I$15,0)))</f>
        <v>46414</v>
      </c>
      <c r="W134" s="218">
        <f>Y134/7</f>
        <v>18</v>
      </c>
      <c r="X134" s="215">
        <f>Z134</f>
        <v>46538</v>
      </c>
      <c r="Y134" s="768">
        <f>18*7</f>
        <v>126</v>
      </c>
      <c r="Z134" s="773">
        <v>46538</v>
      </c>
      <c r="AA134" s="773">
        <v>46538</v>
      </c>
      <c r="AB134" s="777">
        <f>Z134-X135</f>
        <v>0</v>
      </c>
      <c r="AC134" s="220">
        <f>IF(ISERROR(LOOKUP(AC$16,$L134:$X134,#REF!)),0,(LOOKUP(AC$16,$L134:$X134,#REF!)))</f>
        <v>0</v>
      </c>
      <c r="AD134" s="221">
        <f>IF(ISERROR(LOOKUP(AD$16,$L134:$X134,#REF!)),0,(LOOKUP(AD$16,$L134:$X134,#REF!)))</f>
        <v>0</v>
      </c>
      <c r="AE134" s="221">
        <f>IF(ISERROR(LOOKUP(AE$16,$L134:$X134,#REF!)),0,(LOOKUP(AE$16,$L134:$X134,#REF!)))</f>
        <v>0</v>
      </c>
      <c r="AF134" s="221">
        <f>IF(ISERROR(LOOKUP(AF$16,$L134:$X134,#REF!)),0,(LOOKUP(AF$16,$L134:$X134,#REF!)))</f>
        <v>0</v>
      </c>
      <c r="AG134" s="221">
        <f>IF(ISERROR(LOOKUP(AG$16,$L134:$X134,#REF!)),0,(LOOKUP(AG$16,$L134:$X134,#REF!)))</f>
        <v>0</v>
      </c>
      <c r="AH134" s="221">
        <f>IF(ISERROR(LOOKUP(AH$16,$L134:$X134,#REF!)),0,(LOOKUP(AH$16,$L134:$X134,#REF!)))</f>
        <v>0</v>
      </c>
      <c r="AI134" s="221">
        <f>IF(ISERROR(LOOKUP(AI$16,$L134:$X134,#REF!)),0,(LOOKUP(AI$16,$L134:$X134,#REF!)))</f>
        <v>0</v>
      </c>
      <c r="AJ134" s="221">
        <f>IF(ISERROR(LOOKUP(AJ$16,$L134:$X134,#REF!)),0,(LOOKUP(AJ$16,$L134:$X134,#REF!)))</f>
        <v>0</v>
      </c>
      <c r="AK134" s="221">
        <f>IF(ISERROR(LOOKUP(AK$16,$L134:$X134,#REF!)),0,(LOOKUP(AK$16,$L134:$X134,#REF!)))</f>
        <v>0</v>
      </c>
      <c r="AL134" s="221">
        <f>IF(ISERROR(LOOKUP(AL$16,$L134:$X134,#REF!)),0,(LOOKUP(AL$16,$L134:$X134,#REF!)))</f>
        <v>0</v>
      </c>
      <c r="AM134" s="221">
        <f ca="1">IF(ISERROR(LOOKUP(AM$16,$L134:$X134,#REF!)),0,(LOOKUP(AM$16,$L134:$X134,#REF!)))</f>
        <v>0</v>
      </c>
      <c r="AP134" s="215" t="e">
        <f>WORKDAY(AQ134,-INDEX(AQ$12:AQ$15,MATCH($I134,$I$12:$I$15,0)),$AW$17:$AW$148)</f>
        <v>#REF!</v>
      </c>
      <c r="AQ134" s="215" t="e">
        <f>WORKDAY(U134,-INDEX(U$12:U$15,MATCH($I134,$I$12:$I$15,0)),$AW$17:$AW$148)</f>
        <v>#REF!</v>
      </c>
      <c r="AR134" s="215" t="e">
        <f>WORKDAY(U134,-INDEX(U$12:U$15,MATCH($I134,$I$12:$I$15,0)),$AW$17:$AW$148)</f>
        <v>#REF!</v>
      </c>
      <c r="AS134" s="778">
        <v>7</v>
      </c>
      <c r="AW134" s="223" t="e">
        <v>#REF!</v>
      </c>
    </row>
    <row r="135" spans="1:49" s="166" customFormat="1" ht="18" customHeight="1">
      <c r="A135" s="736"/>
      <c r="B135" s="739"/>
      <c r="C135" s="741" t="str">
        <f>C134</f>
        <v>RFQ-040</v>
      </c>
      <c r="D135" s="741" t="str">
        <f>D134</f>
        <v>Position Limit Switches</v>
      </c>
      <c r="E135" s="224"/>
      <c r="F135" s="760" t="str">
        <f>F134</f>
        <v>Instrument</v>
      </c>
      <c r="G135" s="741" t="str">
        <f>G134</f>
        <v>N</v>
      </c>
      <c r="H135" s="747"/>
      <c r="I135" s="212" t="str">
        <f>I134</f>
        <v>LC</v>
      </c>
      <c r="J135" s="249" t="s">
        <v>65</v>
      </c>
      <c r="K135" s="215">
        <f>K134</f>
        <v>46315</v>
      </c>
      <c r="L135" s="215">
        <f>WORKDAY(IF(K136="",K135,K136),INDEX(L$12:L$15,MATCH($I134,$I$12:$I$15,0)))</f>
        <v>46318</v>
      </c>
      <c r="M135" s="215">
        <f>WORKDAY(IF(L136="",L135,L136),INDEX(M$12:M$15,MATCH($I134,$I$12:$I$15,0)))</f>
        <v>46332</v>
      </c>
      <c r="N135" s="215">
        <f>WORKDAY(IF(M136="",M135,M136),INDEX(N$12:N$15,MATCH($I134,$I$12:$I$15,0)))</f>
        <v>46335</v>
      </c>
      <c r="O135" s="215">
        <f>WORKDAY(IF(N136="",N135,N136),INDEX(O$12:O$15,MATCH($I134,$I$12:$I$15,0)))</f>
        <v>46349</v>
      </c>
      <c r="P135" s="216"/>
      <c r="Q135" s="217"/>
      <c r="R135" s="215">
        <f>WORKDAY(IF(O136="",O135,O136),INDEX(R$12:R$15,MATCH($I134,$I$12:$I$15,0)))</f>
        <v>46363</v>
      </c>
      <c r="S135" s="215">
        <f>WORKDAY(IF(R136="",R135,R136),INDEX(S$12:S$15,MATCH($I134,$I$12:$I$15,0)))</f>
        <v>46384</v>
      </c>
      <c r="T135" s="215">
        <f>WORKDAY(IF(S136="",S135,S136),INDEX(T$12:T$15,MATCH($I134,$I$12:$I$15,0)))</f>
        <v>46398</v>
      </c>
      <c r="U135" s="215">
        <f>WORKDAY(IF(T136="",T135,T136),INDEX(U$12:U$15,MATCH($I134,$I$12:$I$15,0)))</f>
        <v>46412</v>
      </c>
      <c r="V135" s="215">
        <f>WORKDAY(IF(U136="",U135,U136),INDEX(V$12:V$15,MATCH($I134,$I$12:$I$15,0)))</f>
        <v>46414</v>
      </c>
      <c r="W135" s="218"/>
      <c r="X135" s="215">
        <f>U135+Y134</f>
        <v>46538</v>
      </c>
      <c r="Y135" s="768"/>
      <c r="Z135" s="773"/>
      <c r="AA135" s="773"/>
      <c r="AB135" s="777"/>
      <c r="AC135" s="220">
        <f>IF(ISERROR(LOOKUP(AC$16,$L135:$X135,#REF!)),0,(LOOKUP(AC$16,$L135:$X135,#REF!)))</f>
        <v>0</v>
      </c>
      <c r="AD135" s="221">
        <f>IF(ISERROR(LOOKUP(AD$16,$L135:$X135,#REF!)),0,(LOOKUP(AD$16,$L135:$X135,#REF!)))</f>
        <v>0</v>
      </c>
      <c r="AE135" s="221">
        <f>IF(ISERROR(LOOKUP(AE$16,$L135:$X135,#REF!)),0,(LOOKUP(AE$16,$L135:$X135,#REF!)))</f>
        <v>0</v>
      </c>
      <c r="AF135" s="221">
        <f>IF(ISERROR(LOOKUP(AF$16,$L135:$X135,#REF!)),0,(LOOKUP(AF$16,$L135:$X135,#REF!)))</f>
        <v>0</v>
      </c>
      <c r="AG135" s="221">
        <f>IF(ISERROR(LOOKUP(AG$16,$L135:$X135,#REF!)),0,(LOOKUP(AG$16,$L135:$X135,#REF!)))</f>
        <v>0</v>
      </c>
      <c r="AH135" s="221">
        <f>IF(ISERROR(LOOKUP(AH$16,$L135:$X135,#REF!)),0,(LOOKUP(AH$16,$L135:$X135,#REF!)))</f>
        <v>0</v>
      </c>
      <c r="AI135" s="221">
        <f>IF(ISERROR(LOOKUP(AI$16,$L135:$X135,#REF!)),0,(LOOKUP(AI$16,$L135:$X135,#REF!)))</f>
        <v>0</v>
      </c>
      <c r="AJ135" s="221">
        <f>IF(ISERROR(LOOKUP(AJ$16,$L135:$X135,#REF!)),0,(LOOKUP(AJ$16,$L135:$X135,#REF!)))</f>
        <v>0</v>
      </c>
      <c r="AK135" s="221">
        <f>IF(ISERROR(LOOKUP(AK$16,$L135:$X135,#REF!)),0,(LOOKUP(AK$16,$L135:$X135,#REF!)))</f>
        <v>0</v>
      </c>
      <c r="AL135" s="221">
        <f>IF(ISERROR(LOOKUP(AL$16,$L135:$X135,#REF!)),0,(LOOKUP(AL$16,$L135:$X135,#REF!)))</f>
        <v>0</v>
      </c>
      <c r="AM135" s="221">
        <f ca="1">IF(ISERROR(LOOKUP(AM$16,$L135:$X135,#REF!)),0,(LOOKUP(AM$16,$L135:$X135,#REF!)))</f>
        <v>0</v>
      </c>
      <c r="AP135" s="215" t="e">
        <f>WORKDAY(IF(T136="",T135,T136),INDEX(AP$12:AP$15,MATCH($I134,$I$12:$I$15,0)),$AW$17:$AW$148)</f>
        <v>#REF!</v>
      </c>
      <c r="AQ135" s="215" t="e">
        <f>WORKDAY(IF(AP136="",AP135,AP136),INDEX(AQ$12:AQ$15,MATCH($I134,$I$12:$I$15,0)),$AW$17:$AW$148)</f>
        <v>#REF!</v>
      </c>
      <c r="AR135" s="215" t="e">
        <f>WORKDAY(IF(AQ136="",AQ135,AQ136),INDEX(AR$12:AR$15,MATCH($I134,$I$12:$I$15,0)),$AW$17:$AW$148)</f>
        <v>#REF!</v>
      </c>
      <c r="AS135" s="778"/>
      <c r="AW135" s="223" t="e">
        <v>#REF!</v>
      </c>
    </row>
    <row r="136" spans="1:49" s="166" customFormat="1" ht="18" customHeight="1">
      <c r="A136" s="736"/>
      <c r="B136" s="740"/>
      <c r="C136" s="741" t="str">
        <f>C134</f>
        <v>RFQ-040</v>
      </c>
      <c r="D136" s="741" t="str">
        <f>D134</f>
        <v>Position Limit Switches</v>
      </c>
      <c r="E136" s="225"/>
      <c r="F136" s="761" t="str">
        <f>F134</f>
        <v>Instrument</v>
      </c>
      <c r="G136" s="741" t="str">
        <f>G134</f>
        <v>N</v>
      </c>
      <c r="H136" s="748"/>
      <c r="I136" s="212" t="str">
        <f>I134</f>
        <v>LC</v>
      </c>
      <c r="J136" s="249" t="s">
        <v>67</v>
      </c>
      <c r="K136" s="212"/>
      <c r="L136" s="212"/>
      <c r="M136" s="212"/>
      <c r="N136" s="212"/>
      <c r="O136" s="212"/>
      <c r="P136" s="226"/>
      <c r="Q136" s="227"/>
      <c r="R136" s="212"/>
      <c r="S136" s="212"/>
      <c r="T136" s="212"/>
      <c r="U136" s="212"/>
      <c r="V136" s="212"/>
      <c r="W136" s="228"/>
      <c r="X136" s="212"/>
      <c r="Y136" s="768"/>
      <c r="Z136" s="773"/>
      <c r="AA136" s="773"/>
      <c r="AB136" s="777"/>
      <c r="AC136" s="229">
        <f>IF(ISERROR(LOOKUP(AC$16,$L136:$X136,#REF!)),0,(LOOKUP(AC$16,$L136:$X136,#REF!)))</f>
        <v>0</v>
      </c>
      <c r="AD136" s="230">
        <f>IF(ISERROR(LOOKUP(AD$16,$L136:$X136,#REF!)),0,(LOOKUP(AD$16,$L136:$X136,#REF!)))</f>
        <v>0</v>
      </c>
      <c r="AE136" s="230">
        <f>IF(ISERROR(LOOKUP(AE$16,$L136:$X136,#REF!)),0,(LOOKUP(AE$16,$L136:$X136,#REF!)))</f>
        <v>0</v>
      </c>
      <c r="AF136" s="230">
        <f>IF(ISERROR(LOOKUP(AF$16,$L136:$X136,#REF!)),0,(LOOKUP(AF$16,$L136:$X136,#REF!)))</f>
        <v>0</v>
      </c>
      <c r="AG136" s="230">
        <f>IF(ISERROR(LOOKUP(AG$16,$L136:$X136,#REF!)),0,(LOOKUP(AG$16,$L136:$X136,#REF!)))</f>
        <v>0</v>
      </c>
      <c r="AH136" s="230">
        <f>IF(ISERROR(LOOKUP(AH$16,$L136:$X136,#REF!)),0,(LOOKUP(AH$16,$L136:$X136,#REF!)))</f>
        <v>0</v>
      </c>
      <c r="AI136" s="230">
        <f>IF(ISERROR(LOOKUP(AI$16,$L136:$X136,#REF!)),0,(LOOKUP(AI$16,$L136:$X136,#REF!)))</f>
        <v>0</v>
      </c>
      <c r="AJ136" s="230">
        <f>IF(ISERROR(LOOKUP(AJ$16,$L136:$X136,#REF!)),0,(LOOKUP(AJ$16,$L136:$X136,#REF!)))</f>
        <v>0</v>
      </c>
      <c r="AK136" s="230">
        <f>IF(ISERROR(LOOKUP(AK$16,$L136:$X136,#REF!)),0,(LOOKUP(AK$16,$L136:$X136,#REF!)))</f>
        <v>0</v>
      </c>
      <c r="AL136" s="230">
        <f>IF(ISERROR(LOOKUP(AL$16,$L136:$X136,#REF!)),0,(LOOKUP(AL$16,$L136:$X136,#REF!)))</f>
        <v>0</v>
      </c>
      <c r="AM136" s="230">
        <f ca="1">IF(ISERROR(LOOKUP(AM$16,$L136:$X136,#REF!)),0,(LOOKUP(AM$16,$L136:$X136,#REF!)))</f>
        <v>0</v>
      </c>
      <c r="AP136" s="212"/>
      <c r="AQ136" s="212"/>
      <c r="AR136" s="212"/>
      <c r="AS136" s="778"/>
      <c r="AW136" s="223" t="e">
        <v>#REF!</v>
      </c>
    </row>
    <row r="137" spans="1:49" s="166" customFormat="1" ht="18" customHeight="1">
      <c r="A137" s="736">
        <f>A134+1</f>
        <v>41</v>
      </c>
      <c r="B137" s="738"/>
      <c r="C137" s="741" t="s">
        <v>5291</v>
      </c>
      <c r="D137" s="741" t="s">
        <v>195</v>
      </c>
      <c r="E137" s="213"/>
      <c r="F137" s="759" t="s">
        <v>137</v>
      </c>
      <c r="G137" s="741" t="s">
        <v>73</v>
      </c>
      <c r="H137" s="746"/>
      <c r="I137" s="212" t="s">
        <v>8</v>
      </c>
      <c r="J137" s="249" t="s">
        <v>5236</v>
      </c>
      <c r="K137" s="215">
        <f>WORKDAY(L137,-INDEX(L$12:L$15,MATCH($I137,$I$12:$I$15,0)))</f>
        <v>46231</v>
      </c>
      <c r="L137" s="215">
        <f>WORKDAY(M137,-INDEX(M$12:M$15,MATCH($I137,$I$12:$I$15,0)))</f>
        <v>46234</v>
      </c>
      <c r="M137" s="215">
        <f>WORKDAY(N137,-INDEX(N$12:N$15,MATCH($I137,$I$12:$I$15,0)))</f>
        <v>46248</v>
      </c>
      <c r="N137" s="215">
        <f>WORKDAY(O137,-INDEX(O$12:O$15,MATCH($I137,$I$12:$I$15,0)))</f>
        <v>46251</v>
      </c>
      <c r="O137" s="215">
        <f>WORKDAY(R137,-INDEX(R$12:R$15,MATCH($I137,$I$12:$I$15,0)))</f>
        <v>46265</v>
      </c>
      <c r="P137" s="216">
        <f>U137-L137</f>
        <v>94</v>
      </c>
      <c r="Q137" s="217"/>
      <c r="R137" s="215">
        <f>WORKDAY(S137,-INDEX(S$12:S$15,MATCH($I137,$I$12:$I$15,0)))</f>
        <v>46279</v>
      </c>
      <c r="S137" s="215">
        <f>WORKDAY(T137,-INDEX(T$12:T$15,MATCH($I137,$I$12:$I$15,0)))</f>
        <v>46300</v>
      </c>
      <c r="T137" s="215">
        <f>WORKDAY(U137,-INDEX(U$12:U$15,MATCH($I137,$I$12:$I$15,0)))</f>
        <v>46314</v>
      </c>
      <c r="U137" s="215">
        <f>X137-Y137</f>
        <v>46328</v>
      </c>
      <c r="V137" s="215">
        <f>WORKDAY(U137,INDEX(V$12:V$15,MATCH($I137,$I$12:$I$15,0)))</f>
        <v>46330</v>
      </c>
      <c r="W137" s="218">
        <f>Y137/7</f>
        <v>30</v>
      </c>
      <c r="X137" s="215">
        <f>Z137</f>
        <v>46538</v>
      </c>
      <c r="Y137" s="768">
        <f>30*7</f>
        <v>210</v>
      </c>
      <c r="Z137" s="773">
        <v>46538</v>
      </c>
      <c r="AA137" s="773">
        <v>46538</v>
      </c>
      <c r="AB137" s="777">
        <f>Z137-X138</f>
        <v>0</v>
      </c>
      <c r="AC137" s="220">
        <f>IF(ISERROR(LOOKUP(AC$16,$L137:$X137,#REF!)),0,(LOOKUP(AC$16,$L137:$X137,#REF!)))</f>
        <v>0</v>
      </c>
      <c r="AD137" s="221">
        <f>IF(ISERROR(LOOKUP(AD$16,$L137:$X137,#REF!)),0,(LOOKUP(AD$16,$L137:$X137,#REF!)))</f>
        <v>0</v>
      </c>
      <c r="AE137" s="221">
        <f>IF(ISERROR(LOOKUP(AE$16,$L137:$X137,#REF!)),0,(LOOKUP(AE$16,$L137:$X137,#REF!)))</f>
        <v>0</v>
      </c>
      <c r="AF137" s="221">
        <f>IF(ISERROR(LOOKUP(AF$16,$L137:$X137,#REF!)),0,(LOOKUP(AF$16,$L137:$X137,#REF!)))</f>
        <v>0</v>
      </c>
      <c r="AG137" s="221">
        <f>IF(ISERROR(LOOKUP(AG$16,$L137:$X137,#REF!)),0,(LOOKUP(AG$16,$L137:$X137,#REF!)))</f>
        <v>0</v>
      </c>
      <c r="AH137" s="221">
        <f>IF(ISERROR(LOOKUP(AH$16,$L137:$X137,#REF!)),0,(LOOKUP(AH$16,$L137:$X137,#REF!)))</f>
        <v>0</v>
      </c>
      <c r="AI137" s="221">
        <f>IF(ISERROR(LOOKUP(AI$16,$L137:$X137,#REF!)),0,(LOOKUP(AI$16,$L137:$X137,#REF!)))</f>
        <v>0</v>
      </c>
      <c r="AJ137" s="221">
        <f>IF(ISERROR(LOOKUP(AJ$16,$L137:$X137,#REF!)),0,(LOOKUP(AJ$16,$L137:$X137,#REF!)))</f>
        <v>0</v>
      </c>
      <c r="AK137" s="221">
        <f>IF(ISERROR(LOOKUP(AK$16,$L137:$X137,#REF!)),0,(LOOKUP(AK$16,$L137:$X137,#REF!)))</f>
        <v>0</v>
      </c>
      <c r="AL137" s="221">
        <f>IF(ISERROR(LOOKUP(AL$16,$L137:$X137,#REF!)),0,(LOOKUP(AL$16,$L137:$X137,#REF!)))</f>
        <v>0</v>
      </c>
      <c r="AM137" s="221">
        <f ca="1">IF(ISERROR(LOOKUP(AM$16,$L137:$X137,#REF!)),0,(LOOKUP(AM$16,$L137:$X137,#REF!)))</f>
        <v>0</v>
      </c>
      <c r="AP137" s="215" t="e">
        <f>WORKDAY(AQ137,-INDEX(AQ$12:AQ$15,MATCH($I137,$I$12:$I$15,0)),$AW$17:$AW$148)</f>
        <v>#REF!</v>
      </c>
      <c r="AQ137" s="215" t="e">
        <f>WORKDAY(U137,-INDEX(U$12:U$15,MATCH($I137,$I$12:$I$15,0)),$AW$17:$AW$148)</f>
        <v>#REF!</v>
      </c>
      <c r="AR137" s="215" t="e">
        <f>WORKDAY(U137,-INDEX(U$12:U$15,MATCH($I137,$I$12:$I$15,0)),$AW$17:$AW$148)</f>
        <v>#REF!</v>
      </c>
      <c r="AS137" s="778">
        <v>7</v>
      </c>
      <c r="AW137" s="223" t="e">
        <v>#REF!</v>
      </c>
    </row>
    <row r="138" spans="1:49" s="166" customFormat="1" ht="18" customHeight="1">
      <c r="A138" s="736"/>
      <c r="B138" s="739"/>
      <c r="C138" s="741" t="str">
        <f>C137</f>
        <v>RFQ-041</v>
      </c>
      <c r="D138" s="741" t="str">
        <f>D137</f>
        <v>Guided Wave Radar Level Transmitter</v>
      </c>
      <c r="E138" s="224"/>
      <c r="F138" s="760" t="str">
        <f>F137</f>
        <v>Instrument</v>
      </c>
      <c r="G138" s="741" t="str">
        <f>G137</f>
        <v>N</v>
      </c>
      <c r="H138" s="747"/>
      <c r="I138" s="212" t="str">
        <f>I137</f>
        <v>LC</v>
      </c>
      <c r="J138" s="249" t="s">
        <v>65</v>
      </c>
      <c r="K138" s="215">
        <f>K137</f>
        <v>46231</v>
      </c>
      <c r="L138" s="215">
        <f>WORKDAY(IF(K139="",K138,K139),INDEX(L$12:L$15,MATCH($I137,$I$12:$I$15,0)))</f>
        <v>46234</v>
      </c>
      <c r="M138" s="215">
        <f>WORKDAY(IF(L139="",L138,L139),INDEX(M$12:M$15,MATCH($I137,$I$12:$I$15,0)))</f>
        <v>46248</v>
      </c>
      <c r="N138" s="215">
        <f>WORKDAY(IF(M139="",M138,M139),INDEX(N$12:N$15,MATCH($I137,$I$12:$I$15,0)))</f>
        <v>46251</v>
      </c>
      <c r="O138" s="215">
        <f>WORKDAY(IF(N139="",N138,N139),INDEX(O$12:O$15,MATCH($I137,$I$12:$I$15,0)))</f>
        <v>46265</v>
      </c>
      <c r="P138" s="216"/>
      <c r="Q138" s="217"/>
      <c r="R138" s="215">
        <f>WORKDAY(IF(O139="",O138,O139),INDEX(R$12:R$15,MATCH($I137,$I$12:$I$15,0)))</f>
        <v>46279</v>
      </c>
      <c r="S138" s="215">
        <f>WORKDAY(IF(R139="",R138,R139),INDEX(S$12:S$15,MATCH($I137,$I$12:$I$15,0)))</f>
        <v>46300</v>
      </c>
      <c r="T138" s="215">
        <f>WORKDAY(IF(S139="",S138,S139),INDEX(T$12:T$15,MATCH($I137,$I$12:$I$15,0)))</f>
        <v>46314</v>
      </c>
      <c r="U138" s="215">
        <f>WORKDAY(IF(T139="",T138,T139),INDEX(U$12:U$15,MATCH($I137,$I$12:$I$15,0)))</f>
        <v>46328</v>
      </c>
      <c r="V138" s="215">
        <f>WORKDAY(IF(U139="",U138,U139),INDEX(V$12:V$15,MATCH($I137,$I$12:$I$15,0)))</f>
        <v>46330</v>
      </c>
      <c r="W138" s="218"/>
      <c r="X138" s="215">
        <f>U138+Y137</f>
        <v>46538</v>
      </c>
      <c r="Y138" s="768"/>
      <c r="Z138" s="773"/>
      <c r="AA138" s="773"/>
      <c r="AB138" s="777"/>
      <c r="AC138" s="220">
        <f>IF(ISERROR(LOOKUP(AC$16,$L138:$X138,#REF!)),0,(LOOKUP(AC$16,$L138:$X138,#REF!)))</f>
        <v>0</v>
      </c>
      <c r="AD138" s="221">
        <f>IF(ISERROR(LOOKUP(AD$16,$L138:$X138,#REF!)),0,(LOOKUP(AD$16,$L138:$X138,#REF!)))</f>
        <v>0</v>
      </c>
      <c r="AE138" s="221">
        <f>IF(ISERROR(LOOKUP(AE$16,$L138:$X138,#REF!)),0,(LOOKUP(AE$16,$L138:$X138,#REF!)))</f>
        <v>0</v>
      </c>
      <c r="AF138" s="221">
        <f>IF(ISERROR(LOOKUP(AF$16,$L138:$X138,#REF!)),0,(LOOKUP(AF$16,$L138:$X138,#REF!)))</f>
        <v>0</v>
      </c>
      <c r="AG138" s="221">
        <f>IF(ISERROR(LOOKUP(AG$16,$L138:$X138,#REF!)),0,(LOOKUP(AG$16,$L138:$X138,#REF!)))</f>
        <v>0</v>
      </c>
      <c r="AH138" s="221">
        <f>IF(ISERROR(LOOKUP(AH$16,$L138:$X138,#REF!)),0,(LOOKUP(AH$16,$L138:$X138,#REF!)))</f>
        <v>0</v>
      </c>
      <c r="AI138" s="221">
        <f>IF(ISERROR(LOOKUP(AI$16,$L138:$X138,#REF!)),0,(LOOKUP(AI$16,$L138:$X138,#REF!)))</f>
        <v>0</v>
      </c>
      <c r="AJ138" s="221">
        <f>IF(ISERROR(LOOKUP(AJ$16,$L138:$X138,#REF!)),0,(LOOKUP(AJ$16,$L138:$X138,#REF!)))</f>
        <v>0</v>
      </c>
      <c r="AK138" s="221">
        <f>IF(ISERROR(LOOKUP(AK$16,$L138:$X138,#REF!)),0,(LOOKUP(AK$16,$L138:$X138,#REF!)))</f>
        <v>0</v>
      </c>
      <c r="AL138" s="221">
        <f>IF(ISERROR(LOOKUP(AL$16,$L138:$X138,#REF!)),0,(LOOKUP(AL$16,$L138:$X138,#REF!)))</f>
        <v>0</v>
      </c>
      <c r="AM138" s="221">
        <f ca="1">IF(ISERROR(LOOKUP(AM$16,$L138:$X138,#REF!)),0,(LOOKUP(AM$16,$L138:$X138,#REF!)))</f>
        <v>0</v>
      </c>
      <c r="AP138" s="215" t="e">
        <f>WORKDAY(IF(T139="",T138,T139),INDEX(AP$12:AP$15,MATCH($I137,$I$12:$I$15,0)),$AW$17:$AW$148)</f>
        <v>#REF!</v>
      </c>
      <c r="AQ138" s="215" t="e">
        <f>WORKDAY(IF(AP139="",AP138,AP139),INDEX(AQ$12:AQ$15,MATCH($I137,$I$12:$I$15,0)),$AW$17:$AW$148)</f>
        <v>#REF!</v>
      </c>
      <c r="AR138" s="215" t="e">
        <f>WORKDAY(IF(AQ139="",AQ138,AQ139),INDEX(AR$12:AR$15,MATCH($I137,$I$12:$I$15,0)),$AW$17:$AW$148)</f>
        <v>#REF!</v>
      </c>
      <c r="AS138" s="778"/>
      <c r="AW138" s="223" t="e">
        <v>#REF!</v>
      </c>
    </row>
    <row r="139" spans="1:49" s="166" customFormat="1" ht="18" customHeight="1">
      <c r="A139" s="736"/>
      <c r="B139" s="740"/>
      <c r="C139" s="741" t="str">
        <f>C137</f>
        <v>RFQ-041</v>
      </c>
      <c r="D139" s="741" t="str">
        <f>D137</f>
        <v>Guided Wave Radar Level Transmitter</v>
      </c>
      <c r="E139" s="225"/>
      <c r="F139" s="761" t="str">
        <f>F137</f>
        <v>Instrument</v>
      </c>
      <c r="G139" s="741" t="str">
        <f>G137</f>
        <v>N</v>
      </c>
      <c r="H139" s="748"/>
      <c r="I139" s="212" t="str">
        <f>I137</f>
        <v>LC</v>
      </c>
      <c r="J139" s="249" t="s">
        <v>67</v>
      </c>
      <c r="K139" s="212"/>
      <c r="L139" s="212"/>
      <c r="M139" s="212"/>
      <c r="N139" s="212"/>
      <c r="O139" s="212"/>
      <c r="P139" s="226"/>
      <c r="Q139" s="227"/>
      <c r="R139" s="212"/>
      <c r="S139" s="212"/>
      <c r="T139" s="212"/>
      <c r="U139" s="212"/>
      <c r="V139" s="212"/>
      <c r="W139" s="228"/>
      <c r="X139" s="212"/>
      <c r="Y139" s="768"/>
      <c r="Z139" s="773"/>
      <c r="AA139" s="773"/>
      <c r="AB139" s="777"/>
      <c r="AC139" s="229">
        <f>IF(ISERROR(LOOKUP(AC$16,$L139:$X139,#REF!)),0,(LOOKUP(AC$16,$L139:$X139,#REF!)))</f>
        <v>0</v>
      </c>
      <c r="AD139" s="230">
        <f>IF(ISERROR(LOOKUP(AD$16,$L139:$X139,#REF!)),0,(LOOKUP(AD$16,$L139:$X139,#REF!)))</f>
        <v>0</v>
      </c>
      <c r="AE139" s="230">
        <f>IF(ISERROR(LOOKUP(AE$16,$L139:$X139,#REF!)),0,(LOOKUP(AE$16,$L139:$X139,#REF!)))</f>
        <v>0</v>
      </c>
      <c r="AF139" s="230">
        <f>IF(ISERROR(LOOKUP(AF$16,$L139:$X139,#REF!)),0,(LOOKUP(AF$16,$L139:$X139,#REF!)))</f>
        <v>0</v>
      </c>
      <c r="AG139" s="230">
        <f>IF(ISERROR(LOOKUP(AG$16,$L139:$X139,#REF!)),0,(LOOKUP(AG$16,$L139:$X139,#REF!)))</f>
        <v>0</v>
      </c>
      <c r="AH139" s="230">
        <f>IF(ISERROR(LOOKUP(AH$16,$L139:$X139,#REF!)),0,(LOOKUP(AH$16,$L139:$X139,#REF!)))</f>
        <v>0</v>
      </c>
      <c r="AI139" s="230">
        <f>IF(ISERROR(LOOKUP(AI$16,$L139:$X139,#REF!)),0,(LOOKUP(AI$16,$L139:$X139,#REF!)))</f>
        <v>0</v>
      </c>
      <c r="AJ139" s="230">
        <f>IF(ISERROR(LOOKUP(AJ$16,$L139:$X139,#REF!)),0,(LOOKUP(AJ$16,$L139:$X139,#REF!)))</f>
        <v>0</v>
      </c>
      <c r="AK139" s="230">
        <f>IF(ISERROR(LOOKUP(AK$16,$L139:$X139,#REF!)),0,(LOOKUP(AK$16,$L139:$X139,#REF!)))</f>
        <v>0</v>
      </c>
      <c r="AL139" s="230">
        <f>IF(ISERROR(LOOKUP(AL$16,$L139:$X139,#REF!)),0,(LOOKUP(AL$16,$L139:$X139,#REF!)))</f>
        <v>0</v>
      </c>
      <c r="AM139" s="230">
        <f ca="1">IF(ISERROR(LOOKUP(AM$16,$L139:$X139,#REF!)),0,(LOOKUP(AM$16,$L139:$X139,#REF!)))</f>
        <v>0</v>
      </c>
      <c r="AP139" s="212"/>
      <c r="AQ139" s="212"/>
      <c r="AR139" s="212"/>
      <c r="AS139" s="778"/>
      <c r="AW139" s="223" t="e">
        <v>#REF!</v>
      </c>
    </row>
    <row r="140" spans="1:49" s="166" customFormat="1" ht="18" customHeight="1">
      <c r="A140" s="736">
        <f>A137+1</f>
        <v>42</v>
      </c>
      <c r="B140" s="738"/>
      <c r="C140" s="741" t="s">
        <v>5292</v>
      </c>
      <c r="D140" s="741" t="s">
        <v>5293</v>
      </c>
      <c r="E140" s="213"/>
      <c r="F140" s="759" t="s">
        <v>137</v>
      </c>
      <c r="G140" s="741" t="s">
        <v>73</v>
      </c>
      <c r="H140" s="746"/>
      <c r="I140" s="212" t="s">
        <v>8</v>
      </c>
      <c r="J140" s="249" t="s">
        <v>5236</v>
      </c>
      <c r="K140" s="215">
        <f>WORKDAY(L140,-INDEX(L$12:L$15,MATCH($I140,$I$12:$I$15,0)))</f>
        <v>46273</v>
      </c>
      <c r="L140" s="215">
        <f>WORKDAY(M140,-INDEX(M$12:M$15,MATCH($I140,$I$12:$I$15,0)))</f>
        <v>46276</v>
      </c>
      <c r="M140" s="215">
        <f>WORKDAY(N140,-INDEX(N$12:N$15,MATCH($I140,$I$12:$I$15,0)))</f>
        <v>46290</v>
      </c>
      <c r="N140" s="215">
        <f>WORKDAY(O140,-INDEX(O$12:O$15,MATCH($I140,$I$12:$I$15,0)))</f>
        <v>46293</v>
      </c>
      <c r="O140" s="215">
        <f>WORKDAY(R140,-INDEX(R$12:R$15,MATCH($I140,$I$12:$I$15,0)))</f>
        <v>46307</v>
      </c>
      <c r="P140" s="216">
        <f>U140-L140</f>
        <v>94</v>
      </c>
      <c r="Q140" s="217"/>
      <c r="R140" s="215">
        <f>WORKDAY(S140,-INDEX(S$12:S$15,MATCH($I140,$I$12:$I$15,0)))</f>
        <v>46321</v>
      </c>
      <c r="S140" s="215">
        <f>WORKDAY(T140,-INDEX(T$12:T$15,MATCH($I140,$I$12:$I$15,0)))</f>
        <v>46342</v>
      </c>
      <c r="T140" s="215">
        <f>WORKDAY(U140,-INDEX(U$12:U$15,MATCH($I140,$I$12:$I$15,0)))</f>
        <v>46356</v>
      </c>
      <c r="U140" s="215">
        <f>X140-Y140</f>
        <v>46370</v>
      </c>
      <c r="V140" s="215">
        <f>WORKDAY(U140,INDEX(V$12:V$15,MATCH($I140,$I$12:$I$15,0)))</f>
        <v>46372</v>
      </c>
      <c r="W140" s="218">
        <f>Y140/7</f>
        <v>24</v>
      </c>
      <c r="X140" s="215">
        <f>Z140</f>
        <v>46538</v>
      </c>
      <c r="Y140" s="768">
        <f>24*7</f>
        <v>168</v>
      </c>
      <c r="Z140" s="773">
        <v>46538</v>
      </c>
      <c r="AA140" s="773">
        <v>46538</v>
      </c>
      <c r="AB140" s="777">
        <f>Z140-X141</f>
        <v>0</v>
      </c>
      <c r="AC140" s="220">
        <f>IF(ISERROR(LOOKUP(AC$16,$L140:$X140,#REF!)),0,(LOOKUP(AC$16,$L140:$X140,#REF!)))</f>
        <v>0</v>
      </c>
      <c r="AD140" s="221">
        <f>IF(ISERROR(LOOKUP(AD$16,$L140:$X140,#REF!)),0,(LOOKUP(AD$16,$L140:$X140,#REF!)))</f>
        <v>0</v>
      </c>
      <c r="AE140" s="221">
        <f>IF(ISERROR(LOOKUP(AE$16,$L140:$X140,#REF!)),0,(LOOKUP(AE$16,$L140:$X140,#REF!)))</f>
        <v>0</v>
      </c>
      <c r="AF140" s="221">
        <f>IF(ISERROR(LOOKUP(AF$16,$L140:$X140,#REF!)),0,(LOOKUP(AF$16,$L140:$X140,#REF!)))</f>
        <v>0</v>
      </c>
      <c r="AG140" s="221">
        <f>IF(ISERROR(LOOKUP(AG$16,$L140:$X140,#REF!)),0,(LOOKUP(AG$16,$L140:$X140,#REF!)))</f>
        <v>0</v>
      </c>
      <c r="AH140" s="221">
        <f>IF(ISERROR(LOOKUP(AH$16,$L140:$X140,#REF!)),0,(LOOKUP(AH$16,$L140:$X140,#REF!)))</f>
        <v>0</v>
      </c>
      <c r="AI140" s="221">
        <f>IF(ISERROR(LOOKUP(AI$16,$L140:$X140,#REF!)),0,(LOOKUP(AI$16,$L140:$X140,#REF!)))</f>
        <v>0</v>
      </c>
      <c r="AJ140" s="221">
        <f>IF(ISERROR(LOOKUP(AJ$16,$L140:$X140,#REF!)),0,(LOOKUP(AJ$16,$L140:$X140,#REF!)))</f>
        <v>0</v>
      </c>
      <c r="AK140" s="221">
        <f>IF(ISERROR(LOOKUP(AK$16,$L140:$X140,#REF!)),0,(LOOKUP(AK$16,$L140:$X140,#REF!)))</f>
        <v>0</v>
      </c>
      <c r="AL140" s="221">
        <f>IF(ISERROR(LOOKUP(AL$16,$L140:$X140,#REF!)),0,(LOOKUP(AL$16,$L140:$X140,#REF!)))</f>
        <v>0</v>
      </c>
      <c r="AM140" s="221">
        <f ca="1">IF(ISERROR(LOOKUP(AM$16,$L140:$X140,#REF!)),0,(LOOKUP(AM$16,$L140:$X140,#REF!)))</f>
        <v>0</v>
      </c>
      <c r="AP140" s="215" t="e">
        <f>WORKDAY(AQ140,-INDEX(AQ$12:AQ$15,MATCH($I140,$I$12:$I$15,0)),$AW$17:$AW$148)</f>
        <v>#REF!</v>
      </c>
      <c r="AQ140" s="215" t="e">
        <f>WORKDAY(U140,-INDEX(U$12:U$15,MATCH($I140,$I$12:$I$15,0)),$AW$17:$AW$148)</f>
        <v>#REF!</v>
      </c>
      <c r="AR140" s="215" t="e">
        <f>WORKDAY(U140,-INDEX(U$12:U$15,MATCH($I140,$I$12:$I$15,0)),$AW$17:$AW$148)</f>
        <v>#REF!</v>
      </c>
      <c r="AS140" s="778">
        <v>7</v>
      </c>
      <c r="AW140" s="223" t="e">
        <v>#REF!</v>
      </c>
    </row>
    <row r="141" spans="1:49" s="166" customFormat="1" ht="18" customHeight="1">
      <c r="A141" s="736"/>
      <c r="B141" s="739"/>
      <c r="C141" s="741" t="str">
        <f>C140</f>
        <v>RFQ-042</v>
      </c>
      <c r="D141" s="741" t="str">
        <f>D140</f>
        <v>Oil in Water Analyzer</v>
      </c>
      <c r="E141" s="224"/>
      <c r="F141" s="760" t="str">
        <f>F140</f>
        <v>Instrument</v>
      </c>
      <c r="G141" s="741" t="str">
        <f>G140</f>
        <v>N</v>
      </c>
      <c r="H141" s="747"/>
      <c r="I141" s="212" t="str">
        <f>I140</f>
        <v>LC</v>
      </c>
      <c r="J141" s="249" t="s">
        <v>65</v>
      </c>
      <c r="K141" s="215">
        <f>K140</f>
        <v>46273</v>
      </c>
      <c r="L141" s="215">
        <f>WORKDAY(IF(K142="",K141,K142),INDEX(L$12:L$15,MATCH($I140,$I$12:$I$15,0)))</f>
        <v>46276</v>
      </c>
      <c r="M141" s="215">
        <f>WORKDAY(IF(L142="",L141,L142),INDEX(M$12:M$15,MATCH($I140,$I$12:$I$15,0)))</f>
        <v>46290</v>
      </c>
      <c r="N141" s="215">
        <f>WORKDAY(IF(M142="",M141,M142),INDEX(N$12:N$15,MATCH($I140,$I$12:$I$15,0)))</f>
        <v>46293</v>
      </c>
      <c r="O141" s="215">
        <f>WORKDAY(IF(N142="",N141,N142),INDEX(O$12:O$15,MATCH($I140,$I$12:$I$15,0)))</f>
        <v>46307</v>
      </c>
      <c r="P141" s="216"/>
      <c r="Q141" s="217"/>
      <c r="R141" s="215">
        <f>WORKDAY(IF(O142="",O141,O142),INDEX(R$12:R$15,MATCH($I140,$I$12:$I$15,0)))</f>
        <v>46321</v>
      </c>
      <c r="S141" s="215">
        <f>WORKDAY(IF(R142="",R141,R142),INDEX(S$12:S$15,MATCH($I140,$I$12:$I$15,0)))</f>
        <v>46342</v>
      </c>
      <c r="T141" s="215">
        <f>WORKDAY(IF(S142="",S141,S142),INDEX(T$12:T$15,MATCH($I140,$I$12:$I$15,0)))</f>
        <v>46356</v>
      </c>
      <c r="U141" s="215">
        <f>WORKDAY(IF(T142="",T141,T142),INDEX(U$12:U$15,MATCH($I140,$I$12:$I$15,0)))</f>
        <v>46370</v>
      </c>
      <c r="V141" s="215">
        <f>WORKDAY(IF(U142="",U141,U142),INDEX(V$12:V$15,MATCH($I140,$I$12:$I$15,0)))</f>
        <v>46372</v>
      </c>
      <c r="W141" s="218"/>
      <c r="X141" s="215">
        <f>U141+Y140</f>
        <v>46538</v>
      </c>
      <c r="Y141" s="768"/>
      <c r="Z141" s="773"/>
      <c r="AA141" s="773"/>
      <c r="AB141" s="777"/>
      <c r="AC141" s="220">
        <f>IF(ISERROR(LOOKUP(AC$16,$L141:$X141,#REF!)),0,(LOOKUP(AC$16,$L141:$X141,#REF!)))</f>
        <v>0</v>
      </c>
      <c r="AD141" s="221">
        <f>IF(ISERROR(LOOKUP(AD$16,$L141:$X141,#REF!)),0,(LOOKUP(AD$16,$L141:$X141,#REF!)))</f>
        <v>0</v>
      </c>
      <c r="AE141" s="221">
        <f>IF(ISERROR(LOOKUP(AE$16,$L141:$X141,#REF!)),0,(LOOKUP(AE$16,$L141:$X141,#REF!)))</f>
        <v>0</v>
      </c>
      <c r="AF141" s="221">
        <f>IF(ISERROR(LOOKUP(AF$16,$L141:$X141,#REF!)),0,(LOOKUP(AF$16,$L141:$X141,#REF!)))</f>
        <v>0</v>
      </c>
      <c r="AG141" s="221">
        <f>IF(ISERROR(LOOKUP(AG$16,$L141:$X141,#REF!)),0,(LOOKUP(AG$16,$L141:$X141,#REF!)))</f>
        <v>0</v>
      </c>
      <c r="AH141" s="221">
        <f>IF(ISERROR(LOOKUP(AH$16,$L141:$X141,#REF!)),0,(LOOKUP(AH$16,$L141:$X141,#REF!)))</f>
        <v>0</v>
      </c>
      <c r="AI141" s="221">
        <f>IF(ISERROR(LOOKUP(AI$16,$L141:$X141,#REF!)),0,(LOOKUP(AI$16,$L141:$X141,#REF!)))</f>
        <v>0</v>
      </c>
      <c r="AJ141" s="221">
        <f>IF(ISERROR(LOOKUP(AJ$16,$L141:$X141,#REF!)),0,(LOOKUP(AJ$16,$L141:$X141,#REF!)))</f>
        <v>0</v>
      </c>
      <c r="AK141" s="221">
        <f>IF(ISERROR(LOOKUP(AK$16,$L141:$X141,#REF!)),0,(LOOKUP(AK$16,$L141:$X141,#REF!)))</f>
        <v>0</v>
      </c>
      <c r="AL141" s="221">
        <f>IF(ISERROR(LOOKUP(AL$16,$L141:$X141,#REF!)),0,(LOOKUP(AL$16,$L141:$X141,#REF!)))</f>
        <v>0</v>
      </c>
      <c r="AM141" s="221">
        <f ca="1">IF(ISERROR(LOOKUP(AM$16,$L141:$X141,#REF!)),0,(LOOKUP(AM$16,$L141:$X141,#REF!)))</f>
        <v>0</v>
      </c>
      <c r="AP141" s="215" t="e">
        <f>WORKDAY(IF(T142="",T141,T142),INDEX(AP$12:AP$15,MATCH($I140,$I$12:$I$15,0)),$AW$17:$AW$148)</f>
        <v>#REF!</v>
      </c>
      <c r="AQ141" s="215" t="e">
        <f>WORKDAY(IF(AP142="",AP141,AP142),INDEX(AQ$12:AQ$15,MATCH($I140,$I$12:$I$15,0)),$AW$17:$AW$148)</f>
        <v>#REF!</v>
      </c>
      <c r="AR141" s="215" t="e">
        <f>WORKDAY(IF(AQ142="",AQ141,AQ142),INDEX(AR$12:AR$15,MATCH($I140,$I$12:$I$15,0)),$AW$17:$AW$148)</f>
        <v>#REF!</v>
      </c>
      <c r="AS141" s="778"/>
      <c r="AW141" s="223" t="e">
        <v>#REF!</v>
      </c>
    </row>
    <row r="142" spans="1:49" s="166" customFormat="1" ht="18" customHeight="1">
      <c r="A142" s="736"/>
      <c r="B142" s="740"/>
      <c r="C142" s="741" t="str">
        <f>C140</f>
        <v>RFQ-042</v>
      </c>
      <c r="D142" s="741" t="str">
        <f>D140</f>
        <v>Oil in Water Analyzer</v>
      </c>
      <c r="E142" s="225"/>
      <c r="F142" s="761" t="str">
        <f>F140</f>
        <v>Instrument</v>
      </c>
      <c r="G142" s="741" t="str">
        <f>G140</f>
        <v>N</v>
      </c>
      <c r="H142" s="748"/>
      <c r="I142" s="212" t="str">
        <f>I140</f>
        <v>LC</v>
      </c>
      <c r="J142" s="249" t="s">
        <v>67</v>
      </c>
      <c r="K142" s="212"/>
      <c r="L142" s="212"/>
      <c r="M142" s="212"/>
      <c r="N142" s="212"/>
      <c r="O142" s="212"/>
      <c r="P142" s="226"/>
      <c r="Q142" s="227"/>
      <c r="R142" s="212"/>
      <c r="S142" s="212"/>
      <c r="T142" s="212"/>
      <c r="U142" s="212"/>
      <c r="V142" s="212"/>
      <c r="W142" s="228"/>
      <c r="X142" s="212"/>
      <c r="Y142" s="768"/>
      <c r="Z142" s="773"/>
      <c r="AA142" s="773"/>
      <c r="AB142" s="777"/>
      <c r="AC142" s="229">
        <f>IF(ISERROR(LOOKUP(AC$16,$L142:$X142,#REF!)),0,(LOOKUP(AC$16,$L142:$X142,#REF!)))</f>
        <v>0</v>
      </c>
      <c r="AD142" s="230">
        <f>IF(ISERROR(LOOKUP(AD$16,$L142:$X142,#REF!)),0,(LOOKUP(AD$16,$L142:$X142,#REF!)))</f>
        <v>0</v>
      </c>
      <c r="AE142" s="230">
        <f>IF(ISERROR(LOOKUP(AE$16,$L142:$X142,#REF!)),0,(LOOKUP(AE$16,$L142:$X142,#REF!)))</f>
        <v>0</v>
      </c>
      <c r="AF142" s="230">
        <f>IF(ISERROR(LOOKUP(AF$16,$L142:$X142,#REF!)),0,(LOOKUP(AF$16,$L142:$X142,#REF!)))</f>
        <v>0</v>
      </c>
      <c r="AG142" s="230">
        <f>IF(ISERROR(LOOKUP(AG$16,$L142:$X142,#REF!)),0,(LOOKUP(AG$16,$L142:$X142,#REF!)))</f>
        <v>0</v>
      </c>
      <c r="AH142" s="230">
        <f>IF(ISERROR(LOOKUP(AH$16,$L142:$X142,#REF!)),0,(LOOKUP(AH$16,$L142:$X142,#REF!)))</f>
        <v>0</v>
      </c>
      <c r="AI142" s="230">
        <f>IF(ISERROR(LOOKUP(AI$16,$L142:$X142,#REF!)),0,(LOOKUP(AI$16,$L142:$X142,#REF!)))</f>
        <v>0</v>
      </c>
      <c r="AJ142" s="230">
        <f>IF(ISERROR(LOOKUP(AJ$16,$L142:$X142,#REF!)),0,(LOOKUP(AJ$16,$L142:$X142,#REF!)))</f>
        <v>0</v>
      </c>
      <c r="AK142" s="230">
        <f>IF(ISERROR(LOOKUP(AK$16,$L142:$X142,#REF!)),0,(LOOKUP(AK$16,$L142:$X142,#REF!)))</f>
        <v>0</v>
      </c>
      <c r="AL142" s="230">
        <f>IF(ISERROR(LOOKUP(AL$16,$L142:$X142,#REF!)),0,(LOOKUP(AL$16,$L142:$X142,#REF!)))</f>
        <v>0</v>
      </c>
      <c r="AM142" s="230">
        <f ca="1">IF(ISERROR(LOOKUP(AM$16,$L142:$X142,#REF!)),0,(LOOKUP(AM$16,$L142:$X142,#REF!)))</f>
        <v>0</v>
      </c>
      <c r="AP142" s="212"/>
      <c r="AQ142" s="212"/>
      <c r="AR142" s="212"/>
      <c r="AS142" s="778"/>
      <c r="AW142" s="223" t="e">
        <v>#REF!</v>
      </c>
    </row>
    <row r="143" spans="1:49" s="166" customFormat="1" ht="18" customHeight="1">
      <c r="A143" s="736">
        <f>A140+1</f>
        <v>43</v>
      </c>
      <c r="B143" s="738"/>
      <c r="C143" s="741" t="s">
        <v>5294</v>
      </c>
      <c r="D143" s="741" t="s">
        <v>200</v>
      </c>
      <c r="E143" s="213"/>
      <c r="F143" s="759" t="s">
        <v>137</v>
      </c>
      <c r="G143" s="741" t="s">
        <v>73</v>
      </c>
      <c r="H143" s="746"/>
      <c r="I143" s="212" t="s">
        <v>8</v>
      </c>
      <c r="J143" s="249" t="s">
        <v>5236</v>
      </c>
      <c r="K143" s="215">
        <f>WORKDAY(L143,-INDEX(L$12:L$15,MATCH($I143,$I$12:$I$15,0)))</f>
        <v>46381</v>
      </c>
      <c r="L143" s="215">
        <f>WORKDAY(M143,-INDEX(M$12:M$15,MATCH($I143,$I$12:$I$15,0)))</f>
        <v>46386</v>
      </c>
      <c r="M143" s="215">
        <f>WORKDAY(N143,-INDEX(N$12:N$15,MATCH($I143,$I$12:$I$15,0)))</f>
        <v>46400</v>
      </c>
      <c r="N143" s="215">
        <f>WORKDAY(O143,-INDEX(O$12:O$15,MATCH($I143,$I$12:$I$15,0)))</f>
        <v>46401</v>
      </c>
      <c r="O143" s="215">
        <f>WORKDAY(R143,-INDEX(R$12:R$15,MATCH($I143,$I$12:$I$15,0)))</f>
        <v>46415</v>
      </c>
      <c r="P143" s="216">
        <f>U143-L143</f>
        <v>92</v>
      </c>
      <c r="Q143" s="217"/>
      <c r="R143" s="215">
        <f>WORKDAY(S143,-INDEX(S$12:S$15,MATCH($I143,$I$12:$I$15,0)))</f>
        <v>46429</v>
      </c>
      <c r="S143" s="215">
        <f>WORKDAY(T143,-INDEX(T$12:T$15,MATCH($I143,$I$12:$I$15,0)))</f>
        <v>46450</v>
      </c>
      <c r="T143" s="215">
        <f>WORKDAY(U143,-INDEX(U$12:U$15,MATCH($I143,$I$12:$I$15,0)))</f>
        <v>46464</v>
      </c>
      <c r="U143" s="215">
        <f>X143-Y143</f>
        <v>46478</v>
      </c>
      <c r="V143" s="215">
        <f>WORKDAY(U143,INDEX(V$12:V$15,MATCH($I143,$I$12:$I$15,0)))</f>
        <v>46482</v>
      </c>
      <c r="W143" s="218">
        <f>Y143/7</f>
        <v>8.5714285714285694</v>
      </c>
      <c r="X143" s="215">
        <f>Z143</f>
        <v>46538</v>
      </c>
      <c r="Y143" s="768">
        <v>60</v>
      </c>
      <c r="Z143" s="773">
        <v>46538</v>
      </c>
      <c r="AA143" s="773">
        <v>46538</v>
      </c>
      <c r="AB143" s="777">
        <f>Z143-X144</f>
        <v>0</v>
      </c>
      <c r="AC143" s="220">
        <f>IF(ISERROR(LOOKUP(AC$16,$L143:$X143,#REF!)),0,(LOOKUP(AC$16,$L143:$X143,#REF!)))</f>
        <v>0</v>
      </c>
      <c r="AD143" s="221">
        <f>IF(ISERROR(LOOKUP(AD$16,$L143:$X143,#REF!)),0,(LOOKUP(AD$16,$L143:$X143,#REF!)))</f>
        <v>0</v>
      </c>
      <c r="AE143" s="221">
        <f>IF(ISERROR(LOOKUP(AE$16,$L143:$X143,#REF!)),0,(LOOKUP(AE$16,$L143:$X143,#REF!)))</f>
        <v>0</v>
      </c>
      <c r="AF143" s="221">
        <f>IF(ISERROR(LOOKUP(AF$16,$L143:$X143,#REF!)),0,(LOOKUP(AF$16,$L143:$X143,#REF!)))</f>
        <v>0</v>
      </c>
      <c r="AG143" s="221">
        <f>IF(ISERROR(LOOKUP(AG$16,$L143:$X143,#REF!)),0,(LOOKUP(AG$16,$L143:$X143,#REF!)))</f>
        <v>0</v>
      </c>
      <c r="AH143" s="221">
        <f>IF(ISERROR(LOOKUP(AH$16,$L143:$X143,#REF!)),0,(LOOKUP(AH$16,$L143:$X143,#REF!)))</f>
        <v>0</v>
      </c>
      <c r="AI143" s="221">
        <f>IF(ISERROR(LOOKUP(AI$16,$L143:$X143,#REF!)),0,(LOOKUP(AI$16,$L143:$X143,#REF!)))</f>
        <v>0</v>
      </c>
      <c r="AJ143" s="221">
        <f>IF(ISERROR(LOOKUP(AJ$16,$L143:$X143,#REF!)),0,(LOOKUP(AJ$16,$L143:$X143,#REF!)))</f>
        <v>0</v>
      </c>
      <c r="AK143" s="221">
        <f>IF(ISERROR(LOOKUP(AK$16,$L143:$X143,#REF!)),0,(LOOKUP(AK$16,$L143:$X143,#REF!)))</f>
        <v>0</v>
      </c>
      <c r="AL143" s="221">
        <f>IF(ISERROR(LOOKUP(AL$16,$L143:$X143,#REF!)),0,(LOOKUP(AL$16,$L143:$X143,#REF!)))</f>
        <v>0</v>
      </c>
      <c r="AM143" s="221">
        <f ca="1">IF(ISERROR(LOOKUP(AM$16,$L143:$X143,#REF!)),0,(LOOKUP(AM$16,$L143:$X143,#REF!)))</f>
        <v>0</v>
      </c>
      <c r="AP143" s="215" t="e">
        <f>WORKDAY(AQ143,-INDEX(AQ$12:AQ$15,MATCH($I143,$I$12:$I$15,0)),$AW$17:$AW$148)</f>
        <v>#REF!</v>
      </c>
      <c r="AQ143" s="215" t="e">
        <f>WORKDAY(U143,-INDEX(U$12:U$15,MATCH($I143,$I$12:$I$15,0)),$AW$17:$AW$148)</f>
        <v>#REF!</v>
      </c>
      <c r="AR143" s="215" t="e">
        <f>WORKDAY(U143,-INDEX(U$12:U$15,MATCH($I143,$I$12:$I$15,0)),$AW$17:$AW$148)</f>
        <v>#REF!</v>
      </c>
      <c r="AS143" s="778">
        <v>7</v>
      </c>
      <c r="AW143" s="223" t="e">
        <v>#REF!</v>
      </c>
    </row>
    <row r="144" spans="1:49" s="166" customFormat="1" ht="18" customHeight="1">
      <c r="A144" s="736"/>
      <c r="B144" s="739"/>
      <c r="C144" s="741" t="str">
        <f>C143</f>
        <v>RFQ-043</v>
      </c>
      <c r="D144" s="741" t="str">
        <f>D143</f>
        <v>Level Switch</v>
      </c>
      <c r="E144" s="224"/>
      <c r="F144" s="760" t="str">
        <f>F143</f>
        <v>Instrument</v>
      </c>
      <c r="G144" s="741" t="str">
        <f>G143</f>
        <v>N</v>
      </c>
      <c r="H144" s="747"/>
      <c r="I144" s="212" t="str">
        <f>I143</f>
        <v>LC</v>
      </c>
      <c r="J144" s="249" t="s">
        <v>65</v>
      </c>
      <c r="K144" s="215">
        <f>K143</f>
        <v>46381</v>
      </c>
      <c r="L144" s="215">
        <f>WORKDAY(IF(K145="",K144,K145),INDEX(L$12:L$15,MATCH($I143,$I$12:$I$15,0)))</f>
        <v>46386</v>
      </c>
      <c r="M144" s="215">
        <f>WORKDAY(IF(L145="",L144,L145),INDEX(M$12:M$15,MATCH($I143,$I$12:$I$15,0)))</f>
        <v>46400</v>
      </c>
      <c r="N144" s="215">
        <f>WORKDAY(IF(M145="",M144,M145),INDEX(N$12:N$15,MATCH($I143,$I$12:$I$15,0)))</f>
        <v>46401</v>
      </c>
      <c r="O144" s="215">
        <f>WORKDAY(IF(N145="",N144,N145),INDEX(O$12:O$15,MATCH($I143,$I$12:$I$15,0)))</f>
        <v>46415</v>
      </c>
      <c r="P144" s="216"/>
      <c r="Q144" s="217"/>
      <c r="R144" s="215">
        <f>WORKDAY(IF(O145="",O144,O145),INDEX(R$12:R$15,MATCH($I143,$I$12:$I$15,0)))</f>
        <v>46429</v>
      </c>
      <c r="S144" s="215">
        <f>WORKDAY(IF(R145="",R144,R145),INDEX(S$12:S$15,MATCH($I143,$I$12:$I$15,0)))</f>
        <v>46450</v>
      </c>
      <c r="T144" s="215">
        <f>WORKDAY(IF(S145="",S144,S145),INDEX(T$12:T$15,MATCH($I143,$I$12:$I$15,0)))</f>
        <v>46464</v>
      </c>
      <c r="U144" s="215">
        <f>WORKDAY(IF(T145="",T144,T145),INDEX(U$12:U$15,MATCH($I143,$I$12:$I$15,0)))</f>
        <v>46478</v>
      </c>
      <c r="V144" s="215">
        <f>WORKDAY(IF(U145="",U144,U145),INDEX(V$12:V$15,MATCH($I143,$I$12:$I$15,0)))</f>
        <v>46482</v>
      </c>
      <c r="W144" s="218"/>
      <c r="X144" s="215">
        <f>U144+Y143</f>
        <v>46538</v>
      </c>
      <c r="Y144" s="768"/>
      <c r="Z144" s="773"/>
      <c r="AA144" s="773"/>
      <c r="AB144" s="777"/>
      <c r="AC144" s="220">
        <f>IF(ISERROR(LOOKUP(AC$16,$L144:$X144,#REF!)),0,(LOOKUP(AC$16,$L144:$X144,#REF!)))</f>
        <v>0</v>
      </c>
      <c r="AD144" s="221">
        <f>IF(ISERROR(LOOKUP(AD$16,$L144:$X144,#REF!)),0,(LOOKUP(AD$16,$L144:$X144,#REF!)))</f>
        <v>0</v>
      </c>
      <c r="AE144" s="221">
        <f>IF(ISERROR(LOOKUP(AE$16,$L144:$X144,#REF!)),0,(LOOKUP(AE$16,$L144:$X144,#REF!)))</f>
        <v>0</v>
      </c>
      <c r="AF144" s="221">
        <f>IF(ISERROR(LOOKUP(AF$16,$L144:$X144,#REF!)),0,(LOOKUP(AF$16,$L144:$X144,#REF!)))</f>
        <v>0</v>
      </c>
      <c r="AG144" s="221">
        <f>IF(ISERROR(LOOKUP(AG$16,$L144:$X144,#REF!)),0,(LOOKUP(AG$16,$L144:$X144,#REF!)))</f>
        <v>0</v>
      </c>
      <c r="AH144" s="221">
        <f>IF(ISERROR(LOOKUP(AH$16,$L144:$X144,#REF!)),0,(LOOKUP(AH$16,$L144:$X144,#REF!)))</f>
        <v>0</v>
      </c>
      <c r="AI144" s="221">
        <f>IF(ISERROR(LOOKUP(AI$16,$L144:$X144,#REF!)),0,(LOOKUP(AI$16,$L144:$X144,#REF!)))</f>
        <v>0</v>
      </c>
      <c r="AJ144" s="221">
        <f>IF(ISERROR(LOOKUP(AJ$16,$L144:$X144,#REF!)),0,(LOOKUP(AJ$16,$L144:$X144,#REF!)))</f>
        <v>0</v>
      </c>
      <c r="AK144" s="221">
        <f>IF(ISERROR(LOOKUP(AK$16,$L144:$X144,#REF!)),0,(LOOKUP(AK$16,$L144:$X144,#REF!)))</f>
        <v>0</v>
      </c>
      <c r="AL144" s="221">
        <f>IF(ISERROR(LOOKUP(AL$16,$L144:$X144,#REF!)),0,(LOOKUP(AL$16,$L144:$X144,#REF!)))</f>
        <v>0</v>
      </c>
      <c r="AM144" s="221">
        <f ca="1">IF(ISERROR(LOOKUP(AM$16,$L144:$X144,#REF!)),0,(LOOKUP(AM$16,$L144:$X144,#REF!)))</f>
        <v>0</v>
      </c>
      <c r="AP144" s="215" t="e">
        <f>WORKDAY(IF(T145="",T144,T145),INDEX(AP$12:AP$15,MATCH($I143,$I$12:$I$15,0)),$AW$17:$AW$148)</f>
        <v>#REF!</v>
      </c>
      <c r="AQ144" s="215" t="e">
        <f>WORKDAY(IF(AP145="",AP144,AP145),INDEX(AQ$12:AQ$15,MATCH($I143,$I$12:$I$15,0)),$AW$17:$AW$148)</f>
        <v>#REF!</v>
      </c>
      <c r="AR144" s="215" t="e">
        <f>WORKDAY(IF(AQ145="",AQ144,AQ145),INDEX(AR$12:AR$15,MATCH($I143,$I$12:$I$15,0)),$AW$17:$AW$148)</f>
        <v>#REF!</v>
      </c>
      <c r="AS144" s="778"/>
      <c r="AW144" s="223" t="e">
        <v>#REF!</v>
      </c>
    </row>
    <row r="145" spans="1:49" s="166" customFormat="1" ht="18" customHeight="1">
      <c r="A145" s="736"/>
      <c r="B145" s="740"/>
      <c r="C145" s="741" t="str">
        <f>C143</f>
        <v>RFQ-043</v>
      </c>
      <c r="D145" s="741" t="str">
        <f>D143</f>
        <v>Level Switch</v>
      </c>
      <c r="E145" s="225"/>
      <c r="F145" s="761" t="str">
        <f>F143</f>
        <v>Instrument</v>
      </c>
      <c r="G145" s="741" t="str">
        <f>G143</f>
        <v>N</v>
      </c>
      <c r="H145" s="748"/>
      <c r="I145" s="212" t="str">
        <f>I143</f>
        <v>LC</v>
      </c>
      <c r="J145" s="249" t="s">
        <v>67</v>
      </c>
      <c r="K145" s="212"/>
      <c r="L145" s="212"/>
      <c r="M145" s="212"/>
      <c r="N145" s="212"/>
      <c r="O145" s="212"/>
      <c r="P145" s="226"/>
      <c r="Q145" s="227"/>
      <c r="R145" s="212"/>
      <c r="S145" s="212"/>
      <c r="T145" s="212"/>
      <c r="U145" s="212"/>
      <c r="V145" s="212"/>
      <c r="W145" s="228"/>
      <c r="X145" s="212"/>
      <c r="Y145" s="768"/>
      <c r="Z145" s="773"/>
      <c r="AA145" s="773"/>
      <c r="AB145" s="777"/>
      <c r="AC145" s="229">
        <f>IF(ISERROR(LOOKUP(AC$16,$L145:$X145,#REF!)),0,(LOOKUP(AC$16,$L145:$X145,#REF!)))</f>
        <v>0</v>
      </c>
      <c r="AD145" s="230">
        <f>IF(ISERROR(LOOKUP(AD$16,$L145:$X145,#REF!)),0,(LOOKUP(AD$16,$L145:$X145,#REF!)))</f>
        <v>0</v>
      </c>
      <c r="AE145" s="230">
        <f>IF(ISERROR(LOOKUP(AE$16,$L145:$X145,#REF!)),0,(LOOKUP(AE$16,$L145:$X145,#REF!)))</f>
        <v>0</v>
      </c>
      <c r="AF145" s="230">
        <f>IF(ISERROR(LOOKUP(AF$16,$L145:$X145,#REF!)),0,(LOOKUP(AF$16,$L145:$X145,#REF!)))</f>
        <v>0</v>
      </c>
      <c r="AG145" s="230">
        <f>IF(ISERROR(LOOKUP(AG$16,$L145:$X145,#REF!)),0,(LOOKUP(AG$16,$L145:$X145,#REF!)))</f>
        <v>0</v>
      </c>
      <c r="AH145" s="230">
        <f>IF(ISERROR(LOOKUP(AH$16,$L145:$X145,#REF!)),0,(LOOKUP(AH$16,$L145:$X145,#REF!)))</f>
        <v>0</v>
      </c>
      <c r="AI145" s="230">
        <f>IF(ISERROR(LOOKUP(AI$16,$L145:$X145,#REF!)),0,(LOOKUP(AI$16,$L145:$X145,#REF!)))</f>
        <v>0</v>
      </c>
      <c r="AJ145" s="230">
        <f>IF(ISERROR(LOOKUP(AJ$16,$L145:$X145,#REF!)),0,(LOOKUP(AJ$16,$L145:$X145,#REF!)))</f>
        <v>0</v>
      </c>
      <c r="AK145" s="230">
        <f>IF(ISERROR(LOOKUP(AK$16,$L145:$X145,#REF!)),0,(LOOKUP(AK$16,$L145:$X145,#REF!)))</f>
        <v>0</v>
      </c>
      <c r="AL145" s="230">
        <f>IF(ISERROR(LOOKUP(AL$16,$L145:$X145,#REF!)),0,(LOOKUP(AL$16,$L145:$X145,#REF!)))</f>
        <v>0</v>
      </c>
      <c r="AM145" s="230">
        <f ca="1">IF(ISERROR(LOOKUP(AM$16,$L145:$X145,#REF!)),0,(LOOKUP(AM$16,$L145:$X145,#REF!)))</f>
        <v>0</v>
      </c>
      <c r="AP145" s="212"/>
      <c r="AQ145" s="212"/>
      <c r="AR145" s="212"/>
      <c r="AS145" s="778"/>
      <c r="AW145" s="223" t="e">
        <v>#REF!</v>
      </c>
    </row>
    <row r="146" spans="1:49" s="166" customFormat="1" ht="18" customHeight="1">
      <c r="A146" s="736">
        <f>A143+1</f>
        <v>44</v>
      </c>
      <c r="B146" s="738"/>
      <c r="C146" s="741" t="s">
        <v>5295</v>
      </c>
      <c r="D146" s="741" t="s">
        <v>5296</v>
      </c>
      <c r="E146" s="213"/>
      <c r="F146" s="759" t="s">
        <v>137</v>
      </c>
      <c r="G146" s="741" t="s">
        <v>73</v>
      </c>
      <c r="H146" s="746"/>
      <c r="I146" s="212" t="s">
        <v>8</v>
      </c>
      <c r="J146" s="249" t="s">
        <v>5236</v>
      </c>
      <c r="K146" s="215">
        <f>WORKDAY(L146,-INDEX(L$12:L$15,MATCH($I146,$I$12:$I$15,0)))</f>
        <v>46381</v>
      </c>
      <c r="L146" s="215">
        <f>WORKDAY(M146,-INDEX(M$12:M$15,MATCH($I146,$I$12:$I$15,0)))</f>
        <v>46386</v>
      </c>
      <c r="M146" s="215">
        <f>WORKDAY(N146,-INDEX(N$12:N$15,MATCH($I146,$I$12:$I$15,0)))</f>
        <v>46400</v>
      </c>
      <c r="N146" s="215">
        <f>WORKDAY(O146,-INDEX(O$12:O$15,MATCH($I146,$I$12:$I$15,0)))</f>
        <v>46401</v>
      </c>
      <c r="O146" s="215">
        <f>WORKDAY(R146,-INDEX(R$12:R$15,MATCH($I146,$I$12:$I$15,0)))</f>
        <v>46415</v>
      </c>
      <c r="P146" s="216">
        <f>U146-L146</f>
        <v>92</v>
      </c>
      <c r="Q146" s="217"/>
      <c r="R146" s="215">
        <f>WORKDAY(S146,-INDEX(S$12:S$15,MATCH($I146,$I$12:$I$15,0)))</f>
        <v>46429</v>
      </c>
      <c r="S146" s="215">
        <f>WORKDAY(T146,-INDEX(T$12:T$15,MATCH($I146,$I$12:$I$15,0)))</f>
        <v>46450</v>
      </c>
      <c r="T146" s="215">
        <f>WORKDAY(U146,-INDEX(U$12:U$15,MATCH($I146,$I$12:$I$15,0)))</f>
        <v>46464</v>
      </c>
      <c r="U146" s="215">
        <f>X146-Y146</f>
        <v>46478</v>
      </c>
      <c r="V146" s="215">
        <f>WORKDAY(U146,INDEX(V$12:V$15,MATCH($I146,$I$12:$I$15,0)))</f>
        <v>46482</v>
      </c>
      <c r="W146" s="218">
        <f>Y146/7</f>
        <v>8.5714285714285694</v>
      </c>
      <c r="X146" s="215">
        <f>Z146</f>
        <v>46538</v>
      </c>
      <c r="Y146" s="768">
        <v>60</v>
      </c>
      <c r="Z146" s="773">
        <v>46538</v>
      </c>
      <c r="AA146" s="773">
        <v>46538</v>
      </c>
      <c r="AB146" s="777">
        <f>Z146-X147</f>
        <v>0</v>
      </c>
      <c r="AC146" s="220">
        <f>IF(ISERROR(LOOKUP(AC$16,$L146:$X146,#REF!)),0,(LOOKUP(AC$16,$L146:$X146,#REF!)))</f>
        <v>0</v>
      </c>
      <c r="AD146" s="221">
        <f>IF(ISERROR(LOOKUP(AD$16,$L146:$X146,#REF!)),0,(LOOKUP(AD$16,$L146:$X146,#REF!)))</f>
        <v>0</v>
      </c>
      <c r="AE146" s="221">
        <f>IF(ISERROR(LOOKUP(AE$16,$L146:$X146,#REF!)),0,(LOOKUP(AE$16,$L146:$X146,#REF!)))</f>
        <v>0</v>
      </c>
      <c r="AF146" s="221">
        <f>IF(ISERROR(LOOKUP(AF$16,$L146:$X146,#REF!)),0,(LOOKUP(AF$16,$L146:$X146,#REF!)))</f>
        <v>0</v>
      </c>
      <c r="AG146" s="221">
        <f>IF(ISERROR(LOOKUP(AG$16,$L146:$X146,#REF!)),0,(LOOKUP(AG$16,$L146:$X146,#REF!)))</f>
        <v>0</v>
      </c>
      <c r="AH146" s="221">
        <f>IF(ISERROR(LOOKUP(AH$16,$L146:$X146,#REF!)),0,(LOOKUP(AH$16,$L146:$X146,#REF!)))</f>
        <v>0</v>
      </c>
      <c r="AI146" s="221">
        <f>IF(ISERROR(LOOKUP(AI$16,$L146:$X146,#REF!)),0,(LOOKUP(AI$16,$L146:$X146,#REF!)))</f>
        <v>0</v>
      </c>
      <c r="AJ146" s="221">
        <f>IF(ISERROR(LOOKUP(AJ$16,$L146:$X146,#REF!)),0,(LOOKUP(AJ$16,$L146:$X146,#REF!)))</f>
        <v>0</v>
      </c>
      <c r="AK146" s="221">
        <f>IF(ISERROR(LOOKUP(AK$16,$L146:$X146,#REF!)),0,(LOOKUP(AK$16,$L146:$X146,#REF!)))</f>
        <v>0</v>
      </c>
      <c r="AL146" s="221">
        <f>IF(ISERROR(LOOKUP(AL$16,$L146:$X146,#REF!)),0,(LOOKUP(AL$16,$L146:$X146,#REF!)))</f>
        <v>0</v>
      </c>
      <c r="AM146" s="221">
        <f ca="1">IF(ISERROR(LOOKUP(AM$16,$L146:$X146,#REF!)),0,(LOOKUP(AM$16,$L146:$X146,#REF!)))</f>
        <v>0</v>
      </c>
      <c r="AP146" s="215" t="e">
        <f>WORKDAY(AQ146,-INDEX(AQ$12:AQ$15,MATCH($I146,$I$12:$I$15,0)),$AW$17:$AW$148)</f>
        <v>#REF!</v>
      </c>
      <c r="AQ146" s="215" t="e">
        <f>WORKDAY(U146,-INDEX(U$12:U$15,MATCH($I146,$I$12:$I$15,0)),$AW$17:$AW$148)</f>
        <v>#REF!</v>
      </c>
      <c r="AR146" s="215" t="e">
        <f>WORKDAY(U146,-INDEX(U$12:U$15,MATCH($I146,$I$12:$I$15,0)),$AW$17:$AW$148)</f>
        <v>#REF!</v>
      </c>
      <c r="AS146" s="778">
        <v>7</v>
      </c>
      <c r="AW146" s="223" t="e">
        <v>#REF!</v>
      </c>
    </row>
    <row r="147" spans="1:49" s="166" customFormat="1" ht="18" customHeight="1">
      <c r="A147" s="736"/>
      <c r="B147" s="739"/>
      <c r="C147" s="741" t="str">
        <f>C146</f>
        <v>RFQ-044</v>
      </c>
      <c r="D147" s="741" t="str">
        <f>D146</f>
        <v>Flow Switch</v>
      </c>
      <c r="E147" s="224"/>
      <c r="F147" s="760" t="str">
        <f>F146</f>
        <v>Instrument</v>
      </c>
      <c r="G147" s="741" t="str">
        <f>G146</f>
        <v>N</v>
      </c>
      <c r="H147" s="747"/>
      <c r="I147" s="212" t="str">
        <f>I146</f>
        <v>LC</v>
      </c>
      <c r="J147" s="249" t="s">
        <v>65</v>
      </c>
      <c r="K147" s="215">
        <f>K146</f>
        <v>46381</v>
      </c>
      <c r="L147" s="215">
        <f>WORKDAY(IF(K148="",K147,K148),INDEX(L$12:L$15,MATCH($I146,$I$12:$I$15,0)))</f>
        <v>46386</v>
      </c>
      <c r="M147" s="215">
        <f>WORKDAY(IF(L148="",L147,L148),INDEX(M$12:M$15,MATCH($I146,$I$12:$I$15,0)))</f>
        <v>46400</v>
      </c>
      <c r="N147" s="215">
        <f>WORKDAY(IF(M148="",M147,M148),INDEX(N$12:N$15,MATCH($I146,$I$12:$I$15,0)))</f>
        <v>46401</v>
      </c>
      <c r="O147" s="215">
        <f>WORKDAY(IF(N148="",N147,N148),INDEX(O$12:O$15,MATCH($I146,$I$12:$I$15,0)))</f>
        <v>46415</v>
      </c>
      <c r="P147" s="216"/>
      <c r="Q147" s="217"/>
      <c r="R147" s="215">
        <f>WORKDAY(IF(O148="",O147,O148),INDEX(R$12:R$15,MATCH($I146,$I$12:$I$15,0)))</f>
        <v>46429</v>
      </c>
      <c r="S147" s="215">
        <f>WORKDAY(IF(R148="",R147,R148),INDEX(S$12:S$15,MATCH($I146,$I$12:$I$15,0)))</f>
        <v>46450</v>
      </c>
      <c r="T147" s="215">
        <f>WORKDAY(IF(S148="",S147,S148),INDEX(T$12:T$15,MATCH($I146,$I$12:$I$15,0)))</f>
        <v>46464</v>
      </c>
      <c r="U147" s="215">
        <f>WORKDAY(IF(T148="",T147,T148),INDEX(U$12:U$15,MATCH($I146,$I$12:$I$15,0)))</f>
        <v>46478</v>
      </c>
      <c r="V147" s="215">
        <f>WORKDAY(IF(U148="",U147,U148),INDEX(V$12:V$15,MATCH($I146,$I$12:$I$15,0)))</f>
        <v>46482</v>
      </c>
      <c r="W147" s="218"/>
      <c r="X147" s="215">
        <f>U147+Y146</f>
        <v>46538</v>
      </c>
      <c r="Y147" s="768"/>
      <c r="Z147" s="773"/>
      <c r="AA147" s="773"/>
      <c r="AB147" s="777"/>
      <c r="AC147" s="220">
        <f>IF(ISERROR(LOOKUP(AC$16,$L147:$X147,#REF!)),0,(LOOKUP(AC$16,$L147:$X147,#REF!)))</f>
        <v>0</v>
      </c>
      <c r="AD147" s="221">
        <f>IF(ISERROR(LOOKUP(AD$16,$L147:$X147,#REF!)),0,(LOOKUP(AD$16,$L147:$X147,#REF!)))</f>
        <v>0</v>
      </c>
      <c r="AE147" s="221">
        <f>IF(ISERROR(LOOKUP(AE$16,$L147:$X147,#REF!)),0,(LOOKUP(AE$16,$L147:$X147,#REF!)))</f>
        <v>0</v>
      </c>
      <c r="AF147" s="221">
        <f>IF(ISERROR(LOOKUP(AF$16,$L147:$X147,#REF!)),0,(LOOKUP(AF$16,$L147:$X147,#REF!)))</f>
        <v>0</v>
      </c>
      <c r="AG147" s="221">
        <f>IF(ISERROR(LOOKUP(AG$16,$L147:$X147,#REF!)),0,(LOOKUP(AG$16,$L147:$X147,#REF!)))</f>
        <v>0</v>
      </c>
      <c r="AH147" s="221">
        <f>IF(ISERROR(LOOKUP(AH$16,$L147:$X147,#REF!)),0,(LOOKUP(AH$16,$L147:$X147,#REF!)))</f>
        <v>0</v>
      </c>
      <c r="AI147" s="221">
        <f>IF(ISERROR(LOOKUP(AI$16,$L147:$X147,#REF!)),0,(LOOKUP(AI$16,$L147:$X147,#REF!)))</f>
        <v>0</v>
      </c>
      <c r="AJ147" s="221">
        <f>IF(ISERROR(LOOKUP(AJ$16,$L147:$X147,#REF!)),0,(LOOKUP(AJ$16,$L147:$X147,#REF!)))</f>
        <v>0</v>
      </c>
      <c r="AK147" s="221">
        <f>IF(ISERROR(LOOKUP(AK$16,$L147:$X147,#REF!)),0,(LOOKUP(AK$16,$L147:$X147,#REF!)))</f>
        <v>0</v>
      </c>
      <c r="AL147" s="221">
        <f>IF(ISERROR(LOOKUP(AL$16,$L147:$X147,#REF!)),0,(LOOKUP(AL$16,$L147:$X147,#REF!)))</f>
        <v>0</v>
      </c>
      <c r="AM147" s="221">
        <f ca="1">IF(ISERROR(LOOKUP(AM$16,$L147:$X147,#REF!)),0,(LOOKUP(AM$16,$L147:$X147,#REF!)))</f>
        <v>0</v>
      </c>
      <c r="AP147" s="215" t="e">
        <f>WORKDAY(IF(T148="",T147,T148),INDEX(AP$12:AP$15,MATCH($I146,$I$12:$I$15,0)),$AW$17:$AW$148)</f>
        <v>#REF!</v>
      </c>
      <c r="AQ147" s="215" t="e">
        <f>WORKDAY(IF(AP148="",AP147,AP148),INDEX(AQ$12:AQ$15,MATCH($I146,$I$12:$I$15,0)),$AW$17:$AW$148)</f>
        <v>#REF!</v>
      </c>
      <c r="AR147" s="215" t="e">
        <f>WORKDAY(IF(AQ148="",AQ147,AQ148),INDEX(AR$12:AR$15,MATCH($I146,$I$12:$I$15,0)),$AW$17:$AW$148)</f>
        <v>#REF!</v>
      </c>
      <c r="AS147" s="778"/>
      <c r="AW147" s="223" t="e">
        <v>#REF!</v>
      </c>
    </row>
    <row r="148" spans="1:49" s="166" customFormat="1" ht="18" customHeight="1">
      <c r="A148" s="736"/>
      <c r="B148" s="740"/>
      <c r="C148" s="741" t="str">
        <f>C146</f>
        <v>RFQ-044</v>
      </c>
      <c r="D148" s="741" t="str">
        <f>D146</f>
        <v>Flow Switch</v>
      </c>
      <c r="E148" s="225"/>
      <c r="F148" s="761" t="str">
        <f>F146</f>
        <v>Instrument</v>
      </c>
      <c r="G148" s="741" t="str">
        <f>G146</f>
        <v>N</v>
      </c>
      <c r="H148" s="748"/>
      <c r="I148" s="212" t="str">
        <f>I146</f>
        <v>LC</v>
      </c>
      <c r="J148" s="249" t="s">
        <v>67</v>
      </c>
      <c r="K148" s="212"/>
      <c r="L148" s="212"/>
      <c r="M148" s="212"/>
      <c r="N148" s="212"/>
      <c r="O148" s="212"/>
      <c r="P148" s="226"/>
      <c r="Q148" s="227"/>
      <c r="R148" s="212"/>
      <c r="S148" s="212"/>
      <c r="T148" s="212"/>
      <c r="U148" s="212"/>
      <c r="V148" s="212"/>
      <c r="W148" s="228"/>
      <c r="X148" s="212"/>
      <c r="Y148" s="768"/>
      <c r="Z148" s="773"/>
      <c r="AA148" s="773"/>
      <c r="AB148" s="777"/>
      <c r="AC148" s="229">
        <f>IF(ISERROR(LOOKUP(AC$16,$L148:$X148,#REF!)),0,(LOOKUP(AC$16,$L148:$X148,#REF!)))</f>
        <v>0</v>
      </c>
      <c r="AD148" s="230">
        <f>IF(ISERROR(LOOKUP(AD$16,$L148:$X148,#REF!)),0,(LOOKUP(AD$16,$L148:$X148,#REF!)))</f>
        <v>0</v>
      </c>
      <c r="AE148" s="230">
        <f>IF(ISERROR(LOOKUP(AE$16,$L148:$X148,#REF!)),0,(LOOKUP(AE$16,$L148:$X148,#REF!)))</f>
        <v>0</v>
      </c>
      <c r="AF148" s="230">
        <f>IF(ISERROR(LOOKUP(AF$16,$L148:$X148,#REF!)),0,(LOOKUP(AF$16,$L148:$X148,#REF!)))</f>
        <v>0</v>
      </c>
      <c r="AG148" s="230">
        <f>IF(ISERROR(LOOKUP(AG$16,$L148:$X148,#REF!)),0,(LOOKUP(AG$16,$L148:$X148,#REF!)))</f>
        <v>0</v>
      </c>
      <c r="AH148" s="230">
        <f>IF(ISERROR(LOOKUP(AH$16,$L148:$X148,#REF!)),0,(LOOKUP(AH$16,$L148:$X148,#REF!)))</f>
        <v>0</v>
      </c>
      <c r="AI148" s="230">
        <f>IF(ISERROR(LOOKUP(AI$16,$L148:$X148,#REF!)),0,(LOOKUP(AI$16,$L148:$X148,#REF!)))</f>
        <v>0</v>
      </c>
      <c r="AJ148" s="230">
        <f>IF(ISERROR(LOOKUP(AJ$16,$L148:$X148,#REF!)),0,(LOOKUP(AJ$16,$L148:$X148,#REF!)))</f>
        <v>0</v>
      </c>
      <c r="AK148" s="230">
        <f>IF(ISERROR(LOOKUP(AK$16,$L148:$X148,#REF!)),0,(LOOKUP(AK$16,$L148:$X148,#REF!)))</f>
        <v>0</v>
      </c>
      <c r="AL148" s="230">
        <f>IF(ISERROR(LOOKUP(AL$16,$L148:$X148,#REF!)),0,(LOOKUP(AL$16,$L148:$X148,#REF!)))</f>
        <v>0</v>
      </c>
      <c r="AM148" s="230">
        <f ca="1">IF(ISERROR(LOOKUP(AM$16,$L148:$X148,#REF!)),0,(LOOKUP(AM$16,$L148:$X148,#REF!)))</f>
        <v>0</v>
      </c>
      <c r="AP148" s="212"/>
      <c r="AQ148" s="212"/>
      <c r="AR148" s="212"/>
      <c r="AS148" s="778"/>
      <c r="AW148" s="223" t="e">
        <v>#REF!</v>
      </c>
    </row>
    <row r="149" spans="1:49" s="166" customFormat="1" ht="18" customHeight="1">
      <c r="A149" s="736">
        <f>A146+1</f>
        <v>45</v>
      </c>
      <c r="B149" s="738"/>
      <c r="C149" s="741" t="s">
        <v>5297</v>
      </c>
      <c r="D149" s="741" t="s">
        <v>203</v>
      </c>
      <c r="E149" s="213"/>
      <c r="F149" s="759" t="s">
        <v>124</v>
      </c>
      <c r="G149" s="741" t="s">
        <v>73</v>
      </c>
      <c r="H149" s="746"/>
      <c r="I149" s="212" t="s">
        <v>7</v>
      </c>
      <c r="J149" s="249" t="s">
        <v>5236</v>
      </c>
      <c r="K149" s="215">
        <f>WORKDAY(L149,-INDEX(L$12:L$15,MATCH($I149,$I$12:$I$15,0)))</f>
        <v>46209</v>
      </c>
      <c r="L149" s="215">
        <f>WORKDAY(M149,-INDEX(M$12:M$15,MATCH($I149,$I$12:$I$15,0)))</f>
        <v>46210</v>
      </c>
      <c r="M149" s="215">
        <f>WORKDAY(N149,-INDEX(N$12:N$15,MATCH($I149,$I$12:$I$15,0)))</f>
        <v>46217</v>
      </c>
      <c r="N149" s="215">
        <f>WORKDAY(O149,-INDEX(O$12:O$15,MATCH($I149,$I$12:$I$15,0)))</f>
        <v>46218</v>
      </c>
      <c r="O149" s="215">
        <f>WORKDAY(R149,-INDEX(R$12:R$15,MATCH($I149,$I$12:$I$15,0)))</f>
        <v>46225</v>
      </c>
      <c r="P149" s="216">
        <f>U149-L149</f>
        <v>76</v>
      </c>
      <c r="Q149" s="217"/>
      <c r="R149" s="215">
        <f>WORKDAY(S149,-INDEX(S$12:S$15,MATCH($I149,$I$12:$I$15,0)))</f>
        <v>46239</v>
      </c>
      <c r="S149" s="215">
        <f>WORKDAY(T149,-INDEX(T$12:T$15,MATCH($I149,$I$12:$I$15,0)))</f>
        <v>46267</v>
      </c>
      <c r="T149" s="215">
        <f>WORKDAY(U149,-INDEX(U$12:U$15,MATCH($I149,$I$12:$I$15,0)))</f>
        <v>46272</v>
      </c>
      <c r="U149" s="215">
        <f>X149-Y149</f>
        <v>46286</v>
      </c>
      <c r="V149" s="215">
        <f>WORKDAY(U149,INDEX(V$12:V$15,MATCH($I149,$I$12:$I$15,0)))</f>
        <v>46288</v>
      </c>
      <c r="W149" s="218">
        <f>Y149/7</f>
        <v>36</v>
      </c>
      <c r="X149" s="215">
        <f>Z149</f>
        <v>46538</v>
      </c>
      <c r="Y149" s="768">
        <f>36*7</f>
        <v>252</v>
      </c>
      <c r="Z149" s="773">
        <v>46538</v>
      </c>
      <c r="AA149" s="773">
        <v>46538</v>
      </c>
      <c r="AB149" s="777">
        <f>Z149-X150</f>
        <v>0</v>
      </c>
      <c r="AC149" s="220">
        <f>IF(ISERROR(LOOKUP(AC$16,$L149:$X149,#REF!)),0,(LOOKUP(AC$16,$L149:$X149,#REF!)))</f>
        <v>0</v>
      </c>
      <c r="AD149" s="221">
        <f>IF(ISERROR(LOOKUP(AD$16,$L149:$X149,#REF!)),0,(LOOKUP(AD$16,$L149:$X149,#REF!)))</f>
        <v>0</v>
      </c>
      <c r="AE149" s="221">
        <f>IF(ISERROR(LOOKUP(AE$16,$L149:$X149,#REF!)),0,(LOOKUP(AE$16,$L149:$X149,#REF!)))</f>
        <v>0</v>
      </c>
      <c r="AF149" s="221">
        <f>IF(ISERROR(LOOKUP(AF$16,$L149:$X149,#REF!)),0,(LOOKUP(AF$16,$L149:$X149,#REF!)))</f>
        <v>0</v>
      </c>
      <c r="AG149" s="221">
        <f>IF(ISERROR(LOOKUP(AG$16,$L149:$X149,#REF!)),0,(LOOKUP(AG$16,$L149:$X149,#REF!)))</f>
        <v>0</v>
      </c>
      <c r="AH149" s="221">
        <f>IF(ISERROR(LOOKUP(AH$16,$L149:$X149,#REF!)),0,(LOOKUP(AH$16,$L149:$X149,#REF!)))</f>
        <v>0</v>
      </c>
      <c r="AI149" s="221">
        <f>IF(ISERROR(LOOKUP(AI$16,$L149:$X149,#REF!)),0,(LOOKUP(AI$16,$L149:$X149,#REF!)))</f>
        <v>0</v>
      </c>
      <c r="AJ149" s="221">
        <f>IF(ISERROR(LOOKUP(AJ$16,$L149:$X149,#REF!)),0,(LOOKUP(AJ$16,$L149:$X149,#REF!)))</f>
        <v>0</v>
      </c>
      <c r="AK149" s="221">
        <f>IF(ISERROR(LOOKUP(AK$16,$L149:$X149,#REF!)),0,(LOOKUP(AK$16,$L149:$X149,#REF!)))</f>
        <v>0</v>
      </c>
      <c r="AL149" s="221">
        <f>IF(ISERROR(LOOKUP(AL$16,$L149:$X149,#REF!)),0,(LOOKUP(AL$16,$L149:$X149,#REF!)))</f>
        <v>0</v>
      </c>
      <c r="AM149" s="221">
        <f ca="1">IF(ISERROR(LOOKUP(AM$16,$L149:$X149,#REF!)),0,(LOOKUP(AM$16,$L149:$X149,#REF!)))</f>
        <v>0</v>
      </c>
      <c r="AP149" s="215" t="e">
        <f>WORKDAY(AQ149,-INDEX(AQ$12:AQ$15,MATCH($I149,$I$12:$I$15,0)),$AW$17:$AW$148)</f>
        <v>#REF!</v>
      </c>
      <c r="AQ149" s="215" t="e">
        <f>WORKDAY(U149,-INDEX(U$12:U$15,MATCH($I149,$I$12:$I$15,0)),$AW$17:$AW$148)</f>
        <v>#REF!</v>
      </c>
      <c r="AR149" s="215" t="e">
        <f>WORKDAY(U149,-INDEX(U$12:U$15,MATCH($I149,$I$12:$I$15,0)),$AW$17:$AW$148)</f>
        <v>#REF!</v>
      </c>
      <c r="AS149" s="778">
        <v>7</v>
      </c>
      <c r="AW149" s="223" t="e">
        <v>#REF!</v>
      </c>
    </row>
    <row r="150" spans="1:49" s="166" customFormat="1" ht="18" customHeight="1">
      <c r="A150" s="736"/>
      <c r="B150" s="739"/>
      <c r="C150" s="741" t="str">
        <f>C149</f>
        <v>RFQ-045</v>
      </c>
      <c r="D150" s="741" t="str">
        <f>D149</f>
        <v>SCADA System</v>
      </c>
      <c r="E150" s="224"/>
      <c r="F150" s="760" t="str">
        <f>F149</f>
        <v>Electrical</v>
      </c>
      <c r="G150" s="741" t="str">
        <f>G149</f>
        <v>N</v>
      </c>
      <c r="H150" s="747"/>
      <c r="I150" s="212" t="str">
        <f>I149</f>
        <v>LB</v>
      </c>
      <c r="J150" s="249" t="s">
        <v>65</v>
      </c>
      <c r="K150" s="215">
        <f>K149</f>
        <v>46209</v>
      </c>
      <c r="L150" s="215">
        <f>WORKDAY(IF(K151="",K150,K151),INDEX(L$12:L$15,MATCH($I149,$I$12:$I$15,0)))</f>
        <v>46210</v>
      </c>
      <c r="M150" s="215">
        <f>WORKDAY(IF(L151="",L150,L151),INDEX(M$12:M$15,MATCH($I149,$I$12:$I$15,0)))</f>
        <v>46217</v>
      </c>
      <c r="N150" s="215">
        <f>WORKDAY(IF(M151="",M150,M151),INDEX(N$12:N$15,MATCH($I149,$I$12:$I$15,0)))</f>
        <v>46218</v>
      </c>
      <c r="O150" s="215">
        <f>WORKDAY(IF(N151="",N150,N151),INDEX(O$12:O$15,MATCH($I149,$I$12:$I$15,0)))</f>
        <v>46225</v>
      </c>
      <c r="P150" s="216"/>
      <c r="Q150" s="217"/>
      <c r="R150" s="215">
        <f>WORKDAY(IF(O151="",O150,O151),INDEX(R$12:R$15,MATCH($I149,$I$12:$I$15,0)))</f>
        <v>46239</v>
      </c>
      <c r="S150" s="215">
        <f>WORKDAY(IF(R151="",R150,R151),INDEX(S$12:S$15,MATCH($I149,$I$12:$I$15,0)))</f>
        <v>46267</v>
      </c>
      <c r="T150" s="215">
        <f>WORKDAY(IF(S151="",S150,S151),INDEX(T$12:T$15,MATCH($I149,$I$12:$I$15,0)))</f>
        <v>46272</v>
      </c>
      <c r="U150" s="215">
        <f>WORKDAY(IF(T151="",T150,T151),INDEX(U$12:U$15,MATCH($I149,$I$12:$I$15,0)))</f>
        <v>46286</v>
      </c>
      <c r="V150" s="215">
        <f>WORKDAY(IF(U151="",U150,U151),INDEX(V$12:V$15,MATCH($I149,$I$12:$I$15,0)))</f>
        <v>46288</v>
      </c>
      <c r="W150" s="218"/>
      <c r="X150" s="215">
        <f>U150+Y149</f>
        <v>46538</v>
      </c>
      <c r="Y150" s="768"/>
      <c r="Z150" s="773"/>
      <c r="AA150" s="773"/>
      <c r="AB150" s="777"/>
      <c r="AC150" s="220">
        <f>IF(ISERROR(LOOKUP(AC$16,$L150:$X150,#REF!)),0,(LOOKUP(AC$16,$L150:$X150,#REF!)))</f>
        <v>0</v>
      </c>
      <c r="AD150" s="221">
        <f>IF(ISERROR(LOOKUP(AD$16,$L150:$X150,#REF!)),0,(LOOKUP(AD$16,$L150:$X150,#REF!)))</f>
        <v>0</v>
      </c>
      <c r="AE150" s="221">
        <f>IF(ISERROR(LOOKUP(AE$16,$L150:$X150,#REF!)),0,(LOOKUP(AE$16,$L150:$X150,#REF!)))</f>
        <v>0</v>
      </c>
      <c r="AF150" s="221">
        <f>IF(ISERROR(LOOKUP(AF$16,$L150:$X150,#REF!)),0,(LOOKUP(AF$16,$L150:$X150,#REF!)))</f>
        <v>0</v>
      </c>
      <c r="AG150" s="221">
        <f>IF(ISERROR(LOOKUP(AG$16,$L150:$X150,#REF!)),0,(LOOKUP(AG$16,$L150:$X150,#REF!)))</f>
        <v>0</v>
      </c>
      <c r="AH150" s="221">
        <f>IF(ISERROR(LOOKUP(AH$16,$L150:$X150,#REF!)),0,(LOOKUP(AH$16,$L150:$X150,#REF!)))</f>
        <v>0</v>
      </c>
      <c r="AI150" s="221">
        <f>IF(ISERROR(LOOKUP(AI$16,$L150:$X150,#REF!)),0,(LOOKUP(AI$16,$L150:$X150,#REF!)))</f>
        <v>0</v>
      </c>
      <c r="AJ150" s="221">
        <f>IF(ISERROR(LOOKUP(AJ$16,$L150:$X150,#REF!)),0,(LOOKUP(AJ$16,$L150:$X150,#REF!)))</f>
        <v>0</v>
      </c>
      <c r="AK150" s="221">
        <f>IF(ISERROR(LOOKUP(AK$16,$L150:$X150,#REF!)),0,(LOOKUP(AK$16,$L150:$X150,#REF!)))</f>
        <v>0</v>
      </c>
      <c r="AL150" s="221">
        <f>IF(ISERROR(LOOKUP(AL$16,$L150:$X150,#REF!)),0,(LOOKUP(AL$16,$L150:$X150,#REF!)))</f>
        <v>0</v>
      </c>
      <c r="AM150" s="221">
        <f ca="1">IF(ISERROR(LOOKUP(AM$16,$L150:$X150,#REF!)),0,(LOOKUP(AM$16,$L150:$X150,#REF!)))</f>
        <v>0</v>
      </c>
      <c r="AP150" s="215" t="e">
        <f>WORKDAY(IF(T151="",T150,T151),INDEX(AP$12:AP$15,MATCH($I149,$I$12:$I$15,0)),$AW$17:$AW$148)</f>
        <v>#REF!</v>
      </c>
      <c r="AQ150" s="215" t="e">
        <f>WORKDAY(IF(AP151="",AP150,AP151),INDEX(AQ$12:AQ$15,MATCH($I149,$I$12:$I$15,0)),$AW$17:$AW$148)</f>
        <v>#REF!</v>
      </c>
      <c r="AR150" s="215" t="e">
        <f>WORKDAY(IF(AQ151="",AQ150,AQ151),INDEX(AR$12:AR$15,MATCH($I149,$I$12:$I$15,0)),$AW$17:$AW$148)</f>
        <v>#REF!</v>
      </c>
      <c r="AS150" s="778"/>
      <c r="AW150" s="223" t="e">
        <v>#REF!</v>
      </c>
    </row>
    <row r="151" spans="1:49" s="166" customFormat="1" ht="18" customHeight="1">
      <c r="A151" s="736"/>
      <c r="B151" s="740"/>
      <c r="C151" s="741" t="str">
        <f>C149</f>
        <v>RFQ-045</v>
      </c>
      <c r="D151" s="741" t="str">
        <f>D149</f>
        <v>SCADA System</v>
      </c>
      <c r="E151" s="225"/>
      <c r="F151" s="761" t="str">
        <f>F149</f>
        <v>Electrical</v>
      </c>
      <c r="G151" s="741" t="str">
        <f>G149</f>
        <v>N</v>
      </c>
      <c r="H151" s="748"/>
      <c r="I151" s="212" t="str">
        <f>I149</f>
        <v>LB</v>
      </c>
      <c r="J151" s="249" t="s">
        <v>67</v>
      </c>
      <c r="K151" s="212"/>
      <c r="L151" s="212"/>
      <c r="M151" s="212"/>
      <c r="N151" s="212"/>
      <c r="O151" s="212"/>
      <c r="P151" s="226"/>
      <c r="Q151" s="227"/>
      <c r="R151" s="212"/>
      <c r="S151" s="212"/>
      <c r="T151" s="212"/>
      <c r="U151" s="212"/>
      <c r="V151" s="212"/>
      <c r="W151" s="228"/>
      <c r="X151" s="212"/>
      <c r="Y151" s="768"/>
      <c r="Z151" s="773"/>
      <c r="AA151" s="773"/>
      <c r="AB151" s="777"/>
      <c r="AC151" s="229">
        <f>IF(ISERROR(LOOKUP(AC$16,$L151:$X151,#REF!)),0,(LOOKUP(AC$16,$L151:$X151,#REF!)))</f>
        <v>0</v>
      </c>
      <c r="AD151" s="230">
        <f>IF(ISERROR(LOOKUP(AD$16,$L151:$X151,#REF!)),0,(LOOKUP(AD$16,$L151:$X151,#REF!)))</f>
        <v>0</v>
      </c>
      <c r="AE151" s="230">
        <f>IF(ISERROR(LOOKUP(AE$16,$L151:$X151,#REF!)),0,(LOOKUP(AE$16,$L151:$X151,#REF!)))</f>
        <v>0</v>
      </c>
      <c r="AF151" s="230">
        <f>IF(ISERROR(LOOKUP(AF$16,$L151:$X151,#REF!)),0,(LOOKUP(AF$16,$L151:$X151,#REF!)))</f>
        <v>0</v>
      </c>
      <c r="AG151" s="230">
        <f>IF(ISERROR(LOOKUP(AG$16,$L151:$X151,#REF!)),0,(LOOKUP(AG$16,$L151:$X151,#REF!)))</f>
        <v>0</v>
      </c>
      <c r="AH151" s="230">
        <f>IF(ISERROR(LOOKUP(AH$16,$L151:$X151,#REF!)),0,(LOOKUP(AH$16,$L151:$X151,#REF!)))</f>
        <v>0</v>
      </c>
      <c r="AI151" s="230">
        <f>IF(ISERROR(LOOKUP(AI$16,$L151:$X151,#REF!)),0,(LOOKUP(AI$16,$L151:$X151,#REF!)))</f>
        <v>0</v>
      </c>
      <c r="AJ151" s="230">
        <f>IF(ISERROR(LOOKUP(AJ$16,$L151:$X151,#REF!)),0,(LOOKUP(AJ$16,$L151:$X151,#REF!)))</f>
        <v>0</v>
      </c>
      <c r="AK151" s="230">
        <f>IF(ISERROR(LOOKUP(AK$16,$L151:$X151,#REF!)),0,(LOOKUP(AK$16,$L151:$X151,#REF!)))</f>
        <v>0</v>
      </c>
      <c r="AL151" s="230">
        <f>IF(ISERROR(LOOKUP(AL$16,$L151:$X151,#REF!)),0,(LOOKUP(AL$16,$L151:$X151,#REF!)))</f>
        <v>0</v>
      </c>
      <c r="AM151" s="230">
        <f ca="1">IF(ISERROR(LOOKUP(AM$16,$L151:$X151,#REF!)),0,(LOOKUP(AM$16,$L151:$X151,#REF!)))</f>
        <v>0</v>
      </c>
      <c r="AP151" s="212"/>
      <c r="AQ151" s="212"/>
      <c r="AR151" s="212"/>
      <c r="AS151" s="778"/>
      <c r="AW151" s="223" t="e">
        <v>#REF!</v>
      </c>
    </row>
    <row r="152" spans="1:49" s="166" customFormat="1" ht="18" customHeight="1">
      <c r="A152" s="736">
        <f>A149+1</f>
        <v>46</v>
      </c>
      <c r="B152" s="738"/>
      <c r="C152" s="741" t="s">
        <v>5298</v>
      </c>
      <c r="D152" s="741" t="s">
        <v>5299</v>
      </c>
      <c r="E152" s="213"/>
      <c r="F152" s="759" t="s">
        <v>207</v>
      </c>
      <c r="G152" s="741" t="s">
        <v>64</v>
      </c>
      <c r="H152" s="746"/>
      <c r="I152" s="212" t="s">
        <v>8</v>
      </c>
      <c r="J152" s="249" t="s">
        <v>5236</v>
      </c>
      <c r="K152" s="215">
        <f>WORKDAY(L152,-INDEX(L$12:L$15,MATCH($I152,$I$12:$I$15,0)))</f>
        <v>46147</v>
      </c>
      <c r="L152" s="215">
        <f>WORKDAY(M152,-INDEX(M$12:M$15,MATCH($I152,$I$12:$I$15,0)))</f>
        <v>46150</v>
      </c>
      <c r="M152" s="215">
        <f>WORKDAY(N152,-INDEX(N$12:N$15,MATCH($I152,$I$12:$I$15,0)))</f>
        <v>46164</v>
      </c>
      <c r="N152" s="215">
        <f>WORKDAY(O152,-INDEX(O$12:O$15,MATCH($I152,$I$12:$I$15,0)))</f>
        <v>46167</v>
      </c>
      <c r="O152" s="215">
        <f>WORKDAY(R152,-INDEX(R$12:R$15,MATCH($I152,$I$12:$I$15,0)))</f>
        <v>46181</v>
      </c>
      <c r="P152" s="216">
        <f>U152-L152</f>
        <v>94</v>
      </c>
      <c r="Q152" s="217"/>
      <c r="R152" s="215">
        <f>WORKDAY(S152,-INDEX(S$12:S$15,MATCH($I152,$I$12:$I$15,0)))</f>
        <v>46195</v>
      </c>
      <c r="S152" s="215">
        <f>WORKDAY(T152,-INDEX(T$12:T$15,MATCH($I152,$I$12:$I$15,0)))</f>
        <v>46216</v>
      </c>
      <c r="T152" s="215">
        <f>WORKDAY(U152,-INDEX(U$12:U$15,MATCH($I152,$I$12:$I$15,0)))</f>
        <v>46230</v>
      </c>
      <c r="U152" s="215">
        <f>X152-Y152</f>
        <v>46244</v>
      </c>
      <c r="V152" s="215">
        <f>WORKDAY(U152,INDEX(V$12:V$15,MATCH($I152,$I$12:$I$15,0)))</f>
        <v>46246</v>
      </c>
      <c r="W152" s="218">
        <f>Y152/7</f>
        <v>42</v>
      </c>
      <c r="X152" s="215">
        <f>Z152</f>
        <v>46538</v>
      </c>
      <c r="Y152" s="768">
        <v>294</v>
      </c>
      <c r="Z152" s="773">
        <v>46538</v>
      </c>
      <c r="AA152" s="773">
        <v>46538</v>
      </c>
      <c r="AB152" s="777">
        <f>Z152-X153</f>
        <v>0</v>
      </c>
      <c r="AC152" s="220">
        <f>IF(ISERROR(LOOKUP(AC$16,$L152:$X152,#REF!)),0,(LOOKUP(AC$16,$L152:$X152,#REF!)))</f>
        <v>0</v>
      </c>
      <c r="AD152" s="221">
        <f>IF(ISERROR(LOOKUP(AD$16,$L152:$X152,#REF!)),0,(LOOKUP(AD$16,$L152:$X152,#REF!)))</f>
        <v>0</v>
      </c>
      <c r="AE152" s="221">
        <f>IF(ISERROR(LOOKUP(AE$16,$L152:$X152,#REF!)),0,(LOOKUP(AE$16,$L152:$X152,#REF!)))</f>
        <v>0</v>
      </c>
      <c r="AF152" s="221">
        <f>IF(ISERROR(LOOKUP(AF$16,$L152:$X152,#REF!)),0,(LOOKUP(AF$16,$L152:$X152,#REF!)))</f>
        <v>0</v>
      </c>
      <c r="AG152" s="221">
        <f>IF(ISERROR(LOOKUP(AG$16,$L152:$X152,#REF!)),0,(LOOKUP(AG$16,$L152:$X152,#REF!)))</f>
        <v>0</v>
      </c>
      <c r="AH152" s="221">
        <f>IF(ISERROR(LOOKUP(AH$16,$L152:$X152,#REF!)),0,(LOOKUP(AH$16,$L152:$X152,#REF!)))</f>
        <v>0</v>
      </c>
      <c r="AI152" s="221">
        <f>IF(ISERROR(LOOKUP(AI$16,$L152:$X152,#REF!)),0,(LOOKUP(AI$16,$L152:$X152,#REF!)))</f>
        <v>0</v>
      </c>
      <c r="AJ152" s="221">
        <f>IF(ISERROR(LOOKUP(AJ$16,$L152:$X152,#REF!)),0,(LOOKUP(AJ$16,$L152:$X152,#REF!)))</f>
        <v>0</v>
      </c>
      <c r="AK152" s="221">
        <f>IF(ISERROR(LOOKUP(AK$16,$L152:$X152,#REF!)),0,(LOOKUP(AK$16,$L152:$X152,#REF!)))</f>
        <v>0</v>
      </c>
      <c r="AL152" s="221">
        <f>IF(ISERROR(LOOKUP(AL$16,$L152:$X152,#REF!)),0,(LOOKUP(AL$16,$L152:$X152,#REF!)))</f>
        <v>0</v>
      </c>
      <c r="AM152" s="221">
        <f ca="1">IF(ISERROR(LOOKUP(AM$16,$L152:$X152,#REF!)),0,(LOOKUP(AM$16,$L152:$X152,#REF!)))</f>
        <v>0</v>
      </c>
      <c r="AP152" s="215" t="e">
        <f>WORKDAY(AQ152,-INDEX(AQ$12:AQ$15,MATCH($I152,$I$12:$I$15,0)),$AW$17:$AW$148)</f>
        <v>#REF!</v>
      </c>
      <c r="AQ152" s="215" t="e">
        <f>WORKDAY(U152,-INDEX(U$12:U$15,MATCH($I152,$I$12:$I$15,0)),$AW$17:$AW$148)</f>
        <v>#REF!</v>
      </c>
      <c r="AR152" s="215" t="e">
        <f>WORKDAY(U152,-INDEX(U$12:U$15,MATCH($I152,$I$12:$I$15,0)),$AW$17:$AW$148)</f>
        <v>#REF!</v>
      </c>
      <c r="AS152" s="778">
        <v>7</v>
      </c>
      <c r="AW152" s="223" t="e">
        <v>#REF!</v>
      </c>
    </row>
    <row r="153" spans="1:49" s="166" customFormat="1" ht="18" customHeight="1">
      <c r="A153" s="736"/>
      <c r="B153" s="739"/>
      <c r="C153" s="741" t="str">
        <f>C152</f>
        <v>RFQ-046</v>
      </c>
      <c r="D153" s="741" t="str">
        <f>D152</f>
        <v>Telecommunication System (WiMAX, Telephone, Marine Radio)</v>
      </c>
      <c r="E153" s="224"/>
      <c r="F153" s="760" t="str">
        <f>F152</f>
        <v>Telecommunication</v>
      </c>
      <c r="G153" s="741" t="str">
        <f>G152</f>
        <v>Y</v>
      </c>
      <c r="H153" s="747"/>
      <c r="I153" s="212" t="str">
        <f>I152</f>
        <v>LC</v>
      </c>
      <c r="J153" s="249" t="s">
        <v>65</v>
      </c>
      <c r="K153" s="215">
        <f>K152</f>
        <v>46147</v>
      </c>
      <c r="L153" s="215">
        <f>WORKDAY(IF(K154="",K153,K154),INDEX(L$12:L$15,MATCH($I152,$I$12:$I$15,0)))</f>
        <v>46150</v>
      </c>
      <c r="M153" s="215">
        <f>WORKDAY(IF(L154="",L153,L154),INDEX(M$12:M$15,MATCH($I152,$I$12:$I$15,0)))</f>
        <v>46164</v>
      </c>
      <c r="N153" s="215">
        <f>WORKDAY(IF(M154="",M153,M154),INDEX(N$12:N$15,MATCH($I152,$I$12:$I$15,0)))</f>
        <v>46167</v>
      </c>
      <c r="O153" s="215">
        <f>WORKDAY(IF(N154="",N153,N154),INDEX(O$12:O$15,MATCH($I152,$I$12:$I$15,0)))</f>
        <v>46181</v>
      </c>
      <c r="P153" s="216"/>
      <c r="Q153" s="217"/>
      <c r="R153" s="215">
        <f>WORKDAY(IF(O154="",O153,O154),INDEX(R$12:R$15,MATCH($I152,$I$12:$I$15,0)))</f>
        <v>46195</v>
      </c>
      <c r="S153" s="215">
        <f>WORKDAY(IF(R154="",R153,R154),INDEX(S$12:S$15,MATCH($I152,$I$12:$I$15,0)))</f>
        <v>46216</v>
      </c>
      <c r="T153" s="215">
        <f>WORKDAY(IF(S154="",S153,S154),INDEX(T$12:T$15,MATCH($I152,$I$12:$I$15,0)))</f>
        <v>46230</v>
      </c>
      <c r="U153" s="215">
        <f>WORKDAY(IF(T154="",T153,T154),INDEX(U$12:U$15,MATCH($I152,$I$12:$I$15,0)))</f>
        <v>46244</v>
      </c>
      <c r="V153" s="215">
        <f>WORKDAY(IF(U154="",U153,U154),INDEX(V$12:V$15,MATCH($I152,$I$12:$I$15,0)))</f>
        <v>46246</v>
      </c>
      <c r="W153" s="218"/>
      <c r="X153" s="215">
        <f>U153+Y152</f>
        <v>46538</v>
      </c>
      <c r="Y153" s="768"/>
      <c r="Z153" s="773"/>
      <c r="AA153" s="773"/>
      <c r="AB153" s="777"/>
      <c r="AC153" s="220">
        <f>IF(ISERROR(LOOKUP(AC$16,$L153:$X153,#REF!)),0,(LOOKUP(AC$16,$L153:$X153,#REF!)))</f>
        <v>0</v>
      </c>
      <c r="AD153" s="221">
        <f>IF(ISERROR(LOOKUP(AD$16,$L153:$X153,#REF!)),0,(LOOKUP(AD$16,$L153:$X153,#REF!)))</f>
        <v>0</v>
      </c>
      <c r="AE153" s="221">
        <f>IF(ISERROR(LOOKUP(AE$16,$L153:$X153,#REF!)),0,(LOOKUP(AE$16,$L153:$X153,#REF!)))</f>
        <v>0</v>
      </c>
      <c r="AF153" s="221">
        <f>IF(ISERROR(LOOKUP(AF$16,$L153:$X153,#REF!)),0,(LOOKUP(AF$16,$L153:$X153,#REF!)))</f>
        <v>0</v>
      </c>
      <c r="AG153" s="221">
        <f>IF(ISERROR(LOOKUP(AG$16,$L153:$X153,#REF!)),0,(LOOKUP(AG$16,$L153:$X153,#REF!)))</f>
        <v>0</v>
      </c>
      <c r="AH153" s="221">
        <f>IF(ISERROR(LOOKUP(AH$16,$L153:$X153,#REF!)),0,(LOOKUP(AH$16,$L153:$X153,#REF!)))</f>
        <v>0</v>
      </c>
      <c r="AI153" s="221">
        <f>IF(ISERROR(LOOKUP(AI$16,$L153:$X153,#REF!)),0,(LOOKUP(AI$16,$L153:$X153,#REF!)))</f>
        <v>0</v>
      </c>
      <c r="AJ153" s="221">
        <f>IF(ISERROR(LOOKUP(AJ$16,$L153:$X153,#REF!)),0,(LOOKUP(AJ$16,$L153:$X153,#REF!)))</f>
        <v>0</v>
      </c>
      <c r="AK153" s="221">
        <f>IF(ISERROR(LOOKUP(AK$16,$L153:$X153,#REF!)),0,(LOOKUP(AK$16,$L153:$X153,#REF!)))</f>
        <v>0</v>
      </c>
      <c r="AL153" s="221">
        <f>IF(ISERROR(LOOKUP(AL$16,$L153:$X153,#REF!)),0,(LOOKUP(AL$16,$L153:$X153,#REF!)))</f>
        <v>0</v>
      </c>
      <c r="AM153" s="221">
        <f ca="1">IF(ISERROR(LOOKUP(AM$16,$L153:$X153,#REF!)),0,(LOOKUP(AM$16,$L153:$X153,#REF!)))</f>
        <v>0</v>
      </c>
      <c r="AP153" s="215" t="e">
        <f>WORKDAY(IF(T154="",T153,T154),INDEX(AP$12:AP$15,MATCH($I152,$I$12:$I$15,0)),$AW$17:$AW$148)</f>
        <v>#REF!</v>
      </c>
      <c r="AQ153" s="215" t="e">
        <f>WORKDAY(IF(AP154="",AP153,AP154),INDEX(AQ$12:AQ$15,MATCH($I152,$I$12:$I$15,0)),$AW$17:$AW$148)</f>
        <v>#REF!</v>
      </c>
      <c r="AR153" s="215" t="e">
        <f>WORKDAY(IF(AQ154="",AQ153,AQ154),INDEX(AR$12:AR$15,MATCH($I152,$I$12:$I$15,0)),$AW$17:$AW$148)</f>
        <v>#REF!</v>
      </c>
      <c r="AS153" s="778"/>
      <c r="AW153" s="223" t="e">
        <v>#REF!</v>
      </c>
    </row>
    <row r="154" spans="1:49" s="166" customFormat="1" ht="18" customHeight="1">
      <c r="A154" s="736"/>
      <c r="B154" s="740"/>
      <c r="C154" s="741" t="str">
        <f>C152</f>
        <v>RFQ-046</v>
      </c>
      <c r="D154" s="741" t="str">
        <f>D152</f>
        <v>Telecommunication System (WiMAX, Telephone, Marine Radio)</v>
      </c>
      <c r="E154" s="225"/>
      <c r="F154" s="761" t="str">
        <f>F152</f>
        <v>Telecommunication</v>
      </c>
      <c r="G154" s="741" t="str">
        <f>G152</f>
        <v>Y</v>
      </c>
      <c r="H154" s="748"/>
      <c r="I154" s="212" t="str">
        <f>I152</f>
        <v>LC</v>
      </c>
      <c r="J154" s="249" t="s">
        <v>67</v>
      </c>
      <c r="K154" s="212"/>
      <c r="L154" s="212"/>
      <c r="M154" s="212"/>
      <c r="N154" s="212"/>
      <c r="O154" s="212"/>
      <c r="P154" s="226"/>
      <c r="Q154" s="227"/>
      <c r="R154" s="212"/>
      <c r="S154" s="212"/>
      <c r="T154" s="212"/>
      <c r="U154" s="212"/>
      <c r="V154" s="212"/>
      <c r="W154" s="228"/>
      <c r="X154" s="212"/>
      <c r="Y154" s="768"/>
      <c r="Z154" s="773"/>
      <c r="AA154" s="773"/>
      <c r="AB154" s="777"/>
      <c r="AC154" s="229">
        <f>IF(ISERROR(LOOKUP(AC$16,$L154:$X154,#REF!)),0,(LOOKUP(AC$16,$L154:$X154,#REF!)))</f>
        <v>0</v>
      </c>
      <c r="AD154" s="230">
        <f>IF(ISERROR(LOOKUP(AD$16,$L154:$X154,#REF!)),0,(LOOKUP(AD$16,$L154:$X154,#REF!)))</f>
        <v>0</v>
      </c>
      <c r="AE154" s="230">
        <f>IF(ISERROR(LOOKUP(AE$16,$L154:$X154,#REF!)),0,(LOOKUP(AE$16,$L154:$X154,#REF!)))</f>
        <v>0</v>
      </c>
      <c r="AF154" s="230">
        <f>IF(ISERROR(LOOKUP(AF$16,$L154:$X154,#REF!)),0,(LOOKUP(AF$16,$L154:$X154,#REF!)))</f>
        <v>0</v>
      </c>
      <c r="AG154" s="230">
        <f>IF(ISERROR(LOOKUP(AG$16,$L154:$X154,#REF!)),0,(LOOKUP(AG$16,$L154:$X154,#REF!)))</f>
        <v>0</v>
      </c>
      <c r="AH154" s="230">
        <f>IF(ISERROR(LOOKUP(AH$16,$L154:$X154,#REF!)),0,(LOOKUP(AH$16,$L154:$X154,#REF!)))</f>
        <v>0</v>
      </c>
      <c r="AI154" s="230">
        <f>IF(ISERROR(LOOKUP(AI$16,$L154:$X154,#REF!)),0,(LOOKUP(AI$16,$L154:$X154,#REF!)))</f>
        <v>0</v>
      </c>
      <c r="AJ154" s="230">
        <f>IF(ISERROR(LOOKUP(AJ$16,$L154:$X154,#REF!)),0,(LOOKUP(AJ$16,$L154:$X154,#REF!)))</f>
        <v>0</v>
      </c>
      <c r="AK154" s="230">
        <f>IF(ISERROR(LOOKUP(AK$16,$L154:$X154,#REF!)),0,(LOOKUP(AK$16,$L154:$X154,#REF!)))</f>
        <v>0</v>
      </c>
      <c r="AL154" s="230">
        <f>IF(ISERROR(LOOKUP(AL$16,$L154:$X154,#REF!)),0,(LOOKUP(AL$16,$L154:$X154,#REF!)))</f>
        <v>0</v>
      </c>
      <c r="AM154" s="230">
        <f ca="1">IF(ISERROR(LOOKUP(AM$16,$L154:$X154,#REF!)),0,(LOOKUP(AM$16,$L154:$X154,#REF!)))</f>
        <v>0</v>
      </c>
      <c r="AP154" s="212"/>
      <c r="AQ154" s="212"/>
      <c r="AR154" s="212"/>
      <c r="AS154" s="778"/>
      <c r="AW154" s="223" t="e">
        <v>#REF!</v>
      </c>
    </row>
    <row r="155" spans="1:49" s="166" customFormat="1" ht="18" customHeight="1">
      <c r="A155" s="736">
        <f>A152+1</f>
        <v>47</v>
      </c>
      <c r="B155" s="738"/>
      <c r="C155" s="741" t="s">
        <v>5300</v>
      </c>
      <c r="D155" s="741" t="s">
        <v>5301</v>
      </c>
      <c r="E155" s="213"/>
      <c r="F155" s="759" t="s">
        <v>207</v>
      </c>
      <c r="G155" s="741" t="s">
        <v>73</v>
      </c>
      <c r="H155" s="746"/>
      <c r="I155" s="212" t="s">
        <v>8</v>
      </c>
      <c r="J155" s="249" t="s">
        <v>5236</v>
      </c>
      <c r="K155" s="215">
        <f>WORKDAY(L155,-INDEX(L$12:L$15,MATCH($I155,$I$12:$I$15,0)))</f>
        <v>46268</v>
      </c>
      <c r="L155" s="215">
        <f>WORKDAY(M155,-INDEX(M$12:M$15,MATCH($I155,$I$12:$I$15,0)))</f>
        <v>46273</v>
      </c>
      <c r="M155" s="215">
        <f>WORKDAY(N155,-INDEX(N$12:N$15,MATCH($I155,$I$12:$I$15,0)))</f>
        <v>46287</v>
      </c>
      <c r="N155" s="215">
        <f>WORKDAY(O155,-INDEX(O$12:O$15,MATCH($I155,$I$12:$I$15,0)))</f>
        <v>46288</v>
      </c>
      <c r="O155" s="215">
        <f>WORKDAY(R155,-INDEX(R$12:R$15,MATCH($I155,$I$12:$I$15,0)))</f>
        <v>46302</v>
      </c>
      <c r="P155" s="216">
        <f>U155-L155</f>
        <v>92</v>
      </c>
      <c r="Q155" s="217"/>
      <c r="R155" s="215">
        <f>WORKDAY(S155,-INDEX(S$12:S$15,MATCH($I155,$I$12:$I$15,0)))</f>
        <v>46316</v>
      </c>
      <c r="S155" s="215">
        <f>WORKDAY(T155,-INDEX(T$12:T$15,MATCH($I155,$I$12:$I$15,0)))</f>
        <v>46337</v>
      </c>
      <c r="T155" s="215">
        <f>WORKDAY(U155,-INDEX(U$12:U$15,MATCH($I155,$I$12:$I$15,0)))</f>
        <v>46351</v>
      </c>
      <c r="U155" s="215">
        <f>X155-Y155</f>
        <v>46365</v>
      </c>
      <c r="V155" s="215">
        <f>WORKDAY(U155,INDEX(V$12:V$15,MATCH($I155,$I$12:$I$15,0)))</f>
        <v>46367</v>
      </c>
      <c r="W155" s="218">
        <f>Y155/7</f>
        <v>16</v>
      </c>
      <c r="X155" s="215">
        <f>Z155</f>
        <v>46477</v>
      </c>
      <c r="Y155" s="768">
        <f>16*7</f>
        <v>112</v>
      </c>
      <c r="Z155" s="773">
        <v>46477</v>
      </c>
      <c r="AA155" s="773">
        <v>46477</v>
      </c>
      <c r="AB155" s="777">
        <f>Z155-X156</f>
        <v>0</v>
      </c>
      <c r="AC155" s="220">
        <f>IF(ISERROR(LOOKUP(AC$16,$L155:$X155,#REF!)),0,(LOOKUP(AC$16,$L155:$X155,#REF!)))</f>
        <v>0</v>
      </c>
      <c r="AD155" s="221">
        <f>IF(ISERROR(LOOKUP(AD$16,$L155:$X155,#REF!)),0,(LOOKUP(AD$16,$L155:$X155,#REF!)))</f>
        <v>0</v>
      </c>
      <c r="AE155" s="221">
        <f>IF(ISERROR(LOOKUP(AE$16,$L155:$X155,#REF!)),0,(LOOKUP(AE$16,$L155:$X155,#REF!)))</f>
        <v>0</v>
      </c>
      <c r="AF155" s="221">
        <f>IF(ISERROR(LOOKUP(AF$16,$L155:$X155,#REF!)),0,(LOOKUP(AF$16,$L155:$X155,#REF!)))</f>
        <v>0</v>
      </c>
      <c r="AG155" s="221">
        <f>IF(ISERROR(LOOKUP(AG$16,$L155:$X155,#REF!)),0,(LOOKUP(AG$16,$L155:$X155,#REF!)))</f>
        <v>0</v>
      </c>
      <c r="AH155" s="221">
        <f>IF(ISERROR(LOOKUP(AH$16,$L155:$X155,#REF!)),0,(LOOKUP(AH$16,$L155:$X155,#REF!)))</f>
        <v>0</v>
      </c>
      <c r="AI155" s="221">
        <f>IF(ISERROR(LOOKUP(AI$16,$L155:$X155,#REF!)),0,(LOOKUP(AI$16,$L155:$X155,#REF!)))</f>
        <v>0</v>
      </c>
      <c r="AJ155" s="221">
        <f>IF(ISERROR(LOOKUP(AJ$16,$L155:$X155,#REF!)),0,(LOOKUP(AJ$16,$L155:$X155,#REF!)))</f>
        <v>0</v>
      </c>
      <c r="AK155" s="221">
        <f>IF(ISERROR(LOOKUP(AK$16,$L155:$X155,#REF!)),0,(LOOKUP(AK$16,$L155:$X155,#REF!)))</f>
        <v>0</v>
      </c>
      <c r="AL155" s="221">
        <f>IF(ISERROR(LOOKUP(AL$16,$L155:$X155,#REF!)),0,(LOOKUP(AL$16,$L155:$X155,#REF!)))</f>
        <v>0</v>
      </c>
      <c r="AM155" s="221">
        <f ca="1">IF(ISERROR(LOOKUP(AM$16,$L155:$X155,#REF!)),0,(LOOKUP(AM$16,$L155:$X155,#REF!)))</f>
        <v>0</v>
      </c>
      <c r="AP155" s="215" t="e">
        <f>WORKDAY(AQ155,-INDEX(AQ$12:AQ$15,MATCH($I155,$I$12:$I$15,0)),$AW$17:$AW$148)</f>
        <v>#REF!</v>
      </c>
      <c r="AQ155" s="215" t="e">
        <f>WORKDAY(U155,-INDEX(U$12:U$15,MATCH($I155,$I$12:$I$15,0)),$AW$17:$AW$148)</f>
        <v>#REF!</v>
      </c>
      <c r="AR155" s="215" t="e">
        <f>WORKDAY(U155,-INDEX(U$12:U$15,MATCH($I155,$I$12:$I$15,0)),$AW$17:$AW$148)</f>
        <v>#REF!</v>
      </c>
      <c r="AS155" s="778">
        <v>7</v>
      </c>
      <c r="AW155" s="223" t="e">
        <v>#REF!</v>
      </c>
    </row>
    <row r="156" spans="1:49" s="166" customFormat="1" ht="18" customHeight="1">
      <c r="A156" s="736"/>
      <c r="B156" s="739"/>
      <c r="C156" s="741" t="str">
        <f>C155</f>
        <v>RFQ-047</v>
      </c>
      <c r="D156" s="741" t="s">
        <v>5301</v>
      </c>
      <c r="E156" s="224"/>
      <c r="F156" s="760" t="str">
        <f>F155</f>
        <v>Telecommunication</v>
      </c>
      <c r="G156" s="741" t="str">
        <f>G155</f>
        <v>N</v>
      </c>
      <c r="H156" s="747"/>
      <c r="I156" s="212" t="str">
        <f>I155</f>
        <v>LC</v>
      </c>
      <c r="J156" s="249" t="s">
        <v>65</v>
      </c>
      <c r="K156" s="215">
        <f>K155</f>
        <v>46268</v>
      </c>
      <c r="L156" s="215">
        <f>WORKDAY(IF(K157="",K156,K157),INDEX(L$12:L$15,MATCH($I155,$I$12:$I$15,0)))</f>
        <v>46273</v>
      </c>
      <c r="M156" s="215">
        <f>WORKDAY(IF(L157="",L156,L157),INDEX(M$12:M$15,MATCH($I155,$I$12:$I$15,0)))</f>
        <v>46287</v>
      </c>
      <c r="N156" s="215">
        <f>WORKDAY(IF(M157="",M156,M157),INDEX(N$12:N$15,MATCH($I155,$I$12:$I$15,0)))</f>
        <v>46288</v>
      </c>
      <c r="O156" s="215">
        <f>WORKDAY(IF(N157="",N156,N157),INDEX(O$12:O$15,MATCH($I155,$I$12:$I$15,0)))</f>
        <v>46302</v>
      </c>
      <c r="P156" s="216"/>
      <c r="Q156" s="217"/>
      <c r="R156" s="215">
        <f>WORKDAY(IF(O157="",O156,O157),INDEX(R$12:R$15,MATCH($I155,$I$12:$I$15,0)))</f>
        <v>46316</v>
      </c>
      <c r="S156" s="215">
        <f>WORKDAY(IF(R157="",R156,R157),INDEX(S$12:S$15,MATCH($I155,$I$12:$I$15,0)))</f>
        <v>46337</v>
      </c>
      <c r="T156" s="215">
        <f>WORKDAY(IF(S157="",S156,S157),INDEX(T$12:T$15,MATCH($I155,$I$12:$I$15,0)))</f>
        <v>46351</v>
      </c>
      <c r="U156" s="215">
        <f>WORKDAY(IF(T157="",T156,T157),INDEX(U$12:U$15,MATCH($I155,$I$12:$I$15,0)))</f>
        <v>46365</v>
      </c>
      <c r="V156" s="215">
        <f>WORKDAY(IF(U157="",U156,U157),INDEX(V$12:V$15,MATCH($I155,$I$12:$I$15,0)))</f>
        <v>46367</v>
      </c>
      <c r="W156" s="218"/>
      <c r="X156" s="215">
        <f>U156+Y155</f>
        <v>46477</v>
      </c>
      <c r="Y156" s="768"/>
      <c r="Z156" s="773"/>
      <c r="AA156" s="773"/>
      <c r="AB156" s="777"/>
      <c r="AC156" s="220">
        <f>IF(ISERROR(LOOKUP(AC$16,$L156:$X156,#REF!)),0,(LOOKUP(AC$16,$L156:$X156,#REF!)))</f>
        <v>0</v>
      </c>
      <c r="AD156" s="221">
        <f>IF(ISERROR(LOOKUP(AD$16,$L156:$X156,#REF!)),0,(LOOKUP(AD$16,$L156:$X156,#REF!)))</f>
        <v>0</v>
      </c>
      <c r="AE156" s="221">
        <f>IF(ISERROR(LOOKUP(AE$16,$L156:$X156,#REF!)),0,(LOOKUP(AE$16,$L156:$X156,#REF!)))</f>
        <v>0</v>
      </c>
      <c r="AF156" s="221">
        <f>IF(ISERROR(LOOKUP(AF$16,$L156:$X156,#REF!)),0,(LOOKUP(AF$16,$L156:$X156,#REF!)))</f>
        <v>0</v>
      </c>
      <c r="AG156" s="221">
        <f>IF(ISERROR(LOOKUP(AG$16,$L156:$X156,#REF!)),0,(LOOKUP(AG$16,$L156:$X156,#REF!)))</f>
        <v>0</v>
      </c>
      <c r="AH156" s="221">
        <f>IF(ISERROR(LOOKUP(AH$16,$L156:$X156,#REF!)),0,(LOOKUP(AH$16,$L156:$X156,#REF!)))</f>
        <v>0</v>
      </c>
      <c r="AI156" s="221">
        <f>IF(ISERROR(LOOKUP(AI$16,$L156:$X156,#REF!)),0,(LOOKUP(AI$16,$L156:$X156,#REF!)))</f>
        <v>0</v>
      </c>
      <c r="AJ156" s="221">
        <f>IF(ISERROR(LOOKUP(AJ$16,$L156:$X156,#REF!)),0,(LOOKUP(AJ$16,$L156:$X156,#REF!)))</f>
        <v>0</v>
      </c>
      <c r="AK156" s="221">
        <f>IF(ISERROR(LOOKUP(AK$16,$L156:$X156,#REF!)),0,(LOOKUP(AK$16,$L156:$X156,#REF!)))</f>
        <v>0</v>
      </c>
      <c r="AL156" s="221">
        <f>IF(ISERROR(LOOKUP(AL$16,$L156:$X156,#REF!)),0,(LOOKUP(AL$16,$L156:$X156,#REF!)))</f>
        <v>0</v>
      </c>
      <c r="AM156" s="221">
        <f ca="1">IF(ISERROR(LOOKUP(AM$16,$L156:$X156,#REF!)),0,(LOOKUP(AM$16,$L156:$X156,#REF!)))</f>
        <v>0</v>
      </c>
      <c r="AP156" s="215" t="e">
        <f>WORKDAY(IF(T157="",T156,T157),INDEX(AP$12:AP$15,MATCH($I155,$I$12:$I$15,0)),$AW$17:$AW$148)</f>
        <v>#REF!</v>
      </c>
      <c r="AQ156" s="215" t="e">
        <f>WORKDAY(IF(AP157="",AP156,AP157),INDEX(AQ$12:AQ$15,MATCH($I155,$I$12:$I$15,0)),$AW$17:$AW$148)</f>
        <v>#REF!</v>
      </c>
      <c r="AR156" s="215" t="e">
        <f>WORKDAY(IF(AQ157="",AQ156,AQ157),INDEX(AR$12:AR$15,MATCH($I155,$I$12:$I$15,0)),$AW$17:$AW$148)</f>
        <v>#REF!</v>
      </c>
      <c r="AS156" s="778"/>
      <c r="AW156" s="223" t="e">
        <v>#REF!</v>
      </c>
    </row>
    <row r="157" spans="1:49" s="166" customFormat="1" ht="18" customHeight="1">
      <c r="A157" s="736"/>
      <c r="B157" s="740"/>
      <c r="C157" s="741" t="str">
        <f>C155</f>
        <v>RFQ-047</v>
      </c>
      <c r="D157" s="741" t="str">
        <f>D155</f>
        <v>Marine Racon</v>
      </c>
      <c r="E157" s="225"/>
      <c r="F157" s="761" t="str">
        <f>F155</f>
        <v>Telecommunication</v>
      </c>
      <c r="G157" s="741" t="str">
        <f>G155</f>
        <v>N</v>
      </c>
      <c r="H157" s="748"/>
      <c r="I157" s="212" t="str">
        <f>I155</f>
        <v>LC</v>
      </c>
      <c r="J157" s="249" t="s">
        <v>67</v>
      </c>
      <c r="K157" s="212"/>
      <c r="L157" s="212"/>
      <c r="M157" s="212"/>
      <c r="N157" s="212"/>
      <c r="O157" s="212"/>
      <c r="P157" s="226"/>
      <c r="Q157" s="227"/>
      <c r="R157" s="212"/>
      <c r="S157" s="212"/>
      <c r="T157" s="212"/>
      <c r="U157" s="212"/>
      <c r="V157" s="212"/>
      <c r="W157" s="228"/>
      <c r="X157" s="212"/>
      <c r="Y157" s="768"/>
      <c r="Z157" s="773"/>
      <c r="AA157" s="773"/>
      <c r="AB157" s="777"/>
      <c r="AC157" s="229">
        <f>IF(ISERROR(LOOKUP(AC$16,$L157:$X157,#REF!)),0,(LOOKUP(AC$16,$L157:$X157,#REF!)))</f>
        <v>0</v>
      </c>
      <c r="AD157" s="230">
        <f>IF(ISERROR(LOOKUP(AD$16,$L157:$X157,#REF!)),0,(LOOKUP(AD$16,$L157:$X157,#REF!)))</f>
        <v>0</v>
      </c>
      <c r="AE157" s="230">
        <f>IF(ISERROR(LOOKUP(AE$16,$L157:$X157,#REF!)),0,(LOOKUP(AE$16,$L157:$X157,#REF!)))</f>
        <v>0</v>
      </c>
      <c r="AF157" s="230">
        <f>IF(ISERROR(LOOKUP(AF$16,$L157:$X157,#REF!)),0,(LOOKUP(AF$16,$L157:$X157,#REF!)))</f>
        <v>0</v>
      </c>
      <c r="AG157" s="230">
        <f>IF(ISERROR(LOOKUP(AG$16,$L157:$X157,#REF!)),0,(LOOKUP(AG$16,$L157:$X157,#REF!)))</f>
        <v>0</v>
      </c>
      <c r="AH157" s="230">
        <f>IF(ISERROR(LOOKUP(AH$16,$L157:$X157,#REF!)),0,(LOOKUP(AH$16,$L157:$X157,#REF!)))</f>
        <v>0</v>
      </c>
      <c r="AI157" s="230">
        <f>IF(ISERROR(LOOKUP(AI$16,$L157:$X157,#REF!)),0,(LOOKUP(AI$16,$L157:$X157,#REF!)))</f>
        <v>0</v>
      </c>
      <c r="AJ157" s="230">
        <f>IF(ISERROR(LOOKUP(AJ$16,$L157:$X157,#REF!)),0,(LOOKUP(AJ$16,$L157:$X157,#REF!)))</f>
        <v>0</v>
      </c>
      <c r="AK157" s="230">
        <f>IF(ISERROR(LOOKUP(AK$16,$L157:$X157,#REF!)),0,(LOOKUP(AK$16,$L157:$X157,#REF!)))</f>
        <v>0</v>
      </c>
      <c r="AL157" s="230">
        <f>IF(ISERROR(LOOKUP(AL$16,$L157:$X157,#REF!)),0,(LOOKUP(AL$16,$L157:$X157,#REF!)))</f>
        <v>0</v>
      </c>
      <c r="AM157" s="230">
        <f ca="1">IF(ISERROR(LOOKUP(AM$16,$L157:$X157,#REF!)),0,(LOOKUP(AM$16,$L157:$X157,#REF!)))</f>
        <v>0</v>
      </c>
      <c r="AP157" s="212"/>
      <c r="AQ157" s="212"/>
      <c r="AR157" s="212"/>
      <c r="AS157" s="778"/>
      <c r="AW157" s="223" t="e">
        <v>#REF!</v>
      </c>
    </row>
    <row r="158" spans="1:49" s="166" customFormat="1" ht="18" customHeight="1">
      <c r="A158" s="736">
        <f>A155+1</f>
        <v>48</v>
      </c>
      <c r="B158" s="738"/>
      <c r="C158" s="741" t="s">
        <v>5302</v>
      </c>
      <c r="D158" s="741" t="s">
        <v>213</v>
      </c>
      <c r="E158" s="212"/>
      <c r="F158" s="741" t="s">
        <v>86</v>
      </c>
      <c r="G158" s="741" t="s">
        <v>73</v>
      </c>
      <c r="H158" s="746"/>
      <c r="I158" s="212" t="s">
        <v>8</v>
      </c>
      <c r="J158" s="249" t="s">
        <v>5236</v>
      </c>
      <c r="K158" s="215">
        <f>WORKDAY(L158,-INDEX(L$12:L$15,MATCH($I158,$I$12:$I$15,0)))</f>
        <v>46168</v>
      </c>
      <c r="L158" s="215">
        <f>WORKDAY(M158,-INDEX(M$12:M$15,MATCH($I158,$I$12:$I$15,0)))</f>
        <v>46171</v>
      </c>
      <c r="M158" s="215">
        <f>WORKDAY(N158,-INDEX(N$12:N$15,MATCH($I158,$I$12:$I$15,0)))</f>
        <v>46185</v>
      </c>
      <c r="N158" s="215">
        <f>WORKDAY(O158,-INDEX(O$12:O$15,MATCH($I158,$I$12:$I$15,0)))</f>
        <v>46188</v>
      </c>
      <c r="O158" s="215">
        <f>WORKDAY(R158,-INDEX(R$12:R$15,MATCH($I158,$I$12:$I$15,0)))</f>
        <v>46202</v>
      </c>
      <c r="P158" s="216">
        <f>U158-L158</f>
        <v>93</v>
      </c>
      <c r="Q158" s="217"/>
      <c r="R158" s="215">
        <f>WORKDAY(S158,-INDEX(S$12:S$15,MATCH($I158,$I$12:$I$15,0)))</f>
        <v>46216</v>
      </c>
      <c r="S158" s="215">
        <f>WORKDAY(T158,-INDEX(T$12:T$15,MATCH($I158,$I$12:$I$15,0)))</f>
        <v>46237</v>
      </c>
      <c r="T158" s="215">
        <f>WORKDAY(U158,-INDEX(U$12:U$15,MATCH($I158,$I$12:$I$15,0)))</f>
        <v>46251</v>
      </c>
      <c r="U158" s="215">
        <f>X158-Y158</f>
        <v>46264</v>
      </c>
      <c r="V158" s="215">
        <f>WORKDAY(U158,INDEX(V$12:V$15,MATCH($I158,$I$12:$I$15,0)))</f>
        <v>46266</v>
      </c>
      <c r="W158" s="218">
        <f>Y158/7</f>
        <v>26.1428571428571</v>
      </c>
      <c r="X158" s="215">
        <f>Z158</f>
        <v>46447</v>
      </c>
      <c r="Y158" s="768">
        <v>183</v>
      </c>
      <c r="Z158" s="773">
        <v>46447</v>
      </c>
      <c r="AA158" s="773">
        <v>46538</v>
      </c>
      <c r="AB158" s="777">
        <f>Z158-X159</f>
        <v>0</v>
      </c>
      <c r="AC158" s="220">
        <f>IF(ISERROR(LOOKUP(AC$16,$L158:$X158,#REF!)),0,(LOOKUP(AC$16,$L158:$X158,#REF!)))</f>
        <v>0</v>
      </c>
      <c r="AD158" s="221">
        <f>IF(ISERROR(LOOKUP(AD$16,$L158:$X158,#REF!)),0,(LOOKUP(AD$16,$L158:$X158,#REF!)))</f>
        <v>0</v>
      </c>
      <c r="AE158" s="221">
        <f>IF(ISERROR(LOOKUP(AE$16,$L158:$X158,#REF!)),0,(LOOKUP(AE$16,$L158:$X158,#REF!)))</f>
        <v>0</v>
      </c>
      <c r="AF158" s="221">
        <f>IF(ISERROR(LOOKUP(AF$16,$L158:$X158,#REF!)),0,(LOOKUP(AF$16,$L158:$X158,#REF!)))</f>
        <v>0</v>
      </c>
      <c r="AG158" s="221">
        <f>IF(ISERROR(LOOKUP(AG$16,$L158:$X158,#REF!)),0,(LOOKUP(AG$16,$L158:$X158,#REF!)))</f>
        <v>0</v>
      </c>
      <c r="AH158" s="221">
        <f>IF(ISERROR(LOOKUP(AH$16,$L158:$X158,#REF!)),0,(LOOKUP(AH$16,$L158:$X158,#REF!)))</f>
        <v>0</v>
      </c>
      <c r="AI158" s="221">
        <f>IF(ISERROR(LOOKUP(AI$16,$L158:$X158,#REF!)),0,(LOOKUP(AI$16,$L158:$X158,#REF!)))</f>
        <v>0</v>
      </c>
      <c r="AJ158" s="221">
        <f>IF(ISERROR(LOOKUP(AJ$16,$L158:$X158,#REF!)),0,(LOOKUP(AJ$16,$L158:$X158,#REF!)))</f>
        <v>0</v>
      </c>
      <c r="AK158" s="221">
        <f>IF(ISERROR(LOOKUP(AK$16,$L158:$X158,#REF!)),0,(LOOKUP(AK$16,$L158:$X158,#REF!)))</f>
        <v>0</v>
      </c>
      <c r="AL158" s="221">
        <f>IF(ISERROR(LOOKUP(AL$16,$L158:$X158,#REF!)),0,(LOOKUP(AL$16,$L158:$X158,#REF!)))</f>
        <v>0</v>
      </c>
      <c r="AM158" s="221">
        <f ca="1">IF(ISERROR(LOOKUP(AM$16,$L158:$X158,#REF!)),0,(LOOKUP(AM$16,$L158:$X158,#REF!)))</f>
        <v>0</v>
      </c>
      <c r="AP158" s="215" t="e">
        <f>WORKDAY(AQ158,-INDEX(AQ$12:AQ$15,MATCH($I158,$I$12:$I$15,0)),$AW$17:$AW$148)</f>
        <v>#REF!</v>
      </c>
      <c r="AQ158" s="215" t="e">
        <f>WORKDAY(U158,-INDEX(U$12:U$15,MATCH($I158,$I$12:$I$15,0)),$AW$17:$AW$148)</f>
        <v>#REF!</v>
      </c>
      <c r="AR158" s="215" t="e">
        <f>WORKDAY(U158,-INDEX(U$12:U$15,MATCH($I158,$I$12:$I$15,0)),$AW$17:$AW$148)</f>
        <v>#REF!</v>
      </c>
      <c r="AS158" s="778">
        <v>7</v>
      </c>
      <c r="AW158" s="223" t="e">
        <v>#REF!</v>
      </c>
    </row>
    <row r="159" spans="1:49" s="166" customFormat="1" ht="18" customHeight="1">
      <c r="A159" s="736"/>
      <c r="B159" s="739"/>
      <c r="C159" s="741" t="str">
        <f>C158</f>
        <v>RFQ-048</v>
      </c>
      <c r="D159" s="741" t="str">
        <f>D158</f>
        <v>BALL VALVE (FLANGE END)</v>
      </c>
      <c r="E159" s="212"/>
      <c r="F159" s="741" t="str">
        <f>F158</f>
        <v>Piping</v>
      </c>
      <c r="G159" s="741" t="str">
        <f>G158</f>
        <v>N</v>
      </c>
      <c r="H159" s="747"/>
      <c r="I159" s="212" t="str">
        <f>I158</f>
        <v>LC</v>
      </c>
      <c r="J159" s="249" t="s">
        <v>65</v>
      </c>
      <c r="K159" s="215">
        <f>K158</f>
        <v>46168</v>
      </c>
      <c r="L159" s="215">
        <f>WORKDAY(IF(K160="",K159,K160),INDEX(L$12:L$15,MATCH($I158,$I$12:$I$15,0)))</f>
        <v>46171</v>
      </c>
      <c r="M159" s="215">
        <f>WORKDAY(IF(L160="",L159,L160),INDEX(M$12:M$15,MATCH($I158,$I$12:$I$15,0)))</f>
        <v>46185</v>
      </c>
      <c r="N159" s="215">
        <f>WORKDAY(IF(M160="",M159,M160),INDEX(N$12:N$15,MATCH($I158,$I$12:$I$15,0)))</f>
        <v>46188</v>
      </c>
      <c r="O159" s="215">
        <f>WORKDAY(IF(N160="",N159,N160),INDEX(O$12:O$15,MATCH($I158,$I$12:$I$15,0)))</f>
        <v>46202</v>
      </c>
      <c r="P159" s="216"/>
      <c r="Q159" s="217"/>
      <c r="R159" s="215">
        <f>WORKDAY(IF(O160="",O159,O160),INDEX(R$12:R$15,MATCH($I158,$I$12:$I$15,0)))</f>
        <v>46216</v>
      </c>
      <c r="S159" s="215">
        <f>WORKDAY(IF(R160="",R159,R160),INDEX(S$12:S$15,MATCH($I158,$I$12:$I$15,0)))</f>
        <v>46237</v>
      </c>
      <c r="T159" s="215">
        <f>WORKDAY(IF(S160="",S159,S160),INDEX(T$12:T$15,MATCH($I158,$I$12:$I$15,0)))</f>
        <v>46251</v>
      </c>
      <c r="U159" s="215">
        <f>WORKDAY(IF(T160="",T159,T160),INDEX(U$12:U$15,MATCH($I158,$I$12:$I$15,0)))-1</f>
        <v>46264</v>
      </c>
      <c r="V159" s="215">
        <f>WORKDAY(IF(U160="",U159,U160),INDEX(V$12:V$15,MATCH($I158,$I$12:$I$15,0)))</f>
        <v>46266</v>
      </c>
      <c r="W159" s="218"/>
      <c r="X159" s="215">
        <f>U159+Y158</f>
        <v>46447</v>
      </c>
      <c r="Y159" s="768"/>
      <c r="Z159" s="773"/>
      <c r="AA159" s="773"/>
      <c r="AB159" s="777"/>
      <c r="AC159" s="220">
        <f>IF(ISERROR(LOOKUP(AC$16,$L159:$X159,#REF!)),0,(LOOKUP(AC$16,$L159:$X159,#REF!)))</f>
        <v>0</v>
      </c>
      <c r="AD159" s="221">
        <f>IF(ISERROR(LOOKUP(AD$16,$L159:$X159,#REF!)),0,(LOOKUP(AD$16,$L159:$X159,#REF!)))</f>
        <v>0</v>
      </c>
      <c r="AE159" s="221">
        <f>IF(ISERROR(LOOKUP(AE$16,$L159:$X159,#REF!)),0,(LOOKUP(AE$16,$L159:$X159,#REF!)))</f>
        <v>0</v>
      </c>
      <c r="AF159" s="221">
        <f>IF(ISERROR(LOOKUP(AF$16,$L159:$X159,#REF!)),0,(LOOKUP(AF$16,$L159:$X159,#REF!)))</f>
        <v>0</v>
      </c>
      <c r="AG159" s="221">
        <f>IF(ISERROR(LOOKUP(AG$16,$L159:$X159,#REF!)),0,(LOOKUP(AG$16,$L159:$X159,#REF!)))</f>
        <v>0</v>
      </c>
      <c r="AH159" s="221">
        <f>IF(ISERROR(LOOKUP(AH$16,$L159:$X159,#REF!)),0,(LOOKUP(AH$16,$L159:$X159,#REF!)))</f>
        <v>0</v>
      </c>
      <c r="AI159" s="221">
        <f>IF(ISERROR(LOOKUP(AI$16,$L159:$X159,#REF!)),0,(LOOKUP(AI$16,$L159:$X159,#REF!)))</f>
        <v>0</v>
      </c>
      <c r="AJ159" s="221">
        <f>IF(ISERROR(LOOKUP(AJ$16,$L159:$X159,#REF!)),0,(LOOKUP(AJ$16,$L159:$X159,#REF!)))</f>
        <v>0</v>
      </c>
      <c r="AK159" s="221">
        <f>IF(ISERROR(LOOKUP(AK$16,$L159:$X159,#REF!)),0,(LOOKUP(AK$16,$L159:$X159,#REF!)))</f>
        <v>0</v>
      </c>
      <c r="AL159" s="221">
        <f>IF(ISERROR(LOOKUP(AL$16,$L159:$X159,#REF!)),0,(LOOKUP(AL$16,$L159:$X159,#REF!)))</f>
        <v>0</v>
      </c>
      <c r="AM159" s="221">
        <f ca="1">IF(ISERROR(LOOKUP(AM$16,$L159:$X159,#REF!)),0,(LOOKUP(AM$16,$L159:$X159,#REF!)))</f>
        <v>0</v>
      </c>
      <c r="AP159" s="215" t="e">
        <f>WORKDAY(IF(T160="",T159,T160),INDEX(AP$12:AP$15,MATCH($I158,$I$12:$I$15,0)),$AW$17:$AW$148)</f>
        <v>#REF!</v>
      </c>
      <c r="AQ159" s="215" t="e">
        <f>WORKDAY(IF(AP160="",AP159,AP160),INDEX(AQ$12:AQ$15,MATCH($I158,$I$12:$I$15,0)),$AW$17:$AW$148)</f>
        <v>#REF!</v>
      </c>
      <c r="AR159" s="215" t="e">
        <f>WORKDAY(IF(AQ160="",AQ159,AQ160),INDEX(AR$12:AR$15,MATCH($I158,$I$12:$I$15,0)),$AW$17:$AW$148)</f>
        <v>#REF!</v>
      </c>
      <c r="AS159" s="778"/>
      <c r="AW159" s="223" t="e">
        <v>#REF!</v>
      </c>
    </row>
    <row r="160" spans="1:49" s="166" customFormat="1" ht="18" customHeight="1">
      <c r="A160" s="736"/>
      <c r="B160" s="740"/>
      <c r="C160" s="741" t="str">
        <f>C158</f>
        <v>RFQ-048</v>
      </c>
      <c r="D160" s="741" t="str">
        <f>D158</f>
        <v>BALL VALVE (FLANGE END)</v>
      </c>
      <c r="E160" s="212"/>
      <c r="F160" s="741" t="str">
        <f>F158</f>
        <v>Piping</v>
      </c>
      <c r="G160" s="741" t="str">
        <f>G158</f>
        <v>N</v>
      </c>
      <c r="H160" s="748"/>
      <c r="I160" s="212" t="str">
        <f>I158</f>
        <v>LC</v>
      </c>
      <c r="J160" s="249" t="s">
        <v>67</v>
      </c>
      <c r="K160" s="212"/>
      <c r="L160" s="212"/>
      <c r="M160" s="212"/>
      <c r="N160" s="212"/>
      <c r="O160" s="212"/>
      <c r="P160" s="226"/>
      <c r="Q160" s="227"/>
      <c r="R160" s="212"/>
      <c r="S160" s="212"/>
      <c r="T160" s="212"/>
      <c r="U160" s="212"/>
      <c r="V160" s="212"/>
      <c r="W160" s="228"/>
      <c r="X160" s="212"/>
      <c r="Y160" s="768"/>
      <c r="Z160" s="773"/>
      <c r="AA160" s="773"/>
      <c r="AB160" s="777"/>
      <c r="AC160" s="229">
        <f>IF(ISERROR(LOOKUP(AC$16,$L160:$X160,#REF!)),0,(LOOKUP(AC$16,$L160:$X160,#REF!)))</f>
        <v>0</v>
      </c>
      <c r="AD160" s="230">
        <f>IF(ISERROR(LOOKUP(AD$16,$L160:$X160,#REF!)),0,(LOOKUP(AD$16,$L160:$X160,#REF!)))</f>
        <v>0</v>
      </c>
      <c r="AE160" s="230">
        <f>IF(ISERROR(LOOKUP(AE$16,$L160:$X160,#REF!)),0,(LOOKUP(AE$16,$L160:$X160,#REF!)))</f>
        <v>0</v>
      </c>
      <c r="AF160" s="230">
        <f>IF(ISERROR(LOOKUP(AF$16,$L160:$X160,#REF!)),0,(LOOKUP(AF$16,$L160:$X160,#REF!)))</f>
        <v>0</v>
      </c>
      <c r="AG160" s="230">
        <f>IF(ISERROR(LOOKUP(AG$16,$L160:$X160,#REF!)),0,(LOOKUP(AG$16,$L160:$X160,#REF!)))</f>
        <v>0</v>
      </c>
      <c r="AH160" s="230">
        <f>IF(ISERROR(LOOKUP(AH$16,$L160:$X160,#REF!)),0,(LOOKUP(AH$16,$L160:$X160,#REF!)))</f>
        <v>0</v>
      </c>
      <c r="AI160" s="230">
        <f>IF(ISERROR(LOOKUP(AI$16,$L160:$X160,#REF!)),0,(LOOKUP(AI$16,$L160:$X160,#REF!)))</f>
        <v>0</v>
      </c>
      <c r="AJ160" s="230">
        <f>IF(ISERROR(LOOKUP(AJ$16,$L160:$X160,#REF!)),0,(LOOKUP(AJ$16,$L160:$X160,#REF!)))</f>
        <v>0</v>
      </c>
      <c r="AK160" s="230">
        <f>IF(ISERROR(LOOKUP(AK$16,$L160:$X160,#REF!)),0,(LOOKUP(AK$16,$L160:$X160,#REF!)))</f>
        <v>0</v>
      </c>
      <c r="AL160" s="230">
        <f>IF(ISERROR(LOOKUP(AL$16,$L160:$X160,#REF!)),0,(LOOKUP(AL$16,$L160:$X160,#REF!)))</f>
        <v>0</v>
      </c>
      <c r="AM160" s="230">
        <f ca="1">IF(ISERROR(LOOKUP(AM$16,$L160:$X160,#REF!)),0,(LOOKUP(AM$16,$L160:$X160,#REF!)))</f>
        <v>0</v>
      </c>
      <c r="AP160" s="212"/>
      <c r="AQ160" s="212"/>
      <c r="AR160" s="212"/>
      <c r="AS160" s="778"/>
      <c r="AW160" s="223" t="e">
        <v>#REF!</v>
      </c>
    </row>
    <row r="161" spans="1:49" s="166" customFormat="1" ht="18" customHeight="1">
      <c r="A161" s="736">
        <f>A158+1</f>
        <v>49</v>
      </c>
      <c r="B161" s="738"/>
      <c r="C161" s="741" t="s">
        <v>5303</v>
      </c>
      <c r="D161" s="741" t="s">
        <v>221</v>
      </c>
      <c r="E161" s="212"/>
      <c r="F161" s="741" t="s">
        <v>86</v>
      </c>
      <c r="G161" s="741" t="s">
        <v>73</v>
      </c>
      <c r="H161" s="746"/>
      <c r="I161" s="212" t="s">
        <v>7</v>
      </c>
      <c r="J161" s="249" t="s">
        <v>5236</v>
      </c>
      <c r="K161" s="215">
        <f>WORKDAY(L161,-INDEX(L$12:L$15,MATCH($I161,$I$12:$I$15,0)))</f>
        <v>46188</v>
      </c>
      <c r="L161" s="215">
        <f>WORKDAY(M161,-INDEX(M$12:M$15,MATCH($I161,$I$12:$I$15,0)))</f>
        <v>46189</v>
      </c>
      <c r="M161" s="215">
        <f>WORKDAY(N161,-INDEX(N$12:N$15,MATCH($I161,$I$12:$I$15,0)))</f>
        <v>46196</v>
      </c>
      <c r="N161" s="215">
        <f>WORKDAY(O161,-INDEX(O$12:O$15,MATCH($I161,$I$12:$I$15,0)))</f>
        <v>46197</v>
      </c>
      <c r="O161" s="215">
        <f>WORKDAY(R161,-INDEX(R$12:R$15,MATCH($I161,$I$12:$I$15,0)))</f>
        <v>46204</v>
      </c>
      <c r="P161" s="216">
        <f>U161-L161</f>
        <v>75</v>
      </c>
      <c r="Q161" s="217"/>
      <c r="R161" s="215">
        <f>WORKDAY(S161,-INDEX(S$12:S$15,MATCH($I161,$I$12:$I$15,0)))</f>
        <v>46218</v>
      </c>
      <c r="S161" s="215">
        <f>WORKDAY(T161,-INDEX(T$12:T$15,MATCH($I161,$I$12:$I$15,0)))</f>
        <v>46246</v>
      </c>
      <c r="T161" s="215">
        <f>WORKDAY(U161,-INDEX(U$12:U$15,MATCH($I161,$I$12:$I$15,0)))</f>
        <v>46251</v>
      </c>
      <c r="U161" s="215">
        <f>X161-Y161</f>
        <v>46264</v>
      </c>
      <c r="V161" s="215">
        <f>WORKDAY(U161,INDEX(V$12:V$15,MATCH($I161,$I$12:$I$15,0)))</f>
        <v>46266</v>
      </c>
      <c r="W161" s="218">
        <f>Y161/7</f>
        <v>26.1428571428571</v>
      </c>
      <c r="X161" s="215">
        <f>Z161</f>
        <v>46447</v>
      </c>
      <c r="Y161" s="768">
        <v>183</v>
      </c>
      <c r="Z161" s="773">
        <v>46447</v>
      </c>
      <c r="AA161" s="773">
        <v>46538</v>
      </c>
      <c r="AB161" s="777">
        <f>Z161-X162</f>
        <v>0</v>
      </c>
      <c r="AC161" s="220">
        <f>IF(ISERROR(LOOKUP(AC$16,$L161:$X161,#REF!)),0,(LOOKUP(AC$16,$L161:$X161,#REF!)))</f>
        <v>0</v>
      </c>
      <c r="AD161" s="221">
        <f>IF(ISERROR(LOOKUP(AD$16,$L161:$X161,#REF!)),0,(LOOKUP(AD$16,$L161:$X161,#REF!)))</f>
        <v>0</v>
      </c>
      <c r="AE161" s="221">
        <f>IF(ISERROR(LOOKUP(AE$16,$L161:$X161,#REF!)),0,(LOOKUP(AE$16,$L161:$X161,#REF!)))</f>
        <v>0</v>
      </c>
      <c r="AF161" s="221">
        <f>IF(ISERROR(LOOKUP(AF$16,$L161:$X161,#REF!)),0,(LOOKUP(AF$16,$L161:$X161,#REF!)))</f>
        <v>0</v>
      </c>
      <c r="AG161" s="221">
        <f>IF(ISERROR(LOOKUP(AG$16,$L161:$X161,#REF!)),0,(LOOKUP(AG$16,$L161:$X161,#REF!)))</f>
        <v>0</v>
      </c>
      <c r="AH161" s="221">
        <f>IF(ISERROR(LOOKUP(AH$16,$L161:$X161,#REF!)),0,(LOOKUP(AH$16,$L161:$X161,#REF!)))</f>
        <v>0</v>
      </c>
      <c r="AI161" s="221">
        <f>IF(ISERROR(LOOKUP(AI$16,$L161:$X161,#REF!)),0,(LOOKUP(AI$16,$L161:$X161,#REF!)))</f>
        <v>0</v>
      </c>
      <c r="AJ161" s="221">
        <f>IF(ISERROR(LOOKUP(AJ$16,$L161:$X161,#REF!)),0,(LOOKUP(AJ$16,$L161:$X161,#REF!)))</f>
        <v>0</v>
      </c>
      <c r="AK161" s="221">
        <f>IF(ISERROR(LOOKUP(AK$16,$L161:$X161,#REF!)),0,(LOOKUP(AK$16,$L161:$X161,#REF!)))</f>
        <v>0</v>
      </c>
      <c r="AL161" s="221">
        <f>IF(ISERROR(LOOKUP(AL$16,$L161:$X161,#REF!)),0,(LOOKUP(AL$16,$L161:$X161,#REF!)))</f>
        <v>0</v>
      </c>
      <c r="AM161" s="221">
        <f ca="1">IF(ISERROR(LOOKUP(AM$16,$L161:$X161,#REF!)),0,(LOOKUP(AM$16,$L161:$X161,#REF!)))</f>
        <v>0</v>
      </c>
      <c r="AP161" s="215" t="e">
        <f>WORKDAY(AQ161,-INDEX(AQ$12:AQ$15,MATCH($I161,$I$12:$I$15,0)),$AW$17:$AW$148)</f>
        <v>#REF!</v>
      </c>
      <c r="AQ161" s="215" t="e">
        <f>WORKDAY(U161,-INDEX(U$12:U$15,MATCH($I161,$I$12:$I$15,0)),$AW$17:$AW$148)</f>
        <v>#REF!</v>
      </c>
      <c r="AR161" s="215" t="e">
        <f>WORKDAY(U161,-INDEX(U$12:U$15,MATCH($I161,$I$12:$I$15,0)),$AW$17:$AW$148)</f>
        <v>#REF!</v>
      </c>
      <c r="AS161" s="778">
        <v>7</v>
      </c>
      <c r="AW161" s="223" t="e">
        <v>#REF!</v>
      </c>
    </row>
    <row r="162" spans="1:49" s="166" customFormat="1" ht="18" customHeight="1">
      <c r="A162" s="736"/>
      <c r="B162" s="739"/>
      <c r="C162" s="741" t="str">
        <f>C161</f>
        <v>RFQ-049</v>
      </c>
      <c r="D162" s="741" t="str">
        <f>D161</f>
        <v>GLOBE VALVE (FLANGE END)</v>
      </c>
      <c r="E162" s="212"/>
      <c r="F162" s="741" t="str">
        <f>F161</f>
        <v>Piping</v>
      </c>
      <c r="G162" s="741" t="str">
        <f>G161</f>
        <v>N</v>
      </c>
      <c r="H162" s="747"/>
      <c r="I162" s="212" t="str">
        <f>I161</f>
        <v>LB</v>
      </c>
      <c r="J162" s="249" t="s">
        <v>65</v>
      </c>
      <c r="K162" s="215">
        <f>K161</f>
        <v>46188</v>
      </c>
      <c r="L162" s="215">
        <f>WORKDAY(IF(K163="",K162,K163),INDEX(L$12:L$15,MATCH($I161,$I$12:$I$15,0)))</f>
        <v>46189</v>
      </c>
      <c r="M162" s="215">
        <f>WORKDAY(IF(L163="",L162,L163),INDEX(M$12:M$15,MATCH($I161,$I$12:$I$15,0)))</f>
        <v>46196</v>
      </c>
      <c r="N162" s="215">
        <f>WORKDAY(IF(M163="",M162,M163),INDEX(N$12:N$15,MATCH($I161,$I$12:$I$15,0)))</f>
        <v>46197</v>
      </c>
      <c r="O162" s="215">
        <f>WORKDAY(IF(N163="",N162,N163),INDEX(O$12:O$15,MATCH($I161,$I$12:$I$15,0)))</f>
        <v>46204</v>
      </c>
      <c r="P162" s="216"/>
      <c r="Q162" s="217"/>
      <c r="R162" s="215">
        <f>WORKDAY(IF(O163="",O162,O163),INDEX(R$12:R$15,MATCH($I161,$I$12:$I$15,0)))</f>
        <v>46218</v>
      </c>
      <c r="S162" s="215">
        <f>WORKDAY(IF(R163="",R162,R163),INDEX(S$12:S$15,MATCH($I161,$I$12:$I$15,0)))</f>
        <v>46246</v>
      </c>
      <c r="T162" s="215">
        <f>WORKDAY(IF(S163="",S162,S163),INDEX(T$12:T$15,MATCH($I161,$I$12:$I$15,0)))</f>
        <v>46251</v>
      </c>
      <c r="U162" s="215">
        <f>WORKDAY(IF(T163="",T162,T163),INDEX(U$12:U$15,MATCH($I161,$I$12:$I$15,0)))-1</f>
        <v>46264</v>
      </c>
      <c r="V162" s="215">
        <f>WORKDAY(IF(U163="",U162,U163),INDEX(V$12:V$15,MATCH($I161,$I$12:$I$15,0)))</f>
        <v>46266</v>
      </c>
      <c r="W162" s="218"/>
      <c r="X162" s="215">
        <f>U162+Y161</f>
        <v>46447</v>
      </c>
      <c r="Y162" s="768"/>
      <c r="Z162" s="773"/>
      <c r="AA162" s="773"/>
      <c r="AB162" s="777"/>
      <c r="AC162" s="220">
        <f>IF(ISERROR(LOOKUP(AC$16,$L162:$X162,#REF!)),0,(LOOKUP(AC$16,$L162:$X162,#REF!)))</f>
        <v>0</v>
      </c>
      <c r="AD162" s="221">
        <f>IF(ISERROR(LOOKUP(AD$16,$L162:$X162,#REF!)),0,(LOOKUP(AD$16,$L162:$X162,#REF!)))</f>
        <v>0</v>
      </c>
      <c r="AE162" s="221">
        <f>IF(ISERROR(LOOKUP(AE$16,$L162:$X162,#REF!)),0,(LOOKUP(AE$16,$L162:$X162,#REF!)))</f>
        <v>0</v>
      </c>
      <c r="AF162" s="221">
        <f>IF(ISERROR(LOOKUP(AF$16,$L162:$X162,#REF!)),0,(LOOKUP(AF$16,$L162:$X162,#REF!)))</f>
        <v>0</v>
      </c>
      <c r="AG162" s="221">
        <f>IF(ISERROR(LOOKUP(AG$16,$L162:$X162,#REF!)),0,(LOOKUP(AG$16,$L162:$X162,#REF!)))</f>
        <v>0</v>
      </c>
      <c r="AH162" s="221">
        <f>IF(ISERROR(LOOKUP(AH$16,$L162:$X162,#REF!)),0,(LOOKUP(AH$16,$L162:$X162,#REF!)))</f>
        <v>0</v>
      </c>
      <c r="AI162" s="221">
        <f>IF(ISERROR(LOOKUP(AI$16,$L162:$X162,#REF!)),0,(LOOKUP(AI$16,$L162:$X162,#REF!)))</f>
        <v>0</v>
      </c>
      <c r="AJ162" s="221">
        <f>IF(ISERROR(LOOKUP(AJ$16,$L162:$X162,#REF!)),0,(LOOKUP(AJ$16,$L162:$X162,#REF!)))</f>
        <v>0</v>
      </c>
      <c r="AK162" s="221">
        <f>IF(ISERROR(LOOKUP(AK$16,$L162:$X162,#REF!)),0,(LOOKUP(AK$16,$L162:$X162,#REF!)))</f>
        <v>0</v>
      </c>
      <c r="AL162" s="221">
        <f>IF(ISERROR(LOOKUP(AL$16,$L162:$X162,#REF!)),0,(LOOKUP(AL$16,$L162:$X162,#REF!)))</f>
        <v>0</v>
      </c>
      <c r="AM162" s="221">
        <f ca="1">IF(ISERROR(LOOKUP(AM$16,$L162:$X162,#REF!)),0,(LOOKUP(AM$16,$L162:$X162,#REF!)))</f>
        <v>0</v>
      </c>
      <c r="AP162" s="215" t="e">
        <f>WORKDAY(IF(T163="",T162,T163),INDEX(AP$12:AP$15,MATCH($I161,$I$12:$I$15,0)),$AW$17:$AW$148)</f>
        <v>#REF!</v>
      </c>
      <c r="AQ162" s="215" t="e">
        <f>WORKDAY(IF(AP163="",AP162,AP163),INDEX(AQ$12:AQ$15,MATCH($I161,$I$12:$I$15,0)),$AW$17:$AW$148)</f>
        <v>#REF!</v>
      </c>
      <c r="AR162" s="215" t="e">
        <f>WORKDAY(IF(AQ163="",AQ162,AQ163),INDEX(AR$12:AR$15,MATCH($I161,$I$12:$I$15,0)),$AW$17:$AW$148)</f>
        <v>#REF!</v>
      </c>
      <c r="AS162" s="778"/>
      <c r="AW162" s="223" t="e">
        <v>#REF!</v>
      </c>
    </row>
    <row r="163" spans="1:49" s="166" customFormat="1" ht="18" customHeight="1">
      <c r="A163" s="736"/>
      <c r="B163" s="740"/>
      <c r="C163" s="741" t="str">
        <f>C161</f>
        <v>RFQ-049</v>
      </c>
      <c r="D163" s="741" t="str">
        <f>D161</f>
        <v>GLOBE VALVE (FLANGE END)</v>
      </c>
      <c r="E163" s="212"/>
      <c r="F163" s="741" t="str">
        <f>F161</f>
        <v>Piping</v>
      </c>
      <c r="G163" s="741" t="str">
        <f>G161</f>
        <v>N</v>
      </c>
      <c r="H163" s="748"/>
      <c r="I163" s="212" t="str">
        <f>I161</f>
        <v>LB</v>
      </c>
      <c r="J163" s="249" t="s">
        <v>67</v>
      </c>
      <c r="K163" s="212"/>
      <c r="L163" s="212"/>
      <c r="M163" s="212"/>
      <c r="N163" s="212"/>
      <c r="O163" s="212"/>
      <c r="P163" s="226"/>
      <c r="Q163" s="227"/>
      <c r="R163" s="212"/>
      <c r="S163" s="212"/>
      <c r="T163" s="212"/>
      <c r="U163" s="212"/>
      <c r="V163" s="212"/>
      <c r="W163" s="228"/>
      <c r="X163" s="212"/>
      <c r="Y163" s="768"/>
      <c r="Z163" s="773"/>
      <c r="AA163" s="773"/>
      <c r="AB163" s="777"/>
      <c r="AC163" s="229">
        <f>IF(ISERROR(LOOKUP(AC$16,$L163:$X163,#REF!)),0,(LOOKUP(AC$16,$L163:$X163,#REF!)))</f>
        <v>0</v>
      </c>
      <c r="AD163" s="230">
        <f>IF(ISERROR(LOOKUP(AD$16,$L163:$X163,#REF!)),0,(LOOKUP(AD$16,$L163:$X163,#REF!)))</f>
        <v>0</v>
      </c>
      <c r="AE163" s="230">
        <f>IF(ISERROR(LOOKUP(AE$16,$L163:$X163,#REF!)),0,(LOOKUP(AE$16,$L163:$X163,#REF!)))</f>
        <v>0</v>
      </c>
      <c r="AF163" s="230">
        <f>IF(ISERROR(LOOKUP(AF$16,$L163:$X163,#REF!)),0,(LOOKUP(AF$16,$L163:$X163,#REF!)))</f>
        <v>0</v>
      </c>
      <c r="AG163" s="230">
        <f>IF(ISERROR(LOOKUP(AG$16,$L163:$X163,#REF!)),0,(LOOKUP(AG$16,$L163:$X163,#REF!)))</f>
        <v>0</v>
      </c>
      <c r="AH163" s="230">
        <f>IF(ISERROR(LOOKUP(AH$16,$L163:$X163,#REF!)),0,(LOOKUP(AH$16,$L163:$X163,#REF!)))</f>
        <v>0</v>
      </c>
      <c r="AI163" s="230">
        <f>IF(ISERROR(LOOKUP(AI$16,$L163:$X163,#REF!)),0,(LOOKUP(AI$16,$L163:$X163,#REF!)))</f>
        <v>0</v>
      </c>
      <c r="AJ163" s="230">
        <f>IF(ISERROR(LOOKUP(AJ$16,$L163:$X163,#REF!)),0,(LOOKUP(AJ$16,$L163:$X163,#REF!)))</f>
        <v>0</v>
      </c>
      <c r="AK163" s="230">
        <f>IF(ISERROR(LOOKUP(AK$16,$L163:$X163,#REF!)),0,(LOOKUP(AK$16,$L163:$X163,#REF!)))</f>
        <v>0</v>
      </c>
      <c r="AL163" s="230">
        <f>IF(ISERROR(LOOKUP(AL$16,$L163:$X163,#REF!)),0,(LOOKUP(AL$16,$L163:$X163,#REF!)))</f>
        <v>0</v>
      </c>
      <c r="AM163" s="230">
        <f ca="1">IF(ISERROR(LOOKUP(AM$16,$L163:$X163,#REF!)),0,(LOOKUP(AM$16,$L163:$X163,#REF!)))</f>
        <v>0</v>
      </c>
      <c r="AP163" s="212"/>
      <c r="AQ163" s="212"/>
      <c r="AR163" s="212"/>
      <c r="AS163" s="778"/>
      <c r="AW163" s="223" t="e">
        <v>#REF!</v>
      </c>
    </row>
    <row r="164" spans="1:49" s="166" customFormat="1" ht="18" customHeight="1">
      <c r="A164" s="736">
        <f>A161+1</f>
        <v>50</v>
      </c>
      <c r="B164" s="738"/>
      <c r="C164" s="741" t="s">
        <v>5304</v>
      </c>
      <c r="D164" s="741" t="s">
        <v>223</v>
      </c>
      <c r="E164" s="212"/>
      <c r="F164" s="741" t="s">
        <v>86</v>
      </c>
      <c r="G164" s="741" t="s">
        <v>73</v>
      </c>
      <c r="H164" s="746"/>
      <c r="I164" s="212" t="s">
        <v>7</v>
      </c>
      <c r="J164" s="249" t="s">
        <v>5236</v>
      </c>
      <c r="K164" s="215">
        <f>WORKDAY(L164,-INDEX(L$12:L$15,MATCH($I164,$I$12:$I$15,0)))</f>
        <v>46188</v>
      </c>
      <c r="L164" s="215">
        <f>WORKDAY(M164,-INDEX(M$12:M$15,MATCH($I164,$I$12:$I$15,0)))</f>
        <v>46189</v>
      </c>
      <c r="M164" s="215">
        <f>WORKDAY(N164,-INDEX(N$12:N$15,MATCH($I164,$I$12:$I$15,0)))</f>
        <v>46196</v>
      </c>
      <c r="N164" s="215">
        <f>WORKDAY(O164,-INDEX(O$12:O$15,MATCH($I164,$I$12:$I$15,0)))</f>
        <v>46197</v>
      </c>
      <c r="O164" s="215">
        <f>WORKDAY(R164,-INDEX(R$12:R$15,MATCH($I164,$I$12:$I$15,0)))</f>
        <v>46204</v>
      </c>
      <c r="P164" s="216">
        <f>U164-L164</f>
        <v>75</v>
      </c>
      <c r="Q164" s="217"/>
      <c r="R164" s="215">
        <f>WORKDAY(S164,-INDEX(S$12:S$15,MATCH($I164,$I$12:$I$15,0)))</f>
        <v>46218</v>
      </c>
      <c r="S164" s="215">
        <f>WORKDAY(T164,-INDEX(T$12:T$15,MATCH($I164,$I$12:$I$15,0)))</f>
        <v>46246</v>
      </c>
      <c r="T164" s="215">
        <f>WORKDAY(U164,-INDEX(U$12:U$15,MATCH($I164,$I$12:$I$15,0)))</f>
        <v>46251</v>
      </c>
      <c r="U164" s="215">
        <f>X164-Y164</f>
        <v>46264</v>
      </c>
      <c r="V164" s="215">
        <f>WORKDAY(U164,INDEX(V$12:V$15,MATCH($I164,$I$12:$I$15,0)))</f>
        <v>46266</v>
      </c>
      <c r="W164" s="218">
        <f>Y164/7</f>
        <v>26.1428571428571</v>
      </c>
      <c r="X164" s="215">
        <f>Z164</f>
        <v>46447</v>
      </c>
      <c r="Y164" s="768">
        <v>183</v>
      </c>
      <c r="Z164" s="773">
        <v>46447</v>
      </c>
      <c r="AA164" s="773">
        <v>46538</v>
      </c>
      <c r="AB164" s="777">
        <f>Z164-X165</f>
        <v>0</v>
      </c>
      <c r="AC164" s="220">
        <f>IF(ISERROR(LOOKUP(AC$16,$L164:$X164,#REF!)),0,(LOOKUP(AC$16,$L164:$X164,#REF!)))</f>
        <v>0</v>
      </c>
      <c r="AD164" s="221">
        <f>IF(ISERROR(LOOKUP(AD$16,$L164:$X164,#REF!)),0,(LOOKUP(AD$16,$L164:$X164,#REF!)))</f>
        <v>0</v>
      </c>
      <c r="AE164" s="221">
        <f>IF(ISERROR(LOOKUP(AE$16,$L164:$X164,#REF!)),0,(LOOKUP(AE$16,$L164:$X164,#REF!)))</f>
        <v>0</v>
      </c>
      <c r="AF164" s="221">
        <f>IF(ISERROR(LOOKUP(AF$16,$L164:$X164,#REF!)),0,(LOOKUP(AF$16,$L164:$X164,#REF!)))</f>
        <v>0</v>
      </c>
      <c r="AG164" s="221">
        <f>IF(ISERROR(LOOKUP(AG$16,$L164:$X164,#REF!)),0,(LOOKUP(AG$16,$L164:$X164,#REF!)))</f>
        <v>0</v>
      </c>
      <c r="AH164" s="221">
        <f>IF(ISERROR(LOOKUP(AH$16,$L164:$X164,#REF!)),0,(LOOKUP(AH$16,$L164:$X164,#REF!)))</f>
        <v>0</v>
      </c>
      <c r="AI164" s="221">
        <f>IF(ISERROR(LOOKUP(AI$16,$L164:$X164,#REF!)),0,(LOOKUP(AI$16,$L164:$X164,#REF!)))</f>
        <v>0</v>
      </c>
      <c r="AJ164" s="221">
        <f>IF(ISERROR(LOOKUP(AJ$16,$L164:$X164,#REF!)),0,(LOOKUP(AJ$16,$L164:$X164,#REF!)))</f>
        <v>0</v>
      </c>
      <c r="AK164" s="221">
        <f>IF(ISERROR(LOOKUP(AK$16,$L164:$X164,#REF!)),0,(LOOKUP(AK$16,$L164:$X164,#REF!)))</f>
        <v>0</v>
      </c>
      <c r="AL164" s="221">
        <f>IF(ISERROR(LOOKUP(AL$16,$L164:$X164,#REF!)),0,(LOOKUP(AL$16,$L164:$X164,#REF!)))</f>
        <v>0</v>
      </c>
      <c r="AM164" s="221">
        <f ca="1">IF(ISERROR(LOOKUP(AM$16,$L164:$X164,#REF!)),0,(LOOKUP(AM$16,$L164:$X164,#REF!)))</f>
        <v>0</v>
      </c>
      <c r="AP164" s="215" t="e">
        <f>WORKDAY(AQ164,-INDEX(AQ$12:AQ$15,MATCH($I164,$I$12:$I$15,0)),$AW$17:$AW$148)</f>
        <v>#REF!</v>
      </c>
      <c r="AQ164" s="215" t="e">
        <f>WORKDAY(U164,-INDEX(U$12:U$15,MATCH($I164,$I$12:$I$15,0)),$AW$17:$AW$148)</f>
        <v>#REF!</v>
      </c>
      <c r="AR164" s="215" t="e">
        <f>WORKDAY(U164,-INDEX(U$12:U$15,MATCH($I164,$I$12:$I$15,0)),$AW$17:$AW$148)</f>
        <v>#REF!</v>
      </c>
      <c r="AS164" s="778">
        <v>7</v>
      </c>
      <c r="AW164" s="223" t="e">
        <v>#REF!</v>
      </c>
    </row>
    <row r="165" spans="1:49" s="166" customFormat="1" ht="18" customHeight="1">
      <c r="A165" s="736"/>
      <c r="B165" s="739"/>
      <c r="C165" s="741" t="str">
        <f>C164</f>
        <v>RFQ-050</v>
      </c>
      <c r="D165" s="741" t="str">
        <f>D164</f>
        <v>GLOBE VALVE (WELDED END)</v>
      </c>
      <c r="E165" s="212"/>
      <c r="F165" s="741" t="str">
        <f>F164</f>
        <v>Piping</v>
      </c>
      <c r="G165" s="741" t="str">
        <f>G164</f>
        <v>N</v>
      </c>
      <c r="H165" s="747"/>
      <c r="I165" s="212" t="str">
        <f>I164</f>
        <v>LB</v>
      </c>
      <c r="J165" s="249" t="s">
        <v>65</v>
      </c>
      <c r="K165" s="215">
        <f>K164</f>
        <v>46188</v>
      </c>
      <c r="L165" s="215">
        <f>WORKDAY(IF(K166="",K165,K166),INDEX(L$12:L$15,MATCH($I164,$I$12:$I$15,0)))</f>
        <v>46189</v>
      </c>
      <c r="M165" s="215">
        <f>WORKDAY(IF(L166="",L165,L166),INDEX(M$12:M$15,MATCH($I164,$I$12:$I$15,0)))</f>
        <v>46196</v>
      </c>
      <c r="N165" s="215">
        <f>WORKDAY(IF(M166="",M165,M166),INDEX(N$12:N$15,MATCH($I164,$I$12:$I$15,0)))</f>
        <v>46197</v>
      </c>
      <c r="O165" s="215">
        <f>WORKDAY(IF(N166="",N165,N166),INDEX(O$12:O$15,MATCH($I164,$I$12:$I$15,0)))</f>
        <v>46204</v>
      </c>
      <c r="P165" s="216"/>
      <c r="Q165" s="217"/>
      <c r="R165" s="215">
        <f>WORKDAY(IF(O166="",O165,O166),INDEX(R$12:R$15,MATCH($I164,$I$12:$I$15,0)))</f>
        <v>46218</v>
      </c>
      <c r="S165" s="215">
        <f>WORKDAY(IF(R166="",R165,R166),INDEX(S$12:S$15,MATCH($I164,$I$12:$I$15,0)))</f>
        <v>46246</v>
      </c>
      <c r="T165" s="215">
        <f>WORKDAY(IF(S166="",S165,S166),INDEX(T$12:T$15,MATCH($I164,$I$12:$I$15,0)))</f>
        <v>46251</v>
      </c>
      <c r="U165" s="215">
        <f>WORKDAY(IF(T166="",T165,T166),INDEX(U$12:U$15,MATCH($I164,$I$12:$I$15,0)))-1</f>
        <v>46264</v>
      </c>
      <c r="V165" s="215">
        <f>WORKDAY(IF(U166="",U165,U166),INDEX(V$12:V$15,MATCH($I164,$I$12:$I$15,0)))</f>
        <v>46266</v>
      </c>
      <c r="W165" s="218"/>
      <c r="X165" s="215">
        <f>U165+Y164</f>
        <v>46447</v>
      </c>
      <c r="Y165" s="768"/>
      <c r="Z165" s="773"/>
      <c r="AA165" s="773"/>
      <c r="AB165" s="777"/>
      <c r="AC165" s="220">
        <f>IF(ISERROR(LOOKUP(AC$16,$L165:$X165,#REF!)),0,(LOOKUP(AC$16,$L165:$X165,#REF!)))</f>
        <v>0</v>
      </c>
      <c r="AD165" s="221">
        <f>IF(ISERROR(LOOKUP(AD$16,$L165:$X165,#REF!)),0,(LOOKUP(AD$16,$L165:$X165,#REF!)))</f>
        <v>0</v>
      </c>
      <c r="AE165" s="221">
        <f>IF(ISERROR(LOOKUP(AE$16,$L165:$X165,#REF!)),0,(LOOKUP(AE$16,$L165:$X165,#REF!)))</f>
        <v>0</v>
      </c>
      <c r="AF165" s="221">
        <f>IF(ISERROR(LOOKUP(AF$16,$L165:$X165,#REF!)),0,(LOOKUP(AF$16,$L165:$X165,#REF!)))</f>
        <v>0</v>
      </c>
      <c r="AG165" s="221">
        <f>IF(ISERROR(LOOKUP(AG$16,$L165:$X165,#REF!)),0,(LOOKUP(AG$16,$L165:$X165,#REF!)))</f>
        <v>0</v>
      </c>
      <c r="AH165" s="221">
        <f>IF(ISERROR(LOOKUP(AH$16,$L165:$X165,#REF!)),0,(LOOKUP(AH$16,$L165:$X165,#REF!)))</f>
        <v>0</v>
      </c>
      <c r="AI165" s="221">
        <f>IF(ISERROR(LOOKUP(AI$16,$L165:$X165,#REF!)),0,(LOOKUP(AI$16,$L165:$X165,#REF!)))</f>
        <v>0</v>
      </c>
      <c r="AJ165" s="221">
        <f>IF(ISERROR(LOOKUP(AJ$16,$L165:$X165,#REF!)),0,(LOOKUP(AJ$16,$L165:$X165,#REF!)))</f>
        <v>0</v>
      </c>
      <c r="AK165" s="221">
        <f>IF(ISERROR(LOOKUP(AK$16,$L165:$X165,#REF!)),0,(LOOKUP(AK$16,$L165:$X165,#REF!)))</f>
        <v>0</v>
      </c>
      <c r="AL165" s="221">
        <f>IF(ISERROR(LOOKUP(AL$16,$L165:$X165,#REF!)),0,(LOOKUP(AL$16,$L165:$X165,#REF!)))</f>
        <v>0</v>
      </c>
      <c r="AM165" s="221">
        <f ca="1">IF(ISERROR(LOOKUP(AM$16,$L165:$X165,#REF!)),0,(LOOKUP(AM$16,$L165:$X165,#REF!)))</f>
        <v>0</v>
      </c>
      <c r="AP165" s="215" t="e">
        <f>WORKDAY(IF(T166="",T165,T166),INDEX(AP$12:AP$15,MATCH($I164,$I$12:$I$15,0)),$AW$17:$AW$148)</f>
        <v>#REF!</v>
      </c>
      <c r="AQ165" s="215" t="e">
        <f>WORKDAY(IF(AP166="",AP165,AP166),INDEX(AQ$12:AQ$15,MATCH($I164,$I$12:$I$15,0)),$AW$17:$AW$148)</f>
        <v>#REF!</v>
      </c>
      <c r="AR165" s="215" t="e">
        <f>WORKDAY(IF(AQ166="",AQ165,AQ166),INDEX(AR$12:AR$15,MATCH($I164,$I$12:$I$15,0)),$AW$17:$AW$148)</f>
        <v>#REF!</v>
      </c>
      <c r="AS165" s="778"/>
      <c r="AW165" s="223" t="e">
        <v>#REF!</v>
      </c>
    </row>
    <row r="166" spans="1:49" s="166" customFormat="1" ht="18" customHeight="1">
      <c r="A166" s="736"/>
      <c r="B166" s="740"/>
      <c r="C166" s="741" t="str">
        <f>C164</f>
        <v>RFQ-050</v>
      </c>
      <c r="D166" s="741" t="str">
        <f>D164</f>
        <v>GLOBE VALVE (WELDED END)</v>
      </c>
      <c r="E166" s="212"/>
      <c r="F166" s="741" t="str">
        <f>F164</f>
        <v>Piping</v>
      </c>
      <c r="G166" s="741" t="str">
        <f>G164</f>
        <v>N</v>
      </c>
      <c r="H166" s="748"/>
      <c r="I166" s="212" t="str">
        <f>I164</f>
        <v>LB</v>
      </c>
      <c r="J166" s="249" t="s">
        <v>67</v>
      </c>
      <c r="K166" s="212"/>
      <c r="L166" s="212"/>
      <c r="M166" s="212"/>
      <c r="N166" s="212"/>
      <c r="O166" s="212"/>
      <c r="P166" s="226"/>
      <c r="Q166" s="227"/>
      <c r="R166" s="212"/>
      <c r="S166" s="212"/>
      <c r="T166" s="212"/>
      <c r="U166" s="212"/>
      <c r="V166" s="212"/>
      <c r="W166" s="228"/>
      <c r="X166" s="212"/>
      <c r="Y166" s="768"/>
      <c r="Z166" s="773"/>
      <c r="AA166" s="773"/>
      <c r="AB166" s="777"/>
      <c r="AC166" s="229">
        <f>IF(ISERROR(LOOKUP(AC$16,$L166:$X166,#REF!)),0,(LOOKUP(AC$16,$L166:$X166,#REF!)))</f>
        <v>0</v>
      </c>
      <c r="AD166" s="230">
        <f>IF(ISERROR(LOOKUP(AD$16,$L166:$X166,#REF!)),0,(LOOKUP(AD$16,$L166:$X166,#REF!)))</f>
        <v>0</v>
      </c>
      <c r="AE166" s="230">
        <f>IF(ISERROR(LOOKUP(AE$16,$L166:$X166,#REF!)),0,(LOOKUP(AE$16,$L166:$X166,#REF!)))</f>
        <v>0</v>
      </c>
      <c r="AF166" s="230">
        <f>IF(ISERROR(LOOKUP(AF$16,$L166:$X166,#REF!)),0,(LOOKUP(AF$16,$L166:$X166,#REF!)))</f>
        <v>0</v>
      </c>
      <c r="AG166" s="230">
        <f>IF(ISERROR(LOOKUP(AG$16,$L166:$X166,#REF!)),0,(LOOKUP(AG$16,$L166:$X166,#REF!)))</f>
        <v>0</v>
      </c>
      <c r="AH166" s="230">
        <f>IF(ISERROR(LOOKUP(AH$16,$L166:$X166,#REF!)),0,(LOOKUP(AH$16,$L166:$X166,#REF!)))</f>
        <v>0</v>
      </c>
      <c r="AI166" s="230">
        <f>IF(ISERROR(LOOKUP(AI$16,$L166:$X166,#REF!)),0,(LOOKUP(AI$16,$L166:$X166,#REF!)))</f>
        <v>0</v>
      </c>
      <c r="AJ166" s="230">
        <f>IF(ISERROR(LOOKUP(AJ$16,$L166:$X166,#REF!)),0,(LOOKUP(AJ$16,$L166:$X166,#REF!)))</f>
        <v>0</v>
      </c>
      <c r="AK166" s="230">
        <f>IF(ISERROR(LOOKUP(AK$16,$L166:$X166,#REF!)),0,(LOOKUP(AK$16,$L166:$X166,#REF!)))</f>
        <v>0</v>
      </c>
      <c r="AL166" s="230">
        <f>IF(ISERROR(LOOKUP(AL$16,$L166:$X166,#REF!)),0,(LOOKUP(AL$16,$L166:$X166,#REF!)))</f>
        <v>0</v>
      </c>
      <c r="AM166" s="230">
        <f ca="1">IF(ISERROR(LOOKUP(AM$16,$L166:$X166,#REF!)),0,(LOOKUP(AM$16,$L166:$X166,#REF!)))</f>
        <v>0</v>
      </c>
      <c r="AP166" s="212"/>
      <c r="AQ166" s="212"/>
      <c r="AR166" s="212"/>
      <c r="AS166" s="778"/>
      <c r="AW166" s="223" t="e">
        <v>#REF!</v>
      </c>
    </row>
    <row r="167" spans="1:49" s="166" customFormat="1" ht="18" customHeight="1">
      <c r="A167" s="736">
        <f>A164+1</f>
        <v>51</v>
      </c>
      <c r="B167" s="738"/>
      <c r="C167" s="741" t="s">
        <v>5305</v>
      </c>
      <c r="D167" s="741" t="s">
        <v>225</v>
      </c>
      <c r="E167" s="212"/>
      <c r="F167" s="741" t="s">
        <v>86</v>
      </c>
      <c r="G167" s="741" t="s">
        <v>73</v>
      </c>
      <c r="H167" s="746"/>
      <c r="I167" s="212" t="s">
        <v>7</v>
      </c>
      <c r="J167" s="249" t="s">
        <v>5236</v>
      </c>
      <c r="K167" s="215">
        <f>WORKDAY(L167,-INDEX(L$12:L$15,MATCH($I167,$I$12:$I$15,0)))</f>
        <v>46188</v>
      </c>
      <c r="L167" s="215">
        <f>WORKDAY(M167,-INDEX(M$12:M$15,MATCH($I167,$I$12:$I$15,0)))</f>
        <v>46189</v>
      </c>
      <c r="M167" s="215">
        <f>WORKDAY(N167,-INDEX(N$12:N$15,MATCH($I167,$I$12:$I$15,0)))</f>
        <v>46196</v>
      </c>
      <c r="N167" s="215">
        <f>WORKDAY(O167,-INDEX(O$12:O$15,MATCH($I167,$I$12:$I$15,0)))</f>
        <v>46197</v>
      </c>
      <c r="O167" s="215">
        <f>WORKDAY(R167,-INDEX(R$12:R$15,MATCH($I167,$I$12:$I$15,0)))</f>
        <v>46204</v>
      </c>
      <c r="P167" s="216">
        <f>U167-L167</f>
        <v>75</v>
      </c>
      <c r="Q167" s="217"/>
      <c r="R167" s="215">
        <f>WORKDAY(S167,-INDEX(S$12:S$15,MATCH($I167,$I$12:$I$15,0)))</f>
        <v>46218</v>
      </c>
      <c r="S167" s="215">
        <f>WORKDAY(T167,-INDEX(T$12:T$15,MATCH($I167,$I$12:$I$15,0)))</f>
        <v>46246</v>
      </c>
      <c r="T167" s="215">
        <f>WORKDAY(U167,-INDEX(U$12:U$15,MATCH($I167,$I$12:$I$15,0)))</f>
        <v>46251</v>
      </c>
      <c r="U167" s="215">
        <f>X167-Y167</f>
        <v>46264</v>
      </c>
      <c r="V167" s="215">
        <f>WORKDAY(U167,INDEX(V$12:V$15,MATCH($I167,$I$12:$I$15,0)))</f>
        <v>46266</v>
      </c>
      <c r="W167" s="218">
        <f>Y167/7</f>
        <v>26.1428571428571</v>
      </c>
      <c r="X167" s="215">
        <f>Z167</f>
        <v>46447</v>
      </c>
      <c r="Y167" s="768">
        <v>183</v>
      </c>
      <c r="Z167" s="773">
        <v>46447</v>
      </c>
      <c r="AA167" s="773">
        <v>46538</v>
      </c>
      <c r="AB167" s="777">
        <f>Z167-X168</f>
        <v>0</v>
      </c>
      <c r="AC167" s="220">
        <f>IF(ISERROR(LOOKUP(AC$16,$L167:$X167,#REF!)),0,(LOOKUP(AC$16,$L167:$X167,#REF!)))</f>
        <v>0</v>
      </c>
      <c r="AD167" s="221">
        <f>IF(ISERROR(LOOKUP(AD$16,$L167:$X167,#REF!)),0,(LOOKUP(AD$16,$L167:$X167,#REF!)))</f>
        <v>0</v>
      </c>
      <c r="AE167" s="221">
        <f>IF(ISERROR(LOOKUP(AE$16,$L167:$X167,#REF!)),0,(LOOKUP(AE$16,$L167:$X167,#REF!)))</f>
        <v>0</v>
      </c>
      <c r="AF167" s="221">
        <f>IF(ISERROR(LOOKUP(AF$16,$L167:$X167,#REF!)),0,(LOOKUP(AF$16,$L167:$X167,#REF!)))</f>
        <v>0</v>
      </c>
      <c r="AG167" s="221">
        <f>IF(ISERROR(LOOKUP(AG$16,$L167:$X167,#REF!)),0,(LOOKUP(AG$16,$L167:$X167,#REF!)))</f>
        <v>0</v>
      </c>
      <c r="AH167" s="221">
        <f>IF(ISERROR(LOOKUP(AH$16,$L167:$X167,#REF!)),0,(LOOKUP(AH$16,$L167:$X167,#REF!)))</f>
        <v>0</v>
      </c>
      <c r="AI167" s="221">
        <f>IF(ISERROR(LOOKUP(AI$16,$L167:$X167,#REF!)),0,(LOOKUP(AI$16,$L167:$X167,#REF!)))</f>
        <v>0</v>
      </c>
      <c r="AJ167" s="221">
        <f>IF(ISERROR(LOOKUP(AJ$16,$L167:$X167,#REF!)),0,(LOOKUP(AJ$16,$L167:$X167,#REF!)))</f>
        <v>0</v>
      </c>
      <c r="AK167" s="221">
        <f>IF(ISERROR(LOOKUP(AK$16,$L167:$X167,#REF!)),0,(LOOKUP(AK$16,$L167:$X167,#REF!)))</f>
        <v>0</v>
      </c>
      <c r="AL167" s="221">
        <f>IF(ISERROR(LOOKUP(AL$16,$L167:$X167,#REF!)),0,(LOOKUP(AL$16,$L167:$X167,#REF!)))</f>
        <v>0</v>
      </c>
      <c r="AM167" s="221">
        <f ca="1">IF(ISERROR(LOOKUP(AM$16,$L167:$X167,#REF!)),0,(LOOKUP(AM$16,$L167:$X167,#REF!)))</f>
        <v>0</v>
      </c>
      <c r="AP167" s="215" t="e">
        <f>WORKDAY(AQ167,-INDEX(AQ$12:AQ$15,MATCH($I167,$I$12:$I$15,0)),$AW$17:$AW$148)</f>
        <v>#REF!</v>
      </c>
      <c r="AQ167" s="215" t="e">
        <f>WORKDAY(U167,-INDEX(U$12:U$15,MATCH($I167,$I$12:$I$15,0)),$AW$17:$AW$148)</f>
        <v>#REF!</v>
      </c>
      <c r="AR167" s="215" t="e">
        <f>WORKDAY(U167,-INDEX(U$12:U$15,MATCH($I167,$I$12:$I$15,0)),$AW$17:$AW$148)</f>
        <v>#REF!</v>
      </c>
      <c r="AS167" s="778">
        <v>7</v>
      </c>
      <c r="AW167" s="223" t="e">
        <v>#REF!</v>
      </c>
    </row>
    <row r="168" spans="1:49" s="166" customFormat="1" ht="18" customHeight="1">
      <c r="A168" s="736"/>
      <c r="B168" s="739"/>
      <c r="C168" s="741" t="str">
        <f>C167</f>
        <v>RFQ-051</v>
      </c>
      <c r="D168" s="741" t="str">
        <f>D167</f>
        <v>CHECK VALVE (FLANGE END)</v>
      </c>
      <c r="E168" s="212"/>
      <c r="F168" s="741" t="str">
        <f>F167</f>
        <v>Piping</v>
      </c>
      <c r="G168" s="741" t="str">
        <f>G167</f>
        <v>N</v>
      </c>
      <c r="H168" s="747"/>
      <c r="I168" s="212" t="str">
        <f>I167</f>
        <v>LB</v>
      </c>
      <c r="J168" s="249" t="s">
        <v>65</v>
      </c>
      <c r="K168" s="215">
        <f>K167</f>
        <v>46188</v>
      </c>
      <c r="L168" s="215">
        <f>WORKDAY(IF(K169="",K168,K169),INDEX(L$12:L$15,MATCH($I167,$I$12:$I$15,0)))</f>
        <v>46189</v>
      </c>
      <c r="M168" s="215">
        <f>WORKDAY(IF(L169="",L168,L169),INDEX(M$12:M$15,MATCH($I167,$I$12:$I$15,0)))</f>
        <v>46196</v>
      </c>
      <c r="N168" s="215">
        <f>WORKDAY(IF(M169="",M168,M169),INDEX(N$12:N$15,MATCH($I167,$I$12:$I$15,0)))</f>
        <v>46197</v>
      </c>
      <c r="O168" s="215">
        <f>WORKDAY(IF(N169="",N168,N169),INDEX(O$12:O$15,MATCH($I167,$I$12:$I$15,0)))</f>
        <v>46204</v>
      </c>
      <c r="P168" s="216"/>
      <c r="Q168" s="217"/>
      <c r="R168" s="215">
        <f>WORKDAY(IF(O169="",O168,O169),INDEX(R$12:R$15,MATCH($I167,$I$12:$I$15,0)))</f>
        <v>46218</v>
      </c>
      <c r="S168" s="215">
        <f>WORKDAY(IF(R169="",R168,R169),INDEX(S$12:S$15,MATCH($I167,$I$12:$I$15,0)))</f>
        <v>46246</v>
      </c>
      <c r="T168" s="215">
        <f>WORKDAY(IF(S169="",S168,S169),INDEX(T$12:T$15,MATCH($I167,$I$12:$I$15,0)))</f>
        <v>46251</v>
      </c>
      <c r="U168" s="215">
        <f>WORKDAY(IF(T169="",T168,T169),INDEX(U$12:U$15,MATCH($I167,$I$12:$I$15,0)))-1</f>
        <v>46264</v>
      </c>
      <c r="V168" s="215">
        <f>WORKDAY(IF(U169="",U168,U169),INDEX(V$12:V$15,MATCH($I167,$I$12:$I$15,0)))</f>
        <v>46266</v>
      </c>
      <c r="W168" s="218"/>
      <c r="X168" s="215">
        <f>U168+Y167</f>
        <v>46447</v>
      </c>
      <c r="Y168" s="768"/>
      <c r="Z168" s="773"/>
      <c r="AA168" s="773"/>
      <c r="AB168" s="777"/>
      <c r="AC168" s="220">
        <f>IF(ISERROR(LOOKUP(AC$16,$L168:$X168,#REF!)),0,(LOOKUP(AC$16,$L168:$X168,#REF!)))</f>
        <v>0</v>
      </c>
      <c r="AD168" s="221">
        <f>IF(ISERROR(LOOKUP(AD$16,$L168:$X168,#REF!)),0,(LOOKUP(AD$16,$L168:$X168,#REF!)))</f>
        <v>0</v>
      </c>
      <c r="AE168" s="221">
        <f>IF(ISERROR(LOOKUP(AE$16,$L168:$X168,#REF!)),0,(LOOKUP(AE$16,$L168:$X168,#REF!)))</f>
        <v>0</v>
      </c>
      <c r="AF168" s="221">
        <f>IF(ISERROR(LOOKUP(AF$16,$L168:$X168,#REF!)),0,(LOOKUP(AF$16,$L168:$X168,#REF!)))</f>
        <v>0</v>
      </c>
      <c r="AG168" s="221">
        <f>IF(ISERROR(LOOKUP(AG$16,$L168:$X168,#REF!)),0,(LOOKUP(AG$16,$L168:$X168,#REF!)))</f>
        <v>0</v>
      </c>
      <c r="AH168" s="221">
        <f>IF(ISERROR(LOOKUP(AH$16,$L168:$X168,#REF!)),0,(LOOKUP(AH$16,$L168:$X168,#REF!)))</f>
        <v>0</v>
      </c>
      <c r="AI168" s="221">
        <f>IF(ISERROR(LOOKUP(AI$16,$L168:$X168,#REF!)),0,(LOOKUP(AI$16,$L168:$X168,#REF!)))</f>
        <v>0</v>
      </c>
      <c r="AJ168" s="221">
        <f>IF(ISERROR(LOOKUP(AJ$16,$L168:$X168,#REF!)),0,(LOOKUP(AJ$16,$L168:$X168,#REF!)))</f>
        <v>0</v>
      </c>
      <c r="AK168" s="221">
        <f>IF(ISERROR(LOOKUP(AK$16,$L168:$X168,#REF!)),0,(LOOKUP(AK$16,$L168:$X168,#REF!)))</f>
        <v>0</v>
      </c>
      <c r="AL168" s="221">
        <f>IF(ISERROR(LOOKUP(AL$16,$L168:$X168,#REF!)),0,(LOOKUP(AL$16,$L168:$X168,#REF!)))</f>
        <v>0</v>
      </c>
      <c r="AM168" s="221">
        <f ca="1">IF(ISERROR(LOOKUP(AM$16,$L168:$X168,#REF!)),0,(LOOKUP(AM$16,$L168:$X168,#REF!)))</f>
        <v>0</v>
      </c>
      <c r="AP168" s="215" t="e">
        <f>WORKDAY(IF(T169="",T168,T169),INDEX(AP$12:AP$15,MATCH($I167,$I$12:$I$15,0)),$AW$17:$AW$148)</f>
        <v>#REF!</v>
      </c>
      <c r="AQ168" s="215" t="e">
        <f>WORKDAY(IF(AP169="",AP168,AP169),INDEX(AQ$12:AQ$15,MATCH($I167,$I$12:$I$15,0)),$AW$17:$AW$148)</f>
        <v>#REF!</v>
      </c>
      <c r="AR168" s="215" t="e">
        <f>WORKDAY(IF(AQ169="",AQ168,AQ169),INDEX(AR$12:AR$15,MATCH($I167,$I$12:$I$15,0)),$AW$17:$AW$148)</f>
        <v>#REF!</v>
      </c>
      <c r="AS168" s="778"/>
      <c r="AW168" s="223" t="e">
        <v>#REF!</v>
      </c>
    </row>
    <row r="169" spans="1:49" s="166" customFormat="1" ht="18" customHeight="1">
      <c r="A169" s="736"/>
      <c r="B169" s="740"/>
      <c r="C169" s="741" t="str">
        <f>C167</f>
        <v>RFQ-051</v>
      </c>
      <c r="D169" s="741" t="str">
        <f>D167</f>
        <v>CHECK VALVE (FLANGE END)</v>
      </c>
      <c r="E169" s="212"/>
      <c r="F169" s="741" t="str">
        <f>F167</f>
        <v>Piping</v>
      </c>
      <c r="G169" s="741" t="str">
        <f>G167</f>
        <v>N</v>
      </c>
      <c r="H169" s="748"/>
      <c r="I169" s="212" t="str">
        <f>I167</f>
        <v>LB</v>
      </c>
      <c r="J169" s="249" t="s">
        <v>67</v>
      </c>
      <c r="K169" s="212"/>
      <c r="L169" s="212"/>
      <c r="M169" s="212"/>
      <c r="N169" s="212"/>
      <c r="O169" s="212"/>
      <c r="P169" s="226"/>
      <c r="Q169" s="227"/>
      <c r="R169" s="212"/>
      <c r="S169" s="212"/>
      <c r="T169" s="212"/>
      <c r="U169" s="212"/>
      <c r="V169" s="212"/>
      <c r="W169" s="228"/>
      <c r="X169" s="212"/>
      <c r="Y169" s="768"/>
      <c r="Z169" s="773"/>
      <c r="AA169" s="773"/>
      <c r="AB169" s="777"/>
      <c r="AC169" s="229">
        <f>IF(ISERROR(LOOKUP(AC$16,$L169:$X169,#REF!)),0,(LOOKUP(AC$16,$L169:$X169,#REF!)))</f>
        <v>0</v>
      </c>
      <c r="AD169" s="230">
        <f>IF(ISERROR(LOOKUP(AD$16,$L169:$X169,#REF!)),0,(LOOKUP(AD$16,$L169:$X169,#REF!)))</f>
        <v>0</v>
      </c>
      <c r="AE169" s="230">
        <f>IF(ISERROR(LOOKUP(AE$16,$L169:$X169,#REF!)),0,(LOOKUP(AE$16,$L169:$X169,#REF!)))</f>
        <v>0</v>
      </c>
      <c r="AF169" s="230">
        <f>IF(ISERROR(LOOKUP(AF$16,$L169:$X169,#REF!)),0,(LOOKUP(AF$16,$L169:$X169,#REF!)))</f>
        <v>0</v>
      </c>
      <c r="AG169" s="230">
        <f>IF(ISERROR(LOOKUP(AG$16,$L169:$X169,#REF!)),0,(LOOKUP(AG$16,$L169:$X169,#REF!)))</f>
        <v>0</v>
      </c>
      <c r="AH169" s="230">
        <f>IF(ISERROR(LOOKUP(AH$16,$L169:$X169,#REF!)),0,(LOOKUP(AH$16,$L169:$X169,#REF!)))</f>
        <v>0</v>
      </c>
      <c r="AI169" s="230">
        <f>IF(ISERROR(LOOKUP(AI$16,$L169:$X169,#REF!)),0,(LOOKUP(AI$16,$L169:$X169,#REF!)))</f>
        <v>0</v>
      </c>
      <c r="AJ169" s="230">
        <f>IF(ISERROR(LOOKUP(AJ$16,$L169:$X169,#REF!)),0,(LOOKUP(AJ$16,$L169:$X169,#REF!)))</f>
        <v>0</v>
      </c>
      <c r="AK169" s="230">
        <f>IF(ISERROR(LOOKUP(AK$16,$L169:$X169,#REF!)),0,(LOOKUP(AK$16,$L169:$X169,#REF!)))</f>
        <v>0</v>
      </c>
      <c r="AL169" s="230">
        <f>IF(ISERROR(LOOKUP(AL$16,$L169:$X169,#REF!)),0,(LOOKUP(AL$16,$L169:$X169,#REF!)))</f>
        <v>0</v>
      </c>
      <c r="AM169" s="230">
        <f ca="1">IF(ISERROR(LOOKUP(AM$16,$L169:$X169,#REF!)),0,(LOOKUP(AM$16,$L169:$X169,#REF!)))</f>
        <v>0</v>
      </c>
      <c r="AP169" s="212"/>
      <c r="AQ169" s="212"/>
      <c r="AR169" s="212"/>
      <c r="AS169" s="778"/>
      <c r="AW169" s="223" t="e">
        <v>#REF!</v>
      </c>
    </row>
    <row r="170" spans="1:49" s="166" customFormat="1" ht="18" customHeight="1">
      <c r="A170" s="736">
        <f>A167+1</f>
        <v>52</v>
      </c>
      <c r="B170" s="738"/>
      <c r="C170" s="741" t="s">
        <v>5306</v>
      </c>
      <c r="D170" s="741" t="s">
        <v>228</v>
      </c>
      <c r="E170" s="212"/>
      <c r="F170" s="741" t="s">
        <v>86</v>
      </c>
      <c r="G170" s="741" t="s">
        <v>73</v>
      </c>
      <c r="H170" s="746"/>
      <c r="I170" s="212" t="s">
        <v>7</v>
      </c>
      <c r="J170" s="249" t="s">
        <v>5236</v>
      </c>
      <c r="K170" s="215">
        <f>WORKDAY(L170,-INDEX(L$12:L$15,MATCH($I170,$I$12:$I$15,0)))</f>
        <v>46188</v>
      </c>
      <c r="L170" s="215">
        <f>WORKDAY(M170,-INDEX(M$12:M$15,MATCH($I170,$I$12:$I$15,0)))</f>
        <v>46189</v>
      </c>
      <c r="M170" s="215">
        <f>WORKDAY(N170,-INDEX(N$12:N$15,MATCH($I170,$I$12:$I$15,0)))</f>
        <v>46196</v>
      </c>
      <c r="N170" s="215">
        <f>WORKDAY(O170,-INDEX(O$12:O$15,MATCH($I170,$I$12:$I$15,0)))</f>
        <v>46197</v>
      </c>
      <c r="O170" s="215">
        <f>WORKDAY(R170,-INDEX(R$12:R$15,MATCH($I170,$I$12:$I$15,0)))</f>
        <v>46204</v>
      </c>
      <c r="P170" s="216">
        <f>U170-L170</f>
        <v>75</v>
      </c>
      <c r="Q170" s="217"/>
      <c r="R170" s="215">
        <f>WORKDAY(S170,-INDEX(S$12:S$15,MATCH($I170,$I$12:$I$15,0)))</f>
        <v>46218</v>
      </c>
      <c r="S170" s="215">
        <f>WORKDAY(T170,-INDEX(T$12:T$15,MATCH($I170,$I$12:$I$15,0)))</f>
        <v>46246</v>
      </c>
      <c r="T170" s="215">
        <f>WORKDAY(U170,-INDEX(U$12:U$15,MATCH($I170,$I$12:$I$15,0)))</f>
        <v>46251</v>
      </c>
      <c r="U170" s="215">
        <f>X170-Y170</f>
        <v>46264</v>
      </c>
      <c r="V170" s="215">
        <f>WORKDAY(U170,INDEX(V$12:V$15,MATCH($I170,$I$12:$I$15,0)))</f>
        <v>46266</v>
      </c>
      <c r="W170" s="218">
        <f>Y170/7</f>
        <v>26.1428571428571</v>
      </c>
      <c r="X170" s="215">
        <f>Z170</f>
        <v>46447</v>
      </c>
      <c r="Y170" s="768">
        <v>183</v>
      </c>
      <c r="Z170" s="773">
        <v>46447</v>
      </c>
      <c r="AA170" s="773">
        <v>46538</v>
      </c>
      <c r="AB170" s="777">
        <f>Z170-X171</f>
        <v>0</v>
      </c>
      <c r="AC170" s="220">
        <f>IF(ISERROR(LOOKUP(AC$16,$L170:$X170,#REF!)),0,(LOOKUP(AC$16,$L170:$X170,#REF!)))</f>
        <v>0</v>
      </c>
      <c r="AD170" s="221">
        <f>IF(ISERROR(LOOKUP(AD$16,$L170:$X170,#REF!)),0,(LOOKUP(AD$16,$L170:$X170,#REF!)))</f>
        <v>0</v>
      </c>
      <c r="AE170" s="221">
        <f>IF(ISERROR(LOOKUP(AE$16,$L170:$X170,#REF!)),0,(LOOKUP(AE$16,$L170:$X170,#REF!)))</f>
        <v>0</v>
      </c>
      <c r="AF170" s="221">
        <f>IF(ISERROR(LOOKUP(AF$16,$L170:$X170,#REF!)),0,(LOOKUP(AF$16,$L170:$X170,#REF!)))</f>
        <v>0</v>
      </c>
      <c r="AG170" s="221">
        <f>IF(ISERROR(LOOKUP(AG$16,$L170:$X170,#REF!)),0,(LOOKUP(AG$16,$L170:$X170,#REF!)))</f>
        <v>0</v>
      </c>
      <c r="AH170" s="221">
        <f>IF(ISERROR(LOOKUP(AH$16,$L170:$X170,#REF!)),0,(LOOKUP(AH$16,$L170:$X170,#REF!)))</f>
        <v>0</v>
      </c>
      <c r="AI170" s="221">
        <f>IF(ISERROR(LOOKUP(AI$16,$L170:$X170,#REF!)),0,(LOOKUP(AI$16,$L170:$X170,#REF!)))</f>
        <v>0</v>
      </c>
      <c r="AJ170" s="221">
        <f>IF(ISERROR(LOOKUP(AJ$16,$L170:$X170,#REF!)),0,(LOOKUP(AJ$16,$L170:$X170,#REF!)))</f>
        <v>0</v>
      </c>
      <c r="AK170" s="221">
        <f>IF(ISERROR(LOOKUP(AK$16,$L170:$X170,#REF!)),0,(LOOKUP(AK$16,$L170:$X170,#REF!)))</f>
        <v>0</v>
      </c>
      <c r="AL170" s="221">
        <f>IF(ISERROR(LOOKUP(AL$16,$L170:$X170,#REF!)),0,(LOOKUP(AL$16,$L170:$X170,#REF!)))</f>
        <v>0</v>
      </c>
      <c r="AM170" s="221">
        <f ca="1">IF(ISERROR(LOOKUP(AM$16,$L170:$X170,#REF!)),0,(LOOKUP(AM$16,$L170:$X170,#REF!)))</f>
        <v>0</v>
      </c>
      <c r="AP170" s="215" t="e">
        <f>WORKDAY(AQ170,-INDEX(AQ$12:AQ$15,MATCH($I170,$I$12:$I$15,0)),$AW$17:$AW$148)</f>
        <v>#REF!</v>
      </c>
      <c r="AQ170" s="215" t="e">
        <f>WORKDAY(U170,-INDEX(U$12:U$15,MATCH($I170,$I$12:$I$15,0)),$AW$17:$AW$148)</f>
        <v>#REF!</v>
      </c>
      <c r="AR170" s="215" t="e">
        <f>WORKDAY(U170,-INDEX(U$12:U$15,MATCH($I170,$I$12:$I$15,0)),$AW$17:$AW$148)</f>
        <v>#REF!</v>
      </c>
      <c r="AS170" s="778">
        <v>7</v>
      </c>
      <c r="AW170" s="223" t="e">
        <v>#REF!</v>
      </c>
    </row>
    <row r="171" spans="1:49" s="166" customFormat="1" ht="18" customHeight="1">
      <c r="A171" s="736"/>
      <c r="B171" s="739"/>
      <c r="C171" s="741" t="str">
        <f>C170</f>
        <v>RFQ-052</v>
      </c>
      <c r="D171" s="741" t="str">
        <f>D170</f>
        <v>CHECK VALVE (WELDED END)</v>
      </c>
      <c r="E171" s="212"/>
      <c r="F171" s="741" t="str">
        <f>F170</f>
        <v>Piping</v>
      </c>
      <c r="G171" s="741" t="str">
        <f>G170</f>
        <v>N</v>
      </c>
      <c r="H171" s="747"/>
      <c r="I171" s="212" t="str">
        <f>I170</f>
        <v>LB</v>
      </c>
      <c r="J171" s="249" t="s">
        <v>65</v>
      </c>
      <c r="K171" s="215">
        <f>K170</f>
        <v>46188</v>
      </c>
      <c r="L171" s="215">
        <f>WORKDAY(IF(K172="",K171,K172),INDEX(L$12:L$15,MATCH($I170,$I$12:$I$15,0)))</f>
        <v>46189</v>
      </c>
      <c r="M171" s="215">
        <f>WORKDAY(IF(L172="",L171,L172),INDEX(M$12:M$15,MATCH($I170,$I$12:$I$15,0)))</f>
        <v>46196</v>
      </c>
      <c r="N171" s="215">
        <f>WORKDAY(IF(M172="",M171,M172),INDEX(N$12:N$15,MATCH($I170,$I$12:$I$15,0)))</f>
        <v>46197</v>
      </c>
      <c r="O171" s="215">
        <f>WORKDAY(IF(N172="",N171,N172),INDEX(O$12:O$15,MATCH($I170,$I$12:$I$15,0)))</f>
        <v>46204</v>
      </c>
      <c r="P171" s="216"/>
      <c r="Q171" s="217"/>
      <c r="R171" s="215">
        <f>WORKDAY(IF(O172="",O171,O172),INDEX(R$12:R$15,MATCH($I170,$I$12:$I$15,0)))</f>
        <v>46218</v>
      </c>
      <c r="S171" s="215">
        <f>WORKDAY(IF(R172="",R171,R172),INDEX(S$12:S$15,MATCH($I170,$I$12:$I$15,0)))</f>
        <v>46246</v>
      </c>
      <c r="T171" s="215">
        <f>WORKDAY(IF(S172="",S171,S172),INDEX(T$12:T$15,MATCH($I170,$I$12:$I$15,0)))</f>
        <v>46251</v>
      </c>
      <c r="U171" s="215">
        <f>WORKDAY(IF(T172="",T171,T172),INDEX(U$12:U$15,MATCH($I170,$I$12:$I$15,0)))-1</f>
        <v>46264</v>
      </c>
      <c r="V171" s="215">
        <f>WORKDAY(IF(U172="",U171,U172),INDEX(V$12:V$15,MATCH($I170,$I$12:$I$15,0)))</f>
        <v>46266</v>
      </c>
      <c r="W171" s="218"/>
      <c r="X171" s="215">
        <f>U171+Y170</f>
        <v>46447</v>
      </c>
      <c r="Y171" s="768"/>
      <c r="Z171" s="773"/>
      <c r="AA171" s="773"/>
      <c r="AB171" s="777"/>
      <c r="AC171" s="220">
        <f>IF(ISERROR(LOOKUP(AC$16,$L171:$X171,#REF!)),0,(LOOKUP(AC$16,$L171:$X171,#REF!)))</f>
        <v>0</v>
      </c>
      <c r="AD171" s="221">
        <f>IF(ISERROR(LOOKUP(AD$16,$L171:$X171,#REF!)),0,(LOOKUP(AD$16,$L171:$X171,#REF!)))</f>
        <v>0</v>
      </c>
      <c r="AE171" s="221">
        <f>IF(ISERROR(LOOKUP(AE$16,$L171:$X171,#REF!)),0,(LOOKUP(AE$16,$L171:$X171,#REF!)))</f>
        <v>0</v>
      </c>
      <c r="AF171" s="221">
        <f>IF(ISERROR(LOOKUP(AF$16,$L171:$X171,#REF!)),0,(LOOKUP(AF$16,$L171:$X171,#REF!)))</f>
        <v>0</v>
      </c>
      <c r="AG171" s="221">
        <f>IF(ISERROR(LOOKUP(AG$16,$L171:$X171,#REF!)),0,(LOOKUP(AG$16,$L171:$X171,#REF!)))</f>
        <v>0</v>
      </c>
      <c r="AH171" s="221">
        <f>IF(ISERROR(LOOKUP(AH$16,$L171:$X171,#REF!)),0,(LOOKUP(AH$16,$L171:$X171,#REF!)))</f>
        <v>0</v>
      </c>
      <c r="AI171" s="221">
        <f>IF(ISERROR(LOOKUP(AI$16,$L171:$X171,#REF!)),0,(LOOKUP(AI$16,$L171:$X171,#REF!)))</f>
        <v>0</v>
      </c>
      <c r="AJ171" s="221">
        <f>IF(ISERROR(LOOKUP(AJ$16,$L171:$X171,#REF!)),0,(LOOKUP(AJ$16,$L171:$X171,#REF!)))</f>
        <v>0</v>
      </c>
      <c r="AK171" s="221">
        <f>IF(ISERROR(LOOKUP(AK$16,$L171:$X171,#REF!)),0,(LOOKUP(AK$16,$L171:$X171,#REF!)))</f>
        <v>0</v>
      </c>
      <c r="AL171" s="221">
        <f>IF(ISERROR(LOOKUP(AL$16,$L171:$X171,#REF!)),0,(LOOKUP(AL$16,$L171:$X171,#REF!)))</f>
        <v>0</v>
      </c>
      <c r="AM171" s="221">
        <f ca="1">IF(ISERROR(LOOKUP(AM$16,$L171:$X171,#REF!)),0,(LOOKUP(AM$16,$L171:$X171,#REF!)))</f>
        <v>0</v>
      </c>
      <c r="AP171" s="215" t="e">
        <f>WORKDAY(IF(T172="",T171,T172),INDEX(AP$12:AP$15,MATCH($I170,$I$12:$I$15,0)),$AW$17:$AW$148)</f>
        <v>#REF!</v>
      </c>
      <c r="AQ171" s="215" t="e">
        <f>WORKDAY(IF(AP172="",AP171,AP172),INDEX(AQ$12:AQ$15,MATCH($I170,$I$12:$I$15,0)),$AW$17:$AW$148)</f>
        <v>#REF!</v>
      </c>
      <c r="AR171" s="215" t="e">
        <f>WORKDAY(IF(AQ172="",AQ171,AQ172),INDEX(AR$12:AR$15,MATCH($I170,$I$12:$I$15,0)),$AW$17:$AW$148)</f>
        <v>#REF!</v>
      </c>
      <c r="AS171" s="778"/>
      <c r="AW171" s="223" t="e">
        <v>#REF!</v>
      </c>
    </row>
    <row r="172" spans="1:49" s="166" customFormat="1" ht="18" customHeight="1">
      <c r="A172" s="736"/>
      <c r="B172" s="740"/>
      <c r="C172" s="741" t="str">
        <f>C170</f>
        <v>RFQ-052</v>
      </c>
      <c r="D172" s="741" t="str">
        <f>D170</f>
        <v>CHECK VALVE (WELDED END)</v>
      </c>
      <c r="E172" s="212"/>
      <c r="F172" s="741" t="str">
        <f>F170</f>
        <v>Piping</v>
      </c>
      <c r="G172" s="741" t="str">
        <f>G170</f>
        <v>N</v>
      </c>
      <c r="H172" s="748"/>
      <c r="I172" s="212" t="str">
        <f>I170</f>
        <v>LB</v>
      </c>
      <c r="J172" s="249" t="s">
        <v>67</v>
      </c>
      <c r="K172" s="212"/>
      <c r="L172" s="212"/>
      <c r="M172" s="212"/>
      <c r="N172" s="212"/>
      <c r="O172" s="212"/>
      <c r="P172" s="226"/>
      <c r="Q172" s="227"/>
      <c r="R172" s="212"/>
      <c r="S172" s="212"/>
      <c r="T172" s="212"/>
      <c r="U172" s="212"/>
      <c r="V172" s="212"/>
      <c r="W172" s="228"/>
      <c r="X172" s="212"/>
      <c r="Y172" s="768"/>
      <c r="Z172" s="773"/>
      <c r="AA172" s="773"/>
      <c r="AB172" s="777"/>
      <c r="AC172" s="229">
        <f>IF(ISERROR(LOOKUP(AC$16,$L172:$X172,#REF!)),0,(LOOKUP(AC$16,$L172:$X172,#REF!)))</f>
        <v>0</v>
      </c>
      <c r="AD172" s="230">
        <f>IF(ISERROR(LOOKUP(AD$16,$L172:$X172,#REF!)),0,(LOOKUP(AD$16,$L172:$X172,#REF!)))</f>
        <v>0</v>
      </c>
      <c r="AE172" s="230">
        <f>IF(ISERROR(LOOKUP(AE$16,$L172:$X172,#REF!)),0,(LOOKUP(AE$16,$L172:$X172,#REF!)))</f>
        <v>0</v>
      </c>
      <c r="AF172" s="230">
        <f>IF(ISERROR(LOOKUP(AF$16,$L172:$X172,#REF!)),0,(LOOKUP(AF$16,$L172:$X172,#REF!)))</f>
        <v>0</v>
      </c>
      <c r="AG172" s="230">
        <f>IF(ISERROR(LOOKUP(AG$16,$L172:$X172,#REF!)),0,(LOOKUP(AG$16,$L172:$X172,#REF!)))</f>
        <v>0</v>
      </c>
      <c r="AH172" s="230">
        <f>IF(ISERROR(LOOKUP(AH$16,$L172:$X172,#REF!)),0,(LOOKUP(AH$16,$L172:$X172,#REF!)))</f>
        <v>0</v>
      </c>
      <c r="AI172" s="230">
        <f>IF(ISERROR(LOOKUP(AI$16,$L172:$X172,#REF!)),0,(LOOKUP(AI$16,$L172:$X172,#REF!)))</f>
        <v>0</v>
      </c>
      <c r="AJ172" s="230">
        <f>IF(ISERROR(LOOKUP(AJ$16,$L172:$X172,#REF!)),0,(LOOKUP(AJ$16,$L172:$X172,#REF!)))</f>
        <v>0</v>
      </c>
      <c r="AK172" s="230">
        <f>IF(ISERROR(LOOKUP(AK$16,$L172:$X172,#REF!)),0,(LOOKUP(AK$16,$L172:$X172,#REF!)))</f>
        <v>0</v>
      </c>
      <c r="AL172" s="230">
        <f>IF(ISERROR(LOOKUP(AL$16,$L172:$X172,#REF!)),0,(LOOKUP(AL$16,$L172:$X172,#REF!)))</f>
        <v>0</v>
      </c>
      <c r="AM172" s="230">
        <f ca="1">IF(ISERROR(LOOKUP(AM$16,$L172:$X172,#REF!)),0,(LOOKUP(AM$16,$L172:$X172,#REF!)))</f>
        <v>0</v>
      </c>
      <c r="AP172" s="212"/>
      <c r="AQ172" s="212"/>
      <c r="AR172" s="212"/>
      <c r="AS172" s="778"/>
      <c r="AW172" s="223" t="e">
        <v>#REF!</v>
      </c>
    </row>
    <row r="173" spans="1:49" s="166" customFormat="1" ht="18" customHeight="1">
      <c r="A173" s="736">
        <f>A170+1</f>
        <v>53</v>
      </c>
      <c r="B173" s="738"/>
      <c r="C173" s="741" t="s">
        <v>5307</v>
      </c>
      <c r="D173" s="741" t="s">
        <v>230</v>
      </c>
      <c r="E173" s="212"/>
      <c r="F173" s="741" t="s">
        <v>86</v>
      </c>
      <c r="G173" s="741" t="s">
        <v>73</v>
      </c>
      <c r="H173" s="746"/>
      <c r="I173" s="212" t="s">
        <v>7</v>
      </c>
      <c r="J173" s="249" t="s">
        <v>5236</v>
      </c>
      <c r="K173" s="215">
        <f>WORKDAY(L173,-INDEX(L$12:L$15,MATCH($I173,$I$12:$I$15,0)))</f>
        <v>46160</v>
      </c>
      <c r="L173" s="215">
        <f>WORKDAY(M173,-INDEX(M$12:M$15,MATCH($I173,$I$12:$I$15,0)))</f>
        <v>46161</v>
      </c>
      <c r="M173" s="215">
        <f>WORKDAY(N173,-INDEX(N$12:N$15,MATCH($I173,$I$12:$I$15,0)))</f>
        <v>46168</v>
      </c>
      <c r="N173" s="215">
        <f>WORKDAY(O173,-INDEX(O$12:O$15,MATCH($I173,$I$12:$I$15,0)))</f>
        <v>46169</v>
      </c>
      <c r="O173" s="215">
        <f>WORKDAY(R173,-INDEX(R$12:R$15,MATCH($I173,$I$12:$I$15,0)))</f>
        <v>46176</v>
      </c>
      <c r="P173" s="216">
        <f>U173-L173</f>
        <v>76</v>
      </c>
      <c r="Q173" s="217"/>
      <c r="R173" s="215">
        <f>WORKDAY(S173,-INDEX(S$12:S$15,MATCH($I173,$I$12:$I$15,0)))</f>
        <v>46190</v>
      </c>
      <c r="S173" s="215">
        <f>WORKDAY(T173,-INDEX(T$12:T$15,MATCH($I173,$I$12:$I$15,0)))</f>
        <v>46218</v>
      </c>
      <c r="T173" s="215">
        <f>WORKDAY(U173,-INDEX(U$12:U$15,MATCH($I173,$I$12:$I$15,0)))</f>
        <v>46223</v>
      </c>
      <c r="U173" s="215">
        <f>X173-Y173</f>
        <v>46237</v>
      </c>
      <c r="V173" s="215">
        <f>WORKDAY(U173,INDEX(V$12:V$15,MATCH($I173,$I$12:$I$15,0)))</f>
        <v>46239</v>
      </c>
      <c r="W173" s="218">
        <f>Y173/7</f>
        <v>30</v>
      </c>
      <c r="X173" s="215">
        <f>Z173</f>
        <v>46447</v>
      </c>
      <c r="Y173" s="768">
        <v>210</v>
      </c>
      <c r="Z173" s="773">
        <v>46447</v>
      </c>
      <c r="AA173" s="773">
        <v>46538</v>
      </c>
      <c r="AB173" s="777">
        <f>Z173-X174</f>
        <v>0</v>
      </c>
      <c r="AC173" s="220">
        <f>IF(ISERROR(LOOKUP(AC$16,$L173:$X173,#REF!)),0,(LOOKUP(AC$16,$L173:$X173,#REF!)))</f>
        <v>0</v>
      </c>
      <c r="AD173" s="221">
        <f>IF(ISERROR(LOOKUP(AD$16,$L173:$X173,#REF!)),0,(LOOKUP(AD$16,$L173:$X173,#REF!)))</f>
        <v>0</v>
      </c>
      <c r="AE173" s="221">
        <f>IF(ISERROR(LOOKUP(AE$16,$L173:$X173,#REF!)),0,(LOOKUP(AE$16,$L173:$X173,#REF!)))</f>
        <v>0</v>
      </c>
      <c r="AF173" s="221">
        <f>IF(ISERROR(LOOKUP(AF$16,$L173:$X173,#REF!)),0,(LOOKUP(AF$16,$L173:$X173,#REF!)))</f>
        <v>0</v>
      </c>
      <c r="AG173" s="221">
        <f>IF(ISERROR(LOOKUP(AG$16,$L173:$X173,#REF!)),0,(LOOKUP(AG$16,$L173:$X173,#REF!)))</f>
        <v>0</v>
      </c>
      <c r="AH173" s="221">
        <f>IF(ISERROR(LOOKUP(AH$16,$L173:$X173,#REF!)),0,(LOOKUP(AH$16,$L173:$X173,#REF!)))</f>
        <v>0</v>
      </c>
      <c r="AI173" s="221">
        <f>IF(ISERROR(LOOKUP(AI$16,$L173:$X173,#REF!)),0,(LOOKUP(AI$16,$L173:$X173,#REF!)))</f>
        <v>0</v>
      </c>
      <c r="AJ173" s="221">
        <f>IF(ISERROR(LOOKUP(AJ$16,$L173:$X173,#REF!)),0,(LOOKUP(AJ$16,$L173:$X173,#REF!)))</f>
        <v>0</v>
      </c>
      <c r="AK173" s="221">
        <f>IF(ISERROR(LOOKUP(AK$16,$L173:$X173,#REF!)),0,(LOOKUP(AK$16,$L173:$X173,#REF!)))</f>
        <v>0</v>
      </c>
      <c r="AL173" s="221">
        <f>IF(ISERROR(LOOKUP(AL$16,$L173:$X173,#REF!)),0,(LOOKUP(AL$16,$L173:$X173,#REF!)))</f>
        <v>0</v>
      </c>
      <c r="AM173" s="221">
        <f ca="1">IF(ISERROR(LOOKUP(AM$16,$L173:$X173,#REF!)),0,(LOOKUP(AM$16,$L173:$X173,#REF!)))</f>
        <v>0</v>
      </c>
      <c r="AP173" s="215" t="e">
        <f>WORKDAY(AQ173,-INDEX(AQ$12:AQ$15,MATCH($I173,$I$12:$I$15,0)),$AW$17:$AW$148)</f>
        <v>#REF!</v>
      </c>
      <c r="AQ173" s="215" t="e">
        <f>WORKDAY(U173,-INDEX(U$12:U$15,MATCH($I173,$I$12:$I$15,0)),$AW$17:$AW$148)</f>
        <v>#REF!</v>
      </c>
      <c r="AR173" s="215" t="e">
        <f>WORKDAY(U173,-INDEX(U$12:U$15,MATCH($I173,$I$12:$I$15,0)),$AW$17:$AW$148)</f>
        <v>#REF!</v>
      </c>
      <c r="AS173" s="778">
        <v>7</v>
      </c>
      <c r="AW173" s="223" t="e">
        <v>#REF!</v>
      </c>
    </row>
    <row r="174" spans="1:49" s="166" customFormat="1" ht="18" customHeight="1">
      <c r="A174" s="736"/>
      <c r="B174" s="739"/>
      <c r="C174" s="741" t="str">
        <f>C173</f>
        <v>RFQ-053</v>
      </c>
      <c r="D174" s="741" t="str">
        <f>D173</f>
        <v>COMPACT CHECK VALVE (WELDED END)</v>
      </c>
      <c r="E174" s="212"/>
      <c r="F174" s="741" t="str">
        <f>F173</f>
        <v>Piping</v>
      </c>
      <c r="G174" s="741" t="str">
        <f>G173</f>
        <v>N</v>
      </c>
      <c r="H174" s="747"/>
      <c r="I174" s="212" t="str">
        <f>I173</f>
        <v>LB</v>
      </c>
      <c r="J174" s="249" t="s">
        <v>65</v>
      </c>
      <c r="K174" s="215">
        <f>K173</f>
        <v>46160</v>
      </c>
      <c r="L174" s="215">
        <f>WORKDAY(IF(K175="",K174,K175),INDEX(L$12:L$15,MATCH($I173,$I$12:$I$15,0)))</f>
        <v>46161</v>
      </c>
      <c r="M174" s="215">
        <f>WORKDAY(IF(L175="",L174,L175),INDEX(M$12:M$15,MATCH($I173,$I$12:$I$15,0)))</f>
        <v>46168</v>
      </c>
      <c r="N174" s="215">
        <f>WORKDAY(IF(M175="",M174,M175),INDEX(N$12:N$15,MATCH($I173,$I$12:$I$15,0)))</f>
        <v>46169</v>
      </c>
      <c r="O174" s="215">
        <f>WORKDAY(IF(N175="",N174,N175),INDEX(O$12:O$15,MATCH($I173,$I$12:$I$15,0)))</f>
        <v>46176</v>
      </c>
      <c r="P174" s="216"/>
      <c r="Q174" s="217"/>
      <c r="R174" s="215">
        <f>WORKDAY(IF(O175="",O174,O175),INDEX(R$12:R$15,MATCH($I173,$I$12:$I$15,0)))</f>
        <v>46190</v>
      </c>
      <c r="S174" s="215">
        <f>WORKDAY(IF(R175="",R174,R175),INDEX(S$12:S$15,MATCH($I173,$I$12:$I$15,0)))</f>
        <v>46218</v>
      </c>
      <c r="T174" s="215">
        <f>WORKDAY(IF(S175="",S174,S175),INDEX(T$12:T$15,MATCH($I173,$I$12:$I$15,0)))</f>
        <v>46223</v>
      </c>
      <c r="U174" s="215">
        <f>WORKDAY(IF(T175="",T174,T175),INDEX(U$12:U$15,MATCH($I173,$I$12:$I$15,0)))</f>
        <v>46237</v>
      </c>
      <c r="V174" s="215">
        <f>WORKDAY(IF(U175="",U174,U175),INDEX(V$12:V$15,MATCH($I173,$I$12:$I$15,0)))</f>
        <v>46239</v>
      </c>
      <c r="W174" s="218"/>
      <c r="X174" s="215">
        <f>U174+Y173</f>
        <v>46447</v>
      </c>
      <c r="Y174" s="768"/>
      <c r="Z174" s="773"/>
      <c r="AA174" s="773"/>
      <c r="AB174" s="777"/>
      <c r="AC174" s="220">
        <f>IF(ISERROR(LOOKUP(AC$16,$L174:$X174,#REF!)),0,(LOOKUP(AC$16,$L174:$X174,#REF!)))</f>
        <v>0</v>
      </c>
      <c r="AD174" s="221">
        <f>IF(ISERROR(LOOKUP(AD$16,$L174:$X174,#REF!)),0,(LOOKUP(AD$16,$L174:$X174,#REF!)))</f>
        <v>0</v>
      </c>
      <c r="AE174" s="221">
        <f>IF(ISERROR(LOOKUP(AE$16,$L174:$X174,#REF!)),0,(LOOKUP(AE$16,$L174:$X174,#REF!)))</f>
        <v>0</v>
      </c>
      <c r="AF174" s="221">
        <f>IF(ISERROR(LOOKUP(AF$16,$L174:$X174,#REF!)),0,(LOOKUP(AF$16,$L174:$X174,#REF!)))</f>
        <v>0</v>
      </c>
      <c r="AG174" s="221">
        <f>IF(ISERROR(LOOKUP(AG$16,$L174:$X174,#REF!)),0,(LOOKUP(AG$16,$L174:$X174,#REF!)))</f>
        <v>0</v>
      </c>
      <c r="AH174" s="221">
        <f>IF(ISERROR(LOOKUP(AH$16,$L174:$X174,#REF!)),0,(LOOKUP(AH$16,$L174:$X174,#REF!)))</f>
        <v>0</v>
      </c>
      <c r="AI174" s="221">
        <f>IF(ISERROR(LOOKUP(AI$16,$L174:$X174,#REF!)),0,(LOOKUP(AI$16,$L174:$X174,#REF!)))</f>
        <v>0</v>
      </c>
      <c r="AJ174" s="221">
        <f>IF(ISERROR(LOOKUP(AJ$16,$L174:$X174,#REF!)),0,(LOOKUP(AJ$16,$L174:$X174,#REF!)))</f>
        <v>0</v>
      </c>
      <c r="AK174" s="221">
        <f>IF(ISERROR(LOOKUP(AK$16,$L174:$X174,#REF!)),0,(LOOKUP(AK$16,$L174:$X174,#REF!)))</f>
        <v>0</v>
      </c>
      <c r="AL174" s="221">
        <f>IF(ISERROR(LOOKUP(AL$16,$L174:$X174,#REF!)),0,(LOOKUP(AL$16,$L174:$X174,#REF!)))</f>
        <v>0</v>
      </c>
      <c r="AM174" s="221">
        <f ca="1">IF(ISERROR(LOOKUP(AM$16,$L174:$X174,#REF!)),0,(LOOKUP(AM$16,$L174:$X174,#REF!)))</f>
        <v>0</v>
      </c>
      <c r="AP174" s="215" t="e">
        <f>WORKDAY(IF(T175="",T174,T175),INDEX(AP$12:AP$15,MATCH($I173,$I$12:$I$15,0)),$AW$17:$AW$148)</f>
        <v>#REF!</v>
      </c>
      <c r="AQ174" s="215" t="e">
        <f>WORKDAY(IF(AP175="",AP174,AP175),INDEX(AQ$12:AQ$15,MATCH($I173,$I$12:$I$15,0)),$AW$17:$AW$148)</f>
        <v>#REF!</v>
      </c>
      <c r="AR174" s="215" t="e">
        <f>WORKDAY(IF(AQ175="",AQ174,AQ175),INDEX(AR$12:AR$15,MATCH($I173,$I$12:$I$15,0)),$AW$17:$AW$148)</f>
        <v>#REF!</v>
      </c>
      <c r="AS174" s="778"/>
      <c r="AW174" s="223" t="e">
        <v>#REF!</v>
      </c>
    </row>
    <row r="175" spans="1:49" s="166" customFormat="1" ht="18" customHeight="1">
      <c r="A175" s="736"/>
      <c r="B175" s="740"/>
      <c r="C175" s="741" t="str">
        <f>C173</f>
        <v>RFQ-053</v>
      </c>
      <c r="D175" s="741" t="str">
        <f>D173</f>
        <v>COMPACT CHECK VALVE (WELDED END)</v>
      </c>
      <c r="E175" s="212"/>
      <c r="F175" s="741" t="str">
        <f>F173</f>
        <v>Piping</v>
      </c>
      <c r="G175" s="741" t="str">
        <f>G173</f>
        <v>N</v>
      </c>
      <c r="H175" s="748"/>
      <c r="I175" s="212" t="str">
        <f>I173</f>
        <v>LB</v>
      </c>
      <c r="J175" s="249" t="s">
        <v>67</v>
      </c>
      <c r="K175" s="212"/>
      <c r="L175" s="212"/>
      <c r="M175" s="212"/>
      <c r="N175" s="212"/>
      <c r="O175" s="212"/>
      <c r="P175" s="226"/>
      <c r="Q175" s="227"/>
      <c r="R175" s="212"/>
      <c r="S175" s="212"/>
      <c r="T175" s="212"/>
      <c r="U175" s="212"/>
      <c r="V175" s="212"/>
      <c r="W175" s="228"/>
      <c r="X175" s="212"/>
      <c r="Y175" s="768"/>
      <c r="Z175" s="773"/>
      <c r="AA175" s="773"/>
      <c r="AB175" s="777"/>
      <c r="AC175" s="229">
        <f>IF(ISERROR(LOOKUP(AC$16,$L175:$X175,#REF!)),0,(LOOKUP(AC$16,$L175:$X175,#REF!)))</f>
        <v>0</v>
      </c>
      <c r="AD175" s="230">
        <f>IF(ISERROR(LOOKUP(AD$16,$L175:$X175,#REF!)),0,(LOOKUP(AD$16,$L175:$X175,#REF!)))</f>
        <v>0</v>
      </c>
      <c r="AE175" s="230">
        <f>IF(ISERROR(LOOKUP(AE$16,$L175:$X175,#REF!)),0,(LOOKUP(AE$16,$L175:$X175,#REF!)))</f>
        <v>0</v>
      </c>
      <c r="AF175" s="230">
        <f>IF(ISERROR(LOOKUP(AF$16,$L175:$X175,#REF!)),0,(LOOKUP(AF$16,$L175:$X175,#REF!)))</f>
        <v>0</v>
      </c>
      <c r="AG175" s="230">
        <f>IF(ISERROR(LOOKUP(AG$16,$L175:$X175,#REF!)),0,(LOOKUP(AG$16,$L175:$X175,#REF!)))</f>
        <v>0</v>
      </c>
      <c r="AH175" s="230">
        <f>IF(ISERROR(LOOKUP(AH$16,$L175:$X175,#REF!)),0,(LOOKUP(AH$16,$L175:$X175,#REF!)))</f>
        <v>0</v>
      </c>
      <c r="AI175" s="230">
        <f>IF(ISERROR(LOOKUP(AI$16,$L175:$X175,#REF!)),0,(LOOKUP(AI$16,$L175:$X175,#REF!)))</f>
        <v>0</v>
      </c>
      <c r="AJ175" s="230">
        <f>IF(ISERROR(LOOKUP(AJ$16,$L175:$X175,#REF!)),0,(LOOKUP(AJ$16,$L175:$X175,#REF!)))</f>
        <v>0</v>
      </c>
      <c r="AK175" s="230">
        <f>IF(ISERROR(LOOKUP(AK$16,$L175:$X175,#REF!)),0,(LOOKUP(AK$16,$L175:$X175,#REF!)))</f>
        <v>0</v>
      </c>
      <c r="AL175" s="230">
        <f>IF(ISERROR(LOOKUP(AL$16,$L175:$X175,#REF!)),0,(LOOKUP(AL$16,$L175:$X175,#REF!)))</f>
        <v>0</v>
      </c>
      <c r="AM175" s="230">
        <f ca="1">IF(ISERROR(LOOKUP(AM$16,$L175:$X175,#REF!)),0,(LOOKUP(AM$16,$L175:$X175,#REF!)))</f>
        <v>0</v>
      </c>
      <c r="AP175" s="248"/>
      <c r="AQ175" s="248"/>
      <c r="AR175" s="248"/>
      <c r="AS175" s="778"/>
      <c r="AW175" s="223"/>
    </row>
    <row r="176" spans="1:49" s="168" customFormat="1" ht="18.600000000000001" customHeight="1">
      <c r="A176" s="736"/>
      <c r="B176" s="738"/>
      <c r="C176" s="741"/>
      <c r="D176" s="749" t="s">
        <v>233</v>
      </c>
      <c r="E176" s="256"/>
      <c r="F176" s="762" t="s">
        <v>235</v>
      </c>
      <c r="G176" s="741" t="str">
        <f>IF(_xlfn.XLOOKUP(C176,'[38]Before Award'!D:D,'[38]Before Award'!AV:AV,"N/A")="N/A","N","Y")</f>
        <v>Y</v>
      </c>
      <c r="H176" s="746"/>
      <c r="I176" s="212" t="s">
        <v>6</v>
      </c>
      <c r="J176" s="249" t="s">
        <v>5236</v>
      </c>
      <c r="K176" s="215">
        <f>WORKDAY(L176,-INDEX(L$12:L$15,MATCH($I176,$I$12:$I$15,0)))</f>
        <v>46099</v>
      </c>
      <c r="L176" s="215">
        <f>WORKDAY(M176,-1)</f>
        <v>46100</v>
      </c>
      <c r="M176" s="215">
        <f>WORKDAY(N176,-INDEX(N$12:N$15,MATCH($I176,$I$12:$I$15,0)))</f>
        <v>46101</v>
      </c>
      <c r="N176" s="215">
        <f>WORKDAY(O176,-1)</f>
        <v>46104</v>
      </c>
      <c r="O176" s="215">
        <f>WORKDAY(R176,-5)</f>
        <v>46105</v>
      </c>
      <c r="P176" s="216">
        <f>U176-L176</f>
        <v>24</v>
      </c>
      <c r="Q176" s="217"/>
      <c r="R176" s="215">
        <f>WORKDAY(S176,-1)</f>
        <v>46112</v>
      </c>
      <c r="S176" s="215">
        <f>WORKDAY(T176,-1)</f>
        <v>46113</v>
      </c>
      <c r="T176" s="215">
        <f>WORKDAY(U176,-7)</f>
        <v>46114</v>
      </c>
      <c r="U176" s="215">
        <f>X176-Y176</f>
        <v>46124</v>
      </c>
      <c r="V176" s="215">
        <f>WORKDAY(U176,INDEX(V$12:V$15,MATCH($I176,$I$12:$I$15,0)))</f>
        <v>46126</v>
      </c>
      <c r="W176" s="218">
        <f>Y176/7</f>
        <v>17.1428571428571</v>
      </c>
      <c r="X176" s="215">
        <f>Z176</f>
        <v>46244</v>
      </c>
      <c r="Y176" s="768">
        <v>120</v>
      </c>
      <c r="Z176" s="773">
        <v>46244</v>
      </c>
      <c r="AA176" s="773">
        <v>46244</v>
      </c>
      <c r="AB176" s="777">
        <f>Z176-X177</f>
        <v>0</v>
      </c>
      <c r="AC176" s="242">
        <f>IF(ISERROR(LOOKUP(AC$16,$L176:$X176,#REF!)),0,(LOOKUP(AC$16,$L176:$X176,#REF!)))</f>
        <v>0</v>
      </c>
      <c r="AD176" s="243">
        <f>IF(ISERROR(LOOKUP(AD$16,$L176:$X176,#REF!)),0,(LOOKUP(AD$16,$L176:$X176,#REF!)))</f>
        <v>0</v>
      </c>
      <c r="AE176" s="243">
        <f>IF(ISERROR(LOOKUP(AE$16,$L176:$X176,#REF!)),0,(LOOKUP(AE$16,$L176:$X176,#REF!)))</f>
        <v>0</v>
      </c>
      <c r="AF176" s="243">
        <f>IF(ISERROR(LOOKUP(AF$16,$L176:$X176,#REF!)),0,(LOOKUP(AF$16,$L176:$X176,#REF!)))</f>
        <v>0</v>
      </c>
      <c r="AG176" s="243">
        <f>IF(ISERROR(LOOKUP(AG$16,$L176:$X176,#REF!)),0,(LOOKUP(AG$16,$L176:$X176,#REF!)))</f>
        <v>0</v>
      </c>
      <c r="AH176" s="243">
        <f>IF(ISERROR(LOOKUP(AH$16,$L176:$X176,#REF!)),0,(LOOKUP(AH$16,$L176:$X176,#REF!)))</f>
        <v>0</v>
      </c>
      <c r="AI176" s="243">
        <f>IF(ISERROR(LOOKUP(AI$16,$L176:$X176,#REF!)),0,(LOOKUP(AI$16,$L176:$X176,#REF!)))</f>
        <v>0</v>
      </c>
      <c r="AJ176" s="243">
        <f>IF(ISERROR(LOOKUP(AJ$16,$L176:$X176,#REF!)),0,(LOOKUP(AJ$16,$L176:$X176,#REF!)))</f>
        <v>0</v>
      </c>
      <c r="AK176" s="243">
        <f>IF(ISERROR(LOOKUP(AK$16,$L176:$X176,#REF!)),0,(LOOKUP(AK$16,$L176:$X176,#REF!)))</f>
        <v>0</v>
      </c>
      <c r="AL176" s="243">
        <f>IF(ISERROR(LOOKUP(AL$16,$L176:$X176,#REF!)),0,(LOOKUP(AL$16,$L176:$X176,#REF!)))</f>
        <v>0</v>
      </c>
      <c r="AM176" s="243">
        <f ca="1">IF(ISERROR(LOOKUP(AM$16,$L176:$X176,#REF!)),0,(LOOKUP(AM$16,$L176:$X176,#REF!)))</f>
        <v>0</v>
      </c>
      <c r="AP176" s="215" t="e">
        <f>WORKDAY(AQ176,-INDEX(AQ$12:AQ$15,MATCH($I176,$I$12:$I$15,0)),$AW$17:$AW$148)</f>
        <v>#REF!</v>
      </c>
      <c r="AQ176" s="215" t="e">
        <f>WORKDAY(U176,-INDEX(U$12:U$15,MATCH($I176,$I$12:$I$15,0)),$AW$17:$AW$148)</f>
        <v>#REF!</v>
      </c>
      <c r="AR176" s="215" t="e">
        <f>WORKDAY(U176,-INDEX(U$12:U$15,MATCH($I176,$I$12:$I$15,0)),$AW$17:$AW$148)</f>
        <v>#REF!</v>
      </c>
      <c r="AS176" s="778">
        <v>7</v>
      </c>
      <c r="AW176" s="244"/>
    </row>
    <row r="177" spans="1:49" s="168" customFormat="1" ht="18.600000000000001" customHeight="1">
      <c r="A177" s="736"/>
      <c r="B177" s="739"/>
      <c r="C177" s="741"/>
      <c r="D177" s="749" t="s">
        <v>5308</v>
      </c>
      <c r="E177" s="257"/>
      <c r="F177" s="763"/>
      <c r="G177" s="741" t="str">
        <f>G176</f>
        <v>Y</v>
      </c>
      <c r="H177" s="747"/>
      <c r="I177" s="212" t="str">
        <f>I176</f>
        <v>LA</v>
      </c>
      <c r="J177" s="249" t="s">
        <v>65</v>
      </c>
      <c r="K177" s="215">
        <f>K176</f>
        <v>46099</v>
      </c>
      <c r="L177" s="215">
        <f>WORKDAY(IF(K178="",K177,K178),INDEX(L$12:L$15,MATCH($I176,$I$12:$I$15,0)))</f>
        <v>46100</v>
      </c>
      <c r="M177" s="215">
        <f>WORKDAY(IF(L178="",L177,L178),1)</f>
        <v>46101</v>
      </c>
      <c r="N177" s="215">
        <f>WORKDAY(IF(M178="",M177,M178),INDEX(N$12:N$15,MATCH($I176,$I$12:$I$15,0)))</f>
        <v>46104</v>
      </c>
      <c r="O177" s="215">
        <f>WORKDAY(IF(N178="",N177,N178),1)</f>
        <v>46105</v>
      </c>
      <c r="P177" s="216"/>
      <c r="Q177" s="217"/>
      <c r="R177" s="215">
        <f>WORKDAY(IF(O178="",O177,O178),5)</f>
        <v>46112</v>
      </c>
      <c r="S177" s="215">
        <f>WORKDAY(IF(R178="",R177,R178),1)</f>
        <v>46113</v>
      </c>
      <c r="T177" s="215">
        <f>WORKDAY(IF(S178="",S177,S178),1)</f>
        <v>46114</v>
      </c>
      <c r="U177" s="215">
        <f>WORKDAY(IF(T178="",T177,T178),7)-1</f>
        <v>46124</v>
      </c>
      <c r="V177" s="215">
        <f>WORKDAY(IF(U178="",U177,U178),1)</f>
        <v>46125</v>
      </c>
      <c r="W177" s="218"/>
      <c r="X177" s="215">
        <f>U177+Y176</f>
        <v>46244</v>
      </c>
      <c r="Y177" s="768"/>
      <c r="Z177" s="773"/>
      <c r="AA177" s="773"/>
      <c r="AB177" s="777"/>
      <c r="AC177" s="242">
        <f>IF(ISERROR(LOOKUP(AC$16,$L177:$X177,#REF!)),0,(LOOKUP(AC$16,$L177:$X177,#REF!)))</f>
        <v>0</v>
      </c>
      <c r="AD177" s="243">
        <f>IF(ISERROR(LOOKUP(AD$16,$L177:$X177,#REF!)),0,(LOOKUP(AD$16,$L177:$X177,#REF!)))</f>
        <v>0</v>
      </c>
      <c r="AE177" s="243">
        <f>IF(ISERROR(LOOKUP(AE$16,$L177:$X177,#REF!)),0,(LOOKUP(AE$16,$L177:$X177,#REF!)))</f>
        <v>0</v>
      </c>
      <c r="AF177" s="243">
        <f>IF(ISERROR(LOOKUP(AF$16,$L177:$X177,#REF!)),0,(LOOKUP(AF$16,$L177:$X177,#REF!)))</f>
        <v>0</v>
      </c>
      <c r="AG177" s="243">
        <f>IF(ISERROR(LOOKUP(AG$16,$L177:$X177,#REF!)),0,(LOOKUP(AG$16,$L177:$X177,#REF!)))</f>
        <v>0</v>
      </c>
      <c r="AH177" s="243">
        <f>IF(ISERROR(LOOKUP(AH$16,$L177:$X177,#REF!)),0,(LOOKUP(AH$16,$L177:$X177,#REF!)))</f>
        <v>0</v>
      </c>
      <c r="AI177" s="243">
        <f>IF(ISERROR(LOOKUP(AI$16,$L177:$X177,#REF!)),0,(LOOKUP(AI$16,$L177:$X177,#REF!)))</f>
        <v>0</v>
      </c>
      <c r="AJ177" s="243">
        <f>IF(ISERROR(LOOKUP(AJ$16,$L177:$X177,#REF!)),0,(LOOKUP(AJ$16,$L177:$X177,#REF!)))</f>
        <v>0</v>
      </c>
      <c r="AK177" s="243">
        <f>IF(ISERROR(LOOKUP(AK$16,$L177:$X177,#REF!)),0,(LOOKUP(AK$16,$L177:$X177,#REF!)))</f>
        <v>0</v>
      </c>
      <c r="AL177" s="243">
        <f>IF(ISERROR(LOOKUP(AL$16,$L177:$X177,#REF!)),0,(LOOKUP(AL$16,$L177:$X177,#REF!)))</f>
        <v>0</v>
      </c>
      <c r="AM177" s="243">
        <f ca="1">IF(ISERROR(LOOKUP(AM$16,$L177:$X177,#REF!)),0,(LOOKUP(AM$16,$L177:$X177,#REF!)))</f>
        <v>0</v>
      </c>
      <c r="AP177" s="215" t="e">
        <f>WORKDAY(IF(T178="",T177,T178),INDEX(AP$12:AP$15,MATCH($I176,$I$12:$I$15,0)),$AW$17:$AW$148)</f>
        <v>#REF!</v>
      </c>
      <c r="AQ177" s="215" t="e">
        <f>WORKDAY(IF(AP178="",AP177,AP178),INDEX(AQ$12:AQ$15,MATCH($I176,$I$12:$I$15,0)),$AW$17:$AW$148)</f>
        <v>#REF!</v>
      </c>
      <c r="AR177" s="215" t="e">
        <f>WORKDAY(IF(AQ178="",AQ177,AQ178),INDEX(AR$12:AR$15,MATCH($I176,$I$12:$I$15,0)),$AW$17:$AW$148)</f>
        <v>#REF!</v>
      </c>
      <c r="AS177" s="778"/>
      <c r="AW177" s="244"/>
    </row>
    <row r="178" spans="1:49" s="168" customFormat="1" ht="18.600000000000001" customHeight="1">
      <c r="A178" s="736"/>
      <c r="B178" s="740"/>
      <c r="C178" s="741"/>
      <c r="D178" s="749" t="s">
        <v>5308</v>
      </c>
      <c r="E178" s="258"/>
      <c r="F178" s="764"/>
      <c r="G178" s="741" t="str">
        <f>G176</f>
        <v>Y</v>
      </c>
      <c r="H178" s="748"/>
      <c r="I178" s="212" t="str">
        <f>I176</f>
        <v>LA</v>
      </c>
      <c r="J178" s="249" t="s">
        <v>67</v>
      </c>
      <c r="K178" s="212"/>
      <c r="L178" s="212"/>
      <c r="M178" s="212"/>
      <c r="N178" s="212"/>
      <c r="O178" s="212"/>
      <c r="P178" s="226"/>
      <c r="Q178" s="227"/>
      <c r="R178" s="212"/>
      <c r="S178" s="212"/>
      <c r="T178" s="212"/>
      <c r="U178" s="212"/>
      <c r="V178" s="212"/>
      <c r="W178" s="228"/>
      <c r="X178" s="212"/>
      <c r="Y178" s="768"/>
      <c r="Z178" s="773"/>
      <c r="AA178" s="773"/>
      <c r="AB178" s="777"/>
      <c r="AC178" s="246">
        <f>IF(ISERROR(LOOKUP(AC$16,$L178:$X178,#REF!)),0,(LOOKUP(AC$16,$L178:$X178,#REF!)))</f>
        <v>0</v>
      </c>
      <c r="AD178" s="247">
        <f>IF(ISERROR(LOOKUP(AD$16,$L178:$X178,#REF!)),0,(LOOKUP(AD$16,$L178:$X178,#REF!)))</f>
        <v>0</v>
      </c>
      <c r="AE178" s="247">
        <f>IF(ISERROR(LOOKUP(AE$16,$L178:$X178,#REF!)),0,(LOOKUP(AE$16,$L178:$X178,#REF!)))</f>
        <v>0</v>
      </c>
      <c r="AF178" s="247">
        <f>IF(ISERROR(LOOKUP(AF$16,$L178:$X178,#REF!)),0,(LOOKUP(AF$16,$L178:$X178,#REF!)))</f>
        <v>0</v>
      </c>
      <c r="AG178" s="247">
        <f>IF(ISERROR(LOOKUP(AG$16,$L178:$X178,#REF!)),0,(LOOKUP(AG$16,$L178:$X178,#REF!)))</f>
        <v>0</v>
      </c>
      <c r="AH178" s="247">
        <f>IF(ISERROR(LOOKUP(AH$16,$L178:$X178,#REF!)),0,(LOOKUP(AH$16,$L178:$X178,#REF!)))</f>
        <v>0</v>
      </c>
      <c r="AI178" s="247">
        <f>IF(ISERROR(LOOKUP(AI$16,$L178:$X178,#REF!)),0,(LOOKUP(AI$16,$L178:$X178,#REF!)))</f>
        <v>0</v>
      </c>
      <c r="AJ178" s="247">
        <f>IF(ISERROR(LOOKUP(AJ$16,$L178:$X178,#REF!)),0,(LOOKUP(AJ$16,$L178:$X178,#REF!)))</f>
        <v>0</v>
      </c>
      <c r="AK178" s="247">
        <f>IF(ISERROR(LOOKUP(AK$16,$L178:$X178,#REF!)),0,(LOOKUP(AK$16,$L178:$X178,#REF!)))</f>
        <v>0</v>
      </c>
      <c r="AL178" s="247">
        <f>IF(ISERROR(LOOKUP(AL$16,$L178:$X178,#REF!)),0,(LOOKUP(AL$16,$L178:$X178,#REF!)))</f>
        <v>0</v>
      </c>
      <c r="AM178" s="247">
        <f ca="1">IF(ISERROR(LOOKUP(AM$16,$L178:$X178,#REF!)),0,(LOOKUP(AM$16,$L178:$X178,#REF!)))</f>
        <v>0</v>
      </c>
      <c r="AP178" s="212"/>
      <c r="AQ178" s="212"/>
      <c r="AR178" s="212"/>
      <c r="AS178" s="778"/>
      <c r="AW178" s="244"/>
    </row>
    <row r="179" spans="1:49" s="168" customFormat="1" ht="18.600000000000001" customHeight="1">
      <c r="A179" s="736"/>
      <c r="B179" s="738"/>
      <c r="C179" s="741"/>
      <c r="D179" s="749" t="s">
        <v>5309</v>
      </c>
      <c r="E179" s="256"/>
      <c r="F179" s="762" t="s">
        <v>235</v>
      </c>
      <c r="G179" s="741" t="str">
        <f>IF(_xlfn.XLOOKUP(C179,'[38]Before Award'!D:D,'[38]Before Award'!AV:AV,"N/A")="N/A","N","Y")</f>
        <v>Y</v>
      </c>
      <c r="H179" s="746"/>
      <c r="I179" s="212" t="s">
        <v>6</v>
      </c>
      <c r="J179" s="249" t="s">
        <v>5236</v>
      </c>
      <c r="K179" s="215">
        <f>WORKDAY(L179,-INDEX(L$12:L$15,MATCH($I179,$I$12:$I$15,0)))</f>
        <v>46099</v>
      </c>
      <c r="L179" s="215">
        <f>WORKDAY(M179,-1)</f>
        <v>46100</v>
      </c>
      <c r="M179" s="215">
        <f>WORKDAY(N179,-INDEX(N$12:N$15,MATCH($I179,$I$12:$I$15,0)))</f>
        <v>46101</v>
      </c>
      <c r="N179" s="215">
        <f>WORKDAY(O179,-1)</f>
        <v>46104</v>
      </c>
      <c r="O179" s="215">
        <f>WORKDAY(R179,-5)</f>
        <v>46105</v>
      </c>
      <c r="P179" s="216">
        <f>U179-L179</f>
        <v>24</v>
      </c>
      <c r="Q179" s="217"/>
      <c r="R179" s="215">
        <f>WORKDAY(S179,-1)</f>
        <v>46112</v>
      </c>
      <c r="S179" s="215">
        <f>WORKDAY(T179,-1)</f>
        <v>46113</v>
      </c>
      <c r="T179" s="215">
        <f>WORKDAY(U179,-7)</f>
        <v>46114</v>
      </c>
      <c r="U179" s="215">
        <f>X179-Y179</f>
        <v>46124</v>
      </c>
      <c r="V179" s="215">
        <f>WORKDAY(U179,INDEX(V$12:V$15,MATCH($I179,$I$12:$I$15,0)))</f>
        <v>46126</v>
      </c>
      <c r="W179" s="218">
        <f>Y179/7</f>
        <v>17.1428571428571</v>
      </c>
      <c r="X179" s="215">
        <f>Z179</f>
        <v>46244</v>
      </c>
      <c r="Y179" s="768">
        <v>120</v>
      </c>
      <c r="Z179" s="774">
        <v>46244</v>
      </c>
      <c r="AA179" s="773">
        <v>46244</v>
      </c>
      <c r="AB179" s="777">
        <f>Z179-X180</f>
        <v>0</v>
      </c>
      <c r="AC179" s="242">
        <f>IF(ISERROR(LOOKUP(AC$16,$L179:$X179,#REF!)),0,(LOOKUP(AC$16,$L179:$X179,#REF!)))</f>
        <v>0</v>
      </c>
      <c r="AD179" s="243">
        <f>IF(ISERROR(LOOKUP(AD$16,$L179:$X179,#REF!)),0,(LOOKUP(AD$16,$L179:$X179,#REF!)))</f>
        <v>0</v>
      </c>
      <c r="AE179" s="243">
        <f>IF(ISERROR(LOOKUP(AE$16,$L179:$X179,#REF!)),0,(LOOKUP(AE$16,$L179:$X179,#REF!)))</f>
        <v>0</v>
      </c>
      <c r="AF179" s="243">
        <f>IF(ISERROR(LOOKUP(AF$16,$L179:$X179,#REF!)),0,(LOOKUP(AF$16,$L179:$X179,#REF!)))</f>
        <v>0</v>
      </c>
      <c r="AG179" s="243">
        <f>IF(ISERROR(LOOKUP(AG$16,$L179:$X179,#REF!)),0,(LOOKUP(AG$16,$L179:$X179,#REF!)))</f>
        <v>0</v>
      </c>
      <c r="AH179" s="243">
        <f>IF(ISERROR(LOOKUP(AH$16,$L179:$X179,#REF!)),0,(LOOKUP(AH$16,$L179:$X179,#REF!)))</f>
        <v>0</v>
      </c>
      <c r="AI179" s="243">
        <f>IF(ISERROR(LOOKUP(AI$16,$L179:$X179,#REF!)),0,(LOOKUP(AI$16,$L179:$X179,#REF!)))</f>
        <v>0</v>
      </c>
      <c r="AJ179" s="243">
        <f>IF(ISERROR(LOOKUP(AJ$16,$L179:$X179,#REF!)),0,(LOOKUP(AJ$16,$L179:$X179,#REF!)))</f>
        <v>0</v>
      </c>
      <c r="AK179" s="243">
        <f>IF(ISERROR(LOOKUP(AK$16,$L179:$X179,#REF!)),0,(LOOKUP(AK$16,$L179:$X179,#REF!)))</f>
        <v>0</v>
      </c>
      <c r="AL179" s="243">
        <f>IF(ISERROR(LOOKUP(AL$16,$L179:$X179,#REF!)),0,(LOOKUP(AL$16,$L179:$X179,#REF!)))</f>
        <v>0</v>
      </c>
      <c r="AM179" s="243">
        <f ca="1">IF(ISERROR(LOOKUP(AM$16,$L179:$X179,#REF!)),0,(LOOKUP(AM$16,$L179:$X179,#REF!)))</f>
        <v>0</v>
      </c>
      <c r="AP179" s="215" t="e">
        <f>WORKDAY(AQ179,-INDEX(AQ$12:AQ$15,MATCH($I179,$I$12:$I$15,0)),$AW$17:$AW$148)</f>
        <v>#REF!</v>
      </c>
      <c r="AQ179" s="215" t="e">
        <f>WORKDAY(U179,-INDEX(U$12:U$15,MATCH($I179,$I$12:$I$15,0)),$AW$17:$AW$148)</f>
        <v>#REF!</v>
      </c>
      <c r="AR179" s="215" t="e">
        <f>WORKDAY(U179,-INDEX(U$12:U$15,MATCH($I179,$I$12:$I$15,0)),$AW$17:$AW$148)</f>
        <v>#REF!</v>
      </c>
      <c r="AS179" s="778">
        <v>7</v>
      </c>
      <c r="AW179" s="244"/>
    </row>
    <row r="180" spans="1:49" s="168" customFormat="1" ht="18.600000000000001" customHeight="1">
      <c r="A180" s="736"/>
      <c r="B180" s="739"/>
      <c r="C180" s="741"/>
      <c r="D180" s="749"/>
      <c r="E180" s="257"/>
      <c r="F180" s="763"/>
      <c r="G180" s="741" t="str">
        <f>G179</f>
        <v>Y</v>
      </c>
      <c r="H180" s="747"/>
      <c r="I180" s="212" t="str">
        <f>I179</f>
        <v>LA</v>
      </c>
      <c r="J180" s="249" t="s">
        <v>65</v>
      </c>
      <c r="K180" s="215">
        <f>K179</f>
        <v>46099</v>
      </c>
      <c r="L180" s="215">
        <f>WORKDAY(IF(K181="",K180,K181),INDEX(L$12:L$15,MATCH($I179,$I$12:$I$15,0)))</f>
        <v>46100</v>
      </c>
      <c r="M180" s="215">
        <f>WORKDAY(IF(L181="",L180,L181),1)</f>
        <v>46101</v>
      </c>
      <c r="N180" s="215">
        <f>WORKDAY(IF(M181="",M180,M181),INDEX(N$12:N$15,MATCH($I179,$I$12:$I$15,0)))</f>
        <v>46104</v>
      </c>
      <c r="O180" s="215">
        <f>WORKDAY(IF(N181="",N180,N181),1)</f>
        <v>46105</v>
      </c>
      <c r="P180" s="216"/>
      <c r="Q180" s="217"/>
      <c r="R180" s="215">
        <f>WORKDAY(IF(O181="",O180,O181),5)</f>
        <v>46112</v>
      </c>
      <c r="S180" s="215">
        <f>WORKDAY(IF(R181="",R180,R181),1)</f>
        <v>46113</v>
      </c>
      <c r="T180" s="215">
        <f>WORKDAY(IF(S181="",S180,S181),1)</f>
        <v>46114</v>
      </c>
      <c r="U180" s="215">
        <f>WORKDAY(IF(T181="",T180,T181),7)-1</f>
        <v>46124</v>
      </c>
      <c r="V180" s="215">
        <f>WORKDAY(IF(U181="",U180,U181),1)</f>
        <v>46125</v>
      </c>
      <c r="W180" s="218"/>
      <c r="X180" s="215">
        <f>U180+Y179</f>
        <v>46244</v>
      </c>
      <c r="Y180" s="768"/>
      <c r="Z180" s="775"/>
      <c r="AA180" s="773"/>
      <c r="AB180" s="777"/>
      <c r="AC180" s="242">
        <f>IF(ISERROR(LOOKUP(AC$16,$L180:$X180,#REF!)),0,(LOOKUP(AC$16,$L180:$X180,#REF!)))</f>
        <v>0</v>
      </c>
      <c r="AD180" s="243">
        <f>IF(ISERROR(LOOKUP(AD$16,$L180:$X180,#REF!)),0,(LOOKUP(AD$16,$L180:$X180,#REF!)))</f>
        <v>0</v>
      </c>
      <c r="AE180" s="243">
        <f>IF(ISERROR(LOOKUP(AE$16,$L180:$X180,#REF!)),0,(LOOKUP(AE$16,$L180:$X180,#REF!)))</f>
        <v>0</v>
      </c>
      <c r="AF180" s="243">
        <f>IF(ISERROR(LOOKUP(AF$16,$L180:$X180,#REF!)),0,(LOOKUP(AF$16,$L180:$X180,#REF!)))</f>
        <v>0</v>
      </c>
      <c r="AG180" s="243">
        <f>IF(ISERROR(LOOKUP(AG$16,$L180:$X180,#REF!)),0,(LOOKUP(AG$16,$L180:$X180,#REF!)))</f>
        <v>0</v>
      </c>
      <c r="AH180" s="243">
        <f>IF(ISERROR(LOOKUP(AH$16,$L180:$X180,#REF!)),0,(LOOKUP(AH$16,$L180:$X180,#REF!)))</f>
        <v>0</v>
      </c>
      <c r="AI180" s="243">
        <f>IF(ISERROR(LOOKUP(AI$16,$L180:$X180,#REF!)),0,(LOOKUP(AI$16,$L180:$X180,#REF!)))</f>
        <v>0</v>
      </c>
      <c r="AJ180" s="243">
        <f>IF(ISERROR(LOOKUP(AJ$16,$L180:$X180,#REF!)),0,(LOOKUP(AJ$16,$L180:$X180,#REF!)))</f>
        <v>0</v>
      </c>
      <c r="AK180" s="243">
        <f>IF(ISERROR(LOOKUP(AK$16,$L180:$X180,#REF!)),0,(LOOKUP(AK$16,$L180:$X180,#REF!)))</f>
        <v>0</v>
      </c>
      <c r="AL180" s="243">
        <f>IF(ISERROR(LOOKUP(AL$16,$L180:$X180,#REF!)),0,(LOOKUP(AL$16,$L180:$X180,#REF!)))</f>
        <v>0</v>
      </c>
      <c r="AM180" s="243">
        <f ca="1">IF(ISERROR(LOOKUP(AM$16,$L180:$X180,#REF!)),0,(LOOKUP(AM$16,$L180:$X180,#REF!)))</f>
        <v>0</v>
      </c>
      <c r="AP180" s="215" t="e">
        <f>WORKDAY(IF(T181="",T180,T181),INDEX(AP$12:AP$15,MATCH($I179,$I$12:$I$15,0)),$AW$17:$AW$148)</f>
        <v>#REF!</v>
      </c>
      <c r="AQ180" s="215" t="e">
        <f>WORKDAY(IF(AP181="",AP180,AP181),INDEX(AQ$12:AQ$15,MATCH($I179,$I$12:$I$15,0)),$AW$17:$AW$148)</f>
        <v>#REF!</v>
      </c>
      <c r="AR180" s="215" t="e">
        <f>WORKDAY(IF(AQ181="",AQ180,AQ181),INDEX(AR$12:AR$15,MATCH($I179,$I$12:$I$15,0)),$AW$17:$AW$148)</f>
        <v>#REF!</v>
      </c>
      <c r="AS180" s="778"/>
      <c r="AW180" s="244"/>
    </row>
    <row r="181" spans="1:49" s="168" customFormat="1" ht="18.600000000000001" customHeight="1">
      <c r="A181" s="736"/>
      <c r="B181" s="740"/>
      <c r="C181" s="741"/>
      <c r="D181" s="749"/>
      <c r="E181" s="258"/>
      <c r="F181" s="764"/>
      <c r="G181" s="741" t="str">
        <f>G179</f>
        <v>Y</v>
      </c>
      <c r="H181" s="748"/>
      <c r="I181" s="212" t="str">
        <f>I179</f>
        <v>LA</v>
      </c>
      <c r="J181" s="249" t="s">
        <v>67</v>
      </c>
      <c r="K181" s="212"/>
      <c r="L181" s="212"/>
      <c r="M181" s="212"/>
      <c r="N181" s="212"/>
      <c r="O181" s="212"/>
      <c r="P181" s="226"/>
      <c r="Q181" s="227"/>
      <c r="R181" s="212"/>
      <c r="S181" s="212"/>
      <c r="T181" s="212"/>
      <c r="U181" s="212"/>
      <c r="V181" s="212"/>
      <c r="W181" s="228"/>
      <c r="X181" s="212"/>
      <c r="Y181" s="768"/>
      <c r="Z181" s="776"/>
      <c r="AA181" s="773"/>
      <c r="AB181" s="777"/>
      <c r="AC181" s="246">
        <f>IF(ISERROR(LOOKUP(AC$16,$L181:$X181,#REF!)),0,(LOOKUP(AC$16,$L181:$X181,#REF!)))</f>
        <v>0</v>
      </c>
      <c r="AD181" s="247">
        <f>IF(ISERROR(LOOKUP(AD$16,$L181:$X181,#REF!)),0,(LOOKUP(AD$16,$L181:$X181,#REF!)))</f>
        <v>0</v>
      </c>
      <c r="AE181" s="247">
        <f>IF(ISERROR(LOOKUP(AE$16,$L181:$X181,#REF!)),0,(LOOKUP(AE$16,$L181:$X181,#REF!)))</f>
        <v>0</v>
      </c>
      <c r="AF181" s="247">
        <f>IF(ISERROR(LOOKUP(AF$16,$L181:$X181,#REF!)),0,(LOOKUP(AF$16,$L181:$X181,#REF!)))</f>
        <v>0</v>
      </c>
      <c r="AG181" s="247">
        <f>IF(ISERROR(LOOKUP(AG$16,$L181:$X181,#REF!)),0,(LOOKUP(AG$16,$L181:$X181,#REF!)))</f>
        <v>0</v>
      </c>
      <c r="AH181" s="247">
        <f>IF(ISERROR(LOOKUP(AH$16,$L181:$X181,#REF!)),0,(LOOKUP(AH$16,$L181:$X181,#REF!)))</f>
        <v>0</v>
      </c>
      <c r="AI181" s="247">
        <f>IF(ISERROR(LOOKUP(AI$16,$L181:$X181,#REF!)),0,(LOOKUP(AI$16,$L181:$X181,#REF!)))</f>
        <v>0</v>
      </c>
      <c r="AJ181" s="247">
        <f>IF(ISERROR(LOOKUP(AJ$16,$L181:$X181,#REF!)),0,(LOOKUP(AJ$16,$L181:$X181,#REF!)))</f>
        <v>0</v>
      </c>
      <c r="AK181" s="247">
        <f>IF(ISERROR(LOOKUP(AK$16,$L181:$X181,#REF!)),0,(LOOKUP(AK$16,$L181:$X181,#REF!)))</f>
        <v>0</v>
      </c>
      <c r="AL181" s="247">
        <f>IF(ISERROR(LOOKUP(AL$16,$L181:$X181,#REF!)),0,(LOOKUP(AL$16,$L181:$X181,#REF!)))</f>
        <v>0</v>
      </c>
      <c r="AM181" s="247">
        <f ca="1">IF(ISERROR(LOOKUP(AM$16,$L181:$X181,#REF!)),0,(LOOKUP(AM$16,$L181:$X181,#REF!)))</f>
        <v>0</v>
      </c>
      <c r="AP181" s="212"/>
      <c r="AQ181" s="212"/>
      <c r="AR181" s="212"/>
      <c r="AS181" s="778"/>
      <c r="AW181" s="244"/>
    </row>
    <row r="182" spans="1:49" s="168" customFormat="1" ht="18.600000000000001" customHeight="1">
      <c r="A182" s="736"/>
      <c r="B182" s="738"/>
      <c r="C182" s="741"/>
      <c r="D182" s="749" t="s">
        <v>5310</v>
      </c>
      <c r="E182" s="256"/>
      <c r="F182" s="762" t="s">
        <v>235</v>
      </c>
      <c r="G182" s="741" t="str">
        <f>IF(_xlfn.XLOOKUP(C182,'[38]Before Award'!D:D,'[38]Before Award'!AV:AV,"N/A")="N/A","N","Y")</f>
        <v>Y</v>
      </c>
      <c r="H182" s="746"/>
      <c r="I182" s="212" t="s">
        <v>6</v>
      </c>
      <c r="J182" s="249" t="s">
        <v>5236</v>
      </c>
      <c r="K182" s="215">
        <f>WORKDAY(L182,-INDEX(L$12:L$15,MATCH($I182,$I$12:$I$15,0)))</f>
        <v>46118</v>
      </c>
      <c r="L182" s="215">
        <f>WORKDAY(M182,-1)</f>
        <v>46119</v>
      </c>
      <c r="M182" s="215">
        <f>WORKDAY(N182,-INDEX(N$12:N$15,MATCH($I182,$I$12:$I$15,0)))</f>
        <v>46120</v>
      </c>
      <c r="N182" s="215">
        <f>WORKDAY(O182,-1)</f>
        <v>46121</v>
      </c>
      <c r="O182" s="215">
        <f>WORKDAY(R182,-5)</f>
        <v>46122</v>
      </c>
      <c r="P182" s="216">
        <f>U182-L182</f>
        <v>23</v>
      </c>
      <c r="Q182" s="217"/>
      <c r="R182" s="215">
        <f>WORKDAY(S182,-1)</f>
        <v>46129</v>
      </c>
      <c r="S182" s="215">
        <f>WORKDAY(T182,-1)</f>
        <v>46132</v>
      </c>
      <c r="T182" s="215">
        <f>WORKDAY(U182,-7)</f>
        <v>46133</v>
      </c>
      <c r="U182" s="215">
        <f>X182-Y182</f>
        <v>46142</v>
      </c>
      <c r="V182" s="215">
        <f>WORKDAY(U182,INDEX(V$12:V$15,MATCH($I182,$I$12:$I$15,0)))</f>
        <v>46146</v>
      </c>
      <c r="W182" s="218">
        <f>Y182/7</f>
        <v>19</v>
      </c>
      <c r="X182" s="215">
        <f>Z182</f>
        <v>46275</v>
      </c>
      <c r="Y182" s="768">
        <f>19*7</f>
        <v>133</v>
      </c>
      <c r="Z182" s="772">
        <v>46275</v>
      </c>
      <c r="AA182" s="773">
        <v>46244</v>
      </c>
      <c r="AB182" s="777">
        <f>Z182-X183</f>
        <v>0</v>
      </c>
      <c r="AC182" s="242">
        <f>IF(ISERROR(LOOKUP(AC$16,$L182:$X182,#REF!)),0,(LOOKUP(AC$16,$L182:$X182,#REF!)))</f>
        <v>0</v>
      </c>
      <c r="AD182" s="243">
        <f>IF(ISERROR(LOOKUP(AD$16,$L182:$X182,#REF!)),0,(LOOKUP(AD$16,$L182:$X182,#REF!)))</f>
        <v>0</v>
      </c>
      <c r="AE182" s="243">
        <f>IF(ISERROR(LOOKUP(AE$16,$L182:$X182,#REF!)),0,(LOOKUP(AE$16,$L182:$X182,#REF!)))</f>
        <v>0</v>
      </c>
      <c r="AF182" s="243">
        <f>IF(ISERROR(LOOKUP(AF$16,$L182:$X182,#REF!)),0,(LOOKUP(AF$16,$L182:$X182,#REF!)))</f>
        <v>0</v>
      </c>
      <c r="AG182" s="243">
        <f>IF(ISERROR(LOOKUP(AG$16,$L182:$X182,#REF!)),0,(LOOKUP(AG$16,$L182:$X182,#REF!)))</f>
        <v>0</v>
      </c>
      <c r="AH182" s="243">
        <f>IF(ISERROR(LOOKUP(AH$16,$L182:$X182,#REF!)),0,(LOOKUP(AH$16,$L182:$X182,#REF!)))</f>
        <v>0</v>
      </c>
      <c r="AI182" s="243">
        <f>IF(ISERROR(LOOKUP(AI$16,$L182:$X182,#REF!)),0,(LOOKUP(AI$16,$L182:$X182,#REF!)))</f>
        <v>0</v>
      </c>
      <c r="AJ182" s="243">
        <f>IF(ISERROR(LOOKUP(AJ$16,$L182:$X182,#REF!)),0,(LOOKUP(AJ$16,$L182:$X182,#REF!)))</f>
        <v>0</v>
      </c>
      <c r="AK182" s="243">
        <f>IF(ISERROR(LOOKUP(AK$16,$L182:$X182,#REF!)),0,(LOOKUP(AK$16,$L182:$X182,#REF!)))</f>
        <v>0</v>
      </c>
      <c r="AL182" s="243">
        <f>IF(ISERROR(LOOKUP(AL$16,$L182:$X182,#REF!)),0,(LOOKUP(AL$16,$L182:$X182,#REF!)))</f>
        <v>0</v>
      </c>
      <c r="AM182" s="243">
        <f ca="1">IF(ISERROR(LOOKUP(AM$16,$L182:$X182,#REF!)),0,(LOOKUP(AM$16,$L182:$X182,#REF!)))</f>
        <v>0</v>
      </c>
      <c r="AP182" s="215" t="e">
        <f>WORKDAY(AQ182,-INDEX(AQ$12:AQ$15,MATCH($I182,$I$12:$I$15,0)),$AW$17:$AW$148)</f>
        <v>#REF!</v>
      </c>
      <c r="AQ182" s="215" t="e">
        <f>WORKDAY(U182,-INDEX(U$12:U$15,MATCH($I182,$I$12:$I$15,0)),$AW$17:$AW$148)</f>
        <v>#REF!</v>
      </c>
      <c r="AR182" s="215" t="e">
        <f>WORKDAY(U182,-INDEX(U$12:U$15,MATCH($I182,$I$12:$I$15,0)),$AW$17:$AW$148)</f>
        <v>#REF!</v>
      </c>
      <c r="AS182" s="778">
        <v>7</v>
      </c>
      <c r="AW182" s="244"/>
    </row>
    <row r="183" spans="1:49" s="168" customFormat="1" ht="18.600000000000001" customHeight="1">
      <c r="A183" s="736"/>
      <c r="B183" s="739"/>
      <c r="C183" s="741"/>
      <c r="D183" s="749" t="s">
        <v>5311</v>
      </c>
      <c r="E183" s="257"/>
      <c r="F183" s="763"/>
      <c r="G183" s="741" t="str">
        <f>G182</f>
        <v>Y</v>
      </c>
      <c r="H183" s="747"/>
      <c r="I183" s="212" t="str">
        <f>I182</f>
        <v>LA</v>
      </c>
      <c r="J183" s="249" t="s">
        <v>65</v>
      </c>
      <c r="K183" s="215">
        <f>K182</f>
        <v>46118</v>
      </c>
      <c r="L183" s="215">
        <f>WORKDAY(IF(K184="",K183,K184),INDEX(L$12:L$15,MATCH($I182,$I$12:$I$15,0)))</f>
        <v>46119</v>
      </c>
      <c r="M183" s="215">
        <f>WORKDAY(IF(L184="",L183,L184),1)</f>
        <v>46120</v>
      </c>
      <c r="N183" s="215">
        <f>WORKDAY(IF(M184="",M183,M184),INDEX(N$12:N$15,MATCH($I182,$I$12:$I$15,0)))</f>
        <v>46121</v>
      </c>
      <c r="O183" s="215">
        <f>WORKDAY(IF(N184="",N183,N184),1)</f>
        <v>46122</v>
      </c>
      <c r="P183" s="216"/>
      <c r="Q183" s="217"/>
      <c r="R183" s="215">
        <f>WORKDAY(IF(O184="",O183,O184),5)</f>
        <v>46129</v>
      </c>
      <c r="S183" s="215">
        <f>WORKDAY(IF(R184="",R183,R184),1)</f>
        <v>46132</v>
      </c>
      <c r="T183" s="215">
        <f>WORKDAY(IF(S184="",S183,S184),1)</f>
        <v>46133</v>
      </c>
      <c r="U183" s="215">
        <f>WORKDAY(IF(T184="",T183,T184),7)</f>
        <v>46142</v>
      </c>
      <c r="V183" s="215">
        <f>WORKDAY(IF(U184="",U183,U184),1)</f>
        <v>46143</v>
      </c>
      <c r="W183" s="218"/>
      <c r="X183" s="215">
        <f>U183+Y182</f>
        <v>46275</v>
      </c>
      <c r="Y183" s="768"/>
      <c r="Z183" s="772"/>
      <c r="AA183" s="773"/>
      <c r="AB183" s="777"/>
      <c r="AC183" s="242">
        <f>IF(ISERROR(LOOKUP(AC$16,$L183:$X183,#REF!)),0,(LOOKUP(AC$16,$L183:$X183,#REF!)))</f>
        <v>0</v>
      </c>
      <c r="AD183" s="243">
        <f>IF(ISERROR(LOOKUP(AD$16,$L183:$X183,#REF!)),0,(LOOKUP(AD$16,$L183:$X183,#REF!)))</f>
        <v>0</v>
      </c>
      <c r="AE183" s="243">
        <f>IF(ISERROR(LOOKUP(AE$16,$L183:$X183,#REF!)),0,(LOOKUP(AE$16,$L183:$X183,#REF!)))</f>
        <v>0</v>
      </c>
      <c r="AF183" s="243">
        <f>IF(ISERROR(LOOKUP(AF$16,$L183:$X183,#REF!)),0,(LOOKUP(AF$16,$L183:$X183,#REF!)))</f>
        <v>0</v>
      </c>
      <c r="AG183" s="243">
        <f>IF(ISERROR(LOOKUP(AG$16,$L183:$X183,#REF!)),0,(LOOKUP(AG$16,$L183:$X183,#REF!)))</f>
        <v>0</v>
      </c>
      <c r="AH183" s="243">
        <f>IF(ISERROR(LOOKUP(AH$16,$L183:$X183,#REF!)),0,(LOOKUP(AH$16,$L183:$X183,#REF!)))</f>
        <v>0</v>
      </c>
      <c r="AI183" s="243">
        <f>IF(ISERROR(LOOKUP(AI$16,$L183:$X183,#REF!)),0,(LOOKUP(AI$16,$L183:$X183,#REF!)))</f>
        <v>0</v>
      </c>
      <c r="AJ183" s="243">
        <f>IF(ISERROR(LOOKUP(AJ$16,$L183:$X183,#REF!)),0,(LOOKUP(AJ$16,$L183:$X183,#REF!)))</f>
        <v>0</v>
      </c>
      <c r="AK183" s="243">
        <f>IF(ISERROR(LOOKUP(AK$16,$L183:$X183,#REF!)),0,(LOOKUP(AK$16,$L183:$X183,#REF!)))</f>
        <v>0</v>
      </c>
      <c r="AL183" s="243">
        <f>IF(ISERROR(LOOKUP(AL$16,$L183:$X183,#REF!)),0,(LOOKUP(AL$16,$L183:$X183,#REF!)))</f>
        <v>0</v>
      </c>
      <c r="AM183" s="243">
        <f ca="1">IF(ISERROR(LOOKUP(AM$16,$L183:$X183,#REF!)),0,(LOOKUP(AM$16,$L183:$X183,#REF!)))</f>
        <v>0</v>
      </c>
      <c r="AP183" s="215" t="e">
        <f>WORKDAY(IF(T184="",T183,T184),INDEX(AP$12:AP$15,MATCH($I182,$I$12:$I$15,0)),$AW$17:$AW$148)</f>
        <v>#REF!</v>
      </c>
      <c r="AQ183" s="215" t="e">
        <f>WORKDAY(IF(AP184="",AP183,AP184),INDEX(AQ$12:AQ$15,MATCH($I182,$I$12:$I$15,0)),$AW$17:$AW$148)</f>
        <v>#REF!</v>
      </c>
      <c r="AR183" s="215" t="e">
        <f>WORKDAY(IF(AQ184="",AQ183,AQ184),INDEX(AR$12:AR$15,MATCH($I182,$I$12:$I$15,0)),$AW$17:$AW$148)</f>
        <v>#REF!</v>
      </c>
      <c r="AS183" s="778"/>
      <c r="AW183" s="244"/>
    </row>
    <row r="184" spans="1:49" s="168" customFormat="1" ht="18.600000000000001" customHeight="1">
      <c r="A184" s="736"/>
      <c r="B184" s="740"/>
      <c r="C184" s="741"/>
      <c r="D184" s="749" t="s">
        <v>5311</v>
      </c>
      <c r="E184" s="258"/>
      <c r="F184" s="764"/>
      <c r="G184" s="741" t="str">
        <f>G182</f>
        <v>Y</v>
      </c>
      <c r="H184" s="748"/>
      <c r="I184" s="212" t="str">
        <f t="shared" ref="I184:I196" si="3">I182</f>
        <v>LA</v>
      </c>
      <c r="J184" s="249" t="s">
        <v>67</v>
      </c>
      <c r="K184" s="212"/>
      <c r="L184" s="212"/>
      <c r="M184" s="212"/>
      <c r="N184" s="212"/>
      <c r="O184" s="212"/>
      <c r="P184" s="226"/>
      <c r="Q184" s="227"/>
      <c r="R184" s="212"/>
      <c r="S184" s="212"/>
      <c r="T184" s="212"/>
      <c r="U184" s="212"/>
      <c r="V184" s="212"/>
      <c r="W184" s="228"/>
      <c r="X184" s="212"/>
      <c r="Y184" s="768"/>
      <c r="Z184" s="772"/>
      <c r="AA184" s="773"/>
      <c r="AB184" s="777"/>
      <c r="AC184" s="246">
        <f>IF(ISERROR(LOOKUP(AC$16,$L184:$X184,#REF!)),0,(LOOKUP(AC$16,$L184:$X184,#REF!)))</f>
        <v>0</v>
      </c>
      <c r="AD184" s="247">
        <f>IF(ISERROR(LOOKUP(AD$16,$L184:$X184,#REF!)),0,(LOOKUP(AD$16,$L184:$X184,#REF!)))</f>
        <v>0</v>
      </c>
      <c r="AE184" s="247">
        <f>IF(ISERROR(LOOKUP(AE$16,$L184:$X184,#REF!)),0,(LOOKUP(AE$16,$L184:$X184,#REF!)))</f>
        <v>0</v>
      </c>
      <c r="AF184" s="247">
        <f>IF(ISERROR(LOOKUP(AF$16,$L184:$X184,#REF!)),0,(LOOKUP(AF$16,$L184:$X184,#REF!)))</f>
        <v>0</v>
      </c>
      <c r="AG184" s="247">
        <f>IF(ISERROR(LOOKUP(AG$16,$L184:$X184,#REF!)),0,(LOOKUP(AG$16,$L184:$X184,#REF!)))</f>
        <v>0</v>
      </c>
      <c r="AH184" s="247">
        <f>IF(ISERROR(LOOKUP(AH$16,$L184:$X184,#REF!)),0,(LOOKUP(AH$16,$L184:$X184,#REF!)))</f>
        <v>0</v>
      </c>
      <c r="AI184" s="247">
        <f>IF(ISERROR(LOOKUP(AI$16,$L184:$X184,#REF!)),0,(LOOKUP(AI$16,$L184:$X184,#REF!)))</f>
        <v>0</v>
      </c>
      <c r="AJ184" s="247">
        <f>IF(ISERROR(LOOKUP(AJ$16,$L184:$X184,#REF!)),0,(LOOKUP(AJ$16,$L184:$X184,#REF!)))</f>
        <v>0</v>
      </c>
      <c r="AK184" s="247">
        <f>IF(ISERROR(LOOKUP(AK$16,$L184:$X184,#REF!)),0,(LOOKUP(AK$16,$L184:$X184,#REF!)))</f>
        <v>0</v>
      </c>
      <c r="AL184" s="247">
        <f>IF(ISERROR(LOOKUP(AL$16,$L184:$X184,#REF!)),0,(LOOKUP(AL$16,$L184:$X184,#REF!)))</f>
        <v>0</v>
      </c>
      <c r="AM184" s="247">
        <f ca="1">IF(ISERROR(LOOKUP(AM$16,$L184:$X184,#REF!)),0,(LOOKUP(AM$16,$L184:$X184,#REF!)))</f>
        <v>0</v>
      </c>
      <c r="AP184" s="212"/>
      <c r="AQ184" s="212"/>
      <c r="AR184" s="212"/>
      <c r="AS184" s="778"/>
      <c r="AW184" s="244"/>
    </row>
    <row r="185" spans="1:49" s="168" customFormat="1" ht="18.600000000000001" customHeight="1">
      <c r="A185" s="736"/>
      <c r="B185" s="738"/>
      <c r="C185" s="741"/>
      <c r="D185" s="749" t="s">
        <v>5312</v>
      </c>
      <c r="E185" s="256"/>
      <c r="F185" s="762" t="s">
        <v>235</v>
      </c>
      <c r="G185" s="741" t="str">
        <f>IF(_xlfn.XLOOKUP(C185,'[38]Before Award'!D:D,'[38]Before Award'!AV:AV,"N/A")="N/A","N","Y")</f>
        <v>Y</v>
      </c>
      <c r="H185" s="224"/>
      <c r="I185" s="212" t="str">
        <f t="shared" si="3"/>
        <v>LA</v>
      </c>
      <c r="J185" s="249" t="s">
        <v>5236</v>
      </c>
      <c r="K185" s="215">
        <f>WORKDAY(L185,-INDEX(L$12:L$15,MATCH($I185,$I$12:$I$15,0)))</f>
        <v>46099</v>
      </c>
      <c r="L185" s="215">
        <f>WORKDAY(M185,-1)</f>
        <v>46100</v>
      </c>
      <c r="M185" s="215">
        <f>WORKDAY(N185,-INDEX(N$12:N$15,MATCH($I185,$I$12:$I$15,0)))</f>
        <v>46101</v>
      </c>
      <c r="N185" s="215">
        <f>WORKDAY(O185,-1)</f>
        <v>46104</v>
      </c>
      <c r="O185" s="215">
        <f>WORKDAY(R185,-5)</f>
        <v>46105</v>
      </c>
      <c r="P185" s="216">
        <f>U185-L185</f>
        <v>24</v>
      </c>
      <c r="Q185" s="217"/>
      <c r="R185" s="215">
        <f>WORKDAY(S185,-1)</f>
        <v>46112</v>
      </c>
      <c r="S185" s="215">
        <f>WORKDAY(T185,-1)</f>
        <v>46113</v>
      </c>
      <c r="T185" s="215">
        <f>WORKDAY(U185,-7)</f>
        <v>46114</v>
      </c>
      <c r="U185" s="215">
        <f>X185-Y185</f>
        <v>46124</v>
      </c>
      <c r="V185" s="215">
        <f>WORKDAY(U185,INDEX(V$12:V$15,MATCH($I185,$I$12:$I$15,0)))</f>
        <v>46126</v>
      </c>
      <c r="W185" s="218">
        <f>Y185/7</f>
        <v>17.1428571428571</v>
      </c>
      <c r="X185" s="215">
        <f>Z185</f>
        <v>46244</v>
      </c>
      <c r="Y185" s="768">
        <v>120</v>
      </c>
      <c r="Z185" s="772">
        <v>46244</v>
      </c>
      <c r="AA185" s="219"/>
      <c r="AB185" s="777">
        <f>Z185-X186</f>
        <v>0</v>
      </c>
      <c r="AC185" s="246"/>
      <c r="AD185" s="247"/>
      <c r="AE185" s="247"/>
      <c r="AF185" s="247"/>
      <c r="AG185" s="247"/>
      <c r="AH185" s="247"/>
      <c r="AI185" s="247"/>
      <c r="AJ185" s="247"/>
      <c r="AK185" s="247"/>
      <c r="AL185" s="247"/>
      <c r="AM185" s="247"/>
      <c r="AP185" s="212"/>
      <c r="AQ185" s="212"/>
      <c r="AR185" s="212"/>
      <c r="AS185" s="222"/>
      <c r="AW185" s="244"/>
    </row>
    <row r="186" spans="1:49" s="168" customFormat="1" ht="18.600000000000001" customHeight="1">
      <c r="A186" s="736"/>
      <c r="B186" s="739"/>
      <c r="C186" s="741"/>
      <c r="D186" s="749" t="s">
        <v>5311</v>
      </c>
      <c r="E186" s="257"/>
      <c r="F186" s="763"/>
      <c r="G186" s="741" t="str">
        <f>G185</f>
        <v>Y</v>
      </c>
      <c r="H186" s="224"/>
      <c r="I186" s="212" t="str">
        <f t="shared" si="3"/>
        <v>LA</v>
      </c>
      <c r="J186" s="249" t="s">
        <v>65</v>
      </c>
      <c r="K186" s="215">
        <f>K185</f>
        <v>46099</v>
      </c>
      <c r="L186" s="215">
        <f>WORKDAY(IF(K187="",K186,K187),INDEX(L$12:L$15,MATCH($I185,$I$12:$I$15,0)))</f>
        <v>46100</v>
      </c>
      <c r="M186" s="215">
        <f>WORKDAY(IF(L187="",L186,L187),1)</f>
        <v>46101</v>
      </c>
      <c r="N186" s="215">
        <f>WORKDAY(IF(M187="",M186,M187),INDEX(N$12:N$15,MATCH($I185,$I$12:$I$15,0)))</f>
        <v>46104</v>
      </c>
      <c r="O186" s="215">
        <f>WORKDAY(IF(N187="",N186,N187),1)</f>
        <v>46105</v>
      </c>
      <c r="P186" s="216"/>
      <c r="Q186" s="217"/>
      <c r="R186" s="215">
        <f>WORKDAY(IF(O187="",O186,O187),5)</f>
        <v>46112</v>
      </c>
      <c r="S186" s="215">
        <f>WORKDAY(IF(R187="",R186,R187),1)</f>
        <v>46113</v>
      </c>
      <c r="T186" s="215">
        <f>WORKDAY(IF(S187="",S186,S187),1)</f>
        <v>46114</v>
      </c>
      <c r="U186" s="215">
        <f>WORKDAY(IF(T187="",T186,T187),7)-1</f>
        <v>46124</v>
      </c>
      <c r="V186" s="215">
        <f>WORKDAY(IF(U187="",U186,U187),1)</f>
        <v>46125</v>
      </c>
      <c r="W186" s="218"/>
      <c r="X186" s="215">
        <f>U186+Y185</f>
        <v>46244</v>
      </c>
      <c r="Y186" s="768"/>
      <c r="Z186" s="772"/>
      <c r="AA186" s="219"/>
      <c r="AB186" s="777"/>
      <c r="AC186" s="246"/>
      <c r="AD186" s="247"/>
      <c r="AE186" s="247"/>
      <c r="AF186" s="247"/>
      <c r="AG186" s="247"/>
      <c r="AH186" s="247"/>
      <c r="AI186" s="247"/>
      <c r="AJ186" s="247"/>
      <c r="AK186" s="247"/>
      <c r="AL186" s="247"/>
      <c r="AM186" s="247"/>
      <c r="AP186" s="212"/>
      <c r="AQ186" s="212"/>
      <c r="AR186" s="212"/>
      <c r="AS186" s="222"/>
      <c r="AW186" s="244"/>
    </row>
    <row r="187" spans="1:49" s="168" customFormat="1" ht="18.600000000000001" customHeight="1">
      <c r="A187" s="736"/>
      <c r="B187" s="740"/>
      <c r="C187" s="741"/>
      <c r="D187" s="749" t="s">
        <v>5311</v>
      </c>
      <c r="E187" s="258"/>
      <c r="F187" s="764"/>
      <c r="G187" s="741" t="str">
        <f>G185</f>
        <v>Y</v>
      </c>
      <c r="H187" s="224"/>
      <c r="I187" s="212" t="str">
        <f t="shared" si="3"/>
        <v>LA</v>
      </c>
      <c r="J187" s="249" t="s">
        <v>67</v>
      </c>
      <c r="K187" s="212"/>
      <c r="L187" s="212"/>
      <c r="M187" s="212"/>
      <c r="N187" s="212"/>
      <c r="O187" s="212"/>
      <c r="P187" s="226"/>
      <c r="Q187" s="227"/>
      <c r="R187" s="212"/>
      <c r="S187" s="212"/>
      <c r="T187" s="212"/>
      <c r="U187" s="212"/>
      <c r="V187" s="212"/>
      <c r="W187" s="228"/>
      <c r="X187" s="212"/>
      <c r="Y187" s="768"/>
      <c r="Z187" s="772"/>
      <c r="AA187" s="219"/>
      <c r="AB187" s="777"/>
      <c r="AC187" s="246"/>
      <c r="AD187" s="247"/>
      <c r="AE187" s="247"/>
      <c r="AF187" s="247"/>
      <c r="AG187" s="247"/>
      <c r="AH187" s="247"/>
      <c r="AI187" s="247"/>
      <c r="AJ187" s="247"/>
      <c r="AK187" s="247"/>
      <c r="AL187" s="247"/>
      <c r="AM187" s="247"/>
      <c r="AP187" s="212"/>
      <c r="AQ187" s="212"/>
      <c r="AR187" s="212"/>
      <c r="AS187" s="222"/>
      <c r="AW187" s="244"/>
    </row>
    <row r="188" spans="1:49" s="168" customFormat="1" ht="18.600000000000001" customHeight="1">
      <c r="A188" s="736"/>
      <c r="B188" s="738"/>
      <c r="C188" s="741"/>
      <c r="D188" s="749" t="s">
        <v>5313</v>
      </c>
      <c r="E188" s="256"/>
      <c r="F188" s="762" t="s">
        <v>235</v>
      </c>
      <c r="G188" s="741" t="str">
        <f>IF(_xlfn.XLOOKUP(C188,'[38]Before Award'!D:D,'[38]Before Award'!AV:AV,"N/A")="N/A","N","Y")</f>
        <v>Y</v>
      </c>
      <c r="H188" s="224"/>
      <c r="I188" s="212" t="str">
        <f t="shared" si="3"/>
        <v>LA</v>
      </c>
      <c r="J188" s="249" t="s">
        <v>5236</v>
      </c>
      <c r="K188" s="215">
        <f>WORKDAY(L188,-INDEX(L$12:L$15,MATCH($I188,$I$12:$I$15,0)))</f>
        <v>46161</v>
      </c>
      <c r="L188" s="215">
        <f>WORKDAY(M188,-1)</f>
        <v>46162</v>
      </c>
      <c r="M188" s="215">
        <f>WORKDAY(N188,-INDEX(N$12:N$15,MATCH($I188,$I$12:$I$15,0)))</f>
        <v>46163</v>
      </c>
      <c r="N188" s="215">
        <f>WORKDAY(O188,-1)</f>
        <v>46164</v>
      </c>
      <c r="O188" s="215">
        <f>WORKDAY(R188,-5)</f>
        <v>46167</v>
      </c>
      <c r="P188" s="216">
        <f>U188-L188</f>
        <v>23</v>
      </c>
      <c r="Q188" s="217"/>
      <c r="R188" s="215">
        <f>WORKDAY(S188,-1)</f>
        <v>46174</v>
      </c>
      <c r="S188" s="215">
        <f>WORKDAY(T188,-1)</f>
        <v>46175</v>
      </c>
      <c r="T188" s="215">
        <f>WORKDAY(U188,-7)</f>
        <v>46176</v>
      </c>
      <c r="U188" s="215">
        <f>X188-Y188</f>
        <v>46185</v>
      </c>
      <c r="V188" s="215">
        <f>WORKDAY(U188,INDEX(V$12:V$15,MATCH($I188,$I$12:$I$15,0)))</f>
        <v>46189</v>
      </c>
      <c r="W188" s="218">
        <f>Y188/7</f>
        <v>12.8571428571429</v>
      </c>
      <c r="X188" s="215">
        <f>Z188</f>
        <v>46275</v>
      </c>
      <c r="Y188" s="768">
        <v>90</v>
      </c>
      <c r="Z188" s="772">
        <v>46275</v>
      </c>
      <c r="AA188" s="219"/>
      <c r="AB188" s="777">
        <f>Z188-X189</f>
        <v>0</v>
      </c>
      <c r="AC188" s="246"/>
      <c r="AD188" s="247"/>
      <c r="AE188" s="247"/>
      <c r="AF188" s="247"/>
      <c r="AG188" s="247"/>
      <c r="AH188" s="247"/>
      <c r="AI188" s="247"/>
      <c r="AJ188" s="247"/>
      <c r="AK188" s="247"/>
      <c r="AL188" s="247"/>
      <c r="AM188" s="247"/>
      <c r="AP188" s="212"/>
      <c r="AQ188" s="212"/>
      <c r="AR188" s="212"/>
      <c r="AS188" s="222"/>
      <c r="AW188" s="244"/>
    </row>
    <row r="189" spans="1:49" s="168" customFormat="1" ht="18.600000000000001" customHeight="1">
      <c r="A189" s="736"/>
      <c r="B189" s="739"/>
      <c r="C189" s="741"/>
      <c r="D189" s="749" t="s">
        <v>5314</v>
      </c>
      <c r="E189" s="257"/>
      <c r="F189" s="763"/>
      <c r="G189" s="741" t="str">
        <f>G188</f>
        <v>Y</v>
      </c>
      <c r="H189" s="224"/>
      <c r="I189" s="212" t="str">
        <f t="shared" si="3"/>
        <v>LA</v>
      </c>
      <c r="J189" s="249" t="s">
        <v>65</v>
      </c>
      <c r="K189" s="215">
        <f>K188</f>
        <v>46161</v>
      </c>
      <c r="L189" s="215">
        <f>WORKDAY(IF(K190="",K189,K190),INDEX(L$12:L$15,MATCH($I188,$I$12:$I$15,0)))</f>
        <v>46162</v>
      </c>
      <c r="M189" s="215">
        <f>WORKDAY(IF(L190="",L189,L190),1)</f>
        <v>46163</v>
      </c>
      <c r="N189" s="215">
        <f>WORKDAY(IF(M190="",M189,M190),INDEX(N$12:N$15,MATCH($I188,$I$12:$I$15,0)))</f>
        <v>46164</v>
      </c>
      <c r="O189" s="215">
        <f>WORKDAY(IF(N190="",N189,N190),1)</f>
        <v>46167</v>
      </c>
      <c r="P189" s="216"/>
      <c r="Q189" s="217"/>
      <c r="R189" s="215">
        <f>WORKDAY(IF(O190="",O189,O190),5)</f>
        <v>46174</v>
      </c>
      <c r="S189" s="215">
        <f>WORKDAY(IF(R190="",R189,R190),1)</f>
        <v>46175</v>
      </c>
      <c r="T189" s="215">
        <f>WORKDAY(IF(S190="",S189,S190),1)</f>
        <v>46176</v>
      </c>
      <c r="U189" s="215">
        <f>WORKDAY(IF(T190="",T189,T190),7)</f>
        <v>46185</v>
      </c>
      <c r="V189" s="215">
        <f>WORKDAY(IF(U190="",U189,U190),1)</f>
        <v>46188</v>
      </c>
      <c r="W189" s="218"/>
      <c r="X189" s="215">
        <f>U189+Y188</f>
        <v>46275</v>
      </c>
      <c r="Y189" s="768"/>
      <c r="Z189" s="772"/>
      <c r="AA189" s="219"/>
      <c r="AB189" s="777"/>
      <c r="AC189" s="246"/>
      <c r="AD189" s="247"/>
      <c r="AE189" s="247"/>
      <c r="AF189" s="247"/>
      <c r="AG189" s="247"/>
      <c r="AH189" s="247"/>
      <c r="AI189" s="247"/>
      <c r="AJ189" s="247"/>
      <c r="AK189" s="247"/>
      <c r="AL189" s="247"/>
      <c r="AM189" s="247"/>
      <c r="AP189" s="212"/>
      <c r="AQ189" s="212"/>
      <c r="AR189" s="212"/>
      <c r="AS189" s="222"/>
      <c r="AW189" s="244"/>
    </row>
    <row r="190" spans="1:49" s="168" customFormat="1" ht="18.600000000000001" customHeight="1">
      <c r="A190" s="736"/>
      <c r="B190" s="740"/>
      <c r="C190" s="741"/>
      <c r="D190" s="749" t="s">
        <v>5314</v>
      </c>
      <c r="E190" s="258"/>
      <c r="F190" s="764"/>
      <c r="G190" s="741" t="str">
        <f>G188</f>
        <v>Y</v>
      </c>
      <c r="H190" s="224"/>
      <c r="I190" s="212" t="str">
        <f t="shared" si="3"/>
        <v>LA</v>
      </c>
      <c r="J190" s="249" t="s">
        <v>67</v>
      </c>
      <c r="K190" s="212"/>
      <c r="L190" s="212"/>
      <c r="M190" s="212"/>
      <c r="N190" s="212"/>
      <c r="O190" s="212"/>
      <c r="P190" s="226"/>
      <c r="Q190" s="227"/>
      <c r="R190" s="212"/>
      <c r="S190" s="212"/>
      <c r="T190" s="212"/>
      <c r="U190" s="212"/>
      <c r="V190" s="212"/>
      <c r="W190" s="228"/>
      <c r="X190" s="212"/>
      <c r="Y190" s="768"/>
      <c r="Z190" s="772"/>
      <c r="AA190" s="219"/>
      <c r="AB190" s="777"/>
      <c r="AC190" s="246"/>
      <c r="AD190" s="247"/>
      <c r="AE190" s="247"/>
      <c r="AF190" s="247"/>
      <c r="AG190" s="247"/>
      <c r="AH190" s="247"/>
      <c r="AI190" s="247"/>
      <c r="AJ190" s="247"/>
      <c r="AK190" s="247"/>
      <c r="AL190" s="247"/>
      <c r="AM190" s="247"/>
      <c r="AP190" s="212"/>
      <c r="AQ190" s="212"/>
      <c r="AR190" s="212"/>
      <c r="AS190" s="222"/>
      <c r="AW190" s="244"/>
    </row>
    <row r="191" spans="1:49" s="168" customFormat="1" ht="18.600000000000001" customHeight="1">
      <c r="A191" s="736"/>
      <c r="B191" s="738"/>
      <c r="C191" s="741"/>
      <c r="D191" s="749" t="s">
        <v>253</v>
      </c>
      <c r="E191" s="256"/>
      <c r="F191" s="762" t="s">
        <v>235</v>
      </c>
      <c r="G191" s="741" t="str">
        <f>IF(_xlfn.XLOOKUP(C191,'[38]Before Award'!D:D,'[38]Before Award'!AV:AV,"N/A")="N/A","N","Y")</f>
        <v>Y</v>
      </c>
      <c r="H191" s="224"/>
      <c r="I191" s="212" t="str">
        <f t="shared" si="3"/>
        <v>LA</v>
      </c>
      <c r="J191" s="249" t="s">
        <v>5236</v>
      </c>
      <c r="K191" s="215">
        <f>WORKDAY(L191,-INDEX(L$12:L$15,MATCH($I191,$I$12:$I$15,0)))</f>
        <v>46111</v>
      </c>
      <c r="L191" s="215">
        <f>WORKDAY(M191,-1)</f>
        <v>46112</v>
      </c>
      <c r="M191" s="215">
        <f>WORKDAY(N191,-INDEX(N$12:N$15,MATCH($I191,$I$12:$I$15,0)))</f>
        <v>46113</v>
      </c>
      <c r="N191" s="215">
        <f>WORKDAY(O191,-1)</f>
        <v>46114</v>
      </c>
      <c r="O191" s="215">
        <f>WORKDAY(R191,-5)</f>
        <v>46115</v>
      </c>
      <c r="P191" s="216">
        <f>U191-L191</f>
        <v>23</v>
      </c>
      <c r="Q191" s="217"/>
      <c r="R191" s="215">
        <f>WORKDAY(S191,-1)</f>
        <v>46122</v>
      </c>
      <c r="S191" s="215">
        <f>WORKDAY(T191,-1)</f>
        <v>46125</v>
      </c>
      <c r="T191" s="215">
        <f>WORKDAY(U191,-7)</f>
        <v>46126</v>
      </c>
      <c r="U191" s="215">
        <f>X191-Y191</f>
        <v>46135</v>
      </c>
      <c r="V191" s="215">
        <f>WORKDAY(U191,INDEX(V$12:V$15,MATCH($I191,$I$12:$I$15,0)))</f>
        <v>46139</v>
      </c>
      <c r="W191" s="218">
        <f>Y191/7</f>
        <v>22.8571428571429</v>
      </c>
      <c r="X191" s="215">
        <f>Z191</f>
        <v>46295</v>
      </c>
      <c r="Y191" s="768">
        <f>120+40</f>
        <v>160</v>
      </c>
      <c r="Z191" s="774">
        <v>46295</v>
      </c>
      <c r="AA191" s="219"/>
      <c r="AB191" s="777">
        <f>Z191-X192</f>
        <v>0</v>
      </c>
      <c r="AC191" s="246"/>
      <c r="AD191" s="247"/>
      <c r="AE191" s="247"/>
      <c r="AF191" s="247"/>
      <c r="AG191" s="247"/>
      <c r="AH191" s="247"/>
      <c r="AI191" s="247"/>
      <c r="AJ191" s="247"/>
      <c r="AK191" s="247"/>
      <c r="AL191" s="247"/>
      <c r="AM191" s="247"/>
      <c r="AP191" s="212"/>
      <c r="AQ191" s="212"/>
      <c r="AR191" s="212"/>
      <c r="AS191" s="222"/>
      <c r="AW191" s="244"/>
    </row>
    <row r="192" spans="1:49" s="168" customFormat="1" ht="18.600000000000001" customHeight="1">
      <c r="A192" s="736"/>
      <c r="B192" s="739"/>
      <c r="C192" s="741"/>
      <c r="D192" s="749"/>
      <c r="E192" s="257"/>
      <c r="F192" s="763"/>
      <c r="G192" s="741" t="str">
        <f>G191</f>
        <v>Y</v>
      </c>
      <c r="H192" s="224"/>
      <c r="I192" s="212" t="str">
        <f t="shared" si="3"/>
        <v>LA</v>
      </c>
      <c r="J192" s="249" t="s">
        <v>65</v>
      </c>
      <c r="K192" s="215">
        <f>K191</f>
        <v>46111</v>
      </c>
      <c r="L192" s="215">
        <f>WORKDAY(IF(K193="",K192,K193),INDEX(L$12:L$15,MATCH($I191,$I$12:$I$15,0)))</f>
        <v>46112</v>
      </c>
      <c r="M192" s="215">
        <f>WORKDAY(IF(L193="",L192,L193),1)</f>
        <v>46113</v>
      </c>
      <c r="N192" s="215">
        <f>WORKDAY(IF(M193="",M192,M193),INDEX(N$12:N$15,MATCH($I191,$I$12:$I$15,0)))</f>
        <v>46114</v>
      </c>
      <c r="O192" s="215">
        <f>WORKDAY(IF(N193="",N192,N193),1)</f>
        <v>46115</v>
      </c>
      <c r="P192" s="216"/>
      <c r="Q192" s="217"/>
      <c r="R192" s="215">
        <f>WORKDAY(IF(O193="",O192,O193),5)</f>
        <v>46122</v>
      </c>
      <c r="S192" s="215">
        <f>WORKDAY(IF(R193="",R192,R193),1)</f>
        <v>46125</v>
      </c>
      <c r="T192" s="215">
        <f>WORKDAY(IF(S193="",S192,S193),1)</f>
        <v>46126</v>
      </c>
      <c r="U192" s="215">
        <f>WORKDAY(IF(T193="",T192,T193),7)</f>
        <v>46135</v>
      </c>
      <c r="V192" s="215">
        <f>WORKDAY(IF(U193="",U192,U193),1)</f>
        <v>46136</v>
      </c>
      <c r="W192" s="218"/>
      <c r="X192" s="215">
        <f>U192+Y191</f>
        <v>46295</v>
      </c>
      <c r="Y192" s="768"/>
      <c r="Z192" s="775"/>
      <c r="AA192" s="219"/>
      <c r="AB192" s="777"/>
      <c r="AC192" s="246"/>
      <c r="AD192" s="247"/>
      <c r="AE192" s="247"/>
      <c r="AF192" s="247"/>
      <c r="AG192" s="247"/>
      <c r="AH192" s="247"/>
      <c r="AI192" s="247"/>
      <c r="AJ192" s="247"/>
      <c r="AK192" s="247"/>
      <c r="AL192" s="247"/>
      <c r="AM192" s="247"/>
      <c r="AP192" s="212"/>
      <c r="AQ192" s="212"/>
      <c r="AR192" s="212"/>
      <c r="AS192" s="222"/>
      <c r="AW192" s="244"/>
    </row>
    <row r="193" spans="1:49" s="168" customFormat="1" ht="18.600000000000001" customHeight="1">
      <c r="A193" s="736"/>
      <c r="B193" s="740"/>
      <c r="C193" s="741"/>
      <c r="D193" s="749"/>
      <c r="E193" s="258"/>
      <c r="F193" s="764"/>
      <c r="G193" s="741" t="str">
        <f>G191</f>
        <v>Y</v>
      </c>
      <c r="H193" s="224"/>
      <c r="I193" s="212" t="str">
        <f t="shared" si="3"/>
        <v>LA</v>
      </c>
      <c r="J193" s="249" t="s">
        <v>67</v>
      </c>
      <c r="K193" s="212"/>
      <c r="L193" s="212"/>
      <c r="M193" s="212"/>
      <c r="N193" s="212"/>
      <c r="O193" s="212"/>
      <c r="P193" s="226"/>
      <c r="Q193" s="227"/>
      <c r="R193" s="212"/>
      <c r="S193" s="212"/>
      <c r="T193" s="212"/>
      <c r="U193" s="212"/>
      <c r="V193" s="212"/>
      <c r="W193" s="228"/>
      <c r="X193" s="212"/>
      <c r="Y193" s="768"/>
      <c r="Z193" s="776"/>
      <c r="AA193" s="219"/>
      <c r="AB193" s="777"/>
      <c r="AC193" s="246"/>
      <c r="AD193" s="247"/>
      <c r="AE193" s="247"/>
      <c r="AF193" s="247"/>
      <c r="AG193" s="247"/>
      <c r="AH193" s="247"/>
      <c r="AI193" s="247"/>
      <c r="AJ193" s="247"/>
      <c r="AK193" s="247"/>
      <c r="AL193" s="247"/>
      <c r="AM193" s="247"/>
      <c r="AP193" s="212"/>
      <c r="AQ193" s="212"/>
      <c r="AR193" s="212"/>
      <c r="AS193" s="222"/>
      <c r="AW193" s="244"/>
    </row>
    <row r="194" spans="1:49" s="168" customFormat="1" ht="18.600000000000001" customHeight="1">
      <c r="A194" s="736"/>
      <c r="B194" s="738"/>
      <c r="C194" s="741"/>
      <c r="D194" s="741" t="s">
        <v>257</v>
      </c>
      <c r="E194" s="213"/>
      <c r="F194" s="750" t="s">
        <v>235</v>
      </c>
      <c r="G194" s="741" t="str">
        <f>IF(_xlfn.XLOOKUP(C194,'[38]Before Award'!D:D,'[38]Before Award'!AV:AV,"N/A")="N/A","N","Y")</f>
        <v>Y</v>
      </c>
      <c r="H194" s="224"/>
      <c r="I194" s="212" t="str">
        <f t="shared" si="3"/>
        <v>LA</v>
      </c>
      <c r="J194" s="249" t="s">
        <v>5236</v>
      </c>
      <c r="K194" s="215">
        <f>WORKDAY(L194,-INDEX(L$12:L$15,MATCH($I194,$I$12:$I$15,0)))</f>
        <v>46122</v>
      </c>
      <c r="L194" s="215">
        <f>WORKDAY(M194,-1)</f>
        <v>46125</v>
      </c>
      <c r="M194" s="215">
        <f>WORKDAY(N194,-INDEX(N$12:N$15,MATCH($I194,$I$12:$I$15,0)))</f>
        <v>46126</v>
      </c>
      <c r="N194" s="215">
        <f>WORKDAY(O194,-1)</f>
        <v>46127</v>
      </c>
      <c r="O194" s="215">
        <f>WORKDAY(R194,-5)</f>
        <v>46128</v>
      </c>
      <c r="P194" s="216">
        <f>U194-L194</f>
        <v>23</v>
      </c>
      <c r="Q194" s="217"/>
      <c r="R194" s="215">
        <f>WORKDAY(S194,-1)</f>
        <v>46135</v>
      </c>
      <c r="S194" s="215">
        <f>WORKDAY(T194,-1)</f>
        <v>46136</v>
      </c>
      <c r="T194" s="215">
        <f>WORKDAY(U194,-7)</f>
        <v>46139</v>
      </c>
      <c r="U194" s="215">
        <f>X194-Y194</f>
        <v>46148</v>
      </c>
      <c r="V194" s="215">
        <f>WORKDAY(U194,INDEX(V$12:V$15,MATCH($I194,$I$12:$I$15,0)))</f>
        <v>46150</v>
      </c>
      <c r="W194" s="218">
        <f>Y194/7</f>
        <v>17.1428571428571</v>
      </c>
      <c r="X194" s="215">
        <f>Z194</f>
        <v>46268</v>
      </c>
      <c r="Y194" s="768">
        <v>120</v>
      </c>
      <c r="Z194" s="774">
        <v>46268</v>
      </c>
      <c r="AA194" s="219"/>
      <c r="AB194" s="777">
        <f>Z194-X195</f>
        <v>0</v>
      </c>
      <c r="AC194" s="246"/>
      <c r="AD194" s="247"/>
      <c r="AE194" s="247"/>
      <c r="AF194" s="247"/>
      <c r="AG194" s="247"/>
      <c r="AH194" s="247"/>
      <c r="AI194" s="247"/>
      <c r="AJ194" s="247"/>
      <c r="AK194" s="247"/>
      <c r="AL194" s="247"/>
      <c r="AM194" s="247"/>
      <c r="AP194" s="212"/>
      <c r="AQ194" s="212"/>
      <c r="AR194" s="212"/>
      <c r="AS194" s="222"/>
      <c r="AU194" s="779">
        <f>AT195+40</f>
        <v>46322</v>
      </c>
      <c r="AW194" s="244"/>
    </row>
    <row r="195" spans="1:49" s="168" customFormat="1" ht="18.600000000000001" customHeight="1">
      <c r="A195" s="736"/>
      <c r="B195" s="739"/>
      <c r="C195" s="741"/>
      <c r="D195" s="741" t="s">
        <v>5308</v>
      </c>
      <c r="E195" s="224"/>
      <c r="F195" s="751"/>
      <c r="G195" s="741" t="str">
        <f>G194</f>
        <v>Y</v>
      </c>
      <c r="H195" s="224"/>
      <c r="I195" s="212" t="str">
        <f t="shared" si="3"/>
        <v>LA</v>
      </c>
      <c r="J195" s="249" t="s">
        <v>65</v>
      </c>
      <c r="K195" s="215">
        <f>K194</f>
        <v>46122</v>
      </c>
      <c r="L195" s="215">
        <f>WORKDAY(IF(K196="",K195,K196),INDEX(L$12:L$15,MATCH($I194,$I$12:$I$15,0)))</f>
        <v>46125</v>
      </c>
      <c r="M195" s="215">
        <f>WORKDAY(IF(L196="",L195,L196),1)</f>
        <v>46126</v>
      </c>
      <c r="N195" s="215">
        <f>WORKDAY(IF(M196="",M195,M196),INDEX(N$12:N$15,MATCH($I194,$I$12:$I$15,0)))</f>
        <v>46127</v>
      </c>
      <c r="O195" s="215">
        <f>WORKDAY(IF(N196="",N195,N196),1)</f>
        <v>46128</v>
      </c>
      <c r="P195" s="216"/>
      <c r="Q195" s="217"/>
      <c r="R195" s="215">
        <f>WORKDAY(IF(O196="",O195,O196),5)</f>
        <v>46135</v>
      </c>
      <c r="S195" s="215">
        <f>WORKDAY(IF(R196="",R195,R196),1)</f>
        <v>46136</v>
      </c>
      <c r="T195" s="215">
        <f>WORKDAY(IF(S196="",S195,S196),1)</f>
        <v>46139</v>
      </c>
      <c r="U195" s="215">
        <f>WORKDAY(IF(T196="",T195,T196),7)</f>
        <v>46148</v>
      </c>
      <c r="V195" s="215">
        <f>WORKDAY(IF(U196="",U195,U196),1)</f>
        <v>46149</v>
      </c>
      <c r="W195" s="218"/>
      <c r="X195" s="215">
        <f>U195+Y194</f>
        <v>46268</v>
      </c>
      <c r="Y195" s="768"/>
      <c r="Z195" s="775"/>
      <c r="AA195" s="219"/>
      <c r="AB195" s="777"/>
      <c r="AC195" s="246"/>
      <c r="AD195" s="247"/>
      <c r="AE195" s="247"/>
      <c r="AF195" s="247"/>
      <c r="AG195" s="247"/>
      <c r="AH195" s="247"/>
      <c r="AI195" s="247"/>
      <c r="AJ195" s="247"/>
      <c r="AK195" s="247"/>
      <c r="AL195" s="247"/>
      <c r="AM195" s="247"/>
      <c r="AP195" s="212"/>
      <c r="AQ195" s="212"/>
      <c r="AR195" s="212"/>
      <c r="AS195" s="222"/>
      <c r="AT195" s="259">
        <v>46282</v>
      </c>
      <c r="AU195" s="779"/>
      <c r="AW195" s="244"/>
    </row>
    <row r="196" spans="1:49" s="168" customFormat="1" ht="18.600000000000001" customHeight="1">
      <c r="A196" s="736"/>
      <c r="B196" s="740"/>
      <c r="C196" s="741"/>
      <c r="D196" s="741" t="s">
        <v>5308</v>
      </c>
      <c r="E196" s="225"/>
      <c r="F196" s="752"/>
      <c r="G196" s="741" t="str">
        <f>G194</f>
        <v>Y</v>
      </c>
      <c r="H196" s="224"/>
      <c r="I196" s="212" t="str">
        <f t="shared" si="3"/>
        <v>LA</v>
      </c>
      <c r="J196" s="249" t="s">
        <v>67</v>
      </c>
      <c r="K196" s="212"/>
      <c r="L196" s="212"/>
      <c r="M196" s="212"/>
      <c r="N196" s="212"/>
      <c r="O196" s="212"/>
      <c r="P196" s="226"/>
      <c r="Q196" s="227"/>
      <c r="R196" s="212"/>
      <c r="S196" s="212"/>
      <c r="T196" s="212"/>
      <c r="U196" s="212"/>
      <c r="V196" s="212"/>
      <c r="W196" s="228"/>
      <c r="X196" s="212"/>
      <c r="Y196" s="768"/>
      <c r="Z196" s="776"/>
      <c r="AA196" s="219"/>
      <c r="AB196" s="777"/>
      <c r="AC196" s="246"/>
      <c r="AD196" s="247"/>
      <c r="AE196" s="247"/>
      <c r="AF196" s="247"/>
      <c r="AG196" s="247"/>
      <c r="AH196" s="247"/>
      <c r="AI196" s="247"/>
      <c r="AJ196" s="247"/>
      <c r="AK196" s="247"/>
      <c r="AL196" s="247"/>
      <c r="AM196" s="247"/>
      <c r="AP196" s="212"/>
      <c r="AQ196" s="212"/>
      <c r="AR196" s="212"/>
      <c r="AS196" s="222"/>
      <c r="AU196" s="779"/>
      <c r="AW196" s="244"/>
    </row>
    <row r="197" spans="1:49" s="168" customFormat="1" ht="18.600000000000001" customHeight="1">
      <c r="A197" s="736"/>
      <c r="B197" s="738"/>
      <c r="C197" s="741"/>
      <c r="D197" s="741" t="s">
        <v>5315</v>
      </c>
      <c r="E197" s="213"/>
      <c r="F197" s="750" t="s">
        <v>235</v>
      </c>
      <c r="G197" s="741" t="str">
        <f>IF(_xlfn.XLOOKUP(C197,'[38]Before Award'!D:D,'[38]Before Award'!AV:AV,"N/A")="N/A","N","Y")</f>
        <v>Y</v>
      </c>
      <c r="H197" s="224"/>
      <c r="I197" s="212" t="str">
        <f>I192</f>
        <v>LA</v>
      </c>
      <c r="J197" s="249" t="s">
        <v>5236</v>
      </c>
      <c r="K197" s="215">
        <f>WORKDAY(L197,-INDEX(L$12:L$15,MATCH($I197,$I$12:$I$15,0)))</f>
        <v>46155</v>
      </c>
      <c r="L197" s="215">
        <f>WORKDAY(M197,-1)</f>
        <v>46156</v>
      </c>
      <c r="M197" s="215">
        <f>WORKDAY(N197,-INDEX(N$12:N$15,MATCH($I197,$I$12:$I$15,0)))</f>
        <v>46157</v>
      </c>
      <c r="N197" s="215">
        <f>WORKDAY(O197,-1)</f>
        <v>46160</v>
      </c>
      <c r="O197" s="215">
        <f>WORKDAY(R197,-5)</f>
        <v>46161</v>
      </c>
      <c r="P197" s="216">
        <f>U197-L197</f>
        <v>23</v>
      </c>
      <c r="Q197" s="217"/>
      <c r="R197" s="215">
        <f>WORKDAY(S197,-1)</f>
        <v>46168</v>
      </c>
      <c r="S197" s="215">
        <f>WORKDAY(T197,-1)</f>
        <v>46169</v>
      </c>
      <c r="T197" s="215">
        <f>WORKDAY(U197,-7)</f>
        <v>46170</v>
      </c>
      <c r="U197" s="215">
        <f>X197-Y197</f>
        <v>46179</v>
      </c>
      <c r="V197" s="215">
        <f>WORKDAY(U197,INDEX(V$12:V$15,MATCH($I197,$I$12:$I$15,0)))</f>
        <v>46182</v>
      </c>
      <c r="W197" s="218">
        <f>Y197/7</f>
        <v>19</v>
      </c>
      <c r="X197" s="215">
        <f>Z197</f>
        <v>46312</v>
      </c>
      <c r="Y197" s="768">
        <f>19*7</f>
        <v>133</v>
      </c>
      <c r="Z197" s="773">
        <v>46312</v>
      </c>
      <c r="AA197" s="219"/>
      <c r="AB197" s="777">
        <f>Z197-X198</f>
        <v>0</v>
      </c>
      <c r="AC197" s="246"/>
      <c r="AD197" s="247"/>
      <c r="AE197" s="247"/>
      <c r="AF197" s="247"/>
      <c r="AG197" s="247"/>
      <c r="AH197" s="247"/>
      <c r="AI197" s="247"/>
      <c r="AJ197" s="247"/>
      <c r="AK197" s="247"/>
      <c r="AL197" s="247"/>
      <c r="AM197" s="247"/>
      <c r="AP197" s="212"/>
      <c r="AQ197" s="212"/>
      <c r="AR197" s="212"/>
      <c r="AS197" s="222"/>
      <c r="AW197" s="244"/>
    </row>
    <row r="198" spans="1:49" s="168" customFormat="1" ht="18.600000000000001" customHeight="1">
      <c r="A198" s="736"/>
      <c r="B198" s="739"/>
      <c r="C198" s="741"/>
      <c r="D198" s="741"/>
      <c r="E198" s="224"/>
      <c r="F198" s="751"/>
      <c r="G198" s="741" t="str">
        <f>G197</f>
        <v>Y</v>
      </c>
      <c r="H198" s="224"/>
      <c r="I198" s="212" t="str">
        <f>I193</f>
        <v>LA</v>
      </c>
      <c r="J198" s="249" t="s">
        <v>65</v>
      </c>
      <c r="K198" s="215">
        <f>K197</f>
        <v>46155</v>
      </c>
      <c r="L198" s="215">
        <f>WORKDAY(IF(K199="",K198,K199),INDEX(L$12:L$15,MATCH($I197,$I$12:$I$15,0)))</f>
        <v>46156</v>
      </c>
      <c r="M198" s="215">
        <f>WORKDAY(IF(L199="",L198,L199),1)</f>
        <v>46157</v>
      </c>
      <c r="N198" s="215">
        <f>WORKDAY(IF(M199="",M198,M199),INDEX(N$12:N$15,MATCH($I197,$I$12:$I$15,0)))</f>
        <v>46160</v>
      </c>
      <c r="O198" s="215">
        <f>WORKDAY(IF(N199="",N198,N199),1)</f>
        <v>46161</v>
      </c>
      <c r="P198" s="216"/>
      <c r="Q198" s="217"/>
      <c r="R198" s="215">
        <f>WORKDAY(IF(O199="",O198,O199),5)</f>
        <v>46168</v>
      </c>
      <c r="S198" s="215">
        <f>WORKDAY(IF(R199="",R198,R199),1)</f>
        <v>46169</v>
      </c>
      <c r="T198" s="215">
        <f>WORKDAY(IF(S199="",S198,S199),1)</f>
        <v>46170</v>
      </c>
      <c r="U198" s="215">
        <f>WORKDAY(IF(T199="",T198,T199),7)-2</f>
        <v>46179</v>
      </c>
      <c r="V198" s="215">
        <f>WORKDAY(IF(U199="",U198,U199),1)</f>
        <v>46181</v>
      </c>
      <c r="W198" s="218"/>
      <c r="X198" s="215">
        <f>U198+Y197</f>
        <v>46312</v>
      </c>
      <c r="Y198" s="768"/>
      <c r="Z198" s="773"/>
      <c r="AA198" s="219"/>
      <c r="AB198" s="777"/>
      <c r="AC198" s="246"/>
      <c r="AD198" s="247"/>
      <c r="AE198" s="247"/>
      <c r="AF198" s="247"/>
      <c r="AG198" s="247"/>
      <c r="AH198" s="247"/>
      <c r="AI198" s="247"/>
      <c r="AJ198" s="247"/>
      <c r="AK198" s="247"/>
      <c r="AL198" s="247"/>
      <c r="AM198" s="247"/>
      <c r="AP198" s="212"/>
      <c r="AQ198" s="212"/>
      <c r="AR198" s="212"/>
      <c r="AS198" s="222"/>
      <c r="AW198" s="244"/>
    </row>
    <row r="199" spans="1:49" s="168" customFormat="1" ht="18.600000000000001" customHeight="1">
      <c r="A199" s="736"/>
      <c r="B199" s="740"/>
      <c r="C199" s="741"/>
      <c r="D199" s="741"/>
      <c r="E199" s="225"/>
      <c r="F199" s="752"/>
      <c r="G199" s="741" t="str">
        <f>G197</f>
        <v>Y</v>
      </c>
      <c r="H199" s="224"/>
      <c r="I199" s="212" t="str">
        <f>I197</f>
        <v>LA</v>
      </c>
      <c r="J199" s="249" t="s">
        <v>67</v>
      </c>
      <c r="K199" s="212"/>
      <c r="L199" s="212"/>
      <c r="M199" s="212"/>
      <c r="N199" s="212"/>
      <c r="O199" s="212"/>
      <c r="P199" s="226"/>
      <c r="Q199" s="227"/>
      <c r="R199" s="212"/>
      <c r="S199" s="212"/>
      <c r="T199" s="212"/>
      <c r="U199" s="212"/>
      <c r="V199" s="212"/>
      <c r="W199" s="228"/>
      <c r="X199" s="212"/>
      <c r="Y199" s="768"/>
      <c r="Z199" s="773"/>
      <c r="AA199" s="219"/>
      <c r="AB199" s="777"/>
      <c r="AC199" s="246"/>
      <c r="AD199" s="247"/>
      <c r="AE199" s="247"/>
      <c r="AF199" s="247"/>
      <c r="AG199" s="247"/>
      <c r="AH199" s="247"/>
      <c r="AI199" s="247"/>
      <c r="AJ199" s="247"/>
      <c r="AK199" s="247"/>
      <c r="AL199" s="247"/>
      <c r="AM199" s="247"/>
      <c r="AP199" s="212"/>
      <c r="AQ199" s="212"/>
      <c r="AR199" s="212"/>
      <c r="AS199" s="222"/>
      <c r="AW199" s="244"/>
    </row>
    <row r="200" spans="1:49" s="168" customFormat="1" ht="18.600000000000001" customHeight="1">
      <c r="A200" s="736"/>
      <c r="B200" s="738"/>
      <c r="C200" s="741"/>
      <c r="D200" s="741" t="s">
        <v>5316</v>
      </c>
      <c r="E200" s="213"/>
      <c r="F200" s="750" t="s">
        <v>235</v>
      </c>
      <c r="G200" s="741" t="str">
        <f>IF(_xlfn.XLOOKUP(C200,'[38]Before Award'!D:D,'[38]Before Award'!AV:AV,"N/A")="N/A","N","Y")</f>
        <v>Y</v>
      </c>
      <c r="H200" s="224"/>
      <c r="I200" s="212" t="str">
        <f>I195</f>
        <v>LA</v>
      </c>
      <c r="J200" s="249" t="s">
        <v>5236</v>
      </c>
      <c r="K200" s="215">
        <f>WORKDAY(L200,-INDEX(L$12:L$15,MATCH($I200,$I$12:$I$15,0)))</f>
        <v>46136</v>
      </c>
      <c r="L200" s="215">
        <f>WORKDAY(M200,-1)</f>
        <v>46139</v>
      </c>
      <c r="M200" s="215">
        <f>WORKDAY(N200,-INDEX(N$12:N$15,MATCH($I200,$I$12:$I$15,0)))</f>
        <v>46140</v>
      </c>
      <c r="N200" s="215">
        <f>WORKDAY(O200,-1)</f>
        <v>46141</v>
      </c>
      <c r="O200" s="215">
        <f>WORKDAY(R200,-5)</f>
        <v>46142</v>
      </c>
      <c r="P200" s="216">
        <f>U200-L200</f>
        <v>23</v>
      </c>
      <c r="Q200" s="217"/>
      <c r="R200" s="215">
        <f>WORKDAY(S200,-1)</f>
        <v>46149</v>
      </c>
      <c r="S200" s="215">
        <f>WORKDAY(T200,-1)</f>
        <v>46150</v>
      </c>
      <c r="T200" s="215">
        <f>WORKDAY(U200,-7)</f>
        <v>46153</v>
      </c>
      <c r="U200" s="215">
        <f>X200-Y200</f>
        <v>46162</v>
      </c>
      <c r="V200" s="215">
        <f>WORKDAY(U200,INDEX(V$12:V$15,MATCH($I200,$I$12:$I$15,0)))</f>
        <v>46164</v>
      </c>
      <c r="W200" s="218">
        <f>Y200/7</f>
        <v>22.8571428571429</v>
      </c>
      <c r="X200" s="215">
        <f>Z200</f>
        <v>46322</v>
      </c>
      <c r="Y200" s="768">
        <f>120+40</f>
        <v>160</v>
      </c>
      <c r="Z200" s="773">
        <v>46322</v>
      </c>
      <c r="AA200" s="219"/>
      <c r="AB200" s="777">
        <f>Z200-X201</f>
        <v>0</v>
      </c>
      <c r="AC200" s="246"/>
      <c r="AD200" s="247"/>
      <c r="AE200" s="247"/>
      <c r="AF200" s="247"/>
      <c r="AG200" s="247"/>
      <c r="AH200" s="247"/>
      <c r="AI200" s="247"/>
      <c r="AJ200" s="247"/>
      <c r="AK200" s="247"/>
      <c r="AL200" s="247"/>
      <c r="AM200" s="247"/>
      <c r="AP200" s="212"/>
      <c r="AQ200" s="212"/>
      <c r="AR200" s="212"/>
      <c r="AS200" s="222"/>
      <c r="AW200" s="244"/>
    </row>
    <row r="201" spans="1:49" s="168" customFormat="1" ht="18.600000000000001" customHeight="1">
      <c r="A201" s="736"/>
      <c r="B201" s="739"/>
      <c r="C201" s="741"/>
      <c r="D201" s="741"/>
      <c r="E201" s="224"/>
      <c r="F201" s="751"/>
      <c r="G201" s="741" t="str">
        <f>G200</f>
        <v>Y</v>
      </c>
      <c r="H201" s="224"/>
      <c r="I201" s="212" t="str">
        <f>I196</f>
        <v>LA</v>
      </c>
      <c r="J201" s="249" t="s">
        <v>65</v>
      </c>
      <c r="K201" s="215">
        <f>K200</f>
        <v>46136</v>
      </c>
      <c r="L201" s="215">
        <f>WORKDAY(IF(K202="",K201,K202),INDEX(L$12:L$15,MATCH($I200,$I$12:$I$15,0)))</f>
        <v>46139</v>
      </c>
      <c r="M201" s="215">
        <f>WORKDAY(IF(L202="",L201,L202),1)</f>
        <v>46140</v>
      </c>
      <c r="N201" s="215">
        <f>WORKDAY(IF(M202="",M201,M202),INDEX(N$12:N$15,MATCH($I200,$I$12:$I$15,0)))</f>
        <v>46141</v>
      </c>
      <c r="O201" s="215">
        <f>WORKDAY(IF(N202="",N201,N202),1)</f>
        <v>46142</v>
      </c>
      <c r="P201" s="216"/>
      <c r="Q201" s="217"/>
      <c r="R201" s="215">
        <f>WORKDAY(IF(O202="",O201,O202),5)</f>
        <v>46149</v>
      </c>
      <c r="S201" s="215">
        <f>WORKDAY(IF(R202="",R201,R202),1)</f>
        <v>46150</v>
      </c>
      <c r="T201" s="215">
        <f>WORKDAY(IF(S202="",S201,S202),1)</f>
        <v>46153</v>
      </c>
      <c r="U201" s="215">
        <f>WORKDAY(IF(T202="",T201,T202),7)</f>
        <v>46162</v>
      </c>
      <c r="V201" s="215">
        <f>WORKDAY(IF(U202="",U201,U202),1)</f>
        <v>46163</v>
      </c>
      <c r="W201" s="218"/>
      <c r="X201" s="215">
        <f>U201+Y200</f>
        <v>46322</v>
      </c>
      <c r="Y201" s="768"/>
      <c r="Z201" s="773"/>
      <c r="AA201" s="219"/>
      <c r="AB201" s="777"/>
      <c r="AC201" s="246"/>
      <c r="AD201" s="247"/>
      <c r="AE201" s="247"/>
      <c r="AF201" s="247"/>
      <c r="AG201" s="247"/>
      <c r="AH201" s="247"/>
      <c r="AI201" s="247"/>
      <c r="AJ201" s="247"/>
      <c r="AK201" s="247"/>
      <c r="AL201" s="247"/>
      <c r="AM201" s="247"/>
      <c r="AP201" s="212"/>
      <c r="AQ201" s="212"/>
      <c r="AR201" s="212"/>
      <c r="AS201" s="222"/>
      <c r="AW201" s="244"/>
    </row>
    <row r="202" spans="1:49" s="168" customFormat="1" ht="18.600000000000001" customHeight="1">
      <c r="A202" s="736"/>
      <c r="B202" s="740"/>
      <c r="C202" s="741"/>
      <c r="D202" s="741"/>
      <c r="E202" s="225"/>
      <c r="F202" s="752"/>
      <c r="G202" s="741" t="str">
        <f>G200</f>
        <v>Y</v>
      </c>
      <c r="H202" s="224"/>
      <c r="I202" s="212" t="str">
        <f t="shared" ref="I202:I211" si="4">I200</f>
        <v>LA</v>
      </c>
      <c r="J202" s="249" t="s">
        <v>67</v>
      </c>
      <c r="K202" s="212"/>
      <c r="L202" s="212"/>
      <c r="M202" s="212"/>
      <c r="N202" s="212"/>
      <c r="O202" s="212"/>
      <c r="P202" s="226"/>
      <c r="Q202" s="227"/>
      <c r="R202" s="212"/>
      <c r="S202" s="212"/>
      <c r="T202" s="212"/>
      <c r="U202" s="212"/>
      <c r="V202" s="212"/>
      <c r="W202" s="228"/>
      <c r="X202" s="212"/>
      <c r="Y202" s="768"/>
      <c r="Z202" s="773"/>
      <c r="AA202" s="219"/>
      <c r="AB202" s="777"/>
      <c r="AC202" s="246"/>
      <c r="AD202" s="247"/>
      <c r="AE202" s="247"/>
      <c r="AF202" s="247"/>
      <c r="AG202" s="247"/>
      <c r="AH202" s="247"/>
      <c r="AI202" s="247"/>
      <c r="AJ202" s="247"/>
      <c r="AK202" s="247"/>
      <c r="AL202" s="247"/>
      <c r="AM202" s="247"/>
      <c r="AP202" s="212"/>
      <c r="AQ202" s="212"/>
      <c r="AR202" s="212"/>
      <c r="AS202" s="222"/>
      <c r="AW202" s="244"/>
    </row>
    <row r="203" spans="1:49" s="168" customFormat="1" ht="18.600000000000001" customHeight="1">
      <c r="A203" s="736"/>
      <c r="B203" s="738"/>
      <c r="C203" s="741"/>
      <c r="D203" s="741" t="s">
        <v>5317</v>
      </c>
      <c r="E203" s="213"/>
      <c r="F203" s="750" t="s">
        <v>235</v>
      </c>
      <c r="G203" s="741" t="str">
        <f>IF(_xlfn.XLOOKUP(C203,'[38]Before Award'!D:D,'[38]Before Award'!AV:AV,"N/A")="N/A","N","Y")</f>
        <v>Y</v>
      </c>
      <c r="H203" s="224"/>
      <c r="I203" s="212" t="str">
        <f t="shared" si="4"/>
        <v>LA</v>
      </c>
      <c r="J203" s="249" t="s">
        <v>5236</v>
      </c>
      <c r="K203" s="215">
        <f>WORKDAY(L203,-INDEX(L$12:L$15,MATCH($I203,$I$12:$I$15,0)))</f>
        <v>46136</v>
      </c>
      <c r="L203" s="215">
        <f>WORKDAY(M203,-1)</f>
        <v>46139</v>
      </c>
      <c r="M203" s="215">
        <f>WORKDAY(N203,-INDEX(N$12:N$15,MATCH($I203,$I$12:$I$15,0)))</f>
        <v>46140</v>
      </c>
      <c r="N203" s="215">
        <f>WORKDAY(O203,-1)</f>
        <v>46141</v>
      </c>
      <c r="O203" s="215">
        <f>WORKDAY(R203,-5)</f>
        <v>46142</v>
      </c>
      <c r="P203" s="216">
        <f>U203-L203</f>
        <v>23</v>
      </c>
      <c r="Q203" s="217"/>
      <c r="R203" s="215">
        <f>WORKDAY(S203,-1)</f>
        <v>46149</v>
      </c>
      <c r="S203" s="215">
        <f>WORKDAY(T203,-1)</f>
        <v>46150</v>
      </c>
      <c r="T203" s="215">
        <f>WORKDAY(U203,-7)</f>
        <v>46153</v>
      </c>
      <c r="U203" s="215">
        <f>X203-Y203</f>
        <v>46162</v>
      </c>
      <c r="V203" s="215">
        <f>WORKDAY(U203,INDEX(V$12:V$15,MATCH($I203,$I$12:$I$15,0)))</f>
        <v>46164</v>
      </c>
      <c r="W203" s="218">
        <f>Y203/7</f>
        <v>22.8571428571429</v>
      </c>
      <c r="X203" s="215">
        <f>Z203</f>
        <v>46322</v>
      </c>
      <c r="Y203" s="768">
        <f>120+40</f>
        <v>160</v>
      </c>
      <c r="Z203" s="773">
        <v>46322</v>
      </c>
      <c r="AA203" s="219"/>
      <c r="AB203" s="777">
        <f>Z203-X204</f>
        <v>0</v>
      </c>
      <c r="AC203" s="246"/>
      <c r="AD203" s="247"/>
      <c r="AE203" s="247"/>
      <c r="AF203" s="247"/>
      <c r="AG203" s="247"/>
      <c r="AH203" s="247"/>
      <c r="AI203" s="247"/>
      <c r="AJ203" s="247"/>
      <c r="AK203" s="247"/>
      <c r="AL203" s="247"/>
      <c r="AM203" s="247"/>
      <c r="AP203" s="212"/>
      <c r="AQ203" s="212"/>
      <c r="AR203" s="212"/>
      <c r="AS203" s="222"/>
      <c r="AW203" s="244"/>
    </row>
    <row r="204" spans="1:49" s="168" customFormat="1" ht="18.600000000000001" customHeight="1">
      <c r="A204" s="736"/>
      <c r="B204" s="739"/>
      <c r="C204" s="741"/>
      <c r="D204" s="741"/>
      <c r="E204" s="224"/>
      <c r="F204" s="751"/>
      <c r="G204" s="741" t="str">
        <f>G203</f>
        <v>Y</v>
      </c>
      <c r="H204" s="224"/>
      <c r="I204" s="212" t="str">
        <f t="shared" si="4"/>
        <v>LA</v>
      </c>
      <c r="J204" s="249" t="s">
        <v>65</v>
      </c>
      <c r="K204" s="215">
        <f>K203</f>
        <v>46136</v>
      </c>
      <c r="L204" s="215">
        <f>WORKDAY(IF(K205="",K204,K205),INDEX(L$12:L$15,MATCH($I203,$I$12:$I$15,0)))</f>
        <v>46139</v>
      </c>
      <c r="M204" s="215">
        <f>WORKDAY(IF(L205="",L204,L205),1)</f>
        <v>46140</v>
      </c>
      <c r="N204" s="215">
        <f>WORKDAY(IF(M205="",M204,M205),INDEX(N$12:N$15,MATCH($I203,$I$12:$I$15,0)))</f>
        <v>46141</v>
      </c>
      <c r="O204" s="215">
        <f>WORKDAY(IF(N205="",N204,N205),1)</f>
        <v>46142</v>
      </c>
      <c r="P204" s="216"/>
      <c r="Q204" s="217"/>
      <c r="R204" s="215">
        <f>WORKDAY(IF(O205="",O204,O205),5)</f>
        <v>46149</v>
      </c>
      <c r="S204" s="215">
        <f>WORKDAY(IF(R205="",R204,R205),1)</f>
        <v>46150</v>
      </c>
      <c r="T204" s="215">
        <f>WORKDAY(IF(S205="",S204,S205),1)</f>
        <v>46153</v>
      </c>
      <c r="U204" s="215">
        <f>WORKDAY(IF(T205="",T204,T205),7)</f>
        <v>46162</v>
      </c>
      <c r="V204" s="215">
        <f>WORKDAY(IF(U205="",U204,U205),1)</f>
        <v>46163</v>
      </c>
      <c r="W204" s="218"/>
      <c r="X204" s="215">
        <f>U204+Y203</f>
        <v>46322</v>
      </c>
      <c r="Y204" s="768"/>
      <c r="Z204" s="773"/>
      <c r="AA204" s="219"/>
      <c r="AB204" s="777"/>
      <c r="AC204" s="246"/>
      <c r="AD204" s="247"/>
      <c r="AE204" s="247"/>
      <c r="AF204" s="247"/>
      <c r="AG204" s="247"/>
      <c r="AH204" s="247"/>
      <c r="AI204" s="247"/>
      <c r="AJ204" s="247"/>
      <c r="AK204" s="247"/>
      <c r="AL204" s="247"/>
      <c r="AM204" s="247"/>
      <c r="AP204" s="212"/>
      <c r="AQ204" s="212"/>
      <c r="AR204" s="212"/>
      <c r="AS204" s="222"/>
      <c r="AW204" s="244"/>
    </row>
    <row r="205" spans="1:49" s="168" customFormat="1" ht="18.600000000000001" customHeight="1">
      <c r="A205" s="736"/>
      <c r="B205" s="740"/>
      <c r="C205" s="741"/>
      <c r="D205" s="741"/>
      <c r="E205" s="225"/>
      <c r="F205" s="752"/>
      <c r="G205" s="741" t="str">
        <f>G203</f>
        <v>Y</v>
      </c>
      <c r="H205" s="224"/>
      <c r="I205" s="212" t="str">
        <f t="shared" si="4"/>
        <v>LA</v>
      </c>
      <c r="J205" s="249" t="s">
        <v>67</v>
      </c>
      <c r="K205" s="212"/>
      <c r="L205" s="212"/>
      <c r="M205" s="212"/>
      <c r="N205" s="212"/>
      <c r="O205" s="212"/>
      <c r="P205" s="226"/>
      <c r="Q205" s="227"/>
      <c r="R205" s="212"/>
      <c r="S205" s="212"/>
      <c r="T205" s="212"/>
      <c r="U205" s="212"/>
      <c r="V205" s="212"/>
      <c r="W205" s="228"/>
      <c r="X205" s="212"/>
      <c r="Y205" s="768"/>
      <c r="Z205" s="773"/>
      <c r="AA205" s="219"/>
      <c r="AB205" s="777"/>
      <c r="AC205" s="246"/>
      <c r="AD205" s="247"/>
      <c r="AE205" s="247"/>
      <c r="AF205" s="247"/>
      <c r="AG205" s="247"/>
      <c r="AH205" s="247"/>
      <c r="AI205" s="247"/>
      <c r="AJ205" s="247"/>
      <c r="AK205" s="247"/>
      <c r="AL205" s="247"/>
      <c r="AM205" s="247"/>
      <c r="AP205" s="212"/>
      <c r="AQ205" s="212"/>
      <c r="AR205" s="212"/>
      <c r="AS205" s="222"/>
      <c r="AW205" s="244"/>
    </row>
    <row r="206" spans="1:49" s="168" customFormat="1" ht="18.600000000000001" customHeight="1">
      <c r="A206" s="736"/>
      <c r="B206" s="738"/>
      <c r="C206" s="741"/>
      <c r="D206" s="741" t="s">
        <v>265</v>
      </c>
      <c r="E206" s="213"/>
      <c r="F206" s="750" t="s">
        <v>235</v>
      </c>
      <c r="G206" s="741" t="str">
        <f>IF(_xlfn.XLOOKUP(C206,'[38]Before Award'!D:D,'[38]Before Award'!AV:AV,"N/A")="N/A","N","Y")</f>
        <v>Y</v>
      </c>
      <c r="H206" s="224"/>
      <c r="I206" s="212" t="str">
        <f t="shared" si="4"/>
        <v>LA</v>
      </c>
      <c r="J206" s="249" t="s">
        <v>5236</v>
      </c>
      <c r="K206" s="215">
        <f>WORKDAY(L206,-INDEX(L$12:L$15,MATCH($I206,$I$12:$I$15,0)))</f>
        <v>46281</v>
      </c>
      <c r="L206" s="215">
        <f>WORKDAY(M206,-1)</f>
        <v>46282</v>
      </c>
      <c r="M206" s="215">
        <f>WORKDAY(N206,-INDEX(N$12:N$15,MATCH($I206,$I$12:$I$15,0)))</f>
        <v>46283</v>
      </c>
      <c r="N206" s="215">
        <f>WORKDAY(O206,-1)</f>
        <v>46286</v>
      </c>
      <c r="O206" s="215">
        <f>WORKDAY(R206,-5)</f>
        <v>46287</v>
      </c>
      <c r="P206" s="216">
        <f>U206-L206</f>
        <v>25</v>
      </c>
      <c r="Q206" s="217"/>
      <c r="R206" s="215">
        <f>WORKDAY(S206,-1)</f>
        <v>46294</v>
      </c>
      <c r="S206" s="215">
        <f>WORKDAY(T206,-1)</f>
        <v>46295</v>
      </c>
      <c r="T206" s="215">
        <f>WORKDAY(U206,-7)</f>
        <v>46296</v>
      </c>
      <c r="U206" s="215">
        <f>X206-Y206</f>
        <v>46307</v>
      </c>
      <c r="V206" s="215">
        <f>WORKDAY(U206,INDEX(V$12:V$15,MATCH($I206,$I$12:$I$15,0)))</f>
        <v>46309</v>
      </c>
      <c r="W206" s="218">
        <f>Y206/7</f>
        <v>17.1428571428571</v>
      </c>
      <c r="X206" s="215">
        <f>Z206</f>
        <v>46427</v>
      </c>
      <c r="Y206" s="768">
        <v>120</v>
      </c>
      <c r="Z206" s="774">
        <v>46427</v>
      </c>
      <c r="AA206" s="219"/>
      <c r="AB206" s="777">
        <f>Z206-X207</f>
        <v>0</v>
      </c>
      <c r="AC206" s="246"/>
      <c r="AD206" s="247"/>
      <c r="AE206" s="247"/>
      <c r="AF206" s="247"/>
      <c r="AG206" s="247"/>
      <c r="AH206" s="247"/>
      <c r="AI206" s="247"/>
      <c r="AJ206" s="247"/>
      <c r="AK206" s="247"/>
      <c r="AL206" s="247"/>
      <c r="AM206" s="247"/>
      <c r="AP206" s="212"/>
      <c r="AQ206" s="212"/>
      <c r="AR206" s="212"/>
      <c r="AS206" s="222"/>
      <c r="AW206" s="244"/>
    </row>
    <row r="207" spans="1:49" s="168" customFormat="1" ht="18.600000000000001" customHeight="1">
      <c r="A207" s="736"/>
      <c r="B207" s="739"/>
      <c r="C207" s="741"/>
      <c r="D207" s="741" t="s">
        <v>5308</v>
      </c>
      <c r="E207" s="224"/>
      <c r="F207" s="751"/>
      <c r="G207" s="741" t="str">
        <f>G206</f>
        <v>Y</v>
      </c>
      <c r="H207" s="224"/>
      <c r="I207" s="212" t="str">
        <f t="shared" si="4"/>
        <v>LA</v>
      </c>
      <c r="J207" s="249" t="s">
        <v>65</v>
      </c>
      <c r="K207" s="215">
        <f>K206</f>
        <v>46281</v>
      </c>
      <c r="L207" s="215">
        <f>WORKDAY(IF(K208="",K207,K208),INDEX(L$12:L$15,MATCH($I206,$I$12:$I$15,0)))</f>
        <v>46282</v>
      </c>
      <c r="M207" s="215">
        <f>WORKDAY(IF(L208="",L207,L208),1)</f>
        <v>46283</v>
      </c>
      <c r="N207" s="215">
        <f>WORKDAY(IF(M208="",M207,M208),INDEX(N$12:N$15,MATCH($I206,$I$12:$I$15,0)))</f>
        <v>46286</v>
      </c>
      <c r="O207" s="215">
        <f>WORKDAY(IF(N208="",N207,N208),1)</f>
        <v>46287</v>
      </c>
      <c r="P207" s="216"/>
      <c r="Q207" s="217"/>
      <c r="R207" s="215">
        <f>WORKDAY(IF(O208="",O207,O208),5)</f>
        <v>46294</v>
      </c>
      <c r="S207" s="215">
        <f>WORKDAY(IF(R208="",R207,R208),1)</f>
        <v>46295</v>
      </c>
      <c r="T207" s="215">
        <f>WORKDAY(IF(S208="",S207,S208),1)</f>
        <v>46296</v>
      </c>
      <c r="U207" s="215">
        <f>WORKDAY(IF(T208="",T207,T208),7)</f>
        <v>46307</v>
      </c>
      <c r="V207" s="215">
        <f>WORKDAY(IF(U208="",U207,U208),1)</f>
        <v>46308</v>
      </c>
      <c r="W207" s="218"/>
      <c r="X207" s="215">
        <f>U207+Y206</f>
        <v>46427</v>
      </c>
      <c r="Y207" s="768"/>
      <c r="Z207" s="775"/>
      <c r="AA207" s="219"/>
      <c r="AB207" s="777"/>
      <c r="AC207" s="246"/>
      <c r="AD207" s="247"/>
      <c r="AE207" s="247"/>
      <c r="AF207" s="247"/>
      <c r="AG207" s="247"/>
      <c r="AH207" s="247"/>
      <c r="AI207" s="247"/>
      <c r="AJ207" s="247"/>
      <c r="AK207" s="247"/>
      <c r="AL207" s="247"/>
      <c r="AM207" s="247"/>
      <c r="AP207" s="212"/>
      <c r="AQ207" s="212"/>
      <c r="AR207" s="212"/>
      <c r="AS207" s="222"/>
      <c r="AW207" s="244"/>
    </row>
    <row r="208" spans="1:49" s="168" customFormat="1" ht="18.600000000000001" customHeight="1">
      <c r="A208" s="736"/>
      <c r="B208" s="740"/>
      <c r="C208" s="741"/>
      <c r="D208" s="741" t="s">
        <v>5308</v>
      </c>
      <c r="E208" s="225"/>
      <c r="F208" s="752"/>
      <c r="G208" s="741" t="str">
        <f>G206</f>
        <v>Y</v>
      </c>
      <c r="H208" s="224"/>
      <c r="I208" s="212" t="str">
        <f t="shared" si="4"/>
        <v>LA</v>
      </c>
      <c r="J208" s="249" t="s">
        <v>67</v>
      </c>
      <c r="K208" s="212"/>
      <c r="L208" s="212"/>
      <c r="M208" s="212"/>
      <c r="N208" s="212"/>
      <c r="O208" s="212"/>
      <c r="P208" s="226"/>
      <c r="Q208" s="227"/>
      <c r="R208" s="212"/>
      <c r="S208" s="212"/>
      <c r="T208" s="212"/>
      <c r="U208" s="212"/>
      <c r="V208" s="212"/>
      <c r="W208" s="228"/>
      <c r="X208" s="212"/>
      <c r="Y208" s="768"/>
      <c r="Z208" s="776"/>
      <c r="AA208" s="219"/>
      <c r="AB208" s="777"/>
      <c r="AC208" s="246"/>
      <c r="AD208" s="247"/>
      <c r="AE208" s="247"/>
      <c r="AF208" s="247"/>
      <c r="AG208" s="247"/>
      <c r="AH208" s="247"/>
      <c r="AI208" s="247"/>
      <c r="AJ208" s="247"/>
      <c r="AK208" s="247"/>
      <c r="AL208" s="247"/>
      <c r="AM208" s="247"/>
      <c r="AP208" s="212"/>
      <c r="AQ208" s="212"/>
      <c r="AR208" s="212"/>
      <c r="AS208" s="222"/>
      <c r="AW208" s="244"/>
    </row>
    <row r="209" spans="1:49" s="168" customFormat="1" ht="18.600000000000001" customHeight="1">
      <c r="A209" s="736"/>
      <c r="B209" s="738"/>
      <c r="C209" s="741"/>
      <c r="D209" s="741" t="s">
        <v>268</v>
      </c>
      <c r="E209" s="213"/>
      <c r="F209" s="750" t="s">
        <v>235</v>
      </c>
      <c r="G209" s="741" t="str">
        <f>IF(_xlfn.XLOOKUP(C209,'[38]Before Award'!D:D,'[38]Before Award'!AV:AV,"N/A")="N/A","N","Y")</f>
        <v>Y</v>
      </c>
      <c r="H209" s="224"/>
      <c r="I209" s="212" t="str">
        <f t="shared" si="4"/>
        <v>LA</v>
      </c>
      <c r="J209" s="249" t="s">
        <v>5236</v>
      </c>
      <c r="K209" s="215">
        <f>WORKDAY(L209,-INDEX(L$12:L$15,MATCH($I209,$I$12:$I$15,0)))</f>
        <v>46297</v>
      </c>
      <c r="L209" s="215">
        <f>WORKDAY(M209,-1)</f>
        <v>46300</v>
      </c>
      <c r="M209" s="215">
        <f>WORKDAY(N209,-INDEX(N$12:N$15,MATCH($I209,$I$12:$I$15,0)))</f>
        <v>46301</v>
      </c>
      <c r="N209" s="215">
        <f>WORKDAY(O209,-1)</f>
        <v>46302</v>
      </c>
      <c r="O209" s="215">
        <f>WORKDAY(R209,-5)</f>
        <v>46303</v>
      </c>
      <c r="P209" s="216">
        <f>U209-L209</f>
        <v>23</v>
      </c>
      <c r="Q209" s="217"/>
      <c r="R209" s="215">
        <f>WORKDAY(S209,-1)</f>
        <v>46310</v>
      </c>
      <c r="S209" s="215">
        <f>WORKDAY(T209,-1)</f>
        <v>46311</v>
      </c>
      <c r="T209" s="215">
        <f>WORKDAY(U209,-7)</f>
        <v>46314</v>
      </c>
      <c r="U209" s="215">
        <f>X209-Y209</f>
        <v>46323</v>
      </c>
      <c r="V209" s="215">
        <f>WORKDAY(U209,INDEX(V$12:V$15,MATCH($I209,$I$12:$I$15,0)))</f>
        <v>46325</v>
      </c>
      <c r="W209" s="218">
        <f>Y209/7</f>
        <v>22.8571428571429</v>
      </c>
      <c r="X209" s="215">
        <f>Z209</f>
        <v>46483</v>
      </c>
      <c r="Y209" s="768">
        <f>120+40</f>
        <v>160</v>
      </c>
      <c r="Z209" s="774">
        <v>46483</v>
      </c>
      <c r="AA209" s="219"/>
      <c r="AB209" s="777">
        <f>Z209-X210</f>
        <v>0</v>
      </c>
      <c r="AC209" s="246"/>
      <c r="AD209" s="247"/>
      <c r="AE209" s="247"/>
      <c r="AF209" s="247"/>
      <c r="AG209" s="247"/>
      <c r="AH209" s="247"/>
      <c r="AI209" s="247"/>
      <c r="AJ209" s="247"/>
      <c r="AK209" s="247"/>
      <c r="AL209" s="247"/>
      <c r="AM209" s="247"/>
      <c r="AP209" s="212"/>
      <c r="AQ209" s="212"/>
      <c r="AR209" s="212"/>
      <c r="AS209" s="222"/>
      <c r="AW209" s="244"/>
    </row>
    <row r="210" spans="1:49" s="168" customFormat="1" ht="18.600000000000001" customHeight="1">
      <c r="A210" s="736"/>
      <c r="B210" s="739"/>
      <c r="C210" s="741"/>
      <c r="D210" s="741"/>
      <c r="E210" s="224"/>
      <c r="F210" s="751"/>
      <c r="G210" s="741" t="str">
        <f>G209</f>
        <v>Y</v>
      </c>
      <c r="H210" s="224"/>
      <c r="I210" s="212" t="str">
        <f t="shared" si="4"/>
        <v>LA</v>
      </c>
      <c r="J210" s="249" t="s">
        <v>65</v>
      </c>
      <c r="K210" s="215">
        <f>K209</f>
        <v>46297</v>
      </c>
      <c r="L210" s="215">
        <f>WORKDAY(IF(K211="",K210,K211),INDEX(L$12:L$15,MATCH($I209,$I$12:$I$15,0)))</f>
        <v>46300</v>
      </c>
      <c r="M210" s="215">
        <f>WORKDAY(IF(L211="",L210,L211),1)</f>
        <v>46301</v>
      </c>
      <c r="N210" s="215">
        <f>WORKDAY(IF(M211="",M210,M211),INDEX(N$12:N$15,MATCH($I209,$I$12:$I$15,0)))</f>
        <v>46302</v>
      </c>
      <c r="O210" s="215">
        <f>WORKDAY(IF(N211="",N210,N211),1)</f>
        <v>46303</v>
      </c>
      <c r="P210" s="216"/>
      <c r="Q210" s="217"/>
      <c r="R210" s="215">
        <f>WORKDAY(IF(O211="",O210,O211),5)</f>
        <v>46310</v>
      </c>
      <c r="S210" s="215">
        <f>WORKDAY(IF(R211="",R210,R211),1)</f>
        <v>46311</v>
      </c>
      <c r="T210" s="215">
        <f>WORKDAY(IF(S211="",S210,S211),1)</f>
        <v>46314</v>
      </c>
      <c r="U210" s="215">
        <f>WORKDAY(IF(T211="",T210,T211),7)</f>
        <v>46323</v>
      </c>
      <c r="V210" s="215">
        <f>WORKDAY(IF(U211="",U210,U211),1)</f>
        <v>46324</v>
      </c>
      <c r="W210" s="218"/>
      <c r="X210" s="215">
        <f>U210+Y209</f>
        <v>46483</v>
      </c>
      <c r="Y210" s="768"/>
      <c r="Z210" s="775"/>
      <c r="AA210" s="219"/>
      <c r="AB210" s="777"/>
      <c r="AC210" s="246"/>
      <c r="AD210" s="247"/>
      <c r="AE210" s="247"/>
      <c r="AF210" s="247"/>
      <c r="AG210" s="247"/>
      <c r="AH210" s="247"/>
      <c r="AI210" s="247"/>
      <c r="AJ210" s="247"/>
      <c r="AK210" s="247"/>
      <c r="AL210" s="247"/>
      <c r="AM210" s="247"/>
      <c r="AP210" s="212"/>
      <c r="AQ210" s="212"/>
      <c r="AR210" s="212"/>
      <c r="AS210" s="222"/>
      <c r="AW210" s="244"/>
    </row>
    <row r="211" spans="1:49" s="168" customFormat="1" ht="18.600000000000001" customHeight="1">
      <c r="A211" s="736"/>
      <c r="B211" s="740"/>
      <c r="C211" s="741"/>
      <c r="D211" s="741"/>
      <c r="E211" s="225"/>
      <c r="F211" s="752"/>
      <c r="G211" s="741" t="str">
        <f>G209</f>
        <v>Y</v>
      </c>
      <c r="H211" s="224"/>
      <c r="I211" s="212" t="str">
        <f t="shared" si="4"/>
        <v>LA</v>
      </c>
      <c r="J211" s="249" t="s">
        <v>67</v>
      </c>
      <c r="K211" s="212"/>
      <c r="L211" s="212"/>
      <c r="M211" s="212"/>
      <c r="N211" s="212"/>
      <c r="O211" s="212"/>
      <c r="P211" s="226"/>
      <c r="Q211" s="227"/>
      <c r="R211" s="212"/>
      <c r="S211" s="212"/>
      <c r="T211" s="212"/>
      <c r="U211" s="212"/>
      <c r="V211" s="212"/>
      <c r="W211" s="228"/>
      <c r="X211" s="212"/>
      <c r="Y211" s="768"/>
      <c r="Z211" s="776"/>
      <c r="AA211" s="219"/>
      <c r="AB211" s="777"/>
      <c r="AC211" s="246"/>
      <c r="AD211" s="247"/>
      <c r="AE211" s="247"/>
      <c r="AF211" s="247"/>
      <c r="AG211" s="247"/>
      <c r="AH211" s="247"/>
      <c r="AI211" s="247"/>
      <c r="AJ211" s="247"/>
      <c r="AK211" s="247"/>
      <c r="AL211" s="247"/>
      <c r="AM211" s="247"/>
      <c r="AP211" s="212"/>
      <c r="AQ211" s="212"/>
      <c r="AR211" s="212"/>
      <c r="AS211" s="222"/>
      <c r="AW211" s="244"/>
    </row>
    <row r="212" spans="1:49" s="166" customFormat="1" ht="18" customHeight="1">
      <c r="A212" s="736"/>
      <c r="B212" s="738"/>
      <c r="C212" s="741"/>
      <c r="D212" s="741" t="s">
        <v>5318</v>
      </c>
      <c r="E212" s="212"/>
      <c r="F212" s="741" t="s">
        <v>86</v>
      </c>
      <c r="G212" s="741" t="s">
        <v>73</v>
      </c>
      <c r="H212" s="746"/>
      <c r="I212" s="212" t="s">
        <v>6</v>
      </c>
      <c r="J212" s="249" t="s">
        <v>5236</v>
      </c>
      <c r="K212" s="215">
        <f>WORKDAY(L212,-INDEX(L$12:L$15,MATCH($I212,$I$12:$I$15,0)))</f>
        <v>46030</v>
      </c>
      <c r="L212" s="215">
        <f>WORKDAY(M212,-INDEX(M$12:M$15,MATCH($I212,$I$12:$I$15,0)))</f>
        <v>46031</v>
      </c>
      <c r="M212" s="215">
        <f>WORKDAY(N212,-INDEX(N$12:N$15,MATCH($I212,$I$12:$I$15,0)))</f>
        <v>46038</v>
      </c>
      <c r="N212" s="215">
        <f>WORKDAY(O212,-INDEX(O$12:O$15,MATCH($I212,$I$12:$I$15,0)))</f>
        <v>46041</v>
      </c>
      <c r="O212" s="215">
        <f>WORKDAY(R212,-INDEX(R$12:R$15,MATCH($I212,$I$12:$I$15,0)))</f>
        <v>46048</v>
      </c>
      <c r="P212" s="216">
        <f>U212-L212</f>
        <v>76</v>
      </c>
      <c r="Q212" s="217"/>
      <c r="R212" s="215">
        <f>WORKDAY(S212,-INDEX(S$12:S$15,MATCH($I212,$I$12:$I$15,0)))</f>
        <v>46062</v>
      </c>
      <c r="S212" s="215">
        <f>WORKDAY(T212,-INDEX(T$12:T$15,MATCH($I212,$I$12:$I$15,0)))</f>
        <v>46090</v>
      </c>
      <c r="T212" s="215">
        <f>WORKDAY(U212,-INDEX(U$12:U$15,MATCH($I212,$I$12:$I$15,0)))</f>
        <v>46093</v>
      </c>
      <c r="U212" s="215">
        <f>X212-Y212</f>
        <v>46107</v>
      </c>
      <c r="V212" s="215">
        <f>WORKDAY(U212,INDEX(V$12:V$15,MATCH($I212,$I$12:$I$15,0)))</f>
        <v>46111</v>
      </c>
      <c r="W212" s="218">
        <f>Y212/7</f>
        <v>24</v>
      </c>
      <c r="X212" s="215">
        <f>Z212</f>
        <v>46275</v>
      </c>
      <c r="Y212" s="768">
        <v>168</v>
      </c>
      <c r="Z212" s="773">
        <v>46275</v>
      </c>
      <c r="AA212" s="773">
        <v>46538</v>
      </c>
      <c r="AB212" s="777">
        <f>Z212-X213</f>
        <v>2</v>
      </c>
      <c r="AC212" s="220">
        <f>IF(ISERROR(LOOKUP(AC$16,$L212:$X212,#REF!)),0,(LOOKUP(AC$16,$L212:$X212,#REF!)))</f>
        <v>0</v>
      </c>
      <c r="AD212" s="221">
        <f>IF(ISERROR(LOOKUP(AD$16,$L212:$X212,#REF!)),0,(LOOKUP(AD$16,$L212:$X212,#REF!)))</f>
        <v>0</v>
      </c>
      <c r="AE212" s="221">
        <f>IF(ISERROR(LOOKUP(AE$16,$L212:$X212,#REF!)),0,(LOOKUP(AE$16,$L212:$X212,#REF!)))</f>
        <v>0</v>
      </c>
      <c r="AF212" s="221">
        <f>IF(ISERROR(LOOKUP(AF$16,$L212:$X212,#REF!)),0,(LOOKUP(AF$16,$L212:$X212,#REF!)))</f>
        <v>0</v>
      </c>
      <c r="AG212" s="221">
        <f>IF(ISERROR(LOOKUP(AG$16,$L212:$X212,#REF!)),0,(LOOKUP(AG$16,$L212:$X212,#REF!)))</f>
        <v>0</v>
      </c>
      <c r="AH212" s="221">
        <f>IF(ISERROR(LOOKUP(AH$16,$L212:$X212,#REF!)),0,(LOOKUP(AH$16,$L212:$X212,#REF!)))</f>
        <v>0</v>
      </c>
      <c r="AI212" s="221">
        <f>IF(ISERROR(LOOKUP(AI$16,$L212:$X212,#REF!)),0,(LOOKUP(AI$16,$L212:$X212,#REF!)))</f>
        <v>0</v>
      </c>
      <c r="AJ212" s="221">
        <f>IF(ISERROR(LOOKUP(AJ$16,$L212:$X212,#REF!)),0,(LOOKUP(AJ$16,$L212:$X212,#REF!)))</f>
        <v>0</v>
      </c>
      <c r="AK212" s="221">
        <f>IF(ISERROR(LOOKUP(AK$16,$L212:$X212,#REF!)),0,(LOOKUP(AK$16,$L212:$X212,#REF!)))</f>
        <v>0</v>
      </c>
      <c r="AL212" s="221">
        <f>IF(ISERROR(LOOKUP(AL$16,$L212:$X212,#REF!)),0,(LOOKUP(AL$16,$L212:$X212,#REF!)))</f>
        <v>0</v>
      </c>
      <c r="AM212" s="221">
        <f ca="1">IF(ISERROR(LOOKUP(AM$16,$L212:$X212,#REF!)),0,(LOOKUP(AM$16,$L212:$X212,#REF!)))</f>
        <v>0</v>
      </c>
      <c r="AP212" s="215" t="e">
        <f>WORKDAY(AQ212,-INDEX(AQ$12:AQ$15,MATCH($I212,$I$12:$I$15,0)),$AW$17:$AW$148)</f>
        <v>#REF!</v>
      </c>
      <c r="AQ212" s="215" t="e">
        <f>WORKDAY(U212,-INDEX(U$12:U$15,MATCH($I212,$I$12:$I$15,0)),$AW$17:$AW$148)</f>
        <v>#REF!</v>
      </c>
      <c r="AR212" s="215" t="e">
        <f>WORKDAY(U212,-INDEX(U$12:U$15,MATCH($I212,$I$12:$I$15,0)),$AW$17:$AW$148)</f>
        <v>#REF!</v>
      </c>
      <c r="AS212" s="778">
        <v>7</v>
      </c>
      <c r="AW212" s="223"/>
    </row>
    <row r="213" spans="1:49" s="166" customFormat="1" ht="18" customHeight="1">
      <c r="A213" s="736"/>
      <c r="B213" s="739"/>
      <c r="C213" s="741"/>
      <c r="D213" s="741"/>
      <c r="E213" s="212"/>
      <c r="F213" s="741" t="str">
        <f>F212</f>
        <v>Piping</v>
      </c>
      <c r="G213" s="741" t="str">
        <f>G212</f>
        <v>N</v>
      </c>
      <c r="H213" s="747"/>
      <c r="I213" s="212" t="str">
        <f>I212</f>
        <v>LA</v>
      </c>
      <c r="J213" s="249" t="s">
        <v>65</v>
      </c>
      <c r="K213" s="215">
        <f>K212</f>
        <v>46030</v>
      </c>
      <c r="L213" s="215">
        <f>WORKDAY(IF(K214="",K213,K214),INDEX(L$12:L$15,MATCH($I212,$I$12:$I$15,0)))</f>
        <v>46031</v>
      </c>
      <c r="M213" s="215">
        <f>WORKDAY(IF(L214="",L213,L214),INDEX(M$12:M$15,MATCH($I212,$I$12:$I$15,0)))</f>
        <v>46038</v>
      </c>
      <c r="N213" s="215">
        <f>WORKDAY(IF(M214="",M213,M214),INDEX(N$12:N$15,MATCH($I212,$I$12:$I$15,0)))</f>
        <v>46041</v>
      </c>
      <c r="O213" s="215">
        <f>WORKDAY(IF(N214="",N213,N214),INDEX(O$12:O$15,MATCH($I212,$I$12:$I$15,0)))</f>
        <v>46048</v>
      </c>
      <c r="P213" s="216"/>
      <c r="Q213" s="217"/>
      <c r="R213" s="215">
        <f>WORKDAY(IF(O214="",O213,O214),INDEX(R$12:R$15,MATCH($I212,$I$12:$I$15,0)))</f>
        <v>46062</v>
      </c>
      <c r="S213" s="215">
        <f>WORKDAY(IF(R214="",R213,R214),INDEX(S$12:S$15,MATCH($I212,$I$12:$I$15,0)))</f>
        <v>46090</v>
      </c>
      <c r="T213" s="215">
        <f>WORKDAY(IF(S214="",S213,S214),INDEX(T$12:T$15,MATCH($I212,$I$12:$I$15,0)))</f>
        <v>46093</v>
      </c>
      <c r="U213" s="215">
        <f>WORKDAY(IF(T214="",T213,T214),INDEX(U$12:U$15,MATCH($I212,$I$12:$I$15,0)))-2</f>
        <v>46105</v>
      </c>
      <c r="V213" s="215">
        <f>WORKDAY(IF(U214="",U213,U214),INDEX(V$12:V$15,MATCH($I212,$I$12:$I$15,0)))</f>
        <v>46107</v>
      </c>
      <c r="W213" s="218"/>
      <c r="X213" s="215">
        <f>U213+Y212</f>
        <v>46273</v>
      </c>
      <c r="Y213" s="768"/>
      <c r="Z213" s="773"/>
      <c r="AA213" s="773"/>
      <c r="AB213" s="777"/>
      <c r="AC213" s="220">
        <f>IF(ISERROR(LOOKUP(AC$16,$L213:$X213,#REF!)),0,(LOOKUP(AC$16,$L213:$X213,#REF!)))</f>
        <v>0</v>
      </c>
      <c r="AD213" s="221">
        <f>IF(ISERROR(LOOKUP(AD$16,$L213:$X213,#REF!)),0,(LOOKUP(AD$16,$L213:$X213,#REF!)))</f>
        <v>0</v>
      </c>
      <c r="AE213" s="221">
        <f>IF(ISERROR(LOOKUP(AE$16,$L213:$X213,#REF!)),0,(LOOKUP(AE$16,$L213:$X213,#REF!)))</f>
        <v>0</v>
      </c>
      <c r="AF213" s="221">
        <f>IF(ISERROR(LOOKUP(AF$16,$L213:$X213,#REF!)),0,(LOOKUP(AF$16,$L213:$X213,#REF!)))</f>
        <v>0</v>
      </c>
      <c r="AG213" s="221">
        <f>IF(ISERROR(LOOKUP(AG$16,$L213:$X213,#REF!)),0,(LOOKUP(AG$16,$L213:$X213,#REF!)))</f>
        <v>0</v>
      </c>
      <c r="AH213" s="221">
        <f>IF(ISERROR(LOOKUP(AH$16,$L213:$X213,#REF!)),0,(LOOKUP(AH$16,$L213:$X213,#REF!)))</f>
        <v>0</v>
      </c>
      <c r="AI213" s="221">
        <f>IF(ISERROR(LOOKUP(AI$16,$L213:$X213,#REF!)),0,(LOOKUP(AI$16,$L213:$X213,#REF!)))</f>
        <v>0</v>
      </c>
      <c r="AJ213" s="221">
        <f>IF(ISERROR(LOOKUP(AJ$16,$L213:$X213,#REF!)),0,(LOOKUP(AJ$16,$L213:$X213,#REF!)))</f>
        <v>0</v>
      </c>
      <c r="AK213" s="221">
        <f>IF(ISERROR(LOOKUP(AK$16,$L213:$X213,#REF!)),0,(LOOKUP(AK$16,$L213:$X213,#REF!)))</f>
        <v>0</v>
      </c>
      <c r="AL213" s="221">
        <f>IF(ISERROR(LOOKUP(AL$16,$L213:$X213,#REF!)),0,(LOOKUP(AL$16,$L213:$X213,#REF!)))</f>
        <v>0</v>
      </c>
      <c r="AM213" s="221">
        <f ca="1">IF(ISERROR(LOOKUP(AM$16,$L213:$X213,#REF!)),0,(LOOKUP(AM$16,$L213:$X213,#REF!)))</f>
        <v>0</v>
      </c>
      <c r="AP213" s="215" t="e">
        <f>WORKDAY(IF(T214="",T213,T214),INDEX(AP$12:AP$15,MATCH($I212,$I$12:$I$15,0)),$AW$17:$AW$148)</f>
        <v>#REF!</v>
      </c>
      <c r="AQ213" s="215" t="e">
        <f>WORKDAY(IF(AP214="",AP213,AP214),INDEX(AQ$12:AQ$15,MATCH($I212,$I$12:$I$15,0)),$AW$17:$AW$148)</f>
        <v>#REF!</v>
      </c>
      <c r="AR213" s="215" t="e">
        <f>WORKDAY(IF(AQ214="",AQ213,AQ214),INDEX(AR$12:AR$15,MATCH($I212,$I$12:$I$15,0)),$AW$17:$AW$148)</f>
        <v>#REF!</v>
      </c>
      <c r="AS213" s="778"/>
      <c r="AW213" s="223"/>
    </row>
    <row r="214" spans="1:49" s="166" customFormat="1" ht="18" customHeight="1">
      <c r="A214" s="736"/>
      <c r="B214" s="740"/>
      <c r="C214" s="741"/>
      <c r="D214" s="741"/>
      <c r="E214" s="212"/>
      <c r="F214" s="741" t="str">
        <f>F212</f>
        <v>Piping</v>
      </c>
      <c r="G214" s="741" t="str">
        <f>G212</f>
        <v>N</v>
      </c>
      <c r="H214" s="748"/>
      <c r="I214" s="212" t="str">
        <f>I212</f>
        <v>LA</v>
      </c>
      <c r="J214" s="249" t="s">
        <v>67</v>
      </c>
      <c r="K214" s="212"/>
      <c r="L214" s="212"/>
      <c r="M214" s="212"/>
      <c r="N214" s="212"/>
      <c r="O214" s="212"/>
      <c r="P214" s="226"/>
      <c r="Q214" s="227"/>
      <c r="R214" s="212"/>
      <c r="S214" s="212"/>
      <c r="T214" s="212"/>
      <c r="U214" s="212"/>
      <c r="V214" s="212"/>
      <c r="W214" s="228"/>
      <c r="X214" s="212"/>
      <c r="Y214" s="768"/>
      <c r="Z214" s="773"/>
      <c r="AA214" s="773"/>
      <c r="AB214" s="777"/>
      <c r="AC214" s="229">
        <f>IF(ISERROR(LOOKUP(AC$16,$L214:$X214,#REF!)),0,(LOOKUP(AC$16,$L214:$X214,#REF!)))</f>
        <v>0</v>
      </c>
      <c r="AD214" s="230">
        <f>IF(ISERROR(LOOKUP(AD$16,$L214:$X214,#REF!)),0,(LOOKUP(AD$16,$L214:$X214,#REF!)))</f>
        <v>0</v>
      </c>
      <c r="AE214" s="230">
        <f>IF(ISERROR(LOOKUP(AE$16,$L214:$X214,#REF!)),0,(LOOKUP(AE$16,$L214:$X214,#REF!)))</f>
        <v>0</v>
      </c>
      <c r="AF214" s="230">
        <f>IF(ISERROR(LOOKUP(AF$16,$L214:$X214,#REF!)),0,(LOOKUP(AF$16,$L214:$X214,#REF!)))</f>
        <v>0</v>
      </c>
      <c r="AG214" s="230">
        <f>IF(ISERROR(LOOKUP(AG$16,$L214:$X214,#REF!)),0,(LOOKUP(AG$16,$L214:$X214,#REF!)))</f>
        <v>0</v>
      </c>
      <c r="AH214" s="230">
        <f>IF(ISERROR(LOOKUP(AH$16,$L214:$X214,#REF!)),0,(LOOKUP(AH$16,$L214:$X214,#REF!)))</f>
        <v>0</v>
      </c>
      <c r="AI214" s="230">
        <f>IF(ISERROR(LOOKUP(AI$16,$L214:$X214,#REF!)),0,(LOOKUP(AI$16,$L214:$X214,#REF!)))</f>
        <v>0</v>
      </c>
      <c r="AJ214" s="230">
        <f>IF(ISERROR(LOOKUP(AJ$16,$L214:$X214,#REF!)),0,(LOOKUP(AJ$16,$L214:$X214,#REF!)))</f>
        <v>0</v>
      </c>
      <c r="AK214" s="230">
        <f>IF(ISERROR(LOOKUP(AK$16,$L214:$X214,#REF!)),0,(LOOKUP(AK$16,$L214:$X214,#REF!)))</f>
        <v>0</v>
      </c>
      <c r="AL214" s="230">
        <f>IF(ISERROR(LOOKUP(AL$16,$L214:$X214,#REF!)),0,(LOOKUP(AL$16,$L214:$X214,#REF!)))</f>
        <v>0</v>
      </c>
      <c r="AM214" s="230">
        <f ca="1">IF(ISERROR(LOOKUP(AM$16,$L214:$X214,#REF!)),0,(LOOKUP(AM$16,$L214:$X214,#REF!)))</f>
        <v>0</v>
      </c>
      <c r="AP214" s="248"/>
      <c r="AQ214" s="248"/>
      <c r="AR214" s="248"/>
      <c r="AS214" s="778"/>
      <c r="AW214" s="223"/>
    </row>
    <row r="215" spans="1:49" s="166" customFormat="1" ht="18" customHeight="1">
      <c r="A215" s="736"/>
      <c r="B215" s="738"/>
      <c r="C215" s="741"/>
      <c r="D215" s="741" t="s">
        <v>5319</v>
      </c>
      <c r="E215" s="212"/>
      <c r="F215" s="741" t="s">
        <v>86</v>
      </c>
      <c r="G215" s="741" t="s">
        <v>73</v>
      </c>
      <c r="H215" s="746"/>
      <c r="I215" s="212" t="s">
        <v>6</v>
      </c>
      <c r="J215" s="249" t="s">
        <v>5236</v>
      </c>
      <c r="K215" s="215">
        <f>WORKDAY(L215,-INDEX(L$12:L$15,MATCH($I215,$I$12:$I$15,0)))</f>
        <v>46139</v>
      </c>
      <c r="L215" s="215">
        <f>WORKDAY(M215,-INDEX(M$12:M$15,MATCH($I215,$I$12:$I$15,0)))</f>
        <v>46140</v>
      </c>
      <c r="M215" s="215">
        <f>WORKDAY(N215,-INDEX(N$12:N$15,MATCH($I215,$I$12:$I$15,0)))</f>
        <v>46147</v>
      </c>
      <c r="N215" s="215">
        <f>WORKDAY(O215,-INDEX(O$12:O$15,MATCH($I215,$I$12:$I$15,0)))</f>
        <v>46148</v>
      </c>
      <c r="O215" s="215">
        <f>WORKDAY(R215,-INDEX(R$12:R$15,MATCH($I215,$I$12:$I$15,0)))</f>
        <v>46155</v>
      </c>
      <c r="P215" s="216">
        <f>U215-L215</f>
        <v>74</v>
      </c>
      <c r="Q215" s="217"/>
      <c r="R215" s="215">
        <f>WORKDAY(S215,-INDEX(S$12:S$15,MATCH($I215,$I$12:$I$15,0)))</f>
        <v>46169</v>
      </c>
      <c r="S215" s="215">
        <f>WORKDAY(T215,-INDEX(T$12:T$15,MATCH($I215,$I$12:$I$15,0)))</f>
        <v>46197</v>
      </c>
      <c r="T215" s="215">
        <f>WORKDAY(U215,-INDEX(U$12:U$15,MATCH($I215,$I$12:$I$15,0)))</f>
        <v>46202</v>
      </c>
      <c r="U215" s="215">
        <f>X215-Y215</f>
        <v>46214</v>
      </c>
      <c r="V215" s="215">
        <f>WORKDAY(U215,INDEX(V$12:V$15,MATCH($I215,$I$12:$I$15,0)))</f>
        <v>46217</v>
      </c>
      <c r="W215" s="218">
        <f>Y215/7</f>
        <v>24</v>
      </c>
      <c r="X215" s="215">
        <f>Z215</f>
        <v>46382</v>
      </c>
      <c r="Y215" s="768">
        <v>168</v>
      </c>
      <c r="Z215" s="773">
        <v>46382</v>
      </c>
      <c r="AA215" s="773">
        <v>46538</v>
      </c>
      <c r="AB215" s="777">
        <f>Z215-X216</f>
        <v>0</v>
      </c>
      <c r="AC215" s="220">
        <f>IF(ISERROR(LOOKUP(AC$16,$L215:$X215,#REF!)),0,(LOOKUP(AC$16,$L215:$X215,#REF!)))</f>
        <v>0</v>
      </c>
      <c r="AD215" s="221">
        <f>IF(ISERROR(LOOKUP(AD$16,$L215:$X215,#REF!)),0,(LOOKUP(AD$16,$L215:$X215,#REF!)))</f>
        <v>0</v>
      </c>
      <c r="AE215" s="221">
        <f>IF(ISERROR(LOOKUP(AE$16,$L215:$X215,#REF!)),0,(LOOKUP(AE$16,$L215:$X215,#REF!)))</f>
        <v>0</v>
      </c>
      <c r="AF215" s="221">
        <f>IF(ISERROR(LOOKUP(AF$16,$L215:$X215,#REF!)),0,(LOOKUP(AF$16,$L215:$X215,#REF!)))</f>
        <v>0</v>
      </c>
      <c r="AG215" s="221">
        <f>IF(ISERROR(LOOKUP(AG$16,$L215:$X215,#REF!)),0,(LOOKUP(AG$16,$L215:$X215,#REF!)))</f>
        <v>0</v>
      </c>
      <c r="AH215" s="221">
        <f>IF(ISERROR(LOOKUP(AH$16,$L215:$X215,#REF!)),0,(LOOKUP(AH$16,$L215:$X215,#REF!)))</f>
        <v>0</v>
      </c>
      <c r="AI215" s="221">
        <f>IF(ISERROR(LOOKUP(AI$16,$L215:$X215,#REF!)),0,(LOOKUP(AI$16,$L215:$X215,#REF!)))</f>
        <v>0</v>
      </c>
      <c r="AJ215" s="221">
        <f>IF(ISERROR(LOOKUP(AJ$16,$L215:$X215,#REF!)),0,(LOOKUP(AJ$16,$L215:$X215,#REF!)))</f>
        <v>0</v>
      </c>
      <c r="AK215" s="221">
        <f>IF(ISERROR(LOOKUP(AK$16,$L215:$X215,#REF!)),0,(LOOKUP(AK$16,$L215:$X215,#REF!)))</f>
        <v>0</v>
      </c>
      <c r="AL215" s="221">
        <f>IF(ISERROR(LOOKUP(AL$16,$L215:$X215,#REF!)),0,(LOOKUP(AL$16,$L215:$X215,#REF!)))</f>
        <v>0</v>
      </c>
      <c r="AM215" s="221">
        <f ca="1">IF(ISERROR(LOOKUP(AM$16,$L215:$X215,#REF!)),0,(LOOKUP(AM$16,$L215:$X215,#REF!)))</f>
        <v>0</v>
      </c>
      <c r="AP215" s="215" t="e">
        <f>WORKDAY(AQ215,-INDEX(AQ$12:AQ$15,MATCH($I215,$I$12:$I$15,0)),$AW$17:$AW$148)</f>
        <v>#REF!</v>
      </c>
      <c r="AQ215" s="215" t="e">
        <f>WORKDAY(U215,-INDEX(U$12:U$15,MATCH($I215,$I$12:$I$15,0)),$AW$17:$AW$148)</f>
        <v>#REF!</v>
      </c>
      <c r="AR215" s="215" t="e">
        <f>WORKDAY(U215,-INDEX(U$12:U$15,MATCH($I215,$I$12:$I$15,0)),$AW$17:$AW$148)</f>
        <v>#REF!</v>
      </c>
      <c r="AS215" s="778">
        <v>7</v>
      </c>
      <c r="AW215" s="223"/>
    </row>
    <row r="216" spans="1:49" s="166" customFormat="1" ht="18" customHeight="1">
      <c r="A216" s="736"/>
      <c r="B216" s="739"/>
      <c r="C216" s="741"/>
      <c r="D216" s="741" t="s">
        <v>5319</v>
      </c>
      <c r="E216" s="212"/>
      <c r="F216" s="741" t="str">
        <f>F215</f>
        <v>Piping</v>
      </c>
      <c r="G216" s="741" t="str">
        <f>G215</f>
        <v>N</v>
      </c>
      <c r="H216" s="747"/>
      <c r="I216" s="212" t="str">
        <f>I215</f>
        <v>LA</v>
      </c>
      <c r="J216" s="249" t="s">
        <v>65</v>
      </c>
      <c r="K216" s="215">
        <f>K215</f>
        <v>46139</v>
      </c>
      <c r="L216" s="215">
        <f>WORKDAY(IF(K217="",K216,K217),INDEX(L$12:L$15,MATCH($I215,$I$12:$I$15,0)))</f>
        <v>46140</v>
      </c>
      <c r="M216" s="215">
        <f>WORKDAY(IF(L217="",L216,L217),INDEX(M$12:M$15,MATCH($I215,$I$12:$I$15,0)))</f>
        <v>46147</v>
      </c>
      <c r="N216" s="215">
        <f>WORKDAY(IF(M217="",M216,M217),INDEX(N$12:N$15,MATCH($I215,$I$12:$I$15,0)))</f>
        <v>46148</v>
      </c>
      <c r="O216" s="215">
        <f>WORKDAY(IF(N217="",N216,N217),INDEX(O$12:O$15,MATCH($I215,$I$12:$I$15,0)))</f>
        <v>46155</v>
      </c>
      <c r="P216" s="216"/>
      <c r="Q216" s="217"/>
      <c r="R216" s="215">
        <f>WORKDAY(IF(O217="",O216,O217),INDEX(R$12:R$15,MATCH($I215,$I$12:$I$15,0)))</f>
        <v>46169</v>
      </c>
      <c r="S216" s="215">
        <f>WORKDAY(IF(R217="",R216,R217),INDEX(S$12:S$15,MATCH($I215,$I$12:$I$15,0)))</f>
        <v>46197</v>
      </c>
      <c r="T216" s="215">
        <f>WORKDAY(IF(S217="",S216,S217),INDEX(T$12:T$15,MATCH($I215,$I$12:$I$15,0)))</f>
        <v>46202</v>
      </c>
      <c r="U216" s="215">
        <f>WORKDAY(IF(T217="",T216,T217),INDEX(U$12:U$15,MATCH($I215,$I$12:$I$15,0)))-2</f>
        <v>46214</v>
      </c>
      <c r="V216" s="215">
        <f>WORKDAY(IF(U217="",U216,U217),INDEX(V$12:V$15,MATCH($I215,$I$12:$I$15,0)))</f>
        <v>46217</v>
      </c>
      <c r="W216" s="218"/>
      <c r="X216" s="215">
        <f>U216+Y215</f>
        <v>46382</v>
      </c>
      <c r="Y216" s="768"/>
      <c r="Z216" s="773"/>
      <c r="AA216" s="773"/>
      <c r="AB216" s="777"/>
      <c r="AC216" s="220">
        <f>IF(ISERROR(LOOKUP(AC$16,$L216:$X216,#REF!)),0,(LOOKUP(AC$16,$L216:$X216,#REF!)))</f>
        <v>0</v>
      </c>
      <c r="AD216" s="221">
        <f>IF(ISERROR(LOOKUP(AD$16,$L216:$X216,#REF!)),0,(LOOKUP(AD$16,$L216:$X216,#REF!)))</f>
        <v>0</v>
      </c>
      <c r="AE216" s="221">
        <f>IF(ISERROR(LOOKUP(AE$16,$L216:$X216,#REF!)),0,(LOOKUP(AE$16,$L216:$X216,#REF!)))</f>
        <v>0</v>
      </c>
      <c r="AF216" s="221">
        <f>IF(ISERROR(LOOKUP(AF$16,$L216:$X216,#REF!)),0,(LOOKUP(AF$16,$L216:$X216,#REF!)))</f>
        <v>0</v>
      </c>
      <c r="AG216" s="221">
        <f>IF(ISERROR(LOOKUP(AG$16,$L216:$X216,#REF!)),0,(LOOKUP(AG$16,$L216:$X216,#REF!)))</f>
        <v>0</v>
      </c>
      <c r="AH216" s="221">
        <f>IF(ISERROR(LOOKUP(AH$16,$L216:$X216,#REF!)),0,(LOOKUP(AH$16,$L216:$X216,#REF!)))</f>
        <v>0</v>
      </c>
      <c r="AI216" s="221">
        <f>IF(ISERROR(LOOKUP(AI$16,$L216:$X216,#REF!)),0,(LOOKUP(AI$16,$L216:$X216,#REF!)))</f>
        <v>0</v>
      </c>
      <c r="AJ216" s="221">
        <f>IF(ISERROR(LOOKUP(AJ$16,$L216:$X216,#REF!)),0,(LOOKUP(AJ$16,$L216:$X216,#REF!)))</f>
        <v>0</v>
      </c>
      <c r="AK216" s="221">
        <f>IF(ISERROR(LOOKUP(AK$16,$L216:$X216,#REF!)),0,(LOOKUP(AK$16,$L216:$X216,#REF!)))</f>
        <v>0</v>
      </c>
      <c r="AL216" s="221">
        <f>IF(ISERROR(LOOKUP(AL$16,$L216:$X216,#REF!)),0,(LOOKUP(AL$16,$L216:$X216,#REF!)))</f>
        <v>0</v>
      </c>
      <c r="AM216" s="221">
        <f ca="1">IF(ISERROR(LOOKUP(AM$16,$L216:$X216,#REF!)),0,(LOOKUP(AM$16,$L216:$X216,#REF!)))</f>
        <v>0</v>
      </c>
      <c r="AP216" s="215" t="e">
        <f>WORKDAY(IF(T217="",T216,T217),INDEX(AP$12:AP$15,MATCH($I215,$I$12:$I$15,0)),$AW$17:$AW$148)</f>
        <v>#REF!</v>
      </c>
      <c r="AQ216" s="215" t="e">
        <f>WORKDAY(IF(AP217="",AP216,AP217),INDEX(AQ$12:AQ$15,MATCH($I215,$I$12:$I$15,0)),$AW$17:$AW$148)</f>
        <v>#REF!</v>
      </c>
      <c r="AR216" s="215" t="e">
        <f>WORKDAY(IF(AQ217="",AQ216,AQ217),INDEX(AR$12:AR$15,MATCH($I215,$I$12:$I$15,0)),$AW$17:$AW$148)</f>
        <v>#REF!</v>
      </c>
      <c r="AS216" s="778"/>
      <c r="AW216" s="223"/>
    </row>
    <row r="217" spans="1:49" s="166" customFormat="1" ht="18" customHeight="1">
      <c r="A217" s="736"/>
      <c r="B217" s="740"/>
      <c r="C217" s="741"/>
      <c r="D217" s="741" t="s">
        <v>5319</v>
      </c>
      <c r="E217" s="212"/>
      <c r="F217" s="741" t="str">
        <f>F215</f>
        <v>Piping</v>
      </c>
      <c r="G217" s="741" t="str">
        <f>G215</f>
        <v>N</v>
      </c>
      <c r="H217" s="748"/>
      <c r="I217" s="212" t="str">
        <f>I215</f>
        <v>LA</v>
      </c>
      <c r="J217" s="249" t="s">
        <v>67</v>
      </c>
      <c r="K217" s="212"/>
      <c r="L217" s="212"/>
      <c r="M217" s="212"/>
      <c r="N217" s="212"/>
      <c r="O217" s="212"/>
      <c r="P217" s="226"/>
      <c r="Q217" s="227"/>
      <c r="R217" s="212"/>
      <c r="S217" s="212"/>
      <c r="T217" s="212"/>
      <c r="U217" s="212"/>
      <c r="V217" s="212"/>
      <c r="W217" s="228"/>
      <c r="X217" s="212"/>
      <c r="Y217" s="768"/>
      <c r="Z217" s="773"/>
      <c r="AA217" s="773"/>
      <c r="AB217" s="777"/>
      <c r="AC217" s="229">
        <f>IF(ISERROR(LOOKUP(AC$16,$L217:$X217,#REF!)),0,(LOOKUP(AC$16,$L217:$X217,#REF!)))</f>
        <v>0</v>
      </c>
      <c r="AD217" s="230">
        <f>IF(ISERROR(LOOKUP(AD$16,$L217:$X217,#REF!)),0,(LOOKUP(AD$16,$L217:$X217,#REF!)))</f>
        <v>0</v>
      </c>
      <c r="AE217" s="230">
        <f>IF(ISERROR(LOOKUP(AE$16,$L217:$X217,#REF!)),0,(LOOKUP(AE$16,$L217:$X217,#REF!)))</f>
        <v>0</v>
      </c>
      <c r="AF217" s="230">
        <f>IF(ISERROR(LOOKUP(AF$16,$L217:$X217,#REF!)),0,(LOOKUP(AF$16,$L217:$X217,#REF!)))</f>
        <v>0</v>
      </c>
      <c r="AG217" s="230">
        <f>IF(ISERROR(LOOKUP(AG$16,$L217:$X217,#REF!)),0,(LOOKUP(AG$16,$L217:$X217,#REF!)))</f>
        <v>0</v>
      </c>
      <c r="AH217" s="230">
        <f>IF(ISERROR(LOOKUP(AH$16,$L217:$X217,#REF!)),0,(LOOKUP(AH$16,$L217:$X217,#REF!)))</f>
        <v>0</v>
      </c>
      <c r="AI217" s="230">
        <f>IF(ISERROR(LOOKUP(AI$16,$L217:$X217,#REF!)),0,(LOOKUP(AI$16,$L217:$X217,#REF!)))</f>
        <v>0</v>
      </c>
      <c r="AJ217" s="230">
        <f>IF(ISERROR(LOOKUP(AJ$16,$L217:$X217,#REF!)),0,(LOOKUP(AJ$16,$L217:$X217,#REF!)))</f>
        <v>0</v>
      </c>
      <c r="AK217" s="230">
        <f>IF(ISERROR(LOOKUP(AK$16,$L217:$X217,#REF!)),0,(LOOKUP(AK$16,$L217:$X217,#REF!)))</f>
        <v>0</v>
      </c>
      <c r="AL217" s="230">
        <f>IF(ISERROR(LOOKUP(AL$16,$L217:$X217,#REF!)),0,(LOOKUP(AL$16,$L217:$X217,#REF!)))</f>
        <v>0</v>
      </c>
      <c r="AM217" s="230">
        <f ca="1">IF(ISERROR(LOOKUP(AM$16,$L217:$X217,#REF!)),0,(LOOKUP(AM$16,$L217:$X217,#REF!)))</f>
        <v>0</v>
      </c>
      <c r="AP217" s="248"/>
      <c r="AQ217" s="248"/>
      <c r="AR217" s="248"/>
      <c r="AS217" s="778"/>
      <c r="AW217" s="223"/>
    </row>
    <row r="218" spans="1:49" s="166" customFormat="1" ht="18" customHeight="1">
      <c r="A218" s="736"/>
      <c r="B218" s="738"/>
      <c r="C218" s="741"/>
      <c r="D218" s="741" t="s">
        <v>270</v>
      </c>
      <c r="E218" s="212"/>
      <c r="F218" s="741" t="s">
        <v>86</v>
      </c>
      <c r="G218" s="741" t="s">
        <v>73</v>
      </c>
      <c r="H218" s="746"/>
      <c r="I218" s="212" t="s">
        <v>9</v>
      </c>
      <c r="J218" s="249" t="s">
        <v>5236</v>
      </c>
      <c r="K218" s="215">
        <f>WORKDAY(L218,-INDEX(L$12:L$15,MATCH($I218,$I$12:$I$15,0)))</f>
        <v>46248</v>
      </c>
      <c r="L218" s="215">
        <f>WORKDAY(M218,-INDEX(M$12:M$15,MATCH($I218,$I$12:$I$15,0)))</f>
        <v>46253</v>
      </c>
      <c r="M218" s="215">
        <f>WORKDAY(N218,-INDEX(N$12:N$15,MATCH($I218,$I$12:$I$15,0)))</f>
        <v>46260</v>
      </c>
      <c r="N218" s="215">
        <f>WORKDAY(O218,-INDEX(O$12:O$15,MATCH($I218,$I$12:$I$15,0)))</f>
        <v>46261</v>
      </c>
      <c r="O218" s="215">
        <f>WORKDAY(R218,-INDEX(R$12:R$15,MATCH($I218,$I$12:$I$15,0)))</f>
        <v>46266</v>
      </c>
      <c r="P218" s="216">
        <f>U218-L218</f>
        <v>39</v>
      </c>
      <c r="Q218" s="217"/>
      <c r="R218" s="215">
        <f>WORKDAY(S218,-INDEX(S$12:S$15,MATCH($I218,$I$12:$I$15,0)))</f>
        <v>46273</v>
      </c>
      <c r="S218" s="215">
        <f>WORKDAY(T218,-INDEX(T$12:T$15,MATCH($I218,$I$12:$I$15,0)))</f>
        <v>46282</v>
      </c>
      <c r="T218" s="215">
        <f>WORKDAY(U218,-INDEX(U$12:U$15,MATCH($I218,$I$12:$I$15,0)))</f>
        <v>46286</v>
      </c>
      <c r="U218" s="215">
        <f>X218-Y218</f>
        <v>46292</v>
      </c>
      <c r="V218" s="215">
        <f>WORKDAY(U218,INDEX(V$12:V$15,MATCH($I218,$I$12:$I$15,0)))</f>
        <v>46294</v>
      </c>
      <c r="W218" s="218">
        <f>Y218/7</f>
        <v>12.8571428571429</v>
      </c>
      <c r="X218" s="215">
        <f>Z218</f>
        <v>46382</v>
      </c>
      <c r="Y218" s="768">
        <v>90</v>
      </c>
      <c r="Z218" s="773">
        <v>46382</v>
      </c>
      <c r="AA218" s="773">
        <v>46538</v>
      </c>
      <c r="AB218" s="777">
        <f>Z218-X219</f>
        <v>0</v>
      </c>
      <c r="AC218" s="220">
        <f>IF(ISERROR(LOOKUP(AC$16,$L218:$X218,#REF!)),0,(LOOKUP(AC$16,$L218:$X218,#REF!)))</f>
        <v>0</v>
      </c>
      <c r="AD218" s="221">
        <f>IF(ISERROR(LOOKUP(AD$16,$L218:$X218,#REF!)),0,(LOOKUP(AD$16,$L218:$X218,#REF!)))</f>
        <v>0</v>
      </c>
      <c r="AE218" s="221">
        <f>IF(ISERROR(LOOKUP(AE$16,$L218:$X218,#REF!)),0,(LOOKUP(AE$16,$L218:$X218,#REF!)))</f>
        <v>0</v>
      </c>
      <c r="AF218" s="221">
        <f>IF(ISERROR(LOOKUP(AF$16,$L218:$X218,#REF!)),0,(LOOKUP(AF$16,$L218:$X218,#REF!)))</f>
        <v>0</v>
      </c>
      <c r="AG218" s="221">
        <f>IF(ISERROR(LOOKUP(AG$16,$L218:$X218,#REF!)),0,(LOOKUP(AG$16,$L218:$X218,#REF!)))</f>
        <v>0</v>
      </c>
      <c r="AH218" s="221">
        <f>IF(ISERROR(LOOKUP(AH$16,$L218:$X218,#REF!)),0,(LOOKUP(AH$16,$L218:$X218,#REF!)))</f>
        <v>0</v>
      </c>
      <c r="AI218" s="221">
        <f>IF(ISERROR(LOOKUP(AI$16,$L218:$X218,#REF!)),0,(LOOKUP(AI$16,$L218:$X218,#REF!)))</f>
        <v>0</v>
      </c>
      <c r="AJ218" s="221">
        <f>IF(ISERROR(LOOKUP(AJ$16,$L218:$X218,#REF!)),0,(LOOKUP(AJ$16,$L218:$X218,#REF!)))</f>
        <v>0</v>
      </c>
      <c r="AK218" s="221">
        <f>IF(ISERROR(LOOKUP(AK$16,$L218:$X218,#REF!)),0,(LOOKUP(AK$16,$L218:$X218,#REF!)))</f>
        <v>0</v>
      </c>
      <c r="AL218" s="221">
        <f>IF(ISERROR(LOOKUP(AL$16,$L218:$X218,#REF!)),0,(LOOKUP(AL$16,$L218:$X218,#REF!)))</f>
        <v>0</v>
      </c>
      <c r="AM218" s="221">
        <f ca="1">IF(ISERROR(LOOKUP(AM$16,$L218:$X218,#REF!)),0,(LOOKUP(AM$16,$L218:$X218,#REF!)))</f>
        <v>0</v>
      </c>
      <c r="AP218" s="215" t="e">
        <f>WORKDAY(AQ218,-INDEX(AQ$12:AQ$15,MATCH($I218,$I$12:$I$15,0)),$AW$17:$AW$148)</f>
        <v>#REF!</v>
      </c>
      <c r="AQ218" s="215" t="e">
        <f>WORKDAY(U218,-INDEX(U$12:U$15,MATCH($I218,$I$12:$I$15,0)),$AW$17:$AW$148)</f>
        <v>#REF!</v>
      </c>
      <c r="AR218" s="215" t="e">
        <f>WORKDAY(U218,-INDEX(U$12:U$15,MATCH($I218,$I$12:$I$15,0)),$AW$17:$AW$148)</f>
        <v>#REF!</v>
      </c>
      <c r="AS218" s="778">
        <v>7</v>
      </c>
      <c r="AW218" s="223"/>
    </row>
    <row r="219" spans="1:49" s="166" customFormat="1" ht="18" customHeight="1">
      <c r="A219" s="736"/>
      <c r="B219" s="739"/>
      <c r="C219" s="741"/>
      <c r="D219" s="741" t="s">
        <v>270</v>
      </c>
      <c r="E219" s="212"/>
      <c r="F219" s="741" t="str">
        <f>F218</f>
        <v>Piping</v>
      </c>
      <c r="G219" s="741" t="str">
        <f>G218</f>
        <v>N</v>
      </c>
      <c r="H219" s="747"/>
      <c r="I219" s="212" t="str">
        <f>I218</f>
        <v>LD</v>
      </c>
      <c r="J219" s="249" t="s">
        <v>65</v>
      </c>
      <c r="K219" s="215">
        <f>K218</f>
        <v>46248</v>
      </c>
      <c r="L219" s="215">
        <f>WORKDAY(IF(K220="",K219,K220),INDEX(L$12:L$15,MATCH($I218,$I$12:$I$15,0)))</f>
        <v>46253</v>
      </c>
      <c r="M219" s="215">
        <f>WORKDAY(IF(L220="",L219,L220),INDEX(M$12:M$15,MATCH($I218,$I$12:$I$15,0)))</f>
        <v>46260</v>
      </c>
      <c r="N219" s="215">
        <f>WORKDAY(IF(M220="",M219,M220),INDEX(N$12:N$15,MATCH($I218,$I$12:$I$15,0)))</f>
        <v>46261</v>
      </c>
      <c r="O219" s="215">
        <f>WORKDAY(IF(N220="",N219,N220),INDEX(O$12:O$15,MATCH($I218,$I$12:$I$15,0)))</f>
        <v>46266</v>
      </c>
      <c r="P219" s="216"/>
      <c r="Q219" s="217"/>
      <c r="R219" s="215">
        <f>WORKDAY(IF(O220="",O219,O220),INDEX(R$12:R$15,MATCH($I218,$I$12:$I$15,0)))</f>
        <v>46273</v>
      </c>
      <c r="S219" s="215">
        <f>WORKDAY(IF(R220="",R219,R220),INDEX(S$12:S$15,MATCH($I218,$I$12:$I$15,0)))</f>
        <v>46282</v>
      </c>
      <c r="T219" s="215">
        <f>WORKDAY(IF(S220="",S219,S220),INDEX(T$12:T$15,MATCH($I218,$I$12:$I$15,0)))</f>
        <v>46286</v>
      </c>
      <c r="U219" s="215">
        <f>WORKDAY(IF(T220="",T219,T220),INDEX(U$12:U$15,MATCH($I218,$I$12:$I$15,0)))-1</f>
        <v>46292</v>
      </c>
      <c r="V219" s="215">
        <f>WORKDAY(IF(U220="",U219,U220),INDEX(V$12:V$15,MATCH($I218,$I$12:$I$15,0)))</f>
        <v>46294</v>
      </c>
      <c r="W219" s="218"/>
      <c r="X219" s="215">
        <f>U219+Y218</f>
        <v>46382</v>
      </c>
      <c r="Y219" s="768"/>
      <c r="Z219" s="773"/>
      <c r="AA219" s="773"/>
      <c r="AB219" s="777"/>
      <c r="AC219" s="220">
        <f>IF(ISERROR(LOOKUP(AC$16,$L219:$X219,#REF!)),0,(LOOKUP(AC$16,$L219:$X219,#REF!)))</f>
        <v>0</v>
      </c>
      <c r="AD219" s="221">
        <f>IF(ISERROR(LOOKUP(AD$16,$L219:$X219,#REF!)),0,(LOOKUP(AD$16,$L219:$X219,#REF!)))</f>
        <v>0</v>
      </c>
      <c r="AE219" s="221">
        <f>IF(ISERROR(LOOKUP(AE$16,$L219:$X219,#REF!)),0,(LOOKUP(AE$16,$L219:$X219,#REF!)))</f>
        <v>0</v>
      </c>
      <c r="AF219" s="221">
        <f>IF(ISERROR(LOOKUP(AF$16,$L219:$X219,#REF!)),0,(LOOKUP(AF$16,$L219:$X219,#REF!)))</f>
        <v>0</v>
      </c>
      <c r="AG219" s="221">
        <f>IF(ISERROR(LOOKUP(AG$16,$L219:$X219,#REF!)),0,(LOOKUP(AG$16,$L219:$X219,#REF!)))</f>
        <v>0</v>
      </c>
      <c r="AH219" s="221">
        <f>IF(ISERROR(LOOKUP(AH$16,$L219:$X219,#REF!)),0,(LOOKUP(AH$16,$L219:$X219,#REF!)))</f>
        <v>0</v>
      </c>
      <c r="AI219" s="221">
        <f>IF(ISERROR(LOOKUP(AI$16,$L219:$X219,#REF!)),0,(LOOKUP(AI$16,$L219:$X219,#REF!)))</f>
        <v>0</v>
      </c>
      <c r="AJ219" s="221">
        <f>IF(ISERROR(LOOKUP(AJ$16,$L219:$X219,#REF!)),0,(LOOKUP(AJ$16,$L219:$X219,#REF!)))</f>
        <v>0</v>
      </c>
      <c r="AK219" s="221">
        <f>IF(ISERROR(LOOKUP(AK$16,$L219:$X219,#REF!)),0,(LOOKUP(AK$16,$L219:$X219,#REF!)))</f>
        <v>0</v>
      </c>
      <c r="AL219" s="221">
        <f>IF(ISERROR(LOOKUP(AL$16,$L219:$X219,#REF!)),0,(LOOKUP(AL$16,$L219:$X219,#REF!)))</f>
        <v>0</v>
      </c>
      <c r="AM219" s="221">
        <f ca="1">IF(ISERROR(LOOKUP(AM$16,$L219:$X219,#REF!)),0,(LOOKUP(AM$16,$L219:$X219,#REF!)))</f>
        <v>0</v>
      </c>
      <c r="AP219" s="215" t="e">
        <f>WORKDAY(IF(T220="",T219,T220),INDEX(AP$12:AP$15,MATCH($I218,$I$12:$I$15,0)),$AW$17:$AW$148)</f>
        <v>#REF!</v>
      </c>
      <c r="AQ219" s="215" t="e">
        <f>WORKDAY(IF(AP220="",AP219,AP220),INDEX(AQ$12:AQ$15,MATCH($I218,$I$12:$I$15,0)),$AW$17:$AW$148)</f>
        <v>#REF!</v>
      </c>
      <c r="AR219" s="215" t="e">
        <f>WORKDAY(IF(AQ220="",AQ219,AQ220),INDEX(AR$12:AR$15,MATCH($I218,$I$12:$I$15,0)),$AW$17:$AW$148)</f>
        <v>#REF!</v>
      </c>
      <c r="AS219" s="778"/>
      <c r="AW219" s="223"/>
    </row>
    <row r="220" spans="1:49" s="166" customFormat="1" ht="18" customHeight="1">
      <c r="A220" s="736"/>
      <c r="B220" s="740"/>
      <c r="C220" s="741"/>
      <c r="D220" s="741" t="s">
        <v>270</v>
      </c>
      <c r="E220" s="212"/>
      <c r="F220" s="741" t="str">
        <f>F218</f>
        <v>Piping</v>
      </c>
      <c r="G220" s="741" t="str">
        <f>G218</f>
        <v>N</v>
      </c>
      <c r="H220" s="748"/>
      <c r="I220" s="212" t="str">
        <f>I218</f>
        <v>LD</v>
      </c>
      <c r="J220" s="249" t="s">
        <v>67</v>
      </c>
      <c r="K220" s="212"/>
      <c r="L220" s="212"/>
      <c r="M220" s="212"/>
      <c r="N220" s="212"/>
      <c r="O220" s="212"/>
      <c r="P220" s="226"/>
      <c r="Q220" s="227"/>
      <c r="R220" s="212"/>
      <c r="S220" s="212"/>
      <c r="T220" s="212"/>
      <c r="U220" s="212"/>
      <c r="V220" s="212"/>
      <c r="W220" s="228"/>
      <c r="X220" s="212"/>
      <c r="Y220" s="768"/>
      <c r="Z220" s="773"/>
      <c r="AA220" s="773"/>
      <c r="AB220" s="777"/>
      <c r="AC220" s="229">
        <f>IF(ISERROR(LOOKUP(AC$16,$L220:$X220,#REF!)),0,(LOOKUP(AC$16,$L220:$X220,#REF!)))</f>
        <v>0</v>
      </c>
      <c r="AD220" s="230">
        <f>IF(ISERROR(LOOKUP(AD$16,$L220:$X220,#REF!)),0,(LOOKUP(AD$16,$L220:$X220,#REF!)))</f>
        <v>0</v>
      </c>
      <c r="AE220" s="230">
        <f>IF(ISERROR(LOOKUP(AE$16,$L220:$X220,#REF!)),0,(LOOKUP(AE$16,$L220:$X220,#REF!)))</f>
        <v>0</v>
      </c>
      <c r="AF220" s="230">
        <f>IF(ISERROR(LOOKUP(AF$16,$L220:$X220,#REF!)),0,(LOOKUP(AF$16,$L220:$X220,#REF!)))</f>
        <v>0</v>
      </c>
      <c r="AG220" s="230">
        <f>IF(ISERROR(LOOKUP(AG$16,$L220:$X220,#REF!)),0,(LOOKUP(AG$16,$L220:$X220,#REF!)))</f>
        <v>0</v>
      </c>
      <c r="AH220" s="230">
        <f>IF(ISERROR(LOOKUP(AH$16,$L220:$X220,#REF!)),0,(LOOKUP(AH$16,$L220:$X220,#REF!)))</f>
        <v>0</v>
      </c>
      <c r="AI220" s="230">
        <f>IF(ISERROR(LOOKUP(AI$16,$L220:$X220,#REF!)),0,(LOOKUP(AI$16,$L220:$X220,#REF!)))</f>
        <v>0</v>
      </c>
      <c r="AJ220" s="230">
        <f>IF(ISERROR(LOOKUP(AJ$16,$L220:$X220,#REF!)),0,(LOOKUP(AJ$16,$L220:$X220,#REF!)))</f>
        <v>0</v>
      </c>
      <c r="AK220" s="230">
        <f>IF(ISERROR(LOOKUP(AK$16,$L220:$X220,#REF!)),0,(LOOKUP(AK$16,$L220:$X220,#REF!)))</f>
        <v>0</v>
      </c>
      <c r="AL220" s="230">
        <f>IF(ISERROR(LOOKUP(AL$16,$L220:$X220,#REF!)),0,(LOOKUP(AL$16,$L220:$X220,#REF!)))</f>
        <v>0</v>
      </c>
      <c r="AM220" s="230">
        <f ca="1">IF(ISERROR(LOOKUP(AM$16,$L220:$X220,#REF!)),0,(LOOKUP(AM$16,$L220:$X220,#REF!)))</f>
        <v>0</v>
      </c>
      <c r="AP220" s="248"/>
      <c r="AQ220" s="248"/>
      <c r="AR220" s="248"/>
      <c r="AS220" s="778"/>
      <c r="AW220" s="223"/>
    </row>
    <row r="221" spans="1:49" s="166" customFormat="1" ht="18" customHeight="1">
      <c r="A221" s="736"/>
      <c r="B221" s="738"/>
      <c r="C221" s="741"/>
      <c r="D221" s="741" t="s">
        <v>5320</v>
      </c>
      <c r="E221" s="212"/>
      <c r="F221" s="741" t="s">
        <v>86</v>
      </c>
      <c r="G221" s="741" t="s">
        <v>73</v>
      </c>
      <c r="H221" s="746"/>
      <c r="I221" s="212" t="s">
        <v>9</v>
      </c>
      <c r="J221" s="249" t="s">
        <v>5236</v>
      </c>
      <c r="K221" s="215">
        <f>WORKDAY(L221,-INDEX(L$12:L$15,MATCH($I221,$I$12:$I$15,0)))</f>
        <v>46248</v>
      </c>
      <c r="L221" s="215">
        <f>WORKDAY(M221,-INDEX(M$12:M$15,MATCH($I221,$I$12:$I$15,0)))</f>
        <v>46253</v>
      </c>
      <c r="M221" s="215">
        <f>WORKDAY(N221,-INDEX(N$12:N$15,MATCH($I221,$I$12:$I$15,0)))</f>
        <v>46260</v>
      </c>
      <c r="N221" s="215">
        <f>WORKDAY(O221,-INDEX(O$12:O$15,MATCH($I221,$I$12:$I$15,0)))</f>
        <v>46261</v>
      </c>
      <c r="O221" s="215">
        <f>WORKDAY(R221,-INDEX(R$12:R$15,MATCH($I221,$I$12:$I$15,0)))</f>
        <v>46266</v>
      </c>
      <c r="P221" s="216">
        <f>U221-L221</f>
        <v>39</v>
      </c>
      <c r="Q221" s="217"/>
      <c r="R221" s="215">
        <f>WORKDAY(S221,-INDEX(S$12:S$15,MATCH($I221,$I$12:$I$15,0)))</f>
        <v>46273</v>
      </c>
      <c r="S221" s="215">
        <f>WORKDAY(T221,-INDEX(T$12:T$15,MATCH($I221,$I$12:$I$15,0)))</f>
        <v>46282</v>
      </c>
      <c r="T221" s="215">
        <f>WORKDAY(U221,-INDEX(U$12:U$15,MATCH($I221,$I$12:$I$15,0)))</f>
        <v>46286</v>
      </c>
      <c r="U221" s="215">
        <f>X221-Y221</f>
        <v>46292</v>
      </c>
      <c r="V221" s="215">
        <f>WORKDAY(U221,INDEX(V$12:V$15,MATCH($I221,$I$12:$I$15,0)))</f>
        <v>46294</v>
      </c>
      <c r="W221" s="218">
        <f>Y221/7</f>
        <v>12.8571428571429</v>
      </c>
      <c r="X221" s="215">
        <f>Z221</f>
        <v>46382</v>
      </c>
      <c r="Y221" s="768">
        <v>90</v>
      </c>
      <c r="Z221" s="773">
        <v>46382</v>
      </c>
      <c r="AA221" s="773">
        <v>46538</v>
      </c>
      <c r="AB221" s="777">
        <f>Z221-X222</f>
        <v>0</v>
      </c>
      <c r="AC221" s="220">
        <f>IF(ISERROR(LOOKUP(AC$16,$L221:$X221,#REF!)),0,(LOOKUP(AC$16,$L221:$X221,#REF!)))</f>
        <v>0</v>
      </c>
      <c r="AD221" s="221">
        <f>IF(ISERROR(LOOKUP(AD$16,$L221:$X221,#REF!)),0,(LOOKUP(AD$16,$L221:$X221,#REF!)))</f>
        <v>0</v>
      </c>
      <c r="AE221" s="221">
        <f>IF(ISERROR(LOOKUP(AE$16,$L221:$X221,#REF!)),0,(LOOKUP(AE$16,$L221:$X221,#REF!)))</f>
        <v>0</v>
      </c>
      <c r="AF221" s="221">
        <f>IF(ISERROR(LOOKUP(AF$16,$L221:$X221,#REF!)),0,(LOOKUP(AF$16,$L221:$X221,#REF!)))</f>
        <v>0</v>
      </c>
      <c r="AG221" s="221">
        <f>IF(ISERROR(LOOKUP(AG$16,$L221:$X221,#REF!)),0,(LOOKUP(AG$16,$L221:$X221,#REF!)))</f>
        <v>0</v>
      </c>
      <c r="AH221" s="221">
        <f>IF(ISERROR(LOOKUP(AH$16,$L221:$X221,#REF!)),0,(LOOKUP(AH$16,$L221:$X221,#REF!)))</f>
        <v>0</v>
      </c>
      <c r="AI221" s="221">
        <f>IF(ISERROR(LOOKUP(AI$16,$L221:$X221,#REF!)),0,(LOOKUP(AI$16,$L221:$X221,#REF!)))</f>
        <v>0</v>
      </c>
      <c r="AJ221" s="221">
        <f>IF(ISERROR(LOOKUP(AJ$16,$L221:$X221,#REF!)),0,(LOOKUP(AJ$16,$L221:$X221,#REF!)))</f>
        <v>0</v>
      </c>
      <c r="AK221" s="221">
        <f>IF(ISERROR(LOOKUP(AK$16,$L221:$X221,#REF!)),0,(LOOKUP(AK$16,$L221:$X221,#REF!)))</f>
        <v>0</v>
      </c>
      <c r="AL221" s="221">
        <f>IF(ISERROR(LOOKUP(AL$16,$L221:$X221,#REF!)),0,(LOOKUP(AL$16,$L221:$X221,#REF!)))</f>
        <v>0</v>
      </c>
      <c r="AM221" s="221">
        <f ca="1">IF(ISERROR(LOOKUP(AM$16,$L221:$X221,#REF!)),0,(LOOKUP(AM$16,$L221:$X221,#REF!)))</f>
        <v>0</v>
      </c>
      <c r="AP221" s="215" t="e">
        <f>WORKDAY(AQ221,-INDEX(AQ$12:AQ$15,MATCH($I221,$I$12:$I$15,0)),$AW$17:$AW$148)</f>
        <v>#REF!</v>
      </c>
      <c r="AQ221" s="215" t="e">
        <f>WORKDAY(U221,-INDEX(U$12:U$15,MATCH($I221,$I$12:$I$15,0)),$AW$17:$AW$148)</f>
        <v>#REF!</v>
      </c>
      <c r="AR221" s="215" t="e">
        <f>WORKDAY(U221,-INDEX(U$12:U$15,MATCH($I221,$I$12:$I$15,0)),$AW$17:$AW$148)</f>
        <v>#REF!</v>
      </c>
      <c r="AS221" s="778">
        <v>7</v>
      </c>
      <c r="AW221" s="223"/>
    </row>
    <row r="222" spans="1:49" s="166" customFormat="1" ht="18" customHeight="1">
      <c r="A222" s="736"/>
      <c r="B222" s="739"/>
      <c r="C222" s="741"/>
      <c r="D222" s="741" t="s">
        <v>5320</v>
      </c>
      <c r="E222" s="212"/>
      <c r="F222" s="741" t="str">
        <f>F221</f>
        <v>Piping</v>
      </c>
      <c r="G222" s="741" t="str">
        <f>G221</f>
        <v>N</v>
      </c>
      <c r="H222" s="747"/>
      <c r="I222" s="212" t="str">
        <f>I221</f>
        <v>LD</v>
      </c>
      <c r="J222" s="249" t="s">
        <v>65</v>
      </c>
      <c r="K222" s="215">
        <f>K221</f>
        <v>46248</v>
      </c>
      <c r="L222" s="215">
        <f>WORKDAY(IF(K223="",K222,K223),INDEX(L$12:L$15,MATCH($I221,$I$12:$I$15,0)))</f>
        <v>46253</v>
      </c>
      <c r="M222" s="215">
        <f>WORKDAY(IF(L223="",L222,L223),INDEX(M$12:M$15,MATCH($I221,$I$12:$I$15,0)))</f>
        <v>46260</v>
      </c>
      <c r="N222" s="215">
        <f>WORKDAY(IF(M223="",M222,M223),INDEX(N$12:N$15,MATCH($I221,$I$12:$I$15,0)))</f>
        <v>46261</v>
      </c>
      <c r="O222" s="215">
        <f>WORKDAY(IF(N223="",N222,N223),INDEX(O$12:O$15,MATCH($I221,$I$12:$I$15,0)))</f>
        <v>46266</v>
      </c>
      <c r="P222" s="216"/>
      <c r="Q222" s="217"/>
      <c r="R222" s="215">
        <f>WORKDAY(IF(O223="",O222,O223),INDEX(R$12:R$15,MATCH($I221,$I$12:$I$15,0)))</f>
        <v>46273</v>
      </c>
      <c r="S222" s="215">
        <f>WORKDAY(IF(R223="",R222,R223),INDEX(S$12:S$15,MATCH($I221,$I$12:$I$15,0)))</f>
        <v>46282</v>
      </c>
      <c r="T222" s="215">
        <f>WORKDAY(IF(S223="",S222,S223),INDEX(T$12:T$15,MATCH($I221,$I$12:$I$15,0)))</f>
        <v>46286</v>
      </c>
      <c r="U222" s="215">
        <f>WORKDAY(IF(T223="",T222,T223),INDEX(U$12:U$15,MATCH($I221,$I$12:$I$15,0)))-1</f>
        <v>46292</v>
      </c>
      <c r="V222" s="215">
        <f>WORKDAY(IF(U223="",U222,U223),INDEX(V$12:V$15,MATCH($I221,$I$12:$I$15,0)))</f>
        <v>46294</v>
      </c>
      <c r="W222" s="218"/>
      <c r="X222" s="215">
        <f>U222+Y221</f>
        <v>46382</v>
      </c>
      <c r="Y222" s="768"/>
      <c r="Z222" s="773"/>
      <c r="AA222" s="773"/>
      <c r="AB222" s="777"/>
      <c r="AC222" s="220">
        <f>IF(ISERROR(LOOKUP(AC$16,$L222:$X222,#REF!)),0,(LOOKUP(AC$16,$L222:$X222,#REF!)))</f>
        <v>0</v>
      </c>
      <c r="AD222" s="221">
        <f>IF(ISERROR(LOOKUP(AD$16,$L222:$X222,#REF!)),0,(LOOKUP(AD$16,$L222:$X222,#REF!)))</f>
        <v>0</v>
      </c>
      <c r="AE222" s="221">
        <f>IF(ISERROR(LOOKUP(AE$16,$L222:$X222,#REF!)),0,(LOOKUP(AE$16,$L222:$X222,#REF!)))</f>
        <v>0</v>
      </c>
      <c r="AF222" s="221">
        <f>IF(ISERROR(LOOKUP(AF$16,$L222:$X222,#REF!)),0,(LOOKUP(AF$16,$L222:$X222,#REF!)))</f>
        <v>0</v>
      </c>
      <c r="AG222" s="221">
        <f>IF(ISERROR(LOOKUP(AG$16,$L222:$X222,#REF!)),0,(LOOKUP(AG$16,$L222:$X222,#REF!)))</f>
        <v>0</v>
      </c>
      <c r="AH222" s="221">
        <f>IF(ISERROR(LOOKUP(AH$16,$L222:$X222,#REF!)),0,(LOOKUP(AH$16,$L222:$X222,#REF!)))</f>
        <v>0</v>
      </c>
      <c r="AI222" s="221">
        <f>IF(ISERROR(LOOKUP(AI$16,$L222:$X222,#REF!)),0,(LOOKUP(AI$16,$L222:$X222,#REF!)))</f>
        <v>0</v>
      </c>
      <c r="AJ222" s="221">
        <f>IF(ISERROR(LOOKUP(AJ$16,$L222:$X222,#REF!)),0,(LOOKUP(AJ$16,$L222:$X222,#REF!)))</f>
        <v>0</v>
      </c>
      <c r="AK222" s="221">
        <f>IF(ISERROR(LOOKUP(AK$16,$L222:$X222,#REF!)),0,(LOOKUP(AK$16,$L222:$X222,#REF!)))</f>
        <v>0</v>
      </c>
      <c r="AL222" s="221">
        <f>IF(ISERROR(LOOKUP(AL$16,$L222:$X222,#REF!)),0,(LOOKUP(AL$16,$L222:$X222,#REF!)))</f>
        <v>0</v>
      </c>
      <c r="AM222" s="221">
        <f ca="1">IF(ISERROR(LOOKUP(AM$16,$L222:$X222,#REF!)),0,(LOOKUP(AM$16,$L222:$X222,#REF!)))</f>
        <v>0</v>
      </c>
      <c r="AP222" s="215" t="e">
        <f>WORKDAY(IF(T223="",T222,T223),INDEX(AP$12:AP$15,MATCH($I221,$I$12:$I$15,0)),$AW$17:$AW$148)</f>
        <v>#REF!</v>
      </c>
      <c r="AQ222" s="215" t="e">
        <f>WORKDAY(IF(AP223="",AP222,AP223),INDEX(AQ$12:AQ$15,MATCH($I221,$I$12:$I$15,0)),$AW$17:$AW$148)</f>
        <v>#REF!</v>
      </c>
      <c r="AR222" s="215" t="e">
        <f>WORKDAY(IF(AQ223="",AQ222,AQ223),INDEX(AR$12:AR$15,MATCH($I221,$I$12:$I$15,0)),$AW$17:$AW$148)</f>
        <v>#REF!</v>
      </c>
      <c r="AS222" s="778"/>
      <c r="AW222" s="223"/>
    </row>
    <row r="223" spans="1:49" s="166" customFormat="1" ht="18" customHeight="1">
      <c r="A223" s="736"/>
      <c r="B223" s="740"/>
      <c r="C223" s="741"/>
      <c r="D223" s="741" t="s">
        <v>5320</v>
      </c>
      <c r="E223" s="212"/>
      <c r="F223" s="741" t="str">
        <f>F221</f>
        <v>Piping</v>
      </c>
      <c r="G223" s="741" t="str">
        <f>G221</f>
        <v>N</v>
      </c>
      <c r="H223" s="748"/>
      <c r="I223" s="212" t="str">
        <f>I221</f>
        <v>LD</v>
      </c>
      <c r="J223" s="249" t="s">
        <v>67</v>
      </c>
      <c r="K223" s="212"/>
      <c r="L223" s="212"/>
      <c r="M223" s="212"/>
      <c r="N223" s="212"/>
      <c r="O223" s="212"/>
      <c r="P223" s="226"/>
      <c r="Q223" s="227"/>
      <c r="R223" s="212"/>
      <c r="S223" s="212"/>
      <c r="T223" s="212"/>
      <c r="U223" s="212"/>
      <c r="V223" s="212"/>
      <c r="W223" s="228"/>
      <c r="X223" s="212"/>
      <c r="Y223" s="768"/>
      <c r="Z223" s="773"/>
      <c r="AA223" s="773"/>
      <c r="AB223" s="777"/>
      <c r="AC223" s="229">
        <f>IF(ISERROR(LOOKUP(AC$16,$L223:$X223,#REF!)),0,(LOOKUP(AC$16,$L223:$X223,#REF!)))</f>
        <v>0</v>
      </c>
      <c r="AD223" s="230">
        <f>IF(ISERROR(LOOKUP(AD$16,$L223:$X223,#REF!)),0,(LOOKUP(AD$16,$L223:$X223,#REF!)))</f>
        <v>0</v>
      </c>
      <c r="AE223" s="230">
        <f>IF(ISERROR(LOOKUP(AE$16,$L223:$X223,#REF!)),0,(LOOKUP(AE$16,$L223:$X223,#REF!)))</f>
        <v>0</v>
      </c>
      <c r="AF223" s="230">
        <f>IF(ISERROR(LOOKUP(AF$16,$L223:$X223,#REF!)),0,(LOOKUP(AF$16,$L223:$X223,#REF!)))</f>
        <v>0</v>
      </c>
      <c r="AG223" s="230">
        <f>IF(ISERROR(LOOKUP(AG$16,$L223:$X223,#REF!)),0,(LOOKUP(AG$16,$L223:$X223,#REF!)))</f>
        <v>0</v>
      </c>
      <c r="AH223" s="230">
        <f>IF(ISERROR(LOOKUP(AH$16,$L223:$X223,#REF!)),0,(LOOKUP(AH$16,$L223:$X223,#REF!)))</f>
        <v>0</v>
      </c>
      <c r="AI223" s="230">
        <f>IF(ISERROR(LOOKUP(AI$16,$L223:$X223,#REF!)),0,(LOOKUP(AI$16,$L223:$X223,#REF!)))</f>
        <v>0</v>
      </c>
      <c r="AJ223" s="230">
        <f>IF(ISERROR(LOOKUP(AJ$16,$L223:$X223,#REF!)),0,(LOOKUP(AJ$16,$L223:$X223,#REF!)))</f>
        <v>0</v>
      </c>
      <c r="AK223" s="230">
        <f>IF(ISERROR(LOOKUP(AK$16,$L223:$X223,#REF!)),0,(LOOKUP(AK$16,$L223:$X223,#REF!)))</f>
        <v>0</v>
      </c>
      <c r="AL223" s="230">
        <f>IF(ISERROR(LOOKUP(AL$16,$L223:$X223,#REF!)),0,(LOOKUP(AL$16,$L223:$X223,#REF!)))</f>
        <v>0</v>
      </c>
      <c r="AM223" s="230">
        <f ca="1">IF(ISERROR(LOOKUP(AM$16,$L223:$X223,#REF!)),0,(LOOKUP(AM$16,$L223:$X223,#REF!)))</f>
        <v>0</v>
      </c>
      <c r="AP223" s="248"/>
      <c r="AQ223" s="248"/>
      <c r="AR223" s="248"/>
      <c r="AS223" s="778"/>
      <c r="AW223" s="223"/>
    </row>
    <row r="224" spans="1:49" s="166" customFormat="1" ht="18" customHeight="1">
      <c r="A224" s="736"/>
      <c r="B224" s="738"/>
      <c r="C224" s="741"/>
      <c r="D224" s="741" t="s">
        <v>278</v>
      </c>
      <c r="E224" s="212"/>
      <c r="F224" s="741" t="s">
        <v>86</v>
      </c>
      <c r="G224" s="741" t="s">
        <v>73</v>
      </c>
      <c r="H224" s="746"/>
      <c r="I224" s="212" t="s">
        <v>9</v>
      </c>
      <c r="J224" s="249" t="s">
        <v>5236</v>
      </c>
      <c r="K224" s="215">
        <f>WORKDAY(L224,-INDEX(L$12:L$15,MATCH($I224,$I$12:$I$15,0)))</f>
        <v>46169</v>
      </c>
      <c r="L224" s="215">
        <f>WORKDAY(M224,-INDEX(M$12:M$15,MATCH($I224,$I$12:$I$15,0)))</f>
        <v>46174</v>
      </c>
      <c r="M224" s="215">
        <f>WORKDAY(N224,-INDEX(N$12:N$15,MATCH($I224,$I$12:$I$15,0)))</f>
        <v>46181</v>
      </c>
      <c r="N224" s="215">
        <f>WORKDAY(O224,-INDEX(O$12:O$15,MATCH($I224,$I$12:$I$15,0)))</f>
        <v>46182</v>
      </c>
      <c r="O224" s="215">
        <f>WORKDAY(R224,-INDEX(R$12:R$15,MATCH($I224,$I$12:$I$15,0)))</f>
        <v>46185</v>
      </c>
      <c r="P224" s="216">
        <f>U224-L224</f>
        <v>38</v>
      </c>
      <c r="Q224" s="217"/>
      <c r="R224" s="215">
        <f>WORKDAY(S224,-INDEX(S$12:S$15,MATCH($I224,$I$12:$I$15,0)))</f>
        <v>46192</v>
      </c>
      <c r="S224" s="215">
        <f>WORKDAY(T224,-INDEX(T$12:T$15,MATCH($I224,$I$12:$I$15,0)))</f>
        <v>46203</v>
      </c>
      <c r="T224" s="215">
        <f>WORKDAY(U224,-INDEX(U$12:U$15,MATCH($I224,$I$12:$I$15,0)))</f>
        <v>46205</v>
      </c>
      <c r="U224" s="215">
        <f>X224-Y224</f>
        <v>46212</v>
      </c>
      <c r="V224" s="215">
        <f>WORKDAY(U224,INDEX(V$12:V$15,MATCH($I224,$I$12:$I$15,0)))</f>
        <v>46216</v>
      </c>
      <c r="W224" s="218">
        <f>Y224/7</f>
        <v>24.285714285714299</v>
      </c>
      <c r="X224" s="215">
        <f>Z224</f>
        <v>46382</v>
      </c>
      <c r="Y224" s="768">
        <v>170</v>
      </c>
      <c r="Z224" s="773">
        <v>46382</v>
      </c>
      <c r="AA224" s="773">
        <v>46538</v>
      </c>
      <c r="AB224" s="777">
        <f>Z224-X225</f>
        <v>0</v>
      </c>
      <c r="AC224" s="220">
        <f>IF(ISERROR(LOOKUP(AC$16,$L224:$X224,#REF!)),0,(LOOKUP(AC$16,$L224:$X224,#REF!)))</f>
        <v>0</v>
      </c>
      <c r="AD224" s="221">
        <f>IF(ISERROR(LOOKUP(AD$16,$L224:$X224,#REF!)),0,(LOOKUP(AD$16,$L224:$X224,#REF!)))</f>
        <v>0</v>
      </c>
      <c r="AE224" s="221">
        <f>IF(ISERROR(LOOKUP(AE$16,$L224:$X224,#REF!)),0,(LOOKUP(AE$16,$L224:$X224,#REF!)))</f>
        <v>0</v>
      </c>
      <c r="AF224" s="221">
        <f>IF(ISERROR(LOOKUP(AF$16,$L224:$X224,#REF!)),0,(LOOKUP(AF$16,$L224:$X224,#REF!)))</f>
        <v>0</v>
      </c>
      <c r="AG224" s="221">
        <f>IF(ISERROR(LOOKUP(AG$16,$L224:$X224,#REF!)),0,(LOOKUP(AG$16,$L224:$X224,#REF!)))</f>
        <v>0</v>
      </c>
      <c r="AH224" s="221">
        <f>IF(ISERROR(LOOKUP(AH$16,$L224:$X224,#REF!)),0,(LOOKUP(AH$16,$L224:$X224,#REF!)))</f>
        <v>0</v>
      </c>
      <c r="AI224" s="221">
        <f>IF(ISERROR(LOOKUP(AI$16,$L224:$X224,#REF!)),0,(LOOKUP(AI$16,$L224:$X224,#REF!)))</f>
        <v>0</v>
      </c>
      <c r="AJ224" s="221">
        <f>IF(ISERROR(LOOKUP(AJ$16,$L224:$X224,#REF!)),0,(LOOKUP(AJ$16,$L224:$X224,#REF!)))</f>
        <v>0</v>
      </c>
      <c r="AK224" s="221">
        <f>IF(ISERROR(LOOKUP(AK$16,$L224:$X224,#REF!)),0,(LOOKUP(AK$16,$L224:$X224,#REF!)))</f>
        <v>0</v>
      </c>
      <c r="AL224" s="221">
        <f>IF(ISERROR(LOOKUP(AL$16,$L224:$X224,#REF!)),0,(LOOKUP(AL$16,$L224:$X224,#REF!)))</f>
        <v>0</v>
      </c>
      <c r="AM224" s="221">
        <f ca="1">IF(ISERROR(LOOKUP(AM$16,$L224:$X224,#REF!)),0,(LOOKUP(AM$16,$L224:$X224,#REF!)))</f>
        <v>0</v>
      </c>
      <c r="AP224" s="215" t="e">
        <f>WORKDAY(AQ224,-INDEX(AQ$12:AQ$15,MATCH($I224,$I$12:$I$15,0)),$AW$17:$AW$148)</f>
        <v>#REF!</v>
      </c>
      <c r="AQ224" s="215" t="e">
        <f>WORKDAY(U224,-INDEX(U$12:U$15,MATCH($I224,$I$12:$I$15,0)),$AW$17:$AW$148)</f>
        <v>#REF!</v>
      </c>
      <c r="AR224" s="215" t="e">
        <f>WORKDAY(U224,-INDEX(U$12:U$15,MATCH($I224,$I$12:$I$15,0)),$AW$17:$AW$148)</f>
        <v>#REF!</v>
      </c>
      <c r="AS224" s="778">
        <v>7</v>
      </c>
      <c r="AW224" s="223"/>
    </row>
    <row r="225" spans="1:49" s="166" customFormat="1" ht="18" customHeight="1">
      <c r="A225" s="736"/>
      <c r="B225" s="739"/>
      <c r="C225" s="741"/>
      <c r="D225" s="741" t="s">
        <v>278</v>
      </c>
      <c r="E225" s="212"/>
      <c r="F225" s="741" t="str">
        <f>F224</f>
        <v>Piping</v>
      </c>
      <c r="G225" s="741" t="str">
        <f>G224</f>
        <v>N</v>
      </c>
      <c r="H225" s="747"/>
      <c r="I225" s="212" t="str">
        <f>I224</f>
        <v>LD</v>
      </c>
      <c r="J225" s="249" t="s">
        <v>65</v>
      </c>
      <c r="K225" s="215">
        <f>K224</f>
        <v>46169</v>
      </c>
      <c r="L225" s="215">
        <f>WORKDAY(IF(K226="",K225,K226),INDEX(L$12:L$15,MATCH($I224,$I$12:$I$15,0)))</f>
        <v>46174</v>
      </c>
      <c r="M225" s="215">
        <f>WORKDAY(IF(L226="",L225,L226),INDEX(M$12:M$15,MATCH($I224,$I$12:$I$15,0)))</f>
        <v>46181</v>
      </c>
      <c r="N225" s="215">
        <f>WORKDAY(IF(M226="",M225,M226),INDEX(N$12:N$15,MATCH($I224,$I$12:$I$15,0)))</f>
        <v>46182</v>
      </c>
      <c r="O225" s="215">
        <f>WORKDAY(IF(N226="",N225,N226),INDEX(O$12:O$15,MATCH($I224,$I$12:$I$15,0)))</f>
        <v>46185</v>
      </c>
      <c r="P225" s="216"/>
      <c r="Q225" s="217"/>
      <c r="R225" s="215">
        <f>WORKDAY(IF(O226="",O225,O226),INDEX(R$12:R$15,MATCH($I224,$I$12:$I$15,0)))</f>
        <v>46192</v>
      </c>
      <c r="S225" s="215">
        <f>WORKDAY(IF(R226="",R225,R226),INDEX(S$12:S$15,MATCH($I224,$I$12:$I$15,0)))</f>
        <v>46203</v>
      </c>
      <c r="T225" s="215">
        <f>WORKDAY(IF(S226="",S225,S226),INDEX(T$12:T$15,MATCH($I224,$I$12:$I$15,0)))</f>
        <v>46205</v>
      </c>
      <c r="U225" s="215">
        <f>WORKDAY(IF(T226="",T225,T226),INDEX(U$12:U$15,MATCH($I224,$I$12:$I$15,0)))</f>
        <v>46212</v>
      </c>
      <c r="V225" s="215">
        <f>WORKDAY(IF(U226="",U225,U226),INDEX(V$12:V$15,MATCH($I224,$I$12:$I$15,0)))</f>
        <v>46216</v>
      </c>
      <c r="W225" s="218"/>
      <c r="X225" s="215">
        <f>U225+Y224</f>
        <v>46382</v>
      </c>
      <c r="Y225" s="768"/>
      <c r="Z225" s="773"/>
      <c r="AA225" s="773"/>
      <c r="AB225" s="777"/>
      <c r="AC225" s="220">
        <f>IF(ISERROR(LOOKUP(AC$16,$L225:$X225,#REF!)),0,(LOOKUP(AC$16,$L225:$X225,#REF!)))</f>
        <v>0</v>
      </c>
      <c r="AD225" s="221">
        <f>IF(ISERROR(LOOKUP(AD$16,$L225:$X225,#REF!)),0,(LOOKUP(AD$16,$L225:$X225,#REF!)))</f>
        <v>0</v>
      </c>
      <c r="AE225" s="221">
        <f>IF(ISERROR(LOOKUP(AE$16,$L225:$X225,#REF!)),0,(LOOKUP(AE$16,$L225:$X225,#REF!)))</f>
        <v>0</v>
      </c>
      <c r="AF225" s="221">
        <f>IF(ISERROR(LOOKUP(AF$16,$L225:$X225,#REF!)),0,(LOOKUP(AF$16,$L225:$X225,#REF!)))</f>
        <v>0</v>
      </c>
      <c r="AG225" s="221">
        <f>IF(ISERROR(LOOKUP(AG$16,$L225:$X225,#REF!)),0,(LOOKUP(AG$16,$L225:$X225,#REF!)))</f>
        <v>0</v>
      </c>
      <c r="AH225" s="221">
        <f>IF(ISERROR(LOOKUP(AH$16,$L225:$X225,#REF!)),0,(LOOKUP(AH$16,$L225:$X225,#REF!)))</f>
        <v>0</v>
      </c>
      <c r="AI225" s="221">
        <f>IF(ISERROR(LOOKUP(AI$16,$L225:$X225,#REF!)),0,(LOOKUP(AI$16,$L225:$X225,#REF!)))</f>
        <v>0</v>
      </c>
      <c r="AJ225" s="221">
        <f>IF(ISERROR(LOOKUP(AJ$16,$L225:$X225,#REF!)),0,(LOOKUP(AJ$16,$L225:$X225,#REF!)))</f>
        <v>0</v>
      </c>
      <c r="AK225" s="221">
        <f>IF(ISERROR(LOOKUP(AK$16,$L225:$X225,#REF!)),0,(LOOKUP(AK$16,$L225:$X225,#REF!)))</f>
        <v>0</v>
      </c>
      <c r="AL225" s="221">
        <f>IF(ISERROR(LOOKUP(AL$16,$L225:$X225,#REF!)),0,(LOOKUP(AL$16,$L225:$X225,#REF!)))</f>
        <v>0</v>
      </c>
      <c r="AM225" s="221">
        <f ca="1">IF(ISERROR(LOOKUP(AM$16,$L225:$X225,#REF!)),0,(LOOKUP(AM$16,$L225:$X225,#REF!)))</f>
        <v>0</v>
      </c>
      <c r="AP225" s="215" t="e">
        <f>WORKDAY(IF(T226="",T225,T226),INDEX(AP$12:AP$15,MATCH($I224,$I$12:$I$15,0)),$AW$17:$AW$148)</f>
        <v>#REF!</v>
      </c>
      <c r="AQ225" s="215" t="e">
        <f>WORKDAY(IF(AP226="",AP225,AP226),INDEX(AQ$12:AQ$15,MATCH($I224,$I$12:$I$15,0)),$AW$17:$AW$148)</f>
        <v>#REF!</v>
      </c>
      <c r="AR225" s="215" t="e">
        <f>WORKDAY(IF(AQ226="",AQ225,AQ226),INDEX(AR$12:AR$15,MATCH($I224,$I$12:$I$15,0)),$AW$17:$AW$148)</f>
        <v>#REF!</v>
      </c>
      <c r="AS225" s="778"/>
      <c r="AW225" s="223"/>
    </row>
    <row r="226" spans="1:49" s="166" customFormat="1" ht="18" customHeight="1">
      <c r="A226" s="736"/>
      <c r="B226" s="740"/>
      <c r="C226" s="741"/>
      <c r="D226" s="741" t="s">
        <v>278</v>
      </c>
      <c r="E226" s="212"/>
      <c r="F226" s="741" t="str">
        <f>F224</f>
        <v>Piping</v>
      </c>
      <c r="G226" s="741" t="str">
        <f>G224</f>
        <v>N</v>
      </c>
      <c r="H226" s="748"/>
      <c r="I226" s="212" t="str">
        <f>I224</f>
        <v>LD</v>
      </c>
      <c r="J226" s="249" t="s">
        <v>67</v>
      </c>
      <c r="K226" s="212"/>
      <c r="L226" s="212"/>
      <c r="M226" s="212"/>
      <c r="N226" s="212"/>
      <c r="O226" s="212"/>
      <c r="P226" s="226"/>
      <c r="Q226" s="227"/>
      <c r="R226" s="212"/>
      <c r="S226" s="212"/>
      <c r="T226" s="212"/>
      <c r="U226" s="212"/>
      <c r="V226" s="212"/>
      <c r="W226" s="228"/>
      <c r="X226" s="212"/>
      <c r="Y226" s="768"/>
      <c r="Z226" s="773"/>
      <c r="AA226" s="773"/>
      <c r="AB226" s="777"/>
      <c r="AC226" s="229">
        <f>IF(ISERROR(LOOKUP(AC$16,$L226:$X226,#REF!)),0,(LOOKUP(AC$16,$L226:$X226,#REF!)))</f>
        <v>0</v>
      </c>
      <c r="AD226" s="230">
        <f>IF(ISERROR(LOOKUP(AD$16,$L226:$X226,#REF!)),0,(LOOKUP(AD$16,$L226:$X226,#REF!)))</f>
        <v>0</v>
      </c>
      <c r="AE226" s="230">
        <f>IF(ISERROR(LOOKUP(AE$16,$L226:$X226,#REF!)),0,(LOOKUP(AE$16,$L226:$X226,#REF!)))</f>
        <v>0</v>
      </c>
      <c r="AF226" s="230">
        <f>IF(ISERROR(LOOKUP(AF$16,$L226:$X226,#REF!)),0,(LOOKUP(AF$16,$L226:$X226,#REF!)))</f>
        <v>0</v>
      </c>
      <c r="AG226" s="230">
        <f>IF(ISERROR(LOOKUP(AG$16,$L226:$X226,#REF!)),0,(LOOKUP(AG$16,$L226:$X226,#REF!)))</f>
        <v>0</v>
      </c>
      <c r="AH226" s="230">
        <f>IF(ISERROR(LOOKUP(AH$16,$L226:$X226,#REF!)),0,(LOOKUP(AH$16,$L226:$X226,#REF!)))</f>
        <v>0</v>
      </c>
      <c r="AI226" s="230">
        <f>IF(ISERROR(LOOKUP(AI$16,$L226:$X226,#REF!)),0,(LOOKUP(AI$16,$L226:$X226,#REF!)))</f>
        <v>0</v>
      </c>
      <c r="AJ226" s="230">
        <f>IF(ISERROR(LOOKUP(AJ$16,$L226:$X226,#REF!)),0,(LOOKUP(AJ$16,$L226:$X226,#REF!)))</f>
        <v>0</v>
      </c>
      <c r="AK226" s="230">
        <f>IF(ISERROR(LOOKUP(AK$16,$L226:$X226,#REF!)),0,(LOOKUP(AK$16,$L226:$X226,#REF!)))</f>
        <v>0</v>
      </c>
      <c r="AL226" s="230">
        <f>IF(ISERROR(LOOKUP(AL$16,$L226:$X226,#REF!)),0,(LOOKUP(AL$16,$L226:$X226,#REF!)))</f>
        <v>0</v>
      </c>
      <c r="AM226" s="230">
        <f ca="1">IF(ISERROR(LOOKUP(AM$16,$L226:$X226,#REF!)),0,(LOOKUP(AM$16,$L226:$X226,#REF!)))</f>
        <v>0</v>
      </c>
      <c r="AP226" s="248"/>
      <c r="AQ226" s="248"/>
      <c r="AR226" s="248"/>
      <c r="AS226" s="778"/>
      <c r="AW226" s="223"/>
    </row>
    <row r="227" spans="1:49" s="166" customFormat="1" ht="18" customHeight="1">
      <c r="A227" s="736"/>
      <c r="B227" s="738"/>
      <c r="C227" s="741"/>
      <c r="D227" s="741" t="s">
        <v>5321</v>
      </c>
      <c r="E227" s="212"/>
      <c r="F227" s="741" t="s">
        <v>86</v>
      </c>
      <c r="G227" s="741" t="s">
        <v>73</v>
      </c>
      <c r="H227" s="746"/>
      <c r="I227" s="212" t="s">
        <v>9</v>
      </c>
      <c r="J227" s="249" t="s">
        <v>5236</v>
      </c>
      <c r="K227" s="215">
        <f>WORKDAY(L227,-INDEX(L$12:L$15,MATCH($I227,$I$12:$I$15,0)))</f>
        <v>46169</v>
      </c>
      <c r="L227" s="215">
        <f>WORKDAY(M227,-INDEX(M$12:M$15,MATCH($I227,$I$12:$I$15,0)))</f>
        <v>46174</v>
      </c>
      <c r="M227" s="215">
        <f>WORKDAY(N227,-INDEX(N$12:N$15,MATCH($I227,$I$12:$I$15,0)))</f>
        <v>46181</v>
      </c>
      <c r="N227" s="215">
        <f>WORKDAY(O227,-INDEX(O$12:O$15,MATCH($I227,$I$12:$I$15,0)))</f>
        <v>46182</v>
      </c>
      <c r="O227" s="215">
        <f>WORKDAY(R227,-INDEX(R$12:R$15,MATCH($I227,$I$12:$I$15,0)))</f>
        <v>46185</v>
      </c>
      <c r="P227" s="216">
        <f>U227-L227</f>
        <v>38</v>
      </c>
      <c r="Q227" s="217"/>
      <c r="R227" s="215">
        <f>WORKDAY(S227,-INDEX(S$12:S$15,MATCH($I227,$I$12:$I$15,0)))</f>
        <v>46192</v>
      </c>
      <c r="S227" s="215">
        <f>WORKDAY(T227,-INDEX(T$12:T$15,MATCH($I227,$I$12:$I$15,0)))</f>
        <v>46203</v>
      </c>
      <c r="T227" s="215">
        <f>WORKDAY(U227,-INDEX(U$12:U$15,MATCH($I227,$I$12:$I$15,0)))</f>
        <v>46205</v>
      </c>
      <c r="U227" s="215">
        <f>X227-Y227</f>
        <v>46212</v>
      </c>
      <c r="V227" s="215">
        <f>WORKDAY(U227,INDEX(V$12:V$15,MATCH($I227,$I$12:$I$15,0)))</f>
        <v>46216</v>
      </c>
      <c r="W227" s="218">
        <f>Y227/7</f>
        <v>24.285714285714299</v>
      </c>
      <c r="X227" s="215">
        <f>Z227</f>
        <v>46382</v>
      </c>
      <c r="Y227" s="768">
        <v>170</v>
      </c>
      <c r="Z227" s="773">
        <v>46382</v>
      </c>
      <c r="AA227" s="773">
        <v>46538</v>
      </c>
      <c r="AB227" s="777">
        <f>Z227-X228</f>
        <v>0</v>
      </c>
      <c r="AC227" s="220">
        <f>IF(ISERROR(LOOKUP(AC$16,$L227:$X227,#REF!)),0,(LOOKUP(AC$16,$L227:$X227,#REF!)))</f>
        <v>0</v>
      </c>
      <c r="AD227" s="221">
        <f>IF(ISERROR(LOOKUP(AD$16,$L227:$X227,#REF!)),0,(LOOKUP(AD$16,$L227:$X227,#REF!)))</f>
        <v>0</v>
      </c>
      <c r="AE227" s="221">
        <f>IF(ISERROR(LOOKUP(AE$16,$L227:$X227,#REF!)),0,(LOOKUP(AE$16,$L227:$X227,#REF!)))</f>
        <v>0</v>
      </c>
      <c r="AF227" s="221">
        <f>IF(ISERROR(LOOKUP(AF$16,$L227:$X227,#REF!)),0,(LOOKUP(AF$16,$L227:$X227,#REF!)))</f>
        <v>0</v>
      </c>
      <c r="AG227" s="221">
        <f>IF(ISERROR(LOOKUP(AG$16,$L227:$X227,#REF!)),0,(LOOKUP(AG$16,$L227:$X227,#REF!)))</f>
        <v>0</v>
      </c>
      <c r="AH227" s="221">
        <f>IF(ISERROR(LOOKUP(AH$16,$L227:$X227,#REF!)),0,(LOOKUP(AH$16,$L227:$X227,#REF!)))</f>
        <v>0</v>
      </c>
      <c r="AI227" s="221">
        <f>IF(ISERROR(LOOKUP(AI$16,$L227:$X227,#REF!)),0,(LOOKUP(AI$16,$L227:$X227,#REF!)))</f>
        <v>0</v>
      </c>
      <c r="AJ227" s="221">
        <f>IF(ISERROR(LOOKUP(AJ$16,$L227:$X227,#REF!)),0,(LOOKUP(AJ$16,$L227:$X227,#REF!)))</f>
        <v>0</v>
      </c>
      <c r="AK227" s="221">
        <f>IF(ISERROR(LOOKUP(AK$16,$L227:$X227,#REF!)),0,(LOOKUP(AK$16,$L227:$X227,#REF!)))</f>
        <v>0</v>
      </c>
      <c r="AL227" s="221">
        <f>IF(ISERROR(LOOKUP(AL$16,$L227:$X227,#REF!)),0,(LOOKUP(AL$16,$L227:$X227,#REF!)))</f>
        <v>0</v>
      </c>
      <c r="AM227" s="221">
        <f ca="1">IF(ISERROR(LOOKUP(AM$16,$L227:$X227,#REF!)),0,(LOOKUP(AM$16,$L227:$X227,#REF!)))</f>
        <v>0</v>
      </c>
      <c r="AP227" s="215" t="e">
        <f>WORKDAY(AQ227,-INDEX(AQ$12:AQ$15,MATCH($I227,$I$12:$I$15,0)),$AW$17:$AW$148)</f>
        <v>#REF!</v>
      </c>
      <c r="AQ227" s="215" t="e">
        <f>WORKDAY(U227,-INDEX(U$12:U$15,MATCH($I227,$I$12:$I$15,0)),$AW$17:$AW$148)</f>
        <v>#REF!</v>
      </c>
      <c r="AR227" s="215" t="e">
        <f>WORKDAY(U227,-INDEX(U$12:U$15,MATCH($I227,$I$12:$I$15,0)),$AW$17:$AW$148)</f>
        <v>#REF!</v>
      </c>
      <c r="AS227" s="778">
        <v>7</v>
      </c>
      <c r="AW227" s="223"/>
    </row>
    <row r="228" spans="1:49" s="166" customFormat="1" ht="18" customHeight="1">
      <c r="A228" s="736"/>
      <c r="B228" s="739"/>
      <c r="C228" s="741"/>
      <c r="D228" s="741" t="s">
        <v>5321</v>
      </c>
      <c r="E228" s="212"/>
      <c r="F228" s="741" t="str">
        <f>F227</f>
        <v>Piping</v>
      </c>
      <c r="G228" s="741" t="str">
        <f>G227</f>
        <v>N</v>
      </c>
      <c r="H228" s="747"/>
      <c r="I228" s="212" t="str">
        <f>I227</f>
        <v>LD</v>
      </c>
      <c r="J228" s="249" t="s">
        <v>65</v>
      </c>
      <c r="K228" s="215">
        <f>K227</f>
        <v>46169</v>
      </c>
      <c r="L228" s="215">
        <f>WORKDAY(IF(K229="",K228,K229),INDEX(L$12:L$15,MATCH($I227,$I$12:$I$15,0)))</f>
        <v>46174</v>
      </c>
      <c r="M228" s="215">
        <f>WORKDAY(IF(L229="",L228,L229),INDEX(M$12:M$15,MATCH($I227,$I$12:$I$15,0)))</f>
        <v>46181</v>
      </c>
      <c r="N228" s="215">
        <f>WORKDAY(IF(M229="",M228,M229),INDEX(N$12:N$15,MATCH($I227,$I$12:$I$15,0)))</f>
        <v>46182</v>
      </c>
      <c r="O228" s="215">
        <f>WORKDAY(IF(N229="",N228,N229),INDEX(O$12:O$15,MATCH($I227,$I$12:$I$15,0)))</f>
        <v>46185</v>
      </c>
      <c r="P228" s="216"/>
      <c r="Q228" s="217"/>
      <c r="R228" s="215">
        <f>WORKDAY(IF(O229="",O228,O229),INDEX(R$12:R$15,MATCH($I227,$I$12:$I$15,0)))</f>
        <v>46192</v>
      </c>
      <c r="S228" s="215">
        <f>WORKDAY(IF(R229="",R228,R229),INDEX(S$12:S$15,MATCH($I227,$I$12:$I$15,0)))</f>
        <v>46203</v>
      </c>
      <c r="T228" s="215">
        <f>WORKDAY(IF(S229="",S228,S229),INDEX(T$12:T$15,MATCH($I227,$I$12:$I$15,0)))</f>
        <v>46205</v>
      </c>
      <c r="U228" s="215">
        <f>WORKDAY(IF(T229="",T228,T229),INDEX(U$12:U$15,MATCH($I227,$I$12:$I$15,0)))</f>
        <v>46212</v>
      </c>
      <c r="V228" s="215">
        <f>WORKDAY(IF(U229="",U228,U229),INDEX(V$12:V$15,MATCH($I227,$I$12:$I$15,0)))</f>
        <v>46216</v>
      </c>
      <c r="W228" s="218"/>
      <c r="X228" s="215">
        <f>U228+Y227</f>
        <v>46382</v>
      </c>
      <c r="Y228" s="768"/>
      <c r="Z228" s="773"/>
      <c r="AA228" s="773"/>
      <c r="AB228" s="777"/>
      <c r="AC228" s="220">
        <f>IF(ISERROR(LOOKUP(AC$16,$L228:$X228,#REF!)),0,(LOOKUP(AC$16,$L228:$X228,#REF!)))</f>
        <v>0</v>
      </c>
      <c r="AD228" s="221">
        <f>IF(ISERROR(LOOKUP(AD$16,$L228:$X228,#REF!)),0,(LOOKUP(AD$16,$L228:$X228,#REF!)))</f>
        <v>0</v>
      </c>
      <c r="AE228" s="221">
        <f>IF(ISERROR(LOOKUP(AE$16,$L228:$X228,#REF!)),0,(LOOKUP(AE$16,$L228:$X228,#REF!)))</f>
        <v>0</v>
      </c>
      <c r="AF228" s="221">
        <f>IF(ISERROR(LOOKUP(AF$16,$L228:$X228,#REF!)),0,(LOOKUP(AF$16,$L228:$X228,#REF!)))</f>
        <v>0</v>
      </c>
      <c r="AG228" s="221">
        <f>IF(ISERROR(LOOKUP(AG$16,$L228:$X228,#REF!)),0,(LOOKUP(AG$16,$L228:$X228,#REF!)))</f>
        <v>0</v>
      </c>
      <c r="AH228" s="221">
        <f>IF(ISERROR(LOOKUP(AH$16,$L228:$X228,#REF!)),0,(LOOKUP(AH$16,$L228:$X228,#REF!)))</f>
        <v>0</v>
      </c>
      <c r="AI228" s="221">
        <f>IF(ISERROR(LOOKUP(AI$16,$L228:$X228,#REF!)),0,(LOOKUP(AI$16,$L228:$X228,#REF!)))</f>
        <v>0</v>
      </c>
      <c r="AJ228" s="221">
        <f>IF(ISERROR(LOOKUP(AJ$16,$L228:$X228,#REF!)),0,(LOOKUP(AJ$16,$L228:$X228,#REF!)))</f>
        <v>0</v>
      </c>
      <c r="AK228" s="221">
        <f>IF(ISERROR(LOOKUP(AK$16,$L228:$X228,#REF!)),0,(LOOKUP(AK$16,$L228:$X228,#REF!)))</f>
        <v>0</v>
      </c>
      <c r="AL228" s="221">
        <f>IF(ISERROR(LOOKUP(AL$16,$L228:$X228,#REF!)),0,(LOOKUP(AL$16,$L228:$X228,#REF!)))</f>
        <v>0</v>
      </c>
      <c r="AM228" s="221">
        <f ca="1">IF(ISERROR(LOOKUP(AM$16,$L228:$X228,#REF!)),0,(LOOKUP(AM$16,$L228:$X228,#REF!)))</f>
        <v>0</v>
      </c>
      <c r="AP228" s="215" t="e">
        <f>WORKDAY(IF(T229="",T228,T229),INDEX(AP$12:AP$15,MATCH($I227,$I$12:$I$15,0)),$AW$17:$AW$148)</f>
        <v>#REF!</v>
      </c>
      <c r="AQ228" s="215" t="e">
        <f>WORKDAY(IF(AP229="",AP228,AP229),INDEX(AQ$12:AQ$15,MATCH($I227,$I$12:$I$15,0)),$AW$17:$AW$148)</f>
        <v>#REF!</v>
      </c>
      <c r="AR228" s="215" t="e">
        <f>WORKDAY(IF(AQ229="",AQ228,AQ229),INDEX(AR$12:AR$15,MATCH($I227,$I$12:$I$15,0)),$AW$17:$AW$148)</f>
        <v>#REF!</v>
      </c>
      <c r="AS228" s="778"/>
      <c r="AW228" s="223"/>
    </row>
    <row r="229" spans="1:49" s="166" customFormat="1" ht="18" customHeight="1">
      <c r="A229" s="736"/>
      <c r="B229" s="740"/>
      <c r="C229" s="741"/>
      <c r="D229" s="741" t="s">
        <v>5321</v>
      </c>
      <c r="E229" s="212"/>
      <c r="F229" s="741" t="str">
        <f>F227</f>
        <v>Piping</v>
      </c>
      <c r="G229" s="741" t="str">
        <f>G227</f>
        <v>N</v>
      </c>
      <c r="H229" s="748"/>
      <c r="I229" s="212" t="str">
        <f>I227</f>
        <v>LD</v>
      </c>
      <c r="J229" s="249" t="s">
        <v>67</v>
      </c>
      <c r="K229" s="212"/>
      <c r="L229" s="212"/>
      <c r="M229" s="212"/>
      <c r="N229" s="212"/>
      <c r="O229" s="212"/>
      <c r="P229" s="226"/>
      <c r="Q229" s="227"/>
      <c r="R229" s="212"/>
      <c r="S229" s="212"/>
      <c r="T229" s="212"/>
      <c r="U229" s="212"/>
      <c r="V229" s="212"/>
      <c r="W229" s="228"/>
      <c r="X229" s="212"/>
      <c r="Y229" s="768"/>
      <c r="Z229" s="773"/>
      <c r="AA229" s="773"/>
      <c r="AB229" s="777"/>
      <c r="AC229" s="229">
        <f>IF(ISERROR(LOOKUP(AC$16,$L229:$X229,#REF!)),0,(LOOKUP(AC$16,$L229:$X229,#REF!)))</f>
        <v>0</v>
      </c>
      <c r="AD229" s="230">
        <f>IF(ISERROR(LOOKUP(AD$16,$L229:$X229,#REF!)),0,(LOOKUP(AD$16,$L229:$X229,#REF!)))</f>
        <v>0</v>
      </c>
      <c r="AE229" s="230">
        <f>IF(ISERROR(LOOKUP(AE$16,$L229:$X229,#REF!)),0,(LOOKUP(AE$16,$L229:$X229,#REF!)))</f>
        <v>0</v>
      </c>
      <c r="AF229" s="230">
        <f>IF(ISERROR(LOOKUP(AF$16,$L229:$X229,#REF!)),0,(LOOKUP(AF$16,$L229:$X229,#REF!)))</f>
        <v>0</v>
      </c>
      <c r="AG229" s="230">
        <f>IF(ISERROR(LOOKUP(AG$16,$L229:$X229,#REF!)),0,(LOOKUP(AG$16,$L229:$X229,#REF!)))</f>
        <v>0</v>
      </c>
      <c r="AH229" s="230">
        <f>IF(ISERROR(LOOKUP(AH$16,$L229:$X229,#REF!)),0,(LOOKUP(AH$16,$L229:$X229,#REF!)))</f>
        <v>0</v>
      </c>
      <c r="AI229" s="230">
        <f>IF(ISERROR(LOOKUP(AI$16,$L229:$X229,#REF!)),0,(LOOKUP(AI$16,$L229:$X229,#REF!)))</f>
        <v>0</v>
      </c>
      <c r="AJ229" s="230">
        <f>IF(ISERROR(LOOKUP(AJ$16,$L229:$X229,#REF!)),0,(LOOKUP(AJ$16,$L229:$X229,#REF!)))</f>
        <v>0</v>
      </c>
      <c r="AK229" s="230">
        <f>IF(ISERROR(LOOKUP(AK$16,$L229:$X229,#REF!)),0,(LOOKUP(AK$16,$L229:$X229,#REF!)))</f>
        <v>0</v>
      </c>
      <c r="AL229" s="230">
        <f>IF(ISERROR(LOOKUP(AL$16,$L229:$X229,#REF!)),0,(LOOKUP(AL$16,$L229:$X229,#REF!)))</f>
        <v>0</v>
      </c>
      <c r="AM229" s="230">
        <f ca="1">IF(ISERROR(LOOKUP(AM$16,$L229:$X229,#REF!)),0,(LOOKUP(AM$16,$L229:$X229,#REF!)))</f>
        <v>0</v>
      </c>
      <c r="AP229" s="248"/>
      <c r="AQ229" s="248"/>
      <c r="AR229" s="248"/>
      <c r="AS229" s="778"/>
      <c r="AW229" s="223"/>
    </row>
    <row r="230" spans="1:49" s="166" customFormat="1" ht="18" customHeight="1">
      <c r="A230" s="736"/>
      <c r="B230" s="738"/>
      <c r="C230" s="741"/>
      <c r="D230" s="741" t="s">
        <v>5322</v>
      </c>
      <c r="E230" s="212"/>
      <c r="F230" s="741" t="s">
        <v>86</v>
      </c>
      <c r="G230" s="741" t="s">
        <v>73</v>
      </c>
      <c r="H230" s="746"/>
      <c r="I230" s="212" t="s">
        <v>9</v>
      </c>
      <c r="J230" s="249" t="s">
        <v>5236</v>
      </c>
      <c r="K230" s="215">
        <f>WORKDAY(L230,-INDEX(L$12:L$15,MATCH($I230,$I$12:$I$15,0)))</f>
        <v>46248</v>
      </c>
      <c r="L230" s="215">
        <f>WORKDAY(M230,-INDEX(M$12:M$15,MATCH($I230,$I$12:$I$15,0)))</f>
        <v>46253</v>
      </c>
      <c r="M230" s="215">
        <f>WORKDAY(N230,-INDEX(N$12:N$15,MATCH($I230,$I$12:$I$15,0)))</f>
        <v>46260</v>
      </c>
      <c r="N230" s="215">
        <f>WORKDAY(O230,-INDEX(O$12:O$15,MATCH($I230,$I$12:$I$15,0)))</f>
        <v>46261</v>
      </c>
      <c r="O230" s="215">
        <f>WORKDAY(R230,-INDEX(R$12:R$15,MATCH($I230,$I$12:$I$15,0)))</f>
        <v>46266</v>
      </c>
      <c r="P230" s="216">
        <f>U230-L230</f>
        <v>39</v>
      </c>
      <c r="Q230" s="217"/>
      <c r="R230" s="215">
        <f>WORKDAY(S230,-INDEX(S$12:S$15,MATCH($I230,$I$12:$I$15,0)))</f>
        <v>46273</v>
      </c>
      <c r="S230" s="215">
        <f>WORKDAY(T230,-INDEX(T$12:T$15,MATCH($I230,$I$12:$I$15,0)))</f>
        <v>46282</v>
      </c>
      <c r="T230" s="215">
        <f>WORKDAY(U230,-INDEX(U$12:U$15,MATCH($I230,$I$12:$I$15,0)))</f>
        <v>46286</v>
      </c>
      <c r="U230" s="215">
        <f>X230-Y230</f>
        <v>46292</v>
      </c>
      <c r="V230" s="215">
        <f>WORKDAY(U230,INDEX(V$12:V$15,MATCH($I230,$I$12:$I$15,0)))</f>
        <v>46294</v>
      </c>
      <c r="W230" s="218">
        <f>Y230/7</f>
        <v>12.8571428571429</v>
      </c>
      <c r="X230" s="215">
        <f>Z230</f>
        <v>46382</v>
      </c>
      <c r="Y230" s="768">
        <v>90</v>
      </c>
      <c r="Z230" s="773">
        <v>46382</v>
      </c>
      <c r="AA230" s="773">
        <v>46538</v>
      </c>
      <c r="AB230" s="777">
        <f>Z230-X231</f>
        <v>0</v>
      </c>
      <c r="AC230" s="220">
        <f>IF(ISERROR(LOOKUP(AC$16,$L230:$X230,#REF!)),0,(LOOKUP(AC$16,$L230:$X230,#REF!)))</f>
        <v>0</v>
      </c>
      <c r="AD230" s="221">
        <f>IF(ISERROR(LOOKUP(AD$16,$L230:$X230,#REF!)),0,(LOOKUP(AD$16,$L230:$X230,#REF!)))</f>
        <v>0</v>
      </c>
      <c r="AE230" s="221">
        <f>IF(ISERROR(LOOKUP(AE$16,$L230:$X230,#REF!)),0,(LOOKUP(AE$16,$L230:$X230,#REF!)))</f>
        <v>0</v>
      </c>
      <c r="AF230" s="221">
        <f>IF(ISERROR(LOOKUP(AF$16,$L230:$X230,#REF!)),0,(LOOKUP(AF$16,$L230:$X230,#REF!)))</f>
        <v>0</v>
      </c>
      <c r="AG230" s="221">
        <f>IF(ISERROR(LOOKUP(AG$16,$L230:$X230,#REF!)),0,(LOOKUP(AG$16,$L230:$X230,#REF!)))</f>
        <v>0</v>
      </c>
      <c r="AH230" s="221">
        <f>IF(ISERROR(LOOKUP(AH$16,$L230:$X230,#REF!)),0,(LOOKUP(AH$16,$L230:$X230,#REF!)))</f>
        <v>0</v>
      </c>
      <c r="AI230" s="221">
        <f>IF(ISERROR(LOOKUP(AI$16,$L230:$X230,#REF!)),0,(LOOKUP(AI$16,$L230:$X230,#REF!)))</f>
        <v>0</v>
      </c>
      <c r="AJ230" s="221">
        <f>IF(ISERROR(LOOKUP(AJ$16,$L230:$X230,#REF!)),0,(LOOKUP(AJ$16,$L230:$X230,#REF!)))</f>
        <v>0</v>
      </c>
      <c r="AK230" s="221">
        <f>IF(ISERROR(LOOKUP(AK$16,$L230:$X230,#REF!)),0,(LOOKUP(AK$16,$L230:$X230,#REF!)))</f>
        <v>0</v>
      </c>
      <c r="AL230" s="221">
        <f>IF(ISERROR(LOOKUP(AL$16,$L230:$X230,#REF!)),0,(LOOKUP(AL$16,$L230:$X230,#REF!)))</f>
        <v>0</v>
      </c>
      <c r="AM230" s="221">
        <f ca="1">IF(ISERROR(LOOKUP(AM$16,$L230:$X230,#REF!)),0,(LOOKUP(AM$16,$L230:$X230,#REF!)))</f>
        <v>0</v>
      </c>
      <c r="AP230" s="215" t="e">
        <f>WORKDAY(AQ230,-INDEX(AQ$12:AQ$15,MATCH($I230,$I$12:$I$15,0)),$AW$17:$AW$148)</f>
        <v>#REF!</v>
      </c>
      <c r="AQ230" s="215" t="e">
        <f>WORKDAY(U230,-INDEX(U$12:U$15,MATCH($I230,$I$12:$I$15,0)),$AW$17:$AW$148)</f>
        <v>#REF!</v>
      </c>
      <c r="AR230" s="215" t="e">
        <f>WORKDAY(U230,-INDEX(U$12:U$15,MATCH($I230,$I$12:$I$15,0)),$AW$17:$AW$148)</f>
        <v>#REF!</v>
      </c>
      <c r="AS230" s="778">
        <v>7</v>
      </c>
      <c r="AW230" s="223"/>
    </row>
    <row r="231" spans="1:49" s="166" customFormat="1" ht="18" customHeight="1">
      <c r="A231" s="736"/>
      <c r="B231" s="739"/>
      <c r="C231" s="741"/>
      <c r="D231" s="741" t="s">
        <v>5322</v>
      </c>
      <c r="E231" s="212"/>
      <c r="F231" s="741" t="str">
        <f>F230</f>
        <v>Piping</v>
      </c>
      <c r="G231" s="741" t="str">
        <f>G230</f>
        <v>N</v>
      </c>
      <c r="H231" s="747"/>
      <c r="I231" s="212" t="str">
        <f>I230</f>
        <v>LD</v>
      </c>
      <c r="J231" s="249" t="s">
        <v>65</v>
      </c>
      <c r="K231" s="215">
        <f>K230</f>
        <v>46248</v>
      </c>
      <c r="L231" s="215">
        <f>WORKDAY(IF(K232="",K231,K232),INDEX(L$12:L$15,MATCH($I230,$I$12:$I$15,0)))</f>
        <v>46253</v>
      </c>
      <c r="M231" s="215">
        <f>WORKDAY(IF(L232="",L231,L232),INDEX(M$12:M$15,MATCH($I230,$I$12:$I$15,0)))</f>
        <v>46260</v>
      </c>
      <c r="N231" s="215">
        <f>WORKDAY(IF(M232="",M231,M232),INDEX(N$12:N$15,MATCH($I230,$I$12:$I$15,0)))</f>
        <v>46261</v>
      </c>
      <c r="O231" s="215">
        <f>WORKDAY(IF(N232="",N231,N232),INDEX(O$12:O$15,MATCH($I230,$I$12:$I$15,0)))</f>
        <v>46266</v>
      </c>
      <c r="P231" s="216"/>
      <c r="Q231" s="217"/>
      <c r="R231" s="215">
        <f>WORKDAY(IF(O232="",O231,O232),INDEX(R$12:R$15,MATCH($I230,$I$12:$I$15,0)))</f>
        <v>46273</v>
      </c>
      <c r="S231" s="215">
        <f>WORKDAY(IF(R232="",R231,R232),INDEX(S$12:S$15,MATCH($I230,$I$12:$I$15,0)))</f>
        <v>46282</v>
      </c>
      <c r="T231" s="215">
        <f>WORKDAY(IF(S232="",S231,S232),INDEX(T$12:T$15,MATCH($I230,$I$12:$I$15,0)))</f>
        <v>46286</v>
      </c>
      <c r="U231" s="215">
        <f>WORKDAY(IF(T232="",T231,T232),INDEX(U$12:U$15,MATCH($I230,$I$12:$I$15,0)))-1</f>
        <v>46292</v>
      </c>
      <c r="V231" s="215">
        <f>WORKDAY(IF(U232="",U231,U232),INDEX(V$12:V$15,MATCH($I230,$I$12:$I$15,0)))</f>
        <v>46294</v>
      </c>
      <c r="W231" s="218"/>
      <c r="X231" s="215">
        <f>U231+Y230</f>
        <v>46382</v>
      </c>
      <c r="Y231" s="768"/>
      <c r="Z231" s="773"/>
      <c r="AA231" s="773"/>
      <c r="AB231" s="777"/>
      <c r="AC231" s="220">
        <f>IF(ISERROR(LOOKUP(AC$16,$L231:$X231,#REF!)),0,(LOOKUP(AC$16,$L231:$X231,#REF!)))</f>
        <v>0</v>
      </c>
      <c r="AD231" s="221">
        <f>IF(ISERROR(LOOKUP(AD$16,$L231:$X231,#REF!)),0,(LOOKUP(AD$16,$L231:$X231,#REF!)))</f>
        <v>0</v>
      </c>
      <c r="AE231" s="221">
        <f>IF(ISERROR(LOOKUP(AE$16,$L231:$X231,#REF!)),0,(LOOKUP(AE$16,$L231:$X231,#REF!)))</f>
        <v>0</v>
      </c>
      <c r="AF231" s="221">
        <f>IF(ISERROR(LOOKUP(AF$16,$L231:$X231,#REF!)),0,(LOOKUP(AF$16,$L231:$X231,#REF!)))</f>
        <v>0</v>
      </c>
      <c r="AG231" s="221">
        <f>IF(ISERROR(LOOKUP(AG$16,$L231:$X231,#REF!)),0,(LOOKUP(AG$16,$L231:$X231,#REF!)))</f>
        <v>0</v>
      </c>
      <c r="AH231" s="221">
        <f>IF(ISERROR(LOOKUP(AH$16,$L231:$X231,#REF!)),0,(LOOKUP(AH$16,$L231:$X231,#REF!)))</f>
        <v>0</v>
      </c>
      <c r="AI231" s="221">
        <f>IF(ISERROR(LOOKUP(AI$16,$L231:$X231,#REF!)),0,(LOOKUP(AI$16,$L231:$X231,#REF!)))</f>
        <v>0</v>
      </c>
      <c r="AJ231" s="221">
        <f>IF(ISERROR(LOOKUP(AJ$16,$L231:$X231,#REF!)),0,(LOOKUP(AJ$16,$L231:$X231,#REF!)))</f>
        <v>0</v>
      </c>
      <c r="AK231" s="221">
        <f>IF(ISERROR(LOOKUP(AK$16,$L231:$X231,#REF!)),0,(LOOKUP(AK$16,$L231:$X231,#REF!)))</f>
        <v>0</v>
      </c>
      <c r="AL231" s="221">
        <f>IF(ISERROR(LOOKUP(AL$16,$L231:$X231,#REF!)),0,(LOOKUP(AL$16,$L231:$X231,#REF!)))</f>
        <v>0</v>
      </c>
      <c r="AM231" s="221">
        <f ca="1">IF(ISERROR(LOOKUP(AM$16,$L231:$X231,#REF!)),0,(LOOKUP(AM$16,$L231:$X231,#REF!)))</f>
        <v>0</v>
      </c>
      <c r="AP231" s="215" t="e">
        <f>WORKDAY(IF(T232="",T231,T232),INDEX(AP$12:AP$15,MATCH($I230,$I$12:$I$15,0)),$AW$17:$AW$148)</f>
        <v>#REF!</v>
      </c>
      <c r="AQ231" s="215" t="e">
        <f>WORKDAY(IF(AP232="",AP231,AP232),INDEX(AQ$12:AQ$15,MATCH($I230,$I$12:$I$15,0)),$AW$17:$AW$148)</f>
        <v>#REF!</v>
      </c>
      <c r="AR231" s="215" t="e">
        <f>WORKDAY(IF(AQ232="",AQ231,AQ232),INDEX(AR$12:AR$15,MATCH($I230,$I$12:$I$15,0)),$AW$17:$AW$148)</f>
        <v>#REF!</v>
      </c>
      <c r="AS231" s="778"/>
      <c r="AW231" s="223"/>
    </row>
    <row r="232" spans="1:49" s="166" customFormat="1" ht="18" customHeight="1">
      <c r="A232" s="736"/>
      <c r="B232" s="740"/>
      <c r="C232" s="741"/>
      <c r="D232" s="741" t="s">
        <v>5322</v>
      </c>
      <c r="E232" s="212"/>
      <c r="F232" s="741" t="str">
        <f>F230</f>
        <v>Piping</v>
      </c>
      <c r="G232" s="741" t="str">
        <f>G230</f>
        <v>N</v>
      </c>
      <c r="H232" s="748"/>
      <c r="I232" s="212" t="str">
        <f>I230</f>
        <v>LD</v>
      </c>
      <c r="J232" s="249" t="s">
        <v>67</v>
      </c>
      <c r="K232" s="212"/>
      <c r="L232" s="212"/>
      <c r="M232" s="212"/>
      <c r="N232" s="212"/>
      <c r="O232" s="212"/>
      <c r="P232" s="226"/>
      <c r="Q232" s="227"/>
      <c r="R232" s="212"/>
      <c r="S232" s="212"/>
      <c r="T232" s="212"/>
      <c r="U232" s="212"/>
      <c r="V232" s="212"/>
      <c r="W232" s="228"/>
      <c r="X232" s="212"/>
      <c r="Y232" s="768"/>
      <c r="Z232" s="773"/>
      <c r="AA232" s="773"/>
      <c r="AB232" s="777"/>
      <c r="AC232" s="229">
        <f>IF(ISERROR(LOOKUP(AC$16,$L232:$X232,#REF!)),0,(LOOKUP(AC$16,$L232:$X232,#REF!)))</f>
        <v>0</v>
      </c>
      <c r="AD232" s="230">
        <f>IF(ISERROR(LOOKUP(AD$16,$L232:$X232,#REF!)),0,(LOOKUP(AD$16,$L232:$X232,#REF!)))</f>
        <v>0</v>
      </c>
      <c r="AE232" s="230">
        <f>IF(ISERROR(LOOKUP(AE$16,$L232:$X232,#REF!)),0,(LOOKUP(AE$16,$L232:$X232,#REF!)))</f>
        <v>0</v>
      </c>
      <c r="AF232" s="230">
        <f>IF(ISERROR(LOOKUP(AF$16,$L232:$X232,#REF!)),0,(LOOKUP(AF$16,$L232:$X232,#REF!)))</f>
        <v>0</v>
      </c>
      <c r="AG232" s="230">
        <f>IF(ISERROR(LOOKUP(AG$16,$L232:$X232,#REF!)),0,(LOOKUP(AG$16,$L232:$X232,#REF!)))</f>
        <v>0</v>
      </c>
      <c r="AH232" s="230">
        <f>IF(ISERROR(LOOKUP(AH$16,$L232:$X232,#REF!)),0,(LOOKUP(AH$16,$L232:$X232,#REF!)))</f>
        <v>0</v>
      </c>
      <c r="AI232" s="230">
        <f>IF(ISERROR(LOOKUP(AI$16,$L232:$X232,#REF!)),0,(LOOKUP(AI$16,$L232:$X232,#REF!)))</f>
        <v>0</v>
      </c>
      <c r="AJ232" s="230">
        <f>IF(ISERROR(LOOKUP(AJ$16,$L232:$X232,#REF!)),0,(LOOKUP(AJ$16,$L232:$X232,#REF!)))</f>
        <v>0</v>
      </c>
      <c r="AK232" s="230">
        <f>IF(ISERROR(LOOKUP(AK$16,$L232:$X232,#REF!)),0,(LOOKUP(AK$16,$L232:$X232,#REF!)))</f>
        <v>0</v>
      </c>
      <c r="AL232" s="230">
        <f>IF(ISERROR(LOOKUP(AL$16,$L232:$X232,#REF!)),0,(LOOKUP(AL$16,$L232:$X232,#REF!)))</f>
        <v>0</v>
      </c>
      <c r="AM232" s="230">
        <f ca="1">IF(ISERROR(LOOKUP(AM$16,$L232:$X232,#REF!)),0,(LOOKUP(AM$16,$L232:$X232,#REF!)))</f>
        <v>0</v>
      </c>
      <c r="AP232" s="248"/>
      <c r="AQ232" s="248"/>
      <c r="AR232" s="248"/>
      <c r="AS232" s="778"/>
      <c r="AW232" s="223"/>
    </row>
    <row r="233" spans="1:49" s="166" customFormat="1" ht="18" customHeight="1">
      <c r="A233" s="736"/>
      <c r="B233" s="738"/>
      <c r="C233" s="741"/>
      <c r="D233" s="741" t="s">
        <v>284</v>
      </c>
      <c r="E233" s="212"/>
      <c r="F233" s="741" t="s">
        <v>86</v>
      </c>
      <c r="G233" s="741" t="s">
        <v>73</v>
      </c>
      <c r="H233" s="746"/>
      <c r="I233" s="212" t="s">
        <v>9</v>
      </c>
      <c r="J233" s="249" t="s">
        <v>5236</v>
      </c>
      <c r="K233" s="215">
        <f>WORKDAY(L233,-INDEX(L$12:L$15,MATCH($I233,$I$12:$I$15,0)))</f>
        <v>46248</v>
      </c>
      <c r="L233" s="215">
        <f>WORKDAY(M233,-INDEX(M$12:M$15,MATCH($I233,$I$12:$I$15,0)))</f>
        <v>46253</v>
      </c>
      <c r="M233" s="215">
        <f>WORKDAY(N233,-INDEX(N$12:N$15,MATCH($I233,$I$12:$I$15,0)))</f>
        <v>46260</v>
      </c>
      <c r="N233" s="215">
        <f>WORKDAY(O233,-INDEX(O$12:O$15,MATCH($I233,$I$12:$I$15,0)))</f>
        <v>46261</v>
      </c>
      <c r="O233" s="215">
        <f>WORKDAY(R233,-INDEX(R$12:R$15,MATCH($I233,$I$12:$I$15,0)))</f>
        <v>46266</v>
      </c>
      <c r="P233" s="216">
        <f>U233-L233</f>
        <v>39</v>
      </c>
      <c r="Q233" s="217"/>
      <c r="R233" s="215">
        <f>WORKDAY(S233,-INDEX(S$12:S$15,MATCH($I233,$I$12:$I$15,0)))</f>
        <v>46273</v>
      </c>
      <c r="S233" s="215">
        <f>WORKDAY(T233,-INDEX(T$12:T$15,MATCH($I233,$I$12:$I$15,0)))</f>
        <v>46282</v>
      </c>
      <c r="T233" s="215">
        <f>WORKDAY(U233,-INDEX(U$12:U$15,MATCH($I233,$I$12:$I$15,0)))</f>
        <v>46286</v>
      </c>
      <c r="U233" s="215">
        <f>X233-Y233</f>
        <v>46292</v>
      </c>
      <c r="V233" s="215">
        <f>WORKDAY(U233,INDEX(V$12:V$15,MATCH($I233,$I$12:$I$15,0)))</f>
        <v>46294</v>
      </c>
      <c r="W233" s="218">
        <f>Y233/7</f>
        <v>12.8571428571429</v>
      </c>
      <c r="X233" s="215">
        <f>Z233</f>
        <v>46382</v>
      </c>
      <c r="Y233" s="768">
        <v>90</v>
      </c>
      <c r="Z233" s="773">
        <v>46382</v>
      </c>
      <c r="AA233" s="773">
        <v>46538</v>
      </c>
      <c r="AB233" s="777">
        <f>Z233-X234</f>
        <v>0</v>
      </c>
      <c r="AC233" s="220">
        <f>IF(ISERROR(LOOKUP(AC$16,$L233:$X233,#REF!)),0,(LOOKUP(AC$16,$L233:$X233,#REF!)))</f>
        <v>0</v>
      </c>
      <c r="AD233" s="221">
        <f>IF(ISERROR(LOOKUP(AD$16,$L233:$X233,#REF!)),0,(LOOKUP(AD$16,$L233:$X233,#REF!)))</f>
        <v>0</v>
      </c>
      <c r="AE233" s="221">
        <f>IF(ISERROR(LOOKUP(AE$16,$L233:$X233,#REF!)),0,(LOOKUP(AE$16,$L233:$X233,#REF!)))</f>
        <v>0</v>
      </c>
      <c r="AF233" s="221">
        <f>IF(ISERROR(LOOKUP(AF$16,$L233:$X233,#REF!)),0,(LOOKUP(AF$16,$L233:$X233,#REF!)))</f>
        <v>0</v>
      </c>
      <c r="AG233" s="221">
        <f>IF(ISERROR(LOOKUP(AG$16,$L233:$X233,#REF!)),0,(LOOKUP(AG$16,$L233:$X233,#REF!)))</f>
        <v>0</v>
      </c>
      <c r="AH233" s="221">
        <f>IF(ISERROR(LOOKUP(AH$16,$L233:$X233,#REF!)),0,(LOOKUP(AH$16,$L233:$X233,#REF!)))</f>
        <v>0</v>
      </c>
      <c r="AI233" s="221">
        <f>IF(ISERROR(LOOKUP(AI$16,$L233:$X233,#REF!)),0,(LOOKUP(AI$16,$L233:$X233,#REF!)))</f>
        <v>0</v>
      </c>
      <c r="AJ233" s="221">
        <f>IF(ISERROR(LOOKUP(AJ$16,$L233:$X233,#REF!)),0,(LOOKUP(AJ$16,$L233:$X233,#REF!)))</f>
        <v>0</v>
      </c>
      <c r="AK233" s="221">
        <f>IF(ISERROR(LOOKUP(AK$16,$L233:$X233,#REF!)),0,(LOOKUP(AK$16,$L233:$X233,#REF!)))</f>
        <v>0</v>
      </c>
      <c r="AL233" s="221">
        <f>IF(ISERROR(LOOKUP(AL$16,$L233:$X233,#REF!)),0,(LOOKUP(AL$16,$L233:$X233,#REF!)))</f>
        <v>0</v>
      </c>
      <c r="AM233" s="221">
        <f ca="1">IF(ISERROR(LOOKUP(AM$16,$L233:$X233,#REF!)),0,(LOOKUP(AM$16,$L233:$X233,#REF!)))</f>
        <v>0</v>
      </c>
      <c r="AP233" s="215" t="e">
        <f>WORKDAY(AQ233,-INDEX(AQ$12:AQ$15,MATCH($I233,$I$12:$I$15,0)),$AW$17:$AW$148)</f>
        <v>#REF!</v>
      </c>
      <c r="AQ233" s="215" t="e">
        <f>WORKDAY(U233,-INDEX(U$12:U$15,MATCH($I233,$I$12:$I$15,0)),$AW$17:$AW$148)</f>
        <v>#REF!</v>
      </c>
      <c r="AR233" s="215" t="e">
        <f>WORKDAY(U233,-INDEX(U$12:U$15,MATCH($I233,$I$12:$I$15,0)),$AW$17:$AW$148)</f>
        <v>#REF!</v>
      </c>
      <c r="AS233" s="778">
        <v>7</v>
      </c>
      <c r="AW233" s="223"/>
    </row>
    <row r="234" spans="1:49" s="166" customFormat="1" ht="18" customHeight="1">
      <c r="A234" s="736"/>
      <c r="B234" s="739"/>
      <c r="C234" s="741"/>
      <c r="D234" s="741" t="s">
        <v>284</v>
      </c>
      <c r="E234" s="212"/>
      <c r="F234" s="741" t="str">
        <f>F233</f>
        <v>Piping</v>
      </c>
      <c r="G234" s="741" t="str">
        <f>G233</f>
        <v>N</v>
      </c>
      <c r="H234" s="747"/>
      <c r="I234" s="212" t="str">
        <f>I233</f>
        <v>LD</v>
      </c>
      <c r="J234" s="249" t="s">
        <v>65</v>
      </c>
      <c r="K234" s="215">
        <f>K233</f>
        <v>46248</v>
      </c>
      <c r="L234" s="215">
        <f>WORKDAY(IF(K235="",K234,K235),INDEX(L$12:L$15,MATCH($I233,$I$12:$I$15,0)))</f>
        <v>46253</v>
      </c>
      <c r="M234" s="215">
        <f>WORKDAY(IF(L235="",L234,L235),INDEX(M$12:M$15,MATCH($I233,$I$12:$I$15,0)))</f>
        <v>46260</v>
      </c>
      <c r="N234" s="215">
        <f>WORKDAY(IF(M235="",M234,M235),INDEX(N$12:N$15,MATCH($I233,$I$12:$I$15,0)))</f>
        <v>46261</v>
      </c>
      <c r="O234" s="215">
        <f>WORKDAY(IF(N235="",N234,N235),INDEX(O$12:O$15,MATCH($I233,$I$12:$I$15,0)))</f>
        <v>46266</v>
      </c>
      <c r="P234" s="216"/>
      <c r="Q234" s="217"/>
      <c r="R234" s="215">
        <f>WORKDAY(IF(O235="",O234,O235),INDEX(R$12:R$15,MATCH($I233,$I$12:$I$15,0)))</f>
        <v>46273</v>
      </c>
      <c r="S234" s="215">
        <f>WORKDAY(IF(R235="",R234,R235),INDEX(S$12:S$15,MATCH($I233,$I$12:$I$15,0)))</f>
        <v>46282</v>
      </c>
      <c r="T234" s="215">
        <f>WORKDAY(IF(S235="",S234,S235),INDEX(T$12:T$15,MATCH($I233,$I$12:$I$15,0)))</f>
        <v>46286</v>
      </c>
      <c r="U234" s="215">
        <f>WORKDAY(IF(T235="",T234,T235),INDEX(U$12:U$15,MATCH($I233,$I$12:$I$15,0)))-1</f>
        <v>46292</v>
      </c>
      <c r="V234" s="215">
        <f>WORKDAY(IF(U235="",U234,U235),INDEX(V$12:V$15,MATCH($I233,$I$12:$I$15,0)))</f>
        <v>46294</v>
      </c>
      <c r="W234" s="218"/>
      <c r="X234" s="215">
        <f>U234+Y233</f>
        <v>46382</v>
      </c>
      <c r="Y234" s="768"/>
      <c r="Z234" s="773"/>
      <c r="AA234" s="773"/>
      <c r="AB234" s="777"/>
      <c r="AC234" s="220">
        <f>IF(ISERROR(LOOKUP(AC$16,$L234:$X234,#REF!)),0,(LOOKUP(AC$16,$L234:$X234,#REF!)))</f>
        <v>0</v>
      </c>
      <c r="AD234" s="221">
        <f>IF(ISERROR(LOOKUP(AD$16,$L234:$X234,#REF!)),0,(LOOKUP(AD$16,$L234:$X234,#REF!)))</f>
        <v>0</v>
      </c>
      <c r="AE234" s="221">
        <f>IF(ISERROR(LOOKUP(AE$16,$L234:$X234,#REF!)),0,(LOOKUP(AE$16,$L234:$X234,#REF!)))</f>
        <v>0</v>
      </c>
      <c r="AF234" s="221">
        <f>IF(ISERROR(LOOKUP(AF$16,$L234:$X234,#REF!)),0,(LOOKUP(AF$16,$L234:$X234,#REF!)))</f>
        <v>0</v>
      </c>
      <c r="AG234" s="221">
        <f>IF(ISERROR(LOOKUP(AG$16,$L234:$X234,#REF!)),0,(LOOKUP(AG$16,$L234:$X234,#REF!)))</f>
        <v>0</v>
      </c>
      <c r="AH234" s="221">
        <f>IF(ISERROR(LOOKUP(AH$16,$L234:$X234,#REF!)),0,(LOOKUP(AH$16,$L234:$X234,#REF!)))</f>
        <v>0</v>
      </c>
      <c r="AI234" s="221">
        <f>IF(ISERROR(LOOKUP(AI$16,$L234:$X234,#REF!)),0,(LOOKUP(AI$16,$L234:$X234,#REF!)))</f>
        <v>0</v>
      </c>
      <c r="AJ234" s="221">
        <f>IF(ISERROR(LOOKUP(AJ$16,$L234:$X234,#REF!)),0,(LOOKUP(AJ$16,$L234:$X234,#REF!)))</f>
        <v>0</v>
      </c>
      <c r="AK234" s="221">
        <f>IF(ISERROR(LOOKUP(AK$16,$L234:$X234,#REF!)),0,(LOOKUP(AK$16,$L234:$X234,#REF!)))</f>
        <v>0</v>
      </c>
      <c r="AL234" s="221">
        <f>IF(ISERROR(LOOKUP(AL$16,$L234:$X234,#REF!)),0,(LOOKUP(AL$16,$L234:$X234,#REF!)))</f>
        <v>0</v>
      </c>
      <c r="AM234" s="221">
        <f ca="1">IF(ISERROR(LOOKUP(AM$16,$L234:$X234,#REF!)),0,(LOOKUP(AM$16,$L234:$X234,#REF!)))</f>
        <v>0</v>
      </c>
      <c r="AP234" s="215" t="e">
        <f>WORKDAY(IF(T235="",T234,T235),INDEX(AP$12:AP$15,MATCH($I233,$I$12:$I$15,0)),$AW$17:$AW$148)</f>
        <v>#REF!</v>
      </c>
      <c r="AQ234" s="215" t="e">
        <f>WORKDAY(IF(AP235="",AP234,AP235),INDEX(AQ$12:AQ$15,MATCH($I233,$I$12:$I$15,0)),$AW$17:$AW$148)</f>
        <v>#REF!</v>
      </c>
      <c r="AR234" s="215" t="e">
        <f>WORKDAY(IF(AQ235="",AQ234,AQ235),INDEX(AR$12:AR$15,MATCH($I233,$I$12:$I$15,0)),$AW$17:$AW$148)</f>
        <v>#REF!</v>
      </c>
      <c r="AS234" s="778"/>
      <c r="AW234" s="223"/>
    </row>
    <row r="235" spans="1:49" s="166" customFormat="1" ht="18" customHeight="1">
      <c r="A235" s="736"/>
      <c r="B235" s="740"/>
      <c r="C235" s="741"/>
      <c r="D235" s="741" t="s">
        <v>284</v>
      </c>
      <c r="E235" s="212"/>
      <c r="F235" s="741" t="str">
        <f>F233</f>
        <v>Piping</v>
      </c>
      <c r="G235" s="741" t="str">
        <f>G233</f>
        <v>N</v>
      </c>
      <c r="H235" s="748"/>
      <c r="I235" s="212" t="str">
        <f>I233</f>
        <v>LD</v>
      </c>
      <c r="J235" s="249" t="s">
        <v>67</v>
      </c>
      <c r="K235" s="212"/>
      <c r="L235" s="212"/>
      <c r="M235" s="212"/>
      <c r="N235" s="212"/>
      <c r="O235" s="212"/>
      <c r="P235" s="226"/>
      <c r="Q235" s="227"/>
      <c r="R235" s="212"/>
      <c r="S235" s="212"/>
      <c r="T235" s="212"/>
      <c r="U235" s="212"/>
      <c r="V235" s="212"/>
      <c r="W235" s="228"/>
      <c r="X235" s="212"/>
      <c r="Y235" s="768"/>
      <c r="Z235" s="773"/>
      <c r="AA235" s="773"/>
      <c r="AB235" s="777"/>
      <c r="AC235" s="229">
        <f>IF(ISERROR(LOOKUP(AC$16,$L235:$X235,#REF!)),0,(LOOKUP(AC$16,$L235:$X235,#REF!)))</f>
        <v>0</v>
      </c>
      <c r="AD235" s="230">
        <f>IF(ISERROR(LOOKUP(AD$16,$L235:$X235,#REF!)),0,(LOOKUP(AD$16,$L235:$X235,#REF!)))</f>
        <v>0</v>
      </c>
      <c r="AE235" s="230">
        <f>IF(ISERROR(LOOKUP(AE$16,$L235:$X235,#REF!)),0,(LOOKUP(AE$16,$L235:$X235,#REF!)))</f>
        <v>0</v>
      </c>
      <c r="AF235" s="230">
        <f>IF(ISERROR(LOOKUP(AF$16,$L235:$X235,#REF!)),0,(LOOKUP(AF$16,$L235:$X235,#REF!)))</f>
        <v>0</v>
      </c>
      <c r="AG235" s="230">
        <f>IF(ISERROR(LOOKUP(AG$16,$L235:$X235,#REF!)),0,(LOOKUP(AG$16,$L235:$X235,#REF!)))</f>
        <v>0</v>
      </c>
      <c r="AH235" s="230">
        <f>IF(ISERROR(LOOKUP(AH$16,$L235:$X235,#REF!)),0,(LOOKUP(AH$16,$L235:$X235,#REF!)))</f>
        <v>0</v>
      </c>
      <c r="AI235" s="230">
        <f>IF(ISERROR(LOOKUP(AI$16,$L235:$X235,#REF!)),0,(LOOKUP(AI$16,$L235:$X235,#REF!)))</f>
        <v>0</v>
      </c>
      <c r="AJ235" s="230">
        <f>IF(ISERROR(LOOKUP(AJ$16,$L235:$X235,#REF!)),0,(LOOKUP(AJ$16,$L235:$X235,#REF!)))</f>
        <v>0</v>
      </c>
      <c r="AK235" s="230">
        <f>IF(ISERROR(LOOKUP(AK$16,$L235:$X235,#REF!)),0,(LOOKUP(AK$16,$L235:$X235,#REF!)))</f>
        <v>0</v>
      </c>
      <c r="AL235" s="230">
        <f>IF(ISERROR(LOOKUP(AL$16,$L235:$X235,#REF!)),0,(LOOKUP(AL$16,$L235:$X235,#REF!)))</f>
        <v>0</v>
      </c>
      <c r="AM235" s="230">
        <f ca="1">IF(ISERROR(LOOKUP(AM$16,$L235:$X235,#REF!)),0,(LOOKUP(AM$16,$L235:$X235,#REF!)))</f>
        <v>0</v>
      </c>
      <c r="AP235" s="248"/>
      <c r="AQ235" s="248"/>
      <c r="AR235" s="248"/>
      <c r="AS235" s="778"/>
      <c r="AW235" s="223"/>
    </row>
    <row r="236" spans="1:49" s="166" customFormat="1" ht="18" customHeight="1">
      <c r="A236" s="736"/>
      <c r="B236" s="738"/>
      <c r="C236" s="741"/>
      <c r="D236" s="741" t="s">
        <v>5323</v>
      </c>
      <c r="E236" s="212"/>
      <c r="F236" s="741" t="s">
        <v>86</v>
      </c>
      <c r="G236" s="741" t="s">
        <v>73</v>
      </c>
      <c r="H236" s="746"/>
      <c r="I236" s="212" t="s">
        <v>9</v>
      </c>
      <c r="J236" s="249" t="s">
        <v>5236</v>
      </c>
      <c r="K236" s="215">
        <f>WORKDAY(L236,-INDEX(L$12:L$15,MATCH($I236,$I$12:$I$15,0)))</f>
        <v>46248</v>
      </c>
      <c r="L236" s="215">
        <f>WORKDAY(M236,-INDEX(M$12:M$15,MATCH($I236,$I$12:$I$15,0)))</f>
        <v>46253</v>
      </c>
      <c r="M236" s="215">
        <f>WORKDAY(N236,-INDEX(N$12:N$15,MATCH($I236,$I$12:$I$15,0)))</f>
        <v>46260</v>
      </c>
      <c r="N236" s="215">
        <f>WORKDAY(O236,-INDEX(O$12:O$15,MATCH($I236,$I$12:$I$15,0)))</f>
        <v>46261</v>
      </c>
      <c r="O236" s="215">
        <f>WORKDAY(R236,-INDEX(R$12:R$15,MATCH($I236,$I$12:$I$15,0)))</f>
        <v>46266</v>
      </c>
      <c r="P236" s="216">
        <f>U236-L236</f>
        <v>39</v>
      </c>
      <c r="Q236" s="217"/>
      <c r="R236" s="215">
        <f>WORKDAY(S236,-INDEX(S$12:S$15,MATCH($I236,$I$12:$I$15,0)))</f>
        <v>46273</v>
      </c>
      <c r="S236" s="215">
        <f>WORKDAY(T236,-INDEX(T$12:T$15,MATCH($I236,$I$12:$I$15,0)))</f>
        <v>46282</v>
      </c>
      <c r="T236" s="215">
        <f>WORKDAY(U236,-INDEX(U$12:U$15,MATCH($I236,$I$12:$I$15,0)))</f>
        <v>46286</v>
      </c>
      <c r="U236" s="215">
        <f>X236-Y236</f>
        <v>46292</v>
      </c>
      <c r="V236" s="215">
        <f>WORKDAY(U236,INDEX(V$12:V$15,MATCH($I236,$I$12:$I$15,0)))</f>
        <v>46294</v>
      </c>
      <c r="W236" s="218">
        <f>Y236/7</f>
        <v>12.8571428571429</v>
      </c>
      <c r="X236" s="215">
        <f>Z236</f>
        <v>46382</v>
      </c>
      <c r="Y236" s="768">
        <v>90</v>
      </c>
      <c r="Z236" s="773">
        <v>46382</v>
      </c>
      <c r="AA236" s="773">
        <v>46538</v>
      </c>
      <c r="AB236" s="777">
        <f>Z236-X237</f>
        <v>0</v>
      </c>
      <c r="AC236" s="220">
        <f>IF(ISERROR(LOOKUP(AC$16,$L236:$X236,#REF!)),0,(LOOKUP(AC$16,$L236:$X236,#REF!)))</f>
        <v>0</v>
      </c>
      <c r="AD236" s="221">
        <f>IF(ISERROR(LOOKUP(AD$16,$L236:$X236,#REF!)),0,(LOOKUP(AD$16,$L236:$X236,#REF!)))</f>
        <v>0</v>
      </c>
      <c r="AE236" s="221">
        <f>IF(ISERROR(LOOKUP(AE$16,$L236:$X236,#REF!)),0,(LOOKUP(AE$16,$L236:$X236,#REF!)))</f>
        <v>0</v>
      </c>
      <c r="AF236" s="221">
        <f>IF(ISERROR(LOOKUP(AF$16,$L236:$X236,#REF!)),0,(LOOKUP(AF$16,$L236:$X236,#REF!)))</f>
        <v>0</v>
      </c>
      <c r="AG236" s="221">
        <f>IF(ISERROR(LOOKUP(AG$16,$L236:$X236,#REF!)),0,(LOOKUP(AG$16,$L236:$X236,#REF!)))</f>
        <v>0</v>
      </c>
      <c r="AH236" s="221">
        <f>IF(ISERROR(LOOKUP(AH$16,$L236:$X236,#REF!)),0,(LOOKUP(AH$16,$L236:$X236,#REF!)))</f>
        <v>0</v>
      </c>
      <c r="AI236" s="221">
        <f>IF(ISERROR(LOOKUP(AI$16,$L236:$X236,#REF!)),0,(LOOKUP(AI$16,$L236:$X236,#REF!)))</f>
        <v>0</v>
      </c>
      <c r="AJ236" s="221">
        <f>IF(ISERROR(LOOKUP(AJ$16,$L236:$X236,#REF!)),0,(LOOKUP(AJ$16,$L236:$X236,#REF!)))</f>
        <v>0</v>
      </c>
      <c r="AK236" s="221">
        <f>IF(ISERROR(LOOKUP(AK$16,$L236:$X236,#REF!)),0,(LOOKUP(AK$16,$L236:$X236,#REF!)))</f>
        <v>0</v>
      </c>
      <c r="AL236" s="221">
        <f>IF(ISERROR(LOOKUP(AL$16,$L236:$X236,#REF!)),0,(LOOKUP(AL$16,$L236:$X236,#REF!)))</f>
        <v>0</v>
      </c>
      <c r="AM236" s="221">
        <f ca="1">IF(ISERROR(LOOKUP(AM$16,$L236:$X236,#REF!)),0,(LOOKUP(AM$16,$L236:$X236,#REF!)))</f>
        <v>0</v>
      </c>
      <c r="AP236" s="215" t="e">
        <f>WORKDAY(AQ236,-INDEX(AQ$12:AQ$15,MATCH($I236,$I$12:$I$15,0)),$AW$17:$AW$148)</f>
        <v>#REF!</v>
      </c>
      <c r="AQ236" s="215" t="e">
        <f>WORKDAY(U236,-INDEX(U$12:U$15,MATCH($I236,$I$12:$I$15,0)),$AW$17:$AW$148)</f>
        <v>#REF!</v>
      </c>
      <c r="AR236" s="215" t="e">
        <f>WORKDAY(U236,-INDEX(U$12:U$15,MATCH($I236,$I$12:$I$15,0)),$AW$17:$AW$148)</f>
        <v>#REF!</v>
      </c>
      <c r="AS236" s="778">
        <v>7</v>
      </c>
      <c r="AW236" s="223"/>
    </row>
    <row r="237" spans="1:49" s="166" customFormat="1" ht="18" customHeight="1">
      <c r="A237" s="736"/>
      <c r="B237" s="739"/>
      <c r="C237" s="741"/>
      <c r="D237" s="741" t="s">
        <v>5323</v>
      </c>
      <c r="E237" s="212"/>
      <c r="F237" s="741" t="str">
        <f>F236</f>
        <v>Piping</v>
      </c>
      <c r="G237" s="741" t="str">
        <f>G236</f>
        <v>N</v>
      </c>
      <c r="H237" s="747"/>
      <c r="I237" s="212" t="str">
        <f>I236</f>
        <v>LD</v>
      </c>
      <c r="J237" s="249" t="s">
        <v>65</v>
      </c>
      <c r="K237" s="215">
        <f>K236</f>
        <v>46248</v>
      </c>
      <c r="L237" s="215">
        <f>WORKDAY(IF(K238="",K237,K238),INDEX(L$12:L$15,MATCH($I236,$I$12:$I$15,0)))</f>
        <v>46253</v>
      </c>
      <c r="M237" s="215">
        <f>WORKDAY(IF(L238="",L237,L238),INDEX(M$12:M$15,MATCH($I236,$I$12:$I$15,0)))</f>
        <v>46260</v>
      </c>
      <c r="N237" s="215">
        <f>WORKDAY(IF(M238="",M237,M238),INDEX(N$12:N$15,MATCH($I236,$I$12:$I$15,0)))</f>
        <v>46261</v>
      </c>
      <c r="O237" s="215">
        <f>WORKDAY(IF(N238="",N237,N238),INDEX(O$12:O$15,MATCH($I236,$I$12:$I$15,0)))</f>
        <v>46266</v>
      </c>
      <c r="P237" s="216"/>
      <c r="Q237" s="217"/>
      <c r="R237" s="215">
        <f>WORKDAY(IF(O238="",O237,O238),INDEX(R$12:R$15,MATCH($I236,$I$12:$I$15,0)))</f>
        <v>46273</v>
      </c>
      <c r="S237" s="215">
        <f>WORKDAY(IF(R238="",R237,R238),INDEX(S$12:S$15,MATCH($I236,$I$12:$I$15,0)))</f>
        <v>46282</v>
      </c>
      <c r="T237" s="215">
        <f>WORKDAY(IF(S238="",S237,S238),INDEX(T$12:T$15,MATCH($I236,$I$12:$I$15,0)))</f>
        <v>46286</v>
      </c>
      <c r="U237" s="215">
        <f>WORKDAY(IF(T238="",T237,T238),INDEX(U$12:U$15,MATCH($I236,$I$12:$I$15,0)))-1</f>
        <v>46292</v>
      </c>
      <c r="V237" s="215">
        <f>WORKDAY(IF(U238="",U237,U238),INDEX(V$12:V$15,MATCH($I236,$I$12:$I$15,0)))</f>
        <v>46294</v>
      </c>
      <c r="W237" s="218"/>
      <c r="X237" s="215">
        <f>U237+Y236</f>
        <v>46382</v>
      </c>
      <c r="Y237" s="768"/>
      <c r="Z237" s="773"/>
      <c r="AA237" s="773"/>
      <c r="AB237" s="777"/>
      <c r="AC237" s="220">
        <f>IF(ISERROR(LOOKUP(AC$16,$L237:$X237,#REF!)),0,(LOOKUP(AC$16,$L237:$X237,#REF!)))</f>
        <v>0</v>
      </c>
      <c r="AD237" s="221">
        <f>IF(ISERROR(LOOKUP(AD$16,$L237:$X237,#REF!)),0,(LOOKUP(AD$16,$L237:$X237,#REF!)))</f>
        <v>0</v>
      </c>
      <c r="AE237" s="221">
        <f>IF(ISERROR(LOOKUP(AE$16,$L237:$X237,#REF!)),0,(LOOKUP(AE$16,$L237:$X237,#REF!)))</f>
        <v>0</v>
      </c>
      <c r="AF237" s="221">
        <f>IF(ISERROR(LOOKUP(AF$16,$L237:$X237,#REF!)),0,(LOOKUP(AF$16,$L237:$X237,#REF!)))</f>
        <v>0</v>
      </c>
      <c r="AG237" s="221">
        <f>IF(ISERROR(LOOKUP(AG$16,$L237:$X237,#REF!)),0,(LOOKUP(AG$16,$L237:$X237,#REF!)))</f>
        <v>0</v>
      </c>
      <c r="AH237" s="221">
        <f>IF(ISERROR(LOOKUP(AH$16,$L237:$X237,#REF!)),0,(LOOKUP(AH$16,$L237:$X237,#REF!)))</f>
        <v>0</v>
      </c>
      <c r="AI237" s="221">
        <f>IF(ISERROR(LOOKUP(AI$16,$L237:$X237,#REF!)),0,(LOOKUP(AI$16,$L237:$X237,#REF!)))</f>
        <v>0</v>
      </c>
      <c r="AJ237" s="221">
        <f>IF(ISERROR(LOOKUP(AJ$16,$L237:$X237,#REF!)),0,(LOOKUP(AJ$16,$L237:$X237,#REF!)))</f>
        <v>0</v>
      </c>
      <c r="AK237" s="221">
        <f>IF(ISERROR(LOOKUP(AK$16,$L237:$X237,#REF!)),0,(LOOKUP(AK$16,$L237:$X237,#REF!)))</f>
        <v>0</v>
      </c>
      <c r="AL237" s="221">
        <f>IF(ISERROR(LOOKUP(AL$16,$L237:$X237,#REF!)),0,(LOOKUP(AL$16,$L237:$X237,#REF!)))</f>
        <v>0</v>
      </c>
      <c r="AM237" s="221">
        <f ca="1">IF(ISERROR(LOOKUP(AM$16,$L237:$X237,#REF!)),0,(LOOKUP(AM$16,$L237:$X237,#REF!)))</f>
        <v>0</v>
      </c>
      <c r="AP237" s="215" t="e">
        <f>WORKDAY(IF(T238="",T237,T238),INDEX(AP$12:AP$15,MATCH($I236,$I$12:$I$15,0)),$AW$17:$AW$148)</f>
        <v>#REF!</v>
      </c>
      <c r="AQ237" s="215" t="e">
        <f>WORKDAY(IF(AP238="",AP237,AP238),INDEX(AQ$12:AQ$15,MATCH($I236,$I$12:$I$15,0)),$AW$17:$AW$148)</f>
        <v>#REF!</v>
      </c>
      <c r="AR237" s="215" t="e">
        <f>WORKDAY(IF(AQ238="",AQ237,AQ238),INDEX(AR$12:AR$15,MATCH($I236,$I$12:$I$15,0)),$AW$17:$AW$148)</f>
        <v>#REF!</v>
      </c>
      <c r="AS237" s="778"/>
      <c r="AW237" s="223"/>
    </row>
    <row r="238" spans="1:49" s="166" customFormat="1" ht="18" customHeight="1">
      <c r="A238" s="736"/>
      <c r="B238" s="740"/>
      <c r="C238" s="741"/>
      <c r="D238" s="741" t="s">
        <v>5323</v>
      </c>
      <c r="E238" s="212"/>
      <c r="F238" s="741" t="str">
        <f>F236</f>
        <v>Piping</v>
      </c>
      <c r="G238" s="741" t="str">
        <f>G236</f>
        <v>N</v>
      </c>
      <c r="H238" s="748"/>
      <c r="I238" s="212" t="str">
        <f>I236</f>
        <v>LD</v>
      </c>
      <c r="J238" s="249" t="s">
        <v>67</v>
      </c>
      <c r="K238" s="212"/>
      <c r="L238" s="212"/>
      <c r="M238" s="212"/>
      <c r="N238" s="212"/>
      <c r="O238" s="212"/>
      <c r="P238" s="226"/>
      <c r="Q238" s="227"/>
      <c r="R238" s="212"/>
      <c r="S238" s="212"/>
      <c r="T238" s="212"/>
      <c r="U238" s="212"/>
      <c r="V238" s="212"/>
      <c r="W238" s="228"/>
      <c r="X238" s="212"/>
      <c r="Y238" s="768"/>
      <c r="Z238" s="773"/>
      <c r="AA238" s="773"/>
      <c r="AB238" s="777"/>
      <c r="AC238" s="229">
        <f>IF(ISERROR(LOOKUP(AC$16,$L238:$X238,#REF!)),0,(LOOKUP(AC$16,$L238:$X238,#REF!)))</f>
        <v>0</v>
      </c>
      <c r="AD238" s="230">
        <f>IF(ISERROR(LOOKUP(AD$16,$L238:$X238,#REF!)),0,(LOOKUP(AD$16,$L238:$X238,#REF!)))</f>
        <v>0</v>
      </c>
      <c r="AE238" s="230">
        <f>IF(ISERROR(LOOKUP(AE$16,$L238:$X238,#REF!)),0,(LOOKUP(AE$16,$L238:$X238,#REF!)))</f>
        <v>0</v>
      </c>
      <c r="AF238" s="230">
        <f>IF(ISERROR(LOOKUP(AF$16,$L238:$X238,#REF!)),0,(LOOKUP(AF$16,$L238:$X238,#REF!)))</f>
        <v>0</v>
      </c>
      <c r="AG238" s="230">
        <f>IF(ISERROR(LOOKUP(AG$16,$L238:$X238,#REF!)),0,(LOOKUP(AG$16,$L238:$X238,#REF!)))</f>
        <v>0</v>
      </c>
      <c r="AH238" s="230">
        <f>IF(ISERROR(LOOKUP(AH$16,$L238:$X238,#REF!)),0,(LOOKUP(AH$16,$L238:$X238,#REF!)))</f>
        <v>0</v>
      </c>
      <c r="AI238" s="230">
        <f>IF(ISERROR(LOOKUP(AI$16,$L238:$X238,#REF!)),0,(LOOKUP(AI$16,$L238:$X238,#REF!)))</f>
        <v>0</v>
      </c>
      <c r="AJ238" s="230">
        <f>IF(ISERROR(LOOKUP(AJ$16,$L238:$X238,#REF!)),0,(LOOKUP(AJ$16,$L238:$X238,#REF!)))</f>
        <v>0</v>
      </c>
      <c r="AK238" s="230">
        <f>IF(ISERROR(LOOKUP(AK$16,$L238:$X238,#REF!)),0,(LOOKUP(AK$16,$L238:$X238,#REF!)))</f>
        <v>0</v>
      </c>
      <c r="AL238" s="230">
        <f>IF(ISERROR(LOOKUP(AL$16,$L238:$X238,#REF!)),0,(LOOKUP(AL$16,$L238:$X238,#REF!)))</f>
        <v>0</v>
      </c>
      <c r="AM238" s="230">
        <f ca="1">IF(ISERROR(LOOKUP(AM$16,$L238:$X238,#REF!)),0,(LOOKUP(AM$16,$L238:$X238,#REF!)))</f>
        <v>0</v>
      </c>
      <c r="AP238" s="248"/>
      <c r="AQ238" s="248"/>
      <c r="AR238" s="248"/>
      <c r="AS238" s="778"/>
      <c r="AW238" s="223"/>
    </row>
    <row r="239" spans="1:49" s="166" customFormat="1" ht="18" customHeight="1">
      <c r="A239" s="736"/>
      <c r="B239" s="738"/>
      <c r="C239" s="741"/>
      <c r="D239" s="741" t="s">
        <v>5324</v>
      </c>
      <c r="E239" s="212"/>
      <c r="F239" s="741" t="s">
        <v>86</v>
      </c>
      <c r="G239" s="741" t="s">
        <v>73</v>
      </c>
      <c r="H239" s="746"/>
      <c r="I239" s="212" t="s">
        <v>9</v>
      </c>
      <c r="J239" s="249" t="s">
        <v>5236</v>
      </c>
      <c r="K239" s="215">
        <f>WORKDAY(L239,-INDEX(L$12:L$15,MATCH($I239,$I$12:$I$15,0)))</f>
        <v>46248</v>
      </c>
      <c r="L239" s="215">
        <f>WORKDAY(M239,-INDEX(M$12:M$15,MATCH($I239,$I$12:$I$15,0)))</f>
        <v>46253</v>
      </c>
      <c r="M239" s="215">
        <f>WORKDAY(N239,-INDEX(N$12:N$15,MATCH($I239,$I$12:$I$15,0)))</f>
        <v>46260</v>
      </c>
      <c r="N239" s="215">
        <f>WORKDAY(O239,-INDEX(O$12:O$15,MATCH($I239,$I$12:$I$15,0)))</f>
        <v>46261</v>
      </c>
      <c r="O239" s="215">
        <f>WORKDAY(R239,-INDEX(R$12:R$15,MATCH($I239,$I$12:$I$15,0)))</f>
        <v>46266</v>
      </c>
      <c r="P239" s="216">
        <f>U239-L239</f>
        <v>39</v>
      </c>
      <c r="Q239" s="217"/>
      <c r="R239" s="215">
        <f>WORKDAY(S239,-INDEX(S$12:S$15,MATCH($I239,$I$12:$I$15,0)))</f>
        <v>46273</v>
      </c>
      <c r="S239" s="215">
        <f>WORKDAY(T239,-INDEX(T$12:T$15,MATCH($I239,$I$12:$I$15,0)))</f>
        <v>46282</v>
      </c>
      <c r="T239" s="215">
        <f>WORKDAY(U239,-INDEX(U$12:U$15,MATCH($I239,$I$12:$I$15,0)))</f>
        <v>46286</v>
      </c>
      <c r="U239" s="215">
        <f>X239-Y239</f>
        <v>46292</v>
      </c>
      <c r="V239" s="215">
        <f>WORKDAY(U239,INDEX(V$12:V$15,MATCH($I239,$I$12:$I$15,0)))</f>
        <v>46294</v>
      </c>
      <c r="W239" s="218">
        <f>Y239/7</f>
        <v>12.8571428571429</v>
      </c>
      <c r="X239" s="215">
        <f>Z239</f>
        <v>46382</v>
      </c>
      <c r="Y239" s="768">
        <v>90</v>
      </c>
      <c r="Z239" s="773">
        <v>46382</v>
      </c>
      <c r="AA239" s="773">
        <v>46538</v>
      </c>
      <c r="AB239" s="777">
        <f>Z239-X240</f>
        <v>0</v>
      </c>
      <c r="AC239" s="220">
        <f>IF(ISERROR(LOOKUP(AC$16,$L239:$X239,#REF!)),0,(LOOKUP(AC$16,$L239:$X239,#REF!)))</f>
        <v>0</v>
      </c>
      <c r="AD239" s="221">
        <f>IF(ISERROR(LOOKUP(AD$16,$L239:$X239,#REF!)),0,(LOOKUP(AD$16,$L239:$X239,#REF!)))</f>
        <v>0</v>
      </c>
      <c r="AE239" s="221">
        <f>IF(ISERROR(LOOKUP(AE$16,$L239:$X239,#REF!)),0,(LOOKUP(AE$16,$L239:$X239,#REF!)))</f>
        <v>0</v>
      </c>
      <c r="AF239" s="221">
        <f>IF(ISERROR(LOOKUP(AF$16,$L239:$X239,#REF!)),0,(LOOKUP(AF$16,$L239:$X239,#REF!)))</f>
        <v>0</v>
      </c>
      <c r="AG239" s="221">
        <f>IF(ISERROR(LOOKUP(AG$16,$L239:$X239,#REF!)),0,(LOOKUP(AG$16,$L239:$X239,#REF!)))</f>
        <v>0</v>
      </c>
      <c r="AH239" s="221">
        <f>IF(ISERROR(LOOKUP(AH$16,$L239:$X239,#REF!)),0,(LOOKUP(AH$16,$L239:$X239,#REF!)))</f>
        <v>0</v>
      </c>
      <c r="AI239" s="221">
        <f>IF(ISERROR(LOOKUP(AI$16,$L239:$X239,#REF!)),0,(LOOKUP(AI$16,$L239:$X239,#REF!)))</f>
        <v>0</v>
      </c>
      <c r="AJ239" s="221">
        <f>IF(ISERROR(LOOKUP(AJ$16,$L239:$X239,#REF!)),0,(LOOKUP(AJ$16,$L239:$X239,#REF!)))</f>
        <v>0</v>
      </c>
      <c r="AK239" s="221">
        <f>IF(ISERROR(LOOKUP(AK$16,$L239:$X239,#REF!)),0,(LOOKUP(AK$16,$L239:$X239,#REF!)))</f>
        <v>0</v>
      </c>
      <c r="AL239" s="221">
        <f>IF(ISERROR(LOOKUP(AL$16,$L239:$X239,#REF!)),0,(LOOKUP(AL$16,$L239:$X239,#REF!)))</f>
        <v>0</v>
      </c>
      <c r="AM239" s="221">
        <f ca="1">IF(ISERROR(LOOKUP(AM$16,$L239:$X239,#REF!)),0,(LOOKUP(AM$16,$L239:$X239,#REF!)))</f>
        <v>0</v>
      </c>
      <c r="AP239" s="215" t="e">
        <f>WORKDAY(AQ239,-INDEX(AQ$12:AQ$15,MATCH($I239,$I$12:$I$15,0)),$AW$17:$AW$148)</f>
        <v>#REF!</v>
      </c>
      <c r="AQ239" s="215" t="e">
        <f>WORKDAY(U239,-INDEX(U$12:U$15,MATCH($I239,$I$12:$I$15,0)),$AW$17:$AW$148)</f>
        <v>#REF!</v>
      </c>
      <c r="AR239" s="215" t="e">
        <f>WORKDAY(U239,-INDEX(U$12:U$15,MATCH($I239,$I$12:$I$15,0)),$AW$17:$AW$148)</f>
        <v>#REF!</v>
      </c>
      <c r="AS239" s="778">
        <v>7</v>
      </c>
      <c r="AW239" s="223"/>
    </row>
    <row r="240" spans="1:49" s="166" customFormat="1" ht="18" customHeight="1">
      <c r="A240" s="736"/>
      <c r="B240" s="739"/>
      <c r="C240" s="741"/>
      <c r="D240" s="741" t="s">
        <v>5324</v>
      </c>
      <c r="E240" s="212"/>
      <c r="F240" s="741" t="str">
        <f>F239</f>
        <v>Piping</v>
      </c>
      <c r="G240" s="741" t="str">
        <f>G239</f>
        <v>N</v>
      </c>
      <c r="H240" s="747"/>
      <c r="I240" s="212" t="str">
        <f>I239</f>
        <v>LD</v>
      </c>
      <c r="J240" s="249" t="s">
        <v>65</v>
      </c>
      <c r="K240" s="215">
        <f>K239</f>
        <v>46248</v>
      </c>
      <c r="L240" s="215">
        <f>WORKDAY(IF(K241="",K240,K241),INDEX(L$12:L$15,MATCH($I239,$I$12:$I$15,0)))</f>
        <v>46253</v>
      </c>
      <c r="M240" s="215">
        <f>WORKDAY(IF(L241="",L240,L241),INDEX(M$12:M$15,MATCH($I239,$I$12:$I$15,0)))</f>
        <v>46260</v>
      </c>
      <c r="N240" s="215">
        <f>WORKDAY(IF(M241="",M240,M241),INDEX(N$12:N$15,MATCH($I239,$I$12:$I$15,0)))</f>
        <v>46261</v>
      </c>
      <c r="O240" s="215">
        <f>WORKDAY(IF(N241="",N240,N241),INDEX(O$12:O$15,MATCH($I239,$I$12:$I$15,0)))</f>
        <v>46266</v>
      </c>
      <c r="P240" s="216"/>
      <c r="Q240" s="217"/>
      <c r="R240" s="215">
        <f>WORKDAY(IF(O241="",O240,O241),INDEX(R$12:R$15,MATCH($I239,$I$12:$I$15,0)))</f>
        <v>46273</v>
      </c>
      <c r="S240" s="215">
        <f>WORKDAY(IF(R241="",R240,R241),INDEX(S$12:S$15,MATCH($I239,$I$12:$I$15,0)))</f>
        <v>46282</v>
      </c>
      <c r="T240" s="215">
        <f>WORKDAY(IF(S241="",S240,S241),INDEX(T$12:T$15,MATCH($I239,$I$12:$I$15,0)))</f>
        <v>46286</v>
      </c>
      <c r="U240" s="215">
        <f>WORKDAY(IF(T241="",T240,T241),INDEX(U$12:U$15,MATCH($I239,$I$12:$I$15,0)))-1</f>
        <v>46292</v>
      </c>
      <c r="V240" s="215">
        <f>WORKDAY(IF(U241="",U240,U241),INDEX(V$12:V$15,MATCH($I239,$I$12:$I$15,0)))</f>
        <v>46294</v>
      </c>
      <c r="W240" s="218"/>
      <c r="X240" s="215">
        <f>U240+Y239</f>
        <v>46382</v>
      </c>
      <c r="Y240" s="768"/>
      <c r="Z240" s="773"/>
      <c r="AA240" s="773"/>
      <c r="AB240" s="777"/>
      <c r="AC240" s="220">
        <f>IF(ISERROR(LOOKUP(AC$16,$L240:$X240,#REF!)),0,(LOOKUP(AC$16,$L240:$X240,#REF!)))</f>
        <v>0</v>
      </c>
      <c r="AD240" s="221">
        <f>IF(ISERROR(LOOKUP(AD$16,$L240:$X240,#REF!)),0,(LOOKUP(AD$16,$L240:$X240,#REF!)))</f>
        <v>0</v>
      </c>
      <c r="AE240" s="221">
        <f>IF(ISERROR(LOOKUP(AE$16,$L240:$X240,#REF!)),0,(LOOKUP(AE$16,$L240:$X240,#REF!)))</f>
        <v>0</v>
      </c>
      <c r="AF240" s="221">
        <f>IF(ISERROR(LOOKUP(AF$16,$L240:$X240,#REF!)),0,(LOOKUP(AF$16,$L240:$X240,#REF!)))</f>
        <v>0</v>
      </c>
      <c r="AG240" s="221">
        <f>IF(ISERROR(LOOKUP(AG$16,$L240:$X240,#REF!)),0,(LOOKUP(AG$16,$L240:$X240,#REF!)))</f>
        <v>0</v>
      </c>
      <c r="AH240" s="221">
        <f>IF(ISERROR(LOOKUP(AH$16,$L240:$X240,#REF!)),0,(LOOKUP(AH$16,$L240:$X240,#REF!)))</f>
        <v>0</v>
      </c>
      <c r="AI240" s="221">
        <f>IF(ISERROR(LOOKUP(AI$16,$L240:$X240,#REF!)),0,(LOOKUP(AI$16,$L240:$X240,#REF!)))</f>
        <v>0</v>
      </c>
      <c r="AJ240" s="221">
        <f>IF(ISERROR(LOOKUP(AJ$16,$L240:$X240,#REF!)),0,(LOOKUP(AJ$16,$L240:$X240,#REF!)))</f>
        <v>0</v>
      </c>
      <c r="AK240" s="221">
        <f>IF(ISERROR(LOOKUP(AK$16,$L240:$X240,#REF!)),0,(LOOKUP(AK$16,$L240:$X240,#REF!)))</f>
        <v>0</v>
      </c>
      <c r="AL240" s="221">
        <f>IF(ISERROR(LOOKUP(AL$16,$L240:$X240,#REF!)),0,(LOOKUP(AL$16,$L240:$X240,#REF!)))</f>
        <v>0</v>
      </c>
      <c r="AM240" s="221">
        <f ca="1">IF(ISERROR(LOOKUP(AM$16,$L240:$X240,#REF!)),0,(LOOKUP(AM$16,$L240:$X240,#REF!)))</f>
        <v>0</v>
      </c>
      <c r="AP240" s="215" t="e">
        <f>WORKDAY(IF(T241="",T240,T241),INDEX(AP$12:AP$15,MATCH($I239,$I$12:$I$15,0)),$AW$17:$AW$148)</f>
        <v>#REF!</v>
      </c>
      <c r="AQ240" s="215" t="e">
        <f>WORKDAY(IF(AP241="",AP240,AP241),INDEX(AQ$12:AQ$15,MATCH($I239,$I$12:$I$15,0)),$AW$17:$AW$148)</f>
        <v>#REF!</v>
      </c>
      <c r="AR240" s="215" t="e">
        <f>WORKDAY(IF(AQ241="",AQ240,AQ241),INDEX(AR$12:AR$15,MATCH($I239,$I$12:$I$15,0)),$AW$17:$AW$148)</f>
        <v>#REF!</v>
      </c>
      <c r="AS240" s="778"/>
      <c r="AW240" s="223"/>
    </row>
    <row r="241" spans="1:49" s="166" customFormat="1" ht="18" customHeight="1">
      <c r="A241" s="736"/>
      <c r="B241" s="740"/>
      <c r="C241" s="741"/>
      <c r="D241" s="741" t="s">
        <v>5324</v>
      </c>
      <c r="E241" s="212"/>
      <c r="F241" s="741" t="str">
        <f>F239</f>
        <v>Piping</v>
      </c>
      <c r="G241" s="741" t="str">
        <f>G239</f>
        <v>N</v>
      </c>
      <c r="H241" s="748"/>
      <c r="I241" s="212" t="str">
        <f>I239</f>
        <v>LD</v>
      </c>
      <c r="J241" s="249" t="s">
        <v>67</v>
      </c>
      <c r="K241" s="212"/>
      <c r="L241" s="212"/>
      <c r="M241" s="212"/>
      <c r="N241" s="212"/>
      <c r="O241" s="212"/>
      <c r="P241" s="226"/>
      <c r="Q241" s="227"/>
      <c r="R241" s="212"/>
      <c r="S241" s="212"/>
      <c r="T241" s="212"/>
      <c r="U241" s="212"/>
      <c r="V241" s="212"/>
      <c r="W241" s="228"/>
      <c r="X241" s="212"/>
      <c r="Y241" s="768"/>
      <c r="Z241" s="773"/>
      <c r="AA241" s="773"/>
      <c r="AB241" s="777"/>
      <c r="AC241" s="229">
        <f>IF(ISERROR(LOOKUP(AC$16,$L241:$X241,#REF!)),0,(LOOKUP(AC$16,$L241:$X241,#REF!)))</f>
        <v>0</v>
      </c>
      <c r="AD241" s="230">
        <f>IF(ISERROR(LOOKUP(AD$16,$L241:$X241,#REF!)),0,(LOOKUP(AD$16,$L241:$X241,#REF!)))</f>
        <v>0</v>
      </c>
      <c r="AE241" s="230">
        <f>IF(ISERROR(LOOKUP(AE$16,$L241:$X241,#REF!)),0,(LOOKUP(AE$16,$L241:$X241,#REF!)))</f>
        <v>0</v>
      </c>
      <c r="AF241" s="230">
        <f>IF(ISERROR(LOOKUP(AF$16,$L241:$X241,#REF!)),0,(LOOKUP(AF$16,$L241:$X241,#REF!)))</f>
        <v>0</v>
      </c>
      <c r="AG241" s="230">
        <f>IF(ISERROR(LOOKUP(AG$16,$L241:$X241,#REF!)),0,(LOOKUP(AG$16,$L241:$X241,#REF!)))</f>
        <v>0</v>
      </c>
      <c r="AH241" s="230">
        <f>IF(ISERROR(LOOKUP(AH$16,$L241:$X241,#REF!)),0,(LOOKUP(AH$16,$L241:$X241,#REF!)))</f>
        <v>0</v>
      </c>
      <c r="AI241" s="230">
        <f>IF(ISERROR(LOOKUP(AI$16,$L241:$X241,#REF!)),0,(LOOKUP(AI$16,$L241:$X241,#REF!)))</f>
        <v>0</v>
      </c>
      <c r="AJ241" s="230">
        <f>IF(ISERROR(LOOKUP(AJ$16,$L241:$X241,#REF!)),0,(LOOKUP(AJ$16,$L241:$X241,#REF!)))</f>
        <v>0</v>
      </c>
      <c r="AK241" s="230">
        <f>IF(ISERROR(LOOKUP(AK$16,$L241:$X241,#REF!)),0,(LOOKUP(AK$16,$L241:$X241,#REF!)))</f>
        <v>0</v>
      </c>
      <c r="AL241" s="230">
        <f>IF(ISERROR(LOOKUP(AL$16,$L241:$X241,#REF!)),0,(LOOKUP(AL$16,$L241:$X241,#REF!)))</f>
        <v>0</v>
      </c>
      <c r="AM241" s="230">
        <f ca="1">IF(ISERROR(LOOKUP(AM$16,$L241:$X241,#REF!)),0,(LOOKUP(AM$16,$L241:$X241,#REF!)))</f>
        <v>0</v>
      </c>
      <c r="AP241" s="248"/>
      <c r="AQ241" s="248"/>
      <c r="AR241" s="248"/>
      <c r="AS241" s="778"/>
      <c r="AW241" s="223"/>
    </row>
    <row r="242" spans="1:49" s="166" customFormat="1" ht="18" customHeight="1">
      <c r="A242" s="736"/>
      <c r="B242" s="738"/>
      <c r="C242" s="741"/>
      <c r="D242" s="741" t="s">
        <v>5325</v>
      </c>
      <c r="E242" s="212"/>
      <c r="F242" s="741" t="s">
        <v>86</v>
      </c>
      <c r="G242" s="741" t="s">
        <v>73</v>
      </c>
      <c r="H242" s="746"/>
      <c r="I242" s="212" t="s">
        <v>9</v>
      </c>
      <c r="J242" s="249" t="s">
        <v>5236</v>
      </c>
      <c r="K242" s="215">
        <f>WORKDAY(L242,-INDEX(L$12:L$15,MATCH($I242,$I$12:$I$15,0)))</f>
        <v>46219</v>
      </c>
      <c r="L242" s="215">
        <f>WORKDAY(M242,-INDEX(M$12:M$15,MATCH($I242,$I$12:$I$15,0)))</f>
        <v>46224</v>
      </c>
      <c r="M242" s="215">
        <f>WORKDAY(N242,-INDEX(N$12:N$15,MATCH($I242,$I$12:$I$15,0)))</f>
        <v>46231</v>
      </c>
      <c r="N242" s="215">
        <f>WORKDAY(O242,-INDEX(O$12:O$15,MATCH($I242,$I$12:$I$15,0)))</f>
        <v>46232</v>
      </c>
      <c r="O242" s="215">
        <f>WORKDAY(R242,-INDEX(R$12:R$15,MATCH($I242,$I$12:$I$15,0)))</f>
        <v>46237</v>
      </c>
      <c r="P242" s="216">
        <f>U242-L242</f>
        <v>38</v>
      </c>
      <c r="Q242" s="217"/>
      <c r="R242" s="215">
        <f>WORKDAY(S242,-INDEX(S$12:S$15,MATCH($I242,$I$12:$I$15,0)))</f>
        <v>46244</v>
      </c>
      <c r="S242" s="215">
        <f>WORKDAY(T242,-INDEX(T$12:T$15,MATCH($I242,$I$12:$I$15,0)))</f>
        <v>46253</v>
      </c>
      <c r="T242" s="215">
        <f>WORKDAY(U242,-INDEX(U$12:U$15,MATCH($I242,$I$12:$I$15,0)))</f>
        <v>46255</v>
      </c>
      <c r="U242" s="215">
        <f>X242-Y242</f>
        <v>46262</v>
      </c>
      <c r="V242" s="215">
        <f>WORKDAY(U242,INDEX(V$12:V$15,MATCH($I242,$I$12:$I$15,0)))</f>
        <v>46266</v>
      </c>
      <c r="W242" s="218">
        <f>Y242/7</f>
        <v>17.1428571428571</v>
      </c>
      <c r="X242" s="215">
        <f>Z242</f>
        <v>46382</v>
      </c>
      <c r="Y242" s="768">
        <v>120</v>
      </c>
      <c r="Z242" s="773">
        <v>46382</v>
      </c>
      <c r="AA242" s="773">
        <v>46538</v>
      </c>
      <c r="AB242" s="777">
        <f>Z242-X243</f>
        <v>0</v>
      </c>
      <c r="AC242" s="220">
        <f>IF(ISERROR(LOOKUP(AC$16,$L242:$X242,#REF!)),0,(LOOKUP(AC$16,$L242:$X242,#REF!)))</f>
        <v>0</v>
      </c>
      <c r="AD242" s="221">
        <f>IF(ISERROR(LOOKUP(AD$16,$L242:$X242,#REF!)),0,(LOOKUP(AD$16,$L242:$X242,#REF!)))</f>
        <v>0</v>
      </c>
      <c r="AE242" s="221">
        <f>IF(ISERROR(LOOKUP(AE$16,$L242:$X242,#REF!)),0,(LOOKUP(AE$16,$L242:$X242,#REF!)))</f>
        <v>0</v>
      </c>
      <c r="AF242" s="221">
        <f>IF(ISERROR(LOOKUP(AF$16,$L242:$X242,#REF!)),0,(LOOKUP(AF$16,$L242:$X242,#REF!)))</f>
        <v>0</v>
      </c>
      <c r="AG242" s="221">
        <f>IF(ISERROR(LOOKUP(AG$16,$L242:$X242,#REF!)),0,(LOOKUP(AG$16,$L242:$X242,#REF!)))</f>
        <v>0</v>
      </c>
      <c r="AH242" s="221">
        <f>IF(ISERROR(LOOKUP(AH$16,$L242:$X242,#REF!)),0,(LOOKUP(AH$16,$L242:$X242,#REF!)))</f>
        <v>0</v>
      </c>
      <c r="AI242" s="221">
        <f>IF(ISERROR(LOOKUP(AI$16,$L242:$X242,#REF!)),0,(LOOKUP(AI$16,$L242:$X242,#REF!)))</f>
        <v>0</v>
      </c>
      <c r="AJ242" s="221">
        <f>IF(ISERROR(LOOKUP(AJ$16,$L242:$X242,#REF!)),0,(LOOKUP(AJ$16,$L242:$X242,#REF!)))</f>
        <v>0</v>
      </c>
      <c r="AK242" s="221">
        <f>IF(ISERROR(LOOKUP(AK$16,$L242:$X242,#REF!)),0,(LOOKUP(AK$16,$L242:$X242,#REF!)))</f>
        <v>0</v>
      </c>
      <c r="AL242" s="221">
        <f>IF(ISERROR(LOOKUP(AL$16,$L242:$X242,#REF!)),0,(LOOKUP(AL$16,$L242:$X242,#REF!)))</f>
        <v>0</v>
      </c>
      <c r="AM242" s="221">
        <f ca="1">IF(ISERROR(LOOKUP(AM$16,$L242:$X242,#REF!)),0,(LOOKUP(AM$16,$L242:$X242,#REF!)))</f>
        <v>0</v>
      </c>
      <c r="AP242" s="215" t="e">
        <f>WORKDAY(AQ242,-INDEX(AQ$12:AQ$15,MATCH($I242,$I$12:$I$15,0)),$AW$17:$AW$148)</f>
        <v>#REF!</v>
      </c>
      <c r="AQ242" s="215" t="e">
        <f>WORKDAY(U242,-INDEX(U$12:U$15,MATCH($I242,$I$12:$I$15,0)),$AW$17:$AW$148)</f>
        <v>#REF!</v>
      </c>
      <c r="AR242" s="215" t="e">
        <f>WORKDAY(U242,-INDEX(U$12:U$15,MATCH($I242,$I$12:$I$15,0)),$AW$17:$AW$148)</f>
        <v>#REF!</v>
      </c>
      <c r="AS242" s="778">
        <v>7</v>
      </c>
      <c r="AW242" s="223"/>
    </row>
    <row r="243" spans="1:49" s="166" customFormat="1" ht="18" customHeight="1">
      <c r="A243" s="736"/>
      <c r="B243" s="739"/>
      <c r="C243" s="741"/>
      <c r="D243" s="741" t="s">
        <v>5325</v>
      </c>
      <c r="E243" s="212"/>
      <c r="F243" s="741" t="str">
        <f>F242</f>
        <v>Piping</v>
      </c>
      <c r="G243" s="741" t="str">
        <f>G242</f>
        <v>N</v>
      </c>
      <c r="H243" s="747"/>
      <c r="I243" s="212" t="str">
        <f>I242</f>
        <v>LD</v>
      </c>
      <c r="J243" s="249" t="s">
        <v>65</v>
      </c>
      <c r="K243" s="215">
        <f>K242</f>
        <v>46219</v>
      </c>
      <c r="L243" s="215">
        <f>WORKDAY(IF(K244="",K243,K244),INDEX(L$12:L$15,MATCH($I242,$I$12:$I$15,0)))</f>
        <v>46224</v>
      </c>
      <c r="M243" s="215">
        <f>WORKDAY(IF(L244="",L243,L244),INDEX(M$12:M$15,MATCH($I242,$I$12:$I$15,0)))</f>
        <v>46231</v>
      </c>
      <c r="N243" s="215">
        <f>WORKDAY(IF(M244="",M243,M244),INDEX(N$12:N$15,MATCH($I242,$I$12:$I$15,0)))</f>
        <v>46232</v>
      </c>
      <c r="O243" s="215">
        <f>WORKDAY(IF(N244="",N243,N244),INDEX(O$12:O$15,MATCH($I242,$I$12:$I$15,0)))</f>
        <v>46237</v>
      </c>
      <c r="P243" s="216"/>
      <c r="Q243" s="217"/>
      <c r="R243" s="215">
        <f>WORKDAY(IF(O244="",O243,O244),INDEX(R$12:R$15,MATCH($I242,$I$12:$I$15,0)))</f>
        <v>46244</v>
      </c>
      <c r="S243" s="215">
        <f>WORKDAY(IF(R244="",R243,R244),INDEX(S$12:S$15,MATCH($I242,$I$12:$I$15,0)))</f>
        <v>46253</v>
      </c>
      <c r="T243" s="215">
        <f>WORKDAY(IF(S244="",S243,S244),INDEX(T$12:T$15,MATCH($I242,$I$12:$I$15,0)))</f>
        <v>46255</v>
      </c>
      <c r="U243" s="215">
        <f>WORKDAY(IF(T244="",T243,T244),INDEX(U$12:U$15,MATCH($I242,$I$12:$I$15,0)))</f>
        <v>46262</v>
      </c>
      <c r="V243" s="215">
        <f>WORKDAY(IF(U244="",U243,U244),INDEX(V$12:V$15,MATCH($I242,$I$12:$I$15,0)))</f>
        <v>46266</v>
      </c>
      <c r="W243" s="218"/>
      <c r="X243" s="215">
        <f>U243+Y242</f>
        <v>46382</v>
      </c>
      <c r="Y243" s="768"/>
      <c r="Z243" s="773"/>
      <c r="AA243" s="773"/>
      <c r="AB243" s="777"/>
      <c r="AC243" s="220">
        <f>IF(ISERROR(LOOKUP(AC$16,$L243:$X243,#REF!)),0,(LOOKUP(AC$16,$L243:$X243,#REF!)))</f>
        <v>0</v>
      </c>
      <c r="AD243" s="221">
        <f>IF(ISERROR(LOOKUP(AD$16,$L243:$X243,#REF!)),0,(LOOKUP(AD$16,$L243:$X243,#REF!)))</f>
        <v>0</v>
      </c>
      <c r="AE243" s="221">
        <f>IF(ISERROR(LOOKUP(AE$16,$L243:$X243,#REF!)),0,(LOOKUP(AE$16,$L243:$X243,#REF!)))</f>
        <v>0</v>
      </c>
      <c r="AF243" s="221">
        <f>IF(ISERROR(LOOKUP(AF$16,$L243:$X243,#REF!)),0,(LOOKUP(AF$16,$L243:$X243,#REF!)))</f>
        <v>0</v>
      </c>
      <c r="AG243" s="221">
        <f>IF(ISERROR(LOOKUP(AG$16,$L243:$X243,#REF!)),0,(LOOKUP(AG$16,$L243:$X243,#REF!)))</f>
        <v>0</v>
      </c>
      <c r="AH243" s="221">
        <f>IF(ISERROR(LOOKUP(AH$16,$L243:$X243,#REF!)),0,(LOOKUP(AH$16,$L243:$X243,#REF!)))</f>
        <v>0</v>
      </c>
      <c r="AI243" s="221">
        <f>IF(ISERROR(LOOKUP(AI$16,$L243:$X243,#REF!)),0,(LOOKUP(AI$16,$L243:$X243,#REF!)))</f>
        <v>0</v>
      </c>
      <c r="AJ243" s="221">
        <f>IF(ISERROR(LOOKUP(AJ$16,$L243:$X243,#REF!)),0,(LOOKUP(AJ$16,$L243:$X243,#REF!)))</f>
        <v>0</v>
      </c>
      <c r="AK243" s="221">
        <f>IF(ISERROR(LOOKUP(AK$16,$L243:$X243,#REF!)),0,(LOOKUP(AK$16,$L243:$X243,#REF!)))</f>
        <v>0</v>
      </c>
      <c r="AL243" s="221">
        <f>IF(ISERROR(LOOKUP(AL$16,$L243:$X243,#REF!)),0,(LOOKUP(AL$16,$L243:$X243,#REF!)))</f>
        <v>0</v>
      </c>
      <c r="AM243" s="221">
        <f ca="1">IF(ISERROR(LOOKUP(AM$16,$L243:$X243,#REF!)),0,(LOOKUP(AM$16,$L243:$X243,#REF!)))</f>
        <v>0</v>
      </c>
      <c r="AP243" s="215" t="e">
        <f>WORKDAY(IF(T244="",T243,T244),INDEX(AP$12:AP$15,MATCH($I242,$I$12:$I$15,0)),$AW$17:$AW$148)</f>
        <v>#REF!</v>
      </c>
      <c r="AQ243" s="215" t="e">
        <f>WORKDAY(IF(AP244="",AP243,AP244),INDEX(AQ$12:AQ$15,MATCH($I242,$I$12:$I$15,0)),$AW$17:$AW$148)</f>
        <v>#REF!</v>
      </c>
      <c r="AR243" s="215" t="e">
        <f>WORKDAY(IF(AQ244="",AQ243,AQ244),INDEX(AR$12:AR$15,MATCH($I242,$I$12:$I$15,0)),$AW$17:$AW$148)</f>
        <v>#REF!</v>
      </c>
      <c r="AS243" s="778"/>
      <c r="AW243" s="223"/>
    </row>
    <row r="244" spans="1:49" s="166" customFormat="1" ht="18" customHeight="1">
      <c r="A244" s="736"/>
      <c r="B244" s="740"/>
      <c r="C244" s="741"/>
      <c r="D244" s="741" t="s">
        <v>5325</v>
      </c>
      <c r="E244" s="212"/>
      <c r="F244" s="741" t="str">
        <f>F242</f>
        <v>Piping</v>
      </c>
      <c r="G244" s="741" t="str">
        <f>G242</f>
        <v>N</v>
      </c>
      <c r="H244" s="748"/>
      <c r="I244" s="212" t="str">
        <f>I242</f>
        <v>LD</v>
      </c>
      <c r="J244" s="249" t="s">
        <v>67</v>
      </c>
      <c r="K244" s="212"/>
      <c r="L244" s="212"/>
      <c r="M244" s="212"/>
      <c r="N244" s="212"/>
      <c r="O244" s="212"/>
      <c r="P244" s="226"/>
      <c r="Q244" s="227"/>
      <c r="R244" s="212"/>
      <c r="S244" s="212"/>
      <c r="T244" s="212"/>
      <c r="U244" s="212"/>
      <c r="V244" s="212"/>
      <c r="W244" s="228"/>
      <c r="X244" s="212"/>
      <c r="Y244" s="768"/>
      <c r="Z244" s="773"/>
      <c r="AA244" s="773"/>
      <c r="AB244" s="777"/>
      <c r="AC244" s="229">
        <f>IF(ISERROR(LOOKUP(AC$16,$L244:$X244,#REF!)),0,(LOOKUP(AC$16,$L244:$X244,#REF!)))</f>
        <v>0</v>
      </c>
      <c r="AD244" s="230">
        <f>IF(ISERROR(LOOKUP(AD$16,$L244:$X244,#REF!)),0,(LOOKUP(AD$16,$L244:$X244,#REF!)))</f>
        <v>0</v>
      </c>
      <c r="AE244" s="230">
        <f>IF(ISERROR(LOOKUP(AE$16,$L244:$X244,#REF!)),0,(LOOKUP(AE$16,$L244:$X244,#REF!)))</f>
        <v>0</v>
      </c>
      <c r="AF244" s="230">
        <f>IF(ISERROR(LOOKUP(AF$16,$L244:$X244,#REF!)),0,(LOOKUP(AF$16,$L244:$X244,#REF!)))</f>
        <v>0</v>
      </c>
      <c r="AG244" s="230">
        <f>IF(ISERROR(LOOKUP(AG$16,$L244:$X244,#REF!)),0,(LOOKUP(AG$16,$L244:$X244,#REF!)))</f>
        <v>0</v>
      </c>
      <c r="AH244" s="230">
        <f>IF(ISERROR(LOOKUP(AH$16,$L244:$X244,#REF!)),0,(LOOKUP(AH$16,$L244:$X244,#REF!)))</f>
        <v>0</v>
      </c>
      <c r="AI244" s="230">
        <f>IF(ISERROR(LOOKUP(AI$16,$L244:$X244,#REF!)),0,(LOOKUP(AI$16,$L244:$X244,#REF!)))</f>
        <v>0</v>
      </c>
      <c r="AJ244" s="230">
        <f>IF(ISERROR(LOOKUP(AJ$16,$L244:$X244,#REF!)),0,(LOOKUP(AJ$16,$L244:$X244,#REF!)))</f>
        <v>0</v>
      </c>
      <c r="AK244" s="230">
        <f>IF(ISERROR(LOOKUP(AK$16,$L244:$X244,#REF!)),0,(LOOKUP(AK$16,$L244:$X244,#REF!)))</f>
        <v>0</v>
      </c>
      <c r="AL244" s="230">
        <f>IF(ISERROR(LOOKUP(AL$16,$L244:$X244,#REF!)),0,(LOOKUP(AL$16,$L244:$X244,#REF!)))</f>
        <v>0</v>
      </c>
      <c r="AM244" s="230">
        <f ca="1">IF(ISERROR(LOOKUP(AM$16,$L244:$X244,#REF!)),0,(LOOKUP(AM$16,$L244:$X244,#REF!)))</f>
        <v>0</v>
      </c>
      <c r="AP244" s="248"/>
      <c r="AQ244" s="248"/>
      <c r="AR244" s="248"/>
      <c r="AS244" s="778"/>
      <c r="AW244" s="223"/>
    </row>
    <row r="245" spans="1:49" s="166" customFormat="1" ht="18" customHeight="1">
      <c r="A245" s="736"/>
      <c r="B245" s="738"/>
      <c r="C245" s="741"/>
      <c r="D245" s="741" t="s">
        <v>291</v>
      </c>
      <c r="E245" s="212"/>
      <c r="F245" s="741" t="s">
        <v>86</v>
      </c>
      <c r="G245" s="741" t="s">
        <v>73</v>
      </c>
      <c r="H245" s="746"/>
      <c r="I245" s="212" t="s">
        <v>9</v>
      </c>
      <c r="J245" s="249" t="s">
        <v>5236</v>
      </c>
      <c r="K245" s="215">
        <f>WORKDAY(L245,-INDEX(L$12:L$15,MATCH($I245,$I$12:$I$15,0)))</f>
        <v>46219</v>
      </c>
      <c r="L245" s="215">
        <f>WORKDAY(M245,-INDEX(M$12:M$15,MATCH($I245,$I$12:$I$15,0)))</f>
        <v>46224</v>
      </c>
      <c r="M245" s="215">
        <f>WORKDAY(N245,-INDEX(N$12:N$15,MATCH($I245,$I$12:$I$15,0)))</f>
        <v>46231</v>
      </c>
      <c r="N245" s="215">
        <f>WORKDAY(O245,-INDEX(O$12:O$15,MATCH($I245,$I$12:$I$15,0)))</f>
        <v>46232</v>
      </c>
      <c r="O245" s="215">
        <f>WORKDAY(R245,-INDEX(R$12:R$15,MATCH($I245,$I$12:$I$15,0)))</f>
        <v>46237</v>
      </c>
      <c r="P245" s="216">
        <f>U245-L245</f>
        <v>38</v>
      </c>
      <c r="Q245" s="217"/>
      <c r="R245" s="215">
        <f>WORKDAY(S245,-INDEX(S$12:S$15,MATCH($I245,$I$12:$I$15,0)))</f>
        <v>46244</v>
      </c>
      <c r="S245" s="215">
        <f>WORKDAY(T245,-INDEX(T$12:T$15,MATCH($I245,$I$12:$I$15,0)))</f>
        <v>46253</v>
      </c>
      <c r="T245" s="215">
        <f>WORKDAY(U245,-INDEX(U$12:U$15,MATCH($I245,$I$12:$I$15,0)))</f>
        <v>46255</v>
      </c>
      <c r="U245" s="215">
        <f>X245-Y245</f>
        <v>46262</v>
      </c>
      <c r="V245" s="215">
        <f>WORKDAY(U245,INDEX(V$12:V$15,MATCH($I245,$I$12:$I$15,0)))</f>
        <v>46266</v>
      </c>
      <c r="W245" s="218">
        <f>Y245/7</f>
        <v>17.1428571428571</v>
      </c>
      <c r="X245" s="215">
        <f>Z245</f>
        <v>46382</v>
      </c>
      <c r="Y245" s="768">
        <v>120</v>
      </c>
      <c r="Z245" s="773">
        <v>46382</v>
      </c>
      <c r="AA245" s="773">
        <v>46538</v>
      </c>
      <c r="AB245" s="777">
        <f>Z245-X246</f>
        <v>0</v>
      </c>
      <c r="AC245" s="220">
        <f>IF(ISERROR(LOOKUP(AC$16,$L245:$X245,#REF!)),0,(LOOKUP(AC$16,$L245:$X245,#REF!)))</f>
        <v>0</v>
      </c>
      <c r="AD245" s="221">
        <f>IF(ISERROR(LOOKUP(AD$16,$L245:$X245,#REF!)),0,(LOOKUP(AD$16,$L245:$X245,#REF!)))</f>
        <v>0</v>
      </c>
      <c r="AE245" s="221">
        <f>IF(ISERROR(LOOKUP(AE$16,$L245:$X245,#REF!)),0,(LOOKUP(AE$16,$L245:$X245,#REF!)))</f>
        <v>0</v>
      </c>
      <c r="AF245" s="221">
        <f>IF(ISERROR(LOOKUP(AF$16,$L245:$X245,#REF!)),0,(LOOKUP(AF$16,$L245:$X245,#REF!)))</f>
        <v>0</v>
      </c>
      <c r="AG245" s="221">
        <f>IF(ISERROR(LOOKUP(AG$16,$L245:$X245,#REF!)),0,(LOOKUP(AG$16,$L245:$X245,#REF!)))</f>
        <v>0</v>
      </c>
      <c r="AH245" s="221">
        <f>IF(ISERROR(LOOKUP(AH$16,$L245:$X245,#REF!)),0,(LOOKUP(AH$16,$L245:$X245,#REF!)))</f>
        <v>0</v>
      </c>
      <c r="AI245" s="221">
        <f>IF(ISERROR(LOOKUP(AI$16,$L245:$X245,#REF!)),0,(LOOKUP(AI$16,$L245:$X245,#REF!)))</f>
        <v>0</v>
      </c>
      <c r="AJ245" s="221">
        <f>IF(ISERROR(LOOKUP(AJ$16,$L245:$X245,#REF!)),0,(LOOKUP(AJ$16,$L245:$X245,#REF!)))</f>
        <v>0</v>
      </c>
      <c r="AK245" s="221">
        <f>IF(ISERROR(LOOKUP(AK$16,$L245:$X245,#REF!)),0,(LOOKUP(AK$16,$L245:$X245,#REF!)))</f>
        <v>0</v>
      </c>
      <c r="AL245" s="221">
        <f>IF(ISERROR(LOOKUP(AL$16,$L245:$X245,#REF!)),0,(LOOKUP(AL$16,$L245:$X245,#REF!)))</f>
        <v>0</v>
      </c>
      <c r="AM245" s="221">
        <f ca="1">IF(ISERROR(LOOKUP(AM$16,$L245:$X245,#REF!)),0,(LOOKUP(AM$16,$L245:$X245,#REF!)))</f>
        <v>0</v>
      </c>
      <c r="AP245" s="215" t="e">
        <f>WORKDAY(AQ245,-INDEX(AQ$12:AQ$15,MATCH($I245,$I$12:$I$15,0)),$AW$17:$AW$148)</f>
        <v>#REF!</v>
      </c>
      <c r="AQ245" s="215" t="e">
        <f>WORKDAY(U245,-INDEX(U$12:U$15,MATCH($I245,$I$12:$I$15,0)),$AW$17:$AW$148)</f>
        <v>#REF!</v>
      </c>
      <c r="AR245" s="215" t="e">
        <f>WORKDAY(U245,-INDEX(U$12:U$15,MATCH($I245,$I$12:$I$15,0)),$AW$17:$AW$148)</f>
        <v>#REF!</v>
      </c>
      <c r="AS245" s="778">
        <v>7</v>
      </c>
      <c r="AW245" s="223"/>
    </row>
    <row r="246" spans="1:49" s="166" customFormat="1" ht="18" customHeight="1">
      <c r="A246" s="736"/>
      <c r="B246" s="739"/>
      <c r="C246" s="741"/>
      <c r="D246" s="741" t="s">
        <v>291</v>
      </c>
      <c r="E246" s="212"/>
      <c r="F246" s="741" t="str">
        <f>F245</f>
        <v>Piping</v>
      </c>
      <c r="G246" s="741" t="str">
        <f>G245</f>
        <v>N</v>
      </c>
      <c r="H246" s="747"/>
      <c r="I246" s="212" t="str">
        <f>I245</f>
        <v>LD</v>
      </c>
      <c r="J246" s="249" t="s">
        <v>65</v>
      </c>
      <c r="K246" s="215">
        <f>K245</f>
        <v>46219</v>
      </c>
      <c r="L246" s="215">
        <f>WORKDAY(IF(K247="",K246,K247),INDEX(L$12:L$15,MATCH($I245,$I$12:$I$15,0)))</f>
        <v>46224</v>
      </c>
      <c r="M246" s="215">
        <f>WORKDAY(IF(L247="",L246,L247),INDEX(M$12:M$15,MATCH($I245,$I$12:$I$15,0)))</f>
        <v>46231</v>
      </c>
      <c r="N246" s="215">
        <f>WORKDAY(IF(M247="",M246,M247),INDEX(N$12:N$15,MATCH($I245,$I$12:$I$15,0)))</f>
        <v>46232</v>
      </c>
      <c r="O246" s="215">
        <f>WORKDAY(IF(N247="",N246,N247),INDEX(O$12:O$15,MATCH($I245,$I$12:$I$15,0)))</f>
        <v>46237</v>
      </c>
      <c r="P246" s="216"/>
      <c r="Q246" s="217"/>
      <c r="R246" s="215">
        <f>WORKDAY(IF(O247="",O246,O247),INDEX(R$12:R$15,MATCH($I245,$I$12:$I$15,0)))</f>
        <v>46244</v>
      </c>
      <c r="S246" s="215">
        <f>WORKDAY(IF(R247="",R246,R247),INDEX(S$12:S$15,MATCH($I245,$I$12:$I$15,0)))</f>
        <v>46253</v>
      </c>
      <c r="T246" s="215">
        <f>WORKDAY(IF(S247="",S246,S247),INDEX(T$12:T$15,MATCH($I245,$I$12:$I$15,0)))</f>
        <v>46255</v>
      </c>
      <c r="U246" s="215">
        <f>WORKDAY(IF(T247="",T246,T247),INDEX(U$12:U$15,MATCH($I245,$I$12:$I$15,0)))</f>
        <v>46262</v>
      </c>
      <c r="V246" s="215">
        <f>WORKDAY(IF(U247="",U246,U247),INDEX(V$12:V$15,MATCH($I245,$I$12:$I$15,0)))</f>
        <v>46266</v>
      </c>
      <c r="W246" s="218"/>
      <c r="X246" s="215">
        <f>U246+Y245</f>
        <v>46382</v>
      </c>
      <c r="Y246" s="768"/>
      <c r="Z246" s="773"/>
      <c r="AA246" s="773"/>
      <c r="AB246" s="777"/>
      <c r="AC246" s="220">
        <f>IF(ISERROR(LOOKUP(AC$16,$L246:$X246,#REF!)),0,(LOOKUP(AC$16,$L246:$X246,#REF!)))</f>
        <v>0</v>
      </c>
      <c r="AD246" s="221">
        <f>IF(ISERROR(LOOKUP(AD$16,$L246:$X246,#REF!)),0,(LOOKUP(AD$16,$L246:$X246,#REF!)))</f>
        <v>0</v>
      </c>
      <c r="AE246" s="221">
        <f>IF(ISERROR(LOOKUP(AE$16,$L246:$X246,#REF!)),0,(LOOKUP(AE$16,$L246:$X246,#REF!)))</f>
        <v>0</v>
      </c>
      <c r="AF246" s="221">
        <f>IF(ISERROR(LOOKUP(AF$16,$L246:$X246,#REF!)),0,(LOOKUP(AF$16,$L246:$X246,#REF!)))</f>
        <v>0</v>
      </c>
      <c r="AG246" s="221">
        <f>IF(ISERROR(LOOKUP(AG$16,$L246:$X246,#REF!)),0,(LOOKUP(AG$16,$L246:$X246,#REF!)))</f>
        <v>0</v>
      </c>
      <c r="AH246" s="221">
        <f>IF(ISERROR(LOOKUP(AH$16,$L246:$X246,#REF!)),0,(LOOKUP(AH$16,$L246:$X246,#REF!)))</f>
        <v>0</v>
      </c>
      <c r="AI246" s="221">
        <f>IF(ISERROR(LOOKUP(AI$16,$L246:$X246,#REF!)),0,(LOOKUP(AI$16,$L246:$X246,#REF!)))</f>
        <v>0</v>
      </c>
      <c r="AJ246" s="221">
        <f>IF(ISERROR(LOOKUP(AJ$16,$L246:$X246,#REF!)),0,(LOOKUP(AJ$16,$L246:$X246,#REF!)))</f>
        <v>0</v>
      </c>
      <c r="AK246" s="221">
        <f>IF(ISERROR(LOOKUP(AK$16,$L246:$X246,#REF!)),0,(LOOKUP(AK$16,$L246:$X246,#REF!)))</f>
        <v>0</v>
      </c>
      <c r="AL246" s="221">
        <f>IF(ISERROR(LOOKUP(AL$16,$L246:$X246,#REF!)),0,(LOOKUP(AL$16,$L246:$X246,#REF!)))</f>
        <v>0</v>
      </c>
      <c r="AM246" s="221">
        <f ca="1">IF(ISERROR(LOOKUP(AM$16,$L246:$X246,#REF!)),0,(LOOKUP(AM$16,$L246:$X246,#REF!)))</f>
        <v>0</v>
      </c>
      <c r="AP246" s="215" t="e">
        <f>WORKDAY(IF(T247="",T246,T247),INDEX(AP$12:AP$15,MATCH($I245,$I$12:$I$15,0)),$AW$17:$AW$148)</f>
        <v>#REF!</v>
      </c>
      <c r="AQ246" s="215" t="e">
        <f>WORKDAY(IF(AP247="",AP246,AP247),INDEX(AQ$12:AQ$15,MATCH($I245,$I$12:$I$15,0)),$AW$17:$AW$148)</f>
        <v>#REF!</v>
      </c>
      <c r="AR246" s="215" t="e">
        <f>WORKDAY(IF(AQ247="",AQ246,AQ247),INDEX(AR$12:AR$15,MATCH($I245,$I$12:$I$15,0)),$AW$17:$AW$148)</f>
        <v>#REF!</v>
      </c>
      <c r="AS246" s="778"/>
      <c r="AW246" s="223"/>
    </row>
    <row r="247" spans="1:49" s="166" customFormat="1" ht="18" customHeight="1">
      <c r="A247" s="736"/>
      <c r="B247" s="740"/>
      <c r="C247" s="741"/>
      <c r="D247" s="741" t="s">
        <v>291</v>
      </c>
      <c r="E247" s="212"/>
      <c r="F247" s="741" t="str">
        <f>F245</f>
        <v>Piping</v>
      </c>
      <c r="G247" s="741" t="str">
        <f>G245</f>
        <v>N</v>
      </c>
      <c r="H247" s="748"/>
      <c r="I247" s="212" t="str">
        <f>I245</f>
        <v>LD</v>
      </c>
      <c r="J247" s="249" t="s">
        <v>67</v>
      </c>
      <c r="K247" s="212"/>
      <c r="L247" s="212"/>
      <c r="M247" s="212"/>
      <c r="N247" s="212"/>
      <c r="O247" s="212"/>
      <c r="P247" s="226"/>
      <c r="Q247" s="227"/>
      <c r="R247" s="212"/>
      <c r="S247" s="212"/>
      <c r="T247" s="212"/>
      <c r="U247" s="212"/>
      <c r="V247" s="212"/>
      <c r="W247" s="228"/>
      <c r="X247" s="212"/>
      <c r="Y247" s="768"/>
      <c r="Z247" s="773"/>
      <c r="AA247" s="773"/>
      <c r="AB247" s="777"/>
      <c r="AC247" s="229">
        <f>IF(ISERROR(LOOKUP(AC$16,$L247:$X247,#REF!)),0,(LOOKUP(AC$16,$L247:$X247,#REF!)))</f>
        <v>0</v>
      </c>
      <c r="AD247" s="230">
        <f>IF(ISERROR(LOOKUP(AD$16,$L247:$X247,#REF!)),0,(LOOKUP(AD$16,$L247:$X247,#REF!)))</f>
        <v>0</v>
      </c>
      <c r="AE247" s="230">
        <f>IF(ISERROR(LOOKUP(AE$16,$L247:$X247,#REF!)),0,(LOOKUP(AE$16,$L247:$X247,#REF!)))</f>
        <v>0</v>
      </c>
      <c r="AF247" s="230">
        <f>IF(ISERROR(LOOKUP(AF$16,$L247:$X247,#REF!)),0,(LOOKUP(AF$16,$L247:$X247,#REF!)))</f>
        <v>0</v>
      </c>
      <c r="AG247" s="230">
        <f>IF(ISERROR(LOOKUP(AG$16,$L247:$X247,#REF!)),0,(LOOKUP(AG$16,$L247:$X247,#REF!)))</f>
        <v>0</v>
      </c>
      <c r="AH247" s="230">
        <f>IF(ISERROR(LOOKUP(AH$16,$L247:$X247,#REF!)),0,(LOOKUP(AH$16,$L247:$X247,#REF!)))</f>
        <v>0</v>
      </c>
      <c r="AI247" s="230">
        <f>IF(ISERROR(LOOKUP(AI$16,$L247:$X247,#REF!)),0,(LOOKUP(AI$16,$L247:$X247,#REF!)))</f>
        <v>0</v>
      </c>
      <c r="AJ247" s="230">
        <f>IF(ISERROR(LOOKUP(AJ$16,$L247:$X247,#REF!)),0,(LOOKUP(AJ$16,$L247:$X247,#REF!)))</f>
        <v>0</v>
      </c>
      <c r="AK247" s="230">
        <f>IF(ISERROR(LOOKUP(AK$16,$L247:$X247,#REF!)),0,(LOOKUP(AK$16,$L247:$X247,#REF!)))</f>
        <v>0</v>
      </c>
      <c r="AL247" s="230">
        <f>IF(ISERROR(LOOKUP(AL$16,$L247:$X247,#REF!)),0,(LOOKUP(AL$16,$L247:$X247,#REF!)))</f>
        <v>0</v>
      </c>
      <c r="AM247" s="230">
        <f ca="1">IF(ISERROR(LOOKUP(AM$16,$L247:$X247,#REF!)),0,(LOOKUP(AM$16,$L247:$X247,#REF!)))</f>
        <v>0</v>
      </c>
      <c r="AP247" s="248"/>
      <c r="AQ247" s="248"/>
      <c r="AR247" s="248"/>
      <c r="AS247" s="778"/>
      <c r="AW247" s="223"/>
    </row>
  </sheetData>
  <autoFilter ref="A16:BK247" xr:uid="{00000000-0009-0000-0000-000004000000}"/>
  <mergeCells count="908">
    <mergeCell ref="AS236:AS238"/>
    <mergeCell ref="AS239:AS241"/>
    <mergeCell ref="AS242:AS244"/>
    <mergeCell ref="AS245:AS247"/>
    <mergeCell ref="AU194:AU196"/>
    <mergeCell ref="AS182:AS184"/>
    <mergeCell ref="AS212:AS214"/>
    <mergeCell ref="AS215:AS217"/>
    <mergeCell ref="AS218:AS220"/>
    <mergeCell ref="AS221:AS223"/>
    <mergeCell ref="AS224:AS226"/>
    <mergeCell ref="AS227:AS229"/>
    <mergeCell ref="AS230:AS232"/>
    <mergeCell ref="AS233:AS235"/>
    <mergeCell ref="AS155:AS157"/>
    <mergeCell ref="AS158:AS160"/>
    <mergeCell ref="AS161:AS163"/>
    <mergeCell ref="AS164:AS166"/>
    <mergeCell ref="AS167:AS169"/>
    <mergeCell ref="AS170:AS172"/>
    <mergeCell ref="AS173:AS175"/>
    <mergeCell ref="AS176:AS178"/>
    <mergeCell ref="AS179:AS181"/>
    <mergeCell ref="AS128:AS130"/>
    <mergeCell ref="AS131:AS133"/>
    <mergeCell ref="AS134:AS136"/>
    <mergeCell ref="AS137:AS139"/>
    <mergeCell ref="AS140:AS142"/>
    <mergeCell ref="AS143:AS145"/>
    <mergeCell ref="AS146:AS148"/>
    <mergeCell ref="AS149:AS151"/>
    <mergeCell ref="AS152:AS154"/>
    <mergeCell ref="AS101:AS103"/>
    <mergeCell ref="AS104:AS106"/>
    <mergeCell ref="AS107:AS109"/>
    <mergeCell ref="AS110:AS112"/>
    <mergeCell ref="AS113:AS115"/>
    <mergeCell ref="AS116:AS118"/>
    <mergeCell ref="AS119:AS121"/>
    <mergeCell ref="AS122:AS124"/>
    <mergeCell ref="AS125:AS127"/>
    <mergeCell ref="AS74:AS76"/>
    <mergeCell ref="AS77:AS79"/>
    <mergeCell ref="AS80:AS82"/>
    <mergeCell ref="AS83:AS85"/>
    <mergeCell ref="AS86:AS88"/>
    <mergeCell ref="AS89:AS91"/>
    <mergeCell ref="AS92:AS94"/>
    <mergeCell ref="AS95:AS97"/>
    <mergeCell ref="AS98:AS100"/>
    <mergeCell ref="AB233:AB235"/>
    <mergeCell ref="AB236:AB238"/>
    <mergeCell ref="AB239:AB241"/>
    <mergeCell ref="AB242:AB244"/>
    <mergeCell ref="AB245:AB247"/>
    <mergeCell ref="AS17:AS19"/>
    <mergeCell ref="AS20:AS22"/>
    <mergeCell ref="AS23:AS25"/>
    <mergeCell ref="AS26:AS28"/>
    <mergeCell ref="AS29:AS31"/>
    <mergeCell ref="AS32:AS34"/>
    <mergeCell ref="AS35:AS37"/>
    <mergeCell ref="AS38:AS40"/>
    <mergeCell ref="AS41:AS43"/>
    <mergeCell ref="AS44:AS46"/>
    <mergeCell ref="AS47:AS49"/>
    <mergeCell ref="AS50:AS52"/>
    <mergeCell ref="AS53:AS55"/>
    <mergeCell ref="AS56:AS58"/>
    <mergeCell ref="AS59:AS61"/>
    <mergeCell ref="AS62:AS64"/>
    <mergeCell ref="AS65:AS67"/>
    <mergeCell ref="AS68:AS70"/>
    <mergeCell ref="AS71:AS73"/>
    <mergeCell ref="AB206:AB208"/>
    <mergeCell ref="AB209:AB211"/>
    <mergeCell ref="AB212:AB214"/>
    <mergeCell ref="AB215:AB217"/>
    <mergeCell ref="AB218:AB220"/>
    <mergeCell ref="AB221:AB223"/>
    <mergeCell ref="AB224:AB226"/>
    <mergeCell ref="AB227:AB229"/>
    <mergeCell ref="AB230:AB232"/>
    <mergeCell ref="AB179:AB181"/>
    <mergeCell ref="AB182:AB184"/>
    <mergeCell ref="AB185:AB187"/>
    <mergeCell ref="AB188:AB190"/>
    <mergeCell ref="AB191:AB193"/>
    <mergeCell ref="AB194:AB196"/>
    <mergeCell ref="AB197:AB199"/>
    <mergeCell ref="AB200:AB202"/>
    <mergeCell ref="AB203:AB205"/>
    <mergeCell ref="AB152:AB154"/>
    <mergeCell ref="AB155:AB157"/>
    <mergeCell ref="AB158:AB160"/>
    <mergeCell ref="AB161:AB163"/>
    <mergeCell ref="AB164:AB166"/>
    <mergeCell ref="AB167:AB169"/>
    <mergeCell ref="AB170:AB172"/>
    <mergeCell ref="AB173:AB175"/>
    <mergeCell ref="AB176:AB178"/>
    <mergeCell ref="AB125:AB127"/>
    <mergeCell ref="AB128:AB130"/>
    <mergeCell ref="AB131:AB133"/>
    <mergeCell ref="AB134:AB136"/>
    <mergeCell ref="AB137:AB139"/>
    <mergeCell ref="AB140:AB142"/>
    <mergeCell ref="AB143:AB145"/>
    <mergeCell ref="AB146:AB148"/>
    <mergeCell ref="AB149:AB151"/>
    <mergeCell ref="AB98:AB100"/>
    <mergeCell ref="AB101:AB103"/>
    <mergeCell ref="AB104:AB106"/>
    <mergeCell ref="AB107:AB109"/>
    <mergeCell ref="AB110:AB112"/>
    <mergeCell ref="AB113:AB115"/>
    <mergeCell ref="AB116:AB118"/>
    <mergeCell ref="AB119:AB121"/>
    <mergeCell ref="AB122:AB124"/>
    <mergeCell ref="AB71:AB73"/>
    <mergeCell ref="AB74:AB76"/>
    <mergeCell ref="AB77:AB79"/>
    <mergeCell ref="AB80:AB82"/>
    <mergeCell ref="AB83:AB85"/>
    <mergeCell ref="AB86:AB88"/>
    <mergeCell ref="AB89:AB91"/>
    <mergeCell ref="AB92:AB94"/>
    <mergeCell ref="AB95:AB97"/>
    <mergeCell ref="AB44:AB46"/>
    <mergeCell ref="AB47:AB49"/>
    <mergeCell ref="AB50:AB52"/>
    <mergeCell ref="AB53:AB55"/>
    <mergeCell ref="AB56:AB58"/>
    <mergeCell ref="AB59:AB61"/>
    <mergeCell ref="AB62:AB64"/>
    <mergeCell ref="AB65:AB67"/>
    <mergeCell ref="AB68:AB70"/>
    <mergeCell ref="AB17:AB19"/>
    <mergeCell ref="AB20:AB22"/>
    <mergeCell ref="AB23:AB25"/>
    <mergeCell ref="AB26:AB28"/>
    <mergeCell ref="AB29:AB31"/>
    <mergeCell ref="AB32:AB34"/>
    <mergeCell ref="AB35:AB37"/>
    <mergeCell ref="AB38:AB40"/>
    <mergeCell ref="AB41:AB43"/>
    <mergeCell ref="AA221:AA223"/>
    <mergeCell ref="AA224:AA226"/>
    <mergeCell ref="AA227:AA229"/>
    <mergeCell ref="AA230:AA232"/>
    <mergeCell ref="AA233:AA235"/>
    <mergeCell ref="AA236:AA238"/>
    <mergeCell ref="AA239:AA241"/>
    <mergeCell ref="AA242:AA244"/>
    <mergeCell ref="AA245:AA247"/>
    <mergeCell ref="AA167:AA169"/>
    <mergeCell ref="AA170:AA172"/>
    <mergeCell ref="AA173:AA175"/>
    <mergeCell ref="AA176:AA178"/>
    <mergeCell ref="AA179:AA181"/>
    <mergeCell ref="AA182:AA184"/>
    <mergeCell ref="AA212:AA214"/>
    <mergeCell ref="AA215:AA217"/>
    <mergeCell ref="AA218:AA220"/>
    <mergeCell ref="AA140:AA142"/>
    <mergeCell ref="AA143:AA145"/>
    <mergeCell ref="AA146:AA148"/>
    <mergeCell ref="AA149:AA151"/>
    <mergeCell ref="AA152:AA154"/>
    <mergeCell ref="AA155:AA157"/>
    <mergeCell ref="AA158:AA160"/>
    <mergeCell ref="AA161:AA163"/>
    <mergeCell ref="AA164:AA166"/>
    <mergeCell ref="AA113:AA115"/>
    <mergeCell ref="AA116:AA118"/>
    <mergeCell ref="AA119:AA121"/>
    <mergeCell ref="AA122:AA124"/>
    <mergeCell ref="AA125:AA127"/>
    <mergeCell ref="AA128:AA130"/>
    <mergeCell ref="AA131:AA133"/>
    <mergeCell ref="AA134:AA136"/>
    <mergeCell ref="AA137:AA139"/>
    <mergeCell ref="AA86:AA88"/>
    <mergeCell ref="AA89:AA91"/>
    <mergeCell ref="AA92:AA94"/>
    <mergeCell ref="AA95:AA97"/>
    <mergeCell ref="AA98:AA100"/>
    <mergeCell ref="AA101:AA103"/>
    <mergeCell ref="AA104:AA106"/>
    <mergeCell ref="AA107:AA109"/>
    <mergeCell ref="AA110:AA112"/>
    <mergeCell ref="Z245:Z247"/>
    <mergeCell ref="AA17:AA19"/>
    <mergeCell ref="AA20:AA22"/>
    <mergeCell ref="AA23:AA25"/>
    <mergeCell ref="AA26:AA28"/>
    <mergeCell ref="AA29:AA31"/>
    <mergeCell ref="AA32:AA34"/>
    <mergeCell ref="AA35:AA37"/>
    <mergeCell ref="AA38:AA40"/>
    <mergeCell ref="AA41:AA43"/>
    <mergeCell ref="AA44:AA46"/>
    <mergeCell ref="AA47:AA49"/>
    <mergeCell ref="AA50:AA52"/>
    <mergeCell ref="AA53:AA55"/>
    <mergeCell ref="AA56:AA58"/>
    <mergeCell ref="AA59:AA61"/>
    <mergeCell ref="AA62:AA64"/>
    <mergeCell ref="AA65:AA67"/>
    <mergeCell ref="AA68:AA70"/>
    <mergeCell ref="AA71:AA73"/>
    <mergeCell ref="AA74:AA76"/>
    <mergeCell ref="AA77:AA79"/>
    <mergeCell ref="AA80:AA82"/>
    <mergeCell ref="AA83:AA85"/>
    <mergeCell ref="Z218:Z220"/>
    <mergeCell ref="Z221:Z223"/>
    <mergeCell ref="Z224:Z226"/>
    <mergeCell ref="Z227:Z229"/>
    <mergeCell ref="Z230:Z232"/>
    <mergeCell ref="Z233:Z235"/>
    <mergeCell ref="Z236:Z238"/>
    <mergeCell ref="Z239:Z241"/>
    <mergeCell ref="Z242:Z244"/>
    <mergeCell ref="Z191:Z193"/>
    <mergeCell ref="Z194:Z196"/>
    <mergeCell ref="Z197:Z199"/>
    <mergeCell ref="Z200:Z202"/>
    <mergeCell ref="Z203:Z205"/>
    <mergeCell ref="Z206:Z208"/>
    <mergeCell ref="Z209:Z211"/>
    <mergeCell ref="Z212:Z214"/>
    <mergeCell ref="Z215:Z217"/>
    <mergeCell ref="Z164:Z166"/>
    <mergeCell ref="Z167:Z169"/>
    <mergeCell ref="Z170:Z172"/>
    <mergeCell ref="Z173:Z175"/>
    <mergeCell ref="Z176:Z178"/>
    <mergeCell ref="Z179:Z181"/>
    <mergeCell ref="Z182:Z184"/>
    <mergeCell ref="Z185:Z187"/>
    <mergeCell ref="Z188:Z190"/>
    <mergeCell ref="Z137:Z139"/>
    <mergeCell ref="Z140:Z142"/>
    <mergeCell ref="Z143:Z145"/>
    <mergeCell ref="Z146:Z148"/>
    <mergeCell ref="Z149:Z151"/>
    <mergeCell ref="Z152:Z154"/>
    <mergeCell ref="Z155:Z157"/>
    <mergeCell ref="Z158:Z160"/>
    <mergeCell ref="Z161:Z163"/>
    <mergeCell ref="Z110:Z112"/>
    <mergeCell ref="Z113:Z115"/>
    <mergeCell ref="Z116:Z118"/>
    <mergeCell ref="Z119:Z121"/>
    <mergeCell ref="Z122:Z124"/>
    <mergeCell ref="Z125:Z127"/>
    <mergeCell ref="Z128:Z130"/>
    <mergeCell ref="Z131:Z133"/>
    <mergeCell ref="Z134:Z136"/>
    <mergeCell ref="Z83:Z85"/>
    <mergeCell ref="Z86:Z88"/>
    <mergeCell ref="Z89:Z91"/>
    <mergeCell ref="Z92:Z94"/>
    <mergeCell ref="Z95:Z97"/>
    <mergeCell ref="Z98:Z100"/>
    <mergeCell ref="Z101:Z103"/>
    <mergeCell ref="Z104:Z106"/>
    <mergeCell ref="Z107:Z109"/>
    <mergeCell ref="Y242:Y244"/>
    <mergeCell ref="Y245:Y247"/>
    <mergeCell ref="Z17:Z19"/>
    <mergeCell ref="Z20:Z22"/>
    <mergeCell ref="Z23:Z25"/>
    <mergeCell ref="Z26:Z28"/>
    <mergeCell ref="Z29:Z31"/>
    <mergeCell ref="Z32:Z34"/>
    <mergeCell ref="Z35:Z37"/>
    <mergeCell ref="Z38:Z40"/>
    <mergeCell ref="Z41:Z43"/>
    <mergeCell ref="Z44:Z46"/>
    <mergeCell ref="Z47:Z49"/>
    <mergeCell ref="Z50:Z52"/>
    <mergeCell ref="Z53:Z55"/>
    <mergeCell ref="Z56:Z58"/>
    <mergeCell ref="Z59:Z61"/>
    <mergeCell ref="Z62:Z64"/>
    <mergeCell ref="Z65:Z67"/>
    <mergeCell ref="Z68:Z70"/>
    <mergeCell ref="Z71:Z73"/>
    <mergeCell ref="Z74:Z76"/>
    <mergeCell ref="Z77:Z79"/>
    <mergeCell ref="Z80:Z82"/>
    <mergeCell ref="Y215:Y217"/>
    <mergeCell ref="Y218:Y220"/>
    <mergeCell ref="Y221:Y223"/>
    <mergeCell ref="Y224:Y226"/>
    <mergeCell ref="Y227:Y229"/>
    <mergeCell ref="Y230:Y232"/>
    <mergeCell ref="Y233:Y235"/>
    <mergeCell ref="Y236:Y238"/>
    <mergeCell ref="Y239:Y241"/>
    <mergeCell ref="Y188:Y190"/>
    <mergeCell ref="Y191:Y193"/>
    <mergeCell ref="Y194:Y196"/>
    <mergeCell ref="Y197:Y199"/>
    <mergeCell ref="Y200:Y202"/>
    <mergeCell ref="Y203:Y205"/>
    <mergeCell ref="Y206:Y208"/>
    <mergeCell ref="Y209:Y211"/>
    <mergeCell ref="Y212:Y214"/>
    <mergeCell ref="Y161:Y163"/>
    <mergeCell ref="Y164:Y166"/>
    <mergeCell ref="Y167:Y169"/>
    <mergeCell ref="Y170:Y172"/>
    <mergeCell ref="Y173:Y175"/>
    <mergeCell ref="Y176:Y178"/>
    <mergeCell ref="Y179:Y181"/>
    <mergeCell ref="Y182:Y184"/>
    <mergeCell ref="Y185:Y187"/>
    <mergeCell ref="Y134:Y136"/>
    <mergeCell ref="Y137:Y139"/>
    <mergeCell ref="Y140:Y142"/>
    <mergeCell ref="Y143:Y145"/>
    <mergeCell ref="Y146:Y148"/>
    <mergeCell ref="Y149:Y151"/>
    <mergeCell ref="Y152:Y154"/>
    <mergeCell ref="Y155:Y157"/>
    <mergeCell ref="Y158:Y160"/>
    <mergeCell ref="Y107:Y109"/>
    <mergeCell ref="Y110:Y112"/>
    <mergeCell ref="Y113:Y115"/>
    <mergeCell ref="Y116:Y118"/>
    <mergeCell ref="Y119:Y121"/>
    <mergeCell ref="Y122:Y124"/>
    <mergeCell ref="Y125:Y127"/>
    <mergeCell ref="Y128:Y130"/>
    <mergeCell ref="Y131:Y133"/>
    <mergeCell ref="Y80:Y82"/>
    <mergeCell ref="Y83:Y85"/>
    <mergeCell ref="Y86:Y88"/>
    <mergeCell ref="Y89:Y91"/>
    <mergeCell ref="Y92:Y94"/>
    <mergeCell ref="Y95:Y97"/>
    <mergeCell ref="Y98:Y100"/>
    <mergeCell ref="Y101:Y103"/>
    <mergeCell ref="Y104:Y106"/>
    <mergeCell ref="H239:H241"/>
    <mergeCell ref="H242:H244"/>
    <mergeCell ref="H245:H247"/>
    <mergeCell ref="Y17:Y19"/>
    <mergeCell ref="Y20:Y22"/>
    <mergeCell ref="Y23:Y25"/>
    <mergeCell ref="Y26:Y28"/>
    <mergeCell ref="Y29:Y31"/>
    <mergeCell ref="Y32:Y34"/>
    <mergeCell ref="Y35:Y37"/>
    <mergeCell ref="Y38:Y40"/>
    <mergeCell ref="Y41:Y43"/>
    <mergeCell ref="Y44:Y46"/>
    <mergeCell ref="Y47:Y49"/>
    <mergeCell ref="Y50:Y52"/>
    <mergeCell ref="Y53:Y55"/>
    <mergeCell ref="Y56:Y58"/>
    <mergeCell ref="Y59:Y61"/>
    <mergeCell ref="Y62:Y64"/>
    <mergeCell ref="Y65:Y67"/>
    <mergeCell ref="Y68:Y70"/>
    <mergeCell ref="Y71:Y73"/>
    <mergeCell ref="Y74:Y76"/>
    <mergeCell ref="Y77:Y79"/>
    <mergeCell ref="H212:H214"/>
    <mergeCell ref="H215:H217"/>
    <mergeCell ref="H218:H220"/>
    <mergeCell ref="H221:H223"/>
    <mergeCell ref="H224:H226"/>
    <mergeCell ref="H227:H229"/>
    <mergeCell ref="H230:H232"/>
    <mergeCell ref="H233:H235"/>
    <mergeCell ref="H236:H238"/>
    <mergeCell ref="H158:H160"/>
    <mergeCell ref="H161:H163"/>
    <mergeCell ref="H164:H166"/>
    <mergeCell ref="H167:H169"/>
    <mergeCell ref="H170:H172"/>
    <mergeCell ref="H173:H175"/>
    <mergeCell ref="H176:H178"/>
    <mergeCell ref="H179:H181"/>
    <mergeCell ref="H182:H184"/>
    <mergeCell ref="H131:H133"/>
    <mergeCell ref="H134:H136"/>
    <mergeCell ref="H137:H139"/>
    <mergeCell ref="H140:H142"/>
    <mergeCell ref="H143:H145"/>
    <mergeCell ref="H146:H148"/>
    <mergeCell ref="H149:H151"/>
    <mergeCell ref="H152:H154"/>
    <mergeCell ref="H155:H157"/>
    <mergeCell ref="H104:H106"/>
    <mergeCell ref="H107:H109"/>
    <mergeCell ref="H110:H112"/>
    <mergeCell ref="H113:H115"/>
    <mergeCell ref="H116:H118"/>
    <mergeCell ref="H119:H121"/>
    <mergeCell ref="H122:H124"/>
    <mergeCell ref="H125:H127"/>
    <mergeCell ref="H128:H130"/>
    <mergeCell ref="H77:H79"/>
    <mergeCell ref="H80:H82"/>
    <mergeCell ref="H83:H85"/>
    <mergeCell ref="H86:H88"/>
    <mergeCell ref="H89:H91"/>
    <mergeCell ref="H92:H94"/>
    <mergeCell ref="H95:H97"/>
    <mergeCell ref="H98:H100"/>
    <mergeCell ref="H101:H103"/>
    <mergeCell ref="G236:G238"/>
    <mergeCell ref="G239:G241"/>
    <mergeCell ref="G242:G244"/>
    <mergeCell ref="G245:G247"/>
    <mergeCell ref="H17:H19"/>
    <mergeCell ref="H20:H22"/>
    <mergeCell ref="H23:H25"/>
    <mergeCell ref="H26:H28"/>
    <mergeCell ref="H29:H31"/>
    <mergeCell ref="H32:H34"/>
    <mergeCell ref="H35:H37"/>
    <mergeCell ref="H38:H40"/>
    <mergeCell ref="H41:H43"/>
    <mergeCell ref="H44:H46"/>
    <mergeCell ref="H47:H49"/>
    <mergeCell ref="H50:H52"/>
    <mergeCell ref="H53:H55"/>
    <mergeCell ref="H56:H58"/>
    <mergeCell ref="H59:H61"/>
    <mergeCell ref="H62:H64"/>
    <mergeCell ref="H65:H67"/>
    <mergeCell ref="H68:H70"/>
    <mergeCell ref="H71:H73"/>
    <mergeCell ref="H74:H76"/>
    <mergeCell ref="G209:G211"/>
    <mergeCell ref="G212:G214"/>
    <mergeCell ref="G215:G217"/>
    <mergeCell ref="G218:G220"/>
    <mergeCell ref="G221:G223"/>
    <mergeCell ref="G224:G226"/>
    <mergeCell ref="G227:G229"/>
    <mergeCell ref="G230:G232"/>
    <mergeCell ref="G233:G235"/>
    <mergeCell ref="G182:G184"/>
    <mergeCell ref="G185:G187"/>
    <mergeCell ref="G188:G190"/>
    <mergeCell ref="G191:G193"/>
    <mergeCell ref="G194:G196"/>
    <mergeCell ref="G197:G199"/>
    <mergeCell ref="G200:G202"/>
    <mergeCell ref="G203:G205"/>
    <mergeCell ref="G206:G208"/>
    <mergeCell ref="G155:G157"/>
    <mergeCell ref="G158:G160"/>
    <mergeCell ref="G161:G163"/>
    <mergeCell ref="G164:G166"/>
    <mergeCell ref="G167:G169"/>
    <mergeCell ref="G170:G172"/>
    <mergeCell ref="G173:G175"/>
    <mergeCell ref="G176:G178"/>
    <mergeCell ref="G179:G181"/>
    <mergeCell ref="G128:G130"/>
    <mergeCell ref="G131:G133"/>
    <mergeCell ref="G134:G136"/>
    <mergeCell ref="G137:G139"/>
    <mergeCell ref="G140:G142"/>
    <mergeCell ref="G143:G145"/>
    <mergeCell ref="G146:G148"/>
    <mergeCell ref="G149:G151"/>
    <mergeCell ref="G152:G154"/>
    <mergeCell ref="G101:G103"/>
    <mergeCell ref="G104:G106"/>
    <mergeCell ref="G107:G109"/>
    <mergeCell ref="G110:G112"/>
    <mergeCell ref="G113:G115"/>
    <mergeCell ref="G116:G118"/>
    <mergeCell ref="G119:G121"/>
    <mergeCell ref="G122:G124"/>
    <mergeCell ref="G125:G127"/>
    <mergeCell ref="G74:G76"/>
    <mergeCell ref="G77:G79"/>
    <mergeCell ref="G80:G82"/>
    <mergeCell ref="G83:G85"/>
    <mergeCell ref="G86:G88"/>
    <mergeCell ref="G89:G91"/>
    <mergeCell ref="G92:G94"/>
    <mergeCell ref="G95:G97"/>
    <mergeCell ref="G98:G100"/>
    <mergeCell ref="F233:F235"/>
    <mergeCell ref="F236:F238"/>
    <mergeCell ref="F239:F241"/>
    <mergeCell ref="F242:F244"/>
    <mergeCell ref="F245:F247"/>
    <mergeCell ref="G17:G19"/>
    <mergeCell ref="G20:G22"/>
    <mergeCell ref="G23:G25"/>
    <mergeCell ref="G26:G28"/>
    <mergeCell ref="G29:G31"/>
    <mergeCell ref="G32:G34"/>
    <mergeCell ref="G35:G37"/>
    <mergeCell ref="G38:G40"/>
    <mergeCell ref="G41:G43"/>
    <mergeCell ref="G44:G46"/>
    <mergeCell ref="G47:G49"/>
    <mergeCell ref="G50:G52"/>
    <mergeCell ref="G53:G55"/>
    <mergeCell ref="G56:G58"/>
    <mergeCell ref="G59:G61"/>
    <mergeCell ref="G62:G64"/>
    <mergeCell ref="G65:G67"/>
    <mergeCell ref="G68:G70"/>
    <mergeCell ref="G71:G73"/>
    <mergeCell ref="F206:F208"/>
    <mergeCell ref="F209:F211"/>
    <mergeCell ref="F212:F214"/>
    <mergeCell ref="F215:F217"/>
    <mergeCell ref="F218:F220"/>
    <mergeCell ref="F221:F223"/>
    <mergeCell ref="F224:F226"/>
    <mergeCell ref="F227:F229"/>
    <mergeCell ref="F230:F232"/>
    <mergeCell ref="F179:F181"/>
    <mergeCell ref="F182:F184"/>
    <mergeCell ref="F185:F187"/>
    <mergeCell ref="F188:F190"/>
    <mergeCell ref="F191:F193"/>
    <mergeCell ref="F194:F196"/>
    <mergeCell ref="F197:F199"/>
    <mergeCell ref="F200:F202"/>
    <mergeCell ref="F203:F205"/>
    <mergeCell ref="F152:F154"/>
    <mergeCell ref="F155:F157"/>
    <mergeCell ref="F158:F160"/>
    <mergeCell ref="F161:F163"/>
    <mergeCell ref="F164:F166"/>
    <mergeCell ref="F167:F169"/>
    <mergeCell ref="F170:F172"/>
    <mergeCell ref="F173:F175"/>
    <mergeCell ref="F176:F178"/>
    <mergeCell ref="F125:F127"/>
    <mergeCell ref="F128:F130"/>
    <mergeCell ref="F131:F133"/>
    <mergeCell ref="F134:F136"/>
    <mergeCell ref="F137:F139"/>
    <mergeCell ref="F140:F142"/>
    <mergeCell ref="F143:F145"/>
    <mergeCell ref="F146:F148"/>
    <mergeCell ref="F149:F151"/>
    <mergeCell ref="F98:F100"/>
    <mergeCell ref="F101:F103"/>
    <mergeCell ref="F104:F106"/>
    <mergeCell ref="F107:F109"/>
    <mergeCell ref="F110:F112"/>
    <mergeCell ref="F113:F115"/>
    <mergeCell ref="F116:F118"/>
    <mergeCell ref="F119:F121"/>
    <mergeCell ref="F122:F124"/>
    <mergeCell ref="F71:F73"/>
    <mergeCell ref="F74:F76"/>
    <mergeCell ref="F77:F79"/>
    <mergeCell ref="F80:F82"/>
    <mergeCell ref="F83:F85"/>
    <mergeCell ref="F86:F88"/>
    <mergeCell ref="F89:F91"/>
    <mergeCell ref="F92:F94"/>
    <mergeCell ref="F95:F97"/>
    <mergeCell ref="F44:F46"/>
    <mergeCell ref="F47:F49"/>
    <mergeCell ref="F50:F52"/>
    <mergeCell ref="F53:F55"/>
    <mergeCell ref="F56:F58"/>
    <mergeCell ref="F59:F61"/>
    <mergeCell ref="F62:F64"/>
    <mergeCell ref="F65:F67"/>
    <mergeCell ref="F68:F70"/>
    <mergeCell ref="F17:F19"/>
    <mergeCell ref="F20:F22"/>
    <mergeCell ref="F23:F25"/>
    <mergeCell ref="F26:F28"/>
    <mergeCell ref="F29:F31"/>
    <mergeCell ref="F32:F34"/>
    <mergeCell ref="F35:F37"/>
    <mergeCell ref="F38:F40"/>
    <mergeCell ref="F41:F43"/>
    <mergeCell ref="D242:D244"/>
    <mergeCell ref="D245:D247"/>
    <mergeCell ref="E17:E19"/>
    <mergeCell ref="E20:E22"/>
    <mergeCell ref="E23:E25"/>
    <mergeCell ref="E26:E28"/>
    <mergeCell ref="E29:E31"/>
    <mergeCell ref="E35:E37"/>
    <mergeCell ref="E38:E40"/>
    <mergeCell ref="E41:E43"/>
    <mergeCell ref="E44:E46"/>
    <mergeCell ref="E47:E49"/>
    <mergeCell ref="D215:D217"/>
    <mergeCell ref="D218:D220"/>
    <mergeCell ref="D221:D223"/>
    <mergeCell ref="D224:D226"/>
    <mergeCell ref="D227:D229"/>
    <mergeCell ref="D230:D232"/>
    <mergeCell ref="D233:D235"/>
    <mergeCell ref="D236:D238"/>
    <mergeCell ref="D239:D241"/>
    <mergeCell ref="D188:D190"/>
    <mergeCell ref="D191:D193"/>
    <mergeCell ref="D194:D196"/>
    <mergeCell ref="D197:D199"/>
    <mergeCell ref="D200:D202"/>
    <mergeCell ref="D203:D205"/>
    <mergeCell ref="D206:D208"/>
    <mergeCell ref="D209:D211"/>
    <mergeCell ref="D212:D214"/>
    <mergeCell ref="D161:D163"/>
    <mergeCell ref="D164:D166"/>
    <mergeCell ref="D167:D169"/>
    <mergeCell ref="D170:D172"/>
    <mergeCell ref="D173:D175"/>
    <mergeCell ref="D176:D178"/>
    <mergeCell ref="D179:D181"/>
    <mergeCell ref="D182:D184"/>
    <mergeCell ref="D185:D187"/>
    <mergeCell ref="D134:D136"/>
    <mergeCell ref="D137:D139"/>
    <mergeCell ref="D140:D142"/>
    <mergeCell ref="D143:D145"/>
    <mergeCell ref="D146:D148"/>
    <mergeCell ref="D149:D151"/>
    <mergeCell ref="D152:D154"/>
    <mergeCell ref="D155:D157"/>
    <mergeCell ref="D158:D160"/>
    <mergeCell ref="D107:D109"/>
    <mergeCell ref="D110:D112"/>
    <mergeCell ref="D113:D115"/>
    <mergeCell ref="D116:D118"/>
    <mergeCell ref="D119:D121"/>
    <mergeCell ref="D122:D124"/>
    <mergeCell ref="D125:D127"/>
    <mergeCell ref="D128:D130"/>
    <mergeCell ref="D131:D133"/>
    <mergeCell ref="D80:D82"/>
    <mergeCell ref="D83:D85"/>
    <mergeCell ref="D86:D88"/>
    <mergeCell ref="D89:D91"/>
    <mergeCell ref="D92:D94"/>
    <mergeCell ref="D95:D97"/>
    <mergeCell ref="D98:D100"/>
    <mergeCell ref="D101:D103"/>
    <mergeCell ref="D104:D106"/>
    <mergeCell ref="C239:C241"/>
    <mergeCell ref="C242:C244"/>
    <mergeCell ref="C245:C247"/>
    <mergeCell ref="D17:D19"/>
    <mergeCell ref="D20:D22"/>
    <mergeCell ref="D23:D25"/>
    <mergeCell ref="D26:D28"/>
    <mergeCell ref="D29:D31"/>
    <mergeCell ref="D32:D34"/>
    <mergeCell ref="D35:D37"/>
    <mergeCell ref="D38:D40"/>
    <mergeCell ref="D41:D43"/>
    <mergeCell ref="D44:D46"/>
    <mergeCell ref="D47:D49"/>
    <mergeCell ref="D50:D52"/>
    <mergeCell ref="D53:D55"/>
    <mergeCell ref="D56:D58"/>
    <mergeCell ref="D59:D61"/>
    <mergeCell ref="D62:D64"/>
    <mergeCell ref="D65:D67"/>
    <mergeCell ref="D68:D70"/>
    <mergeCell ref="D71:D73"/>
    <mergeCell ref="D74:D76"/>
    <mergeCell ref="D77:D79"/>
    <mergeCell ref="C212:C214"/>
    <mergeCell ref="C215:C217"/>
    <mergeCell ref="C218:C220"/>
    <mergeCell ref="C221:C223"/>
    <mergeCell ref="C224:C226"/>
    <mergeCell ref="C227:C229"/>
    <mergeCell ref="C230:C232"/>
    <mergeCell ref="C233:C235"/>
    <mergeCell ref="C236:C238"/>
    <mergeCell ref="C185:C187"/>
    <mergeCell ref="C188:C190"/>
    <mergeCell ref="C191:C193"/>
    <mergeCell ref="C194:C196"/>
    <mergeCell ref="C197:C199"/>
    <mergeCell ref="C200:C202"/>
    <mergeCell ref="C203:C205"/>
    <mergeCell ref="C206:C208"/>
    <mergeCell ref="C209:C211"/>
    <mergeCell ref="C158:C160"/>
    <mergeCell ref="C161:C163"/>
    <mergeCell ref="C164:C166"/>
    <mergeCell ref="C167:C169"/>
    <mergeCell ref="C170:C172"/>
    <mergeCell ref="C173:C175"/>
    <mergeCell ref="C176:C178"/>
    <mergeCell ref="C179:C181"/>
    <mergeCell ref="C182:C184"/>
    <mergeCell ref="C131:C133"/>
    <mergeCell ref="C134:C136"/>
    <mergeCell ref="C137:C139"/>
    <mergeCell ref="C140:C142"/>
    <mergeCell ref="C143:C145"/>
    <mergeCell ref="C146:C148"/>
    <mergeCell ref="C149:C151"/>
    <mergeCell ref="C152:C154"/>
    <mergeCell ref="C155:C157"/>
    <mergeCell ref="C104:C106"/>
    <mergeCell ref="C107:C109"/>
    <mergeCell ref="C110:C112"/>
    <mergeCell ref="C113:C115"/>
    <mergeCell ref="C116:C118"/>
    <mergeCell ref="C119:C121"/>
    <mergeCell ref="C122:C124"/>
    <mergeCell ref="C125:C127"/>
    <mergeCell ref="C128:C130"/>
    <mergeCell ref="C77:C79"/>
    <mergeCell ref="C80:C82"/>
    <mergeCell ref="C83:C85"/>
    <mergeCell ref="C86:C88"/>
    <mergeCell ref="C89:C91"/>
    <mergeCell ref="C92:C94"/>
    <mergeCell ref="C95:C97"/>
    <mergeCell ref="C98:C100"/>
    <mergeCell ref="C101:C103"/>
    <mergeCell ref="B236:B238"/>
    <mergeCell ref="B239:B241"/>
    <mergeCell ref="B242:B244"/>
    <mergeCell ref="B245:B247"/>
    <mergeCell ref="C17:C19"/>
    <mergeCell ref="C20:C22"/>
    <mergeCell ref="C23:C25"/>
    <mergeCell ref="C26:C28"/>
    <mergeCell ref="C29:C31"/>
    <mergeCell ref="C32:C34"/>
    <mergeCell ref="C35:C37"/>
    <mergeCell ref="C38:C40"/>
    <mergeCell ref="C41:C43"/>
    <mergeCell ref="C44:C46"/>
    <mergeCell ref="C47:C49"/>
    <mergeCell ref="C50:C52"/>
    <mergeCell ref="C53:C55"/>
    <mergeCell ref="C56:C58"/>
    <mergeCell ref="C59:C61"/>
    <mergeCell ref="C62:C64"/>
    <mergeCell ref="C65:C67"/>
    <mergeCell ref="C68:C70"/>
    <mergeCell ref="C71:C73"/>
    <mergeCell ref="C74:C76"/>
    <mergeCell ref="B209:B211"/>
    <mergeCell ref="B212:B214"/>
    <mergeCell ref="B215:B217"/>
    <mergeCell ref="B218:B220"/>
    <mergeCell ref="B221:B223"/>
    <mergeCell ref="B224:B226"/>
    <mergeCell ref="B227:B229"/>
    <mergeCell ref="B230:B232"/>
    <mergeCell ref="B233:B235"/>
    <mergeCell ref="B182:B184"/>
    <mergeCell ref="B185:B187"/>
    <mergeCell ref="B188:B190"/>
    <mergeCell ref="B191:B193"/>
    <mergeCell ref="B194:B196"/>
    <mergeCell ref="B197:B199"/>
    <mergeCell ref="B200:B202"/>
    <mergeCell ref="B203:B205"/>
    <mergeCell ref="B206:B208"/>
    <mergeCell ref="B155:B157"/>
    <mergeCell ref="B158:B160"/>
    <mergeCell ref="B161:B163"/>
    <mergeCell ref="B164:B166"/>
    <mergeCell ref="B167:B169"/>
    <mergeCell ref="B170:B172"/>
    <mergeCell ref="B173:B175"/>
    <mergeCell ref="B176:B178"/>
    <mergeCell ref="B179:B181"/>
    <mergeCell ref="B128:B130"/>
    <mergeCell ref="B131:B133"/>
    <mergeCell ref="B134:B136"/>
    <mergeCell ref="B137:B139"/>
    <mergeCell ref="B140:B142"/>
    <mergeCell ref="B143:B145"/>
    <mergeCell ref="B146:B148"/>
    <mergeCell ref="B149:B151"/>
    <mergeCell ref="B152:B154"/>
    <mergeCell ref="B101:B103"/>
    <mergeCell ref="B104:B106"/>
    <mergeCell ref="B107:B109"/>
    <mergeCell ref="B110:B112"/>
    <mergeCell ref="B113:B115"/>
    <mergeCell ref="B116:B118"/>
    <mergeCell ref="B119:B121"/>
    <mergeCell ref="B122:B124"/>
    <mergeCell ref="B125:B127"/>
    <mergeCell ref="B74:B76"/>
    <mergeCell ref="B77:B79"/>
    <mergeCell ref="B80:B82"/>
    <mergeCell ref="B83:B85"/>
    <mergeCell ref="B86:B88"/>
    <mergeCell ref="B89:B91"/>
    <mergeCell ref="B92:B94"/>
    <mergeCell ref="B95:B97"/>
    <mergeCell ref="B98:B100"/>
    <mergeCell ref="A233:A235"/>
    <mergeCell ref="A236:A238"/>
    <mergeCell ref="A239:A241"/>
    <mergeCell ref="A242:A244"/>
    <mergeCell ref="A245:A247"/>
    <mergeCell ref="B17:B19"/>
    <mergeCell ref="B20:B22"/>
    <mergeCell ref="B23:B25"/>
    <mergeCell ref="B26:B28"/>
    <mergeCell ref="B29:B31"/>
    <mergeCell ref="B32:B34"/>
    <mergeCell ref="B35:B37"/>
    <mergeCell ref="B38:B40"/>
    <mergeCell ref="B41:B43"/>
    <mergeCell ref="B44:B46"/>
    <mergeCell ref="B47:B49"/>
    <mergeCell ref="B50:B52"/>
    <mergeCell ref="B53:B55"/>
    <mergeCell ref="B56:B58"/>
    <mergeCell ref="B59:B61"/>
    <mergeCell ref="B62:B64"/>
    <mergeCell ref="B65:B67"/>
    <mergeCell ref="B68:B70"/>
    <mergeCell ref="B71:B73"/>
    <mergeCell ref="A206:A208"/>
    <mergeCell ref="A209:A211"/>
    <mergeCell ref="A212:A214"/>
    <mergeCell ref="A215:A217"/>
    <mergeCell ref="A218:A220"/>
    <mergeCell ref="A221:A223"/>
    <mergeCell ref="A224:A226"/>
    <mergeCell ref="A227:A229"/>
    <mergeCell ref="A230:A232"/>
    <mergeCell ref="A179:A181"/>
    <mergeCell ref="A182:A184"/>
    <mergeCell ref="A185:A187"/>
    <mergeCell ref="A188:A190"/>
    <mergeCell ref="A191:A193"/>
    <mergeCell ref="A194:A196"/>
    <mergeCell ref="A197:A199"/>
    <mergeCell ref="A200:A202"/>
    <mergeCell ref="A203:A205"/>
    <mergeCell ref="A152:A154"/>
    <mergeCell ref="A155:A157"/>
    <mergeCell ref="A158:A160"/>
    <mergeCell ref="A161:A163"/>
    <mergeCell ref="A164:A166"/>
    <mergeCell ref="A167:A169"/>
    <mergeCell ref="A170:A172"/>
    <mergeCell ref="A173:A175"/>
    <mergeCell ref="A176:A178"/>
    <mergeCell ref="A125:A127"/>
    <mergeCell ref="A128:A130"/>
    <mergeCell ref="A131:A133"/>
    <mergeCell ref="A134:A136"/>
    <mergeCell ref="A137:A139"/>
    <mergeCell ref="A140:A142"/>
    <mergeCell ref="A143:A145"/>
    <mergeCell ref="A146:A148"/>
    <mergeCell ref="A149:A151"/>
    <mergeCell ref="A98:A100"/>
    <mergeCell ref="A101:A103"/>
    <mergeCell ref="A104:A106"/>
    <mergeCell ref="A107:A109"/>
    <mergeCell ref="A110:A112"/>
    <mergeCell ref="A113:A115"/>
    <mergeCell ref="A116:A118"/>
    <mergeCell ref="A119:A121"/>
    <mergeCell ref="A122:A124"/>
    <mergeCell ref="A71:A73"/>
    <mergeCell ref="A74:A76"/>
    <mergeCell ref="A77:A79"/>
    <mergeCell ref="A80:A82"/>
    <mergeCell ref="A83:A85"/>
    <mergeCell ref="A86:A88"/>
    <mergeCell ref="A89:A91"/>
    <mergeCell ref="A92:A94"/>
    <mergeCell ref="A95:A97"/>
    <mergeCell ref="A44:A46"/>
    <mergeCell ref="A47:A49"/>
    <mergeCell ref="A50:A52"/>
    <mergeCell ref="A53:A55"/>
    <mergeCell ref="A56:A58"/>
    <mergeCell ref="A59:A61"/>
    <mergeCell ref="A62:A64"/>
    <mergeCell ref="A65:A67"/>
    <mergeCell ref="A68:A70"/>
    <mergeCell ref="A17:A19"/>
    <mergeCell ref="A20:A22"/>
    <mergeCell ref="A23:A25"/>
    <mergeCell ref="A26:A28"/>
    <mergeCell ref="A29:A31"/>
    <mergeCell ref="A32:A34"/>
    <mergeCell ref="A35:A37"/>
    <mergeCell ref="A38:A40"/>
    <mergeCell ref="A41:A43"/>
  </mergeCells>
  <conditionalFormatting sqref="U55:V55 AP55:AR55 AP97:AR97 AP175:AR175">
    <cfRule type="expression" dxfId="119" priority="33" stopIfTrue="1">
      <formula>(U54&lt;&gt;"")*(U55="")*(U54&lt;TODAY())</formula>
    </cfRule>
    <cfRule type="expression" dxfId="118" priority="34" stopIfTrue="1">
      <formula>(U54&lt;&gt;"")*(U55="")*(U54&gt;=TODAY())*(U54&lt;=TODAY()+14)</formula>
    </cfRule>
    <cfRule type="expression" dxfId="117" priority="35">
      <formula>(U55&lt;&gt;"")*(U55&lt;=TODAY())</formula>
    </cfRule>
  </conditionalFormatting>
  <conditionalFormatting sqref="X55">
    <cfRule type="expression" dxfId="116" priority="25" stopIfTrue="1">
      <formula>(X54&lt;&gt;"")*(X55="")*(X54&lt;TODAY())</formula>
    </cfRule>
    <cfRule type="expression" dxfId="115" priority="26" stopIfTrue="1">
      <formula>(X54&lt;&gt;"")*(X55="")*(X54&gt;=TODAY())*(X54&lt;=TODAY()+14)</formula>
    </cfRule>
    <cfRule type="expression" dxfId="114" priority="27">
      <formula>(X55&lt;&gt;"")*(X55&lt;=TODAY())</formula>
    </cfRule>
  </conditionalFormatting>
  <conditionalFormatting sqref="AP214:AR214 AP217:AR217 AP220:AR220 AP223:AR223 AP226:AR226 AP229:AR229 AP232:AR232 AP235:AR235 AP238:AR238 AP241:AR241 AP244:AR244 AP247:AR247">
    <cfRule type="expression" dxfId="113" priority="1" stopIfTrue="1">
      <formula>(AP213&lt;&gt;"")*(AP214="")*(AP213&lt;TODAY())</formula>
    </cfRule>
    <cfRule type="expression" dxfId="112" priority="2" stopIfTrue="1">
      <formula>(AP213&lt;&gt;"")*(AP214="")*(AP213&gt;=TODAY())*(AP213&lt;=TODAY()+14)</formula>
    </cfRule>
    <cfRule type="expression" dxfId="111" priority="3">
      <formula>(AP214&lt;&gt;"")*(AP214&lt;=TODAY())</formula>
    </cfRule>
  </conditionalFormatting>
  <pageMargins left="0.7" right="0.7" top="0.75" bottom="0.75" header="0.3" footer="0.3"/>
  <pageSetup scale="30" fitToHeight="0" orientation="landscape" horizontalDpi="1200" verticalDpi="1200" r:id="rId1"/>
  <rowBreaks count="4" manualBreakCount="4">
    <brk id="55" max="16383" man="1"/>
    <brk id="100" max="16383" man="1"/>
    <brk id="127" max="16383" man="1"/>
    <brk id="175" max="16383" man="1"/>
  </rowBreaks>
  <colBreaks count="3" manualBreakCount="3">
    <brk id="10" max="1048575" man="1"/>
    <brk id="28" max="1048575" man="1"/>
    <brk id="42" max="177"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B303"/>
  <sheetViews>
    <sheetView topLeftCell="H1" zoomScale="85" zoomScaleNormal="85" workbookViewId="0">
      <pane xSplit="2" ySplit="9" topLeftCell="J190" activePane="bottomRight" state="frozen"/>
      <selection pane="topRight"/>
      <selection pane="bottomLeft"/>
      <selection pane="bottomRight" activeCell="A250" sqref="A250:A252"/>
    </sheetView>
  </sheetViews>
  <sheetFormatPr defaultColWidth="10.796875" defaultRowHeight="18"/>
  <cols>
    <col min="1" max="1" width="3.86328125" style="22" customWidth="1"/>
    <col min="2" max="2" width="30" style="22" customWidth="1"/>
    <col min="3" max="3" width="8.19921875" style="23" customWidth="1"/>
    <col min="4" max="4" width="6.1328125" style="24" customWidth="1"/>
    <col min="5" max="5" width="10.19921875" style="25" customWidth="1"/>
    <col min="6" max="6" width="4.46484375" style="26" customWidth="1"/>
    <col min="7" max="7" width="18.86328125" style="27" customWidth="1"/>
    <col min="8" max="8" width="56.1328125" style="28" customWidth="1"/>
    <col min="9" max="9" width="8.796875" style="29" customWidth="1"/>
    <col min="10" max="10" width="10.86328125" style="29" customWidth="1"/>
    <col min="11" max="13" width="7.796875" style="29" customWidth="1"/>
    <col min="14" max="16" width="6.86328125" style="29" customWidth="1"/>
    <col min="17" max="18" width="10.46484375" style="29" customWidth="1"/>
    <col min="19" max="27" width="10.46484375" style="30" customWidth="1"/>
    <col min="28" max="29" width="10.46484375" style="31" customWidth="1"/>
    <col min="30" max="30" width="9.19921875" style="31" customWidth="1"/>
    <col min="31" max="33" width="10.46484375" style="31" customWidth="1"/>
    <col min="34" max="34" width="10.46484375" style="32" customWidth="1"/>
    <col min="35" max="35" width="10.46484375" style="33" customWidth="1"/>
    <col min="36" max="37" width="10.46484375" style="31" customWidth="1"/>
    <col min="38" max="38" width="26" style="31" customWidth="1"/>
    <col min="39" max="49" width="10.796875" style="29" hidden="1" customWidth="1"/>
    <col min="50" max="53" width="10.796875" style="29"/>
    <col min="54" max="54" width="10.796875" style="34" hidden="1" customWidth="1"/>
    <col min="55" max="16384" width="10.796875" style="29"/>
  </cols>
  <sheetData>
    <row r="1" spans="1:54" ht="19.5" customHeight="1">
      <c r="A1" s="35" t="s">
        <v>5326</v>
      </c>
      <c r="B1" s="35"/>
      <c r="C1" s="35"/>
      <c r="F1" s="25"/>
      <c r="G1" s="36"/>
      <c r="H1" s="37"/>
      <c r="I1" s="25"/>
      <c r="J1" s="25"/>
      <c r="K1" s="25"/>
      <c r="L1" s="25"/>
      <c r="M1" s="25"/>
      <c r="N1" s="25"/>
      <c r="O1" s="25"/>
      <c r="P1" s="25"/>
      <c r="Q1" s="38"/>
      <c r="R1" s="38"/>
      <c r="S1" s="39"/>
      <c r="T1" s="39"/>
      <c r="U1" s="39"/>
      <c r="V1" s="39"/>
      <c r="W1" s="39"/>
      <c r="X1" s="39"/>
      <c r="Y1" s="39"/>
      <c r="Z1" s="39"/>
      <c r="AA1" s="39"/>
      <c r="AB1" s="40"/>
      <c r="AC1" s="25"/>
      <c r="AD1" s="41"/>
      <c r="AE1" s="25"/>
      <c r="AF1" s="40"/>
      <c r="AG1" s="25"/>
      <c r="AH1" s="42"/>
      <c r="AI1" s="43"/>
      <c r="AJ1" s="25"/>
      <c r="AK1" s="25"/>
      <c r="AL1" s="25"/>
    </row>
    <row r="2" spans="1:54" ht="12" customHeight="1">
      <c r="A2" s="44"/>
      <c r="B2" s="24"/>
      <c r="C2" s="44"/>
      <c r="F2" s="25"/>
      <c r="G2" s="36"/>
      <c r="H2" s="37"/>
      <c r="I2" s="45" t="s">
        <v>6</v>
      </c>
      <c r="J2" s="46" t="s">
        <v>5327</v>
      </c>
      <c r="K2" s="25"/>
      <c r="L2" s="25"/>
      <c r="M2" s="25"/>
      <c r="N2" s="46"/>
      <c r="O2" s="46"/>
      <c r="P2" s="46"/>
      <c r="Q2" s="38"/>
      <c r="R2" s="38"/>
      <c r="S2" s="47">
        <v>20</v>
      </c>
      <c r="T2" s="47">
        <v>10</v>
      </c>
      <c r="U2" s="47"/>
      <c r="V2" s="47"/>
      <c r="W2" s="47">
        <v>5</v>
      </c>
      <c r="X2" s="47">
        <v>5</v>
      </c>
      <c r="Y2" s="47">
        <v>5</v>
      </c>
      <c r="Z2" s="47">
        <v>2</v>
      </c>
      <c r="AA2" s="47">
        <v>10</v>
      </c>
      <c r="AB2" s="25"/>
      <c r="AC2" s="25"/>
      <c r="AD2" s="25"/>
      <c r="AE2" s="25"/>
      <c r="AF2" s="25"/>
      <c r="AG2" s="25"/>
      <c r="AH2" s="42"/>
      <c r="AI2" s="43"/>
      <c r="AJ2" s="25"/>
      <c r="AK2" s="25"/>
      <c r="AL2" s="25"/>
    </row>
    <row r="3" spans="1:54" ht="12" customHeight="1">
      <c r="A3" s="48" t="s">
        <v>5328</v>
      </c>
      <c r="B3" s="46" t="s">
        <v>5329</v>
      </c>
      <c r="C3" s="44"/>
      <c r="F3" s="25"/>
      <c r="G3" s="36"/>
      <c r="H3" s="49"/>
      <c r="I3" s="45" t="s">
        <v>7</v>
      </c>
      <c r="J3" s="46" t="s">
        <v>5330</v>
      </c>
      <c r="K3" s="25"/>
      <c r="L3" s="25"/>
      <c r="M3" s="25"/>
      <c r="N3" s="46"/>
      <c r="O3" s="46"/>
      <c r="P3" s="46"/>
      <c r="Q3" s="38"/>
      <c r="R3" s="38"/>
      <c r="S3" s="47">
        <v>20</v>
      </c>
      <c r="T3" s="47">
        <v>10</v>
      </c>
      <c r="U3" s="47"/>
      <c r="V3" s="47"/>
      <c r="W3" s="47">
        <v>5</v>
      </c>
      <c r="X3" s="47">
        <v>5</v>
      </c>
      <c r="Y3" s="47">
        <v>5</v>
      </c>
      <c r="Z3" s="47">
        <v>2</v>
      </c>
      <c r="AA3" s="47">
        <v>10</v>
      </c>
      <c r="AB3" s="25"/>
      <c r="AC3" s="25"/>
      <c r="AD3" s="25"/>
      <c r="AE3" s="25"/>
      <c r="AF3" s="25"/>
      <c r="AG3" s="25"/>
      <c r="AH3" s="42"/>
      <c r="AI3" s="43"/>
      <c r="AJ3" s="25"/>
      <c r="AK3" s="25"/>
      <c r="AL3" s="25"/>
    </row>
    <row r="4" spans="1:54" ht="12" customHeight="1">
      <c r="A4" s="50" t="s">
        <v>5328</v>
      </c>
      <c r="B4" s="46" t="s">
        <v>5331</v>
      </c>
      <c r="C4" s="44"/>
      <c r="F4" s="25"/>
      <c r="G4" s="36"/>
      <c r="H4" s="49"/>
      <c r="I4" s="45" t="s">
        <v>8</v>
      </c>
      <c r="J4" s="46" t="s">
        <v>5332</v>
      </c>
      <c r="K4" s="25"/>
      <c r="L4" s="25"/>
      <c r="M4" s="25"/>
      <c r="N4" s="46"/>
      <c r="O4" s="46"/>
      <c r="P4" s="46"/>
      <c r="Q4" s="38"/>
      <c r="R4" s="38"/>
      <c r="S4" s="47">
        <v>15</v>
      </c>
      <c r="T4" s="47">
        <v>10</v>
      </c>
      <c r="U4" s="47"/>
      <c r="V4" s="47"/>
      <c r="W4" s="47">
        <v>5</v>
      </c>
      <c r="X4" s="47">
        <v>5</v>
      </c>
      <c r="Y4" s="47">
        <v>5</v>
      </c>
      <c r="Z4" s="47">
        <v>2</v>
      </c>
      <c r="AA4" s="47">
        <v>10</v>
      </c>
      <c r="AB4" s="25"/>
      <c r="AC4" s="25"/>
      <c r="AD4" s="25"/>
      <c r="AE4" s="25"/>
      <c r="AF4" s="25"/>
      <c r="AG4" s="25"/>
      <c r="AH4" s="42"/>
      <c r="AI4" s="43"/>
      <c r="AJ4" s="25"/>
      <c r="AK4" s="25"/>
      <c r="AL4" s="25"/>
    </row>
    <row r="5" spans="1:54" s="17" customFormat="1" ht="12" customHeight="1">
      <c r="A5" s="51" t="s">
        <v>5328</v>
      </c>
      <c r="B5" s="46" t="s">
        <v>5333</v>
      </c>
      <c r="C5" s="44"/>
      <c r="D5" s="24"/>
      <c r="E5" s="25"/>
      <c r="F5" s="25"/>
      <c r="G5" s="36"/>
      <c r="H5" s="37"/>
      <c r="I5" s="45" t="s">
        <v>9</v>
      </c>
      <c r="J5" s="46" t="s">
        <v>5334</v>
      </c>
      <c r="K5" s="25"/>
      <c r="L5" s="25"/>
      <c r="M5" s="52">
        <f>SUM(M10:M171)</f>
        <v>0.747</v>
      </c>
      <c r="N5" s="46"/>
      <c r="O5" s="46"/>
      <c r="P5" s="46"/>
      <c r="Q5" s="53"/>
      <c r="R5" s="53"/>
      <c r="S5" s="47">
        <v>10</v>
      </c>
      <c r="T5" s="47">
        <v>10</v>
      </c>
      <c r="U5" s="47"/>
      <c r="V5" s="47"/>
      <c r="W5" s="47">
        <v>5</v>
      </c>
      <c r="X5" s="47">
        <v>5</v>
      </c>
      <c r="Y5" s="47">
        <v>5</v>
      </c>
      <c r="Z5" s="47">
        <v>2</v>
      </c>
      <c r="AA5" s="47">
        <v>10</v>
      </c>
      <c r="AB5" s="54"/>
      <c r="AC5" s="54"/>
      <c r="AD5" s="54"/>
      <c r="AE5" s="54"/>
      <c r="AF5" s="54"/>
      <c r="AG5" s="54"/>
      <c r="AH5" s="55"/>
      <c r="AI5" s="56"/>
      <c r="AJ5" s="57"/>
      <c r="AK5" s="57"/>
      <c r="AL5" s="58"/>
      <c r="BB5" s="59"/>
    </row>
    <row r="6" spans="1:54" s="18" customFormat="1" ht="24.95" customHeight="1">
      <c r="A6" s="780" t="s">
        <v>11</v>
      </c>
      <c r="B6" s="780" t="s">
        <v>50</v>
      </c>
      <c r="C6" s="780" t="s">
        <v>5335</v>
      </c>
      <c r="D6" s="780" t="s">
        <v>5336</v>
      </c>
      <c r="E6" s="780" t="s">
        <v>12</v>
      </c>
      <c r="F6" s="60" t="s">
        <v>5337</v>
      </c>
      <c r="G6" s="780" t="s">
        <v>5338</v>
      </c>
      <c r="H6" s="780" t="s">
        <v>5339</v>
      </c>
      <c r="I6" s="780" t="s">
        <v>21</v>
      </c>
      <c r="J6" s="780" t="s">
        <v>5340</v>
      </c>
      <c r="K6" s="60" t="s">
        <v>5341</v>
      </c>
      <c r="L6" s="60" t="s">
        <v>5341</v>
      </c>
      <c r="M6" s="60" t="s">
        <v>5341</v>
      </c>
      <c r="N6" s="60" t="s">
        <v>5341</v>
      </c>
      <c r="O6" s="60" t="s">
        <v>5341</v>
      </c>
      <c r="P6" s="60" t="s">
        <v>5341</v>
      </c>
      <c r="Q6" s="780" t="s">
        <v>5342</v>
      </c>
      <c r="R6" s="780" t="s">
        <v>35</v>
      </c>
      <c r="S6" s="780" t="s">
        <v>5343</v>
      </c>
      <c r="T6" s="780" t="s">
        <v>37</v>
      </c>
      <c r="U6" s="780" t="s">
        <v>38</v>
      </c>
      <c r="V6" s="780" t="s">
        <v>40</v>
      </c>
      <c r="W6" s="780" t="s">
        <v>41</v>
      </c>
      <c r="X6" s="780" t="s">
        <v>42</v>
      </c>
      <c r="Y6" s="780" t="s">
        <v>43</v>
      </c>
      <c r="Z6" s="780" t="s">
        <v>44</v>
      </c>
      <c r="AA6" s="780" t="s">
        <v>5344</v>
      </c>
      <c r="AB6" s="780" t="s">
        <v>5226</v>
      </c>
      <c r="AC6" s="780" t="s">
        <v>5345</v>
      </c>
      <c r="AD6" s="780" t="s">
        <v>5233</v>
      </c>
      <c r="AE6" s="780" t="s">
        <v>46</v>
      </c>
      <c r="AF6" s="780" t="s">
        <v>5346</v>
      </c>
      <c r="AG6" s="780" t="s">
        <v>48</v>
      </c>
      <c r="AH6" s="780" t="s">
        <v>5347</v>
      </c>
      <c r="AI6" s="780" t="s">
        <v>5348</v>
      </c>
      <c r="AJ6" s="780" t="s">
        <v>49</v>
      </c>
      <c r="AK6" s="780" t="s">
        <v>5349</v>
      </c>
      <c r="AL6" s="780" t="s">
        <v>5350</v>
      </c>
      <c r="AM6" s="61">
        <v>40329</v>
      </c>
      <c r="AN6" s="62">
        <v>40359</v>
      </c>
      <c r="AO6" s="62">
        <v>40390</v>
      </c>
      <c r="AP6" s="62">
        <v>40421</v>
      </c>
      <c r="AQ6" s="62">
        <v>40451</v>
      </c>
      <c r="AR6" s="62">
        <v>40482</v>
      </c>
      <c r="AS6" s="62">
        <v>40512</v>
      </c>
      <c r="AT6" s="62">
        <v>40543</v>
      </c>
      <c r="AU6" s="62">
        <v>40574</v>
      </c>
      <c r="AV6" s="62">
        <v>40602</v>
      </c>
      <c r="AW6" s="62">
        <f ca="1">TODAY()</f>
        <v>46287</v>
      </c>
      <c r="BB6" s="63"/>
    </row>
    <row r="7" spans="1:54" s="18" customFormat="1" ht="24.95" customHeight="1">
      <c r="A7" s="781"/>
      <c r="B7" s="781"/>
      <c r="C7" s="781"/>
      <c r="D7" s="781"/>
      <c r="E7" s="781"/>
      <c r="F7" s="60" t="s">
        <v>5351</v>
      </c>
      <c r="G7" s="781"/>
      <c r="H7" s="781"/>
      <c r="I7" s="781"/>
      <c r="J7" s="781"/>
      <c r="K7" s="60"/>
      <c r="L7" s="60"/>
      <c r="M7" s="60"/>
      <c r="N7" s="60"/>
      <c r="O7" s="60"/>
      <c r="P7" s="60"/>
      <c r="Q7" s="781"/>
      <c r="R7" s="781"/>
      <c r="S7" s="781"/>
      <c r="T7" s="781"/>
      <c r="U7" s="781"/>
      <c r="V7" s="781"/>
      <c r="W7" s="781"/>
      <c r="X7" s="781"/>
      <c r="Y7" s="781"/>
      <c r="Z7" s="781"/>
      <c r="AA7" s="781"/>
      <c r="AB7" s="781"/>
      <c r="AC7" s="781"/>
      <c r="AD7" s="781"/>
      <c r="AE7" s="781"/>
      <c r="AF7" s="781"/>
      <c r="AG7" s="781"/>
      <c r="AH7" s="781"/>
      <c r="AI7" s="781"/>
      <c r="AJ7" s="781"/>
      <c r="AK7" s="781"/>
      <c r="AL7" s="781"/>
      <c r="BB7" s="63"/>
    </row>
    <row r="8" spans="1:54" s="19" customFormat="1" ht="11.25" customHeight="1">
      <c r="A8" s="64"/>
      <c r="B8" s="64"/>
      <c r="C8" s="64"/>
      <c r="D8" s="65"/>
      <c r="E8" s="65"/>
      <c r="F8" s="65"/>
      <c r="G8" s="66"/>
      <c r="H8" s="65"/>
      <c r="I8" s="65"/>
      <c r="J8" s="65"/>
      <c r="K8" s="65"/>
      <c r="L8" s="65"/>
      <c r="M8" s="65"/>
      <c r="N8" s="65"/>
      <c r="O8" s="65"/>
      <c r="P8" s="65"/>
      <c r="Q8" s="65" t="s">
        <v>52</v>
      </c>
      <c r="R8" s="65" t="s">
        <v>5352</v>
      </c>
      <c r="S8" s="65" t="s">
        <v>5353</v>
      </c>
      <c r="T8" s="65" t="s">
        <v>5353</v>
      </c>
      <c r="U8" s="65" t="s">
        <v>5354</v>
      </c>
      <c r="V8" s="65" t="s">
        <v>5355</v>
      </c>
      <c r="W8" s="65" t="s">
        <v>5356</v>
      </c>
      <c r="X8" s="65" t="s">
        <v>5353</v>
      </c>
      <c r="Y8" s="65" t="s">
        <v>5355</v>
      </c>
      <c r="Z8" s="65" t="s">
        <v>5354</v>
      </c>
      <c r="AA8" s="65" t="s">
        <v>5353</v>
      </c>
      <c r="AB8" s="65" t="s">
        <v>5357</v>
      </c>
      <c r="AC8" s="67"/>
      <c r="AD8" s="65"/>
      <c r="AE8" s="68"/>
      <c r="AF8" s="69" t="s">
        <v>5358</v>
      </c>
      <c r="AG8" s="65"/>
      <c r="AH8" s="70"/>
      <c r="AI8" s="71"/>
      <c r="AJ8" s="65"/>
      <c r="AK8" s="65"/>
      <c r="AL8" s="65"/>
      <c r="BB8" s="72" t="e">
        <f>WORKDAY("7/16/2026",1,$BB$10:$BB$141)</f>
        <v>#REF!</v>
      </c>
    </row>
    <row r="9" spans="1:54" s="19" customFormat="1" ht="11.65">
      <c r="A9" s="64"/>
      <c r="B9" s="64"/>
      <c r="C9" s="64"/>
      <c r="D9" s="65"/>
      <c r="E9" s="65"/>
      <c r="F9" s="65"/>
      <c r="G9" s="66"/>
      <c r="H9" s="65"/>
      <c r="I9" s="65"/>
      <c r="J9" s="65"/>
      <c r="K9" s="65"/>
      <c r="L9" s="65"/>
      <c r="M9" s="65"/>
      <c r="N9" s="65"/>
      <c r="O9" s="65"/>
      <c r="P9" s="65"/>
      <c r="Q9" s="73" t="s">
        <v>5359</v>
      </c>
      <c r="R9" s="73"/>
      <c r="S9" s="73"/>
      <c r="T9" s="73"/>
      <c r="U9" s="73"/>
      <c r="V9" s="73"/>
      <c r="W9" s="73"/>
      <c r="X9" s="73"/>
      <c r="Y9" s="73"/>
      <c r="Z9" s="73" t="s">
        <v>5358</v>
      </c>
      <c r="AA9" s="73"/>
      <c r="AB9" s="73">
        <v>0.95</v>
      </c>
      <c r="AC9" s="74"/>
      <c r="AD9" s="73"/>
      <c r="AE9" s="75"/>
      <c r="AF9" s="76"/>
      <c r="AG9" s="73"/>
      <c r="AH9" s="77"/>
      <c r="AI9" s="78"/>
      <c r="AJ9" s="73"/>
      <c r="AK9" s="73"/>
      <c r="AL9" s="73"/>
      <c r="BB9" s="72"/>
    </row>
    <row r="10" spans="1:54" s="20" customFormat="1" ht="18" customHeight="1">
      <c r="A10" s="782">
        <v>1</v>
      </c>
      <c r="B10" s="785" t="s">
        <v>5360</v>
      </c>
      <c r="C10" s="791" t="s">
        <v>5361</v>
      </c>
      <c r="D10" s="80" t="s">
        <v>5362</v>
      </c>
      <c r="E10" s="81" t="s">
        <v>5234</v>
      </c>
      <c r="F10" s="82" t="str">
        <f>IF(_xlfn.XLOOKUP(E10,'[38]Before Award'!D:D,'[38]Before Award'!AV:AV,"N/A")="N/A","N","Y")</f>
        <v>N</v>
      </c>
      <c r="G10" s="794" t="s">
        <v>5363</v>
      </c>
      <c r="H10" s="83" t="s">
        <v>5235</v>
      </c>
      <c r="I10" s="81" t="s">
        <v>6</v>
      </c>
      <c r="J10" s="82"/>
      <c r="K10" s="84">
        <f>M12</f>
        <v>0.02</v>
      </c>
      <c r="L10" s="84"/>
      <c r="M10" s="84"/>
      <c r="N10" s="81"/>
      <c r="O10" s="81"/>
      <c r="P10" s="81"/>
      <c r="Q10" s="85" t="s">
        <v>5364</v>
      </c>
      <c r="R10" s="86">
        <f>'Before Award'!U17+5</f>
        <v>46222</v>
      </c>
      <c r="S10" s="86" t="e">
        <f>WORKDAY(R10,INDEX(S$2:S$5,MATCH($I10,$I$2:$I$5,0)),$BB$10:$BB$141)</f>
        <v>#REF!</v>
      </c>
      <c r="T10" s="86" t="e">
        <f>WORKDAY(S10,INDEX(T$2:T$5,MATCH($I10,$I$2:$I$5,0)),$BB$10:$BB$141)</f>
        <v>#REF!</v>
      </c>
      <c r="U10" s="86" t="e">
        <f>T10+60</f>
        <v>#REF!</v>
      </c>
      <c r="V10" s="86"/>
      <c r="W10" s="86">
        <f>AB10-35</f>
        <v>46532</v>
      </c>
      <c r="X10" s="86"/>
      <c r="Y10" s="86"/>
      <c r="Z10" s="86"/>
      <c r="AA10" s="86"/>
      <c r="AB10" s="86">
        <f>'Before Award'!X17</f>
        <v>46567</v>
      </c>
      <c r="AC10" s="797" t="s">
        <v>5365</v>
      </c>
      <c r="AD10" s="87">
        <v>14</v>
      </c>
      <c r="AE10" s="800">
        <v>350</v>
      </c>
      <c r="AF10" s="806" t="e">
        <f>AB11</f>
        <v>#REF!</v>
      </c>
      <c r="AG10" s="809">
        <f>WORKDAY(AH10+1+AI10,-1,$BA$10:$BA$141)</f>
        <v>46567</v>
      </c>
      <c r="AH10" s="88">
        <v>46507</v>
      </c>
      <c r="AI10" s="89">
        <v>60</v>
      </c>
      <c r="AJ10" s="812" t="e">
        <f>AG10-AF10</f>
        <v>#REF!</v>
      </c>
      <c r="AK10" s="90"/>
      <c r="AL10" s="91"/>
      <c r="AM10" s="92">
        <f t="shared" ref="AM10:AW10" si="0">IF(ISERROR(LOOKUP(AM$6,$S10:$AB10,$S$9:$AB$9)),0,(LOOKUP(AM$6,$S10:$AB10,$S$9:$AB$9)))</f>
        <v>0</v>
      </c>
      <c r="AN10" s="93">
        <f t="shared" si="0"/>
        <v>0</v>
      </c>
      <c r="AO10" s="93">
        <f t="shared" si="0"/>
        <v>0</v>
      </c>
      <c r="AP10" s="93">
        <f t="shared" si="0"/>
        <v>0</v>
      </c>
      <c r="AQ10" s="93">
        <f t="shared" si="0"/>
        <v>0</v>
      </c>
      <c r="AR10" s="93">
        <f t="shared" si="0"/>
        <v>0</v>
      </c>
      <c r="AS10" s="93">
        <f t="shared" si="0"/>
        <v>0</v>
      </c>
      <c r="AT10" s="93">
        <f t="shared" si="0"/>
        <v>0</v>
      </c>
      <c r="AU10" s="93">
        <f t="shared" si="0"/>
        <v>0</v>
      </c>
      <c r="AV10" s="93">
        <f t="shared" si="0"/>
        <v>0</v>
      </c>
      <c r="AW10" s="93">
        <f t="shared" ca="1" si="0"/>
        <v>0</v>
      </c>
      <c r="BB10" s="94" t="e" cm="1">
        <f t="array" ref="BB10:BB88">'[38]Equipment List and MR List (3)'!$A$2:$A$80</f>
        <v>#REF!</v>
      </c>
    </row>
    <row r="11" spans="1:54" s="20" customFormat="1" ht="18" customHeight="1">
      <c r="A11" s="783"/>
      <c r="B11" s="786"/>
      <c r="C11" s="792"/>
      <c r="D11" s="96" t="str">
        <f>D10</f>
        <v>MEC</v>
      </c>
      <c r="E11" s="97" t="str">
        <f>E10</f>
        <v>RFQ-001</v>
      </c>
      <c r="F11" s="98" t="str">
        <f>F10</f>
        <v>N</v>
      </c>
      <c r="G11" s="795"/>
      <c r="H11" s="99" t="str">
        <f>H10</f>
        <v>Pedestal Crane</v>
      </c>
      <c r="I11" s="97" t="str">
        <f>I10</f>
        <v>LA</v>
      </c>
      <c r="J11" s="98"/>
      <c r="K11" s="100"/>
      <c r="L11" s="100">
        <f>M12</f>
        <v>0.02</v>
      </c>
      <c r="M11" s="100"/>
      <c r="N11" s="97"/>
      <c r="O11" s="97"/>
      <c r="P11" s="97"/>
      <c r="Q11" s="101" t="s">
        <v>5366</v>
      </c>
      <c r="R11" s="102">
        <f>'Before Award'!U18+5</f>
        <v>46222</v>
      </c>
      <c r="S11" s="103" t="e">
        <f>WORKDAY(IF(R12="",R11,R12),INDEX(S$2:S$5,MATCH($I10,$I$2:$I$5,0)),$BB$10:$BB$141)</f>
        <v>#REF!</v>
      </c>
      <c r="T11" s="103" t="e">
        <f>WORKDAY(IF(S12="",S11,S12),INDEX(T$2:T$5,MATCH($I10,$I$2:$I$5,0)),$BB$10:$BB$141)</f>
        <v>#REF!</v>
      </c>
      <c r="U11" s="103"/>
      <c r="V11" s="103"/>
      <c r="W11" s="103" t="e">
        <f>WORKDAY(IF(V12="",V11,V12),INDEX(W$2:W$5,MATCH($I10,$I$2:$I$5,0)),$BB$10:$BB$141)</f>
        <v>#REF!</v>
      </c>
      <c r="X11" s="103" t="e">
        <f>WORKDAY(IF(W12="",W11,W12),INDEX(X$2:X$5,MATCH($I10,$I$2:$I$5,0)),$BB$10:$BB$141)</f>
        <v>#REF!</v>
      </c>
      <c r="Y11" s="103" t="e">
        <f>WORKDAY(IF(X12="",X11,X12),INDEX(Y$2:Y$5,MATCH($I10,$I$2:$I$5,0)),$BB$10:$BB$141)</f>
        <v>#REF!</v>
      </c>
      <c r="Z11" s="103" t="e">
        <f>WORKDAY(IF(Y12="",Y11,Y12),INDEX(Z$2:Z$5,MATCH($I10,$I$2:$I$5,0)),$BB$10:$BB$141)</f>
        <v>#REF!</v>
      </c>
      <c r="AA11" s="103" t="e">
        <f>WORKDAY(IF(Z12="",X11,Z12),INDEX(AA$2:AA$5,MATCH($I10,$I$2:$I$5,0)),$BB$10:$BB$141)</f>
        <v>#REF!</v>
      </c>
      <c r="AB11" s="104" t="e">
        <f>WORKDAY(AE10+#REF!,0,'[38]Equipment List and MR List (3)'!$A$2:$A$80)</f>
        <v>#REF!</v>
      </c>
      <c r="AC11" s="798"/>
      <c r="AD11" s="105"/>
      <c r="AE11" s="800"/>
      <c r="AF11" s="807"/>
      <c r="AG11" s="810"/>
      <c r="AH11" s="106"/>
      <c r="AI11" s="107"/>
      <c r="AJ11" s="813"/>
      <c r="AK11" s="108"/>
      <c r="AL11" s="109"/>
      <c r="AM11" s="92">
        <f t="shared" ref="AM11:AW11" si="1">IF(ISERROR(LOOKUP(AM$6,$S11:$AB11,$S$9:$AB$9)),0,(LOOKUP(AM$6,$S11:$AB11,$S$9:$AB$9)))</f>
        <v>0</v>
      </c>
      <c r="AN11" s="93">
        <f t="shared" si="1"/>
        <v>0</v>
      </c>
      <c r="AO11" s="93">
        <f t="shared" si="1"/>
        <v>0</v>
      </c>
      <c r="AP11" s="93">
        <f t="shared" si="1"/>
        <v>0</v>
      </c>
      <c r="AQ11" s="93">
        <f t="shared" si="1"/>
        <v>0</v>
      </c>
      <c r="AR11" s="93">
        <f t="shared" si="1"/>
        <v>0</v>
      </c>
      <c r="AS11" s="93">
        <f t="shared" si="1"/>
        <v>0</v>
      </c>
      <c r="AT11" s="93">
        <f t="shared" si="1"/>
        <v>0</v>
      </c>
      <c r="AU11" s="93">
        <f t="shared" si="1"/>
        <v>0</v>
      </c>
      <c r="AV11" s="93">
        <f t="shared" si="1"/>
        <v>0</v>
      </c>
      <c r="AW11" s="93">
        <f t="shared" ca="1" si="1"/>
        <v>0</v>
      </c>
      <c r="BB11" s="94" t="e">
        <v>#REF!</v>
      </c>
    </row>
    <row r="12" spans="1:54" s="20" customFormat="1" ht="18" customHeight="1">
      <c r="A12" s="784"/>
      <c r="B12" s="787"/>
      <c r="C12" s="793"/>
      <c r="D12" s="111" t="str">
        <f>D10</f>
        <v>MEC</v>
      </c>
      <c r="E12" s="112" t="str">
        <f>E10</f>
        <v>RFQ-001</v>
      </c>
      <c r="F12" s="113" t="str">
        <f>F10</f>
        <v>N</v>
      </c>
      <c r="G12" s="796"/>
      <c r="H12" s="99" t="str">
        <f>H10</f>
        <v>Pedestal Crane</v>
      </c>
      <c r="I12" s="112" t="str">
        <f>I10</f>
        <v>LA</v>
      </c>
      <c r="J12" s="113"/>
      <c r="K12" s="114"/>
      <c r="L12" s="114"/>
      <c r="M12" s="114">
        <v>0.02</v>
      </c>
      <c r="N12" s="112"/>
      <c r="O12" s="112"/>
      <c r="P12" s="112"/>
      <c r="Q12" s="115" t="s">
        <v>368</v>
      </c>
      <c r="R12" s="115"/>
      <c r="S12" s="115"/>
      <c r="T12" s="115"/>
      <c r="U12" s="115"/>
      <c r="V12" s="115"/>
      <c r="W12" s="115"/>
      <c r="X12" s="115"/>
      <c r="Y12" s="115"/>
      <c r="Z12" s="115"/>
      <c r="AA12" s="115"/>
      <c r="AB12" s="115"/>
      <c r="AC12" s="799"/>
      <c r="AD12" s="116"/>
      <c r="AE12" s="800"/>
      <c r="AF12" s="808"/>
      <c r="AG12" s="811"/>
      <c r="AH12" s="117"/>
      <c r="AI12" s="118"/>
      <c r="AJ12" s="814"/>
      <c r="AK12" s="119"/>
      <c r="AL12" s="120"/>
      <c r="AM12" s="121">
        <f t="shared" ref="AM12:AW12" si="2">IF(ISERROR(LOOKUP(AM$6,$S12:$AB12,$S$9:$AB$9)),0,(LOOKUP(AM$6,$S12:$AB12,$S$9:$AB$9)))</f>
        <v>0</v>
      </c>
      <c r="AN12" s="122">
        <f t="shared" si="2"/>
        <v>0</v>
      </c>
      <c r="AO12" s="122">
        <f t="shared" si="2"/>
        <v>0</v>
      </c>
      <c r="AP12" s="122">
        <f t="shared" si="2"/>
        <v>0</v>
      </c>
      <c r="AQ12" s="122">
        <f t="shared" si="2"/>
        <v>0</v>
      </c>
      <c r="AR12" s="122">
        <f t="shared" si="2"/>
        <v>0</v>
      </c>
      <c r="AS12" s="122">
        <f t="shared" si="2"/>
        <v>0</v>
      </c>
      <c r="AT12" s="122">
        <f t="shared" si="2"/>
        <v>0</v>
      </c>
      <c r="AU12" s="122">
        <f t="shared" si="2"/>
        <v>0</v>
      </c>
      <c r="AV12" s="122">
        <f t="shared" si="2"/>
        <v>0</v>
      </c>
      <c r="AW12" s="122">
        <f t="shared" ca="1" si="2"/>
        <v>0</v>
      </c>
      <c r="BB12" s="94" t="e">
        <v>#REF!</v>
      </c>
    </row>
    <row r="13" spans="1:54" s="20" customFormat="1" ht="18" customHeight="1">
      <c r="A13" s="782">
        <f>A10+1</f>
        <v>2</v>
      </c>
      <c r="B13" s="79"/>
      <c r="C13" s="791" t="s">
        <v>5361</v>
      </c>
      <c r="D13" s="80" t="s">
        <v>5362</v>
      </c>
      <c r="E13" s="81" t="s">
        <v>5237</v>
      </c>
      <c r="F13" s="82" t="s">
        <v>73</v>
      </c>
      <c r="G13" s="794" t="s">
        <v>5367</v>
      </c>
      <c r="H13" s="82" t="s">
        <v>71</v>
      </c>
      <c r="I13" s="81" t="s">
        <v>6</v>
      </c>
      <c r="J13" s="82"/>
      <c r="K13" s="84">
        <f>M15</f>
        <v>7.0000000000000007E-2</v>
      </c>
      <c r="L13" s="84"/>
      <c r="M13" s="84"/>
      <c r="N13" s="81"/>
      <c r="O13" s="81"/>
      <c r="P13" s="81"/>
      <c r="Q13" s="85" t="s">
        <v>5364</v>
      </c>
      <c r="R13" s="86">
        <f>'Before Award'!U20+5</f>
        <v>46398</v>
      </c>
      <c r="S13" s="86" t="e">
        <f>WORKDAY(R13,INDEX(S$2:S$5,MATCH($I13,$I$2:$I$5,0)),$BB$10:$BB$141)</f>
        <v>#REF!</v>
      </c>
      <c r="T13" s="86" t="e">
        <f>WORKDAY(S13,INDEX(T$2:T$5,MATCH($I13,$I$2:$I$5,0)),$BB$10:$BB$141)</f>
        <v>#REF!</v>
      </c>
      <c r="U13" s="86" t="e">
        <f>T13+60</f>
        <v>#REF!</v>
      </c>
      <c r="V13" s="86"/>
      <c r="W13" s="86">
        <f>AB13-35</f>
        <v>46533</v>
      </c>
      <c r="X13" s="86"/>
      <c r="Y13" s="86"/>
      <c r="Z13" s="86"/>
      <c r="AA13" s="86"/>
      <c r="AB13" s="86">
        <f>'Before Award'!X20</f>
        <v>46568</v>
      </c>
      <c r="AC13" s="797" t="s">
        <v>5365</v>
      </c>
      <c r="AD13" s="87">
        <v>14</v>
      </c>
      <c r="AE13" s="801">
        <v>175</v>
      </c>
      <c r="AF13" s="806" t="e">
        <f>AB14</f>
        <v>#REF!</v>
      </c>
      <c r="AG13" s="809">
        <f>WORKDAY(AH13+1,-1,$BA$10:$BA$141)</f>
        <v>46568</v>
      </c>
      <c r="AH13" s="88">
        <v>46568</v>
      </c>
      <c r="AI13" s="89"/>
      <c r="AJ13" s="812" t="e">
        <f>AG13-AF13</f>
        <v>#REF!</v>
      </c>
      <c r="AK13" s="90"/>
      <c r="AL13" s="91"/>
      <c r="AM13" s="92">
        <f t="shared" ref="AM13:AW13" si="3">IF(ISERROR(LOOKUP(AM$6,$S13:$AB13,$S$9:$AB$9)),0,(LOOKUP(AM$6,$S13:$AB13,$S$9:$AB$9)))</f>
        <v>0</v>
      </c>
      <c r="AN13" s="93">
        <f t="shared" si="3"/>
        <v>0</v>
      </c>
      <c r="AO13" s="93">
        <f t="shared" si="3"/>
        <v>0</v>
      </c>
      <c r="AP13" s="93">
        <f t="shared" si="3"/>
        <v>0</v>
      </c>
      <c r="AQ13" s="93">
        <f t="shared" si="3"/>
        <v>0</v>
      </c>
      <c r="AR13" s="93">
        <f t="shared" si="3"/>
        <v>0</v>
      </c>
      <c r="AS13" s="93">
        <f t="shared" si="3"/>
        <v>0</v>
      </c>
      <c r="AT13" s="93">
        <f t="shared" si="3"/>
        <v>0</v>
      </c>
      <c r="AU13" s="93">
        <f t="shared" si="3"/>
        <v>0</v>
      </c>
      <c r="AV13" s="93">
        <f t="shared" si="3"/>
        <v>0</v>
      </c>
      <c r="AW13" s="93">
        <f t="shared" ca="1" si="3"/>
        <v>0</v>
      </c>
      <c r="BB13" s="94" t="e">
        <v>#REF!</v>
      </c>
    </row>
    <row r="14" spans="1:54" s="20" customFormat="1" ht="18" customHeight="1">
      <c r="A14" s="783"/>
      <c r="B14" s="95"/>
      <c r="C14" s="792"/>
      <c r="D14" s="96" t="str">
        <f>D13</f>
        <v>MEC</v>
      </c>
      <c r="E14" s="97" t="str">
        <f>E13</f>
        <v>RFQ-002</v>
      </c>
      <c r="F14" s="98" t="str">
        <f>F13</f>
        <v>N</v>
      </c>
      <c r="G14" s="795"/>
      <c r="H14" s="98" t="str">
        <f>H13</f>
        <v>Material Handling Equipment</v>
      </c>
      <c r="I14" s="97" t="str">
        <f>I13</f>
        <v>LA</v>
      </c>
      <c r="J14" s="98"/>
      <c r="K14" s="100"/>
      <c r="L14" s="100">
        <f>M15</f>
        <v>7.0000000000000007E-2</v>
      </c>
      <c r="M14" s="100"/>
      <c r="N14" s="97"/>
      <c r="O14" s="97"/>
      <c r="P14" s="97"/>
      <c r="Q14" s="101" t="s">
        <v>5366</v>
      </c>
      <c r="R14" s="102">
        <f>R13</f>
        <v>46398</v>
      </c>
      <c r="S14" s="102" t="e">
        <f>S13</f>
        <v>#REF!</v>
      </c>
      <c r="T14" s="103" t="e">
        <f>T13</f>
        <v>#REF!</v>
      </c>
      <c r="U14" s="103" t="e">
        <f t="shared" ref="U14:Z14" si="4">WORKDAY(IF(T15="",T14,T15),INDEX(U$2:U$5,MATCH($I13,$I$2:$I$5,0)),$BB$10:$BB$141)</f>
        <v>#REF!</v>
      </c>
      <c r="V14" s="103" t="e">
        <f t="shared" si="4"/>
        <v>#REF!</v>
      </c>
      <c r="W14" s="103" t="e">
        <f t="shared" si="4"/>
        <v>#REF!</v>
      </c>
      <c r="X14" s="103" t="e">
        <f t="shared" si="4"/>
        <v>#REF!</v>
      </c>
      <c r="Y14" s="103" t="e">
        <f t="shared" si="4"/>
        <v>#REF!</v>
      </c>
      <c r="Z14" s="103" t="e">
        <f t="shared" si="4"/>
        <v>#REF!</v>
      </c>
      <c r="AA14" s="103" t="e">
        <f>WORKDAY(IF(Z15="",X14,Z15),INDEX(AA$2:AA$5,MATCH($I13,$I$2:$I$5,0)),$BB$10:$BB$141)</f>
        <v>#REF!</v>
      </c>
      <c r="AB14" s="104" t="e">
        <f>WORKDAY(AE13+#REF!,0,'[38]Equipment List and MR List (3)'!$A$2:$A$80)</f>
        <v>#REF!</v>
      </c>
      <c r="AC14" s="798"/>
      <c r="AD14" s="105"/>
      <c r="AE14" s="801"/>
      <c r="AF14" s="807"/>
      <c r="AG14" s="810"/>
      <c r="AH14" s="106"/>
      <c r="AI14" s="107"/>
      <c r="AJ14" s="813"/>
      <c r="AK14" s="108"/>
      <c r="AL14" s="109"/>
      <c r="AM14" s="92">
        <f t="shared" ref="AM14:AW14" si="5">IF(ISERROR(LOOKUP(AM$6,$S14:$AB14,$S$9:$AB$9)),0,(LOOKUP(AM$6,$S14:$AB14,$S$9:$AB$9)))</f>
        <v>0</v>
      </c>
      <c r="AN14" s="93">
        <f t="shared" si="5"/>
        <v>0</v>
      </c>
      <c r="AO14" s="93">
        <f t="shared" si="5"/>
        <v>0</v>
      </c>
      <c r="AP14" s="93">
        <f t="shared" si="5"/>
        <v>0</v>
      </c>
      <c r="AQ14" s="93">
        <f t="shared" si="5"/>
        <v>0</v>
      </c>
      <c r="AR14" s="93">
        <f t="shared" si="5"/>
        <v>0</v>
      </c>
      <c r="AS14" s="93">
        <f t="shared" si="5"/>
        <v>0</v>
      </c>
      <c r="AT14" s="93">
        <f t="shared" si="5"/>
        <v>0</v>
      </c>
      <c r="AU14" s="93">
        <f t="shared" si="5"/>
        <v>0</v>
      </c>
      <c r="AV14" s="93">
        <f t="shared" si="5"/>
        <v>0</v>
      </c>
      <c r="AW14" s="93">
        <f t="shared" ca="1" si="5"/>
        <v>0</v>
      </c>
      <c r="BB14" s="94" t="e">
        <v>#REF!</v>
      </c>
    </row>
    <row r="15" spans="1:54" s="20" customFormat="1" ht="18" customHeight="1">
      <c r="A15" s="784"/>
      <c r="B15" s="110"/>
      <c r="C15" s="793"/>
      <c r="D15" s="111" t="str">
        <f>D13</f>
        <v>MEC</v>
      </c>
      <c r="E15" s="112" t="str">
        <f>E13</f>
        <v>RFQ-002</v>
      </c>
      <c r="F15" s="113" t="str">
        <f>F13</f>
        <v>N</v>
      </c>
      <c r="G15" s="796"/>
      <c r="H15" s="113" t="str">
        <f>H13</f>
        <v>Material Handling Equipment</v>
      </c>
      <c r="I15" s="112" t="str">
        <f>I13</f>
        <v>LA</v>
      </c>
      <c r="J15" s="113"/>
      <c r="K15" s="114"/>
      <c r="L15" s="114"/>
      <c r="M15" s="114">
        <v>7.0000000000000007E-2</v>
      </c>
      <c r="N15" s="112"/>
      <c r="O15" s="112"/>
      <c r="P15" s="112"/>
      <c r="Q15" s="115" t="s">
        <v>368</v>
      </c>
      <c r="R15" s="115"/>
      <c r="S15" s="115"/>
      <c r="T15" s="115"/>
      <c r="U15" s="115"/>
      <c r="V15" s="115"/>
      <c r="W15" s="115"/>
      <c r="X15" s="115"/>
      <c r="Y15" s="115"/>
      <c r="Z15" s="115"/>
      <c r="AA15" s="115"/>
      <c r="AB15" s="115"/>
      <c r="AC15" s="799"/>
      <c r="AD15" s="116"/>
      <c r="AE15" s="801"/>
      <c r="AF15" s="808"/>
      <c r="AG15" s="811"/>
      <c r="AH15" s="117"/>
      <c r="AI15" s="118"/>
      <c r="AJ15" s="814"/>
      <c r="AK15" s="119"/>
      <c r="AL15" s="120"/>
      <c r="AM15" s="121">
        <f t="shared" ref="AM15:AW15" si="6">IF(ISERROR(LOOKUP(AM$6,$S15:$AB15,$S$9:$AB$9)),0,(LOOKUP(AM$6,$S15:$AB15,$S$9:$AB$9)))</f>
        <v>0</v>
      </c>
      <c r="AN15" s="122">
        <f t="shared" si="6"/>
        <v>0</v>
      </c>
      <c r="AO15" s="122">
        <f t="shared" si="6"/>
        <v>0</v>
      </c>
      <c r="AP15" s="122">
        <f t="shared" si="6"/>
        <v>0</v>
      </c>
      <c r="AQ15" s="122">
        <f t="shared" si="6"/>
        <v>0</v>
      </c>
      <c r="AR15" s="122">
        <f t="shared" si="6"/>
        <v>0</v>
      </c>
      <c r="AS15" s="122">
        <f t="shared" si="6"/>
        <v>0</v>
      </c>
      <c r="AT15" s="122">
        <f t="shared" si="6"/>
        <v>0</v>
      </c>
      <c r="AU15" s="122">
        <f t="shared" si="6"/>
        <v>0</v>
      </c>
      <c r="AV15" s="122">
        <f t="shared" si="6"/>
        <v>0</v>
      </c>
      <c r="AW15" s="122">
        <f t="shared" ca="1" si="6"/>
        <v>0</v>
      </c>
      <c r="BB15" s="94" t="e">
        <v>#REF!</v>
      </c>
    </row>
    <row r="16" spans="1:54" s="20" customFormat="1" ht="18" customHeight="1">
      <c r="A16" s="782">
        <f>A13+1</f>
        <v>3</v>
      </c>
      <c r="B16" s="785" t="s">
        <v>5368</v>
      </c>
      <c r="C16" s="791" t="s">
        <v>5361</v>
      </c>
      <c r="D16" s="80" t="s">
        <v>5362</v>
      </c>
      <c r="E16" s="81" t="s">
        <v>5238</v>
      </c>
      <c r="F16" s="82" t="s">
        <v>64</v>
      </c>
      <c r="G16" s="794" t="s">
        <v>5369</v>
      </c>
      <c r="H16" s="83" t="s">
        <v>77</v>
      </c>
      <c r="I16" s="81" t="s">
        <v>6</v>
      </c>
      <c r="J16" s="82"/>
      <c r="K16" s="84">
        <f>M18</f>
        <v>0.15</v>
      </c>
      <c r="L16" s="84"/>
      <c r="M16" s="84"/>
      <c r="N16" s="81"/>
      <c r="O16" s="81"/>
      <c r="P16" s="81"/>
      <c r="Q16" s="85" t="s">
        <v>5364</v>
      </c>
      <c r="R16" s="86">
        <f>'Before Award'!U23+5</f>
        <v>46291</v>
      </c>
      <c r="S16" s="86" t="e">
        <f>WORKDAY(R16,INDEX(S$2:S$5,MATCH($I16,$I$2:$I$5,0)),$BB$10:$BB$141)</f>
        <v>#REF!</v>
      </c>
      <c r="T16" s="86" t="e">
        <f>WORKDAY(S16,INDEX(T$2:T$5,MATCH($I16,$I$2:$I$5,0)),$BB$10:$BB$141)</f>
        <v>#REF!</v>
      </c>
      <c r="U16" s="86" t="e">
        <f>T16+60</f>
        <v>#REF!</v>
      </c>
      <c r="V16" s="86"/>
      <c r="W16" s="86">
        <f>AB16-35</f>
        <v>46431</v>
      </c>
      <c r="X16" s="86"/>
      <c r="Y16" s="86"/>
      <c r="Z16" s="86"/>
      <c r="AA16" s="86"/>
      <c r="AB16" s="86">
        <f>'Before Award'!X23</f>
        <v>46466</v>
      </c>
      <c r="AC16" s="797" t="s">
        <v>5365</v>
      </c>
      <c r="AD16" s="87">
        <v>7</v>
      </c>
      <c r="AE16" s="801">
        <v>180</v>
      </c>
      <c r="AF16" s="806" t="e">
        <f>AB17</f>
        <v>#REF!</v>
      </c>
      <c r="AG16" s="809">
        <f>WORKDAY(AH16+1,-1,$BA$10:$BA$141)</f>
        <v>46419</v>
      </c>
      <c r="AH16" s="88">
        <v>46419</v>
      </c>
      <c r="AI16" s="89"/>
      <c r="AJ16" s="812" t="e">
        <f>AG16-AF16</f>
        <v>#REF!</v>
      </c>
      <c r="AK16" s="90"/>
      <c r="AL16" s="91"/>
      <c r="AM16" s="92">
        <f t="shared" ref="AM16:AW16" si="7">IF(ISERROR(LOOKUP(AM$6,$S16:$AB16,$S$9:$AB$9)),0,(LOOKUP(AM$6,$S16:$AB16,$S$9:$AB$9)))</f>
        <v>0</v>
      </c>
      <c r="AN16" s="93">
        <f t="shared" si="7"/>
        <v>0</v>
      </c>
      <c r="AO16" s="93">
        <f t="shared" si="7"/>
        <v>0</v>
      </c>
      <c r="AP16" s="93">
        <f t="shared" si="7"/>
        <v>0</v>
      </c>
      <c r="AQ16" s="93">
        <f t="shared" si="7"/>
        <v>0</v>
      </c>
      <c r="AR16" s="93">
        <f t="shared" si="7"/>
        <v>0</v>
      </c>
      <c r="AS16" s="93">
        <f t="shared" si="7"/>
        <v>0</v>
      </c>
      <c r="AT16" s="93">
        <f t="shared" si="7"/>
        <v>0</v>
      </c>
      <c r="AU16" s="93">
        <f t="shared" si="7"/>
        <v>0</v>
      </c>
      <c r="AV16" s="93">
        <f t="shared" si="7"/>
        <v>0</v>
      </c>
      <c r="AW16" s="93">
        <f t="shared" ca="1" si="7"/>
        <v>0</v>
      </c>
      <c r="BB16" s="94" t="e">
        <v>#REF!</v>
      </c>
    </row>
    <row r="17" spans="1:54" s="20" customFormat="1" ht="18" customHeight="1">
      <c r="A17" s="783"/>
      <c r="B17" s="786"/>
      <c r="C17" s="792"/>
      <c r="D17" s="96" t="str">
        <f>D16</f>
        <v>MEC</v>
      </c>
      <c r="E17" s="97" t="str">
        <f>E16</f>
        <v>RFQ-003</v>
      </c>
      <c r="F17" s="98" t="str">
        <f>F16</f>
        <v>Y</v>
      </c>
      <c r="G17" s="795"/>
      <c r="H17" s="99" t="str">
        <f>H16</f>
        <v>Instrument Gas Filter Coalescer</v>
      </c>
      <c r="I17" s="97" t="str">
        <f>I16</f>
        <v>LA</v>
      </c>
      <c r="J17" s="98"/>
      <c r="K17" s="100"/>
      <c r="L17" s="100">
        <f>M18</f>
        <v>0.15</v>
      </c>
      <c r="M17" s="100"/>
      <c r="N17" s="97"/>
      <c r="O17" s="97"/>
      <c r="P17" s="97"/>
      <c r="Q17" s="101" t="s">
        <v>5366</v>
      </c>
      <c r="R17" s="102">
        <f>R16</f>
        <v>46291</v>
      </c>
      <c r="S17" s="102" t="e">
        <f>S16</f>
        <v>#REF!</v>
      </c>
      <c r="T17" s="103" t="e">
        <f>T16</f>
        <v>#REF!</v>
      </c>
      <c r="U17" s="103" t="e">
        <f t="shared" ref="U17:Z17" si="8">WORKDAY(IF(T18="",T17,T18),INDEX(U$2:U$5,MATCH($I16,$I$2:$I$5,0)),$BB$10:$BB$141)</f>
        <v>#REF!</v>
      </c>
      <c r="V17" s="103" t="e">
        <f t="shared" si="8"/>
        <v>#REF!</v>
      </c>
      <c r="W17" s="103" t="e">
        <f t="shared" si="8"/>
        <v>#REF!</v>
      </c>
      <c r="X17" s="103" t="e">
        <f t="shared" si="8"/>
        <v>#REF!</v>
      </c>
      <c r="Y17" s="103" t="e">
        <f t="shared" si="8"/>
        <v>#REF!</v>
      </c>
      <c r="Z17" s="103" t="e">
        <f t="shared" si="8"/>
        <v>#REF!</v>
      </c>
      <c r="AA17" s="103" t="e">
        <f>WORKDAY(IF(Z18="",X17,Z18),INDEX(AA$2:AA$5,MATCH($I16,$I$2:$I$5,0)),$BB$10:$BB$141)</f>
        <v>#REF!</v>
      </c>
      <c r="AB17" s="104" t="e">
        <f>WORKDAY(AE16+#REF!,0,'[38]Equipment List and MR List (3)'!$A$2:$A$80)</f>
        <v>#REF!</v>
      </c>
      <c r="AC17" s="798"/>
      <c r="AD17" s="105"/>
      <c r="AE17" s="801"/>
      <c r="AF17" s="807"/>
      <c r="AG17" s="810"/>
      <c r="AH17" s="106"/>
      <c r="AI17" s="107"/>
      <c r="AJ17" s="813"/>
      <c r="AK17" s="108"/>
      <c r="AL17" s="109"/>
      <c r="AM17" s="92">
        <f t="shared" ref="AM17:AW17" si="9">IF(ISERROR(LOOKUP(AM$6,$S17:$AB17,$S$9:$AB$9)),0,(LOOKUP(AM$6,$S17:$AB17,$S$9:$AB$9)))</f>
        <v>0</v>
      </c>
      <c r="AN17" s="93">
        <f t="shared" si="9"/>
        <v>0</v>
      </c>
      <c r="AO17" s="93">
        <f t="shared" si="9"/>
        <v>0</v>
      </c>
      <c r="AP17" s="93">
        <f t="shared" si="9"/>
        <v>0</v>
      </c>
      <c r="AQ17" s="93">
        <f t="shared" si="9"/>
        <v>0</v>
      </c>
      <c r="AR17" s="93">
        <f t="shared" si="9"/>
        <v>0</v>
      </c>
      <c r="AS17" s="93">
        <f t="shared" si="9"/>
        <v>0</v>
      </c>
      <c r="AT17" s="93">
        <f t="shared" si="9"/>
        <v>0</v>
      </c>
      <c r="AU17" s="93">
        <f t="shared" si="9"/>
        <v>0</v>
      </c>
      <c r="AV17" s="93">
        <f t="shared" si="9"/>
        <v>0</v>
      </c>
      <c r="AW17" s="93">
        <f t="shared" ca="1" si="9"/>
        <v>0</v>
      </c>
      <c r="BB17" s="94" t="e">
        <v>#REF!</v>
      </c>
    </row>
    <row r="18" spans="1:54" s="20" customFormat="1" ht="18" customHeight="1">
      <c r="A18" s="784"/>
      <c r="B18" s="787"/>
      <c r="C18" s="793"/>
      <c r="D18" s="111" t="str">
        <f>D16</f>
        <v>MEC</v>
      </c>
      <c r="E18" s="112" t="str">
        <f>E16</f>
        <v>RFQ-003</v>
      </c>
      <c r="F18" s="113" t="str">
        <f>F16</f>
        <v>Y</v>
      </c>
      <c r="G18" s="796"/>
      <c r="H18" s="99" t="str">
        <f>H16</f>
        <v>Instrument Gas Filter Coalescer</v>
      </c>
      <c r="I18" s="112" t="str">
        <f>I16</f>
        <v>LA</v>
      </c>
      <c r="J18" s="113"/>
      <c r="K18" s="114"/>
      <c r="L18" s="114"/>
      <c r="M18" s="114">
        <v>0.15</v>
      </c>
      <c r="N18" s="112"/>
      <c r="O18" s="112"/>
      <c r="P18" s="112"/>
      <c r="Q18" s="115" t="s">
        <v>368</v>
      </c>
      <c r="R18" s="115"/>
      <c r="S18" s="115"/>
      <c r="T18" s="115"/>
      <c r="U18" s="115"/>
      <c r="V18" s="115"/>
      <c r="W18" s="115"/>
      <c r="X18" s="115"/>
      <c r="Y18" s="115"/>
      <c r="Z18" s="115"/>
      <c r="AA18" s="115"/>
      <c r="AB18" s="115"/>
      <c r="AC18" s="799"/>
      <c r="AD18" s="116"/>
      <c r="AE18" s="801"/>
      <c r="AF18" s="808"/>
      <c r="AG18" s="811"/>
      <c r="AH18" s="117"/>
      <c r="AI18" s="118"/>
      <c r="AJ18" s="814"/>
      <c r="AK18" s="119"/>
      <c r="AL18" s="120"/>
      <c r="AM18" s="121">
        <f t="shared" ref="AM18:AW18" si="10">IF(ISERROR(LOOKUP(AM$6,$S18:$AB18,$S$9:$AB$9)),0,(LOOKUP(AM$6,$S18:$AB18,$S$9:$AB$9)))</f>
        <v>0</v>
      </c>
      <c r="AN18" s="122">
        <f t="shared" si="10"/>
        <v>0</v>
      </c>
      <c r="AO18" s="122">
        <f t="shared" si="10"/>
        <v>0</v>
      </c>
      <c r="AP18" s="122">
        <f t="shared" si="10"/>
        <v>0</v>
      </c>
      <c r="AQ18" s="122">
        <f t="shared" si="10"/>
        <v>0</v>
      </c>
      <c r="AR18" s="122">
        <f t="shared" si="10"/>
        <v>0</v>
      </c>
      <c r="AS18" s="122">
        <f t="shared" si="10"/>
        <v>0</v>
      </c>
      <c r="AT18" s="122">
        <f t="shared" si="10"/>
        <v>0</v>
      </c>
      <c r="AU18" s="122">
        <f t="shared" si="10"/>
        <v>0</v>
      </c>
      <c r="AV18" s="122">
        <f t="shared" si="10"/>
        <v>0</v>
      </c>
      <c r="AW18" s="122">
        <f t="shared" ca="1" si="10"/>
        <v>0</v>
      </c>
      <c r="BB18" s="94" t="e">
        <v>#REF!</v>
      </c>
    </row>
    <row r="19" spans="1:54" s="20" customFormat="1" ht="16.5" customHeight="1">
      <c r="A19" s="782">
        <f>A16+1</f>
        <v>4</v>
      </c>
      <c r="B19" s="788" t="s">
        <v>5370</v>
      </c>
      <c r="C19" s="791" t="s">
        <v>5361</v>
      </c>
      <c r="D19" s="80" t="s">
        <v>5362</v>
      </c>
      <c r="E19" s="81" t="s">
        <v>5239</v>
      </c>
      <c r="F19" s="82" t="str">
        <f>IF(_xlfn.XLOOKUP(E19,'[38]Before Award'!D:D,'[38]Before Award'!AV:AV,"N/A")="N/A","N","Y")</f>
        <v>N</v>
      </c>
      <c r="G19" s="794" t="s">
        <v>5371</v>
      </c>
      <c r="H19" s="123" t="s">
        <v>5240</v>
      </c>
      <c r="I19" s="81" t="s">
        <v>6</v>
      </c>
      <c r="J19" s="82"/>
      <c r="K19" s="84">
        <f>M21</f>
        <v>0.02</v>
      </c>
      <c r="L19" s="84"/>
      <c r="M19" s="84"/>
      <c r="N19" s="81"/>
      <c r="O19" s="81"/>
      <c r="P19" s="81"/>
      <c r="Q19" s="85" t="s">
        <v>5364</v>
      </c>
      <c r="R19" s="86">
        <f>'Before Award'!U26+5</f>
        <v>46288</v>
      </c>
      <c r="S19" s="86" t="e">
        <f>WORKDAY(R19,INDEX(S$2:S$5,MATCH($I19,$I$2:$I$5,0)),$BB$10:$BB$141)</f>
        <v>#REF!</v>
      </c>
      <c r="T19" s="86" t="e">
        <f>WORKDAY(S19,INDEX(T$2:T$5,MATCH($I19,$I$2:$I$5,0)),$BB$10:$BB$141)</f>
        <v>#REF!</v>
      </c>
      <c r="U19" s="86" t="e">
        <f>T19+60</f>
        <v>#REF!</v>
      </c>
      <c r="V19" s="86"/>
      <c r="W19" s="86">
        <f>AB19-35</f>
        <v>46431</v>
      </c>
      <c r="X19" s="86"/>
      <c r="Y19" s="86"/>
      <c r="Z19" s="86"/>
      <c r="AA19" s="86"/>
      <c r="AB19" s="86">
        <f>'Before Award'!X26</f>
        <v>46466</v>
      </c>
      <c r="AC19" s="797" t="s">
        <v>5365</v>
      </c>
      <c r="AD19" s="87">
        <v>14</v>
      </c>
      <c r="AE19" s="800">
        <v>336</v>
      </c>
      <c r="AF19" s="806" t="e">
        <f>AB20</f>
        <v>#REF!</v>
      </c>
      <c r="AG19" s="809">
        <f>WORKDAY(AH19+1,-1,$BA$10:$BA$141)</f>
        <v>46416</v>
      </c>
      <c r="AH19" s="88">
        <v>46417</v>
      </c>
      <c r="AI19" s="89"/>
      <c r="AJ19" s="812" t="e">
        <f>AG19-AF19</f>
        <v>#REF!</v>
      </c>
      <c r="AK19" s="90"/>
      <c r="AL19" s="91"/>
      <c r="AM19" s="92">
        <f t="shared" ref="AM19:AW19" si="11">IF(ISERROR(LOOKUP(AM$6,$S19:$AB19,$S$9:$AB$9)),0,(LOOKUP(AM$6,$S19:$AB19,$S$9:$AB$9)))</f>
        <v>0</v>
      </c>
      <c r="AN19" s="93">
        <f t="shared" si="11"/>
        <v>0</v>
      </c>
      <c r="AO19" s="93">
        <f t="shared" si="11"/>
        <v>0</v>
      </c>
      <c r="AP19" s="93">
        <f t="shared" si="11"/>
        <v>0</v>
      </c>
      <c r="AQ19" s="93">
        <f t="shared" si="11"/>
        <v>0</v>
      </c>
      <c r="AR19" s="93">
        <f t="shared" si="11"/>
        <v>0</v>
      </c>
      <c r="AS19" s="93">
        <f t="shared" si="11"/>
        <v>0</v>
      </c>
      <c r="AT19" s="93">
        <f t="shared" si="11"/>
        <v>0</v>
      </c>
      <c r="AU19" s="93">
        <f t="shared" si="11"/>
        <v>0</v>
      </c>
      <c r="AV19" s="93">
        <f t="shared" si="11"/>
        <v>0</v>
      </c>
      <c r="AW19" s="93">
        <f t="shared" ca="1" si="11"/>
        <v>0</v>
      </c>
      <c r="BB19" s="94" t="e">
        <v>#REF!</v>
      </c>
    </row>
    <row r="20" spans="1:54" s="20" customFormat="1" ht="16.5" customHeight="1">
      <c r="A20" s="783"/>
      <c r="B20" s="789"/>
      <c r="C20" s="792"/>
      <c r="D20" s="96" t="str">
        <f>D19</f>
        <v>MEC</v>
      </c>
      <c r="E20" s="97" t="str">
        <f>E19</f>
        <v>RFQ-004</v>
      </c>
      <c r="F20" s="98" t="str">
        <f>F19</f>
        <v>N</v>
      </c>
      <c r="G20" s="795"/>
      <c r="H20" s="124" t="str">
        <f>H19</f>
        <v>Production &amp; Test Seperator</v>
      </c>
      <c r="I20" s="97" t="str">
        <f>I19</f>
        <v>LA</v>
      </c>
      <c r="J20" s="98"/>
      <c r="K20" s="100"/>
      <c r="L20" s="100">
        <f>M21</f>
        <v>0.02</v>
      </c>
      <c r="M20" s="100"/>
      <c r="N20" s="97"/>
      <c r="O20" s="97"/>
      <c r="P20" s="97"/>
      <c r="Q20" s="101" t="s">
        <v>5366</v>
      </c>
      <c r="R20" s="102">
        <f>R19</f>
        <v>46288</v>
      </c>
      <c r="S20" s="125" t="e">
        <f>S19</f>
        <v>#REF!</v>
      </c>
      <c r="T20" s="102" t="e">
        <f>T19</f>
        <v>#REF!</v>
      </c>
      <c r="U20" s="102" t="e">
        <f t="shared" ref="U20:Z20" si="12">WORKDAY(IF(T21="",T20,T21),INDEX(U$2:U$5,MATCH($I19,$I$2:$I$5,0)),$BB$10:$BB$141)</f>
        <v>#REF!</v>
      </c>
      <c r="V20" s="103" t="e">
        <f t="shared" si="12"/>
        <v>#REF!</v>
      </c>
      <c r="W20" s="103" t="e">
        <f t="shared" si="12"/>
        <v>#REF!</v>
      </c>
      <c r="X20" s="103" t="e">
        <f t="shared" si="12"/>
        <v>#REF!</v>
      </c>
      <c r="Y20" s="103" t="e">
        <f t="shared" si="12"/>
        <v>#REF!</v>
      </c>
      <c r="Z20" s="103" t="e">
        <f t="shared" si="12"/>
        <v>#REF!</v>
      </c>
      <c r="AA20" s="103" t="e">
        <f>WORKDAY(IF(Z21="",X20,Z21),INDEX(AA$2:AA$5,MATCH($I19,$I$2:$I$5,0)),$BB$10:$BB$141)</f>
        <v>#REF!</v>
      </c>
      <c r="AB20" s="104" t="e">
        <f>WORKDAY(AE19+#REF!,0,'[38]Equipment List and MR List (3)'!$A$2:$A$80)</f>
        <v>#REF!</v>
      </c>
      <c r="AC20" s="798"/>
      <c r="AD20" s="105"/>
      <c r="AE20" s="800"/>
      <c r="AF20" s="807"/>
      <c r="AG20" s="810"/>
      <c r="AH20" s="106"/>
      <c r="AI20" s="107"/>
      <c r="AJ20" s="813"/>
      <c r="AK20" s="108"/>
      <c r="AL20" s="109"/>
      <c r="AM20" s="92">
        <f t="shared" ref="AM20:AW20" si="13">IF(ISERROR(LOOKUP(AM$6,$S20:$AB20,$S$9:$AB$9)),0,(LOOKUP(AM$6,$S20:$AB20,$S$9:$AB$9)))</f>
        <v>0</v>
      </c>
      <c r="AN20" s="93">
        <f t="shared" si="13"/>
        <v>0</v>
      </c>
      <c r="AO20" s="93">
        <f t="shared" si="13"/>
        <v>0</v>
      </c>
      <c r="AP20" s="93">
        <f t="shared" si="13"/>
        <v>0</v>
      </c>
      <c r="AQ20" s="93">
        <f t="shared" si="13"/>
        <v>0</v>
      </c>
      <c r="AR20" s="93">
        <f t="shared" si="13"/>
        <v>0</v>
      </c>
      <c r="AS20" s="93">
        <f t="shared" si="13"/>
        <v>0</v>
      </c>
      <c r="AT20" s="93">
        <f t="shared" si="13"/>
        <v>0</v>
      </c>
      <c r="AU20" s="93">
        <f t="shared" si="13"/>
        <v>0</v>
      </c>
      <c r="AV20" s="93">
        <f t="shared" si="13"/>
        <v>0</v>
      </c>
      <c r="AW20" s="93">
        <f t="shared" ca="1" si="13"/>
        <v>0</v>
      </c>
      <c r="BB20" s="94" t="e">
        <v>#REF!</v>
      </c>
    </row>
    <row r="21" spans="1:54" s="20" customFormat="1" ht="16.5" customHeight="1">
      <c r="A21" s="784"/>
      <c r="B21" s="790"/>
      <c r="C21" s="793"/>
      <c r="D21" s="111" t="str">
        <f>D19</f>
        <v>MEC</v>
      </c>
      <c r="E21" s="112" t="str">
        <f>E19</f>
        <v>RFQ-004</v>
      </c>
      <c r="F21" s="113" t="str">
        <f>F19</f>
        <v>N</v>
      </c>
      <c r="G21" s="796"/>
      <c r="H21" s="124" t="str">
        <f>H19</f>
        <v>Production &amp; Test Seperator</v>
      </c>
      <c r="I21" s="112" t="str">
        <f>I19</f>
        <v>LA</v>
      </c>
      <c r="J21" s="113"/>
      <c r="K21" s="114"/>
      <c r="L21" s="114"/>
      <c r="M21" s="114">
        <v>0.02</v>
      </c>
      <c r="N21" s="112"/>
      <c r="O21" s="112"/>
      <c r="P21" s="112"/>
      <c r="Q21" s="115" t="s">
        <v>368</v>
      </c>
      <c r="R21" s="115"/>
      <c r="S21" s="115"/>
      <c r="T21" s="115"/>
      <c r="U21" s="115"/>
      <c r="V21" s="115"/>
      <c r="W21" s="115"/>
      <c r="X21" s="115"/>
      <c r="Y21" s="115"/>
      <c r="Z21" s="115"/>
      <c r="AA21" s="115"/>
      <c r="AB21" s="115"/>
      <c r="AC21" s="799"/>
      <c r="AD21" s="116"/>
      <c r="AE21" s="800"/>
      <c r="AF21" s="808"/>
      <c r="AG21" s="811"/>
      <c r="AH21" s="117"/>
      <c r="AI21" s="118"/>
      <c r="AJ21" s="814"/>
      <c r="AK21" s="119"/>
      <c r="AL21" s="120"/>
      <c r="AM21" s="121">
        <f t="shared" ref="AM21:AW21" si="14">IF(ISERROR(LOOKUP(AM$6,$S21:$AB21,$S$9:$AB$9)),0,(LOOKUP(AM$6,$S21:$AB21,$S$9:$AB$9)))</f>
        <v>0</v>
      </c>
      <c r="AN21" s="122">
        <f t="shared" si="14"/>
        <v>0</v>
      </c>
      <c r="AO21" s="122">
        <f t="shared" si="14"/>
        <v>0</v>
      </c>
      <c r="AP21" s="122">
        <f t="shared" si="14"/>
        <v>0</v>
      </c>
      <c r="AQ21" s="122">
        <f t="shared" si="14"/>
        <v>0</v>
      </c>
      <c r="AR21" s="122">
        <f t="shared" si="14"/>
        <v>0</v>
      </c>
      <c r="AS21" s="122">
        <f t="shared" si="14"/>
        <v>0</v>
      </c>
      <c r="AT21" s="122">
        <f t="shared" si="14"/>
        <v>0</v>
      </c>
      <c r="AU21" s="122">
        <f t="shared" si="14"/>
        <v>0</v>
      </c>
      <c r="AV21" s="122">
        <f t="shared" si="14"/>
        <v>0</v>
      </c>
      <c r="AW21" s="122">
        <f t="shared" ca="1" si="14"/>
        <v>0</v>
      </c>
      <c r="BB21" s="94" t="e">
        <v>#REF!</v>
      </c>
    </row>
    <row r="22" spans="1:54" s="20" customFormat="1" ht="16.5" customHeight="1">
      <c r="A22" s="782">
        <f>A19+1</f>
        <v>5</v>
      </c>
      <c r="B22" s="788" t="s">
        <v>5370</v>
      </c>
      <c r="C22" s="791" t="s">
        <v>5361</v>
      </c>
      <c r="D22" s="80" t="s">
        <v>5372</v>
      </c>
      <c r="E22" s="81" t="s">
        <v>5241</v>
      </c>
      <c r="F22" s="82" t="s">
        <v>64</v>
      </c>
      <c r="G22" s="794" t="s">
        <v>5373</v>
      </c>
      <c r="H22" s="123" t="s">
        <v>5242</v>
      </c>
      <c r="I22" s="81" t="s">
        <v>6</v>
      </c>
      <c r="J22" s="82"/>
      <c r="K22" s="84">
        <f>M24</f>
        <v>0.02</v>
      </c>
      <c r="L22" s="84"/>
      <c r="M22" s="84"/>
      <c r="N22" s="81"/>
      <c r="O22" s="81"/>
      <c r="P22" s="81"/>
      <c r="Q22" s="85" t="s">
        <v>5364</v>
      </c>
      <c r="R22" s="86">
        <f>'Before Award'!U29+5</f>
        <v>46253</v>
      </c>
      <c r="S22" s="86" t="e">
        <f>WORKDAY(R22,INDEX(S$2:S$5,MATCH($I22,$I$2:$I$5,0)),$BB$10:$BB$141)</f>
        <v>#REF!</v>
      </c>
      <c r="T22" s="86" t="e">
        <f>WORKDAY(S22,INDEX(T$2:T$5,MATCH($I22,$I$2:$I$5,0)),$BB$10:$BB$141)</f>
        <v>#REF!</v>
      </c>
      <c r="U22" s="86" t="e">
        <f>T22+60</f>
        <v>#REF!</v>
      </c>
      <c r="V22" s="86"/>
      <c r="W22" s="86">
        <f>AB22-35</f>
        <v>46437</v>
      </c>
      <c r="X22" s="86"/>
      <c r="Y22" s="86"/>
      <c r="Z22" s="86"/>
      <c r="AA22" s="86"/>
      <c r="AB22" s="86">
        <f>'Before Award'!X29</f>
        <v>46472</v>
      </c>
      <c r="AC22" s="797" t="s">
        <v>5365</v>
      </c>
      <c r="AD22" s="87">
        <v>14</v>
      </c>
      <c r="AE22" s="800">
        <v>294</v>
      </c>
      <c r="AF22" s="806" t="e">
        <f>AB23</f>
        <v>#REF!</v>
      </c>
      <c r="AG22" s="809">
        <f>WORKDAY(AH22+1,-1,$BA$10:$BA$141)</f>
        <v>46339</v>
      </c>
      <c r="AH22" s="88">
        <v>46341</v>
      </c>
      <c r="AI22" s="89"/>
      <c r="AJ22" s="812" t="e">
        <f>AG22-AF22</f>
        <v>#REF!</v>
      </c>
      <c r="AK22" s="90"/>
      <c r="AL22" s="91"/>
      <c r="AM22" s="92">
        <f t="shared" ref="AM22:AW22" si="15">IF(ISERROR(LOOKUP(AM$6,$S22:$AB22,$S$9:$AB$9)),0,(LOOKUP(AM$6,$S22:$AB22,$S$9:$AB$9)))</f>
        <v>0</v>
      </c>
      <c r="AN22" s="93">
        <f t="shared" si="15"/>
        <v>0</v>
      </c>
      <c r="AO22" s="93">
        <f t="shared" si="15"/>
        <v>0</v>
      </c>
      <c r="AP22" s="93">
        <f t="shared" si="15"/>
        <v>0</v>
      </c>
      <c r="AQ22" s="93">
        <f t="shared" si="15"/>
        <v>0</v>
      </c>
      <c r="AR22" s="93">
        <f t="shared" si="15"/>
        <v>0</v>
      </c>
      <c r="AS22" s="93">
        <f t="shared" si="15"/>
        <v>0</v>
      </c>
      <c r="AT22" s="93">
        <f t="shared" si="15"/>
        <v>0</v>
      </c>
      <c r="AU22" s="93">
        <f t="shared" si="15"/>
        <v>0</v>
      </c>
      <c r="AV22" s="93">
        <f t="shared" si="15"/>
        <v>0</v>
      </c>
      <c r="AW22" s="93">
        <f t="shared" ca="1" si="15"/>
        <v>0</v>
      </c>
      <c r="BB22" s="94" t="e">
        <v>#REF!</v>
      </c>
    </row>
    <row r="23" spans="1:54" s="20" customFormat="1" ht="16.5" customHeight="1">
      <c r="A23" s="783"/>
      <c r="B23" s="789"/>
      <c r="C23" s="792"/>
      <c r="D23" s="96" t="str">
        <f>D22</f>
        <v>PIP</v>
      </c>
      <c r="E23" s="97" t="str">
        <f>E22</f>
        <v>RFQ-005</v>
      </c>
      <c r="F23" s="98" t="str">
        <f>F22</f>
        <v>Y</v>
      </c>
      <c r="G23" s="795"/>
      <c r="H23" s="124" t="str">
        <f>H22</f>
        <v>Pig Launcher and Receiver</v>
      </c>
      <c r="I23" s="97" t="str">
        <f>I22</f>
        <v>LA</v>
      </c>
      <c r="J23" s="98"/>
      <c r="K23" s="100"/>
      <c r="L23" s="100">
        <f>M24</f>
        <v>0.02</v>
      </c>
      <c r="M23" s="100"/>
      <c r="N23" s="97"/>
      <c r="O23" s="97"/>
      <c r="P23" s="97"/>
      <c r="Q23" s="101" t="s">
        <v>5366</v>
      </c>
      <c r="R23" s="102">
        <f>R22</f>
        <v>46253</v>
      </c>
      <c r="S23" s="102" t="e">
        <f>S22</f>
        <v>#REF!</v>
      </c>
      <c r="T23" s="103" t="e">
        <f>T22</f>
        <v>#REF!</v>
      </c>
      <c r="U23" s="103" t="e">
        <f t="shared" ref="U23:Z23" si="16">WORKDAY(IF(T24="",T23,T24),INDEX(U$2:U$5,MATCH($I22,$I$2:$I$5,0)),$BB$10:$BB$141)</f>
        <v>#REF!</v>
      </c>
      <c r="V23" s="103" t="e">
        <f t="shared" si="16"/>
        <v>#REF!</v>
      </c>
      <c r="W23" s="125" t="e">
        <f t="shared" si="16"/>
        <v>#REF!</v>
      </c>
      <c r="X23" s="103" t="e">
        <f t="shared" si="16"/>
        <v>#REF!</v>
      </c>
      <c r="Y23" s="103" t="e">
        <f t="shared" si="16"/>
        <v>#REF!</v>
      </c>
      <c r="Z23" s="103" t="e">
        <f t="shared" si="16"/>
        <v>#REF!</v>
      </c>
      <c r="AA23" s="103" t="e">
        <f>WORKDAY(IF(Z24="",X23,Z24),INDEX(AA$2:AA$5,MATCH($I22,$I$2:$I$5,0)),$BB$10:$BB$141)</f>
        <v>#REF!</v>
      </c>
      <c r="AB23" s="104" t="e">
        <f>WORKDAY(AE22+#REF!,0,'[38]Equipment List and MR List (3)'!$A$2:$A$80)</f>
        <v>#REF!</v>
      </c>
      <c r="AC23" s="798"/>
      <c r="AD23" s="105"/>
      <c r="AE23" s="800"/>
      <c r="AF23" s="807"/>
      <c r="AG23" s="810"/>
      <c r="AH23" s="106"/>
      <c r="AI23" s="107"/>
      <c r="AJ23" s="813"/>
      <c r="AK23" s="108"/>
      <c r="AL23" s="109"/>
      <c r="AM23" s="92">
        <f t="shared" ref="AM23:AW23" si="17">IF(ISERROR(LOOKUP(AM$6,$S23:$AB23,$S$9:$AB$9)),0,(LOOKUP(AM$6,$S23:$AB23,$S$9:$AB$9)))</f>
        <v>0</v>
      </c>
      <c r="AN23" s="93">
        <f t="shared" si="17"/>
        <v>0</v>
      </c>
      <c r="AO23" s="93">
        <f t="shared" si="17"/>
        <v>0</v>
      </c>
      <c r="AP23" s="93">
        <f t="shared" si="17"/>
        <v>0</v>
      </c>
      <c r="AQ23" s="93">
        <f t="shared" si="17"/>
        <v>0</v>
      </c>
      <c r="AR23" s="93">
        <f t="shared" si="17"/>
        <v>0</v>
      </c>
      <c r="AS23" s="93">
        <f t="shared" si="17"/>
        <v>0</v>
      </c>
      <c r="AT23" s="93">
        <f t="shared" si="17"/>
        <v>0</v>
      </c>
      <c r="AU23" s="93">
        <f t="shared" si="17"/>
        <v>0</v>
      </c>
      <c r="AV23" s="93">
        <f t="shared" si="17"/>
        <v>0</v>
      </c>
      <c r="AW23" s="93">
        <f t="shared" ca="1" si="17"/>
        <v>0</v>
      </c>
      <c r="BB23" s="94" t="e">
        <v>#REF!</v>
      </c>
    </row>
    <row r="24" spans="1:54" s="20" customFormat="1" ht="16.5" customHeight="1">
      <c r="A24" s="784"/>
      <c r="B24" s="790"/>
      <c r="C24" s="793"/>
      <c r="D24" s="111" t="str">
        <f>D22</f>
        <v>PIP</v>
      </c>
      <c r="E24" s="112" t="str">
        <f>E22</f>
        <v>RFQ-005</v>
      </c>
      <c r="F24" s="113" t="str">
        <f>F22</f>
        <v>Y</v>
      </c>
      <c r="G24" s="796"/>
      <c r="H24" s="124" t="str">
        <f>H22</f>
        <v>Pig Launcher and Receiver</v>
      </c>
      <c r="I24" s="112" t="str">
        <f>I22</f>
        <v>LA</v>
      </c>
      <c r="J24" s="113"/>
      <c r="K24" s="114"/>
      <c r="L24" s="114"/>
      <c r="M24" s="114">
        <v>0.02</v>
      </c>
      <c r="N24" s="112"/>
      <c r="O24" s="112"/>
      <c r="P24" s="112"/>
      <c r="Q24" s="115" t="s">
        <v>368</v>
      </c>
      <c r="R24" s="115"/>
      <c r="S24" s="115"/>
      <c r="T24" s="115"/>
      <c r="U24" s="115"/>
      <c r="V24" s="115"/>
      <c r="W24" s="115"/>
      <c r="X24" s="115"/>
      <c r="Y24" s="115"/>
      <c r="Z24" s="115"/>
      <c r="AA24" s="115"/>
      <c r="AB24" s="115"/>
      <c r="AC24" s="799"/>
      <c r="AD24" s="116"/>
      <c r="AE24" s="800"/>
      <c r="AF24" s="808"/>
      <c r="AG24" s="811"/>
      <c r="AH24" s="117"/>
      <c r="AI24" s="118"/>
      <c r="AJ24" s="814"/>
      <c r="AK24" s="119"/>
      <c r="AL24" s="120"/>
      <c r="AM24" s="121">
        <f t="shared" ref="AM24:AW24" si="18">IF(ISERROR(LOOKUP(AM$6,$S24:$AB24,$S$9:$AB$9)),0,(LOOKUP(AM$6,$S24:$AB24,$S$9:$AB$9)))</f>
        <v>0</v>
      </c>
      <c r="AN24" s="122">
        <f t="shared" si="18"/>
        <v>0</v>
      </c>
      <c r="AO24" s="122">
        <f t="shared" si="18"/>
        <v>0</v>
      </c>
      <c r="AP24" s="122">
        <f t="shared" si="18"/>
        <v>0</v>
      </c>
      <c r="AQ24" s="122">
        <f t="shared" si="18"/>
        <v>0</v>
      </c>
      <c r="AR24" s="122">
        <f t="shared" si="18"/>
        <v>0</v>
      </c>
      <c r="AS24" s="122">
        <f t="shared" si="18"/>
        <v>0</v>
      </c>
      <c r="AT24" s="122">
        <f t="shared" si="18"/>
        <v>0</v>
      </c>
      <c r="AU24" s="122">
        <f t="shared" si="18"/>
        <v>0</v>
      </c>
      <c r="AV24" s="122">
        <f t="shared" si="18"/>
        <v>0</v>
      </c>
      <c r="AW24" s="122">
        <f t="shared" ca="1" si="18"/>
        <v>0</v>
      </c>
      <c r="BB24" s="94" t="e">
        <v>#REF!</v>
      </c>
    </row>
    <row r="25" spans="1:54" s="20" customFormat="1" ht="19.5" customHeight="1">
      <c r="A25" s="782">
        <f>A22+1</f>
        <v>6</v>
      </c>
      <c r="B25" s="785" t="s">
        <v>5374</v>
      </c>
      <c r="C25" s="791" t="s">
        <v>5361</v>
      </c>
      <c r="D25" s="80" t="s">
        <v>5362</v>
      </c>
      <c r="E25" s="81" t="s">
        <v>5243</v>
      </c>
      <c r="F25" s="82" t="s">
        <v>64</v>
      </c>
      <c r="G25" s="794" t="s">
        <v>5375</v>
      </c>
      <c r="H25" s="83" t="s">
        <v>5244</v>
      </c>
      <c r="I25" s="81" t="s">
        <v>6</v>
      </c>
      <c r="J25" s="82"/>
      <c r="K25" s="84">
        <f>M27</f>
        <v>0.01</v>
      </c>
      <c r="L25" s="84"/>
      <c r="M25" s="84"/>
      <c r="N25" s="81"/>
      <c r="O25" s="81"/>
      <c r="P25" s="81"/>
      <c r="Q25" s="85" t="s">
        <v>5364</v>
      </c>
      <c r="R25" s="86">
        <f>'Before Award'!U32+5</f>
        <v>46225</v>
      </c>
      <c r="S25" s="86" t="e">
        <f>WORKDAY(R25,INDEX(S$2:S$5,MATCH($I25,$I$2:$I$5,0)),$BB$10:$BB$141)</f>
        <v>#REF!</v>
      </c>
      <c r="T25" s="86" t="e">
        <f>WORKDAY(S25,INDEX(T$2:T$5,MATCH($I25,$I$2:$I$5,0)),$BB$10:$BB$141)</f>
        <v>#REF!</v>
      </c>
      <c r="U25" s="86" t="e">
        <f>T25+60</f>
        <v>#REF!</v>
      </c>
      <c r="V25" s="86"/>
      <c r="W25" s="86">
        <f>AB25-35</f>
        <v>46409</v>
      </c>
      <c r="X25" s="86"/>
      <c r="Y25" s="86"/>
      <c r="Z25" s="86"/>
      <c r="AA25" s="86"/>
      <c r="AB25" s="86">
        <f>'Before Award'!X32</f>
        <v>46444</v>
      </c>
      <c r="AC25" s="797" t="s">
        <v>5365</v>
      </c>
      <c r="AD25" s="87">
        <v>14</v>
      </c>
      <c r="AE25" s="800">
        <f>32*7</f>
        <v>224</v>
      </c>
      <c r="AF25" s="806" t="e">
        <f>AB26</f>
        <v>#REF!</v>
      </c>
      <c r="AG25" s="809">
        <f>WORKDAY(AH25+1,-1,$BA$10:$BA$141)</f>
        <v>46444</v>
      </c>
      <c r="AH25" s="88">
        <v>46446</v>
      </c>
      <c r="AI25" s="89"/>
      <c r="AJ25" s="812" t="e">
        <f>AG25-AF25</f>
        <v>#REF!</v>
      </c>
      <c r="AK25" s="90"/>
      <c r="AL25" s="91"/>
      <c r="AM25" s="92">
        <f t="shared" ref="AM25:AW25" si="19">IF(ISERROR(LOOKUP(AM$6,$S25:$AB25,$S$9:$AB$9)),0,(LOOKUP(AM$6,$S25:$AB25,$S$9:$AB$9)))</f>
        <v>0</v>
      </c>
      <c r="AN25" s="93">
        <f t="shared" si="19"/>
        <v>0</v>
      </c>
      <c r="AO25" s="93">
        <f t="shared" si="19"/>
        <v>0</v>
      </c>
      <c r="AP25" s="93">
        <f t="shared" si="19"/>
        <v>0</v>
      </c>
      <c r="AQ25" s="93">
        <f t="shared" si="19"/>
        <v>0</v>
      </c>
      <c r="AR25" s="93">
        <f t="shared" si="19"/>
        <v>0</v>
      </c>
      <c r="AS25" s="93">
        <f t="shared" si="19"/>
        <v>0</v>
      </c>
      <c r="AT25" s="93">
        <f t="shared" si="19"/>
        <v>0</v>
      </c>
      <c r="AU25" s="93">
        <f t="shared" si="19"/>
        <v>0</v>
      </c>
      <c r="AV25" s="93">
        <f t="shared" si="19"/>
        <v>0</v>
      </c>
      <c r="AW25" s="93">
        <f t="shared" ca="1" si="19"/>
        <v>0</v>
      </c>
      <c r="BB25" s="94" t="e">
        <v>#REF!</v>
      </c>
    </row>
    <row r="26" spans="1:54" s="20" customFormat="1" ht="19.5" customHeight="1">
      <c r="A26" s="783"/>
      <c r="B26" s="786"/>
      <c r="C26" s="792"/>
      <c r="D26" s="96" t="str">
        <f>D25</f>
        <v>MEC</v>
      </c>
      <c r="E26" s="97" t="str">
        <f>E25</f>
        <v>RFQ-006</v>
      </c>
      <c r="F26" s="98" t="str">
        <f>F25</f>
        <v>Y</v>
      </c>
      <c r="G26" s="795"/>
      <c r="H26" s="99" t="str">
        <f>H25</f>
        <v>Corrosion Inhibitor Injection Pump</v>
      </c>
      <c r="I26" s="97" t="str">
        <f>I25</f>
        <v>LA</v>
      </c>
      <c r="J26" s="98"/>
      <c r="K26" s="100"/>
      <c r="L26" s="100">
        <f>M27</f>
        <v>0.01</v>
      </c>
      <c r="M26" s="100"/>
      <c r="N26" s="97"/>
      <c r="O26" s="97"/>
      <c r="P26" s="97"/>
      <c r="Q26" s="101" t="s">
        <v>5366</v>
      </c>
      <c r="R26" s="102">
        <f>R25</f>
        <v>46225</v>
      </c>
      <c r="S26" s="102" t="e">
        <f>S25</f>
        <v>#REF!</v>
      </c>
      <c r="T26" s="103" t="e">
        <f>T25</f>
        <v>#REF!</v>
      </c>
      <c r="U26" s="103" t="e">
        <f t="shared" ref="U26:Z26" si="20">WORKDAY(IF(T27="",T26,T27),INDEX(U$2:U$5,MATCH($I25,$I$2:$I$5,0)),$BB$10:$BB$141)</f>
        <v>#REF!</v>
      </c>
      <c r="V26" s="103" t="e">
        <f t="shared" si="20"/>
        <v>#REF!</v>
      </c>
      <c r="W26" s="103" t="e">
        <f t="shared" si="20"/>
        <v>#REF!</v>
      </c>
      <c r="X26" s="103" t="e">
        <f t="shared" si="20"/>
        <v>#REF!</v>
      </c>
      <c r="Y26" s="103" t="e">
        <f t="shared" si="20"/>
        <v>#REF!</v>
      </c>
      <c r="Z26" s="103" t="e">
        <f t="shared" si="20"/>
        <v>#REF!</v>
      </c>
      <c r="AA26" s="103" t="e">
        <f>WORKDAY(IF(Z27="",X26,Z27),INDEX(AA$2:AA$5,MATCH($I25,$I$2:$I$5,0)),$BB$10:$BB$141)</f>
        <v>#REF!</v>
      </c>
      <c r="AB26" s="104" t="e">
        <f>WORKDAY(AE25+#REF!,0,'[38]Equipment List and MR List (3)'!$A$2:$A$80)</f>
        <v>#REF!</v>
      </c>
      <c r="AC26" s="798"/>
      <c r="AD26" s="105"/>
      <c r="AE26" s="800"/>
      <c r="AF26" s="807"/>
      <c r="AG26" s="810"/>
      <c r="AH26" s="106"/>
      <c r="AI26" s="107"/>
      <c r="AJ26" s="813"/>
      <c r="AK26" s="108"/>
      <c r="AL26" s="109"/>
      <c r="AM26" s="92">
        <f t="shared" ref="AM26:AW26" si="21">IF(ISERROR(LOOKUP(AM$6,$S26:$AB26,$S$9:$AB$9)),0,(LOOKUP(AM$6,$S26:$AB26,$S$9:$AB$9)))</f>
        <v>0</v>
      </c>
      <c r="AN26" s="93">
        <f t="shared" si="21"/>
        <v>0</v>
      </c>
      <c r="AO26" s="93">
        <f t="shared" si="21"/>
        <v>0</v>
      </c>
      <c r="AP26" s="93">
        <f t="shared" si="21"/>
        <v>0</v>
      </c>
      <c r="AQ26" s="93">
        <f t="shared" si="21"/>
        <v>0</v>
      </c>
      <c r="AR26" s="93">
        <f t="shared" si="21"/>
        <v>0</v>
      </c>
      <c r="AS26" s="93">
        <f t="shared" si="21"/>
        <v>0</v>
      </c>
      <c r="AT26" s="93">
        <f t="shared" si="21"/>
        <v>0</v>
      </c>
      <c r="AU26" s="93">
        <f t="shared" si="21"/>
        <v>0</v>
      </c>
      <c r="AV26" s="93">
        <f t="shared" si="21"/>
        <v>0</v>
      </c>
      <c r="AW26" s="93">
        <f t="shared" ca="1" si="21"/>
        <v>0</v>
      </c>
      <c r="BB26" s="94" t="e">
        <v>#REF!</v>
      </c>
    </row>
    <row r="27" spans="1:54" s="20" customFormat="1" ht="19.5" customHeight="1">
      <c r="A27" s="784"/>
      <c r="B27" s="787"/>
      <c r="C27" s="793"/>
      <c r="D27" s="111" t="str">
        <f>D25</f>
        <v>MEC</v>
      </c>
      <c r="E27" s="112" t="str">
        <f>E25</f>
        <v>RFQ-006</v>
      </c>
      <c r="F27" s="113" t="str">
        <f>F25</f>
        <v>Y</v>
      </c>
      <c r="G27" s="796"/>
      <c r="H27" s="99" t="str">
        <f>H25</f>
        <v>Corrosion Inhibitor Injection Pump</v>
      </c>
      <c r="I27" s="112" t="str">
        <f>I25</f>
        <v>LA</v>
      </c>
      <c r="J27" s="113"/>
      <c r="K27" s="114"/>
      <c r="L27" s="114"/>
      <c r="M27" s="114">
        <v>0.01</v>
      </c>
      <c r="N27" s="112"/>
      <c r="O27" s="112"/>
      <c r="P27" s="112"/>
      <c r="Q27" s="115" t="s">
        <v>368</v>
      </c>
      <c r="R27" s="115"/>
      <c r="S27" s="115"/>
      <c r="T27" s="115"/>
      <c r="U27" s="115"/>
      <c r="V27" s="115"/>
      <c r="W27" s="115"/>
      <c r="X27" s="115"/>
      <c r="Y27" s="115"/>
      <c r="Z27" s="115"/>
      <c r="AA27" s="115"/>
      <c r="AB27" s="115"/>
      <c r="AC27" s="799"/>
      <c r="AD27" s="116"/>
      <c r="AE27" s="800"/>
      <c r="AF27" s="808"/>
      <c r="AG27" s="811"/>
      <c r="AH27" s="117"/>
      <c r="AI27" s="118"/>
      <c r="AJ27" s="814"/>
      <c r="AK27" s="119"/>
      <c r="AL27" s="120"/>
      <c r="AM27" s="121">
        <f t="shared" ref="AM27:AW27" si="22">IF(ISERROR(LOOKUP(AM$6,$S27:$AB27,$S$9:$AB$9)),0,(LOOKUP(AM$6,$S27:$AB27,$S$9:$AB$9)))</f>
        <v>0</v>
      </c>
      <c r="AN27" s="122">
        <f t="shared" si="22"/>
        <v>0</v>
      </c>
      <c r="AO27" s="122">
        <f t="shared" si="22"/>
        <v>0</v>
      </c>
      <c r="AP27" s="122">
        <f t="shared" si="22"/>
        <v>0</v>
      </c>
      <c r="AQ27" s="122">
        <f t="shared" si="22"/>
        <v>0</v>
      </c>
      <c r="AR27" s="122">
        <f t="shared" si="22"/>
        <v>0</v>
      </c>
      <c r="AS27" s="122">
        <f t="shared" si="22"/>
        <v>0</v>
      </c>
      <c r="AT27" s="122">
        <f t="shared" si="22"/>
        <v>0</v>
      </c>
      <c r="AU27" s="122">
        <f t="shared" si="22"/>
        <v>0</v>
      </c>
      <c r="AV27" s="122">
        <f t="shared" si="22"/>
        <v>0</v>
      </c>
      <c r="AW27" s="122">
        <f t="shared" ca="1" si="22"/>
        <v>0</v>
      </c>
      <c r="BB27" s="94" t="e">
        <v>#REF!</v>
      </c>
    </row>
    <row r="28" spans="1:54" s="20" customFormat="1" ht="18" customHeight="1">
      <c r="A28" s="782">
        <f>A25+1</f>
        <v>7</v>
      </c>
      <c r="B28" s="79"/>
      <c r="C28" s="791" t="s">
        <v>5361</v>
      </c>
      <c r="D28" s="80" t="s">
        <v>5362</v>
      </c>
      <c r="E28" s="81" t="s">
        <v>5245</v>
      </c>
      <c r="F28" s="82" t="s">
        <v>73</v>
      </c>
      <c r="G28" s="794" t="s">
        <v>5375</v>
      </c>
      <c r="H28" s="82" t="s">
        <v>5246</v>
      </c>
      <c r="I28" s="81" t="s">
        <v>6</v>
      </c>
      <c r="J28" s="82"/>
      <c r="K28" s="84">
        <f>M30</f>
        <v>0.02</v>
      </c>
      <c r="L28" s="84"/>
      <c r="M28" s="84"/>
      <c r="N28" s="81"/>
      <c r="O28" s="81"/>
      <c r="P28" s="81"/>
      <c r="Q28" s="85" t="s">
        <v>5364</v>
      </c>
      <c r="R28" s="86">
        <f>'Before Award'!U35+5</f>
        <v>46258</v>
      </c>
      <c r="S28" s="86" t="e">
        <f>WORKDAY(R28,INDEX(S$2:S$5,MATCH($I28,$I$2:$I$5,0)),$BB$10:$BB$141)</f>
        <v>#REF!</v>
      </c>
      <c r="T28" s="86" t="e">
        <f>WORKDAY(S28,INDEX(T$2:T$5,MATCH($I28,$I$2:$I$5,0)),$BB$10:$BB$141)</f>
        <v>#REF!</v>
      </c>
      <c r="U28" s="86" t="e">
        <f>T28+60</f>
        <v>#REF!</v>
      </c>
      <c r="V28" s="86"/>
      <c r="W28" s="86">
        <f>AB28-35</f>
        <v>46442</v>
      </c>
      <c r="X28" s="86"/>
      <c r="Y28" s="86"/>
      <c r="Z28" s="86"/>
      <c r="AA28" s="86"/>
      <c r="AB28" s="86">
        <f>'Before Award'!X35</f>
        <v>46477</v>
      </c>
      <c r="AC28" s="797" t="s">
        <v>5365</v>
      </c>
      <c r="AD28" s="87">
        <v>14</v>
      </c>
      <c r="AE28" s="801">
        <f>32*7</f>
        <v>224</v>
      </c>
      <c r="AF28" s="806" t="e">
        <f>AB29</f>
        <v>#REF!</v>
      </c>
      <c r="AG28" s="809">
        <f>WORKDAY(AH28+1,-1,$BA$10:$BA$141)</f>
        <v>46477</v>
      </c>
      <c r="AH28" s="88">
        <v>46477</v>
      </c>
      <c r="AI28" s="89"/>
      <c r="AJ28" s="812" t="e">
        <f>AG28-AF28</f>
        <v>#REF!</v>
      </c>
      <c r="AK28" s="90"/>
      <c r="AL28" s="91"/>
      <c r="AM28" s="92">
        <f t="shared" ref="AM28:AW28" si="23">IF(ISERROR(LOOKUP(AM$6,$S28:$AB28,$S$9:$AB$9)),0,(LOOKUP(AM$6,$S28:$AB28,$S$9:$AB$9)))</f>
        <v>0</v>
      </c>
      <c r="AN28" s="93">
        <f t="shared" si="23"/>
        <v>0</v>
      </c>
      <c r="AO28" s="93">
        <f t="shared" si="23"/>
        <v>0</v>
      </c>
      <c r="AP28" s="93">
        <f t="shared" si="23"/>
        <v>0</v>
      </c>
      <c r="AQ28" s="93">
        <f t="shared" si="23"/>
        <v>0</v>
      </c>
      <c r="AR28" s="93">
        <f t="shared" si="23"/>
        <v>0</v>
      </c>
      <c r="AS28" s="93">
        <f t="shared" si="23"/>
        <v>0</v>
      </c>
      <c r="AT28" s="93">
        <f t="shared" si="23"/>
        <v>0</v>
      </c>
      <c r="AU28" s="93">
        <f t="shared" si="23"/>
        <v>0</v>
      </c>
      <c r="AV28" s="93">
        <f t="shared" si="23"/>
        <v>0</v>
      </c>
      <c r="AW28" s="93">
        <f t="shared" ca="1" si="23"/>
        <v>0</v>
      </c>
      <c r="BB28" s="94" t="e">
        <v>#REF!</v>
      </c>
    </row>
    <row r="29" spans="1:54" s="20" customFormat="1" ht="18" customHeight="1">
      <c r="A29" s="783"/>
      <c r="B29" s="95"/>
      <c r="C29" s="792"/>
      <c r="D29" s="96" t="str">
        <f>D28</f>
        <v>MEC</v>
      </c>
      <c r="E29" s="97" t="str">
        <f>E28</f>
        <v>RFQ-007</v>
      </c>
      <c r="F29" s="98" t="str">
        <f>F28</f>
        <v>N</v>
      </c>
      <c r="G29" s="795"/>
      <c r="H29" s="98" t="str">
        <f>H28</f>
        <v>Demulsifier/Water Clarifier Injection Pump</v>
      </c>
      <c r="I29" s="97" t="str">
        <f>I28</f>
        <v>LA</v>
      </c>
      <c r="J29" s="98"/>
      <c r="K29" s="100"/>
      <c r="L29" s="100">
        <f>M30</f>
        <v>0.02</v>
      </c>
      <c r="M29" s="100"/>
      <c r="N29" s="97"/>
      <c r="O29" s="97"/>
      <c r="P29" s="97"/>
      <c r="Q29" s="101" t="s">
        <v>5366</v>
      </c>
      <c r="R29" s="102">
        <f>R28</f>
        <v>46258</v>
      </c>
      <c r="S29" s="102" t="e">
        <f>S28</f>
        <v>#REF!</v>
      </c>
      <c r="T29" s="103" t="e">
        <f>T28</f>
        <v>#REF!</v>
      </c>
      <c r="U29" s="103" t="e">
        <f t="shared" ref="U29:Z29" si="24">WORKDAY(IF(T30="",T29,T30),INDEX(U$2:U$5,MATCH($I28,$I$2:$I$5,0)),$BB$10:$BB$141)</f>
        <v>#REF!</v>
      </c>
      <c r="V29" s="103" t="e">
        <f t="shared" si="24"/>
        <v>#REF!</v>
      </c>
      <c r="W29" s="103" t="e">
        <f t="shared" si="24"/>
        <v>#REF!</v>
      </c>
      <c r="X29" s="103" t="e">
        <f t="shared" si="24"/>
        <v>#REF!</v>
      </c>
      <c r="Y29" s="103" t="e">
        <f t="shared" si="24"/>
        <v>#REF!</v>
      </c>
      <c r="Z29" s="103" t="e">
        <f t="shared" si="24"/>
        <v>#REF!</v>
      </c>
      <c r="AA29" s="103" t="e">
        <f>WORKDAY(IF(Z30="",X29,Z30),INDEX(AA$2:AA$5,MATCH($I28,$I$2:$I$5,0)),$BB$10:$BB$141)</f>
        <v>#REF!</v>
      </c>
      <c r="AB29" s="104" t="e">
        <f>WORKDAY(AE28+#REF!,0,'[38]Equipment List and MR List (3)'!$A$2:$A$80)</f>
        <v>#REF!</v>
      </c>
      <c r="AC29" s="798"/>
      <c r="AD29" s="105"/>
      <c r="AE29" s="801"/>
      <c r="AF29" s="807"/>
      <c r="AG29" s="810"/>
      <c r="AH29" s="106"/>
      <c r="AI29" s="107"/>
      <c r="AJ29" s="813"/>
      <c r="AK29" s="108"/>
      <c r="AL29" s="109"/>
      <c r="AM29" s="92">
        <f t="shared" ref="AM29:AW29" si="25">IF(ISERROR(LOOKUP(AM$6,$S29:$AB29,$S$9:$AB$9)),0,(LOOKUP(AM$6,$S29:$AB29,$S$9:$AB$9)))</f>
        <v>0</v>
      </c>
      <c r="AN29" s="93">
        <f t="shared" si="25"/>
        <v>0</v>
      </c>
      <c r="AO29" s="93">
        <f t="shared" si="25"/>
        <v>0</v>
      </c>
      <c r="AP29" s="93">
        <f t="shared" si="25"/>
        <v>0</v>
      </c>
      <c r="AQ29" s="93">
        <f t="shared" si="25"/>
        <v>0</v>
      </c>
      <c r="AR29" s="93">
        <f t="shared" si="25"/>
        <v>0</v>
      </c>
      <c r="AS29" s="93">
        <f t="shared" si="25"/>
        <v>0</v>
      </c>
      <c r="AT29" s="93">
        <f t="shared" si="25"/>
        <v>0</v>
      </c>
      <c r="AU29" s="93">
        <f t="shared" si="25"/>
        <v>0</v>
      </c>
      <c r="AV29" s="93">
        <f t="shared" si="25"/>
        <v>0</v>
      </c>
      <c r="AW29" s="93">
        <f t="shared" ca="1" si="25"/>
        <v>0</v>
      </c>
      <c r="BB29" s="94" t="e">
        <v>#REF!</v>
      </c>
    </row>
    <row r="30" spans="1:54" s="20" customFormat="1" ht="18" customHeight="1">
      <c r="A30" s="784"/>
      <c r="B30" s="110"/>
      <c r="C30" s="793"/>
      <c r="D30" s="111" t="str">
        <f>D28</f>
        <v>MEC</v>
      </c>
      <c r="E30" s="112" t="str">
        <f>E28</f>
        <v>RFQ-007</v>
      </c>
      <c r="F30" s="113" t="str">
        <f>F28</f>
        <v>N</v>
      </c>
      <c r="G30" s="796"/>
      <c r="H30" s="113" t="str">
        <f>H28</f>
        <v>Demulsifier/Water Clarifier Injection Pump</v>
      </c>
      <c r="I30" s="112" t="str">
        <f>I28</f>
        <v>LA</v>
      </c>
      <c r="J30" s="113"/>
      <c r="K30" s="114"/>
      <c r="L30" s="114"/>
      <c r="M30" s="114">
        <v>0.02</v>
      </c>
      <c r="N30" s="112"/>
      <c r="O30" s="112"/>
      <c r="P30" s="112"/>
      <c r="Q30" s="115" t="s">
        <v>368</v>
      </c>
      <c r="R30" s="115"/>
      <c r="S30" s="126"/>
      <c r="T30" s="126"/>
      <c r="U30" s="126"/>
      <c r="V30" s="126"/>
      <c r="W30" s="126"/>
      <c r="X30" s="126"/>
      <c r="Y30" s="126"/>
      <c r="Z30" s="126"/>
      <c r="AA30" s="126"/>
      <c r="AB30" s="126"/>
      <c r="AC30" s="799"/>
      <c r="AD30" s="116"/>
      <c r="AE30" s="801"/>
      <c r="AF30" s="808"/>
      <c r="AG30" s="811"/>
      <c r="AH30" s="117"/>
      <c r="AI30" s="118"/>
      <c r="AJ30" s="814"/>
      <c r="AK30" s="119"/>
      <c r="AL30" s="120"/>
      <c r="AM30" s="121">
        <f t="shared" ref="AM30:AW30" si="26">IF(ISERROR(LOOKUP(AM$6,$S30:$AB30,$S$9:$AB$9)),0,(LOOKUP(AM$6,$S30:$AB30,$S$9:$AB$9)))</f>
        <v>0</v>
      </c>
      <c r="AN30" s="122">
        <f t="shared" si="26"/>
        <v>0</v>
      </c>
      <c r="AO30" s="122">
        <f t="shared" si="26"/>
        <v>0</v>
      </c>
      <c r="AP30" s="122">
        <f t="shared" si="26"/>
        <v>0</v>
      </c>
      <c r="AQ30" s="122">
        <f t="shared" si="26"/>
        <v>0</v>
      </c>
      <c r="AR30" s="122">
        <f t="shared" si="26"/>
        <v>0</v>
      </c>
      <c r="AS30" s="122">
        <f t="shared" si="26"/>
        <v>0</v>
      </c>
      <c r="AT30" s="122">
        <f t="shared" si="26"/>
        <v>0</v>
      </c>
      <c r="AU30" s="122">
        <f t="shared" si="26"/>
        <v>0</v>
      </c>
      <c r="AV30" s="122">
        <f t="shared" si="26"/>
        <v>0</v>
      </c>
      <c r="AW30" s="122">
        <f t="shared" ca="1" si="26"/>
        <v>0</v>
      </c>
      <c r="BB30" s="94" t="e">
        <v>#REF!</v>
      </c>
    </row>
    <row r="31" spans="1:54" s="20" customFormat="1" ht="18" customHeight="1">
      <c r="A31" s="782">
        <f>A28+1</f>
        <v>8</v>
      </c>
      <c r="B31" s="788" t="s">
        <v>5376</v>
      </c>
      <c r="C31" s="791" t="s">
        <v>5361</v>
      </c>
      <c r="D31" s="80" t="s">
        <v>5362</v>
      </c>
      <c r="E31" s="81" t="s">
        <v>5247</v>
      </c>
      <c r="F31" s="82" t="str">
        <f>IF(_xlfn.XLOOKUP(E31,'[38]Before Award'!D:D,'[38]Before Award'!AV:AV,"N/A")="N/A","N","Y")</f>
        <v>N</v>
      </c>
      <c r="G31" s="794" t="s">
        <v>5377</v>
      </c>
      <c r="H31" s="123" t="s">
        <v>5248</v>
      </c>
      <c r="I31" s="81" t="s">
        <v>6</v>
      </c>
      <c r="J31" s="82"/>
      <c r="K31" s="84">
        <f>M33</f>
        <v>0.01</v>
      </c>
      <c r="L31" s="84"/>
      <c r="M31" s="84"/>
      <c r="N31" s="81"/>
      <c r="O31" s="81"/>
      <c r="P31" s="81"/>
      <c r="Q31" s="85" t="s">
        <v>5364</v>
      </c>
      <c r="R31" s="86">
        <f>'Before Award'!U38+5</f>
        <v>46239</v>
      </c>
      <c r="S31" s="86" t="e">
        <f>WORKDAY(R31,INDEX(S$2:S$5,MATCH($I31,$I$2:$I$5,0)),$BB$10:$BB$141)</f>
        <v>#REF!</v>
      </c>
      <c r="T31" s="86" t="e">
        <f>WORKDAY(S31,INDEX(T$2:T$5,MATCH($I31,$I$2:$I$5,0)),$BB$10:$BB$141)</f>
        <v>#REF!</v>
      </c>
      <c r="U31" s="86" t="e">
        <f>T31+60</f>
        <v>#REF!</v>
      </c>
      <c r="V31" s="86"/>
      <c r="W31" s="86">
        <f>AB31-35</f>
        <v>46381</v>
      </c>
      <c r="X31" s="86"/>
      <c r="Y31" s="86"/>
      <c r="Z31" s="86"/>
      <c r="AA31" s="86"/>
      <c r="AB31" s="86">
        <f>'Before Award'!X38</f>
        <v>46416</v>
      </c>
      <c r="AC31" s="797" t="s">
        <v>5365</v>
      </c>
      <c r="AD31" s="87">
        <v>14</v>
      </c>
      <c r="AE31" s="800">
        <v>280</v>
      </c>
      <c r="AF31" s="806" t="e">
        <f>AB32</f>
        <v>#REF!</v>
      </c>
      <c r="AG31" s="809">
        <f>WORKDAY(AH31+1,-1,$BA$10:$BA$141)</f>
        <v>46416</v>
      </c>
      <c r="AH31" s="88">
        <v>46418</v>
      </c>
      <c r="AI31" s="89"/>
      <c r="AJ31" s="812" t="e">
        <f>AG31-AF31</f>
        <v>#REF!</v>
      </c>
      <c r="AK31" s="90"/>
      <c r="AL31" s="91"/>
      <c r="AM31" s="92">
        <f t="shared" ref="AM31:AW31" si="27">IF(ISERROR(LOOKUP(AM$6,$S31:$AB31,$S$9:$AB$9)),0,(LOOKUP(AM$6,$S31:$AB31,$S$9:$AB$9)))</f>
        <v>0</v>
      </c>
      <c r="AN31" s="93">
        <f t="shared" si="27"/>
        <v>0</v>
      </c>
      <c r="AO31" s="93">
        <f t="shared" si="27"/>
        <v>0</v>
      </c>
      <c r="AP31" s="93">
        <f t="shared" si="27"/>
        <v>0</v>
      </c>
      <c r="AQ31" s="93">
        <f t="shared" si="27"/>
        <v>0</v>
      </c>
      <c r="AR31" s="93">
        <f t="shared" si="27"/>
        <v>0</v>
      </c>
      <c r="AS31" s="93">
        <f t="shared" si="27"/>
        <v>0</v>
      </c>
      <c r="AT31" s="93">
        <f t="shared" si="27"/>
        <v>0</v>
      </c>
      <c r="AU31" s="93">
        <f t="shared" si="27"/>
        <v>0</v>
      </c>
      <c r="AV31" s="93">
        <f t="shared" si="27"/>
        <v>0</v>
      </c>
      <c r="AW31" s="93">
        <f t="shared" ca="1" si="27"/>
        <v>0</v>
      </c>
      <c r="BB31" s="94" t="e">
        <v>#REF!</v>
      </c>
    </row>
    <row r="32" spans="1:54" s="20" customFormat="1" ht="18" customHeight="1">
      <c r="A32" s="783"/>
      <c r="B32" s="789"/>
      <c r="C32" s="792"/>
      <c r="D32" s="96" t="str">
        <f>D31</f>
        <v>MEC</v>
      </c>
      <c r="E32" s="97" t="str">
        <f>E31</f>
        <v>RFQ-008</v>
      </c>
      <c r="F32" s="98" t="str">
        <f>F31</f>
        <v>N</v>
      </c>
      <c r="G32" s="795"/>
      <c r="H32" s="124" t="str">
        <f>H31</f>
        <v>De-Oiler Hydrocyclone</v>
      </c>
      <c r="I32" s="97" t="str">
        <f>I31</f>
        <v>LA</v>
      </c>
      <c r="J32" s="98"/>
      <c r="K32" s="100"/>
      <c r="L32" s="100">
        <f>M33</f>
        <v>0.01</v>
      </c>
      <c r="M32" s="100"/>
      <c r="N32" s="97"/>
      <c r="O32" s="97"/>
      <c r="P32" s="97"/>
      <c r="Q32" s="101" t="s">
        <v>5366</v>
      </c>
      <c r="R32" s="102">
        <f>R31</f>
        <v>46239</v>
      </c>
      <c r="S32" s="102" t="e">
        <f>S31</f>
        <v>#REF!</v>
      </c>
      <c r="T32" s="103" t="e">
        <f>T31</f>
        <v>#REF!</v>
      </c>
      <c r="U32" s="103" t="e">
        <f t="shared" ref="U32:Z32" si="28">WORKDAY(IF(T33="",T32,T33),INDEX(U$2:U$5,MATCH($I31,$I$2:$I$5,0)),$BB$10:$BB$141)</f>
        <v>#REF!</v>
      </c>
      <c r="V32" s="103" t="e">
        <f t="shared" si="28"/>
        <v>#REF!</v>
      </c>
      <c r="W32" s="103" t="e">
        <f t="shared" si="28"/>
        <v>#REF!</v>
      </c>
      <c r="X32" s="103" t="e">
        <f t="shared" si="28"/>
        <v>#REF!</v>
      </c>
      <c r="Y32" s="103" t="e">
        <f t="shared" si="28"/>
        <v>#REF!</v>
      </c>
      <c r="Z32" s="103" t="e">
        <f t="shared" si="28"/>
        <v>#REF!</v>
      </c>
      <c r="AA32" s="103" t="e">
        <f>WORKDAY(IF(Z33="",X32,Z33),INDEX(AA$2:AA$5,MATCH($I31,$I$2:$I$5,0)),$BB$10:$BB$141)</f>
        <v>#REF!</v>
      </c>
      <c r="AB32" s="104" t="e">
        <f>WORKDAY(AE31+#REF!,0,'[38]Equipment List and MR List (3)'!$A$2:$A$80)</f>
        <v>#REF!</v>
      </c>
      <c r="AC32" s="798"/>
      <c r="AD32" s="105"/>
      <c r="AE32" s="800"/>
      <c r="AF32" s="807"/>
      <c r="AG32" s="810"/>
      <c r="AH32" s="106"/>
      <c r="AI32" s="107"/>
      <c r="AJ32" s="813"/>
      <c r="AK32" s="108"/>
      <c r="AL32" s="109"/>
      <c r="AM32" s="92">
        <f t="shared" ref="AM32:AW32" si="29">IF(ISERROR(LOOKUP(AM$6,$S32:$AB32,$S$9:$AB$9)),0,(LOOKUP(AM$6,$S32:$AB32,$S$9:$AB$9)))</f>
        <v>0</v>
      </c>
      <c r="AN32" s="93">
        <f t="shared" si="29"/>
        <v>0</v>
      </c>
      <c r="AO32" s="93">
        <f t="shared" si="29"/>
        <v>0</v>
      </c>
      <c r="AP32" s="93">
        <f t="shared" si="29"/>
        <v>0</v>
      </c>
      <c r="AQ32" s="93">
        <f t="shared" si="29"/>
        <v>0</v>
      </c>
      <c r="AR32" s="93">
        <f t="shared" si="29"/>
        <v>0</v>
      </c>
      <c r="AS32" s="93">
        <f t="shared" si="29"/>
        <v>0</v>
      </c>
      <c r="AT32" s="93">
        <f t="shared" si="29"/>
        <v>0</v>
      </c>
      <c r="AU32" s="93">
        <f t="shared" si="29"/>
        <v>0</v>
      </c>
      <c r="AV32" s="93">
        <f t="shared" si="29"/>
        <v>0</v>
      </c>
      <c r="AW32" s="93">
        <f t="shared" ca="1" si="29"/>
        <v>0</v>
      </c>
      <c r="BB32" s="94" t="e">
        <v>#REF!</v>
      </c>
    </row>
    <row r="33" spans="1:54" s="20" customFormat="1" ht="18" customHeight="1">
      <c r="A33" s="784"/>
      <c r="B33" s="790"/>
      <c r="C33" s="793"/>
      <c r="D33" s="111" t="str">
        <f>D31</f>
        <v>MEC</v>
      </c>
      <c r="E33" s="112" t="str">
        <f>E31</f>
        <v>RFQ-008</v>
      </c>
      <c r="F33" s="113" t="str">
        <f>F31</f>
        <v>N</v>
      </c>
      <c r="G33" s="796"/>
      <c r="H33" s="124" t="str">
        <f>H31</f>
        <v>De-Oiler Hydrocyclone</v>
      </c>
      <c r="I33" s="112" t="str">
        <f>I31</f>
        <v>LA</v>
      </c>
      <c r="J33" s="113"/>
      <c r="K33" s="114"/>
      <c r="L33" s="114"/>
      <c r="M33" s="114">
        <v>0.01</v>
      </c>
      <c r="N33" s="112"/>
      <c r="O33" s="112"/>
      <c r="P33" s="112"/>
      <c r="Q33" s="115" t="s">
        <v>368</v>
      </c>
      <c r="R33" s="126"/>
      <c r="S33" s="126"/>
      <c r="T33" s="126"/>
      <c r="U33" s="126"/>
      <c r="V33" s="126"/>
      <c r="W33" s="126"/>
      <c r="X33" s="126"/>
      <c r="Y33" s="126"/>
      <c r="Z33" s="126"/>
      <c r="AA33" s="126"/>
      <c r="AB33" s="126"/>
      <c r="AC33" s="799"/>
      <c r="AD33" s="116"/>
      <c r="AE33" s="800"/>
      <c r="AF33" s="808"/>
      <c r="AG33" s="811"/>
      <c r="AH33" s="117"/>
      <c r="AI33" s="118"/>
      <c r="AJ33" s="814"/>
      <c r="AK33" s="119"/>
      <c r="AL33" s="120"/>
      <c r="AM33" s="121">
        <f t="shared" ref="AM33:AW33" si="30">IF(ISERROR(LOOKUP(AM$6,$S33:$AB33,$S$9:$AB$9)),0,(LOOKUP(AM$6,$S33:$AB33,$S$9:$AB$9)))</f>
        <v>0</v>
      </c>
      <c r="AN33" s="122">
        <f t="shared" si="30"/>
        <v>0</v>
      </c>
      <c r="AO33" s="122">
        <f t="shared" si="30"/>
        <v>0</v>
      </c>
      <c r="AP33" s="122">
        <f t="shared" si="30"/>
        <v>0</v>
      </c>
      <c r="AQ33" s="122">
        <f t="shared" si="30"/>
        <v>0</v>
      </c>
      <c r="AR33" s="122">
        <f t="shared" si="30"/>
        <v>0</v>
      </c>
      <c r="AS33" s="122">
        <f t="shared" si="30"/>
        <v>0</v>
      </c>
      <c r="AT33" s="122">
        <f t="shared" si="30"/>
        <v>0</v>
      </c>
      <c r="AU33" s="122">
        <f t="shared" si="30"/>
        <v>0</v>
      </c>
      <c r="AV33" s="122">
        <f t="shared" si="30"/>
        <v>0</v>
      </c>
      <c r="AW33" s="122">
        <f t="shared" ca="1" si="30"/>
        <v>0</v>
      </c>
      <c r="BB33" s="94" t="e">
        <v>#REF!</v>
      </c>
    </row>
    <row r="34" spans="1:54" s="20" customFormat="1" ht="18" customHeight="1">
      <c r="A34" s="782">
        <f>A31+1</f>
        <v>9</v>
      </c>
      <c r="B34" s="788" t="s">
        <v>5378</v>
      </c>
      <c r="C34" s="791" t="s">
        <v>5361</v>
      </c>
      <c r="D34" s="80" t="s">
        <v>5362</v>
      </c>
      <c r="E34" s="81" t="s">
        <v>5250</v>
      </c>
      <c r="F34" s="82" t="str">
        <f>IF(_xlfn.XLOOKUP(E34,'[38]Before Award'!D:D,'[38]Before Award'!AV:AV,"N/A")="N/A","N","Y")</f>
        <v>N</v>
      </c>
      <c r="G34" s="794" t="s">
        <v>5377</v>
      </c>
      <c r="H34" s="123" t="s">
        <v>5251</v>
      </c>
      <c r="I34" s="81" t="s">
        <v>6</v>
      </c>
      <c r="J34" s="82"/>
      <c r="K34" s="84">
        <f>M36</f>
        <v>0.04</v>
      </c>
      <c r="L34" s="84"/>
      <c r="M34" s="84"/>
      <c r="N34" s="81"/>
      <c r="O34" s="81"/>
      <c r="P34" s="81"/>
      <c r="Q34" s="85" t="s">
        <v>5364</v>
      </c>
      <c r="R34" s="86">
        <f>'Before Award'!U41+5</f>
        <v>46239</v>
      </c>
      <c r="S34" s="86" t="e">
        <f>WORKDAY(R34,INDEX(S$2:S$5,MATCH($I34,$I$2:$I$5,0)),$BB$10:$BB$141)</f>
        <v>#REF!</v>
      </c>
      <c r="T34" s="86" t="e">
        <f>WORKDAY(S34,INDEX(T$2:T$5,MATCH($I34,$I$2:$I$5,0)),$BB$10:$BB$141)</f>
        <v>#REF!</v>
      </c>
      <c r="U34" s="86" t="e">
        <f>T34+60</f>
        <v>#REF!</v>
      </c>
      <c r="V34" s="86"/>
      <c r="W34" s="86">
        <f>AB34-35</f>
        <v>46381</v>
      </c>
      <c r="X34" s="86"/>
      <c r="Y34" s="86"/>
      <c r="Z34" s="86"/>
      <c r="AA34" s="86"/>
      <c r="AB34" s="86">
        <f>'Before Award'!X41</f>
        <v>46416</v>
      </c>
      <c r="AC34" s="797" t="s">
        <v>5365</v>
      </c>
      <c r="AD34" s="87">
        <v>14</v>
      </c>
      <c r="AE34" s="800">
        <v>280</v>
      </c>
      <c r="AF34" s="806" t="e">
        <f>AB35</f>
        <v>#REF!</v>
      </c>
      <c r="AG34" s="809">
        <f>WORKDAY(AH34+1,-1,$BA$10:$BA$141)</f>
        <v>46416</v>
      </c>
      <c r="AH34" s="88">
        <v>46418</v>
      </c>
      <c r="AI34" s="89"/>
      <c r="AJ34" s="812" t="e">
        <f>AG34-AF34</f>
        <v>#REF!</v>
      </c>
      <c r="AK34" s="90"/>
      <c r="AL34" s="91"/>
      <c r="AM34" s="92">
        <f t="shared" ref="AM34:AW34" si="31">IF(ISERROR(LOOKUP(AM$6,$S34:$AB34,$S$9:$AB$9)),0,(LOOKUP(AM$6,$S34:$AB34,$S$9:$AB$9)))</f>
        <v>0</v>
      </c>
      <c r="AN34" s="93">
        <f t="shared" si="31"/>
        <v>0</v>
      </c>
      <c r="AO34" s="93">
        <f t="shared" si="31"/>
        <v>0</v>
      </c>
      <c r="AP34" s="93">
        <f t="shared" si="31"/>
        <v>0</v>
      </c>
      <c r="AQ34" s="93">
        <f t="shared" si="31"/>
        <v>0</v>
      </c>
      <c r="AR34" s="93">
        <f t="shared" si="31"/>
        <v>0</v>
      </c>
      <c r="AS34" s="93">
        <f t="shared" si="31"/>
        <v>0</v>
      </c>
      <c r="AT34" s="93">
        <f t="shared" si="31"/>
        <v>0</v>
      </c>
      <c r="AU34" s="93">
        <f t="shared" si="31"/>
        <v>0</v>
      </c>
      <c r="AV34" s="93">
        <f t="shared" si="31"/>
        <v>0</v>
      </c>
      <c r="AW34" s="93">
        <f t="shared" ca="1" si="31"/>
        <v>0</v>
      </c>
      <c r="BB34" s="94" t="e">
        <v>#REF!</v>
      </c>
    </row>
    <row r="35" spans="1:54" s="20" customFormat="1" ht="18" customHeight="1">
      <c r="A35" s="783"/>
      <c r="B35" s="789"/>
      <c r="C35" s="792"/>
      <c r="D35" s="96" t="str">
        <f>D34</f>
        <v>MEC</v>
      </c>
      <c r="E35" s="97" t="str">
        <f>E34</f>
        <v>RFQ-009</v>
      </c>
      <c r="F35" s="98" t="str">
        <f>F34</f>
        <v>N</v>
      </c>
      <c r="G35" s="795"/>
      <c r="H35" s="124" t="str">
        <f>H34</f>
        <v>Degasser</v>
      </c>
      <c r="I35" s="97" t="str">
        <f>I34</f>
        <v>LA</v>
      </c>
      <c r="J35" s="98"/>
      <c r="K35" s="100"/>
      <c r="L35" s="100">
        <f>M36</f>
        <v>0.04</v>
      </c>
      <c r="M35" s="100"/>
      <c r="N35" s="97"/>
      <c r="O35" s="97"/>
      <c r="P35" s="97"/>
      <c r="Q35" s="101" t="s">
        <v>5366</v>
      </c>
      <c r="R35" s="102">
        <f>R34</f>
        <v>46239</v>
      </c>
      <c r="S35" s="102" t="e">
        <f>S34</f>
        <v>#REF!</v>
      </c>
      <c r="T35" s="103" t="e">
        <f>T34</f>
        <v>#REF!</v>
      </c>
      <c r="U35" s="103" t="e">
        <f t="shared" ref="U35:Z35" si="32">WORKDAY(IF(T36="",T35,T36),INDEX(U$2:U$5,MATCH($I34,$I$2:$I$5,0)),$BB$10:$BB$141)</f>
        <v>#REF!</v>
      </c>
      <c r="V35" s="103" t="e">
        <f t="shared" si="32"/>
        <v>#REF!</v>
      </c>
      <c r="W35" s="103" t="e">
        <f t="shared" si="32"/>
        <v>#REF!</v>
      </c>
      <c r="X35" s="103" t="e">
        <f t="shared" si="32"/>
        <v>#REF!</v>
      </c>
      <c r="Y35" s="103" t="e">
        <f t="shared" si="32"/>
        <v>#REF!</v>
      </c>
      <c r="Z35" s="103" t="e">
        <f t="shared" si="32"/>
        <v>#REF!</v>
      </c>
      <c r="AA35" s="103" t="e">
        <f>WORKDAY(IF(Z36="",X35,Z36),INDEX(AA$2:AA$5,MATCH($I34,$I$2:$I$5,0)),$BB$10:$BB$141)</f>
        <v>#REF!</v>
      </c>
      <c r="AB35" s="104" t="e">
        <f>WORKDAY(AE34+#REF!,0,'[38]Equipment List and MR List (3)'!$A$2:$A$80)</f>
        <v>#REF!</v>
      </c>
      <c r="AC35" s="798"/>
      <c r="AD35" s="105"/>
      <c r="AE35" s="800"/>
      <c r="AF35" s="807"/>
      <c r="AG35" s="810"/>
      <c r="AH35" s="106"/>
      <c r="AI35" s="107"/>
      <c r="AJ35" s="813"/>
      <c r="AK35" s="108"/>
      <c r="AL35" s="109"/>
      <c r="AM35" s="92">
        <f t="shared" ref="AM35:AW35" si="33">IF(ISERROR(LOOKUP(AM$6,$S35:$AB35,$S$9:$AB$9)),0,(LOOKUP(AM$6,$S35:$AB35,$S$9:$AB$9)))</f>
        <v>0</v>
      </c>
      <c r="AN35" s="93">
        <f t="shared" si="33"/>
        <v>0</v>
      </c>
      <c r="AO35" s="93">
        <f t="shared" si="33"/>
        <v>0</v>
      </c>
      <c r="AP35" s="93">
        <f t="shared" si="33"/>
        <v>0</v>
      </c>
      <c r="AQ35" s="93">
        <f t="shared" si="33"/>
        <v>0</v>
      </c>
      <c r="AR35" s="93">
        <f t="shared" si="33"/>
        <v>0</v>
      </c>
      <c r="AS35" s="93">
        <f t="shared" si="33"/>
        <v>0</v>
      </c>
      <c r="AT35" s="93">
        <f t="shared" si="33"/>
        <v>0</v>
      </c>
      <c r="AU35" s="93">
        <f t="shared" si="33"/>
        <v>0</v>
      </c>
      <c r="AV35" s="93">
        <f t="shared" si="33"/>
        <v>0</v>
      </c>
      <c r="AW35" s="93">
        <f t="shared" ca="1" si="33"/>
        <v>0</v>
      </c>
      <c r="BB35" s="94" t="e">
        <v>#REF!</v>
      </c>
    </row>
    <row r="36" spans="1:54" s="20" customFormat="1" ht="18" customHeight="1">
      <c r="A36" s="784"/>
      <c r="B36" s="790"/>
      <c r="C36" s="793"/>
      <c r="D36" s="111" t="str">
        <f>D34</f>
        <v>MEC</v>
      </c>
      <c r="E36" s="112" t="str">
        <f>E34</f>
        <v>RFQ-009</v>
      </c>
      <c r="F36" s="113" t="str">
        <f>F34</f>
        <v>N</v>
      </c>
      <c r="G36" s="796"/>
      <c r="H36" s="124" t="str">
        <f>H34</f>
        <v>Degasser</v>
      </c>
      <c r="I36" s="112" t="str">
        <f>I34</f>
        <v>LA</v>
      </c>
      <c r="J36" s="113"/>
      <c r="K36" s="114"/>
      <c r="L36" s="114"/>
      <c r="M36" s="114">
        <v>0.04</v>
      </c>
      <c r="N36" s="112"/>
      <c r="O36" s="112"/>
      <c r="P36" s="112"/>
      <c r="Q36" s="115" t="s">
        <v>368</v>
      </c>
      <c r="R36" s="126"/>
      <c r="S36" s="126"/>
      <c r="T36" s="126"/>
      <c r="U36" s="126"/>
      <c r="V36" s="126"/>
      <c r="W36" s="126"/>
      <c r="X36" s="126"/>
      <c r="Y36" s="126"/>
      <c r="Z36" s="126"/>
      <c r="AA36" s="126"/>
      <c r="AB36" s="126"/>
      <c r="AC36" s="799"/>
      <c r="AD36" s="116"/>
      <c r="AE36" s="800"/>
      <c r="AF36" s="808"/>
      <c r="AG36" s="811"/>
      <c r="AH36" s="117"/>
      <c r="AI36" s="118"/>
      <c r="AJ36" s="814"/>
      <c r="AK36" s="119"/>
      <c r="AL36" s="120"/>
      <c r="AM36" s="121">
        <f t="shared" ref="AM36:AW36" si="34">IF(ISERROR(LOOKUP(AM$6,$S36:$AB36,$S$9:$AB$9)),0,(LOOKUP(AM$6,$S36:$AB36,$S$9:$AB$9)))</f>
        <v>0</v>
      </c>
      <c r="AN36" s="122">
        <f t="shared" si="34"/>
        <v>0</v>
      </c>
      <c r="AO36" s="122">
        <f t="shared" si="34"/>
        <v>0</v>
      </c>
      <c r="AP36" s="122">
        <f t="shared" si="34"/>
        <v>0</v>
      </c>
      <c r="AQ36" s="122">
        <f t="shared" si="34"/>
        <v>0</v>
      </c>
      <c r="AR36" s="122">
        <f t="shared" si="34"/>
        <v>0</v>
      </c>
      <c r="AS36" s="122">
        <f t="shared" si="34"/>
        <v>0</v>
      </c>
      <c r="AT36" s="122">
        <f t="shared" si="34"/>
        <v>0</v>
      </c>
      <c r="AU36" s="122">
        <f t="shared" si="34"/>
        <v>0</v>
      </c>
      <c r="AV36" s="122">
        <f t="shared" si="34"/>
        <v>0</v>
      </c>
      <c r="AW36" s="122">
        <f t="shared" ca="1" si="34"/>
        <v>0</v>
      </c>
      <c r="BB36" s="94" t="e">
        <v>#REF!</v>
      </c>
    </row>
    <row r="37" spans="1:54" s="20" customFormat="1" ht="18.600000000000001" customHeight="1">
      <c r="A37" s="782">
        <f>A34+1</f>
        <v>10</v>
      </c>
      <c r="B37" s="788" t="s">
        <v>5379</v>
      </c>
      <c r="C37" s="791" t="s">
        <v>5361</v>
      </c>
      <c r="D37" s="80" t="s">
        <v>5362</v>
      </c>
      <c r="E37" s="81" t="s">
        <v>5252</v>
      </c>
      <c r="F37" s="82" t="str">
        <f>IF(_xlfn.XLOOKUP(E37,'[38]Before Award'!D:D,'[38]Before Award'!AV:AV,"N/A")="N/A","N","Y")</f>
        <v>N</v>
      </c>
      <c r="G37" s="794" t="s">
        <v>5371</v>
      </c>
      <c r="H37" s="123" t="s">
        <v>102</v>
      </c>
      <c r="I37" s="81" t="s">
        <v>6</v>
      </c>
      <c r="J37" s="82"/>
      <c r="K37" s="84">
        <f>M39</f>
        <v>0.01</v>
      </c>
      <c r="L37" s="84"/>
      <c r="M37" s="84"/>
      <c r="N37" s="81"/>
      <c r="O37" s="81"/>
      <c r="P37" s="81"/>
      <c r="Q37" s="85" t="s">
        <v>5364</v>
      </c>
      <c r="R37" s="86">
        <f>'Before Award'!U44+5</f>
        <v>46239</v>
      </c>
      <c r="S37" s="86" t="e">
        <f>WORKDAY(R37,INDEX(S$2:S$5,MATCH($I37,$I$2:$I$5,0)),$BB$10:$BB$141)</f>
        <v>#REF!</v>
      </c>
      <c r="T37" s="86" t="e">
        <f>WORKDAY(S37,INDEX(T$2:T$5,MATCH($I37,$I$2:$I$5,0)),$BB$10:$BB$141)</f>
        <v>#REF!</v>
      </c>
      <c r="U37" s="86" t="e">
        <f>T37+60</f>
        <v>#REF!</v>
      </c>
      <c r="V37" s="86"/>
      <c r="W37" s="86">
        <f>AB37-35</f>
        <v>46381</v>
      </c>
      <c r="X37" s="86"/>
      <c r="Y37" s="86"/>
      <c r="Z37" s="86"/>
      <c r="AA37" s="86"/>
      <c r="AB37" s="86">
        <f>'Before Award'!X44</f>
        <v>46416</v>
      </c>
      <c r="AC37" s="797" t="s">
        <v>5365</v>
      </c>
      <c r="AD37" s="87">
        <v>14</v>
      </c>
      <c r="AE37" s="800">
        <v>294</v>
      </c>
      <c r="AF37" s="806" t="e">
        <f>AB38</f>
        <v>#REF!</v>
      </c>
      <c r="AG37" s="809">
        <f>WORKDAY(AH37+1,-1,$BA$10:$BA$141)</f>
        <v>46416</v>
      </c>
      <c r="AH37" s="88">
        <v>46418</v>
      </c>
      <c r="AI37" s="89"/>
      <c r="AJ37" s="812" t="e">
        <f>AG37-AF37</f>
        <v>#REF!</v>
      </c>
      <c r="AK37" s="90"/>
      <c r="AL37" s="91"/>
      <c r="AM37" s="92">
        <f t="shared" ref="AM37:AW37" si="35">IF(ISERROR(LOOKUP(AM$6,$S37:$AB37,$S$9:$AB$9)),0,(LOOKUP(AM$6,$S37:$AB37,$S$9:$AB$9)))</f>
        <v>0</v>
      </c>
      <c r="AN37" s="93">
        <f t="shared" si="35"/>
        <v>0</v>
      </c>
      <c r="AO37" s="93">
        <f t="shared" si="35"/>
        <v>0</v>
      </c>
      <c r="AP37" s="93">
        <f t="shared" si="35"/>
        <v>0</v>
      </c>
      <c r="AQ37" s="93">
        <f t="shared" si="35"/>
        <v>0</v>
      </c>
      <c r="AR37" s="93">
        <f t="shared" si="35"/>
        <v>0</v>
      </c>
      <c r="AS37" s="93">
        <f t="shared" si="35"/>
        <v>0</v>
      </c>
      <c r="AT37" s="93">
        <f t="shared" si="35"/>
        <v>0</v>
      </c>
      <c r="AU37" s="93">
        <f t="shared" si="35"/>
        <v>0</v>
      </c>
      <c r="AV37" s="93">
        <f t="shared" si="35"/>
        <v>0</v>
      </c>
      <c r="AW37" s="93">
        <f t="shared" ca="1" si="35"/>
        <v>0</v>
      </c>
      <c r="BB37" s="94" t="e">
        <v>#REF!</v>
      </c>
    </row>
    <row r="38" spans="1:54" s="20" customFormat="1" ht="18.600000000000001" customHeight="1">
      <c r="A38" s="783"/>
      <c r="B38" s="789"/>
      <c r="C38" s="792"/>
      <c r="D38" s="96" t="str">
        <f>D37</f>
        <v>MEC</v>
      </c>
      <c r="E38" s="97" t="str">
        <f>E37</f>
        <v>RFQ-010</v>
      </c>
      <c r="F38" s="98" t="str">
        <f>F37</f>
        <v>N</v>
      </c>
      <c r="G38" s="795"/>
      <c r="H38" s="124" t="str">
        <f>H37</f>
        <v>Skim Tank Vessel</v>
      </c>
      <c r="I38" s="97" t="str">
        <f>I37</f>
        <v>LA</v>
      </c>
      <c r="J38" s="98"/>
      <c r="K38" s="100"/>
      <c r="L38" s="100">
        <f>M39</f>
        <v>0.01</v>
      </c>
      <c r="M38" s="100"/>
      <c r="N38" s="97"/>
      <c r="O38" s="97"/>
      <c r="P38" s="97"/>
      <c r="Q38" s="101" t="s">
        <v>5366</v>
      </c>
      <c r="R38" s="102">
        <f>R37</f>
        <v>46239</v>
      </c>
      <c r="S38" s="102" t="e">
        <f>S37</f>
        <v>#REF!</v>
      </c>
      <c r="T38" s="103" t="e">
        <f>T37</f>
        <v>#REF!</v>
      </c>
      <c r="U38" s="103" t="e">
        <f t="shared" ref="U38:Z38" si="36">WORKDAY(IF(T39="",T38,T39),INDEX(U$2:U$5,MATCH($I37,$I$2:$I$5,0)),$BB$10:$BB$141)</f>
        <v>#REF!</v>
      </c>
      <c r="V38" s="103" t="e">
        <f t="shared" si="36"/>
        <v>#REF!</v>
      </c>
      <c r="W38" s="103" t="e">
        <f t="shared" si="36"/>
        <v>#REF!</v>
      </c>
      <c r="X38" s="103" t="e">
        <f t="shared" si="36"/>
        <v>#REF!</v>
      </c>
      <c r="Y38" s="103" t="e">
        <f t="shared" si="36"/>
        <v>#REF!</v>
      </c>
      <c r="Z38" s="103" t="e">
        <f t="shared" si="36"/>
        <v>#REF!</v>
      </c>
      <c r="AA38" s="103" t="e">
        <f>WORKDAY(IF(Z39="",X38,Z39),INDEX(AA$2:AA$5,MATCH($I37,$I$2:$I$5,0)),$BB$10:$BB$141)</f>
        <v>#REF!</v>
      </c>
      <c r="AB38" s="104" t="e">
        <f>WORKDAY(AE37+#REF!,0,'[38]Equipment List and MR List (3)'!$A$2:$A$80)</f>
        <v>#REF!</v>
      </c>
      <c r="AC38" s="798"/>
      <c r="AD38" s="105"/>
      <c r="AE38" s="800"/>
      <c r="AF38" s="807"/>
      <c r="AG38" s="810"/>
      <c r="AH38" s="106"/>
      <c r="AI38" s="107"/>
      <c r="AJ38" s="813"/>
      <c r="AK38" s="108"/>
      <c r="AL38" s="109"/>
      <c r="AM38" s="92">
        <f t="shared" ref="AM38:AW38" si="37">IF(ISERROR(LOOKUP(AM$6,$S38:$AB38,$S$9:$AB$9)),0,(LOOKUP(AM$6,$S38:$AB38,$S$9:$AB$9)))</f>
        <v>0</v>
      </c>
      <c r="AN38" s="93">
        <f t="shared" si="37"/>
        <v>0</v>
      </c>
      <c r="AO38" s="93">
        <f t="shared" si="37"/>
        <v>0</v>
      </c>
      <c r="AP38" s="93">
        <f t="shared" si="37"/>
        <v>0</v>
      </c>
      <c r="AQ38" s="93">
        <f t="shared" si="37"/>
        <v>0</v>
      </c>
      <c r="AR38" s="93">
        <f t="shared" si="37"/>
        <v>0</v>
      </c>
      <c r="AS38" s="93">
        <f t="shared" si="37"/>
        <v>0</v>
      </c>
      <c r="AT38" s="93">
        <f t="shared" si="37"/>
        <v>0</v>
      </c>
      <c r="AU38" s="93">
        <f t="shared" si="37"/>
        <v>0</v>
      </c>
      <c r="AV38" s="93">
        <f t="shared" si="37"/>
        <v>0</v>
      </c>
      <c r="AW38" s="93">
        <f t="shared" ca="1" si="37"/>
        <v>0</v>
      </c>
      <c r="BB38" s="94" t="e">
        <v>#REF!</v>
      </c>
    </row>
    <row r="39" spans="1:54" s="20" customFormat="1" ht="18.600000000000001" customHeight="1">
      <c r="A39" s="784"/>
      <c r="B39" s="790"/>
      <c r="C39" s="793"/>
      <c r="D39" s="111" t="str">
        <f>D37</f>
        <v>MEC</v>
      </c>
      <c r="E39" s="112" t="str">
        <f>E37</f>
        <v>RFQ-010</v>
      </c>
      <c r="F39" s="113" t="str">
        <f>F37</f>
        <v>N</v>
      </c>
      <c r="G39" s="796"/>
      <c r="H39" s="124" t="str">
        <f>H37</f>
        <v>Skim Tank Vessel</v>
      </c>
      <c r="I39" s="112" t="str">
        <f>I37</f>
        <v>LA</v>
      </c>
      <c r="J39" s="113"/>
      <c r="K39" s="114"/>
      <c r="L39" s="114"/>
      <c r="M39" s="114">
        <v>0.01</v>
      </c>
      <c r="N39" s="112"/>
      <c r="O39" s="112"/>
      <c r="P39" s="112"/>
      <c r="Q39" s="115" t="s">
        <v>368</v>
      </c>
      <c r="R39" s="126"/>
      <c r="S39" s="126"/>
      <c r="T39" s="126"/>
      <c r="U39" s="126"/>
      <c r="V39" s="126"/>
      <c r="W39" s="126"/>
      <c r="X39" s="126"/>
      <c r="Y39" s="126"/>
      <c r="Z39" s="126"/>
      <c r="AA39" s="126"/>
      <c r="AB39" s="126"/>
      <c r="AC39" s="799"/>
      <c r="AD39" s="116"/>
      <c r="AE39" s="800"/>
      <c r="AF39" s="808"/>
      <c r="AG39" s="811"/>
      <c r="AH39" s="117"/>
      <c r="AI39" s="118"/>
      <c r="AJ39" s="814"/>
      <c r="AK39" s="119"/>
      <c r="AL39" s="120"/>
      <c r="AM39" s="121">
        <f t="shared" ref="AM39:AW39" si="38">IF(ISERROR(LOOKUP(AM$6,$S39:$AB39,$S$9:$AB$9)),0,(LOOKUP(AM$6,$S39:$AB39,$S$9:$AB$9)))</f>
        <v>0</v>
      </c>
      <c r="AN39" s="122">
        <f t="shared" si="38"/>
        <v>0</v>
      </c>
      <c r="AO39" s="122">
        <f t="shared" si="38"/>
        <v>0</v>
      </c>
      <c r="AP39" s="122">
        <f t="shared" si="38"/>
        <v>0</v>
      </c>
      <c r="AQ39" s="122">
        <f t="shared" si="38"/>
        <v>0</v>
      </c>
      <c r="AR39" s="122">
        <f t="shared" si="38"/>
        <v>0</v>
      </c>
      <c r="AS39" s="122">
        <f t="shared" si="38"/>
        <v>0</v>
      </c>
      <c r="AT39" s="122">
        <f t="shared" si="38"/>
        <v>0</v>
      </c>
      <c r="AU39" s="122">
        <f t="shared" si="38"/>
        <v>0</v>
      </c>
      <c r="AV39" s="122">
        <f t="shared" si="38"/>
        <v>0</v>
      </c>
      <c r="AW39" s="122">
        <f t="shared" ca="1" si="38"/>
        <v>0</v>
      </c>
      <c r="BB39" s="94" t="e">
        <v>#REF!</v>
      </c>
    </row>
    <row r="40" spans="1:54" s="20" customFormat="1" ht="18.600000000000001" customHeight="1">
      <c r="A40" s="782">
        <f>A37+1</f>
        <v>11</v>
      </c>
      <c r="B40" s="788" t="s">
        <v>5379</v>
      </c>
      <c r="C40" s="791" t="s">
        <v>5361</v>
      </c>
      <c r="D40" s="80" t="s">
        <v>5362</v>
      </c>
      <c r="E40" s="81" t="s">
        <v>5253</v>
      </c>
      <c r="F40" s="82" t="s">
        <v>64</v>
      </c>
      <c r="G40" s="794" t="s">
        <v>5371</v>
      </c>
      <c r="H40" s="123" t="s">
        <v>105</v>
      </c>
      <c r="I40" s="81" t="s">
        <v>6</v>
      </c>
      <c r="J40" s="82"/>
      <c r="K40" s="84">
        <f>M42</f>
        <v>0.01</v>
      </c>
      <c r="L40" s="84"/>
      <c r="M40" s="84"/>
      <c r="N40" s="81"/>
      <c r="O40" s="81"/>
      <c r="P40" s="81"/>
      <c r="Q40" s="85" t="s">
        <v>5364</v>
      </c>
      <c r="R40" s="86">
        <f>'Before Award'!U47+5</f>
        <v>46260</v>
      </c>
      <c r="S40" s="86" t="e">
        <f>WORKDAY(R40,INDEX(S$2:S$5,MATCH($I40,$I$2:$I$5,0)),$BB$10:$BB$141)</f>
        <v>#REF!</v>
      </c>
      <c r="T40" s="86" t="e">
        <f>WORKDAY(S40,INDEX(T$2:T$5,MATCH($I40,$I$2:$I$5,0)),$BB$10:$BB$141)</f>
        <v>#REF!</v>
      </c>
      <c r="U40" s="86" t="e">
        <f>T40+60</f>
        <v>#REF!</v>
      </c>
      <c r="V40" s="86"/>
      <c r="W40" s="86">
        <f>AB40-35</f>
        <v>46402</v>
      </c>
      <c r="X40" s="86"/>
      <c r="Y40" s="86"/>
      <c r="Z40" s="86"/>
      <c r="AA40" s="86"/>
      <c r="AB40" s="86">
        <f>'Before Award'!X47</f>
        <v>46437</v>
      </c>
      <c r="AC40" s="797" t="s">
        <v>5365</v>
      </c>
      <c r="AD40" s="87">
        <v>14</v>
      </c>
      <c r="AE40" s="800">
        <v>294</v>
      </c>
      <c r="AF40" s="806" t="e">
        <f>AB41</f>
        <v>#REF!</v>
      </c>
      <c r="AG40" s="809">
        <f>WORKDAY(AH40+1,-1,$BA$10:$BA$141)</f>
        <v>46386</v>
      </c>
      <c r="AH40" s="88">
        <v>46386</v>
      </c>
      <c r="AI40" s="89"/>
      <c r="AJ40" s="812" t="e">
        <f>AG40-AF40</f>
        <v>#REF!</v>
      </c>
      <c r="AK40" s="90"/>
      <c r="AL40" s="91"/>
      <c r="AM40" s="92">
        <f t="shared" ref="AM40:AW40" si="39">IF(ISERROR(LOOKUP(AM$6,$S40:$AB40,$S$9:$AB$9)),0,(LOOKUP(AM$6,$S40:$AB40,$S$9:$AB$9)))</f>
        <v>0</v>
      </c>
      <c r="AN40" s="93">
        <f t="shared" si="39"/>
        <v>0</v>
      </c>
      <c r="AO40" s="93">
        <f t="shared" si="39"/>
        <v>0</v>
      </c>
      <c r="AP40" s="93">
        <f t="shared" si="39"/>
        <v>0</v>
      </c>
      <c r="AQ40" s="93">
        <f t="shared" si="39"/>
        <v>0</v>
      </c>
      <c r="AR40" s="93">
        <f t="shared" si="39"/>
        <v>0</v>
      </c>
      <c r="AS40" s="93">
        <f t="shared" si="39"/>
        <v>0</v>
      </c>
      <c r="AT40" s="93">
        <f t="shared" si="39"/>
        <v>0</v>
      </c>
      <c r="AU40" s="93">
        <f t="shared" si="39"/>
        <v>0</v>
      </c>
      <c r="AV40" s="93">
        <f t="shared" si="39"/>
        <v>0</v>
      </c>
      <c r="AW40" s="93">
        <f t="shared" ca="1" si="39"/>
        <v>0</v>
      </c>
      <c r="BB40" s="94" t="e">
        <v>#REF!</v>
      </c>
    </row>
    <row r="41" spans="1:54" s="20" customFormat="1" ht="18.600000000000001" customHeight="1">
      <c r="A41" s="783"/>
      <c r="B41" s="789"/>
      <c r="C41" s="792"/>
      <c r="D41" s="96" t="str">
        <f>D40</f>
        <v>MEC</v>
      </c>
      <c r="E41" s="97" t="str">
        <f>E40</f>
        <v>RFQ-011</v>
      </c>
      <c r="F41" s="98" t="str">
        <f>F40</f>
        <v>Y</v>
      </c>
      <c r="G41" s="795"/>
      <c r="H41" s="124" t="str">
        <f>H40</f>
        <v>Closed Drain Sump Vessel</v>
      </c>
      <c r="I41" s="97" t="str">
        <f>I40</f>
        <v>LA</v>
      </c>
      <c r="J41" s="98"/>
      <c r="K41" s="100"/>
      <c r="L41" s="100">
        <f>M42</f>
        <v>0.01</v>
      </c>
      <c r="M41" s="100"/>
      <c r="N41" s="97"/>
      <c r="O41" s="97"/>
      <c r="P41" s="97"/>
      <c r="Q41" s="101" t="s">
        <v>5366</v>
      </c>
      <c r="R41" s="102">
        <f>R40</f>
        <v>46260</v>
      </c>
      <c r="S41" s="102" t="e">
        <f>S40</f>
        <v>#REF!</v>
      </c>
      <c r="T41" s="103" t="e">
        <f>T40</f>
        <v>#REF!</v>
      </c>
      <c r="U41" s="103" t="e">
        <f t="shared" ref="U41:Z41" si="40">WORKDAY(IF(T42="",T41,T42),INDEX(U$2:U$5,MATCH($I40,$I$2:$I$5,0)),$BB$10:$BB$141)</f>
        <v>#REF!</v>
      </c>
      <c r="V41" s="103" t="e">
        <f t="shared" si="40"/>
        <v>#REF!</v>
      </c>
      <c r="W41" s="103" t="e">
        <f t="shared" si="40"/>
        <v>#REF!</v>
      </c>
      <c r="X41" s="103" t="e">
        <f t="shared" si="40"/>
        <v>#REF!</v>
      </c>
      <c r="Y41" s="103" t="e">
        <f t="shared" si="40"/>
        <v>#REF!</v>
      </c>
      <c r="Z41" s="103" t="e">
        <f t="shared" si="40"/>
        <v>#REF!</v>
      </c>
      <c r="AA41" s="103" t="e">
        <f>WORKDAY(IF(Z42="",X41,Z42),INDEX(AA$2:AA$5,MATCH($I40,$I$2:$I$5,0)),$BB$10:$BB$141)</f>
        <v>#REF!</v>
      </c>
      <c r="AB41" s="104" t="e">
        <f>WORKDAY(AE40+#REF!,0,'[38]Equipment List and MR List (3)'!$A$2:$A$80)</f>
        <v>#REF!</v>
      </c>
      <c r="AC41" s="798"/>
      <c r="AD41" s="105"/>
      <c r="AE41" s="800"/>
      <c r="AF41" s="807"/>
      <c r="AG41" s="810"/>
      <c r="AH41" s="106"/>
      <c r="AI41" s="107"/>
      <c r="AJ41" s="813"/>
      <c r="AK41" s="108"/>
      <c r="AL41" s="109"/>
      <c r="AM41" s="92">
        <f t="shared" ref="AM41:AW41" si="41">IF(ISERROR(LOOKUP(AM$6,$S41:$AB41,$S$9:$AB$9)),0,(LOOKUP(AM$6,$S41:$AB41,$S$9:$AB$9)))</f>
        <v>0</v>
      </c>
      <c r="AN41" s="93">
        <f t="shared" si="41"/>
        <v>0</v>
      </c>
      <c r="AO41" s="93">
        <f t="shared" si="41"/>
        <v>0</v>
      </c>
      <c r="AP41" s="93">
        <f t="shared" si="41"/>
        <v>0</v>
      </c>
      <c r="AQ41" s="93">
        <f t="shared" si="41"/>
        <v>0</v>
      </c>
      <c r="AR41" s="93">
        <f t="shared" si="41"/>
        <v>0</v>
      </c>
      <c r="AS41" s="93">
        <f t="shared" si="41"/>
        <v>0</v>
      </c>
      <c r="AT41" s="93">
        <f t="shared" si="41"/>
        <v>0</v>
      </c>
      <c r="AU41" s="93">
        <f t="shared" si="41"/>
        <v>0</v>
      </c>
      <c r="AV41" s="93">
        <f t="shared" si="41"/>
        <v>0</v>
      </c>
      <c r="AW41" s="93">
        <f t="shared" ca="1" si="41"/>
        <v>0</v>
      </c>
      <c r="BB41" s="94" t="e">
        <v>#REF!</v>
      </c>
    </row>
    <row r="42" spans="1:54" s="20" customFormat="1" ht="18.600000000000001" customHeight="1">
      <c r="A42" s="784"/>
      <c r="B42" s="790"/>
      <c r="C42" s="793"/>
      <c r="D42" s="111" t="str">
        <f>D40</f>
        <v>MEC</v>
      </c>
      <c r="E42" s="112" t="str">
        <f>E40</f>
        <v>RFQ-011</v>
      </c>
      <c r="F42" s="113" t="str">
        <f>F40</f>
        <v>Y</v>
      </c>
      <c r="G42" s="796"/>
      <c r="H42" s="124" t="str">
        <f>H40</f>
        <v>Closed Drain Sump Vessel</v>
      </c>
      <c r="I42" s="112" t="str">
        <f>I40</f>
        <v>LA</v>
      </c>
      <c r="J42" s="113"/>
      <c r="K42" s="114"/>
      <c r="L42" s="114"/>
      <c r="M42" s="114">
        <v>0.01</v>
      </c>
      <c r="N42" s="112"/>
      <c r="O42" s="112"/>
      <c r="P42" s="112"/>
      <c r="Q42" s="115" t="s">
        <v>368</v>
      </c>
      <c r="R42" s="126"/>
      <c r="S42" s="126"/>
      <c r="T42" s="126"/>
      <c r="U42" s="126"/>
      <c r="V42" s="126"/>
      <c r="W42" s="126"/>
      <c r="X42" s="126"/>
      <c r="Y42" s="126"/>
      <c r="Z42" s="126"/>
      <c r="AA42" s="126"/>
      <c r="AB42" s="126"/>
      <c r="AC42" s="799"/>
      <c r="AD42" s="116"/>
      <c r="AE42" s="800"/>
      <c r="AF42" s="808"/>
      <c r="AG42" s="811"/>
      <c r="AH42" s="117"/>
      <c r="AI42" s="118"/>
      <c r="AJ42" s="814"/>
      <c r="AK42" s="119"/>
      <c r="AL42" s="120"/>
      <c r="AM42" s="121">
        <f t="shared" ref="AM42:AW42" si="42">IF(ISERROR(LOOKUP(AM$6,$S42:$AB42,$S$9:$AB$9)),0,(LOOKUP(AM$6,$S42:$AB42,$S$9:$AB$9)))</f>
        <v>0</v>
      </c>
      <c r="AN42" s="122">
        <f t="shared" si="42"/>
        <v>0</v>
      </c>
      <c r="AO42" s="122">
        <f t="shared" si="42"/>
        <v>0</v>
      </c>
      <c r="AP42" s="122">
        <f t="shared" si="42"/>
        <v>0</v>
      </c>
      <c r="AQ42" s="122">
        <f t="shared" si="42"/>
        <v>0</v>
      </c>
      <c r="AR42" s="122">
        <f t="shared" si="42"/>
        <v>0</v>
      </c>
      <c r="AS42" s="122">
        <f t="shared" si="42"/>
        <v>0</v>
      </c>
      <c r="AT42" s="122">
        <f t="shared" si="42"/>
        <v>0</v>
      </c>
      <c r="AU42" s="122">
        <f t="shared" si="42"/>
        <v>0</v>
      </c>
      <c r="AV42" s="122">
        <f t="shared" si="42"/>
        <v>0</v>
      </c>
      <c r="AW42" s="122">
        <f t="shared" ca="1" si="42"/>
        <v>0</v>
      </c>
      <c r="BB42" s="94" t="e">
        <v>#REF!</v>
      </c>
    </row>
    <row r="43" spans="1:54" s="20" customFormat="1" ht="18.600000000000001" customHeight="1">
      <c r="A43" s="782">
        <f>A40+1</f>
        <v>12</v>
      </c>
      <c r="B43" s="785" t="s">
        <v>5380</v>
      </c>
      <c r="C43" s="791" t="s">
        <v>5361</v>
      </c>
      <c r="D43" s="80" t="s">
        <v>5362</v>
      </c>
      <c r="E43" s="81" t="s">
        <v>5254</v>
      </c>
      <c r="F43" s="82" t="str">
        <f>IF(_xlfn.XLOOKUP(E43,'[38]Before Award'!D:D,'[38]Before Award'!AV:AV,"N/A")="N/A","N","Y")</f>
        <v>N</v>
      </c>
      <c r="G43" s="794" t="s">
        <v>5371</v>
      </c>
      <c r="H43" s="83" t="s">
        <v>5381</v>
      </c>
      <c r="I43" s="81" t="s">
        <v>6</v>
      </c>
      <c r="J43" s="82"/>
      <c r="K43" s="84">
        <f>M45</f>
        <v>0.01</v>
      </c>
      <c r="L43" s="84"/>
      <c r="M43" s="84"/>
      <c r="N43" s="81"/>
      <c r="O43" s="81"/>
      <c r="P43" s="81"/>
      <c r="Q43" s="85" t="s">
        <v>5364</v>
      </c>
      <c r="R43" s="86">
        <f>'Before Award'!U50+5</f>
        <v>46281</v>
      </c>
      <c r="S43" s="86" t="e">
        <f>WORKDAY(R43,INDEX(S$2:S$5,MATCH($I43,$I$2:$I$5,0)),$BB$10:$BB$141)</f>
        <v>#REF!</v>
      </c>
      <c r="T43" s="86" t="e">
        <f>WORKDAY(S43,INDEX(T$2:T$5,MATCH($I43,$I$2:$I$5,0)),$BB$10:$BB$141)</f>
        <v>#REF!</v>
      </c>
      <c r="U43" s="86" t="e">
        <f>T43+60</f>
        <v>#REF!</v>
      </c>
      <c r="V43" s="86"/>
      <c r="W43" s="86">
        <f>AB43-35</f>
        <v>46381</v>
      </c>
      <c r="X43" s="86"/>
      <c r="Y43" s="86"/>
      <c r="Z43" s="86"/>
      <c r="AA43" s="86"/>
      <c r="AB43" s="86">
        <f>'Before Award'!X50</f>
        <v>46416</v>
      </c>
      <c r="AC43" s="797" t="s">
        <v>5365</v>
      </c>
      <c r="AD43" s="87">
        <v>14</v>
      </c>
      <c r="AE43" s="800">
        <v>238</v>
      </c>
      <c r="AF43" s="806" t="e">
        <f>AB44</f>
        <v>#REF!</v>
      </c>
      <c r="AG43" s="809">
        <f>WORKDAY(AH43+1,-1,$BA$10:$BA$141)</f>
        <v>46416</v>
      </c>
      <c r="AH43" s="88">
        <v>46418</v>
      </c>
      <c r="AI43" s="89"/>
      <c r="AJ43" s="812" t="e">
        <f>AG43-AF43</f>
        <v>#REF!</v>
      </c>
      <c r="AK43" s="90"/>
      <c r="AL43" s="91"/>
      <c r="AM43" s="92">
        <f t="shared" ref="AM43:AW43" si="43">IF(ISERROR(LOOKUP(AM$6,$S43:$AB43,$S$9:$AB$9)),0,(LOOKUP(AM$6,$S43:$AB43,$S$9:$AB$9)))</f>
        <v>0</v>
      </c>
      <c r="AN43" s="93">
        <f t="shared" si="43"/>
        <v>0</v>
      </c>
      <c r="AO43" s="93">
        <f t="shared" si="43"/>
        <v>0</v>
      </c>
      <c r="AP43" s="93">
        <f t="shared" si="43"/>
        <v>0</v>
      </c>
      <c r="AQ43" s="93">
        <f t="shared" si="43"/>
        <v>0</v>
      </c>
      <c r="AR43" s="93">
        <f t="shared" si="43"/>
        <v>0</v>
      </c>
      <c r="AS43" s="93">
        <f t="shared" si="43"/>
        <v>0</v>
      </c>
      <c r="AT43" s="93">
        <f t="shared" si="43"/>
        <v>0</v>
      </c>
      <c r="AU43" s="93">
        <f t="shared" si="43"/>
        <v>0</v>
      </c>
      <c r="AV43" s="93">
        <f t="shared" si="43"/>
        <v>0</v>
      </c>
      <c r="AW43" s="93">
        <f t="shared" ca="1" si="43"/>
        <v>0</v>
      </c>
      <c r="BB43" s="94" t="e">
        <v>#REF!</v>
      </c>
    </row>
    <row r="44" spans="1:54" s="20" customFormat="1" ht="18.600000000000001" customHeight="1">
      <c r="A44" s="783"/>
      <c r="B44" s="786"/>
      <c r="C44" s="792"/>
      <c r="D44" s="96" t="str">
        <f>D43</f>
        <v>MEC</v>
      </c>
      <c r="E44" s="97" t="str">
        <f>E43</f>
        <v>RFQ-012</v>
      </c>
      <c r="F44" s="98" t="str">
        <f>F43</f>
        <v>N</v>
      </c>
      <c r="G44" s="795"/>
      <c r="H44" s="99" t="str">
        <f>H43</f>
        <v>Diesel Storage Tote Tank</v>
      </c>
      <c r="I44" s="97" t="str">
        <f>I43</f>
        <v>LA</v>
      </c>
      <c r="J44" s="98"/>
      <c r="K44" s="100"/>
      <c r="L44" s="100">
        <f>M45</f>
        <v>0.01</v>
      </c>
      <c r="M44" s="100"/>
      <c r="N44" s="97"/>
      <c r="O44" s="97"/>
      <c r="P44" s="97"/>
      <c r="Q44" s="101" t="s">
        <v>5366</v>
      </c>
      <c r="R44" s="102">
        <f>R43</f>
        <v>46281</v>
      </c>
      <c r="S44" s="102" t="e">
        <f>S43</f>
        <v>#REF!</v>
      </c>
      <c r="T44" s="103" t="e">
        <f>T43</f>
        <v>#REF!</v>
      </c>
      <c r="U44" s="103" t="e">
        <f t="shared" ref="U44:Z44" si="44">WORKDAY(IF(T45="",T44,T45),INDEX(U$2:U$5,MATCH($I43,$I$2:$I$5,0)),$BB$10:$BB$141)</f>
        <v>#REF!</v>
      </c>
      <c r="V44" s="103" t="e">
        <f t="shared" si="44"/>
        <v>#REF!</v>
      </c>
      <c r="W44" s="103" t="e">
        <f t="shared" si="44"/>
        <v>#REF!</v>
      </c>
      <c r="X44" s="103" t="e">
        <f t="shared" si="44"/>
        <v>#REF!</v>
      </c>
      <c r="Y44" s="103" t="e">
        <f t="shared" si="44"/>
        <v>#REF!</v>
      </c>
      <c r="Z44" s="103" t="e">
        <f t="shared" si="44"/>
        <v>#REF!</v>
      </c>
      <c r="AA44" s="103" t="e">
        <f>WORKDAY(IF(Z45="",X44,Z45),INDEX(AA$2:AA$5,MATCH($I43,$I$2:$I$5,0)),$BB$10:$BB$141)</f>
        <v>#REF!</v>
      </c>
      <c r="AB44" s="104" t="e">
        <f>WORKDAY(AE43+#REF!,0,'[38]Equipment List and MR List (3)'!$A$2:$A$80)</f>
        <v>#REF!</v>
      </c>
      <c r="AC44" s="798"/>
      <c r="AD44" s="105"/>
      <c r="AE44" s="800"/>
      <c r="AF44" s="807"/>
      <c r="AG44" s="810"/>
      <c r="AH44" s="106"/>
      <c r="AI44" s="107"/>
      <c r="AJ44" s="813"/>
      <c r="AK44" s="108"/>
      <c r="AL44" s="109"/>
      <c r="AM44" s="92">
        <f t="shared" ref="AM44:AW44" si="45">IF(ISERROR(LOOKUP(AM$6,$S44:$AB44,$S$9:$AB$9)),0,(LOOKUP(AM$6,$S44:$AB44,$S$9:$AB$9)))</f>
        <v>0</v>
      </c>
      <c r="AN44" s="93">
        <f t="shared" si="45"/>
        <v>0</v>
      </c>
      <c r="AO44" s="93">
        <f t="shared" si="45"/>
        <v>0</v>
      </c>
      <c r="AP44" s="93">
        <f t="shared" si="45"/>
        <v>0</v>
      </c>
      <c r="AQ44" s="93">
        <f t="shared" si="45"/>
        <v>0</v>
      </c>
      <c r="AR44" s="93">
        <f t="shared" si="45"/>
        <v>0</v>
      </c>
      <c r="AS44" s="93">
        <f t="shared" si="45"/>
        <v>0</v>
      </c>
      <c r="AT44" s="93">
        <f t="shared" si="45"/>
        <v>0</v>
      </c>
      <c r="AU44" s="93">
        <f t="shared" si="45"/>
        <v>0</v>
      </c>
      <c r="AV44" s="93">
        <f t="shared" si="45"/>
        <v>0</v>
      </c>
      <c r="AW44" s="93">
        <f t="shared" ca="1" si="45"/>
        <v>0</v>
      </c>
      <c r="BB44" s="94" t="e">
        <v>#REF!</v>
      </c>
    </row>
    <row r="45" spans="1:54" s="20" customFormat="1" ht="18.600000000000001" customHeight="1">
      <c r="A45" s="784"/>
      <c r="B45" s="787"/>
      <c r="C45" s="793"/>
      <c r="D45" s="111" t="str">
        <f>D43</f>
        <v>MEC</v>
      </c>
      <c r="E45" s="112" t="str">
        <f>E43</f>
        <v>RFQ-012</v>
      </c>
      <c r="F45" s="113" t="str">
        <f>F43</f>
        <v>N</v>
      </c>
      <c r="G45" s="796"/>
      <c r="H45" s="99" t="str">
        <f>H43</f>
        <v>Diesel Storage Tote Tank</v>
      </c>
      <c r="I45" s="112" t="str">
        <f>I43</f>
        <v>LA</v>
      </c>
      <c r="J45" s="113"/>
      <c r="K45" s="114"/>
      <c r="L45" s="114"/>
      <c r="M45" s="114">
        <v>0.01</v>
      </c>
      <c r="N45" s="112"/>
      <c r="O45" s="112"/>
      <c r="P45" s="112"/>
      <c r="Q45" s="115" t="s">
        <v>368</v>
      </c>
      <c r="R45" s="115"/>
      <c r="S45" s="126"/>
      <c r="T45" s="126"/>
      <c r="U45" s="126"/>
      <c r="V45" s="126"/>
      <c r="W45" s="126"/>
      <c r="X45" s="126"/>
      <c r="Y45" s="126"/>
      <c r="Z45" s="126"/>
      <c r="AA45" s="126"/>
      <c r="AB45" s="126"/>
      <c r="AC45" s="799"/>
      <c r="AD45" s="116"/>
      <c r="AE45" s="800"/>
      <c r="AF45" s="808"/>
      <c r="AG45" s="811"/>
      <c r="AH45" s="117"/>
      <c r="AI45" s="118"/>
      <c r="AJ45" s="814"/>
      <c r="AK45" s="119"/>
      <c r="AL45" s="120"/>
      <c r="AM45" s="121">
        <f t="shared" ref="AM45:AW45" si="46">IF(ISERROR(LOOKUP(AM$6,$S45:$AB45,$S$9:$AB$9)),0,(LOOKUP(AM$6,$S45:$AB45,$S$9:$AB$9)))</f>
        <v>0</v>
      </c>
      <c r="AN45" s="122">
        <f t="shared" si="46"/>
        <v>0</v>
      </c>
      <c r="AO45" s="122">
        <f t="shared" si="46"/>
        <v>0</v>
      </c>
      <c r="AP45" s="122">
        <f t="shared" si="46"/>
        <v>0</v>
      </c>
      <c r="AQ45" s="122">
        <f t="shared" si="46"/>
        <v>0</v>
      </c>
      <c r="AR45" s="122">
        <f t="shared" si="46"/>
        <v>0</v>
      </c>
      <c r="AS45" s="122">
        <f t="shared" si="46"/>
        <v>0</v>
      </c>
      <c r="AT45" s="122">
        <f t="shared" si="46"/>
        <v>0</v>
      </c>
      <c r="AU45" s="122">
        <f t="shared" si="46"/>
        <v>0</v>
      </c>
      <c r="AV45" s="122">
        <f t="shared" si="46"/>
        <v>0</v>
      </c>
      <c r="AW45" s="122">
        <f t="shared" ca="1" si="46"/>
        <v>0</v>
      </c>
      <c r="BB45" s="94" t="e">
        <v>#REF!</v>
      </c>
    </row>
    <row r="46" spans="1:54" s="20" customFormat="1" ht="18.600000000000001" customHeight="1">
      <c r="A46" s="782">
        <f>A43+1</f>
        <v>13</v>
      </c>
      <c r="B46" s="785" t="s">
        <v>5380</v>
      </c>
      <c r="C46" s="791" t="s">
        <v>5361</v>
      </c>
      <c r="D46" s="80" t="s">
        <v>5362</v>
      </c>
      <c r="E46" s="81" t="s">
        <v>5256</v>
      </c>
      <c r="F46" s="82" t="str">
        <f>IF(_xlfn.XLOOKUP(E46,'[38]Before Award'!D:D,'[38]Before Award'!AV:AV,"N/A")="N/A","N","Y")</f>
        <v>N</v>
      </c>
      <c r="G46" s="794" t="s">
        <v>5371</v>
      </c>
      <c r="H46" s="83" t="s">
        <v>5382</v>
      </c>
      <c r="I46" s="81" t="s">
        <v>6</v>
      </c>
      <c r="J46" s="82"/>
      <c r="K46" s="84">
        <f>M48</f>
        <v>1E-3</v>
      </c>
      <c r="L46" s="84"/>
      <c r="M46" s="84"/>
      <c r="N46" s="81"/>
      <c r="O46" s="81"/>
      <c r="P46" s="81"/>
      <c r="Q46" s="85" t="s">
        <v>5364</v>
      </c>
      <c r="R46" s="86">
        <f>'Before Award'!U53+5</f>
        <v>46319</v>
      </c>
      <c r="S46" s="86" t="e">
        <f>WORKDAY(R46,INDEX(S$2:S$5,MATCH($I46,$I$2:$I$5,0)),$BB$10:$BB$141)</f>
        <v>#REF!</v>
      </c>
      <c r="T46" s="86" t="e">
        <f>WORKDAY(S46,INDEX(T$2:T$5,MATCH($I46,$I$2:$I$5,0)),$BB$10:$BB$141)</f>
        <v>#REF!</v>
      </c>
      <c r="U46" s="86" t="e">
        <f>T46+60</f>
        <v>#REF!</v>
      </c>
      <c r="V46" s="86"/>
      <c r="W46" s="86">
        <f>AB46-35</f>
        <v>46419</v>
      </c>
      <c r="X46" s="86"/>
      <c r="Y46" s="86"/>
      <c r="Z46" s="86"/>
      <c r="AA46" s="86"/>
      <c r="AB46" s="86">
        <f>'Before Award'!X53</f>
        <v>46454</v>
      </c>
      <c r="AC46" s="797" t="s">
        <v>5365</v>
      </c>
      <c r="AD46" s="87">
        <v>14</v>
      </c>
      <c r="AE46" s="800">
        <v>238</v>
      </c>
      <c r="AF46" s="806" t="e">
        <f>AB47</f>
        <v>#REF!</v>
      </c>
      <c r="AG46" s="809">
        <f>WORKDAY(AH46+1,-1,$BA$10:$BA$141)</f>
        <v>46416</v>
      </c>
      <c r="AH46" s="88">
        <v>46418</v>
      </c>
      <c r="AI46" s="89"/>
      <c r="AJ46" s="812" t="e">
        <f>AG46-AF46</f>
        <v>#REF!</v>
      </c>
      <c r="AK46" s="90"/>
      <c r="AL46" s="91"/>
      <c r="AM46" s="92">
        <f t="shared" ref="AM46:AW46" si="47">IF(ISERROR(LOOKUP(AM$6,$S46:$AB46,$S$9:$AB$9)),0,(LOOKUP(AM$6,$S46:$AB46,$S$9:$AB$9)))</f>
        <v>0</v>
      </c>
      <c r="AN46" s="93">
        <f t="shared" si="47"/>
        <v>0</v>
      </c>
      <c r="AO46" s="93">
        <f t="shared" si="47"/>
        <v>0</v>
      </c>
      <c r="AP46" s="93">
        <f t="shared" si="47"/>
        <v>0</v>
      </c>
      <c r="AQ46" s="93">
        <f t="shared" si="47"/>
        <v>0</v>
      </c>
      <c r="AR46" s="93">
        <f t="shared" si="47"/>
        <v>0</v>
      </c>
      <c r="AS46" s="93">
        <f t="shared" si="47"/>
        <v>0</v>
      </c>
      <c r="AT46" s="93">
        <f t="shared" si="47"/>
        <v>0</v>
      </c>
      <c r="AU46" s="93">
        <f t="shared" si="47"/>
        <v>0</v>
      </c>
      <c r="AV46" s="93">
        <f t="shared" si="47"/>
        <v>0</v>
      </c>
      <c r="AW46" s="93">
        <f t="shared" ca="1" si="47"/>
        <v>0</v>
      </c>
      <c r="BB46" s="94" t="e">
        <v>#REF!</v>
      </c>
    </row>
    <row r="47" spans="1:54" s="20" customFormat="1" ht="18.600000000000001" customHeight="1">
      <c r="A47" s="783"/>
      <c r="B47" s="786"/>
      <c r="C47" s="792"/>
      <c r="D47" s="96" t="str">
        <f>D46</f>
        <v>MEC</v>
      </c>
      <c r="E47" s="97" t="str">
        <f>E46</f>
        <v>RFQ-013</v>
      </c>
      <c r="F47" s="98" t="str">
        <f>F46</f>
        <v>N</v>
      </c>
      <c r="G47" s="795"/>
      <c r="H47" s="99" t="str">
        <f>H46</f>
        <v>Corrosion Inhibitor Storage Tank</v>
      </c>
      <c r="I47" s="97" t="str">
        <f>I46</f>
        <v>LA</v>
      </c>
      <c r="J47" s="98"/>
      <c r="K47" s="100"/>
      <c r="L47" s="100">
        <f>M48</f>
        <v>1E-3</v>
      </c>
      <c r="M47" s="100"/>
      <c r="N47" s="97"/>
      <c r="O47" s="97"/>
      <c r="P47" s="97"/>
      <c r="Q47" s="101" t="s">
        <v>5366</v>
      </c>
      <c r="R47" s="102">
        <f>R46</f>
        <v>46319</v>
      </c>
      <c r="S47" s="102" t="e">
        <f>S46</f>
        <v>#REF!</v>
      </c>
      <c r="T47" s="103" t="e">
        <f>T46</f>
        <v>#REF!</v>
      </c>
      <c r="U47" s="103" t="e">
        <f t="shared" ref="U47:Z47" si="48">WORKDAY(IF(T48="",T47,T48),INDEX(U$2:U$5,MATCH($I46,$I$2:$I$5,0)),$BB$10:$BB$141)</f>
        <v>#REF!</v>
      </c>
      <c r="V47" s="103" t="e">
        <f t="shared" si="48"/>
        <v>#REF!</v>
      </c>
      <c r="W47" s="103" t="e">
        <f t="shared" si="48"/>
        <v>#REF!</v>
      </c>
      <c r="X47" s="103" t="e">
        <f t="shared" si="48"/>
        <v>#REF!</v>
      </c>
      <c r="Y47" s="103" t="e">
        <f t="shared" si="48"/>
        <v>#REF!</v>
      </c>
      <c r="Z47" s="103" t="e">
        <f t="shared" si="48"/>
        <v>#REF!</v>
      </c>
      <c r="AA47" s="103" t="e">
        <f>WORKDAY(IF(Z48="",X47,Z48),INDEX(AA$2:AA$5,MATCH($I46,$I$2:$I$5,0)),$BB$10:$BB$141)</f>
        <v>#REF!</v>
      </c>
      <c r="AB47" s="104" t="e">
        <f>WORKDAY(AE46+#REF!,0,'[38]Equipment List and MR List (3)'!$A$2:$A$80)</f>
        <v>#REF!</v>
      </c>
      <c r="AC47" s="798"/>
      <c r="AD47" s="105"/>
      <c r="AE47" s="800"/>
      <c r="AF47" s="807"/>
      <c r="AG47" s="810"/>
      <c r="AH47" s="106"/>
      <c r="AI47" s="107"/>
      <c r="AJ47" s="813"/>
      <c r="AK47" s="108"/>
      <c r="AL47" s="109"/>
      <c r="AM47" s="92">
        <f t="shared" ref="AM47:AW47" si="49">IF(ISERROR(LOOKUP(AM$6,$S47:$AB47,$S$9:$AB$9)),0,(LOOKUP(AM$6,$S47:$AB47,$S$9:$AB$9)))</f>
        <v>0</v>
      </c>
      <c r="AN47" s="93">
        <f t="shared" si="49"/>
        <v>0</v>
      </c>
      <c r="AO47" s="93">
        <f t="shared" si="49"/>
        <v>0</v>
      </c>
      <c r="AP47" s="93">
        <f t="shared" si="49"/>
        <v>0</v>
      </c>
      <c r="AQ47" s="93">
        <f t="shared" si="49"/>
        <v>0</v>
      </c>
      <c r="AR47" s="93">
        <f t="shared" si="49"/>
        <v>0</v>
      </c>
      <c r="AS47" s="93">
        <f t="shared" si="49"/>
        <v>0</v>
      </c>
      <c r="AT47" s="93">
        <f t="shared" si="49"/>
        <v>0</v>
      </c>
      <c r="AU47" s="93">
        <f t="shared" si="49"/>
        <v>0</v>
      </c>
      <c r="AV47" s="93">
        <f t="shared" si="49"/>
        <v>0</v>
      </c>
      <c r="AW47" s="93">
        <f t="shared" ca="1" si="49"/>
        <v>0</v>
      </c>
      <c r="BB47" s="94" t="e">
        <v>#REF!</v>
      </c>
    </row>
    <row r="48" spans="1:54" s="20" customFormat="1" ht="18.600000000000001" customHeight="1">
      <c r="A48" s="784"/>
      <c r="B48" s="787"/>
      <c r="C48" s="793"/>
      <c r="D48" s="111" t="str">
        <f>D46</f>
        <v>MEC</v>
      </c>
      <c r="E48" s="112" t="str">
        <f>E46</f>
        <v>RFQ-013</v>
      </c>
      <c r="F48" s="113" t="str">
        <f>F46</f>
        <v>N</v>
      </c>
      <c r="G48" s="796"/>
      <c r="H48" s="99" t="str">
        <f>H46</f>
        <v>Corrosion Inhibitor Storage Tank</v>
      </c>
      <c r="I48" s="112" t="str">
        <f>I46</f>
        <v>LA</v>
      </c>
      <c r="J48" s="113"/>
      <c r="K48" s="114"/>
      <c r="L48" s="114"/>
      <c r="M48" s="114">
        <v>1E-3</v>
      </c>
      <c r="N48" s="112"/>
      <c r="O48" s="112"/>
      <c r="P48" s="112"/>
      <c r="Q48" s="115" t="s">
        <v>368</v>
      </c>
      <c r="R48" s="115"/>
      <c r="S48" s="126"/>
      <c r="T48" s="126"/>
      <c r="U48" s="126"/>
      <c r="V48" s="126"/>
      <c r="W48" s="126"/>
      <c r="X48" s="126"/>
      <c r="Y48" s="126"/>
      <c r="Z48" s="126"/>
      <c r="AA48" s="126"/>
      <c r="AB48" s="126"/>
      <c r="AC48" s="799"/>
      <c r="AD48" s="116"/>
      <c r="AE48" s="800"/>
      <c r="AF48" s="808"/>
      <c r="AG48" s="811"/>
      <c r="AH48" s="117"/>
      <c r="AI48" s="118"/>
      <c r="AJ48" s="814"/>
      <c r="AK48" s="119"/>
      <c r="AL48" s="120"/>
      <c r="AM48" s="121">
        <f t="shared" ref="AM48:AW48" si="50">IF(ISERROR(LOOKUP(AM$6,$S48:$AB48,$S$9:$AB$9)),0,(LOOKUP(AM$6,$S48:$AB48,$S$9:$AB$9)))</f>
        <v>0</v>
      </c>
      <c r="AN48" s="122">
        <f t="shared" si="50"/>
        <v>0</v>
      </c>
      <c r="AO48" s="122">
        <f t="shared" si="50"/>
        <v>0</v>
      </c>
      <c r="AP48" s="122">
        <f t="shared" si="50"/>
        <v>0</v>
      </c>
      <c r="AQ48" s="122">
        <f t="shared" si="50"/>
        <v>0</v>
      </c>
      <c r="AR48" s="122">
        <f t="shared" si="50"/>
        <v>0</v>
      </c>
      <c r="AS48" s="122">
        <f t="shared" si="50"/>
        <v>0</v>
      </c>
      <c r="AT48" s="122">
        <f t="shared" si="50"/>
        <v>0</v>
      </c>
      <c r="AU48" s="122">
        <f t="shared" si="50"/>
        <v>0</v>
      </c>
      <c r="AV48" s="122">
        <f t="shared" si="50"/>
        <v>0</v>
      </c>
      <c r="AW48" s="122">
        <f t="shared" ca="1" si="50"/>
        <v>0</v>
      </c>
      <c r="BB48" s="94" t="e">
        <v>#REF!</v>
      </c>
    </row>
    <row r="49" spans="1:54" s="20" customFormat="1" ht="18" customHeight="1">
      <c r="A49" s="782">
        <f>A46+1</f>
        <v>14</v>
      </c>
      <c r="B49" s="788" t="s">
        <v>5383</v>
      </c>
      <c r="C49" s="791" t="s">
        <v>5361</v>
      </c>
      <c r="D49" s="80" t="s">
        <v>5362</v>
      </c>
      <c r="E49" s="81" t="s">
        <v>5257</v>
      </c>
      <c r="F49" s="82" t="str">
        <f>IF(_xlfn.XLOOKUP(E49,'[38]Before Award'!D:D,'[38]Before Award'!AV:AV,"N/A")="N/A","N","Y")</f>
        <v>N</v>
      </c>
      <c r="G49" s="794" t="s">
        <v>5384</v>
      </c>
      <c r="H49" s="123" t="s">
        <v>5258</v>
      </c>
      <c r="I49" s="81" t="s">
        <v>6</v>
      </c>
      <c r="J49" s="82"/>
      <c r="K49" s="84">
        <f>M51</f>
        <v>0.01</v>
      </c>
      <c r="L49" s="84"/>
      <c r="M49" s="84"/>
      <c r="N49" s="81"/>
      <c r="O49" s="81"/>
      <c r="P49" s="81"/>
      <c r="Q49" s="85" t="s">
        <v>5364</v>
      </c>
      <c r="R49" s="86">
        <f>'Before Award'!U56+5</f>
        <v>46215</v>
      </c>
      <c r="S49" s="86" t="e">
        <f>WORKDAY(R49,INDEX(S$2:S$5,MATCH($I49,$I$2:$I$5,0)),$BB$10:$BB$141)</f>
        <v>#REF!</v>
      </c>
      <c r="T49" s="86" t="e">
        <f>WORKDAY(S49,INDEX(T$2:T$5,MATCH($I49,$I$2:$I$5,0)),$BB$10:$BB$141)</f>
        <v>#REF!</v>
      </c>
      <c r="U49" s="86" t="e">
        <f>T49+30</f>
        <v>#REF!</v>
      </c>
      <c r="V49" s="86"/>
      <c r="W49" s="86">
        <f>AB49-35</f>
        <v>46399</v>
      </c>
      <c r="X49" s="86"/>
      <c r="Y49" s="86"/>
      <c r="Z49" s="86"/>
      <c r="AA49" s="86"/>
      <c r="AB49" s="86">
        <f>'Before Award'!X56</f>
        <v>46434</v>
      </c>
      <c r="AC49" s="797" t="s">
        <v>5365</v>
      </c>
      <c r="AD49" s="87">
        <v>14</v>
      </c>
      <c r="AE49" s="800">
        <f>32*7</f>
        <v>224</v>
      </c>
      <c r="AF49" s="806" t="e">
        <f>AB50</f>
        <v>#REF!</v>
      </c>
      <c r="AG49" s="809">
        <f>WORKDAY(AH49+1,-1,$BA$10:$BA$141)</f>
        <v>46386</v>
      </c>
      <c r="AH49" s="88">
        <v>46386</v>
      </c>
      <c r="AI49" s="89"/>
      <c r="AJ49" s="812" t="e">
        <f>AG49-AF49</f>
        <v>#REF!</v>
      </c>
      <c r="AK49" s="90"/>
      <c r="AL49" s="91"/>
      <c r="AM49" s="92">
        <f t="shared" ref="AM49:AW49" si="51">IF(ISERROR(LOOKUP(AM$6,$S49:$AB49,$S$9:$AB$9)),0,(LOOKUP(AM$6,$S49:$AB49,$S$9:$AB$9)))</f>
        <v>0</v>
      </c>
      <c r="AN49" s="93">
        <f t="shared" si="51"/>
        <v>0</v>
      </c>
      <c r="AO49" s="93">
        <f t="shared" si="51"/>
        <v>0</v>
      </c>
      <c r="AP49" s="93">
        <f t="shared" si="51"/>
        <v>0</v>
      </c>
      <c r="AQ49" s="93">
        <f t="shared" si="51"/>
        <v>0</v>
      </c>
      <c r="AR49" s="93">
        <f t="shared" si="51"/>
        <v>0</v>
      </c>
      <c r="AS49" s="93">
        <f t="shared" si="51"/>
        <v>0</v>
      </c>
      <c r="AT49" s="93">
        <f t="shared" si="51"/>
        <v>0</v>
      </c>
      <c r="AU49" s="93">
        <f t="shared" si="51"/>
        <v>0</v>
      </c>
      <c r="AV49" s="93">
        <f t="shared" si="51"/>
        <v>0</v>
      </c>
      <c r="AW49" s="93">
        <f t="shared" ca="1" si="51"/>
        <v>0</v>
      </c>
      <c r="BB49" s="94" t="e">
        <v>#REF!</v>
      </c>
    </row>
    <row r="50" spans="1:54" s="20" customFormat="1" ht="18" customHeight="1">
      <c r="A50" s="783"/>
      <c r="B50" s="789"/>
      <c r="C50" s="792"/>
      <c r="D50" s="96" t="str">
        <f>D49</f>
        <v>MEC</v>
      </c>
      <c r="E50" s="97" t="str">
        <f>E49</f>
        <v>RFQ-014</v>
      </c>
      <c r="F50" s="98" t="str">
        <f>F49</f>
        <v>N</v>
      </c>
      <c r="G50" s="795"/>
      <c r="H50" s="124" t="str">
        <f>H49</f>
        <v>Closed Drain Sump Pump</v>
      </c>
      <c r="I50" s="97" t="str">
        <f>I49</f>
        <v>LA</v>
      </c>
      <c r="J50" s="98"/>
      <c r="K50" s="100"/>
      <c r="L50" s="100">
        <f>M51</f>
        <v>0.01</v>
      </c>
      <c r="M50" s="100"/>
      <c r="N50" s="97"/>
      <c r="O50" s="97"/>
      <c r="P50" s="97"/>
      <c r="Q50" s="101" t="s">
        <v>5366</v>
      </c>
      <c r="R50" s="102">
        <f>R49</f>
        <v>46215</v>
      </c>
      <c r="S50" s="102" t="e">
        <f>S49</f>
        <v>#REF!</v>
      </c>
      <c r="T50" s="103" t="e">
        <f>T49</f>
        <v>#REF!</v>
      </c>
      <c r="U50" s="103" t="e">
        <f t="shared" ref="U50:Z50" si="52">WORKDAY(IF(T51="",T50,T51),INDEX(U$2:U$5,MATCH($I49,$I$2:$I$5,0)),$BB$10:$BB$141)</f>
        <v>#REF!</v>
      </c>
      <c r="V50" s="103" t="e">
        <f t="shared" si="52"/>
        <v>#REF!</v>
      </c>
      <c r="W50" s="103" t="e">
        <f t="shared" si="52"/>
        <v>#REF!</v>
      </c>
      <c r="X50" s="103" t="e">
        <f t="shared" si="52"/>
        <v>#REF!</v>
      </c>
      <c r="Y50" s="103" t="e">
        <f t="shared" si="52"/>
        <v>#REF!</v>
      </c>
      <c r="Z50" s="103" t="e">
        <f t="shared" si="52"/>
        <v>#REF!</v>
      </c>
      <c r="AA50" s="103" t="e">
        <f>WORKDAY(IF(Z51="",X50,Z51),INDEX(AA$2:AA$5,MATCH($I49,$I$2:$I$5,0)),$BB$10:$BB$141)</f>
        <v>#REF!</v>
      </c>
      <c r="AB50" s="104" t="e">
        <f>WORKDAY(AE49+#REF!,0,'[38]Equipment List and MR List (3)'!$A$2:$A$80)</f>
        <v>#REF!</v>
      </c>
      <c r="AC50" s="798"/>
      <c r="AD50" s="105"/>
      <c r="AE50" s="800"/>
      <c r="AF50" s="807"/>
      <c r="AG50" s="810"/>
      <c r="AH50" s="106"/>
      <c r="AI50" s="107"/>
      <c r="AJ50" s="813"/>
      <c r="AK50" s="108"/>
      <c r="AL50" s="109"/>
      <c r="AM50" s="92">
        <f t="shared" ref="AM50:AW50" si="53">IF(ISERROR(LOOKUP(AM$6,$S50:$AB50,$S$9:$AB$9)),0,(LOOKUP(AM$6,$S50:$AB50,$S$9:$AB$9)))</f>
        <v>0</v>
      </c>
      <c r="AN50" s="93">
        <f t="shared" si="53"/>
        <v>0</v>
      </c>
      <c r="AO50" s="93">
        <f t="shared" si="53"/>
        <v>0</v>
      </c>
      <c r="AP50" s="93">
        <f t="shared" si="53"/>
        <v>0</v>
      </c>
      <c r="AQ50" s="93">
        <f t="shared" si="53"/>
        <v>0</v>
      </c>
      <c r="AR50" s="93">
        <f t="shared" si="53"/>
        <v>0</v>
      </c>
      <c r="AS50" s="93">
        <f t="shared" si="53"/>
        <v>0</v>
      </c>
      <c r="AT50" s="93">
        <f t="shared" si="53"/>
        <v>0</v>
      </c>
      <c r="AU50" s="93">
        <f t="shared" si="53"/>
        <v>0</v>
      </c>
      <c r="AV50" s="93">
        <f t="shared" si="53"/>
        <v>0</v>
      </c>
      <c r="AW50" s="93">
        <f t="shared" ca="1" si="53"/>
        <v>0</v>
      </c>
      <c r="BB50" s="94" t="e">
        <v>#REF!</v>
      </c>
    </row>
    <row r="51" spans="1:54" s="20" customFormat="1" ht="18" customHeight="1">
      <c r="A51" s="784"/>
      <c r="B51" s="790"/>
      <c r="C51" s="793"/>
      <c r="D51" s="111" t="str">
        <f>D49</f>
        <v>MEC</v>
      </c>
      <c r="E51" s="112" t="str">
        <f>E49</f>
        <v>RFQ-014</v>
      </c>
      <c r="F51" s="113" t="str">
        <f>F49</f>
        <v>N</v>
      </c>
      <c r="G51" s="796"/>
      <c r="H51" s="124" t="str">
        <f>H49</f>
        <v>Closed Drain Sump Pump</v>
      </c>
      <c r="I51" s="112" t="str">
        <f>I49</f>
        <v>LA</v>
      </c>
      <c r="J51" s="113"/>
      <c r="K51" s="114"/>
      <c r="L51" s="114"/>
      <c r="M51" s="114">
        <v>0.01</v>
      </c>
      <c r="N51" s="112"/>
      <c r="O51" s="112"/>
      <c r="P51" s="112"/>
      <c r="Q51" s="115" t="s">
        <v>368</v>
      </c>
      <c r="R51" s="126"/>
      <c r="S51" s="126"/>
      <c r="T51" s="126"/>
      <c r="U51" s="126"/>
      <c r="V51" s="126"/>
      <c r="W51" s="126"/>
      <c r="X51" s="126"/>
      <c r="Y51" s="126"/>
      <c r="Z51" s="126"/>
      <c r="AA51" s="126"/>
      <c r="AB51" s="126"/>
      <c r="AC51" s="799"/>
      <c r="AD51" s="116"/>
      <c r="AE51" s="800"/>
      <c r="AF51" s="808"/>
      <c r="AG51" s="811"/>
      <c r="AH51" s="117"/>
      <c r="AI51" s="118"/>
      <c r="AJ51" s="814"/>
      <c r="AK51" s="119"/>
      <c r="AL51" s="120"/>
      <c r="AM51" s="121">
        <f t="shared" ref="AM51:AW51" si="54">IF(ISERROR(LOOKUP(AM$6,$S51:$AB51,$S$9:$AB$9)),0,(LOOKUP(AM$6,$S51:$AB51,$S$9:$AB$9)))</f>
        <v>0</v>
      </c>
      <c r="AN51" s="122">
        <f t="shared" si="54"/>
        <v>0</v>
      </c>
      <c r="AO51" s="122">
        <f t="shared" si="54"/>
        <v>0</v>
      </c>
      <c r="AP51" s="122">
        <f t="shared" si="54"/>
        <v>0</v>
      </c>
      <c r="AQ51" s="122">
        <f t="shared" si="54"/>
        <v>0</v>
      </c>
      <c r="AR51" s="122">
        <f t="shared" si="54"/>
        <v>0</v>
      </c>
      <c r="AS51" s="122">
        <f t="shared" si="54"/>
        <v>0</v>
      </c>
      <c r="AT51" s="122">
        <f t="shared" si="54"/>
        <v>0</v>
      </c>
      <c r="AU51" s="122">
        <f t="shared" si="54"/>
        <v>0</v>
      </c>
      <c r="AV51" s="122">
        <f t="shared" si="54"/>
        <v>0</v>
      </c>
      <c r="AW51" s="122">
        <f t="shared" ca="1" si="54"/>
        <v>0</v>
      </c>
      <c r="BB51" s="94" t="e">
        <v>#REF!</v>
      </c>
    </row>
    <row r="52" spans="1:54" s="20" customFormat="1" ht="18" customHeight="1">
      <c r="A52" s="782">
        <f>A49+1</f>
        <v>15</v>
      </c>
      <c r="B52" s="79"/>
      <c r="C52" s="791" t="s">
        <v>5361</v>
      </c>
      <c r="D52" s="80" t="s">
        <v>5362</v>
      </c>
      <c r="E52" s="81" t="s">
        <v>5259</v>
      </c>
      <c r="F52" s="82" t="s">
        <v>73</v>
      </c>
      <c r="G52" s="794" t="s">
        <v>5385</v>
      </c>
      <c r="H52" s="82" t="s">
        <v>5260</v>
      </c>
      <c r="I52" s="81" t="s">
        <v>6</v>
      </c>
      <c r="J52" s="82"/>
      <c r="K52" s="84">
        <f>M54</f>
        <v>0.01</v>
      </c>
      <c r="L52" s="84"/>
      <c r="M52" s="84"/>
      <c r="N52" s="81"/>
      <c r="O52" s="81"/>
      <c r="P52" s="81"/>
      <c r="Q52" s="85" t="s">
        <v>5364</v>
      </c>
      <c r="R52" s="86">
        <f>'Before Award'!U59+5</f>
        <v>46302</v>
      </c>
      <c r="S52" s="86" t="e">
        <f>WORKDAY(R52,INDEX(S$2:S$5,MATCH($I52,$I$2:$I$5,0)),$BB$10:$BB$141)</f>
        <v>#REF!</v>
      </c>
      <c r="T52" s="86" t="e">
        <f>WORKDAY(S52,INDEX(T$2:T$5,MATCH($I52,$I$2:$I$5,0)),$BB$10:$BB$141)</f>
        <v>#REF!</v>
      </c>
      <c r="U52" s="86" t="e">
        <f>T52+30</f>
        <v>#REF!</v>
      </c>
      <c r="V52" s="86"/>
      <c r="W52" s="86">
        <f>AB52-35</f>
        <v>46486</v>
      </c>
      <c r="X52" s="86"/>
      <c r="Y52" s="86"/>
      <c r="Z52" s="86"/>
      <c r="AA52" s="86"/>
      <c r="AB52" s="86">
        <f>'Before Award'!X59</f>
        <v>46521</v>
      </c>
      <c r="AC52" s="797" t="s">
        <v>5365</v>
      </c>
      <c r="AD52" s="87">
        <v>14</v>
      </c>
      <c r="AE52" s="801">
        <f>32*7</f>
        <v>224</v>
      </c>
      <c r="AF52" s="806" t="e">
        <f>AB53</f>
        <v>#REF!</v>
      </c>
      <c r="AG52" s="809">
        <f>WORKDAY(AH52+1,-1,$BA$10:$BA$141)</f>
        <v>46521</v>
      </c>
      <c r="AH52" s="88">
        <v>46522</v>
      </c>
      <c r="AI52" s="89"/>
      <c r="AJ52" s="812" t="e">
        <f>AG52-AF52</f>
        <v>#REF!</v>
      </c>
      <c r="AK52" s="90"/>
      <c r="AL52" s="91"/>
      <c r="AM52" s="92">
        <f t="shared" ref="AM52:AW52" si="55">IF(ISERROR(LOOKUP(AM$6,$S52:$AB52,$S$9:$AB$9)),0,(LOOKUP(AM$6,$S52:$AB52,$S$9:$AB$9)))</f>
        <v>0</v>
      </c>
      <c r="AN52" s="93">
        <f t="shared" si="55"/>
        <v>0</v>
      </c>
      <c r="AO52" s="93">
        <f t="shared" si="55"/>
        <v>0</v>
      </c>
      <c r="AP52" s="93">
        <f t="shared" si="55"/>
        <v>0</v>
      </c>
      <c r="AQ52" s="93">
        <f t="shared" si="55"/>
        <v>0</v>
      </c>
      <c r="AR52" s="93">
        <f t="shared" si="55"/>
        <v>0</v>
      </c>
      <c r="AS52" s="93">
        <f t="shared" si="55"/>
        <v>0</v>
      </c>
      <c r="AT52" s="93">
        <f t="shared" si="55"/>
        <v>0</v>
      </c>
      <c r="AU52" s="93">
        <f t="shared" si="55"/>
        <v>0</v>
      </c>
      <c r="AV52" s="93">
        <f t="shared" si="55"/>
        <v>0</v>
      </c>
      <c r="AW52" s="93">
        <f t="shared" ca="1" si="55"/>
        <v>0</v>
      </c>
      <c r="BB52" s="94" t="e">
        <v>#REF!</v>
      </c>
    </row>
    <row r="53" spans="1:54" s="20" customFormat="1" ht="18" customHeight="1">
      <c r="A53" s="783"/>
      <c r="B53" s="95"/>
      <c r="C53" s="792"/>
      <c r="D53" s="96" t="str">
        <f>D52</f>
        <v>MEC</v>
      </c>
      <c r="E53" s="97" t="str">
        <f>E52</f>
        <v>RFQ-015</v>
      </c>
      <c r="F53" s="98" t="str">
        <f>F52</f>
        <v>N</v>
      </c>
      <c r="G53" s="795"/>
      <c r="H53" s="98" t="str">
        <f>H52</f>
        <v>Diesel Transfer Pump</v>
      </c>
      <c r="I53" s="97" t="str">
        <f>I52</f>
        <v>LA</v>
      </c>
      <c r="J53" s="98"/>
      <c r="K53" s="100"/>
      <c r="L53" s="100">
        <f>M54</f>
        <v>0.01</v>
      </c>
      <c r="M53" s="100"/>
      <c r="N53" s="97"/>
      <c r="O53" s="97"/>
      <c r="P53" s="97"/>
      <c r="Q53" s="101" t="s">
        <v>5366</v>
      </c>
      <c r="R53" s="102">
        <f>R52</f>
        <v>46302</v>
      </c>
      <c r="S53" s="102" t="e">
        <f>S52</f>
        <v>#REF!</v>
      </c>
      <c r="T53" s="103" t="e">
        <f>T52</f>
        <v>#REF!</v>
      </c>
      <c r="U53" s="103" t="e">
        <f t="shared" ref="U53:Z53" si="56">WORKDAY(IF(T54="",T53,T54),INDEX(U$2:U$5,MATCH($I52,$I$2:$I$5,0)),$BB$10:$BB$141)</f>
        <v>#REF!</v>
      </c>
      <c r="V53" s="103" t="e">
        <f t="shared" si="56"/>
        <v>#REF!</v>
      </c>
      <c r="W53" s="103" t="e">
        <f t="shared" si="56"/>
        <v>#REF!</v>
      </c>
      <c r="X53" s="103" t="e">
        <f t="shared" si="56"/>
        <v>#REF!</v>
      </c>
      <c r="Y53" s="103" t="e">
        <f t="shared" si="56"/>
        <v>#REF!</v>
      </c>
      <c r="Z53" s="103" t="e">
        <f t="shared" si="56"/>
        <v>#REF!</v>
      </c>
      <c r="AA53" s="103" t="e">
        <f>WORKDAY(IF(Z54="",X53,Z54),INDEX(AA$2:AA$5,MATCH($I52,$I$2:$I$5,0)),$BB$10:$BB$141)</f>
        <v>#REF!</v>
      </c>
      <c r="AB53" s="104" t="e">
        <f>WORKDAY(AE52+#REF!,0,'[38]Equipment List and MR List (3)'!$A$2:$A$80)</f>
        <v>#REF!</v>
      </c>
      <c r="AC53" s="798"/>
      <c r="AD53" s="105"/>
      <c r="AE53" s="801"/>
      <c r="AF53" s="807"/>
      <c r="AG53" s="810"/>
      <c r="AH53" s="106"/>
      <c r="AI53" s="107"/>
      <c r="AJ53" s="813"/>
      <c r="AK53" s="108"/>
      <c r="AL53" s="109"/>
      <c r="AM53" s="92">
        <f t="shared" ref="AM53:AW53" si="57">IF(ISERROR(LOOKUP(AM$6,$S53:$AB53,$S$9:$AB$9)),0,(LOOKUP(AM$6,$S53:$AB53,$S$9:$AB$9)))</f>
        <v>0</v>
      </c>
      <c r="AN53" s="93">
        <f t="shared" si="57"/>
        <v>0</v>
      </c>
      <c r="AO53" s="93">
        <f t="shared" si="57"/>
        <v>0</v>
      </c>
      <c r="AP53" s="93">
        <f t="shared" si="57"/>
        <v>0</v>
      </c>
      <c r="AQ53" s="93">
        <f t="shared" si="57"/>
        <v>0</v>
      </c>
      <c r="AR53" s="93">
        <f t="shared" si="57"/>
        <v>0</v>
      </c>
      <c r="AS53" s="93">
        <f t="shared" si="57"/>
        <v>0</v>
      </c>
      <c r="AT53" s="93">
        <f t="shared" si="57"/>
        <v>0</v>
      </c>
      <c r="AU53" s="93">
        <f t="shared" si="57"/>
        <v>0</v>
      </c>
      <c r="AV53" s="93">
        <f t="shared" si="57"/>
        <v>0</v>
      </c>
      <c r="AW53" s="93">
        <f t="shared" ca="1" si="57"/>
        <v>0</v>
      </c>
      <c r="BB53" s="94" t="e">
        <v>#REF!</v>
      </c>
    </row>
    <row r="54" spans="1:54" s="20" customFormat="1" ht="18" customHeight="1">
      <c r="A54" s="784"/>
      <c r="B54" s="110"/>
      <c r="C54" s="793"/>
      <c r="D54" s="111" t="str">
        <f>D52</f>
        <v>MEC</v>
      </c>
      <c r="E54" s="112" t="str">
        <f>E52</f>
        <v>RFQ-015</v>
      </c>
      <c r="F54" s="113" t="str">
        <f>F52</f>
        <v>N</v>
      </c>
      <c r="G54" s="796"/>
      <c r="H54" s="113" t="str">
        <f>H52</f>
        <v>Diesel Transfer Pump</v>
      </c>
      <c r="I54" s="112" t="str">
        <f>I52</f>
        <v>LA</v>
      </c>
      <c r="J54" s="113"/>
      <c r="K54" s="114"/>
      <c r="L54" s="114"/>
      <c r="M54" s="114">
        <v>0.01</v>
      </c>
      <c r="N54" s="112"/>
      <c r="O54" s="112"/>
      <c r="P54" s="112"/>
      <c r="Q54" s="115" t="s">
        <v>368</v>
      </c>
      <c r="R54" s="115"/>
      <c r="S54" s="126"/>
      <c r="T54" s="126"/>
      <c r="U54" s="126"/>
      <c r="V54" s="126"/>
      <c r="W54" s="126"/>
      <c r="X54" s="126"/>
      <c r="Y54" s="126"/>
      <c r="Z54" s="126"/>
      <c r="AA54" s="126"/>
      <c r="AB54" s="126"/>
      <c r="AC54" s="799"/>
      <c r="AD54" s="116"/>
      <c r="AE54" s="801"/>
      <c r="AF54" s="808"/>
      <c r="AG54" s="811"/>
      <c r="AH54" s="117"/>
      <c r="AI54" s="118"/>
      <c r="AJ54" s="814"/>
      <c r="AK54" s="119"/>
      <c r="AL54" s="120"/>
      <c r="AM54" s="121">
        <f t="shared" ref="AM54:AW54" si="58">IF(ISERROR(LOOKUP(AM$6,$S54:$AB54,$S$9:$AB$9)),0,(LOOKUP(AM$6,$S54:$AB54,$S$9:$AB$9)))</f>
        <v>0</v>
      </c>
      <c r="AN54" s="122">
        <f t="shared" si="58"/>
        <v>0</v>
      </c>
      <c r="AO54" s="122">
        <f t="shared" si="58"/>
        <v>0</v>
      </c>
      <c r="AP54" s="122">
        <f t="shared" si="58"/>
        <v>0</v>
      </c>
      <c r="AQ54" s="122">
        <f t="shared" si="58"/>
        <v>0</v>
      </c>
      <c r="AR54" s="122">
        <f t="shared" si="58"/>
        <v>0</v>
      </c>
      <c r="AS54" s="122">
        <f t="shared" si="58"/>
        <v>0</v>
      </c>
      <c r="AT54" s="122">
        <f t="shared" si="58"/>
        <v>0</v>
      </c>
      <c r="AU54" s="122">
        <f t="shared" si="58"/>
        <v>0</v>
      </c>
      <c r="AV54" s="122">
        <f t="shared" si="58"/>
        <v>0</v>
      </c>
      <c r="AW54" s="122">
        <f t="shared" ca="1" si="58"/>
        <v>0</v>
      </c>
      <c r="BB54" s="94" t="e">
        <v>#REF!</v>
      </c>
    </row>
    <row r="55" spans="1:54" s="20" customFormat="1" ht="18" customHeight="1">
      <c r="A55" s="782">
        <f>A52+1</f>
        <v>16</v>
      </c>
      <c r="B55" s="79"/>
      <c r="C55" s="791" t="s">
        <v>5361</v>
      </c>
      <c r="D55" s="80" t="s">
        <v>5362</v>
      </c>
      <c r="E55" s="81" t="s">
        <v>5261</v>
      </c>
      <c r="F55" s="82" t="s">
        <v>73</v>
      </c>
      <c r="G55" s="794" t="s">
        <v>5386</v>
      </c>
      <c r="H55" s="82" t="s">
        <v>5262</v>
      </c>
      <c r="I55" s="81" t="s">
        <v>6</v>
      </c>
      <c r="J55" s="82"/>
      <c r="K55" s="84">
        <f>M57</f>
        <v>5.0000000000000001E-4</v>
      </c>
      <c r="L55" s="84"/>
      <c r="M55" s="84"/>
      <c r="N55" s="81"/>
      <c r="O55" s="81"/>
      <c r="P55" s="81"/>
      <c r="Q55" s="85" t="s">
        <v>5364</v>
      </c>
      <c r="R55" s="86">
        <f>'Before Award'!U62+5</f>
        <v>46258</v>
      </c>
      <c r="S55" s="86" t="e">
        <f>WORKDAY(R55,INDEX(S$2:S$5,MATCH($I55,$I$2:$I$5,0)),$BB$10:$BB$141)</f>
        <v>#REF!</v>
      </c>
      <c r="T55" s="86" t="e">
        <f>WORKDAY(S55,INDEX(T$2:T$5,MATCH($I55,$I$2:$I$5,0)),$BB$10:$BB$141)</f>
        <v>#REF!</v>
      </c>
      <c r="U55" s="86" t="e">
        <f>T55+30</f>
        <v>#REF!</v>
      </c>
      <c r="V55" s="86"/>
      <c r="W55" s="86">
        <f>AB55-35</f>
        <v>46442</v>
      </c>
      <c r="X55" s="86"/>
      <c r="Y55" s="86"/>
      <c r="Z55" s="86"/>
      <c r="AA55" s="86"/>
      <c r="AB55" s="86">
        <f>'Before Award'!X62</f>
        <v>46477</v>
      </c>
      <c r="AC55" s="797" t="s">
        <v>5365</v>
      </c>
      <c r="AD55" s="87">
        <v>14</v>
      </c>
      <c r="AE55" s="801">
        <f>32*7</f>
        <v>224</v>
      </c>
      <c r="AF55" s="806" t="e">
        <f>AB56</f>
        <v>#REF!</v>
      </c>
      <c r="AG55" s="809">
        <f>WORKDAY(AH55+1,-1,$BA$10:$BA$141)</f>
        <v>46477</v>
      </c>
      <c r="AH55" s="88">
        <v>46477</v>
      </c>
      <c r="AI55" s="89"/>
      <c r="AJ55" s="812" t="e">
        <f>AG55-AF55</f>
        <v>#REF!</v>
      </c>
      <c r="AK55" s="90"/>
      <c r="AL55" s="91"/>
      <c r="AM55" s="92">
        <f t="shared" ref="AM55:AW55" si="59">IF(ISERROR(LOOKUP(AM$6,$S55:$AB55,$S$9:$AB$9)),0,(LOOKUP(AM$6,$S55:$AB55,$S$9:$AB$9)))</f>
        <v>0</v>
      </c>
      <c r="AN55" s="93">
        <f t="shared" si="59"/>
        <v>0</v>
      </c>
      <c r="AO55" s="93">
        <f t="shared" si="59"/>
        <v>0</v>
      </c>
      <c r="AP55" s="93">
        <f t="shared" si="59"/>
        <v>0</v>
      </c>
      <c r="AQ55" s="93">
        <f t="shared" si="59"/>
        <v>0</v>
      </c>
      <c r="AR55" s="93">
        <f t="shared" si="59"/>
        <v>0</v>
      </c>
      <c r="AS55" s="93">
        <f t="shared" si="59"/>
        <v>0</v>
      </c>
      <c r="AT55" s="93">
        <f t="shared" si="59"/>
        <v>0</v>
      </c>
      <c r="AU55" s="93">
        <f t="shared" si="59"/>
        <v>0</v>
      </c>
      <c r="AV55" s="93">
        <f t="shared" si="59"/>
        <v>0</v>
      </c>
      <c r="AW55" s="93">
        <f t="shared" ca="1" si="59"/>
        <v>0</v>
      </c>
      <c r="BB55" s="94" t="e">
        <v>#REF!</v>
      </c>
    </row>
    <row r="56" spans="1:54" s="20" customFormat="1" ht="18" customHeight="1">
      <c r="A56" s="783"/>
      <c r="B56" s="95"/>
      <c r="C56" s="792"/>
      <c r="D56" s="96" t="str">
        <f>D55</f>
        <v>MEC</v>
      </c>
      <c r="E56" s="97" t="str">
        <f>E55</f>
        <v>RFQ-016</v>
      </c>
      <c r="F56" s="98" t="str">
        <f>F55</f>
        <v>N</v>
      </c>
      <c r="G56" s="795"/>
      <c r="H56" s="98" t="str">
        <f>H55</f>
        <v>Open Drain Caisson Pump</v>
      </c>
      <c r="I56" s="97" t="str">
        <f>I55</f>
        <v>LA</v>
      </c>
      <c r="J56" s="98"/>
      <c r="K56" s="100"/>
      <c r="L56" s="100">
        <f>M57</f>
        <v>5.0000000000000001E-4</v>
      </c>
      <c r="M56" s="100"/>
      <c r="N56" s="97"/>
      <c r="O56" s="97"/>
      <c r="P56" s="97"/>
      <c r="Q56" s="101" t="s">
        <v>5366</v>
      </c>
      <c r="R56" s="102">
        <f>R55</f>
        <v>46258</v>
      </c>
      <c r="S56" s="102" t="e">
        <f>S55</f>
        <v>#REF!</v>
      </c>
      <c r="T56" s="103" t="e">
        <f>T55</f>
        <v>#REF!</v>
      </c>
      <c r="U56" s="103" t="e">
        <f t="shared" ref="U56:Z56" si="60">WORKDAY(IF(T57="",T56,T57),INDEX(U$2:U$5,MATCH($I55,$I$2:$I$5,0)),$BB$10:$BB$141)</f>
        <v>#REF!</v>
      </c>
      <c r="V56" s="103" t="e">
        <f t="shared" si="60"/>
        <v>#REF!</v>
      </c>
      <c r="W56" s="103" t="e">
        <f t="shared" si="60"/>
        <v>#REF!</v>
      </c>
      <c r="X56" s="103" t="e">
        <f t="shared" si="60"/>
        <v>#REF!</v>
      </c>
      <c r="Y56" s="103" t="e">
        <f t="shared" si="60"/>
        <v>#REF!</v>
      </c>
      <c r="Z56" s="103" t="e">
        <f t="shared" si="60"/>
        <v>#REF!</v>
      </c>
      <c r="AA56" s="103" t="e">
        <f>WORKDAY(IF(Z57="",X56,Z57),INDEX(AA$2:AA$5,MATCH($I55,$I$2:$I$5,0)),$BB$10:$BB$141)</f>
        <v>#REF!</v>
      </c>
      <c r="AB56" s="104" t="e">
        <f>WORKDAY(AE55+#REF!,0,'[38]Equipment List and MR List (3)'!$A$2:$A$80)</f>
        <v>#REF!</v>
      </c>
      <c r="AC56" s="798"/>
      <c r="AD56" s="105"/>
      <c r="AE56" s="801"/>
      <c r="AF56" s="807"/>
      <c r="AG56" s="810"/>
      <c r="AH56" s="106"/>
      <c r="AI56" s="107"/>
      <c r="AJ56" s="813"/>
      <c r="AK56" s="108"/>
      <c r="AL56" s="109"/>
      <c r="AM56" s="92">
        <f t="shared" ref="AM56:AW56" si="61">IF(ISERROR(LOOKUP(AM$6,$S56:$AB56,$S$9:$AB$9)),0,(LOOKUP(AM$6,$S56:$AB56,$S$9:$AB$9)))</f>
        <v>0</v>
      </c>
      <c r="AN56" s="93">
        <f t="shared" si="61"/>
        <v>0</v>
      </c>
      <c r="AO56" s="93">
        <f t="shared" si="61"/>
        <v>0</v>
      </c>
      <c r="AP56" s="93">
        <f t="shared" si="61"/>
        <v>0</v>
      </c>
      <c r="AQ56" s="93">
        <f t="shared" si="61"/>
        <v>0</v>
      </c>
      <c r="AR56" s="93">
        <f t="shared" si="61"/>
        <v>0</v>
      </c>
      <c r="AS56" s="93">
        <f t="shared" si="61"/>
        <v>0</v>
      </c>
      <c r="AT56" s="93">
        <f t="shared" si="61"/>
        <v>0</v>
      </c>
      <c r="AU56" s="93">
        <f t="shared" si="61"/>
        <v>0</v>
      </c>
      <c r="AV56" s="93">
        <f t="shared" si="61"/>
        <v>0</v>
      </c>
      <c r="AW56" s="93">
        <f t="shared" ca="1" si="61"/>
        <v>0</v>
      </c>
      <c r="BB56" s="94" t="e">
        <v>#REF!</v>
      </c>
    </row>
    <row r="57" spans="1:54" s="20" customFormat="1" ht="18" customHeight="1">
      <c r="A57" s="784"/>
      <c r="B57" s="110"/>
      <c r="C57" s="793"/>
      <c r="D57" s="111" t="str">
        <f>D55</f>
        <v>MEC</v>
      </c>
      <c r="E57" s="112" t="str">
        <f>E55</f>
        <v>RFQ-016</v>
      </c>
      <c r="F57" s="113" t="str">
        <f>F55</f>
        <v>N</v>
      </c>
      <c r="G57" s="796"/>
      <c r="H57" s="113" t="str">
        <f>H55</f>
        <v>Open Drain Caisson Pump</v>
      </c>
      <c r="I57" s="112" t="str">
        <f>I55</f>
        <v>LA</v>
      </c>
      <c r="J57" s="113"/>
      <c r="K57" s="114"/>
      <c r="L57" s="114"/>
      <c r="M57" s="114">
        <v>5.0000000000000001E-4</v>
      </c>
      <c r="N57" s="112"/>
      <c r="O57" s="112"/>
      <c r="P57" s="112"/>
      <c r="Q57" s="115" t="s">
        <v>368</v>
      </c>
      <c r="R57" s="115"/>
      <c r="S57" s="126"/>
      <c r="T57" s="126"/>
      <c r="U57" s="126"/>
      <c r="V57" s="126"/>
      <c r="W57" s="126"/>
      <c r="X57" s="126"/>
      <c r="Y57" s="126"/>
      <c r="Z57" s="126"/>
      <c r="AA57" s="126"/>
      <c r="AB57" s="126"/>
      <c r="AC57" s="799"/>
      <c r="AD57" s="116"/>
      <c r="AE57" s="801"/>
      <c r="AF57" s="808"/>
      <c r="AG57" s="811"/>
      <c r="AH57" s="117"/>
      <c r="AI57" s="118"/>
      <c r="AJ57" s="814"/>
      <c r="AK57" s="119"/>
      <c r="AL57" s="120"/>
      <c r="AM57" s="121">
        <f t="shared" ref="AM57:AW57" si="62">IF(ISERROR(LOOKUP(AM$6,$S57:$AB57,$S$9:$AB$9)),0,(LOOKUP(AM$6,$S57:$AB57,$S$9:$AB$9)))</f>
        <v>0</v>
      </c>
      <c r="AN57" s="122">
        <f t="shared" si="62"/>
        <v>0</v>
      </c>
      <c r="AO57" s="122">
        <f t="shared" si="62"/>
        <v>0</v>
      </c>
      <c r="AP57" s="122">
        <f t="shared" si="62"/>
        <v>0</v>
      </c>
      <c r="AQ57" s="122">
        <f t="shared" si="62"/>
        <v>0</v>
      </c>
      <c r="AR57" s="122">
        <f t="shared" si="62"/>
        <v>0</v>
      </c>
      <c r="AS57" s="122">
        <f t="shared" si="62"/>
        <v>0</v>
      </c>
      <c r="AT57" s="122">
        <f t="shared" si="62"/>
        <v>0</v>
      </c>
      <c r="AU57" s="122">
        <f t="shared" si="62"/>
        <v>0</v>
      </c>
      <c r="AV57" s="122">
        <f t="shared" si="62"/>
        <v>0</v>
      </c>
      <c r="AW57" s="122">
        <f t="shared" ca="1" si="62"/>
        <v>0</v>
      </c>
      <c r="BB57" s="94" t="e">
        <v>#REF!</v>
      </c>
    </row>
    <row r="58" spans="1:54" s="20" customFormat="1" ht="20.25" customHeight="1">
      <c r="A58" s="782">
        <f>A55+1</f>
        <v>17</v>
      </c>
      <c r="B58" s="79"/>
      <c r="C58" s="791" t="s">
        <v>5361</v>
      </c>
      <c r="D58" s="80" t="s">
        <v>5387</v>
      </c>
      <c r="E58" s="81" t="s">
        <v>5263</v>
      </c>
      <c r="F58" s="82" t="s">
        <v>73</v>
      </c>
      <c r="G58" s="794" t="s">
        <v>5388</v>
      </c>
      <c r="H58" s="82" t="s">
        <v>5264</v>
      </c>
      <c r="I58" s="81" t="s">
        <v>8</v>
      </c>
      <c r="J58" s="82"/>
      <c r="K58" s="84">
        <f>M60</f>
        <v>1E-3</v>
      </c>
      <c r="L58" s="84"/>
      <c r="M58" s="84"/>
      <c r="N58" s="81"/>
      <c r="O58" s="81"/>
      <c r="P58" s="81"/>
      <c r="Q58" s="85" t="s">
        <v>5364</v>
      </c>
      <c r="R58" s="86">
        <f>'Before Award'!U65+5</f>
        <v>46272</v>
      </c>
      <c r="S58" s="86" t="e">
        <f>WORKDAY(R58,INDEX(S$2:S$5,MATCH($I58,$I$2:$I$5,0)),$BB$10:$BB$141)</f>
        <v>#REF!</v>
      </c>
      <c r="T58" s="86" t="e">
        <f>WORKDAY(S58,INDEX(T$2:T$5,MATCH($I58,$I$2:$I$5,0)),$BB$10:$BB$141)</f>
        <v>#REF!</v>
      </c>
      <c r="U58" s="86" t="e">
        <f>T58+30</f>
        <v>#REF!</v>
      </c>
      <c r="V58" s="86"/>
      <c r="W58" s="86">
        <f>AB58-35</f>
        <v>46470</v>
      </c>
      <c r="X58" s="86"/>
      <c r="Y58" s="86"/>
      <c r="Z58" s="86"/>
      <c r="AA58" s="86"/>
      <c r="AB58" s="86">
        <f>'Before Award'!X65</f>
        <v>46505</v>
      </c>
      <c r="AC58" s="797" t="s">
        <v>5365</v>
      </c>
      <c r="AD58" s="87">
        <v>14</v>
      </c>
      <c r="AE58" s="801">
        <f>34*7</f>
        <v>238</v>
      </c>
      <c r="AF58" s="806" t="e">
        <f>AB59</f>
        <v>#REF!</v>
      </c>
      <c r="AG58" s="809">
        <f>WORKDAY(AH58+1,-1,$BA$10:$BA$141)</f>
        <v>46505</v>
      </c>
      <c r="AH58" s="88">
        <v>46505</v>
      </c>
      <c r="AI58" s="89"/>
      <c r="AJ58" s="812" t="e">
        <f>AG58-AF58</f>
        <v>#REF!</v>
      </c>
      <c r="AK58" s="90"/>
      <c r="AL58" s="91"/>
      <c r="AM58" s="92">
        <f t="shared" ref="AM58:AW58" si="63">IF(ISERROR(LOOKUP(AM$6,$S58:$AB58,$S$9:$AB$9)),0,(LOOKUP(AM$6,$S58:$AB58,$S$9:$AB$9)))</f>
        <v>0</v>
      </c>
      <c r="AN58" s="93">
        <f t="shared" si="63"/>
        <v>0</v>
      </c>
      <c r="AO58" s="93">
        <f t="shared" si="63"/>
        <v>0</v>
      </c>
      <c r="AP58" s="93">
        <f t="shared" si="63"/>
        <v>0</v>
      </c>
      <c r="AQ58" s="93">
        <f t="shared" si="63"/>
        <v>0</v>
      </c>
      <c r="AR58" s="93">
        <f t="shared" si="63"/>
        <v>0</v>
      </c>
      <c r="AS58" s="93">
        <f t="shared" si="63"/>
        <v>0</v>
      </c>
      <c r="AT58" s="93">
        <f t="shared" si="63"/>
        <v>0</v>
      </c>
      <c r="AU58" s="93">
        <f t="shared" si="63"/>
        <v>0</v>
      </c>
      <c r="AV58" s="93">
        <f t="shared" si="63"/>
        <v>0</v>
      </c>
      <c r="AW58" s="93">
        <f t="shared" ca="1" si="63"/>
        <v>0</v>
      </c>
      <c r="BB58" s="94" t="e">
        <v>#REF!</v>
      </c>
    </row>
    <row r="59" spans="1:54" s="20" customFormat="1" ht="20.25" customHeight="1">
      <c r="A59" s="783"/>
      <c r="B59" s="95"/>
      <c r="C59" s="792"/>
      <c r="D59" s="96" t="str">
        <f>D58</f>
        <v>ELE</v>
      </c>
      <c r="E59" s="97" t="str">
        <f>E58</f>
        <v>RFQ-017</v>
      </c>
      <c r="F59" s="98" t="str">
        <f>F58</f>
        <v>N</v>
      </c>
      <c r="G59" s="795"/>
      <c r="H59" s="98" t="str">
        <f>H58</f>
        <v>DC Distribution Board</v>
      </c>
      <c r="I59" s="97" t="str">
        <f>I58</f>
        <v>LC</v>
      </c>
      <c r="J59" s="98"/>
      <c r="K59" s="100"/>
      <c r="L59" s="100">
        <f>M60</f>
        <v>1E-3</v>
      </c>
      <c r="M59" s="100"/>
      <c r="N59" s="97"/>
      <c r="O59" s="97"/>
      <c r="P59" s="97"/>
      <c r="Q59" s="101" t="s">
        <v>5366</v>
      </c>
      <c r="R59" s="102">
        <f>R58</f>
        <v>46272</v>
      </c>
      <c r="S59" s="102" t="e">
        <f>S58</f>
        <v>#REF!</v>
      </c>
      <c r="T59" s="103" t="e">
        <f>T58</f>
        <v>#REF!</v>
      </c>
      <c r="U59" s="103" t="e">
        <f t="shared" ref="U59:Z59" si="64">WORKDAY(IF(T60="",T59,T60),INDEX(U$2:U$5,MATCH($I58,$I$2:$I$5,0)),$BB$10:$BB$141)</f>
        <v>#REF!</v>
      </c>
      <c r="V59" s="103" t="e">
        <f t="shared" si="64"/>
        <v>#REF!</v>
      </c>
      <c r="W59" s="103" t="e">
        <f t="shared" si="64"/>
        <v>#REF!</v>
      </c>
      <c r="X59" s="103" t="e">
        <f t="shared" si="64"/>
        <v>#REF!</v>
      </c>
      <c r="Y59" s="103" t="e">
        <f t="shared" si="64"/>
        <v>#REF!</v>
      </c>
      <c r="Z59" s="103" t="e">
        <f t="shared" si="64"/>
        <v>#REF!</v>
      </c>
      <c r="AA59" s="103" t="e">
        <f>WORKDAY(IF(Z60="",X59,Z60),INDEX(AA$2:AA$5,MATCH($I58,$I$2:$I$5,0)),$BB$10:$BB$141)</f>
        <v>#REF!</v>
      </c>
      <c r="AB59" s="104" t="e">
        <f>WORKDAY(AE58+#REF!,0,'[38]Equipment List and MR List (3)'!$A$2:$A$80)</f>
        <v>#REF!</v>
      </c>
      <c r="AC59" s="798"/>
      <c r="AD59" s="105"/>
      <c r="AE59" s="801"/>
      <c r="AF59" s="807"/>
      <c r="AG59" s="810"/>
      <c r="AH59" s="106"/>
      <c r="AI59" s="107"/>
      <c r="AJ59" s="813"/>
      <c r="AK59" s="108"/>
      <c r="AL59" s="109"/>
      <c r="AM59" s="92">
        <f t="shared" ref="AM59:AW59" si="65">IF(ISERROR(LOOKUP(AM$6,$S59:$AB59,$S$9:$AB$9)),0,(LOOKUP(AM$6,$S59:$AB59,$S$9:$AB$9)))</f>
        <v>0</v>
      </c>
      <c r="AN59" s="93">
        <f t="shared" si="65"/>
        <v>0</v>
      </c>
      <c r="AO59" s="93">
        <f t="shared" si="65"/>
        <v>0</v>
      </c>
      <c r="AP59" s="93">
        <f t="shared" si="65"/>
        <v>0</v>
      </c>
      <c r="AQ59" s="93">
        <f t="shared" si="65"/>
        <v>0</v>
      </c>
      <c r="AR59" s="93">
        <f t="shared" si="65"/>
        <v>0</v>
      </c>
      <c r="AS59" s="93">
        <f t="shared" si="65"/>
        <v>0</v>
      </c>
      <c r="AT59" s="93">
        <f t="shared" si="65"/>
        <v>0</v>
      </c>
      <c r="AU59" s="93">
        <f t="shared" si="65"/>
        <v>0</v>
      </c>
      <c r="AV59" s="93">
        <f t="shared" si="65"/>
        <v>0</v>
      </c>
      <c r="AW59" s="93">
        <f t="shared" ca="1" si="65"/>
        <v>0</v>
      </c>
      <c r="BB59" s="94" t="e">
        <v>#REF!</v>
      </c>
    </row>
    <row r="60" spans="1:54" s="20" customFormat="1" ht="20.25" customHeight="1">
      <c r="A60" s="784"/>
      <c r="B60" s="110"/>
      <c r="C60" s="793"/>
      <c r="D60" s="111" t="str">
        <f>D58</f>
        <v>ELE</v>
      </c>
      <c r="E60" s="112" t="str">
        <f>E58</f>
        <v>RFQ-017</v>
      </c>
      <c r="F60" s="113" t="str">
        <f>F58</f>
        <v>N</v>
      </c>
      <c r="G60" s="796"/>
      <c r="H60" s="113" t="str">
        <f>H58</f>
        <v>DC Distribution Board</v>
      </c>
      <c r="I60" s="112" t="str">
        <f>I58</f>
        <v>LC</v>
      </c>
      <c r="J60" s="113"/>
      <c r="K60" s="114"/>
      <c r="L60" s="114"/>
      <c r="M60" s="114">
        <v>1E-3</v>
      </c>
      <c r="N60" s="112"/>
      <c r="O60" s="112"/>
      <c r="P60" s="112"/>
      <c r="Q60" s="115" t="s">
        <v>368</v>
      </c>
      <c r="R60" s="115"/>
      <c r="S60" s="126"/>
      <c r="T60" s="126"/>
      <c r="U60" s="126"/>
      <c r="V60" s="126"/>
      <c r="W60" s="126"/>
      <c r="X60" s="126"/>
      <c r="Y60" s="126"/>
      <c r="Z60" s="126"/>
      <c r="AA60" s="126"/>
      <c r="AB60" s="126"/>
      <c r="AC60" s="799"/>
      <c r="AD60" s="116"/>
      <c r="AE60" s="801"/>
      <c r="AF60" s="808"/>
      <c r="AG60" s="811"/>
      <c r="AH60" s="117"/>
      <c r="AI60" s="118"/>
      <c r="AJ60" s="814"/>
      <c r="AK60" s="119"/>
      <c r="AL60" s="120"/>
      <c r="AM60" s="121">
        <f t="shared" ref="AM60:AW60" si="66">IF(ISERROR(LOOKUP(AM$6,$S60:$AB60,$S$9:$AB$9)),0,(LOOKUP(AM$6,$S60:$AB60,$S$9:$AB$9)))</f>
        <v>0</v>
      </c>
      <c r="AN60" s="122">
        <f t="shared" si="66"/>
        <v>0</v>
      </c>
      <c r="AO60" s="122">
        <f t="shared" si="66"/>
        <v>0</v>
      </c>
      <c r="AP60" s="122">
        <f t="shared" si="66"/>
        <v>0</v>
      </c>
      <c r="AQ60" s="122">
        <f t="shared" si="66"/>
        <v>0</v>
      </c>
      <c r="AR60" s="122">
        <f t="shared" si="66"/>
        <v>0</v>
      </c>
      <c r="AS60" s="122">
        <f t="shared" si="66"/>
        <v>0</v>
      </c>
      <c r="AT60" s="122">
        <f t="shared" si="66"/>
        <v>0</v>
      </c>
      <c r="AU60" s="122">
        <f t="shared" si="66"/>
        <v>0</v>
      </c>
      <c r="AV60" s="122">
        <f t="shared" si="66"/>
        <v>0</v>
      </c>
      <c r="AW60" s="122">
        <f t="shared" ca="1" si="66"/>
        <v>0</v>
      </c>
      <c r="BB60" s="94" t="e">
        <v>#REF!</v>
      </c>
    </row>
    <row r="61" spans="1:54" s="20" customFormat="1" ht="22.5" customHeight="1">
      <c r="A61" s="782">
        <f>A58+1</f>
        <v>18</v>
      </c>
      <c r="B61" s="788" t="s">
        <v>5389</v>
      </c>
      <c r="C61" s="791" t="s">
        <v>5361</v>
      </c>
      <c r="D61" s="80" t="s">
        <v>5387</v>
      </c>
      <c r="E61" s="81" t="s">
        <v>5265</v>
      </c>
      <c r="F61" s="82" t="str">
        <f>IF(_xlfn.XLOOKUP(E61,'[38]Before Award'!D:D,'[38]Before Award'!AV:AV,"N/A")="N/A","N","Y")</f>
        <v>N</v>
      </c>
      <c r="G61" s="794" t="s">
        <v>5390</v>
      </c>
      <c r="H61" s="123" t="s">
        <v>128</v>
      </c>
      <c r="I61" s="81" t="s">
        <v>7</v>
      </c>
      <c r="J61" s="82"/>
      <c r="K61" s="84">
        <f>M63</f>
        <v>1E-3</v>
      </c>
      <c r="L61" s="84"/>
      <c r="M61" s="84"/>
      <c r="N61" s="81"/>
      <c r="O61" s="81"/>
      <c r="P61" s="81"/>
      <c r="Q61" s="85" t="s">
        <v>5364</v>
      </c>
      <c r="R61" s="86">
        <f>'Before Award'!U68+5</f>
        <v>46230</v>
      </c>
      <c r="S61" s="86" t="e">
        <f>WORKDAY(R61,INDEX(S$2:S$5,MATCH($I61,$I$2:$I$5,0)),$BB$10:$BB$141)</f>
        <v>#REF!</v>
      </c>
      <c r="T61" s="86" t="e">
        <f>WORKDAY(S61,INDEX(T$2:T$5,MATCH($I61,$I$2:$I$5,0)),$BB$10:$BB$141)</f>
        <v>#REF!</v>
      </c>
      <c r="U61" s="86" t="e">
        <f>T61+30</f>
        <v>#REF!</v>
      </c>
      <c r="V61" s="86"/>
      <c r="W61" s="86">
        <f>AB61-35</f>
        <v>46442</v>
      </c>
      <c r="X61" s="86"/>
      <c r="Y61" s="86"/>
      <c r="Z61" s="86"/>
      <c r="AA61" s="86"/>
      <c r="AB61" s="86">
        <f>'Before Award'!X68</f>
        <v>46477</v>
      </c>
      <c r="AC61" s="797" t="s">
        <v>5365</v>
      </c>
      <c r="AD61" s="87">
        <v>14</v>
      </c>
      <c r="AE61" s="800">
        <f>36*7</f>
        <v>252</v>
      </c>
      <c r="AF61" s="806" t="e">
        <f>AB62</f>
        <v>#REF!</v>
      </c>
      <c r="AG61" s="809">
        <f>WORKDAY(AH61+1,-1,$BA$10:$BA$141)</f>
        <v>46477</v>
      </c>
      <c r="AH61" s="88">
        <v>46477</v>
      </c>
      <c r="AI61" s="89"/>
      <c r="AJ61" s="812" t="e">
        <f>AG61-AF61</f>
        <v>#REF!</v>
      </c>
      <c r="AK61" s="90"/>
      <c r="AL61" s="91"/>
      <c r="AM61" s="92">
        <f t="shared" ref="AM61:AW61" si="67">IF(ISERROR(LOOKUP(AM$6,$S61:$AB61,$S$9:$AB$9)),0,(LOOKUP(AM$6,$S61:$AB61,$S$9:$AB$9)))</f>
        <v>0</v>
      </c>
      <c r="AN61" s="93">
        <f t="shared" si="67"/>
        <v>0</v>
      </c>
      <c r="AO61" s="93">
        <f t="shared" si="67"/>
        <v>0</v>
      </c>
      <c r="AP61" s="93">
        <f t="shared" si="67"/>
        <v>0</v>
      </c>
      <c r="AQ61" s="93">
        <f t="shared" si="67"/>
        <v>0</v>
      </c>
      <c r="AR61" s="93">
        <f t="shared" si="67"/>
        <v>0</v>
      </c>
      <c r="AS61" s="93">
        <f t="shared" si="67"/>
        <v>0</v>
      </c>
      <c r="AT61" s="93">
        <f t="shared" si="67"/>
        <v>0</v>
      </c>
      <c r="AU61" s="93">
        <f t="shared" si="67"/>
        <v>0</v>
      </c>
      <c r="AV61" s="93">
        <f t="shared" si="67"/>
        <v>0</v>
      </c>
      <c r="AW61" s="93">
        <f t="shared" ca="1" si="67"/>
        <v>0</v>
      </c>
      <c r="BB61" s="94" t="e">
        <v>#REF!</v>
      </c>
    </row>
    <row r="62" spans="1:54" s="20" customFormat="1" ht="22.5" customHeight="1">
      <c r="A62" s="783"/>
      <c r="B62" s="789"/>
      <c r="C62" s="792"/>
      <c r="D62" s="96" t="str">
        <f>D61</f>
        <v>ELE</v>
      </c>
      <c r="E62" s="97" t="str">
        <f>E61</f>
        <v>RFQ-018</v>
      </c>
      <c r="F62" s="98" t="str">
        <f>F61</f>
        <v>N</v>
      </c>
      <c r="G62" s="795"/>
      <c r="H62" s="124" t="str">
        <f>H61</f>
        <v>Solar Power System</v>
      </c>
      <c r="I62" s="97" t="str">
        <f>I61</f>
        <v>LB</v>
      </c>
      <c r="J62" s="98"/>
      <c r="K62" s="100"/>
      <c r="L62" s="100">
        <f>M63</f>
        <v>1E-3</v>
      </c>
      <c r="M62" s="100"/>
      <c r="N62" s="97"/>
      <c r="O62" s="97"/>
      <c r="P62" s="97"/>
      <c r="Q62" s="101" t="s">
        <v>5366</v>
      </c>
      <c r="R62" s="102">
        <f>R61</f>
        <v>46230</v>
      </c>
      <c r="S62" s="102" t="e">
        <f>S61</f>
        <v>#REF!</v>
      </c>
      <c r="T62" s="103" t="e">
        <f>T61</f>
        <v>#REF!</v>
      </c>
      <c r="U62" s="103" t="e">
        <f t="shared" ref="U62:Z62" si="68">WORKDAY(IF(T63="",T62,T63),INDEX(U$2:U$5,MATCH($I61,$I$2:$I$5,0)),$BB$10:$BB$141)</f>
        <v>#REF!</v>
      </c>
      <c r="V62" s="103" t="e">
        <f t="shared" si="68"/>
        <v>#REF!</v>
      </c>
      <c r="W62" s="103" t="e">
        <f t="shared" si="68"/>
        <v>#REF!</v>
      </c>
      <c r="X62" s="103" t="e">
        <f t="shared" si="68"/>
        <v>#REF!</v>
      </c>
      <c r="Y62" s="103" t="e">
        <f t="shared" si="68"/>
        <v>#REF!</v>
      </c>
      <c r="Z62" s="103" t="e">
        <f t="shared" si="68"/>
        <v>#REF!</v>
      </c>
      <c r="AA62" s="103" t="e">
        <f>WORKDAY(IF(Z63="",X62,Z63),INDEX(AA$2:AA$5,MATCH($I61,$I$2:$I$5,0)),$BB$10:$BB$141)</f>
        <v>#REF!</v>
      </c>
      <c r="AB62" s="104" t="e">
        <f>WORKDAY(AE61+#REF!,0,'[38]Equipment List and MR List (3)'!$A$2:$A$80)</f>
        <v>#REF!</v>
      </c>
      <c r="AC62" s="798"/>
      <c r="AD62" s="105"/>
      <c r="AE62" s="800"/>
      <c r="AF62" s="807"/>
      <c r="AG62" s="810"/>
      <c r="AH62" s="106"/>
      <c r="AI62" s="107"/>
      <c r="AJ62" s="813"/>
      <c r="AK62" s="108"/>
      <c r="AL62" s="109"/>
      <c r="AM62" s="92">
        <f t="shared" ref="AM62:AW62" si="69">IF(ISERROR(LOOKUP(AM$6,$S62:$AB62,$S$9:$AB$9)),0,(LOOKUP(AM$6,$S62:$AB62,$S$9:$AB$9)))</f>
        <v>0</v>
      </c>
      <c r="AN62" s="93">
        <f t="shared" si="69"/>
        <v>0</v>
      </c>
      <c r="AO62" s="93">
        <f t="shared" si="69"/>
        <v>0</v>
      </c>
      <c r="AP62" s="93">
        <f t="shared" si="69"/>
        <v>0</v>
      </c>
      <c r="AQ62" s="93">
        <f t="shared" si="69"/>
        <v>0</v>
      </c>
      <c r="AR62" s="93">
        <f t="shared" si="69"/>
        <v>0</v>
      </c>
      <c r="AS62" s="93">
        <f t="shared" si="69"/>
        <v>0</v>
      </c>
      <c r="AT62" s="93">
        <f t="shared" si="69"/>
        <v>0</v>
      </c>
      <c r="AU62" s="93">
        <f t="shared" si="69"/>
        <v>0</v>
      </c>
      <c r="AV62" s="93">
        <f t="shared" si="69"/>
        <v>0</v>
      </c>
      <c r="AW62" s="93">
        <f t="shared" ca="1" si="69"/>
        <v>0</v>
      </c>
      <c r="BB62" s="94" t="e">
        <v>#REF!</v>
      </c>
    </row>
    <row r="63" spans="1:54" s="20" customFormat="1" ht="15" customHeight="1">
      <c r="A63" s="784"/>
      <c r="B63" s="790"/>
      <c r="C63" s="793"/>
      <c r="D63" s="111" t="str">
        <f>D61</f>
        <v>ELE</v>
      </c>
      <c r="E63" s="112" t="str">
        <f>E61</f>
        <v>RFQ-018</v>
      </c>
      <c r="F63" s="113" t="str">
        <f>F61</f>
        <v>N</v>
      </c>
      <c r="G63" s="796"/>
      <c r="H63" s="124" t="str">
        <f>H61</f>
        <v>Solar Power System</v>
      </c>
      <c r="I63" s="112" t="str">
        <f>I61</f>
        <v>LB</v>
      </c>
      <c r="J63" s="113"/>
      <c r="K63" s="114"/>
      <c r="L63" s="114"/>
      <c r="M63" s="114">
        <v>1E-3</v>
      </c>
      <c r="N63" s="112"/>
      <c r="O63" s="112"/>
      <c r="P63" s="112"/>
      <c r="Q63" s="115" t="s">
        <v>368</v>
      </c>
      <c r="R63" s="126"/>
      <c r="S63" s="126"/>
      <c r="T63" s="126"/>
      <c r="U63" s="126"/>
      <c r="V63" s="126"/>
      <c r="W63" s="126"/>
      <c r="X63" s="126"/>
      <c r="Y63" s="126"/>
      <c r="Z63" s="126"/>
      <c r="AA63" s="126"/>
      <c r="AB63" s="126"/>
      <c r="AC63" s="799"/>
      <c r="AD63" s="116"/>
      <c r="AE63" s="800"/>
      <c r="AF63" s="808"/>
      <c r="AG63" s="811"/>
      <c r="AH63" s="117"/>
      <c r="AI63" s="118"/>
      <c r="AJ63" s="814"/>
      <c r="AK63" s="119"/>
      <c r="AL63" s="120"/>
      <c r="AM63" s="121">
        <f t="shared" ref="AM63:AW63" si="70">IF(ISERROR(LOOKUP(AM$6,$S63:$AB63,$S$9:$AB$9)),0,(LOOKUP(AM$6,$S63:$AB63,$S$9:$AB$9)))</f>
        <v>0</v>
      </c>
      <c r="AN63" s="122">
        <f t="shared" si="70"/>
        <v>0</v>
      </c>
      <c r="AO63" s="122">
        <f t="shared" si="70"/>
        <v>0</v>
      </c>
      <c r="AP63" s="122">
        <f t="shared" si="70"/>
        <v>0</v>
      </c>
      <c r="AQ63" s="122">
        <f t="shared" si="70"/>
        <v>0</v>
      </c>
      <c r="AR63" s="122">
        <f t="shared" si="70"/>
        <v>0</v>
      </c>
      <c r="AS63" s="122">
        <f t="shared" si="70"/>
        <v>0</v>
      </c>
      <c r="AT63" s="122">
        <f t="shared" si="70"/>
        <v>0</v>
      </c>
      <c r="AU63" s="122">
        <f t="shared" si="70"/>
        <v>0</v>
      </c>
      <c r="AV63" s="122">
        <f t="shared" si="70"/>
        <v>0</v>
      </c>
      <c r="AW63" s="122">
        <f t="shared" ca="1" si="70"/>
        <v>0</v>
      </c>
      <c r="BB63" s="94" t="e">
        <v>#REF!</v>
      </c>
    </row>
    <row r="64" spans="1:54" s="20" customFormat="1" ht="18" customHeight="1">
      <c r="A64" s="782">
        <f>A61+1</f>
        <v>19</v>
      </c>
      <c r="B64" s="79"/>
      <c r="C64" s="791" t="s">
        <v>5361</v>
      </c>
      <c r="D64" s="80" t="s">
        <v>5387</v>
      </c>
      <c r="E64" s="81" t="s">
        <v>5266</v>
      </c>
      <c r="F64" s="82" t="s">
        <v>73</v>
      </c>
      <c r="G64" s="794" t="s">
        <v>5391</v>
      </c>
      <c r="H64" s="82" t="s">
        <v>131</v>
      </c>
      <c r="I64" s="81" t="s">
        <v>7</v>
      </c>
      <c r="J64" s="82"/>
      <c r="K64" s="84">
        <f>M66</f>
        <v>1.5E-3</v>
      </c>
      <c r="L64" s="84"/>
      <c r="M64" s="84"/>
      <c r="N64" s="81"/>
      <c r="O64" s="81"/>
      <c r="P64" s="81"/>
      <c r="Q64" s="85" t="s">
        <v>5364</v>
      </c>
      <c r="R64" s="86">
        <f>'Before Award'!U71+5</f>
        <v>46279</v>
      </c>
      <c r="S64" s="86" t="e">
        <f>WORKDAY(R64,INDEX(S$2:S$5,MATCH($I64,$I$2:$I$5,0)),$BB$10:$BB$141)</f>
        <v>#REF!</v>
      </c>
      <c r="T64" s="86" t="e">
        <f>WORKDAY(S64,INDEX(T$2:T$5,MATCH($I64,$I$2:$I$5,0)),$BB$10:$BB$141)</f>
        <v>#REF!</v>
      </c>
      <c r="U64" s="86" t="e">
        <f>T64+30</f>
        <v>#REF!</v>
      </c>
      <c r="V64" s="86"/>
      <c r="W64" s="86">
        <f>AB64-35</f>
        <v>46533</v>
      </c>
      <c r="X64" s="86"/>
      <c r="Y64" s="86"/>
      <c r="Z64" s="86"/>
      <c r="AA64" s="86"/>
      <c r="AB64" s="86">
        <f>'Before Award'!X71</f>
        <v>46568</v>
      </c>
      <c r="AC64" s="797" t="s">
        <v>5365</v>
      </c>
      <c r="AD64" s="87">
        <v>14</v>
      </c>
      <c r="AE64" s="801">
        <v>294</v>
      </c>
      <c r="AF64" s="806" t="e">
        <f>AB65</f>
        <v>#REF!</v>
      </c>
      <c r="AG64" s="809">
        <f>WORKDAY(AH64+1,-1,$BA$10:$BA$141)</f>
        <v>46598</v>
      </c>
      <c r="AH64" s="88">
        <v>46599</v>
      </c>
      <c r="AI64" s="89"/>
      <c r="AJ64" s="812" t="e">
        <f>AG64-AF64</f>
        <v>#REF!</v>
      </c>
      <c r="AK64" s="90"/>
      <c r="AL64" s="91"/>
      <c r="AM64" s="92">
        <f t="shared" ref="AM64:AW64" si="71">IF(ISERROR(LOOKUP(AM$6,$S64:$AB64,$S$9:$AB$9)),0,(LOOKUP(AM$6,$S64:$AB64,$S$9:$AB$9)))</f>
        <v>0</v>
      </c>
      <c r="AN64" s="93">
        <f t="shared" si="71"/>
        <v>0</v>
      </c>
      <c r="AO64" s="93">
        <f t="shared" si="71"/>
        <v>0</v>
      </c>
      <c r="AP64" s="93">
        <f t="shared" si="71"/>
        <v>0</v>
      </c>
      <c r="AQ64" s="93">
        <f t="shared" si="71"/>
        <v>0</v>
      </c>
      <c r="AR64" s="93">
        <f t="shared" si="71"/>
        <v>0</v>
      </c>
      <c r="AS64" s="93">
        <f t="shared" si="71"/>
        <v>0</v>
      </c>
      <c r="AT64" s="93">
        <f t="shared" si="71"/>
        <v>0</v>
      </c>
      <c r="AU64" s="93">
        <f t="shared" si="71"/>
        <v>0</v>
      </c>
      <c r="AV64" s="93">
        <f t="shared" si="71"/>
        <v>0</v>
      </c>
      <c r="AW64" s="93">
        <f t="shared" ca="1" si="71"/>
        <v>0</v>
      </c>
      <c r="BB64" s="94" t="e">
        <v>#REF!</v>
      </c>
    </row>
    <row r="65" spans="1:54" s="20" customFormat="1" ht="18" customHeight="1">
      <c r="A65" s="783"/>
      <c r="B65" s="95"/>
      <c r="C65" s="792"/>
      <c r="D65" s="96" t="str">
        <f>D64</f>
        <v>ELE</v>
      </c>
      <c r="E65" s="97" t="str">
        <f>E64</f>
        <v>RFQ-019</v>
      </c>
      <c r="F65" s="98" t="str">
        <f>F64</f>
        <v>N</v>
      </c>
      <c r="G65" s="795"/>
      <c r="H65" s="98" t="str">
        <f>H64</f>
        <v>Navigation Aid System</v>
      </c>
      <c r="I65" s="97" t="str">
        <f>I64</f>
        <v>LB</v>
      </c>
      <c r="J65" s="98"/>
      <c r="K65" s="100"/>
      <c r="L65" s="100">
        <f>M66</f>
        <v>1.5E-3</v>
      </c>
      <c r="M65" s="100"/>
      <c r="N65" s="97"/>
      <c r="O65" s="97"/>
      <c r="P65" s="97"/>
      <c r="Q65" s="101" t="s">
        <v>5366</v>
      </c>
      <c r="R65" s="102">
        <f>R64</f>
        <v>46279</v>
      </c>
      <c r="S65" s="102" t="e">
        <f>S64</f>
        <v>#REF!</v>
      </c>
      <c r="T65" s="103" t="e">
        <f>T64</f>
        <v>#REF!</v>
      </c>
      <c r="U65" s="103" t="e">
        <f t="shared" ref="U65:Z65" si="72">WORKDAY(IF(T66="",T65,T66),INDEX(U$2:U$5,MATCH($I64,$I$2:$I$5,0)),$BB$10:$BB$141)</f>
        <v>#REF!</v>
      </c>
      <c r="V65" s="103" t="e">
        <f t="shared" si="72"/>
        <v>#REF!</v>
      </c>
      <c r="W65" s="103" t="e">
        <f t="shared" si="72"/>
        <v>#REF!</v>
      </c>
      <c r="X65" s="103" t="e">
        <f t="shared" si="72"/>
        <v>#REF!</v>
      </c>
      <c r="Y65" s="103" t="e">
        <f t="shared" si="72"/>
        <v>#REF!</v>
      </c>
      <c r="Z65" s="103" t="e">
        <f t="shared" si="72"/>
        <v>#REF!</v>
      </c>
      <c r="AA65" s="103" t="e">
        <f>WORKDAY(IF(Z66="",X65,Z66),INDEX(AA$2:AA$5,MATCH($I64,$I$2:$I$5,0)),$BB$10:$BB$141)</f>
        <v>#REF!</v>
      </c>
      <c r="AB65" s="104" t="e">
        <f>WORKDAY(AE64+#REF!,0,'[38]Equipment List and MR List (3)'!$A$2:$A$80)</f>
        <v>#REF!</v>
      </c>
      <c r="AC65" s="798"/>
      <c r="AD65" s="105"/>
      <c r="AE65" s="801"/>
      <c r="AF65" s="807"/>
      <c r="AG65" s="810"/>
      <c r="AH65" s="106"/>
      <c r="AI65" s="107"/>
      <c r="AJ65" s="813"/>
      <c r="AK65" s="108"/>
      <c r="AL65" s="109"/>
      <c r="AM65" s="92">
        <f t="shared" ref="AM65:AW65" si="73">IF(ISERROR(LOOKUP(AM$6,$S65:$AB65,$S$9:$AB$9)),0,(LOOKUP(AM$6,$S65:$AB65,$S$9:$AB$9)))</f>
        <v>0</v>
      </c>
      <c r="AN65" s="93">
        <f t="shared" si="73"/>
        <v>0</v>
      </c>
      <c r="AO65" s="93">
        <f t="shared" si="73"/>
        <v>0</v>
      </c>
      <c r="AP65" s="93">
        <f t="shared" si="73"/>
        <v>0</v>
      </c>
      <c r="AQ65" s="93">
        <f t="shared" si="73"/>
        <v>0</v>
      </c>
      <c r="AR65" s="93">
        <f t="shared" si="73"/>
        <v>0</v>
      </c>
      <c r="AS65" s="93">
        <f t="shared" si="73"/>
        <v>0</v>
      </c>
      <c r="AT65" s="93">
        <f t="shared" si="73"/>
        <v>0</v>
      </c>
      <c r="AU65" s="93">
        <f t="shared" si="73"/>
        <v>0</v>
      </c>
      <c r="AV65" s="93">
        <f t="shared" si="73"/>
        <v>0</v>
      </c>
      <c r="AW65" s="93">
        <f t="shared" ca="1" si="73"/>
        <v>0</v>
      </c>
      <c r="BB65" s="94" t="e">
        <v>#REF!</v>
      </c>
    </row>
    <row r="66" spans="1:54" s="20" customFormat="1" ht="18" customHeight="1">
      <c r="A66" s="784"/>
      <c r="B66" s="110"/>
      <c r="C66" s="793"/>
      <c r="D66" s="111" t="str">
        <f>D64</f>
        <v>ELE</v>
      </c>
      <c r="E66" s="112" t="str">
        <f>E64</f>
        <v>RFQ-019</v>
      </c>
      <c r="F66" s="113" t="str">
        <f>F64</f>
        <v>N</v>
      </c>
      <c r="G66" s="796"/>
      <c r="H66" s="113" t="str">
        <f>H64</f>
        <v>Navigation Aid System</v>
      </c>
      <c r="I66" s="112" t="str">
        <f>I64</f>
        <v>LB</v>
      </c>
      <c r="J66" s="113"/>
      <c r="K66" s="114"/>
      <c r="L66" s="114"/>
      <c r="M66" s="114">
        <v>1.5E-3</v>
      </c>
      <c r="N66" s="112"/>
      <c r="O66" s="112"/>
      <c r="P66" s="112"/>
      <c r="Q66" s="115" t="s">
        <v>368</v>
      </c>
      <c r="R66" s="115"/>
      <c r="S66" s="126"/>
      <c r="T66" s="126"/>
      <c r="U66" s="126"/>
      <c r="V66" s="126"/>
      <c r="W66" s="126"/>
      <c r="X66" s="126"/>
      <c r="Y66" s="126"/>
      <c r="Z66" s="126"/>
      <c r="AA66" s="126"/>
      <c r="AB66" s="126"/>
      <c r="AC66" s="799"/>
      <c r="AD66" s="116"/>
      <c r="AE66" s="801"/>
      <c r="AF66" s="808"/>
      <c r="AG66" s="811"/>
      <c r="AH66" s="117"/>
      <c r="AI66" s="118"/>
      <c r="AJ66" s="814"/>
      <c r="AK66" s="119"/>
      <c r="AL66" s="120"/>
      <c r="AM66" s="121">
        <f t="shared" ref="AM66:AW66" si="74">IF(ISERROR(LOOKUP(AM$6,$S66:$AB66,$S$9:$AB$9)),0,(LOOKUP(AM$6,$S66:$AB66,$S$9:$AB$9)))</f>
        <v>0</v>
      </c>
      <c r="AN66" s="122">
        <f t="shared" si="74"/>
        <v>0</v>
      </c>
      <c r="AO66" s="122">
        <f t="shared" si="74"/>
        <v>0</v>
      </c>
      <c r="AP66" s="122">
        <f t="shared" si="74"/>
        <v>0</v>
      </c>
      <c r="AQ66" s="122">
        <f t="shared" si="74"/>
        <v>0</v>
      </c>
      <c r="AR66" s="122">
        <f t="shared" si="74"/>
        <v>0</v>
      </c>
      <c r="AS66" s="122">
        <f t="shared" si="74"/>
        <v>0</v>
      </c>
      <c r="AT66" s="122">
        <f t="shared" si="74"/>
        <v>0</v>
      </c>
      <c r="AU66" s="122">
        <f t="shared" si="74"/>
        <v>0</v>
      </c>
      <c r="AV66" s="122">
        <f t="shared" si="74"/>
        <v>0</v>
      </c>
      <c r="AW66" s="122">
        <f t="shared" ca="1" si="74"/>
        <v>0</v>
      </c>
      <c r="BB66" s="94" t="e">
        <v>#REF!</v>
      </c>
    </row>
    <row r="67" spans="1:54" s="20" customFormat="1" ht="18" customHeight="1">
      <c r="A67" s="782">
        <f>A64+1</f>
        <v>20</v>
      </c>
      <c r="B67" s="79"/>
      <c r="C67" s="791" t="s">
        <v>5361</v>
      </c>
      <c r="D67" s="80" t="s">
        <v>5387</v>
      </c>
      <c r="E67" s="81" t="s">
        <v>5267</v>
      </c>
      <c r="F67" s="82" t="s">
        <v>64</v>
      </c>
      <c r="G67" s="794" t="s">
        <v>5391</v>
      </c>
      <c r="H67" s="82" t="s">
        <v>134</v>
      </c>
      <c r="I67" s="81" t="s">
        <v>8</v>
      </c>
      <c r="J67" s="82"/>
      <c r="K67" s="84">
        <f>M69</f>
        <v>5.0000000000000001E-4</v>
      </c>
      <c r="L67" s="84"/>
      <c r="M67" s="84"/>
      <c r="N67" s="81"/>
      <c r="O67" s="81"/>
      <c r="P67" s="81"/>
      <c r="Q67" s="85" t="s">
        <v>5364</v>
      </c>
      <c r="R67" s="86">
        <f>'Before Award'!U74+5</f>
        <v>46274</v>
      </c>
      <c r="S67" s="86" t="e">
        <f>WORKDAY(R67,INDEX(S$2:S$5,MATCH($I67,$I$2:$I$5,0)),$BB$10:$BB$141)</f>
        <v>#REF!</v>
      </c>
      <c r="T67" s="86" t="e">
        <f>WORKDAY(S67,INDEX(T$2:T$5,MATCH($I67,$I$2:$I$5,0)),$BB$10:$BB$141)</f>
        <v>#REF!</v>
      </c>
      <c r="U67" s="86" t="e">
        <f>T67+30</f>
        <v>#REF!</v>
      </c>
      <c r="V67" s="86"/>
      <c r="W67" s="86">
        <f>AB67-35</f>
        <v>46486</v>
      </c>
      <c r="X67" s="86"/>
      <c r="Y67" s="86"/>
      <c r="Z67" s="86"/>
      <c r="AA67" s="86"/>
      <c r="AB67" s="86">
        <f>'Before Award'!X74</f>
        <v>46521</v>
      </c>
      <c r="AC67" s="797" t="s">
        <v>5365</v>
      </c>
      <c r="AD67" s="87">
        <v>14</v>
      </c>
      <c r="AE67" s="801">
        <f>36*7</f>
        <v>252</v>
      </c>
      <c r="AF67" s="806" t="e">
        <f>AB68</f>
        <v>#REF!</v>
      </c>
      <c r="AG67" s="809">
        <f>WORKDAY(AH67+1,-1,$BA$10:$BA$141)</f>
        <v>46521</v>
      </c>
      <c r="AH67" s="88">
        <v>46522</v>
      </c>
      <c r="AI67" s="89"/>
      <c r="AJ67" s="812" t="e">
        <f>AG67-AF67</f>
        <v>#REF!</v>
      </c>
      <c r="AK67" s="90"/>
      <c r="AL67" s="91"/>
      <c r="AM67" s="92">
        <f t="shared" ref="AM67:AW67" si="75">IF(ISERROR(LOOKUP(AM$6,$S67:$AB67,$S$9:$AB$9)),0,(LOOKUP(AM$6,$S67:$AB67,$S$9:$AB$9)))</f>
        <v>0</v>
      </c>
      <c r="AN67" s="93">
        <f t="shared" si="75"/>
        <v>0</v>
      </c>
      <c r="AO67" s="93">
        <f t="shared" si="75"/>
        <v>0</v>
      </c>
      <c r="AP67" s="93">
        <f t="shared" si="75"/>
        <v>0</v>
      </c>
      <c r="AQ67" s="93">
        <f t="shared" si="75"/>
        <v>0</v>
      </c>
      <c r="AR67" s="93">
        <f t="shared" si="75"/>
        <v>0</v>
      </c>
      <c r="AS67" s="93">
        <f t="shared" si="75"/>
        <v>0</v>
      </c>
      <c r="AT67" s="93">
        <f t="shared" si="75"/>
        <v>0</v>
      </c>
      <c r="AU67" s="93">
        <f t="shared" si="75"/>
        <v>0</v>
      </c>
      <c r="AV67" s="93">
        <f t="shared" si="75"/>
        <v>0</v>
      </c>
      <c r="AW67" s="93">
        <f t="shared" ca="1" si="75"/>
        <v>0</v>
      </c>
      <c r="BB67" s="94" t="e">
        <v>#REF!</v>
      </c>
    </row>
    <row r="68" spans="1:54" s="20" customFormat="1" ht="18" customHeight="1">
      <c r="A68" s="783"/>
      <c r="B68" s="95"/>
      <c r="C68" s="792"/>
      <c r="D68" s="96" t="str">
        <f>D67</f>
        <v>ELE</v>
      </c>
      <c r="E68" s="97" t="str">
        <f>E67</f>
        <v>RFQ-020</v>
      </c>
      <c r="F68" s="98" t="str">
        <f>F67</f>
        <v>Y</v>
      </c>
      <c r="G68" s="795"/>
      <c r="H68" s="98" t="str">
        <f>H67</f>
        <v>External Battery Charger</v>
      </c>
      <c r="I68" s="97" t="str">
        <f>I67</f>
        <v>LC</v>
      </c>
      <c r="J68" s="98"/>
      <c r="K68" s="100"/>
      <c r="L68" s="100">
        <f>M69</f>
        <v>5.0000000000000001E-4</v>
      </c>
      <c r="M68" s="100"/>
      <c r="N68" s="97"/>
      <c r="O68" s="97"/>
      <c r="P68" s="97"/>
      <c r="Q68" s="101" t="s">
        <v>5366</v>
      </c>
      <c r="R68" s="102">
        <f>R67</f>
        <v>46274</v>
      </c>
      <c r="S68" s="102" t="e">
        <f>S67</f>
        <v>#REF!</v>
      </c>
      <c r="T68" s="103" t="e">
        <f>T67</f>
        <v>#REF!</v>
      </c>
      <c r="U68" s="103" t="e">
        <f t="shared" ref="U68:Z68" si="76">WORKDAY(IF(T69="",T68,T69),INDEX(U$2:U$5,MATCH($I67,$I$2:$I$5,0)),$BB$10:$BB$141)</f>
        <v>#REF!</v>
      </c>
      <c r="V68" s="103" t="e">
        <f t="shared" si="76"/>
        <v>#REF!</v>
      </c>
      <c r="W68" s="103" t="e">
        <f t="shared" si="76"/>
        <v>#REF!</v>
      </c>
      <c r="X68" s="103" t="e">
        <f t="shared" si="76"/>
        <v>#REF!</v>
      </c>
      <c r="Y68" s="103" t="e">
        <f t="shared" si="76"/>
        <v>#REF!</v>
      </c>
      <c r="Z68" s="103" t="e">
        <f t="shared" si="76"/>
        <v>#REF!</v>
      </c>
      <c r="AA68" s="103" t="e">
        <f>WORKDAY(IF(Z69="",X68,Z69),INDEX(AA$2:AA$5,MATCH($I67,$I$2:$I$5,0)),$BB$10:$BB$141)</f>
        <v>#REF!</v>
      </c>
      <c r="AB68" s="104" t="e">
        <f>WORKDAY(AE67+#REF!,0,'[38]Equipment List and MR List (3)'!$A$2:$A$80)</f>
        <v>#REF!</v>
      </c>
      <c r="AC68" s="798"/>
      <c r="AD68" s="105"/>
      <c r="AE68" s="801"/>
      <c r="AF68" s="807"/>
      <c r="AG68" s="810"/>
      <c r="AH68" s="106"/>
      <c r="AI68" s="107"/>
      <c r="AJ68" s="813"/>
      <c r="AK68" s="108"/>
      <c r="AL68" s="109"/>
      <c r="AM68" s="92">
        <f t="shared" ref="AM68:AW68" si="77">IF(ISERROR(LOOKUP(AM$6,$S68:$AB68,$S$9:$AB$9)),0,(LOOKUP(AM$6,$S68:$AB68,$S$9:$AB$9)))</f>
        <v>0</v>
      </c>
      <c r="AN68" s="93">
        <f t="shared" si="77"/>
        <v>0</v>
      </c>
      <c r="AO68" s="93">
        <f t="shared" si="77"/>
        <v>0</v>
      </c>
      <c r="AP68" s="93">
        <f t="shared" si="77"/>
        <v>0</v>
      </c>
      <c r="AQ68" s="93">
        <f t="shared" si="77"/>
        <v>0</v>
      </c>
      <c r="AR68" s="93">
        <f t="shared" si="77"/>
        <v>0</v>
      </c>
      <c r="AS68" s="93">
        <f t="shared" si="77"/>
        <v>0</v>
      </c>
      <c r="AT68" s="93">
        <f t="shared" si="77"/>
        <v>0</v>
      </c>
      <c r="AU68" s="93">
        <f t="shared" si="77"/>
        <v>0</v>
      </c>
      <c r="AV68" s="93">
        <f t="shared" si="77"/>
        <v>0</v>
      </c>
      <c r="AW68" s="93">
        <f t="shared" ca="1" si="77"/>
        <v>0</v>
      </c>
      <c r="BB68" s="94" t="e">
        <v>#REF!</v>
      </c>
    </row>
    <row r="69" spans="1:54" s="20" customFormat="1" ht="18" customHeight="1">
      <c r="A69" s="784"/>
      <c r="B69" s="110"/>
      <c r="C69" s="793"/>
      <c r="D69" s="111" t="str">
        <f>D67</f>
        <v>ELE</v>
      </c>
      <c r="E69" s="112" t="str">
        <f>E67</f>
        <v>RFQ-020</v>
      </c>
      <c r="F69" s="113" t="str">
        <f>F67</f>
        <v>Y</v>
      </c>
      <c r="G69" s="796"/>
      <c r="H69" s="113" t="str">
        <f>H67</f>
        <v>External Battery Charger</v>
      </c>
      <c r="I69" s="112" t="str">
        <f>I67</f>
        <v>LC</v>
      </c>
      <c r="J69" s="113"/>
      <c r="K69" s="114"/>
      <c r="L69" s="114"/>
      <c r="M69" s="114">
        <v>5.0000000000000001E-4</v>
      </c>
      <c r="N69" s="112"/>
      <c r="O69" s="112"/>
      <c r="P69" s="112"/>
      <c r="Q69" s="115" t="s">
        <v>368</v>
      </c>
      <c r="R69" s="115"/>
      <c r="S69" s="126"/>
      <c r="T69" s="126"/>
      <c r="U69" s="126"/>
      <c r="V69" s="126"/>
      <c r="W69" s="126"/>
      <c r="X69" s="126"/>
      <c r="Y69" s="126"/>
      <c r="Z69" s="126"/>
      <c r="AA69" s="126"/>
      <c r="AB69" s="126"/>
      <c r="AC69" s="799"/>
      <c r="AD69" s="116"/>
      <c r="AE69" s="801"/>
      <c r="AF69" s="808"/>
      <c r="AG69" s="811"/>
      <c r="AH69" s="117"/>
      <c r="AI69" s="118"/>
      <c r="AJ69" s="814"/>
      <c r="AK69" s="119"/>
      <c r="AL69" s="120"/>
      <c r="AM69" s="121">
        <f t="shared" ref="AM69:AW69" si="78">IF(ISERROR(LOOKUP(AM$6,$S69:$AB69,$S$9:$AB$9)),0,(LOOKUP(AM$6,$S69:$AB69,$S$9:$AB$9)))</f>
        <v>0</v>
      </c>
      <c r="AN69" s="122">
        <f t="shared" si="78"/>
        <v>0</v>
      </c>
      <c r="AO69" s="122">
        <f t="shared" si="78"/>
        <v>0</v>
      </c>
      <c r="AP69" s="122">
        <f t="shared" si="78"/>
        <v>0</v>
      </c>
      <c r="AQ69" s="122">
        <f t="shared" si="78"/>
        <v>0</v>
      </c>
      <c r="AR69" s="122">
        <f t="shared" si="78"/>
        <v>0</v>
      </c>
      <c r="AS69" s="122">
        <f t="shared" si="78"/>
        <v>0</v>
      </c>
      <c r="AT69" s="122">
        <f t="shared" si="78"/>
        <v>0</v>
      </c>
      <c r="AU69" s="122">
        <f t="shared" si="78"/>
        <v>0</v>
      </c>
      <c r="AV69" s="122">
        <f t="shared" si="78"/>
        <v>0</v>
      </c>
      <c r="AW69" s="122">
        <f t="shared" ca="1" si="78"/>
        <v>0</v>
      </c>
      <c r="BB69" s="94" t="e">
        <v>#REF!</v>
      </c>
    </row>
    <row r="70" spans="1:54" s="20" customFormat="1" ht="18" customHeight="1">
      <c r="A70" s="782">
        <f>A67+1</f>
        <v>21</v>
      </c>
      <c r="B70" s="79"/>
      <c r="C70" s="791" t="s">
        <v>5361</v>
      </c>
      <c r="D70" s="80" t="s">
        <v>5392</v>
      </c>
      <c r="E70" s="81" t="s">
        <v>5268</v>
      </c>
      <c r="F70" s="82" t="s">
        <v>73</v>
      </c>
      <c r="G70" s="794" t="s">
        <v>5393</v>
      </c>
      <c r="H70" s="82" t="s">
        <v>136</v>
      </c>
      <c r="I70" s="81" t="s">
        <v>7</v>
      </c>
      <c r="J70" s="82"/>
      <c r="K70" s="84">
        <f>M72</f>
        <v>0.01</v>
      </c>
      <c r="L70" s="84"/>
      <c r="M70" s="84"/>
      <c r="N70" s="81"/>
      <c r="O70" s="81"/>
      <c r="P70" s="81"/>
      <c r="Q70" s="85" t="s">
        <v>5364</v>
      </c>
      <c r="R70" s="86">
        <f>'Before Award'!U77+5</f>
        <v>46340</v>
      </c>
      <c r="S70" s="86" t="e">
        <f>WORKDAY(R70,INDEX(S$2:S$5,MATCH($I70,$I$2:$I$5,0)),$BB$10:$BB$141)</f>
        <v>#REF!</v>
      </c>
      <c r="T70" s="86" t="e">
        <f>WORKDAY(S70,INDEX(T$2:T$5,MATCH($I70,$I$2:$I$5,0)),$BB$10:$BB$141)</f>
        <v>#REF!</v>
      </c>
      <c r="U70" s="86" t="e">
        <f>T70+30</f>
        <v>#REF!</v>
      </c>
      <c r="V70" s="86"/>
      <c r="W70" s="86">
        <f>AB70-35</f>
        <v>46500</v>
      </c>
      <c r="X70" s="86"/>
      <c r="Y70" s="86"/>
      <c r="Z70" s="86"/>
      <c r="AA70" s="86"/>
      <c r="AB70" s="86">
        <f>'Before Award'!X77</f>
        <v>46535</v>
      </c>
      <c r="AC70" s="797" t="s">
        <v>5365</v>
      </c>
      <c r="AD70" s="87">
        <v>7</v>
      </c>
      <c r="AE70" s="801">
        <v>200</v>
      </c>
      <c r="AF70" s="806" t="e">
        <f>AB71</f>
        <v>#REF!</v>
      </c>
      <c r="AG70" s="809">
        <f>WORKDAY(AH70+1,-1,$BA$10:$BA$141)</f>
        <v>46535</v>
      </c>
      <c r="AH70" s="88">
        <v>46537</v>
      </c>
      <c r="AI70" s="89"/>
      <c r="AJ70" s="812" t="e">
        <f>AG70-AF70</f>
        <v>#REF!</v>
      </c>
      <c r="AK70" s="90"/>
      <c r="AL70" s="91"/>
      <c r="AM70" s="92">
        <f t="shared" ref="AM70:AW70" si="79">IF(ISERROR(LOOKUP(AM$6,$S70:$AB70,$S$9:$AB$9)),0,(LOOKUP(AM$6,$S70:$AB70,$S$9:$AB$9)))</f>
        <v>0</v>
      </c>
      <c r="AN70" s="93">
        <f t="shared" si="79"/>
        <v>0</v>
      </c>
      <c r="AO70" s="93">
        <f t="shared" si="79"/>
        <v>0</v>
      </c>
      <c r="AP70" s="93">
        <f t="shared" si="79"/>
        <v>0</v>
      </c>
      <c r="AQ70" s="93">
        <f t="shared" si="79"/>
        <v>0</v>
      </c>
      <c r="AR70" s="93">
        <f t="shared" si="79"/>
        <v>0</v>
      </c>
      <c r="AS70" s="93">
        <f t="shared" si="79"/>
        <v>0</v>
      </c>
      <c r="AT70" s="93">
        <f t="shared" si="79"/>
        <v>0</v>
      </c>
      <c r="AU70" s="93">
        <f t="shared" si="79"/>
        <v>0</v>
      </c>
      <c r="AV70" s="93">
        <f t="shared" si="79"/>
        <v>0</v>
      </c>
      <c r="AW70" s="93">
        <f t="shared" ca="1" si="79"/>
        <v>0</v>
      </c>
      <c r="BB70" s="94" t="e">
        <v>#REF!</v>
      </c>
    </row>
    <row r="71" spans="1:54" s="20" customFormat="1" ht="18" customHeight="1">
      <c r="A71" s="783"/>
      <c r="B71" s="95"/>
      <c r="C71" s="792"/>
      <c r="D71" s="96" t="str">
        <f>D70</f>
        <v>INS</v>
      </c>
      <c r="E71" s="97" t="str">
        <f>E70</f>
        <v>RFQ-021</v>
      </c>
      <c r="F71" s="98" t="str">
        <f>F70</f>
        <v>N</v>
      </c>
      <c r="G71" s="795"/>
      <c r="H71" s="98" t="str">
        <f>H70</f>
        <v>Control Valve</v>
      </c>
      <c r="I71" s="97" t="str">
        <f>I70</f>
        <v>LB</v>
      </c>
      <c r="J71" s="98"/>
      <c r="K71" s="100"/>
      <c r="L71" s="100">
        <f>M72</f>
        <v>0.01</v>
      </c>
      <c r="M71" s="100"/>
      <c r="N71" s="97"/>
      <c r="O71" s="97"/>
      <c r="P71" s="97"/>
      <c r="Q71" s="101" t="s">
        <v>5366</v>
      </c>
      <c r="R71" s="101"/>
      <c r="S71" s="102" t="e">
        <f>S70</f>
        <v>#REF!</v>
      </c>
      <c r="T71" s="103" t="e">
        <f>T70</f>
        <v>#REF!</v>
      </c>
      <c r="U71" s="103" t="e">
        <f t="shared" ref="U71:Z71" si="80">WORKDAY(IF(T72="",T71,T72),INDEX(U$2:U$5,MATCH($I70,$I$2:$I$5,0)),$BB$10:$BB$141)</f>
        <v>#REF!</v>
      </c>
      <c r="V71" s="103" t="e">
        <f t="shared" si="80"/>
        <v>#REF!</v>
      </c>
      <c r="W71" s="103" t="e">
        <f t="shared" si="80"/>
        <v>#REF!</v>
      </c>
      <c r="X71" s="103" t="e">
        <f t="shared" si="80"/>
        <v>#REF!</v>
      </c>
      <c r="Y71" s="103" t="e">
        <f t="shared" si="80"/>
        <v>#REF!</v>
      </c>
      <c r="Z71" s="103" t="e">
        <f t="shared" si="80"/>
        <v>#REF!</v>
      </c>
      <c r="AA71" s="103" t="e">
        <f>WORKDAY(IF(Z72="",X71,Z72),INDEX(AA$2:AA$5,MATCH($I70,$I$2:$I$5,0)),$BB$10:$BB$141)</f>
        <v>#REF!</v>
      </c>
      <c r="AB71" s="104" t="e">
        <f>WORKDAY(AE70+#REF!,0,'[38]Equipment List and MR List (3)'!$A$2:$A$80)</f>
        <v>#REF!</v>
      </c>
      <c r="AC71" s="798"/>
      <c r="AD71" s="105"/>
      <c r="AE71" s="801"/>
      <c r="AF71" s="807"/>
      <c r="AG71" s="810"/>
      <c r="AH71" s="106"/>
      <c r="AI71" s="107"/>
      <c r="AJ71" s="813"/>
      <c r="AK71" s="108"/>
      <c r="AL71" s="109"/>
      <c r="AM71" s="92">
        <f t="shared" ref="AM71:AW71" si="81">IF(ISERROR(LOOKUP(AM$6,$S71:$AB71,$S$9:$AB$9)),0,(LOOKUP(AM$6,$S71:$AB71,$S$9:$AB$9)))</f>
        <v>0</v>
      </c>
      <c r="AN71" s="93">
        <f t="shared" si="81"/>
        <v>0</v>
      </c>
      <c r="AO71" s="93">
        <f t="shared" si="81"/>
        <v>0</v>
      </c>
      <c r="AP71" s="93">
        <f t="shared" si="81"/>
        <v>0</v>
      </c>
      <c r="AQ71" s="93">
        <f t="shared" si="81"/>
        <v>0</v>
      </c>
      <c r="AR71" s="93">
        <f t="shared" si="81"/>
        <v>0</v>
      </c>
      <c r="AS71" s="93">
        <f t="shared" si="81"/>
        <v>0</v>
      </c>
      <c r="AT71" s="93">
        <f t="shared" si="81"/>
        <v>0</v>
      </c>
      <c r="AU71" s="93">
        <f t="shared" si="81"/>
        <v>0</v>
      </c>
      <c r="AV71" s="93">
        <f t="shared" si="81"/>
        <v>0</v>
      </c>
      <c r="AW71" s="93">
        <f t="shared" ca="1" si="81"/>
        <v>0</v>
      </c>
      <c r="BB71" s="94" t="e">
        <v>#REF!</v>
      </c>
    </row>
    <row r="72" spans="1:54" s="20" customFormat="1" ht="18" customHeight="1">
      <c r="A72" s="784"/>
      <c r="B72" s="110"/>
      <c r="C72" s="793"/>
      <c r="D72" s="111" t="str">
        <f>D70</f>
        <v>INS</v>
      </c>
      <c r="E72" s="112" t="str">
        <f>E70</f>
        <v>RFQ-021</v>
      </c>
      <c r="F72" s="113" t="str">
        <f>F70</f>
        <v>N</v>
      </c>
      <c r="G72" s="796"/>
      <c r="H72" s="113" t="str">
        <f>H70</f>
        <v>Control Valve</v>
      </c>
      <c r="I72" s="112" t="str">
        <f>I70</f>
        <v>LB</v>
      </c>
      <c r="J72" s="113"/>
      <c r="K72" s="114"/>
      <c r="L72" s="114"/>
      <c r="M72" s="114">
        <v>0.01</v>
      </c>
      <c r="N72" s="112"/>
      <c r="O72" s="112"/>
      <c r="P72" s="112"/>
      <c r="Q72" s="115" t="s">
        <v>368</v>
      </c>
      <c r="R72" s="115"/>
      <c r="S72" s="126"/>
      <c r="T72" s="126"/>
      <c r="U72" s="126"/>
      <c r="V72" s="126"/>
      <c r="W72" s="126"/>
      <c r="X72" s="126"/>
      <c r="Y72" s="126"/>
      <c r="Z72" s="126"/>
      <c r="AA72" s="126"/>
      <c r="AB72" s="126"/>
      <c r="AC72" s="799"/>
      <c r="AD72" s="116"/>
      <c r="AE72" s="801"/>
      <c r="AF72" s="808"/>
      <c r="AG72" s="811"/>
      <c r="AH72" s="117"/>
      <c r="AI72" s="118"/>
      <c r="AJ72" s="814"/>
      <c r="AK72" s="119"/>
      <c r="AL72" s="120"/>
      <c r="AM72" s="121">
        <f t="shared" ref="AM72:AW72" si="82">IF(ISERROR(LOOKUP(AM$6,$S72:$AB72,$S$9:$AB$9)),0,(LOOKUP(AM$6,$S72:$AB72,$S$9:$AB$9)))</f>
        <v>0</v>
      </c>
      <c r="AN72" s="122">
        <f t="shared" si="82"/>
        <v>0</v>
      </c>
      <c r="AO72" s="122">
        <f t="shared" si="82"/>
        <v>0</v>
      </c>
      <c r="AP72" s="122">
        <f t="shared" si="82"/>
        <v>0</v>
      </c>
      <c r="AQ72" s="122">
        <f t="shared" si="82"/>
        <v>0</v>
      </c>
      <c r="AR72" s="122">
        <f t="shared" si="82"/>
        <v>0</v>
      </c>
      <c r="AS72" s="122">
        <f t="shared" si="82"/>
        <v>0</v>
      </c>
      <c r="AT72" s="122">
        <f t="shared" si="82"/>
        <v>0</v>
      </c>
      <c r="AU72" s="122">
        <f t="shared" si="82"/>
        <v>0</v>
      </c>
      <c r="AV72" s="122">
        <f t="shared" si="82"/>
        <v>0</v>
      </c>
      <c r="AW72" s="122">
        <f t="shared" ca="1" si="82"/>
        <v>0</v>
      </c>
      <c r="BB72" s="94" t="e">
        <v>#REF!</v>
      </c>
    </row>
    <row r="73" spans="1:54" s="20" customFormat="1" ht="18" customHeight="1">
      <c r="A73" s="782">
        <f>A70+1</f>
        <v>22</v>
      </c>
      <c r="B73" s="79"/>
      <c r="C73" s="791" t="s">
        <v>5361</v>
      </c>
      <c r="D73" s="80" t="s">
        <v>5392</v>
      </c>
      <c r="E73" s="81" t="s">
        <v>5269</v>
      </c>
      <c r="F73" s="82" t="s">
        <v>73</v>
      </c>
      <c r="G73" s="794" t="s">
        <v>5393</v>
      </c>
      <c r="H73" s="82" t="s">
        <v>142</v>
      </c>
      <c r="I73" s="81" t="s">
        <v>7</v>
      </c>
      <c r="J73" s="82"/>
      <c r="K73" s="84">
        <f>M75</f>
        <v>0.01</v>
      </c>
      <c r="L73" s="84"/>
      <c r="M73" s="84"/>
      <c r="N73" s="81"/>
      <c r="O73" s="81"/>
      <c r="P73" s="81"/>
      <c r="Q73" s="85" t="s">
        <v>5364</v>
      </c>
      <c r="R73" s="86">
        <f>'Before Award'!U80+5</f>
        <v>46343</v>
      </c>
      <c r="S73" s="86" t="e">
        <f>WORKDAY(R73,INDEX(S$2:S$5,MATCH($I73,$I$2:$I$5,0)),$BB$10:$BB$141)</f>
        <v>#REF!</v>
      </c>
      <c r="T73" s="86" t="e">
        <f>WORKDAY(S73,INDEX(T$2:T$5,MATCH($I73,$I$2:$I$5,0)),$BB$10:$BB$141)</f>
        <v>#REF!</v>
      </c>
      <c r="U73" s="86" t="e">
        <f>T73+30</f>
        <v>#REF!</v>
      </c>
      <c r="V73" s="86"/>
      <c r="W73" s="86">
        <f>AB73-35</f>
        <v>46503</v>
      </c>
      <c r="X73" s="86"/>
      <c r="Y73" s="86"/>
      <c r="Z73" s="86"/>
      <c r="AA73" s="86"/>
      <c r="AB73" s="86">
        <f>'Before Award'!X80</f>
        <v>46538</v>
      </c>
      <c r="AC73" s="797" t="s">
        <v>5365</v>
      </c>
      <c r="AD73" s="87">
        <v>7</v>
      </c>
      <c r="AE73" s="801">
        <v>200</v>
      </c>
      <c r="AF73" s="806" t="e">
        <f>AB74</f>
        <v>#REF!</v>
      </c>
      <c r="AG73" s="809">
        <f>WORKDAY(AH73+1,-1,$BA$10:$BA$141)</f>
        <v>46538</v>
      </c>
      <c r="AH73" s="88">
        <v>46538</v>
      </c>
      <c r="AI73" s="89"/>
      <c r="AJ73" s="812" t="e">
        <f>AG73-AF73</f>
        <v>#REF!</v>
      </c>
      <c r="AK73" s="90"/>
      <c r="AL73" s="91"/>
      <c r="AM73" s="92">
        <f t="shared" ref="AM73:AW73" si="83">IF(ISERROR(LOOKUP(AM$6,$S73:$AB73,$S$9:$AB$9)),0,(LOOKUP(AM$6,$S73:$AB73,$S$9:$AB$9)))</f>
        <v>0</v>
      </c>
      <c r="AN73" s="93">
        <f t="shared" si="83"/>
        <v>0</v>
      </c>
      <c r="AO73" s="93">
        <f t="shared" si="83"/>
        <v>0</v>
      </c>
      <c r="AP73" s="93">
        <f t="shared" si="83"/>
        <v>0</v>
      </c>
      <c r="AQ73" s="93">
        <f t="shared" si="83"/>
        <v>0</v>
      </c>
      <c r="AR73" s="93">
        <f t="shared" si="83"/>
        <v>0</v>
      </c>
      <c r="AS73" s="93">
        <f t="shared" si="83"/>
        <v>0</v>
      </c>
      <c r="AT73" s="93">
        <f t="shared" si="83"/>
        <v>0</v>
      </c>
      <c r="AU73" s="93">
        <f t="shared" si="83"/>
        <v>0</v>
      </c>
      <c r="AV73" s="93">
        <f t="shared" si="83"/>
        <v>0</v>
      </c>
      <c r="AW73" s="93">
        <f t="shared" ca="1" si="83"/>
        <v>0</v>
      </c>
      <c r="BB73" s="94" t="e">
        <v>#REF!</v>
      </c>
    </row>
    <row r="74" spans="1:54" s="20" customFormat="1" ht="18" customHeight="1">
      <c r="A74" s="783"/>
      <c r="B74" s="95"/>
      <c r="C74" s="792"/>
      <c r="D74" s="96" t="str">
        <f>D73</f>
        <v>INS</v>
      </c>
      <c r="E74" s="97" t="str">
        <f>E73</f>
        <v>RFQ-022</v>
      </c>
      <c r="F74" s="98" t="str">
        <f>F73</f>
        <v>N</v>
      </c>
      <c r="G74" s="795"/>
      <c r="H74" s="98" t="str">
        <f>H73</f>
        <v>Self Regulator Valve</v>
      </c>
      <c r="I74" s="97" t="str">
        <f>I73</f>
        <v>LB</v>
      </c>
      <c r="J74" s="98"/>
      <c r="K74" s="100"/>
      <c r="L74" s="100">
        <f>M75</f>
        <v>0.01</v>
      </c>
      <c r="M74" s="100"/>
      <c r="N74" s="97"/>
      <c r="O74" s="97"/>
      <c r="P74" s="97"/>
      <c r="Q74" s="101" t="s">
        <v>5366</v>
      </c>
      <c r="R74" s="101"/>
      <c r="S74" s="102" t="e">
        <f>S73</f>
        <v>#REF!</v>
      </c>
      <c r="T74" s="103" t="e">
        <f>T73</f>
        <v>#REF!</v>
      </c>
      <c r="U74" s="103" t="e">
        <f t="shared" ref="U74:Z74" si="84">WORKDAY(IF(T75="",T74,T75),INDEX(U$2:U$5,MATCH($I73,$I$2:$I$5,0)),$BB$10:$BB$141)</f>
        <v>#REF!</v>
      </c>
      <c r="V74" s="103" t="e">
        <f t="shared" si="84"/>
        <v>#REF!</v>
      </c>
      <c r="W74" s="103" t="e">
        <f t="shared" si="84"/>
        <v>#REF!</v>
      </c>
      <c r="X74" s="103" t="e">
        <f t="shared" si="84"/>
        <v>#REF!</v>
      </c>
      <c r="Y74" s="103" t="e">
        <f t="shared" si="84"/>
        <v>#REF!</v>
      </c>
      <c r="Z74" s="103" t="e">
        <f t="shared" si="84"/>
        <v>#REF!</v>
      </c>
      <c r="AA74" s="103" t="e">
        <f>WORKDAY(IF(Z75="",X74,Z75),INDEX(AA$2:AA$5,MATCH($I73,$I$2:$I$5,0)),$BB$10:$BB$141)</f>
        <v>#REF!</v>
      </c>
      <c r="AB74" s="104" t="e">
        <f>WORKDAY(AE73+#REF!,0,'[38]Equipment List and MR List (3)'!$A$2:$A$80)</f>
        <v>#REF!</v>
      </c>
      <c r="AC74" s="798"/>
      <c r="AD74" s="105"/>
      <c r="AE74" s="801"/>
      <c r="AF74" s="807"/>
      <c r="AG74" s="810"/>
      <c r="AH74" s="106"/>
      <c r="AI74" s="107"/>
      <c r="AJ74" s="813"/>
      <c r="AK74" s="108"/>
      <c r="AL74" s="109"/>
      <c r="AM74" s="92">
        <f t="shared" ref="AM74:AW74" si="85">IF(ISERROR(LOOKUP(AM$6,$S74:$AB74,$S$9:$AB$9)),0,(LOOKUP(AM$6,$S74:$AB74,$S$9:$AB$9)))</f>
        <v>0</v>
      </c>
      <c r="AN74" s="93">
        <f t="shared" si="85"/>
        <v>0</v>
      </c>
      <c r="AO74" s="93">
        <f t="shared" si="85"/>
        <v>0</v>
      </c>
      <c r="AP74" s="93">
        <f t="shared" si="85"/>
        <v>0</v>
      </c>
      <c r="AQ74" s="93">
        <f t="shared" si="85"/>
        <v>0</v>
      </c>
      <c r="AR74" s="93">
        <f t="shared" si="85"/>
        <v>0</v>
      </c>
      <c r="AS74" s="93">
        <f t="shared" si="85"/>
        <v>0</v>
      </c>
      <c r="AT74" s="93">
        <f t="shared" si="85"/>
        <v>0</v>
      </c>
      <c r="AU74" s="93">
        <f t="shared" si="85"/>
        <v>0</v>
      </c>
      <c r="AV74" s="93">
        <f t="shared" si="85"/>
        <v>0</v>
      </c>
      <c r="AW74" s="93">
        <f t="shared" ca="1" si="85"/>
        <v>0</v>
      </c>
      <c r="BB74" s="94" t="e">
        <v>#REF!</v>
      </c>
    </row>
    <row r="75" spans="1:54" s="20" customFormat="1" ht="18" customHeight="1">
      <c r="A75" s="784"/>
      <c r="B75" s="110"/>
      <c r="C75" s="793"/>
      <c r="D75" s="111" t="str">
        <f>D73</f>
        <v>INS</v>
      </c>
      <c r="E75" s="112" t="str">
        <f>E73</f>
        <v>RFQ-022</v>
      </c>
      <c r="F75" s="113" t="str">
        <f>F73</f>
        <v>N</v>
      </c>
      <c r="G75" s="796"/>
      <c r="H75" s="113" t="str">
        <f>H73</f>
        <v>Self Regulator Valve</v>
      </c>
      <c r="I75" s="112" t="str">
        <f>I73</f>
        <v>LB</v>
      </c>
      <c r="J75" s="113"/>
      <c r="K75" s="114"/>
      <c r="L75" s="114"/>
      <c r="M75" s="114">
        <v>0.01</v>
      </c>
      <c r="N75" s="112"/>
      <c r="O75" s="112"/>
      <c r="P75" s="112"/>
      <c r="Q75" s="115" t="s">
        <v>368</v>
      </c>
      <c r="R75" s="115"/>
      <c r="S75" s="126"/>
      <c r="T75" s="126"/>
      <c r="U75" s="126"/>
      <c r="V75" s="126"/>
      <c r="W75" s="126"/>
      <c r="X75" s="126"/>
      <c r="Y75" s="126"/>
      <c r="Z75" s="126"/>
      <c r="AA75" s="126"/>
      <c r="AB75" s="126"/>
      <c r="AC75" s="799"/>
      <c r="AD75" s="116"/>
      <c r="AE75" s="801"/>
      <c r="AF75" s="808"/>
      <c r="AG75" s="811"/>
      <c r="AH75" s="117"/>
      <c r="AI75" s="118"/>
      <c r="AJ75" s="814"/>
      <c r="AK75" s="119"/>
      <c r="AL75" s="120"/>
      <c r="AM75" s="121">
        <f t="shared" ref="AM75:AW75" si="86">IF(ISERROR(LOOKUP(AM$6,$S75:$AB75,$S$9:$AB$9)),0,(LOOKUP(AM$6,$S75:$AB75,$S$9:$AB$9)))</f>
        <v>0</v>
      </c>
      <c r="AN75" s="122">
        <f t="shared" si="86"/>
        <v>0</v>
      </c>
      <c r="AO75" s="122">
        <f t="shared" si="86"/>
        <v>0</v>
      </c>
      <c r="AP75" s="122">
        <f t="shared" si="86"/>
        <v>0</v>
      </c>
      <c r="AQ75" s="122">
        <f t="shared" si="86"/>
        <v>0</v>
      </c>
      <c r="AR75" s="122">
        <f t="shared" si="86"/>
        <v>0</v>
      </c>
      <c r="AS75" s="122">
        <f t="shared" si="86"/>
        <v>0</v>
      </c>
      <c r="AT75" s="122">
        <f t="shared" si="86"/>
        <v>0</v>
      </c>
      <c r="AU75" s="122">
        <f t="shared" si="86"/>
        <v>0</v>
      </c>
      <c r="AV75" s="122">
        <f t="shared" si="86"/>
        <v>0</v>
      </c>
      <c r="AW75" s="122">
        <f t="shared" ca="1" si="86"/>
        <v>0</v>
      </c>
      <c r="BB75" s="94" t="e">
        <v>#REF!</v>
      </c>
    </row>
    <row r="76" spans="1:54" s="20" customFormat="1" ht="18" customHeight="1">
      <c r="A76" s="782">
        <f>A73+1</f>
        <v>23</v>
      </c>
      <c r="B76" s="79"/>
      <c r="C76" s="791" t="s">
        <v>5361</v>
      </c>
      <c r="D76" s="80" t="s">
        <v>5392</v>
      </c>
      <c r="E76" s="81" t="s">
        <v>5270</v>
      </c>
      <c r="F76" s="82" t="s">
        <v>73</v>
      </c>
      <c r="G76" s="794" t="s">
        <v>5394</v>
      </c>
      <c r="H76" s="82" t="s">
        <v>145</v>
      </c>
      <c r="I76" s="81" t="s">
        <v>7</v>
      </c>
      <c r="J76" s="82"/>
      <c r="K76" s="84">
        <f>M78</f>
        <v>0.01</v>
      </c>
      <c r="L76" s="84"/>
      <c r="M76" s="84"/>
      <c r="N76" s="81"/>
      <c r="O76" s="81"/>
      <c r="P76" s="81"/>
      <c r="Q76" s="85" t="s">
        <v>5364</v>
      </c>
      <c r="R76" s="86">
        <f>'Before Award'!U83+5</f>
        <v>46235</v>
      </c>
      <c r="S76" s="86" t="e">
        <f>WORKDAY(R76,INDEX(S$2:S$5,MATCH($I76,$I$2:$I$5,0)),$BB$10:$BB$141)</f>
        <v>#REF!</v>
      </c>
      <c r="T76" s="86" t="e">
        <f>WORKDAY(S76,INDEX(T$2:T$5,MATCH($I76,$I$2:$I$5,0)),$BB$10:$BB$141)</f>
        <v>#REF!</v>
      </c>
      <c r="U76" s="86" t="e">
        <f>T76+30</f>
        <v>#REF!</v>
      </c>
      <c r="V76" s="86"/>
      <c r="W76" s="86">
        <f>AB76-35</f>
        <v>46503</v>
      </c>
      <c r="X76" s="86"/>
      <c r="Y76" s="86"/>
      <c r="Z76" s="86"/>
      <c r="AA76" s="86"/>
      <c r="AB76" s="86">
        <f>'Before Award'!X83</f>
        <v>46538</v>
      </c>
      <c r="AC76" s="797" t="s">
        <v>5365</v>
      </c>
      <c r="AD76" s="87">
        <v>7</v>
      </c>
      <c r="AE76" s="800">
        <f>44*7</f>
        <v>308</v>
      </c>
      <c r="AF76" s="806" t="e">
        <f>AB77</f>
        <v>#REF!</v>
      </c>
      <c r="AG76" s="809">
        <f>WORKDAY(AH76+1,-1,$BA$10:$BA$141)</f>
        <v>46538</v>
      </c>
      <c r="AH76" s="88">
        <v>46538</v>
      </c>
      <c r="AI76" s="89"/>
      <c r="AJ76" s="812" t="e">
        <f>AG76-AF76</f>
        <v>#REF!</v>
      </c>
      <c r="AK76" s="90"/>
      <c r="AL76" s="91"/>
      <c r="AM76" s="92">
        <f t="shared" ref="AM76:AW76" si="87">IF(ISERROR(LOOKUP(AM$6,$S76:$AB76,$S$9:$AB$9)),0,(LOOKUP(AM$6,$S76:$AB76,$S$9:$AB$9)))</f>
        <v>0</v>
      </c>
      <c r="AN76" s="93">
        <f t="shared" si="87"/>
        <v>0</v>
      </c>
      <c r="AO76" s="93">
        <f t="shared" si="87"/>
        <v>0</v>
      </c>
      <c r="AP76" s="93">
        <f t="shared" si="87"/>
        <v>0</v>
      </c>
      <c r="AQ76" s="93">
        <f t="shared" si="87"/>
        <v>0</v>
      </c>
      <c r="AR76" s="93">
        <f t="shared" si="87"/>
        <v>0</v>
      </c>
      <c r="AS76" s="93">
        <f t="shared" si="87"/>
        <v>0</v>
      </c>
      <c r="AT76" s="93">
        <f t="shared" si="87"/>
        <v>0</v>
      </c>
      <c r="AU76" s="93">
        <f t="shared" si="87"/>
        <v>0</v>
      </c>
      <c r="AV76" s="93">
        <f t="shared" si="87"/>
        <v>0</v>
      </c>
      <c r="AW76" s="93">
        <f t="shared" ca="1" si="87"/>
        <v>0</v>
      </c>
      <c r="BB76" s="94" t="e">
        <v>#REF!</v>
      </c>
    </row>
    <row r="77" spans="1:54" s="20" customFormat="1" ht="18" customHeight="1">
      <c r="A77" s="783"/>
      <c r="B77" s="95"/>
      <c r="C77" s="792"/>
      <c r="D77" s="96" t="str">
        <f>D76</f>
        <v>INS</v>
      </c>
      <c r="E77" s="97" t="str">
        <f>E76</f>
        <v>RFQ-023</v>
      </c>
      <c r="F77" s="98" t="str">
        <f>F76</f>
        <v>N</v>
      </c>
      <c r="G77" s="795"/>
      <c r="H77" s="98" t="str">
        <f>H76</f>
        <v>Actuated Choke Valve</v>
      </c>
      <c r="I77" s="97" t="str">
        <f>I76</f>
        <v>LB</v>
      </c>
      <c r="J77" s="98"/>
      <c r="K77" s="100"/>
      <c r="L77" s="100">
        <f>M78</f>
        <v>0.01</v>
      </c>
      <c r="M77" s="100"/>
      <c r="N77" s="97"/>
      <c r="O77" s="97"/>
      <c r="P77" s="97"/>
      <c r="Q77" s="101" t="s">
        <v>5366</v>
      </c>
      <c r="R77" s="101"/>
      <c r="S77" s="102" t="e">
        <f>S76</f>
        <v>#REF!</v>
      </c>
      <c r="T77" s="103" t="e">
        <f>T76</f>
        <v>#REF!</v>
      </c>
      <c r="U77" s="103" t="e">
        <f t="shared" ref="U77:Z77" si="88">WORKDAY(IF(T78="",T77,T78),INDEX(U$2:U$5,MATCH($I76,$I$2:$I$5,0)),$BB$10:$BB$141)</f>
        <v>#REF!</v>
      </c>
      <c r="V77" s="103" t="e">
        <f t="shared" si="88"/>
        <v>#REF!</v>
      </c>
      <c r="W77" s="103" t="e">
        <f t="shared" si="88"/>
        <v>#REF!</v>
      </c>
      <c r="X77" s="103" t="e">
        <f t="shared" si="88"/>
        <v>#REF!</v>
      </c>
      <c r="Y77" s="103" t="e">
        <f t="shared" si="88"/>
        <v>#REF!</v>
      </c>
      <c r="Z77" s="103" t="e">
        <f t="shared" si="88"/>
        <v>#REF!</v>
      </c>
      <c r="AA77" s="103" t="e">
        <f>WORKDAY(IF(Z78="",X77,Z78),INDEX(AA$2:AA$5,MATCH($I76,$I$2:$I$5,0)),$BB$10:$BB$141)</f>
        <v>#REF!</v>
      </c>
      <c r="AB77" s="104" t="e">
        <f>WORKDAY(AE76+#REF!,0,'[38]Equipment List and MR List (3)'!$A$2:$A$80)</f>
        <v>#REF!</v>
      </c>
      <c r="AC77" s="798"/>
      <c r="AD77" s="105"/>
      <c r="AE77" s="800"/>
      <c r="AF77" s="807"/>
      <c r="AG77" s="810"/>
      <c r="AH77" s="106"/>
      <c r="AI77" s="107"/>
      <c r="AJ77" s="813"/>
      <c r="AK77" s="108"/>
      <c r="AL77" s="109"/>
      <c r="AM77" s="92">
        <f t="shared" ref="AM77:AW77" si="89">IF(ISERROR(LOOKUP(AM$6,$S77:$AB77,$S$9:$AB$9)),0,(LOOKUP(AM$6,$S77:$AB77,$S$9:$AB$9)))</f>
        <v>0</v>
      </c>
      <c r="AN77" s="93">
        <f t="shared" si="89"/>
        <v>0</v>
      </c>
      <c r="AO77" s="93">
        <f t="shared" si="89"/>
        <v>0</v>
      </c>
      <c r="AP77" s="93">
        <f t="shared" si="89"/>
        <v>0</v>
      </c>
      <c r="AQ77" s="93">
        <f t="shared" si="89"/>
        <v>0</v>
      </c>
      <c r="AR77" s="93">
        <f t="shared" si="89"/>
        <v>0</v>
      </c>
      <c r="AS77" s="93">
        <f t="shared" si="89"/>
        <v>0</v>
      </c>
      <c r="AT77" s="93">
        <f t="shared" si="89"/>
        <v>0</v>
      </c>
      <c r="AU77" s="93">
        <f t="shared" si="89"/>
        <v>0</v>
      </c>
      <c r="AV77" s="93">
        <f t="shared" si="89"/>
        <v>0</v>
      </c>
      <c r="AW77" s="93">
        <f t="shared" ca="1" si="89"/>
        <v>0</v>
      </c>
      <c r="BB77" s="94" t="e">
        <v>#REF!</v>
      </c>
    </row>
    <row r="78" spans="1:54" s="20" customFormat="1" ht="18" customHeight="1">
      <c r="A78" s="784"/>
      <c r="B78" s="110"/>
      <c r="C78" s="793"/>
      <c r="D78" s="111" t="str">
        <f>D76</f>
        <v>INS</v>
      </c>
      <c r="E78" s="112" t="str">
        <f>E76</f>
        <v>RFQ-023</v>
      </c>
      <c r="F78" s="113" t="str">
        <f>F76</f>
        <v>N</v>
      </c>
      <c r="G78" s="796"/>
      <c r="H78" s="113" t="str">
        <f>H76</f>
        <v>Actuated Choke Valve</v>
      </c>
      <c r="I78" s="112" t="str">
        <f>I76</f>
        <v>LB</v>
      </c>
      <c r="J78" s="113"/>
      <c r="K78" s="114"/>
      <c r="L78" s="114"/>
      <c r="M78" s="114">
        <v>0.01</v>
      </c>
      <c r="N78" s="112"/>
      <c r="O78" s="112"/>
      <c r="P78" s="112"/>
      <c r="Q78" s="115" t="s">
        <v>368</v>
      </c>
      <c r="R78" s="115"/>
      <c r="S78" s="126"/>
      <c r="T78" s="126"/>
      <c r="U78" s="126"/>
      <c r="V78" s="126"/>
      <c r="W78" s="126"/>
      <c r="X78" s="126"/>
      <c r="Y78" s="126"/>
      <c r="Z78" s="126"/>
      <c r="AA78" s="126"/>
      <c r="AB78" s="126"/>
      <c r="AC78" s="799"/>
      <c r="AD78" s="116"/>
      <c r="AE78" s="800"/>
      <c r="AF78" s="808"/>
      <c r="AG78" s="811"/>
      <c r="AH78" s="117"/>
      <c r="AI78" s="118"/>
      <c r="AJ78" s="814"/>
      <c r="AK78" s="119"/>
      <c r="AL78" s="120"/>
      <c r="AM78" s="121">
        <f t="shared" ref="AM78:AW78" si="90">IF(ISERROR(LOOKUP(AM$6,$S78:$AB78,$S$9:$AB$9)),0,(LOOKUP(AM$6,$S78:$AB78,$S$9:$AB$9)))</f>
        <v>0</v>
      </c>
      <c r="AN78" s="122">
        <f t="shared" si="90"/>
        <v>0</v>
      </c>
      <c r="AO78" s="122">
        <f t="shared" si="90"/>
        <v>0</v>
      </c>
      <c r="AP78" s="122">
        <f t="shared" si="90"/>
        <v>0</v>
      </c>
      <c r="AQ78" s="122">
        <f t="shared" si="90"/>
        <v>0</v>
      </c>
      <c r="AR78" s="122">
        <f t="shared" si="90"/>
        <v>0</v>
      </c>
      <c r="AS78" s="122">
        <f t="shared" si="90"/>
        <v>0</v>
      </c>
      <c r="AT78" s="122">
        <f t="shared" si="90"/>
        <v>0</v>
      </c>
      <c r="AU78" s="122">
        <f t="shared" si="90"/>
        <v>0</v>
      </c>
      <c r="AV78" s="122">
        <f t="shared" si="90"/>
        <v>0</v>
      </c>
      <c r="AW78" s="122">
        <f t="shared" ca="1" si="90"/>
        <v>0</v>
      </c>
      <c r="BB78" s="94" t="e">
        <v>#REF!</v>
      </c>
    </row>
    <row r="79" spans="1:54" s="20" customFormat="1" ht="18" customHeight="1">
      <c r="A79" s="782">
        <f>A76+1</f>
        <v>24</v>
      </c>
      <c r="B79" s="79"/>
      <c r="C79" s="791" t="s">
        <v>5361</v>
      </c>
      <c r="D79" s="80" t="s">
        <v>5392</v>
      </c>
      <c r="E79" s="81" t="s">
        <v>5271</v>
      </c>
      <c r="F79" s="82" t="s">
        <v>73</v>
      </c>
      <c r="G79" s="794" t="s">
        <v>5395</v>
      </c>
      <c r="H79" s="82" t="s">
        <v>149</v>
      </c>
      <c r="I79" s="81" t="s">
        <v>7</v>
      </c>
      <c r="J79" s="82"/>
      <c r="K79" s="84">
        <f>M81</f>
        <v>0.01</v>
      </c>
      <c r="L79" s="84"/>
      <c r="M79" s="84"/>
      <c r="N79" s="81"/>
      <c r="O79" s="81"/>
      <c r="P79" s="81"/>
      <c r="Q79" s="85" t="s">
        <v>5364</v>
      </c>
      <c r="R79" s="86">
        <f>'Before Award'!U86+5</f>
        <v>46291</v>
      </c>
      <c r="S79" s="86" t="e">
        <f>WORKDAY(R79,INDEX(S$2:S$5,MATCH($I79,$I$2:$I$5,0)),$BB$10:$BB$141)</f>
        <v>#REF!</v>
      </c>
      <c r="T79" s="86" t="e">
        <f>WORKDAY(S79,INDEX(T$2:T$5,MATCH($I79,$I$2:$I$5,0)),$BB$10:$BB$141)</f>
        <v>#REF!</v>
      </c>
      <c r="U79" s="86" t="e">
        <f>T79+30</f>
        <v>#REF!</v>
      </c>
      <c r="V79" s="86"/>
      <c r="W79" s="86">
        <f>AB79-35</f>
        <v>46503</v>
      </c>
      <c r="X79" s="86"/>
      <c r="Y79" s="86"/>
      <c r="Z79" s="86"/>
      <c r="AA79" s="86"/>
      <c r="AB79" s="86">
        <f>'Before Award'!X86</f>
        <v>46538</v>
      </c>
      <c r="AC79" s="797" t="s">
        <v>5365</v>
      </c>
      <c r="AD79" s="87">
        <v>7</v>
      </c>
      <c r="AE79" s="801">
        <f>36*7</f>
        <v>252</v>
      </c>
      <c r="AF79" s="806" t="e">
        <f>AB80</f>
        <v>#REF!</v>
      </c>
      <c r="AG79" s="809">
        <f>WORKDAY(AH79+1,-1,$BA$10:$BA$141)</f>
        <v>46538</v>
      </c>
      <c r="AH79" s="88">
        <v>46538</v>
      </c>
      <c r="AI79" s="89"/>
      <c r="AJ79" s="812" t="e">
        <f>AG79-AF79</f>
        <v>#REF!</v>
      </c>
      <c r="AK79" s="90"/>
      <c r="AL79" s="91"/>
      <c r="AM79" s="92">
        <f t="shared" ref="AM79:AW79" si="91">IF(ISERROR(LOOKUP(AM$6,$S79:$AB79,$S$9:$AB$9)),0,(LOOKUP(AM$6,$S79:$AB79,$S$9:$AB$9)))</f>
        <v>0</v>
      </c>
      <c r="AN79" s="93">
        <f t="shared" si="91"/>
        <v>0</v>
      </c>
      <c r="AO79" s="93">
        <f t="shared" si="91"/>
        <v>0</v>
      </c>
      <c r="AP79" s="93">
        <f t="shared" si="91"/>
        <v>0</v>
      </c>
      <c r="AQ79" s="93">
        <f t="shared" si="91"/>
        <v>0</v>
      </c>
      <c r="AR79" s="93">
        <f t="shared" si="91"/>
        <v>0</v>
      </c>
      <c r="AS79" s="93">
        <f t="shared" si="91"/>
        <v>0</v>
      </c>
      <c r="AT79" s="93">
        <f t="shared" si="91"/>
        <v>0</v>
      </c>
      <c r="AU79" s="93">
        <f t="shared" si="91"/>
        <v>0</v>
      </c>
      <c r="AV79" s="93">
        <f t="shared" si="91"/>
        <v>0</v>
      </c>
      <c r="AW79" s="93">
        <f t="shared" ca="1" si="91"/>
        <v>0</v>
      </c>
      <c r="BB79" s="94" t="e">
        <v>#REF!</v>
      </c>
    </row>
    <row r="80" spans="1:54" s="20" customFormat="1" ht="18" customHeight="1">
      <c r="A80" s="783"/>
      <c r="B80" s="95"/>
      <c r="C80" s="792"/>
      <c r="D80" s="96" t="str">
        <f>D79</f>
        <v>INS</v>
      </c>
      <c r="E80" s="97" t="str">
        <f>E79</f>
        <v>RFQ-024</v>
      </c>
      <c r="F80" s="98" t="str">
        <f>F79</f>
        <v>N</v>
      </c>
      <c r="G80" s="795"/>
      <c r="H80" s="98" t="str">
        <f>H79</f>
        <v>Actuated Ball Valve</v>
      </c>
      <c r="I80" s="97" t="str">
        <f>I79</f>
        <v>LB</v>
      </c>
      <c r="J80" s="98"/>
      <c r="K80" s="100"/>
      <c r="L80" s="100">
        <f>M81</f>
        <v>0.01</v>
      </c>
      <c r="M80" s="100"/>
      <c r="N80" s="97"/>
      <c r="O80" s="97"/>
      <c r="P80" s="97"/>
      <c r="Q80" s="101" t="s">
        <v>5366</v>
      </c>
      <c r="R80" s="101"/>
      <c r="S80" s="102" t="e">
        <f>S79</f>
        <v>#REF!</v>
      </c>
      <c r="T80" s="103" t="e">
        <f>T79</f>
        <v>#REF!</v>
      </c>
      <c r="U80" s="103" t="e">
        <f t="shared" ref="U80:Z80" si="92">WORKDAY(IF(T81="",T80,T81),INDEX(U$2:U$5,MATCH($I79,$I$2:$I$5,0)),$BB$10:$BB$141)</f>
        <v>#REF!</v>
      </c>
      <c r="V80" s="103" t="e">
        <f t="shared" si="92"/>
        <v>#REF!</v>
      </c>
      <c r="W80" s="103" t="e">
        <f t="shared" si="92"/>
        <v>#REF!</v>
      </c>
      <c r="X80" s="103" t="e">
        <f t="shared" si="92"/>
        <v>#REF!</v>
      </c>
      <c r="Y80" s="103" t="e">
        <f t="shared" si="92"/>
        <v>#REF!</v>
      </c>
      <c r="Z80" s="103" t="e">
        <f t="shared" si="92"/>
        <v>#REF!</v>
      </c>
      <c r="AA80" s="103" t="e">
        <f>WORKDAY(IF(Z81="",X80,Z81),INDEX(AA$2:AA$5,MATCH($I79,$I$2:$I$5,0)),$BB$10:$BB$141)</f>
        <v>#REF!</v>
      </c>
      <c r="AB80" s="104" t="e">
        <f>WORKDAY(AE79+#REF!,0,'[38]Equipment List and MR List (3)'!$A$2:$A$80)</f>
        <v>#REF!</v>
      </c>
      <c r="AC80" s="798"/>
      <c r="AD80" s="105"/>
      <c r="AE80" s="801"/>
      <c r="AF80" s="807"/>
      <c r="AG80" s="810"/>
      <c r="AH80" s="106"/>
      <c r="AI80" s="107"/>
      <c r="AJ80" s="813"/>
      <c r="AK80" s="108"/>
      <c r="AL80" s="109"/>
      <c r="AM80" s="92">
        <f t="shared" ref="AM80:AW80" si="93">IF(ISERROR(LOOKUP(AM$6,$S80:$AB80,$S$9:$AB$9)),0,(LOOKUP(AM$6,$S80:$AB80,$S$9:$AB$9)))</f>
        <v>0</v>
      </c>
      <c r="AN80" s="93">
        <f t="shared" si="93"/>
        <v>0</v>
      </c>
      <c r="AO80" s="93">
        <f t="shared" si="93"/>
        <v>0</v>
      </c>
      <c r="AP80" s="93">
        <f t="shared" si="93"/>
        <v>0</v>
      </c>
      <c r="AQ80" s="93">
        <f t="shared" si="93"/>
        <v>0</v>
      </c>
      <c r="AR80" s="93">
        <f t="shared" si="93"/>
        <v>0</v>
      </c>
      <c r="AS80" s="93">
        <f t="shared" si="93"/>
        <v>0</v>
      </c>
      <c r="AT80" s="93">
        <f t="shared" si="93"/>
        <v>0</v>
      </c>
      <c r="AU80" s="93">
        <f t="shared" si="93"/>
        <v>0</v>
      </c>
      <c r="AV80" s="93">
        <f t="shared" si="93"/>
        <v>0</v>
      </c>
      <c r="AW80" s="93">
        <f t="shared" ca="1" si="93"/>
        <v>0</v>
      </c>
      <c r="BB80" s="94" t="e">
        <v>#REF!</v>
      </c>
    </row>
    <row r="81" spans="1:54" s="20" customFormat="1" ht="18" customHeight="1">
      <c r="A81" s="784"/>
      <c r="B81" s="110"/>
      <c r="C81" s="793"/>
      <c r="D81" s="111" t="str">
        <f>D79</f>
        <v>INS</v>
      </c>
      <c r="E81" s="112" t="str">
        <f>E79</f>
        <v>RFQ-024</v>
      </c>
      <c r="F81" s="113" t="str">
        <f>F79</f>
        <v>N</v>
      </c>
      <c r="G81" s="796"/>
      <c r="H81" s="113" t="str">
        <f>H79</f>
        <v>Actuated Ball Valve</v>
      </c>
      <c r="I81" s="112" t="str">
        <f>I79</f>
        <v>LB</v>
      </c>
      <c r="J81" s="113"/>
      <c r="K81" s="114"/>
      <c r="L81" s="114"/>
      <c r="M81" s="114">
        <v>0.01</v>
      </c>
      <c r="N81" s="112"/>
      <c r="O81" s="112"/>
      <c r="P81" s="112"/>
      <c r="Q81" s="115" t="s">
        <v>368</v>
      </c>
      <c r="R81" s="115"/>
      <c r="S81" s="126"/>
      <c r="T81" s="126"/>
      <c r="U81" s="126"/>
      <c r="V81" s="126"/>
      <c r="W81" s="126"/>
      <c r="X81" s="126"/>
      <c r="Y81" s="126"/>
      <c r="Z81" s="126"/>
      <c r="AA81" s="126"/>
      <c r="AB81" s="126"/>
      <c r="AC81" s="799"/>
      <c r="AD81" s="116"/>
      <c r="AE81" s="801"/>
      <c r="AF81" s="808"/>
      <c r="AG81" s="811"/>
      <c r="AH81" s="117"/>
      <c r="AI81" s="118"/>
      <c r="AJ81" s="814"/>
      <c r="AK81" s="119"/>
      <c r="AL81" s="120"/>
      <c r="AM81" s="121">
        <f t="shared" ref="AM81:AW81" si="94">IF(ISERROR(LOOKUP(AM$6,$S81:$AB81,$S$9:$AB$9)),0,(LOOKUP(AM$6,$S81:$AB81,$S$9:$AB$9)))</f>
        <v>0</v>
      </c>
      <c r="AN81" s="122">
        <f t="shared" si="94"/>
        <v>0</v>
      </c>
      <c r="AO81" s="122">
        <f t="shared" si="94"/>
        <v>0</v>
      </c>
      <c r="AP81" s="122">
        <f t="shared" si="94"/>
        <v>0</v>
      </c>
      <c r="AQ81" s="122">
        <f t="shared" si="94"/>
        <v>0</v>
      </c>
      <c r="AR81" s="122">
        <f t="shared" si="94"/>
        <v>0</v>
      </c>
      <c r="AS81" s="122">
        <f t="shared" si="94"/>
        <v>0</v>
      </c>
      <c r="AT81" s="122">
        <f t="shared" si="94"/>
        <v>0</v>
      </c>
      <c r="AU81" s="122">
        <f t="shared" si="94"/>
        <v>0</v>
      </c>
      <c r="AV81" s="122">
        <f t="shared" si="94"/>
        <v>0</v>
      </c>
      <c r="AW81" s="122">
        <f t="shared" ca="1" si="94"/>
        <v>0</v>
      </c>
      <c r="BB81" s="94" t="e">
        <v>#REF!</v>
      </c>
    </row>
    <row r="82" spans="1:54" s="20" customFormat="1" ht="18" customHeight="1">
      <c r="A82" s="782">
        <f>A79+1</f>
        <v>25</v>
      </c>
      <c r="B82" s="79"/>
      <c r="C82" s="791" t="s">
        <v>5361</v>
      </c>
      <c r="D82" s="80" t="s">
        <v>5392</v>
      </c>
      <c r="E82" s="81" t="s">
        <v>5272</v>
      </c>
      <c r="F82" s="82" t="str">
        <f>IF(_xlfn.XLOOKUP(E82,'[38]Before Award'!D:D,'[38]Before Award'!AV:AV,"N/A")="N/A","N","Y")</f>
        <v>N</v>
      </c>
      <c r="G82" s="794" t="s">
        <v>5396</v>
      </c>
      <c r="H82" s="82" t="s">
        <v>153</v>
      </c>
      <c r="I82" s="81" t="s">
        <v>7</v>
      </c>
      <c r="J82" s="82"/>
      <c r="K82" s="84">
        <f>M84</f>
        <v>0.01</v>
      </c>
      <c r="L82" s="84"/>
      <c r="M82" s="84"/>
      <c r="N82" s="81"/>
      <c r="O82" s="81"/>
      <c r="P82" s="81"/>
      <c r="Q82" s="85" t="s">
        <v>5364</v>
      </c>
      <c r="R82" s="86">
        <f>'Before Award'!U89+5</f>
        <v>46263</v>
      </c>
      <c r="S82" s="86" t="e">
        <f>WORKDAY(R82,INDEX(S$2:S$5,MATCH($I82,$I$2:$I$5,0)),$BB$10:$BB$141)</f>
        <v>#REF!</v>
      </c>
      <c r="T82" s="86" t="e">
        <f>WORKDAY(S82,INDEX(T$2:T$5,MATCH($I82,$I$2:$I$5,0)),$BB$10:$BB$141)</f>
        <v>#REF!</v>
      </c>
      <c r="U82" s="86" t="e">
        <f>T82+30</f>
        <v>#REF!</v>
      </c>
      <c r="V82" s="86"/>
      <c r="W82" s="86">
        <f>AB82-35</f>
        <v>46503</v>
      </c>
      <c r="X82" s="86"/>
      <c r="Y82" s="86"/>
      <c r="Z82" s="86"/>
      <c r="AA82" s="86"/>
      <c r="AB82" s="86">
        <f>'Before Award'!X89</f>
        <v>46538</v>
      </c>
      <c r="AC82" s="797" t="s">
        <v>5365</v>
      </c>
      <c r="AD82" s="87">
        <v>7</v>
      </c>
      <c r="AE82" s="801">
        <v>280</v>
      </c>
      <c r="AF82" s="806" t="e">
        <f>AB83</f>
        <v>#REF!</v>
      </c>
      <c r="AG82" s="809">
        <f>WORKDAY(AH82+1,-1,$BA$10:$BA$141)</f>
        <v>46538</v>
      </c>
      <c r="AH82" s="88">
        <v>46538</v>
      </c>
      <c r="AI82" s="89"/>
      <c r="AJ82" s="812" t="e">
        <f>AG82-AF82</f>
        <v>#REF!</v>
      </c>
      <c r="AK82" s="90"/>
      <c r="AL82" s="91"/>
      <c r="AM82" s="92">
        <f t="shared" ref="AM82:AW82" si="95">IF(ISERROR(LOOKUP(AM$6,$S82:$AB82,$S$9:$AB$9)),0,(LOOKUP(AM$6,$S82:$AB82,$S$9:$AB$9)))</f>
        <v>0</v>
      </c>
      <c r="AN82" s="93">
        <f t="shared" si="95"/>
        <v>0</v>
      </c>
      <c r="AO82" s="93">
        <f t="shared" si="95"/>
        <v>0</v>
      </c>
      <c r="AP82" s="93">
        <f t="shared" si="95"/>
        <v>0</v>
      </c>
      <c r="AQ82" s="93">
        <f t="shared" si="95"/>
        <v>0</v>
      </c>
      <c r="AR82" s="93">
        <f t="shared" si="95"/>
        <v>0</v>
      </c>
      <c r="AS82" s="93">
        <f t="shared" si="95"/>
        <v>0</v>
      </c>
      <c r="AT82" s="93">
        <f t="shared" si="95"/>
        <v>0</v>
      </c>
      <c r="AU82" s="93">
        <f t="shared" si="95"/>
        <v>0</v>
      </c>
      <c r="AV82" s="93">
        <f t="shared" si="95"/>
        <v>0</v>
      </c>
      <c r="AW82" s="93">
        <f t="shared" ca="1" si="95"/>
        <v>0</v>
      </c>
      <c r="BB82" s="94" t="e">
        <v>#REF!</v>
      </c>
    </row>
    <row r="83" spans="1:54" s="20" customFormat="1" ht="18" customHeight="1">
      <c r="A83" s="783"/>
      <c r="B83" s="95"/>
      <c r="C83" s="792"/>
      <c r="D83" s="96" t="str">
        <f>D82</f>
        <v>INS</v>
      </c>
      <c r="E83" s="97" t="str">
        <f>E82</f>
        <v>RFQ-025</v>
      </c>
      <c r="F83" s="98" t="str">
        <f>F82</f>
        <v>N</v>
      </c>
      <c r="G83" s="795"/>
      <c r="H83" s="98" t="str">
        <f>H82</f>
        <v>Actuated Compact Ball Valve</v>
      </c>
      <c r="I83" s="97" t="str">
        <f>I82</f>
        <v>LB</v>
      </c>
      <c r="J83" s="98"/>
      <c r="K83" s="100"/>
      <c r="L83" s="100">
        <f>M84</f>
        <v>0.01</v>
      </c>
      <c r="M83" s="100"/>
      <c r="N83" s="97"/>
      <c r="O83" s="97"/>
      <c r="P83" s="97"/>
      <c r="Q83" s="101" t="s">
        <v>5366</v>
      </c>
      <c r="R83" s="101"/>
      <c r="S83" s="102" t="e">
        <f>S82</f>
        <v>#REF!</v>
      </c>
      <c r="T83" s="103" t="e">
        <f>T82</f>
        <v>#REF!</v>
      </c>
      <c r="U83" s="103" t="e">
        <f t="shared" ref="U83:Z83" si="96">WORKDAY(IF(T84="",T83,T84),INDEX(U$2:U$5,MATCH($I82,$I$2:$I$5,0)),$BB$10:$BB$141)</f>
        <v>#REF!</v>
      </c>
      <c r="V83" s="103" t="e">
        <f t="shared" si="96"/>
        <v>#REF!</v>
      </c>
      <c r="W83" s="103" t="e">
        <f t="shared" si="96"/>
        <v>#REF!</v>
      </c>
      <c r="X83" s="103" t="e">
        <f t="shared" si="96"/>
        <v>#REF!</v>
      </c>
      <c r="Y83" s="103" t="e">
        <f t="shared" si="96"/>
        <v>#REF!</v>
      </c>
      <c r="Z83" s="103" t="e">
        <f t="shared" si="96"/>
        <v>#REF!</v>
      </c>
      <c r="AA83" s="103" t="e">
        <f>WORKDAY(IF(Z84="",X83,Z84),INDEX(AA$2:AA$5,MATCH($I82,$I$2:$I$5,0)),$BB$10:$BB$141)</f>
        <v>#REF!</v>
      </c>
      <c r="AB83" s="104" t="e">
        <f>WORKDAY(AE82+#REF!,0,'[38]Equipment List and MR List (3)'!$A$2:$A$80)</f>
        <v>#REF!</v>
      </c>
      <c r="AC83" s="798"/>
      <c r="AD83" s="105"/>
      <c r="AE83" s="801"/>
      <c r="AF83" s="807"/>
      <c r="AG83" s="810"/>
      <c r="AH83" s="106"/>
      <c r="AI83" s="107"/>
      <c r="AJ83" s="813"/>
      <c r="AK83" s="108"/>
      <c r="AL83" s="109"/>
      <c r="AM83" s="92">
        <f t="shared" ref="AM83:AW83" si="97">IF(ISERROR(LOOKUP(AM$6,$S83:$AB83,$S$9:$AB$9)),0,(LOOKUP(AM$6,$S83:$AB83,$S$9:$AB$9)))</f>
        <v>0</v>
      </c>
      <c r="AN83" s="93">
        <f t="shared" si="97"/>
        <v>0</v>
      </c>
      <c r="AO83" s="93">
        <f t="shared" si="97"/>
        <v>0</v>
      </c>
      <c r="AP83" s="93">
        <f t="shared" si="97"/>
        <v>0</v>
      </c>
      <c r="AQ83" s="93">
        <f t="shared" si="97"/>
        <v>0</v>
      </c>
      <c r="AR83" s="93">
        <f t="shared" si="97"/>
        <v>0</v>
      </c>
      <c r="AS83" s="93">
        <f t="shared" si="97"/>
        <v>0</v>
      </c>
      <c r="AT83" s="93">
        <f t="shared" si="97"/>
        <v>0</v>
      </c>
      <c r="AU83" s="93">
        <f t="shared" si="97"/>
        <v>0</v>
      </c>
      <c r="AV83" s="93">
        <f t="shared" si="97"/>
        <v>0</v>
      </c>
      <c r="AW83" s="93">
        <f t="shared" ca="1" si="97"/>
        <v>0</v>
      </c>
      <c r="BB83" s="94" t="e">
        <v>#REF!</v>
      </c>
    </row>
    <row r="84" spans="1:54" s="20" customFormat="1" ht="18" customHeight="1">
      <c r="A84" s="784"/>
      <c r="B84" s="110"/>
      <c r="C84" s="793"/>
      <c r="D84" s="111" t="str">
        <f>D82</f>
        <v>INS</v>
      </c>
      <c r="E84" s="112" t="str">
        <f>E82</f>
        <v>RFQ-025</v>
      </c>
      <c r="F84" s="113" t="str">
        <f>F82</f>
        <v>N</v>
      </c>
      <c r="G84" s="796"/>
      <c r="H84" s="113" t="str">
        <f>H82</f>
        <v>Actuated Compact Ball Valve</v>
      </c>
      <c r="I84" s="112" t="str">
        <f>I82</f>
        <v>LB</v>
      </c>
      <c r="J84" s="113"/>
      <c r="K84" s="114"/>
      <c r="L84" s="114"/>
      <c r="M84" s="114">
        <v>0.01</v>
      </c>
      <c r="N84" s="112"/>
      <c r="O84" s="112"/>
      <c r="P84" s="112"/>
      <c r="Q84" s="115" t="s">
        <v>368</v>
      </c>
      <c r="R84" s="115"/>
      <c r="S84" s="126"/>
      <c r="T84" s="126"/>
      <c r="U84" s="126"/>
      <c r="V84" s="126"/>
      <c r="W84" s="126"/>
      <c r="X84" s="126"/>
      <c r="Y84" s="126"/>
      <c r="Z84" s="126"/>
      <c r="AA84" s="126"/>
      <c r="AB84" s="126"/>
      <c r="AC84" s="799"/>
      <c r="AD84" s="116"/>
      <c r="AE84" s="801"/>
      <c r="AF84" s="808"/>
      <c r="AG84" s="811"/>
      <c r="AH84" s="117"/>
      <c r="AI84" s="118"/>
      <c r="AJ84" s="814"/>
      <c r="AK84" s="119"/>
      <c r="AL84" s="120"/>
      <c r="AM84" s="121">
        <f t="shared" ref="AM84:AW84" si="98">IF(ISERROR(LOOKUP(AM$6,$S84:$AB84,$S$9:$AB$9)),0,(LOOKUP(AM$6,$S84:$AB84,$S$9:$AB$9)))</f>
        <v>0</v>
      </c>
      <c r="AN84" s="122">
        <f t="shared" si="98"/>
        <v>0</v>
      </c>
      <c r="AO84" s="122">
        <f t="shared" si="98"/>
        <v>0</v>
      </c>
      <c r="AP84" s="122">
        <f t="shared" si="98"/>
        <v>0</v>
      </c>
      <c r="AQ84" s="122">
        <f t="shared" si="98"/>
        <v>0</v>
      </c>
      <c r="AR84" s="122">
        <f t="shared" si="98"/>
        <v>0</v>
      </c>
      <c r="AS84" s="122">
        <f t="shared" si="98"/>
        <v>0</v>
      </c>
      <c r="AT84" s="122">
        <f t="shared" si="98"/>
        <v>0</v>
      </c>
      <c r="AU84" s="122">
        <f t="shared" si="98"/>
        <v>0</v>
      </c>
      <c r="AV84" s="122">
        <f t="shared" si="98"/>
        <v>0</v>
      </c>
      <c r="AW84" s="122">
        <f t="shared" ca="1" si="98"/>
        <v>0</v>
      </c>
      <c r="BB84" s="94" t="e">
        <v>#REF!</v>
      </c>
    </row>
    <row r="85" spans="1:54" s="20" customFormat="1" ht="18" customHeight="1">
      <c r="A85" s="782">
        <f>A82+1</f>
        <v>26</v>
      </c>
      <c r="B85" s="79"/>
      <c r="C85" s="791" t="s">
        <v>5361</v>
      </c>
      <c r="D85" s="80" t="s">
        <v>5392</v>
      </c>
      <c r="E85" s="81" t="s">
        <v>5273</v>
      </c>
      <c r="F85" s="82" t="s">
        <v>73</v>
      </c>
      <c r="G85" s="794" t="s">
        <v>5397</v>
      </c>
      <c r="H85" s="82" t="s">
        <v>155</v>
      </c>
      <c r="I85" s="81" t="s">
        <v>7</v>
      </c>
      <c r="J85" s="82"/>
      <c r="K85" s="84">
        <f>M87</f>
        <v>0.02</v>
      </c>
      <c r="L85" s="84"/>
      <c r="M85" s="84"/>
      <c r="N85" s="81"/>
      <c r="O85" s="81"/>
      <c r="P85" s="81"/>
      <c r="Q85" s="85" t="s">
        <v>5364</v>
      </c>
      <c r="R85" s="86">
        <f>'Before Award'!U92+5</f>
        <v>46361</v>
      </c>
      <c r="S85" s="86" t="e">
        <f>WORKDAY(R85,INDEX(S$2:S$5,MATCH($I85,$I$2:$I$5,0)),$BB$10:$BB$141)</f>
        <v>#REF!</v>
      </c>
      <c r="T85" s="86" t="e">
        <f>WORKDAY(S85,INDEX(T$2:T$5,MATCH($I85,$I$2:$I$5,0)),$BB$10:$BB$141)</f>
        <v>#REF!</v>
      </c>
      <c r="U85" s="86" t="e">
        <f>T85+30</f>
        <v>#REF!</v>
      </c>
      <c r="V85" s="86"/>
      <c r="W85" s="86">
        <f>AB85-35</f>
        <v>46503</v>
      </c>
      <c r="X85" s="86"/>
      <c r="Y85" s="86"/>
      <c r="Z85" s="86"/>
      <c r="AA85" s="86"/>
      <c r="AB85" s="86">
        <f>'Before Award'!X92</f>
        <v>46538</v>
      </c>
      <c r="AC85" s="797" t="s">
        <v>5365</v>
      </c>
      <c r="AD85" s="87">
        <v>7</v>
      </c>
      <c r="AE85" s="801">
        <v>184</v>
      </c>
      <c r="AF85" s="806" t="e">
        <f>AB86</f>
        <v>#REF!</v>
      </c>
      <c r="AG85" s="809">
        <f>WORKDAY(AH85+1,-1,$BA$10:$BA$141)</f>
        <v>46538</v>
      </c>
      <c r="AH85" s="88">
        <v>46538</v>
      </c>
      <c r="AI85" s="89"/>
      <c r="AJ85" s="812" t="e">
        <f>AG85-AF85</f>
        <v>#REF!</v>
      </c>
      <c r="AK85" s="90"/>
      <c r="AL85" s="91"/>
      <c r="AM85" s="92">
        <f t="shared" ref="AM85:AW85" si="99">IF(ISERROR(LOOKUP(AM$6,$S85:$AB85,$S$9:$AB$9)),0,(LOOKUP(AM$6,$S85:$AB85,$S$9:$AB$9)))</f>
        <v>0</v>
      </c>
      <c r="AN85" s="93">
        <f t="shared" si="99"/>
        <v>0</v>
      </c>
      <c r="AO85" s="93">
        <f t="shared" si="99"/>
        <v>0</v>
      </c>
      <c r="AP85" s="93">
        <f t="shared" si="99"/>
        <v>0</v>
      </c>
      <c r="AQ85" s="93">
        <f t="shared" si="99"/>
        <v>0</v>
      </c>
      <c r="AR85" s="93">
        <f t="shared" si="99"/>
        <v>0</v>
      </c>
      <c r="AS85" s="93">
        <f t="shared" si="99"/>
        <v>0</v>
      </c>
      <c r="AT85" s="93">
        <f t="shared" si="99"/>
        <v>0</v>
      </c>
      <c r="AU85" s="93">
        <f t="shared" si="99"/>
        <v>0</v>
      </c>
      <c r="AV85" s="93">
        <f t="shared" si="99"/>
        <v>0</v>
      </c>
      <c r="AW85" s="93">
        <f t="shared" ca="1" si="99"/>
        <v>0</v>
      </c>
      <c r="BB85" s="94" t="e">
        <v>#REF!</v>
      </c>
    </row>
    <row r="86" spans="1:54" s="20" customFormat="1" ht="18" customHeight="1">
      <c r="A86" s="783"/>
      <c r="B86" s="95"/>
      <c r="C86" s="792"/>
      <c r="D86" s="96" t="str">
        <f>D85</f>
        <v>INS</v>
      </c>
      <c r="E86" s="97" t="str">
        <f>E85</f>
        <v>RFQ-026</v>
      </c>
      <c r="F86" s="98" t="str">
        <f>F85</f>
        <v>N</v>
      </c>
      <c r="G86" s="795"/>
      <c r="H86" s="98" t="str">
        <f>H85</f>
        <v>Safety Relief Valves</v>
      </c>
      <c r="I86" s="97" t="str">
        <f>I85</f>
        <v>LB</v>
      </c>
      <c r="J86" s="98"/>
      <c r="K86" s="100"/>
      <c r="L86" s="100">
        <f>M87</f>
        <v>0.02</v>
      </c>
      <c r="M86" s="100"/>
      <c r="N86" s="97"/>
      <c r="O86" s="97"/>
      <c r="P86" s="97"/>
      <c r="Q86" s="101" t="s">
        <v>5366</v>
      </c>
      <c r="R86" s="101"/>
      <c r="S86" s="102" t="e">
        <f>S85</f>
        <v>#REF!</v>
      </c>
      <c r="T86" s="103" t="e">
        <f>T85</f>
        <v>#REF!</v>
      </c>
      <c r="U86" s="103" t="e">
        <f t="shared" ref="U86:Z86" si="100">WORKDAY(IF(T87="",T86,T87),INDEX(U$2:U$5,MATCH($I85,$I$2:$I$5,0)),$BB$10:$BB$141)</f>
        <v>#REF!</v>
      </c>
      <c r="V86" s="103" t="e">
        <f t="shared" si="100"/>
        <v>#REF!</v>
      </c>
      <c r="W86" s="103" t="e">
        <f t="shared" si="100"/>
        <v>#REF!</v>
      </c>
      <c r="X86" s="103" t="e">
        <f t="shared" si="100"/>
        <v>#REF!</v>
      </c>
      <c r="Y86" s="103" t="e">
        <f t="shared" si="100"/>
        <v>#REF!</v>
      </c>
      <c r="Z86" s="103" t="e">
        <f t="shared" si="100"/>
        <v>#REF!</v>
      </c>
      <c r="AA86" s="103" t="e">
        <f>WORKDAY(IF(Z87="",X86,Z87),INDEX(AA$2:AA$5,MATCH($I85,$I$2:$I$5,0)),$BB$10:$BB$141)</f>
        <v>#REF!</v>
      </c>
      <c r="AB86" s="104" t="e">
        <f>WORKDAY(AE85+#REF!,0,'[38]Equipment List and MR List (3)'!$A$2:$A$80)</f>
        <v>#REF!</v>
      </c>
      <c r="AC86" s="798"/>
      <c r="AD86" s="105"/>
      <c r="AE86" s="801"/>
      <c r="AF86" s="807"/>
      <c r="AG86" s="810"/>
      <c r="AH86" s="106"/>
      <c r="AI86" s="107"/>
      <c r="AJ86" s="813"/>
      <c r="AK86" s="108"/>
      <c r="AL86" s="109"/>
      <c r="AM86" s="92">
        <f t="shared" ref="AM86:AW86" si="101">IF(ISERROR(LOOKUP(AM$6,$S86:$AB86,$S$9:$AB$9)),0,(LOOKUP(AM$6,$S86:$AB86,$S$9:$AB$9)))</f>
        <v>0</v>
      </c>
      <c r="AN86" s="93">
        <f t="shared" si="101"/>
        <v>0</v>
      </c>
      <c r="AO86" s="93">
        <f t="shared" si="101"/>
        <v>0</v>
      </c>
      <c r="AP86" s="93">
        <f t="shared" si="101"/>
        <v>0</v>
      </c>
      <c r="AQ86" s="93">
        <f t="shared" si="101"/>
        <v>0</v>
      </c>
      <c r="AR86" s="93">
        <f t="shared" si="101"/>
        <v>0</v>
      </c>
      <c r="AS86" s="93">
        <f t="shared" si="101"/>
        <v>0</v>
      </c>
      <c r="AT86" s="93">
        <f t="shared" si="101"/>
        <v>0</v>
      </c>
      <c r="AU86" s="93">
        <f t="shared" si="101"/>
        <v>0</v>
      </c>
      <c r="AV86" s="93">
        <f t="shared" si="101"/>
        <v>0</v>
      </c>
      <c r="AW86" s="93">
        <f t="shared" ca="1" si="101"/>
        <v>0</v>
      </c>
      <c r="BB86" s="94" t="e">
        <v>#REF!</v>
      </c>
    </row>
    <row r="87" spans="1:54" s="20" customFormat="1" ht="18" customHeight="1">
      <c r="A87" s="784"/>
      <c r="B87" s="110"/>
      <c r="C87" s="793"/>
      <c r="D87" s="111" t="str">
        <f>D85</f>
        <v>INS</v>
      </c>
      <c r="E87" s="112" t="str">
        <f>E85</f>
        <v>RFQ-026</v>
      </c>
      <c r="F87" s="113" t="str">
        <f>F85</f>
        <v>N</v>
      </c>
      <c r="G87" s="796"/>
      <c r="H87" s="113" t="str">
        <f>H85</f>
        <v>Safety Relief Valves</v>
      </c>
      <c r="I87" s="112" t="str">
        <f>I85</f>
        <v>LB</v>
      </c>
      <c r="J87" s="113"/>
      <c r="K87" s="114"/>
      <c r="L87" s="114"/>
      <c r="M87" s="114">
        <v>0.02</v>
      </c>
      <c r="N87" s="112"/>
      <c r="O87" s="112"/>
      <c r="P87" s="112"/>
      <c r="Q87" s="115" t="s">
        <v>368</v>
      </c>
      <c r="R87" s="115"/>
      <c r="S87" s="126"/>
      <c r="T87" s="126"/>
      <c r="U87" s="126"/>
      <c r="V87" s="126"/>
      <c r="W87" s="126"/>
      <c r="X87" s="126"/>
      <c r="Y87" s="126"/>
      <c r="Z87" s="126"/>
      <c r="AA87" s="126"/>
      <c r="AB87" s="126"/>
      <c r="AC87" s="799"/>
      <c r="AD87" s="116"/>
      <c r="AE87" s="801"/>
      <c r="AF87" s="808"/>
      <c r="AG87" s="811"/>
      <c r="AH87" s="117"/>
      <c r="AI87" s="118"/>
      <c r="AJ87" s="814"/>
      <c r="AK87" s="119"/>
      <c r="AL87" s="120"/>
      <c r="AM87" s="121">
        <f t="shared" ref="AM87:AW87" si="102">IF(ISERROR(LOOKUP(AM$6,$S87:$AB87,$S$9:$AB$9)),0,(LOOKUP(AM$6,$S87:$AB87,$S$9:$AB$9)))</f>
        <v>0</v>
      </c>
      <c r="AN87" s="122">
        <f t="shared" si="102"/>
        <v>0</v>
      </c>
      <c r="AO87" s="122">
        <f t="shared" si="102"/>
        <v>0</v>
      </c>
      <c r="AP87" s="122">
        <f t="shared" si="102"/>
        <v>0</v>
      </c>
      <c r="AQ87" s="122">
        <f t="shared" si="102"/>
        <v>0</v>
      </c>
      <c r="AR87" s="122">
        <f t="shared" si="102"/>
        <v>0</v>
      </c>
      <c r="AS87" s="122">
        <f t="shared" si="102"/>
        <v>0</v>
      </c>
      <c r="AT87" s="122">
        <f t="shared" si="102"/>
        <v>0</v>
      </c>
      <c r="AU87" s="122">
        <f t="shared" si="102"/>
        <v>0</v>
      </c>
      <c r="AV87" s="122">
        <f t="shared" si="102"/>
        <v>0</v>
      </c>
      <c r="AW87" s="122">
        <f t="shared" ca="1" si="102"/>
        <v>0</v>
      </c>
      <c r="BB87" s="94" t="e">
        <v>#REF!</v>
      </c>
    </row>
    <row r="88" spans="1:54" s="20" customFormat="1" ht="18" customHeight="1">
      <c r="A88" s="782">
        <f>A85+1</f>
        <v>27</v>
      </c>
      <c r="B88" s="79"/>
      <c r="C88" s="791" t="s">
        <v>5361</v>
      </c>
      <c r="D88" s="80" t="s">
        <v>5392</v>
      </c>
      <c r="E88" s="81" t="s">
        <v>5274</v>
      </c>
      <c r="F88" s="82" t="s">
        <v>73</v>
      </c>
      <c r="G88" s="794" t="s">
        <v>5398</v>
      </c>
      <c r="H88" s="82" t="s">
        <v>159</v>
      </c>
      <c r="I88" s="81" t="s">
        <v>8</v>
      </c>
      <c r="J88" s="82"/>
      <c r="K88" s="84">
        <f>M90</f>
        <v>0.04</v>
      </c>
      <c r="L88" s="84"/>
      <c r="M88" s="84"/>
      <c r="N88" s="81"/>
      <c r="O88" s="81"/>
      <c r="P88" s="81"/>
      <c r="Q88" s="85" t="s">
        <v>5364</v>
      </c>
      <c r="R88" s="86">
        <f>'Before Award'!U95+5</f>
        <v>46398</v>
      </c>
      <c r="S88" s="86" t="e">
        <f>WORKDAY(R88,INDEX(S$2:S$5,MATCH($I88,$I$2:$I$5,0)),$BB$10:$BB$141)</f>
        <v>#REF!</v>
      </c>
      <c r="T88" s="86" t="e">
        <f>WORKDAY(S88,INDEX(T$2:T$5,MATCH($I88,$I$2:$I$5,0)),$BB$10:$BB$141)</f>
        <v>#REF!</v>
      </c>
      <c r="U88" s="86" t="e">
        <f>T88+30</f>
        <v>#REF!</v>
      </c>
      <c r="V88" s="86"/>
      <c r="W88" s="86">
        <f>AB88-35</f>
        <v>46503</v>
      </c>
      <c r="X88" s="86"/>
      <c r="Y88" s="86"/>
      <c r="Z88" s="86"/>
      <c r="AA88" s="86"/>
      <c r="AB88" s="86">
        <f>'Before Award'!X95</f>
        <v>46538</v>
      </c>
      <c r="AC88" s="797" t="s">
        <v>5365</v>
      </c>
      <c r="AD88" s="87">
        <v>7</v>
      </c>
      <c r="AE88" s="801">
        <v>145</v>
      </c>
      <c r="AF88" s="806" t="e">
        <f>AB89</f>
        <v>#REF!</v>
      </c>
      <c r="AG88" s="809">
        <f>WORKDAY(AH88+1,-1,$BA$10:$BA$141)</f>
        <v>46538</v>
      </c>
      <c r="AH88" s="88">
        <v>46538</v>
      </c>
      <c r="AI88" s="89"/>
      <c r="AJ88" s="812" t="e">
        <f>AG88-AF88</f>
        <v>#REF!</v>
      </c>
      <c r="AK88" s="90"/>
      <c r="AL88" s="91"/>
      <c r="AM88" s="92">
        <f t="shared" ref="AM88:AW88" si="103">IF(ISERROR(LOOKUP(AM$6,$S88:$AB88,$S$9:$AB$9)),0,(LOOKUP(AM$6,$S88:$AB88,$S$9:$AB$9)))</f>
        <v>0</v>
      </c>
      <c r="AN88" s="93">
        <f t="shared" si="103"/>
        <v>0</v>
      </c>
      <c r="AO88" s="93">
        <f t="shared" si="103"/>
        <v>0</v>
      </c>
      <c r="AP88" s="93">
        <f t="shared" si="103"/>
        <v>0</v>
      </c>
      <c r="AQ88" s="93">
        <f t="shared" si="103"/>
        <v>0</v>
      </c>
      <c r="AR88" s="93">
        <f t="shared" si="103"/>
        <v>0</v>
      </c>
      <c r="AS88" s="93">
        <f t="shared" si="103"/>
        <v>0</v>
      </c>
      <c r="AT88" s="93">
        <f t="shared" si="103"/>
        <v>0</v>
      </c>
      <c r="AU88" s="93">
        <f t="shared" si="103"/>
        <v>0</v>
      </c>
      <c r="AV88" s="93">
        <f t="shared" si="103"/>
        <v>0</v>
      </c>
      <c r="AW88" s="93">
        <f t="shared" ca="1" si="103"/>
        <v>0</v>
      </c>
      <c r="BB88" s="94" t="e">
        <v>#REF!</v>
      </c>
    </row>
    <row r="89" spans="1:54" s="20" customFormat="1" ht="18" customHeight="1">
      <c r="A89" s="783"/>
      <c r="B89" s="79"/>
      <c r="C89" s="792"/>
      <c r="D89" s="96" t="str">
        <f>D88</f>
        <v>INS</v>
      </c>
      <c r="E89" s="97" t="str">
        <f>E88</f>
        <v>RFQ-027</v>
      </c>
      <c r="F89" s="98" t="str">
        <f>F88</f>
        <v>N</v>
      </c>
      <c r="G89" s="795"/>
      <c r="H89" s="98" t="str">
        <f>H88</f>
        <v>Coriolis Flow Meters</v>
      </c>
      <c r="I89" s="97" t="str">
        <f>I88</f>
        <v>LC</v>
      </c>
      <c r="J89" s="98"/>
      <c r="K89" s="100"/>
      <c r="L89" s="100">
        <f>M90</f>
        <v>0.04</v>
      </c>
      <c r="M89" s="100"/>
      <c r="N89" s="97"/>
      <c r="O89" s="97"/>
      <c r="P89" s="97"/>
      <c r="Q89" s="101" t="s">
        <v>5366</v>
      </c>
      <c r="R89" s="101"/>
      <c r="S89" s="102" t="e">
        <f>S88</f>
        <v>#REF!</v>
      </c>
      <c r="T89" s="103" t="e">
        <f>T88</f>
        <v>#REF!</v>
      </c>
      <c r="U89" s="103" t="e">
        <f t="shared" ref="U89:Z89" si="104">WORKDAY(IF(T90="",T89,T90),INDEX(U$2:U$5,MATCH($I88,$I$2:$I$5,0)),$BB$10:$BB$141)</f>
        <v>#REF!</v>
      </c>
      <c r="V89" s="103" t="e">
        <f t="shared" si="104"/>
        <v>#REF!</v>
      </c>
      <c r="W89" s="103" t="e">
        <f t="shared" si="104"/>
        <v>#REF!</v>
      </c>
      <c r="X89" s="103" t="e">
        <f t="shared" si="104"/>
        <v>#REF!</v>
      </c>
      <c r="Y89" s="103" t="e">
        <f t="shared" si="104"/>
        <v>#REF!</v>
      </c>
      <c r="Z89" s="103" t="e">
        <f t="shared" si="104"/>
        <v>#REF!</v>
      </c>
      <c r="AA89" s="103" t="e">
        <f>WORKDAY(IF(Z90="",X89,Z90),INDEX(AA$2:AA$5,MATCH($I88,$I$2:$I$5,0)),$BB$10:$BB$141)</f>
        <v>#REF!</v>
      </c>
      <c r="AB89" s="104" t="e">
        <f>WORKDAY(AE88+#REF!,0,'[38]Equipment List and MR List (3)'!$A$2:$A$80)</f>
        <v>#REF!</v>
      </c>
      <c r="AC89" s="798"/>
      <c r="AD89" s="105"/>
      <c r="AE89" s="801"/>
      <c r="AF89" s="807"/>
      <c r="AG89" s="810"/>
      <c r="AH89" s="106"/>
      <c r="AI89" s="107"/>
      <c r="AJ89" s="813"/>
      <c r="AK89" s="108"/>
      <c r="AL89" s="109"/>
      <c r="AM89" s="92">
        <f t="shared" ref="AM89:AW89" si="105">IF(ISERROR(LOOKUP(AM$6,$S89:$AB89,$S$9:$AB$9)),0,(LOOKUP(AM$6,$S89:$AB89,$S$9:$AB$9)))</f>
        <v>0</v>
      </c>
      <c r="AN89" s="93">
        <f t="shared" si="105"/>
        <v>0</v>
      </c>
      <c r="AO89" s="93">
        <f t="shared" si="105"/>
        <v>0</v>
      </c>
      <c r="AP89" s="93">
        <f t="shared" si="105"/>
        <v>0</v>
      </c>
      <c r="AQ89" s="93">
        <f t="shared" si="105"/>
        <v>0</v>
      </c>
      <c r="AR89" s="93">
        <f t="shared" si="105"/>
        <v>0</v>
      </c>
      <c r="AS89" s="93">
        <f t="shared" si="105"/>
        <v>0</v>
      </c>
      <c r="AT89" s="93">
        <f t="shared" si="105"/>
        <v>0</v>
      </c>
      <c r="AU89" s="93">
        <f t="shared" si="105"/>
        <v>0</v>
      </c>
      <c r="AV89" s="93">
        <f t="shared" si="105"/>
        <v>0</v>
      </c>
      <c r="AW89" s="93">
        <f t="shared" ca="1" si="105"/>
        <v>0</v>
      </c>
      <c r="BB89" s="94" t="e" cm="1">
        <f t="array" ref="BB89:BB167">'[38]Procurement progress '!$A$2:$A$80</f>
        <v>#REF!</v>
      </c>
    </row>
    <row r="90" spans="1:54" s="20" customFormat="1" ht="18" customHeight="1">
      <c r="A90" s="784"/>
      <c r="B90" s="79"/>
      <c r="C90" s="793"/>
      <c r="D90" s="111" t="str">
        <f>D88</f>
        <v>INS</v>
      </c>
      <c r="E90" s="112" t="str">
        <f>E88</f>
        <v>RFQ-027</v>
      </c>
      <c r="F90" s="113" t="str">
        <f>F88</f>
        <v>N</v>
      </c>
      <c r="G90" s="796"/>
      <c r="H90" s="113" t="str">
        <f>H88</f>
        <v>Coriolis Flow Meters</v>
      </c>
      <c r="I90" s="112" t="str">
        <f>I88</f>
        <v>LC</v>
      </c>
      <c r="J90" s="113"/>
      <c r="K90" s="114"/>
      <c r="L90" s="114"/>
      <c r="M90" s="114">
        <v>0.04</v>
      </c>
      <c r="N90" s="112"/>
      <c r="O90" s="112"/>
      <c r="P90" s="112"/>
      <c r="Q90" s="115" t="s">
        <v>368</v>
      </c>
      <c r="R90" s="115"/>
      <c r="S90" s="126"/>
      <c r="T90" s="126"/>
      <c r="U90" s="126"/>
      <c r="V90" s="126"/>
      <c r="W90" s="126"/>
      <c r="X90" s="126"/>
      <c r="Y90" s="126"/>
      <c r="Z90" s="126"/>
      <c r="AA90" s="126"/>
      <c r="AB90" s="126"/>
      <c r="AC90" s="799"/>
      <c r="AD90" s="116"/>
      <c r="AE90" s="801"/>
      <c r="AF90" s="808"/>
      <c r="AG90" s="811"/>
      <c r="AH90" s="117"/>
      <c r="AI90" s="118"/>
      <c r="AJ90" s="814"/>
      <c r="AK90" s="119"/>
      <c r="AL90" s="120"/>
      <c r="AM90" s="121">
        <f t="shared" ref="AM90:AW90" si="106">IF(ISERROR(LOOKUP(AM$6,$S90:$AB90,$S$9:$AB$9)),0,(LOOKUP(AM$6,$S90:$AB90,$S$9:$AB$9)))</f>
        <v>0</v>
      </c>
      <c r="AN90" s="122">
        <f t="shared" si="106"/>
        <v>0</v>
      </c>
      <c r="AO90" s="122">
        <f t="shared" si="106"/>
        <v>0</v>
      </c>
      <c r="AP90" s="122">
        <f t="shared" si="106"/>
        <v>0</v>
      </c>
      <c r="AQ90" s="122">
        <f t="shared" si="106"/>
        <v>0</v>
      </c>
      <c r="AR90" s="122">
        <f t="shared" si="106"/>
        <v>0</v>
      </c>
      <c r="AS90" s="122">
        <f t="shared" si="106"/>
        <v>0</v>
      </c>
      <c r="AT90" s="122">
        <f t="shared" si="106"/>
        <v>0</v>
      </c>
      <c r="AU90" s="122">
        <f t="shared" si="106"/>
        <v>0</v>
      </c>
      <c r="AV90" s="122">
        <f t="shared" si="106"/>
        <v>0</v>
      </c>
      <c r="AW90" s="122">
        <f t="shared" ca="1" si="106"/>
        <v>0</v>
      </c>
      <c r="BB90" s="94" t="e">
        <v>#REF!</v>
      </c>
    </row>
    <row r="91" spans="1:54" s="20" customFormat="1" ht="18" customHeight="1">
      <c r="A91" s="782">
        <f>A88+1</f>
        <v>28</v>
      </c>
      <c r="B91" s="788" t="s">
        <v>5399</v>
      </c>
      <c r="C91" s="791" t="s">
        <v>5361</v>
      </c>
      <c r="D91" s="80" t="s">
        <v>5392</v>
      </c>
      <c r="E91" s="81" t="s">
        <v>5275</v>
      </c>
      <c r="F91" s="82" t="s">
        <v>64</v>
      </c>
      <c r="G91" s="794" t="s">
        <v>5400</v>
      </c>
      <c r="H91" s="123" t="s">
        <v>5276</v>
      </c>
      <c r="I91" s="81" t="s">
        <v>7</v>
      </c>
      <c r="J91" s="82"/>
      <c r="K91" s="84">
        <f>M93</f>
        <v>0.03</v>
      </c>
      <c r="L91" s="84"/>
      <c r="M91" s="84"/>
      <c r="N91" s="81"/>
      <c r="O91" s="81"/>
      <c r="P91" s="81"/>
      <c r="Q91" s="85" t="s">
        <v>5364</v>
      </c>
      <c r="R91" s="86">
        <f>'Before Award'!U98+5</f>
        <v>46229</v>
      </c>
      <c r="S91" s="86" t="e">
        <f>WORKDAY(R91,INDEX(S$2:S$5,MATCH($I91,$I$2:$I$5,0)),$BB$10:$BB$141)</f>
        <v>#REF!</v>
      </c>
      <c r="T91" s="86" t="e">
        <f>WORKDAY(S91,INDEX(T$2:T$5,MATCH($I91,$I$2:$I$5,0)),$BB$10:$BB$141)</f>
        <v>#REF!</v>
      </c>
      <c r="U91" s="86" t="e">
        <f>T91+30</f>
        <v>#REF!</v>
      </c>
      <c r="V91" s="86"/>
      <c r="W91" s="86">
        <f>AB91-35</f>
        <v>46441</v>
      </c>
      <c r="X91" s="86"/>
      <c r="Y91" s="86"/>
      <c r="Z91" s="86"/>
      <c r="AA91" s="86"/>
      <c r="AB91" s="86">
        <f>'Before Award'!X98</f>
        <v>46476</v>
      </c>
      <c r="AC91" s="797" t="s">
        <v>5365</v>
      </c>
      <c r="AD91" s="87">
        <v>7</v>
      </c>
      <c r="AE91" s="800">
        <v>252</v>
      </c>
      <c r="AF91" s="806" t="e">
        <f>AB92</f>
        <v>#REF!</v>
      </c>
      <c r="AG91" s="809">
        <f>WORKDAY(AH91+1,-1,$BA$10:$BA$141)</f>
        <v>46416</v>
      </c>
      <c r="AH91" s="88">
        <v>46417</v>
      </c>
      <c r="AI91" s="89"/>
      <c r="AJ91" s="812" t="e">
        <f>AG91-AF91</f>
        <v>#REF!</v>
      </c>
      <c r="AK91" s="90"/>
      <c r="AL91" s="91"/>
      <c r="AM91" s="92">
        <f t="shared" ref="AM91:AW91" si="107">IF(ISERROR(LOOKUP(AM$6,$S91:$AB91,$S$9:$AB$9)),0,(LOOKUP(AM$6,$S91:$AB91,$S$9:$AB$9)))</f>
        <v>0</v>
      </c>
      <c r="AN91" s="93">
        <f t="shared" si="107"/>
        <v>0</v>
      </c>
      <c r="AO91" s="93">
        <f t="shared" si="107"/>
        <v>0</v>
      </c>
      <c r="AP91" s="93">
        <f t="shared" si="107"/>
        <v>0</v>
      </c>
      <c r="AQ91" s="93">
        <f t="shared" si="107"/>
        <v>0</v>
      </c>
      <c r="AR91" s="93">
        <f t="shared" si="107"/>
        <v>0</v>
      </c>
      <c r="AS91" s="93">
        <f t="shared" si="107"/>
        <v>0</v>
      </c>
      <c r="AT91" s="93">
        <f t="shared" si="107"/>
        <v>0</v>
      </c>
      <c r="AU91" s="93">
        <f t="shared" si="107"/>
        <v>0</v>
      </c>
      <c r="AV91" s="93">
        <f t="shared" si="107"/>
        <v>0</v>
      </c>
      <c r="AW91" s="93">
        <f t="shared" ca="1" si="107"/>
        <v>0</v>
      </c>
      <c r="BB91" s="94" t="e">
        <v>#REF!</v>
      </c>
    </row>
    <row r="92" spans="1:54" s="20" customFormat="1" ht="18" customHeight="1">
      <c r="A92" s="783"/>
      <c r="B92" s="789"/>
      <c r="C92" s="792"/>
      <c r="D92" s="96" t="str">
        <f>D91</f>
        <v>INS</v>
      </c>
      <c r="E92" s="97" t="str">
        <f>E91</f>
        <v>RFQ-028</v>
      </c>
      <c r="F92" s="98" t="str">
        <f>F91</f>
        <v>Y</v>
      </c>
      <c r="G92" s="795"/>
      <c r="H92" s="124" t="str">
        <f>H91</f>
        <v>Wellhead Control Panel (WHCP)</v>
      </c>
      <c r="I92" s="97" t="str">
        <f>I91</f>
        <v>LB</v>
      </c>
      <c r="J92" s="98"/>
      <c r="K92" s="100"/>
      <c r="L92" s="100">
        <f>M93</f>
        <v>0.03</v>
      </c>
      <c r="M92" s="100"/>
      <c r="N92" s="97"/>
      <c r="O92" s="97"/>
      <c r="P92" s="97"/>
      <c r="Q92" s="101" t="s">
        <v>5366</v>
      </c>
      <c r="R92" s="101"/>
      <c r="S92" s="102" t="e">
        <f>S91</f>
        <v>#REF!</v>
      </c>
      <c r="T92" s="103" t="e">
        <f>T91</f>
        <v>#REF!</v>
      </c>
      <c r="U92" s="103" t="e">
        <f t="shared" ref="U92:Z92" si="108">WORKDAY(IF(T93="",T92,T93),INDEX(U$2:U$5,MATCH($I91,$I$2:$I$5,0)),$BB$10:$BB$141)</f>
        <v>#REF!</v>
      </c>
      <c r="V92" s="103" t="e">
        <f t="shared" si="108"/>
        <v>#REF!</v>
      </c>
      <c r="W92" s="103" t="e">
        <f t="shared" si="108"/>
        <v>#REF!</v>
      </c>
      <c r="X92" s="103" t="e">
        <f t="shared" si="108"/>
        <v>#REF!</v>
      </c>
      <c r="Y92" s="103" t="e">
        <f t="shared" si="108"/>
        <v>#REF!</v>
      </c>
      <c r="Z92" s="103" t="e">
        <f t="shared" si="108"/>
        <v>#REF!</v>
      </c>
      <c r="AA92" s="103" t="e">
        <f>WORKDAY(IF(Z93="",X92,Z93),INDEX(AA$2:AA$5,MATCH($I91,$I$2:$I$5,0)),$BB$10:$BB$141)</f>
        <v>#REF!</v>
      </c>
      <c r="AB92" s="104" t="e">
        <f>WORKDAY(AE91+#REF!,0,'[38]Equipment List and MR List (3)'!$A$2:$A$80)</f>
        <v>#REF!</v>
      </c>
      <c r="AC92" s="798"/>
      <c r="AD92" s="105"/>
      <c r="AE92" s="800"/>
      <c r="AF92" s="807"/>
      <c r="AG92" s="810"/>
      <c r="AH92" s="106"/>
      <c r="AI92" s="107"/>
      <c r="AJ92" s="813"/>
      <c r="AK92" s="108"/>
      <c r="AL92" s="109"/>
      <c r="AM92" s="92">
        <f t="shared" ref="AM92:AW92" si="109">IF(ISERROR(LOOKUP(AM$6,$S92:$AB92,$S$9:$AB$9)),0,(LOOKUP(AM$6,$S92:$AB92,$S$9:$AB$9)))</f>
        <v>0</v>
      </c>
      <c r="AN92" s="93">
        <f t="shared" si="109"/>
        <v>0</v>
      </c>
      <c r="AO92" s="93">
        <f t="shared" si="109"/>
        <v>0</v>
      </c>
      <c r="AP92" s="93">
        <f t="shared" si="109"/>
        <v>0</v>
      </c>
      <c r="AQ92" s="93">
        <f t="shared" si="109"/>
        <v>0</v>
      </c>
      <c r="AR92" s="93">
        <f t="shared" si="109"/>
        <v>0</v>
      </c>
      <c r="AS92" s="93">
        <f t="shared" si="109"/>
        <v>0</v>
      </c>
      <c r="AT92" s="93">
        <f t="shared" si="109"/>
        <v>0</v>
      </c>
      <c r="AU92" s="93">
        <f t="shared" si="109"/>
        <v>0</v>
      </c>
      <c r="AV92" s="93">
        <f t="shared" si="109"/>
        <v>0</v>
      </c>
      <c r="AW92" s="93">
        <f t="shared" ca="1" si="109"/>
        <v>0</v>
      </c>
      <c r="BB92" s="94" t="e">
        <v>#REF!</v>
      </c>
    </row>
    <row r="93" spans="1:54" s="20" customFormat="1" ht="18" customHeight="1">
      <c r="A93" s="784"/>
      <c r="B93" s="790"/>
      <c r="C93" s="793"/>
      <c r="D93" s="111" t="str">
        <f>D91</f>
        <v>INS</v>
      </c>
      <c r="E93" s="112" t="str">
        <f>E91</f>
        <v>RFQ-028</v>
      </c>
      <c r="F93" s="113" t="str">
        <f>F91</f>
        <v>Y</v>
      </c>
      <c r="G93" s="796"/>
      <c r="H93" s="124" t="str">
        <f>H91</f>
        <v>Wellhead Control Panel (WHCP)</v>
      </c>
      <c r="I93" s="112" t="str">
        <f>I91</f>
        <v>LB</v>
      </c>
      <c r="J93" s="113"/>
      <c r="K93" s="114"/>
      <c r="L93" s="114"/>
      <c r="M93" s="114">
        <v>0.03</v>
      </c>
      <c r="N93" s="112"/>
      <c r="O93" s="112"/>
      <c r="P93" s="112"/>
      <c r="Q93" s="115" t="s">
        <v>368</v>
      </c>
      <c r="R93" s="115"/>
      <c r="S93" s="126"/>
      <c r="T93" s="126"/>
      <c r="U93" s="126"/>
      <c r="V93" s="126"/>
      <c r="W93" s="126"/>
      <c r="X93" s="126"/>
      <c r="Y93" s="126"/>
      <c r="Z93" s="126"/>
      <c r="AA93" s="126"/>
      <c r="AB93" s="126"/>
      <c r="AC93" s="799"/>
      <c r="AD93" s="116"/>
      <c r="AE93" s="800"/>
      <c r="AF93" s="808"/>
      <c r="AG93" s="811"/>
      <c r="AH93" s="117"/>
      <c r="AI93" s="118"/>
      <c r="AJ93" s="814"/>
      <c r="AK93" s="119"/>
      <c r="AL93" s="120"/>
      <c r="AM93" s="121">
        <f t="shared" ref="AM93:AW93" si="110">IF(ISERROR(LOOKUP(AM$6,$S93:$AB93,$S$9:$AB$9)),0,(LOOKUP(AM$6,$S93:$AB93,$S$9:$AB$9)))</f>
        <v>0</v>
      </c>
      <c r="AN93" s="122">
        <f t="shared" si="110"/>
        <v>0</v>
      </c>
      <c r="AO93" s="122">
        <f t="shared" si="110"/>
        <v>0</v>
      </c>
      <c r="AP93" s="122">
        <f t="shared" si="110"/>
        <v>0</v>
      </c>
      <c r="AQ93" s="122">
        <f t="shared" si="110"/>
        <v>0</v>
      </c>
      <c r="AR93" s="122">
        <f t="shared" si="110"/>
        <v>0</v>
      </c>
      <c r="AS93" s="122">
        <f t="shared" si="110"/>
        <v>0</v>
      </c>
      <c r="AT93" s="122">
        <f t="shared" si="110"/>
        <v>0</v>
      </c>
      <c r="AU93" s="122">
        <f t="shared" si="110"/>
        <v>0</v>
      </c>
      <c r="AV93" s="122">
        <f t="shared" si="110"/>
        <v>0</v>
      </c>
      <c r="AW93" s="122">
        <f t="shared" ca="1" si="110"/>
        <v>0</v>
      </c>
      <c r="BB93" s="94" t="e">
        <v>#REF!</v>
      </c>
    </row>
    <row r="94" spans="1:54" s="20" customFormat="1" ht="18" customHeight="1">
      <c r="A94" s="782">
        <f>A91+1</f>
        <v>29</v>
      </c>
      <c r="B94" s="79"/>
      <c r="C94" s="791" t="s">
        <v>5361</v>
      </c>
      <c r="D94" s="80" t="s">
        <v>5392</v>
      </c>
      <c r="E94" s="81" t="s">
        <v>5277</v>
      </c>
      <c r="F94" s="82" t="s">
        <v>73</v>
      </c>
      <c r="G94" s="794" t="s">
        <v>5401</v>
      </c>
      <c r="H94" s="82" t="s">
        <v>166</v>
      </c>
      <c r="I94" s="81" t="s">
        <v>8</v>
      </c>
      <c r="J94" s="82"/>
      <c r="K94" s="84">
        <f>M96</f>
        <v>3.4000000000000002E-2</v>
      </c>
      <c r="L94" s="84"/>
      <c r="M94" s="84"/>
      <c r="N94" s="81"/>
      <c r="O94" s="81"/>
      <c r="P94" s="81"/>
      <c r="Q94" s="85" t="s">
        <v>5364</v>
      </c>
      <c r="R94" s="86">
        <f>'Before Award'!U101+5</f>
        <v>46417</v>
      </c>
      <c r="S94" s="86" t="e">
        <f>WORKDAY(R94,INDEX(S$2:S$5,MATCH($I94,$I$2:$I$5,0)),$BB$10:$BB$141)</f>
        <v>#REF!</v>
      </c>
      <c r="T94" s="86" t="e">
        <f>WORKDAY(S94,INDEX(T$2:T$5,MATCH($I94,$I$2:$I$5,0)),$BB$10:$BB$141)</f>
        <v>#REF!</v>
      </c>
      <c r="U94" s="86" t="e">
        <f>T94+30</f>
        <v>#REF!</v>
      </c>
      <c r="V94" s="86"/>
      <c r="W94" s="86">
        <f>AB94-35</f>
        <v>46503</v>
      </c>
      <c r="X94" s="86"/>
      <c r="Y94" s="86"/>
      <c r="Z94" s="86"/>
      <c r="AA94" s="86"/>
      <c r="AB94" s="86">
        <f>'Before Award'!X101</f>
        <v>46538</v>
      </c>
      <c r="AC94" s="797" t="s">
        <v>5365</v>
      </c>
      <c r="AD94" s="87">
        <v>7</v>
      </c>
      <c r="AE94" s="801">
        <f>18*7</f>
        <v>126</v>
      </c>
      <c r="AF94" s="806" t="e">
        <f>AB95</f>
        <v>#REF!</v>
      </c>
      <c r="AG94" s="809">
        <f>WORKDAY(AH94+1,-1,$BA$10:$BA$141)</f>
        <v>46538</v>
      </c>
      <c r="AH94" s="88">
        <v>46538</v>
      </c>
      <c r="AI94" s="89"/>
      <c r="AJ94" s="812" t="e">
        <f>AG94-AF94</f>
        <v>#REF!</v>
      </c>
      <c r="AK94" s="90"/>
      <c r="AL94" s="91"/>
      <c r="AM94" s="92">
        <f t="shared" ref="AM94:AW94" si="111">IF(ISERROR(LOOKUP(AM$6,$S94:$AB94,$S$9:$AB$9)),0,(LOOKUP(AM$6,$S94:$AB94,$S$9:$AB$9)))</f>
        <v>0</v>
      </c>
      <c r="AN94" s="93">
        <f t="shared" si="111"/>
        <v>0</v>
      </c>
      <c r="AO94" s="93">
        <f t="shared" si="111"/>
        <v>0</v>
      </c>
      <c r="AP94" s="93">
        <f t="shared" si="111"/>
        <v>0</v>
      </c>
      <c r="AQ94" s="93">
        <f t="shared" si="111"/>
        <v>0</v>
      </c>
      <c r="AR94" s="93">
        <f t="shared" si="111"/>
        <v>0</v>
      </c>
      <c r="AS94" s="93">
        <f t="shared" si="111"/>
        <v>0</v>
      </c>
      <c r="AT94" s="93">
        <f t="shared" si="111"/>
        <v>0</v>
      </c>
      <c r="AU94" s="93">
        <f t="shared" si="111"/>
        <v>0</v>
      </c>
      <c r="AV94" s="93">
        <f t="shared" si="111"/>
        <v>0</v>
      </c>
      <c r="AW94" s="93">
        <f t="shared" ca="1" si="111"/>
        <v>0</v>
      </c>
      <c r="BB94" s="94" t="e">
        <v>#REF!</v>
      </c>
    </row>
    <row r="95" spans="1:54" s="20" customFormat="1" ht="18" customHeight="1">
      <c r="A95" s="783"/>
      <c r="B95" s="95"/>
      <c r="C95" s="792"/>
      <c r="D95" s="96" t="str">
        <f>D94</f>
        <v>INS</v>
      </c>
      <c r="E95" s="97" t="str">
        <f>E94</f>
        <v>RFQ-029</v>
      </c>
      <c r="F95" s="98" t="str">
        <f>F94</f>
        <v>N</v>
      </c>
      <c r="G95" s="795"/>
      <c r="H95" s="98" t="str">
        <f>H94</f>
        <v>Pressure Gauge</v>
      </c>
      <c r="I95" s="97" t="str">
        <f>I94</f>
        <v>LC</v>
      </c>
      <c r="J95" s="98"/>
      <c r="K95" s="100"/>
      <c r="L95" s="100">
        <f>M96</f>
        <v>3.4000000000000002E-2</v>
      </c>
      <c r="M95" s="100"/>
      <c r="N95" s="97"/>
      <c r="O95" s="97"/>
      <c r="P95" s="97"/>
      <c r="Q95" s="101" t="s">
        <v>5366</v>
      </c>
      <c r="R95" s="101"/>
      <c r="S95" s="102" t="e">
        <f>S94</f>
        <v>#REF!</v>
      </c>
      <c r="T95" s="103" t="e">
        <f>T94</f>
        <v>#REF!</v>
      </c>
      <c r="U95" s="103" t="e">
        <f t="shared" ref="U95:Z95" si="112">WORKDAY(IF(T96="",T95,T96),INDEX(U$2:U$5,MATCH($I94,$I$2:$I$5,0)),$BB$10:$BB$141)</f>
        <v>#REF!</v>
      </c>
      <c r="V95" s="103" t="e">
        <f t="shared" si="112"/>
        <v>#REF!</v>
      </c>
      <c r="W95" s="103" t="e">
        <f t="shared" si="112"/>
        <v>#REF!</v>
      </c>
      <c r="X95" s="103" t="e">
        <f t="shared" si="112"/>
        <v>#REF!</v>
      </c>
      <c r="Y95" s="103" t="e">
        <f t="shared" si="112"/>
        <v>#REF!</v>
      </c>
      <c r="Z95" s="103" t="e">
        <f t="shared" si="112"/>
        <v>#REF!</v>
      </c>
      <c r="AA95" s="103" t="e">
        <f>WORKDAY(IF(Z96="",X95,Z96),INDEX(AA$2:AA$5,MATCH($I94,$I$2:$I$5,0)),$BB$10:$BB$141)</f>
        <v>#REF!</v>
      </c>
      <c r="AB95" s="104" t="e">
        <f>WORKDAY(AE94+#REF!,0,'[38]Equipment List and MR List (3)'!$A$2:$A$80)</f>
        <v>#REF!</v>
      </c>
      <c r="AC95" s="798"/>
      <c r="AD95" s="105"/>
      <c r="AE95" s="801"/>
      <c r="AF95" s="807"/>
      <c r="AG95" s="810"/>
      <c r="AH95" s="106"/>
      <c r="AI95" s="107"/>
      <c r="AJ95" s="813"/>
      <c r="AK95" s="108"/>
      <c r="AL95" s="109"/>
      <c r="AM95" s="92">
        <f t="shared" ref="AM95:AW95" si="113">IF(ISERROR(LOOKUP(AM$6,$S95:$AB95,$S$9:$AB$9)),0,(LOOKUP(AM$6,$S95:$AB95,$S$9:$AB$9)))</f>
        <v>0</v>
      </c>
      <c r="AN95" s="93">
        <f t="shared" si="113"/>
        <v>0</v>
      </c>
      <c r="AO95" s="93">
        <f t="shared" si="113"/>
        <v>0</v>
      </c>
      <c r="AP95" s="93">
        <f t="shared" si="113"/>
        <v>0</v>
      </c>
      <c r="AQ95" s="93">
        <f t="shared" si="113"/>
        <v>0</v>
      </c>
      <c r="AR95" s="93">
        <f t="shared" si="113"/>
        <v>0</v>
      </c>
      <c r="AS95" s="93">
        <f t="shared" si="113"/>
        <v>0</v>
      </c>
      <c r="AT95" s="93">
        <f t="shared" si="113"/>
        <v>0</v>
      </c>
      <c r="AU95" s="93">
        <f t="shared" si="113"/>
        <v>0</v>
      </c>
      <c r="AV95" s="93">
        <f t="shared" si="113"/>
        <v>0</v>
      </c>
      <c r="AW95" s="93">
        <f t="shared" ca="1" si="113"/>
        <v>0</v>
      </c>
      <c r="BB95" s="94" t="e">
        <v>#REF!</v>
      </c>
    </row>
    <row r="96" spans="1:54" s="20" customFormat="1" ht="18" customHeight="1">
      <c r="A96" s="784"/>
      <c r="B96" s="110"/>
      <c r="C96" s="793"/>
      <c r="D96" s="111" t="str">
        <f>D94</f>
        <v>INS</v>
      </c>
      <c r="E96" s="112" t="str">
        <f>E94</f>
        <v>RFQ-029</v>
      </c>
      <c r="F96" s="113" t="str">
        <f>F94</f>
        <v>N</v>
      </c>
      <c r="G96" s="796"/>
      <c r="H96" s="113" t="str">
        <f>H94</f>
        <v>Pressure Gauge</v>
      </c>
      <c r="I96" s="112" t="str">
        <f>I94</f>
        <v>LC</v>
      </c>
      <c r="J96" s="113"/>
      <c r="K96" s="114"/>
      <c r="L96" s="114"/>
      <c r="M96" s="114">
        <v>3.4000000000000002E-2</v>
      </c>
      <c r="N96" s="112"/>
      <c r="O96" s="112"/>
      <c r="P96" s="112"/>
      <c r="Q96" s="115" t="s">
        <v>368</v>
      </c>
      <c r="R96" s="115"/>
      <c r="S96" s="126"/>
      <c r="T96" s="126"/>
      <c r="U96" s="126"/>
      <c r="V96" s="126"/>
      <c r="W96" s="126"/>
      <c r="X96" s="126"/>
      <c r="Y96" s="126"/>
      <c r="Z96" s="126"/>
      <c r="AA96" s="126"/>
      <c r="AB96" s="126"/>
      <c r="AC96" s="799"/>
      <c r="AD96" s="116"/>
      <c r="AE96" s="801"/>
      <c r="AF96" s="808"/>
      <c r="AG96" s="811"/>
      <c r="AH96" s="117"/>
      <c r="AI96" s="118"/>
      <c r="AJ96" s="814"/>
      <c r="AK96" s="119"/>
      <c r="AL96" s="120"/>
      <c r="AM96" s="121">
        <f t="shared" ref="AM96:AW96" si="114">IF(ISERROR(LOOKUP(AM$6,$S96:$AB96,$S$9:$AB$9)),0,(LOOKUP(AM$6,$S96:$AB96,$S$9:$AB$9)))</f>
        <v>0</v>
      </c>
      <c r="AN96" s="122">
        <f t="shared" si="114"/>
        <v>0</v>
      </c>
      <c r="AO96" s="122">
        <f t="shared" si="114"/>
        <v>0</v>
      </c>
      <c r="AP96" s="122">
        <f t="shared" si="114"/>
        <v>0</v>
      </c>
      <c r="AQ96" s="122">
        <f t="shared" si="114"/>
        <v>0</v>
      </c>
      <c r="AR96" s="122">
        <f t="shared" si="114"/>
        <v>0</v>
      </c>
      <c r="AS96" s="122">
        <f t="shared" si="114"/>
        <v>0</v>
      </c>
      <c r="AT96" s="122">
        <f t="shared" si="114"/>
        <v>0</v>
      </c>
      <c r="AU96" s="122">
        <f t="shared" si="114"/>
        <v>0</v>
      </c>
      <c r="AV96" s="122">
        <f t="shared" si="114"/>
        <v>0</v>
      </c>
      <c r="AW96" s="122">
        <f t="shared" ca="1" si="114"/>
        <v>0</v>
      </c>
      <c r="BB96" s="94" t="e">
        <v>#REF!</v>
      </c>
    </row>
    <row r="97" spans="1:54" s="20" customFormat="1" ht="18" customHeight="1">
      <c r="A97" s="782">
        <f>A94+1</f>
        <v>30</v>
      </c>
      <c r="B97" s="79"/>
      <c r="C97" s="791" t="s">
        <v>5361</v>
      </c>
      <c r="D97" s="80" t="s">
        <v>5392</v>
      </c>
      <c r="E97" s="81" t="s">
        <v>5278</v>
      </c>
      <c r="F97" s="82" t="s">
        <v>73</v>
      </c>
      <c r="G97" s="794" t="s">
        <v>5402</v>
      </c>
      <c r="H97" s="82" t="s">
        <v>169</v>
      </c>
      <c r="I97" s="81" t="s">
        <v>8</v>
      </c>
      <c r="J97" s="82"/>
      <c r="K97" s="84">
        <f>M99</f>
        <v>0.01</v>
      </c>
      <c r="L97" s="84"/>
      <c r="M97" s="84"/>
      <c r="N97" s="81"/>
      <c r="O97" s="81"/>
      <c r="P97" s="81"/>
      <c r="Q97" s="85" t="s">
        <v>5364</v>
      </c>
      <c r="R97" s="86">
        <f>'Before Award'!U104+5</f>
        <v>46417</v>
      </c>
      <c r="S97" s="86" t="e">
        <f>WORKDAY(R97,INDEX(S$2:S$5,MATCH($I97,$I$2:$I$5,0)),$BB$10:$BB$141)</f>
        <v>#REF!</v>
      </c>
      <c r="T97" s="86" t="e">
        <f>WORKDAY(S97,INDEX(T$2:T$5,MATCH($I97,$I$2:$I$5,0)),$BB$10:$BB$141)</f>
        <v>#REF!</v>
      </c>
      <c r="U97" s="86" t="e">
        <f>T97+30</f>
        <v>#REF!</v>
      </c>
      <c r="V97" s="86"/>
      <c r="W97" s="86">
        <f>AB97-35</f>
        <v>46503</v>
      </c>
      <c r="X97" s="86"/>
      <c r="Y97" s="86"/>
      <c r="Z97" s="86"/>
      <c r="AA97" s="86"/>
      <c r="AB97" s="86">
        <f>'Before Award'!X104</f>
        <v>46538</v>
      </c>
      <c r="AC97" s="797" t="s">
        <v>5365</v>
      </c>
      <c r="AD97" s="87">
        <v>7</v>
      </c>
      <c r="AE97" s="801">
        <f>18*7</f>
        <v>126</v>
      </c>
      <c r="AF97" s="806" t="e">
        <f>AB98</f>
        <v>#REF!</v>
      </c>
      <c r="AG97" s="809">
        <f>WORKDAY(AH97+1,-1,$BA$10:$BA$141)</f>
        <v>46538</v>
      </c>
      <c r="AH97" s="88">
        <v>46538</v>
      </c>
      <c r="AI97" s="89"/>
      <c r="AJ97" s="812" t="e">
        <f>AG97-AF97</f>
        <v>#REF!</v>
      </c>
      <c r="AK97" s="90"/>
      <c r="AL97" s="91"/>
      <c r="AM97" s="92">
        <f t="shared" ref="AM97:AW97" si="115">IF(ISERROR(LOOKUP(AM$6,$S97:$AB97,$S$9:$AB$9)),0,(LOOKUP(AM$6,$S97:$AB97,$S$9:$AB$9)))</f>
        <v>0</v>
      </c>
      <c r="AN97" s="93">
        <f t="shared" si="115"/>
        <v>0</v>
      </c>
      <c r="AO97" s="93">
        <f t="shared" si="115"/>
        <v>0</v>
      </c>
      <c r="AP97" s="93">
        <f t="shared" si="115"/>
        <v>0</v>
      </c>
      <c r="AQ97" s="93">
        <f t="shared" si="115"/>
        <v>0</v>
      </c>
      <c r="AR97" s="93">
        <f t="shared" si="115"/>
        <v>0</v>
      </c>
      <c r="AS97" s="93">
        <f t="shared" si="115"/>
        <v>0</v>
      </c>
      <c r="AT97" s="93">
        <f t="shared" si="115"/>
        <v>0</v>
      </c>
      <c r="AU97" s="93">
        <f t="shared" si="115"/>
        <v>0</v>
      </c>
      <c r="AV97" s="93">
        <f t="shared" si="115"/>
        <v>0</v>
      </c>
      <c r="AW97" s="93">
        <f t="shared" ca="1" si="115"/>
        <v>0</v>
      </c>
      <c r="BB97" s="94" t="e">
        <v>#REF!</v>
      </c>
    </row>
    <row r="98" spans="1:54" s="20" customFormat="1" ht="18" customHeight="1">
      <c r="A98" s="783"/>
      <c r="B98" s="95"/>
      <c r="C98" s="792"/>
      <c r="D98" s="96" t="str">
        <f>D97</f>
        <v>INS</v>
      </c>
      <c r="E98" s="97" t="str">
        <f>E97</f>
        <v>RFQ-030</v>
      </c>
      <c r="F98" s="98" t="str">
        <f>F97</f>
        <v>N</v>
      </c>
      <c r="G98" s="795"/>
      <c r="H98" s="98" t="str">
        <f>H97</f>
        <v>Pressure Transmitter</v>
      </c>
      <c r="I98" s="97" t="str">
        <f>I97</f>
        <v>LC</v>
      </c>
      <c r="J98" s="98"/>
      <c r="K98" s="100"/>
      <c r="L98" s="100">
        <f>M99</f>
        <v>0.01</v>
      </c>
      <c r="M98" s="100"/>
      <c r="N98" s="97"/>
      <c r="O98" s="97"/>
      <c r="P98" s="97"/>
      <c r="Q98" s="101" t="s">
        <v>5366</v>
      </c>
      <c r="R98" s="101"/>
      <c r="S98" s="102" t="e">
        <f>S97</f>
        <v>#REF!</v>
      </c>
      <c r="T98" s="103" t="e">
        <f>T97</f>
        <v>#REF!</v>
      </c>
      <c r="U98" s="103" t="e">
        <f t="shared" ref="U98:Z98" si="116">WORKDAY(IF(T99="",T98,T99),INDEX(U$2:U$5,MATCH($I97,$I$2:$I$5,0)),$BB$10:$BB$141)</f>
        <v>#REF!</v>
      </c>
      <c r="V98" s="103" t="e">
        <f t="shared" si="116"/>
        <v>#REF!</v>
      </c>
      <c r="W98" s="103" t="e">
        <f t="shared" si="116"/>
        <v>#REF!</v>
      </c>
      <c r="X98" s="103" t="e">
        <f t="shared" si="116"/>
        <v>#REF!</v>
      </c>
      <c r="Y98" s="103" t="e">
        <f t="shared" si="116"/>
        <v>#REF!</v>
      </c>
      <c r="Z98" s="103" t="e">
        <f t="shared" si="116"/>
        <v>#REF!</v>
      </c>
      <c r="AA98" s="103" t="e">
        <f>WORKDAY(IF(Z99="",X98,Z99),INDEX(AA$2:AA$5,MATCH($I97,$I$2:$I$5,0)),$BB$10:$BB$141)</f>
        <v>#REF!</v>
      </c>
      <c r="AB98" s="104" t="e">
        <f>WORKDAY(AE97+#REF!,0,'[38]Equipment List and MR List (3)'!$A$2:$A$80)</f>
        <v>#REF!</v>
      </c>
      <c r="AC98" s="798"/>
      <c r="AD98" s="105"/>
      <c r="AE98" s="801"/>
      <c r="AF98" s="807"/>
      <c r="AG98" s="810"/>
      <c r="AH98" s="106"/>
      <c r="AI98" s="107"/>
      <c r="AJ98" s="813"/>
      <c r="AK98" s="108"/>
      <c r="AL98" s="109"/>
      <c r="AM98" s="92">
        <f t="shared" ref="AM98:AW98" si="117">IF(ISERROR(LOOKUP(AM$6,$S98:$AB98,$S$9:$AB$9)),0,(LOOKUP(AM$6,$S98:$AB98,$S$9:$AB$9)))</f>
        <v>0</v>
      </c>
      <c r="AN98" s="93">
        <f t="shared" si="117"/>
        <v>0</v>
      </c>
      <c r="AO98" s="93">
        <f t="shared" si="117"/>
        <v>0</v>
      </c>
      <c r="AP98" s="93">
        <f t="shared" si="117"/>
        <v>0</v>
      </c>
      <c r="AQ98" s="93">
        <f t="shared" si="117"/>
        <v>0</v>
      </c>
      <c r="AR98" s="93">
        <f t="shared" si="117"/>
        <v>0</v>
      </c>
      <c r="AS98" s="93">
        <f t="shared" si="117"/>
        <v>0</v>
      </c>
      <c r="AT98" s="93">
        <f t="shared" si="117"/>
        <v>0</v>
      </c>
      <c r="AU98" s="93">
        <f t="shared" si="117"/>
        <v>0</v>
      </c>
      <c r="AV98" s="93">
        <f t="shared" si="117"/>
        <v>0</v>
      </c>
      <c r="AW98" s="93">
        <f t="shared" ca="1" si="117"/>
        <v>0</v>
      </c>
      <c r="BB98" s="94" t="e">
        <v>#REF!</v>
      </c>
    </row>
    <row r="99" spans="1:54" s="20" customFormat="1" ht="18" customHeight="1">
      <c r="A99" s="784"/>
      <c r="B99" s="110"/>
      <c r="C99" s="793"/>
      <c r="D99" s="111" t="str">
        <f>D97</f>
        <v>INS</v>
      </c>
      <c r="E99" s="112" t="str">
        <f>E97</f>
        <v>RFQ-030</v>
      </c>
      <c r="F99" s="113" t="str">
        <f>F97</f>
        <v>N</v>
      </c>
      <c r="G99" s="796"/>
      <c r="H99" s="113" t="str">
        <f>H97</f>
        <v>Pressure Transmitter</v>
      </c>
      <c r="I99" s="112" t="str">
        <f>I97</f>
        <v>LC</v>
      </c>
      <c r="J99" s="113"/>
      <c r="K99" s="114"/>
      <c r="L99" s="114"/>
      <c r="M99" s="114">
        <v>0.01</v>
      </c>
      <c r="N99" s="112"/>
      <c r="O99" s="112"/>
      <c r="P99" s="112"/>
      <c r="Q99" s="115" t="s">
        <v>368</v>
      </c>
      <c r="R99" s="115"/>
      <c r="S99" s="126"/>
      <c r="T99" s="126"/>
      <c r="U99" s="126"/>
      <c r="V99" s="126"/>
      <c r="W99" s="126"/>
      <c r="X99" s="126"/>
      <c r="Y99" s="126"/>
      <c r="Z99" s="126"/>
      <c r="AA99" s="126"/>
      <c r="AB99" s="126"/>
      <c r="AC99" s="799"/>
      <c r="AD99" s="116"/>
      <c r="AE99" s="801"/>
      <c r="AF99" s="808"/>
      <c r="AG99" s="811"/>
      <c r="AH99" s="117"/>
      <c r="AI99" s="118"/>
      <c r="AJ99" s="814"/>
      <c r="AK99" s="119"/>
      <c r="AL99" s="120"/>
      <c r="AM99" s="121">
        <f t="shared" ref="AM99:AW99" si="118">IF(ISERROR(LOOKUP(AM$6,$S99:$AB99,$S$9:$AB$9)),0,(LOOKUP(AM$6,$S99:$AB99,$S$9:$AB$9)))</f>
        <v>0</v>
      </c>
      <c r="AN99" s="122">
        <f t="shared" si="118"/>
        <v>0</v>
      </c>
      <c r="AO99" s="122">
        <f t="shared" si="118"/>
        <v>0</v>
      </c>
      <c r="AP99" s="122">
        <f t="shared" si="118"/>
        <v>0</v>
      </c>
      <c r="AQ99" s="122">
        <f t="shared" si="118"/>
        <v>0</v>
      </c>
      <c r="AR99" s="122">
        <f t="shared" si="118"/>
        <v>0</v>
      </c>
      <c r="AS99" s="122">
        <f t="shared" si="118"/>
        <v>0</v>
      </c>
      <c r="AT99" s="122">
        <f t="shared" si="118"/>
        <v>0</v>
      </c>
      <c r="AU99" s="122">
        <f t="shared" si="118"/>
        <v>0</v>
      </c>
      <c r="AV99" s="122">
        <f t="shared" si="118"/>
        <v>0</v>
      </c>
      <c r="AW99" s="122">
        <f t="shared" ca="1" si="118"/>
        <v>0</v>
      </c>
      <c r="BB99" s="94" t="e">
        <v>#REF!</v>
      </c>
    </row>
    <row r="100" spans="1:54" s="20" customFormat="1" ht="18" customHeight="1">
      <c r="A100" s="782">
        <f>A97+1</f>
        <v>31</v>
      </c>
      <c r="B100" s="79"/>
      <c r="C100" s="791" t="s">
        <v>5361</v>
      </c>
      <c r="D100" s="80" t="s">
        <v>5392</v>
      </c>
      <c r="E100" s="81" t="s">
        <v>5279</v>
      </c>
      <c r="F100" s="82" t="s">
        <v>73</v>
      </c>
      <c r="G100" s="794" t="s">
        <v>5403</v>
      </c>
      <c r="H100" s="82" t="s">
        <v>171</v>
      </c>
      <c r="I100" s="81" t="s">
        <v>8</v>
      </c>
      <c r="J100" s="82"/>
      <c r="K100" s="84">
        <f>M102</f>
        <v>0.01</v>
      </c>
      <c r="L100" s="84"/>
      <c r="M100" s="84"/>
      <c r="N100" s="81"/>
      <c r="O100" s="81"/>
      <c r="P100" s="81"/>
      <c r="Q100" s="85" t="s">
        <v>5364</v>
      </c>
      <c r="R100" s="86">
        <f>'Before Award'!U107+5</f>
        <v>46417</v>
      </c>
      <c r="S100" s="86" t="e">
        <f>WORKDAY(R100,INDEX(S$2:S$5,MATCH($I100,$I$2:$I$5,0)),$BB$10:$BB$141)</f>
        <v>#REF!</v>
      </c>
      <c r="T100" s="86" t="e">
        <f>WORKDAY(S100,INDEX(T$2:T$5,MATCH($I100,$I$2:$I$5,0)),$BB$10:$BB$141)</f>
        <v>#REF!</v>
      </c>
      <c r="U100" s="86" t="e">
        <f>T100+30</f>
        <v>#REF!</v>
      </c>
      <c r="V100" s="86"/>
      <c r="W100" s="86">
        <f>AB100-35</f>
        <v>46503</v>
      </c>
      <c r="X100" s="86"/>
      <c r="Y100" s="86"/>
      <c r="Z100" s="86"/>
      <c r="AA100" s="86"/>
      <c r="AB100" s="86">
        <f>'Before Award'!X107</f>
        <v>46538</v>
      </c>
      <c r="AC100" s="797" t="s">
        <v>5365</v>
      </c>
      <c r="AD100" s="87">
        <v>7</v>
      </c>
      <c r="AE100" s="801">
        <f>18*7</f>
        <v>126</v>
      </c>
      <c r="AF100" s="806" t="e">
        <f>AB101</f>
        <v>#REF!</v>
      </c>
      <c r="AG100" s="809">
        <f>WORKDAY(AH100+1,-1,$BA$10:$BA$141)</f>
        <v>46538</v>
      </c>
      <c r="AH100" s="88">
        <v>46538</v>
      </c>
      <c r="AI100" s="89"/>
      <c r="AJ100" s="812" t="e">
        <f>AG100-AF100</f>
        <v>#REF!</v>
      </c>
      <c r="AK100" s="90"/>
      <c r="AL100" s="91"/>
      <c r="AM100" s="92">
        <f t="shared" ref="AM100:AW100" si="119">IF(ISERROR(LOOKUP(AM$6,$S100:$AB100,$S$9:$AB$9)),0,(LOOKUP(AM$6,$S100:$AB100,$S$9:$AB$9)))</f>
        <v>0</v>
      </c>
      <c r="AN100" s="93">
        <f t="shared" si="119"/>
        <v>0</v>
      </c>
      <c r="AO100" s="93">
        <f t="shared" si="119"/>
        <v>0</v>
      </c>
      <c r="AP100" s="93">
        <f t="shared" si="119"/>
        <v>0</v>
      </c>
      <c r="AQ100" s="93">
        <f t="shared" si="119"/>
        <v>0</v>
      </c>
      <c r="AR100" s="93">
        <f t="shared" si="119"/>
        <v>0</v>
      </c>
      <c r="AS100" s="93">
        <f t="shared" si="119"/>
        <v>0</v>
      </c>
      <c r="AT100" s="93">
        <f t="shared" si="119"/>
        <v>0</v>
      </c>
      <c r="AU100" s="93">
        <f t="shared" si="119"/>
        <v>0</v>
      </c>
      <c r="AV100" s="93">
        <f t="shared" si="119"/>
        <v>0</v>
      </c>
      <c r="AW100" s="93">
        <f t="shared" ca="1" si="119"/>
        <v>0</v>
      </c>
      <c r="BB100" s="94" t="e">
        <v>#REF!</v>
      </c>
    </row>
    <row r="101" spans="1:54" s="20" customFormat="1" ht="18" customHeight="1">
      <c r="A101" s="783"/>
      <c r="B101" s="95"/>
      <c r="C101" s="792"/>
      <c r="D101" s="96" t="str">
        <f>D100</f>
        <v>INS</v>
      </c>
      <c r="E101" s="97" t="str">
        <f>E100</f>
        <v>RFQ-031</v>
      </c>
      <c r="F101" s="98" t="str">
        <f>F100</f>
        <v>N</v>
      </c>
      <c r="G101" s="795"/>
      <c r="H101" s="98" t="str">
        <f>H100</f>
        <v>Temperature Gauge</v>
      </c>
      <c r="I101" s="97" t="str">
        <f>I100</f>
        <v>LC</v>
      </c>
      <c r="J101" s="98"/>
      <c r="K101" s="100"/>
      <c r="L101" s="100">
        <f>M102</f>
        <v>0.01</v>
      </c>
      <c r="M101" s="100"/>
      <c r="N101" s="97"/>
      <c r="O101" s="97"/>
      <c r="P101" s="97"/>
      <c r="Q101" s="101" t="s">
        <v>5366</v>
      </c>
      <c r="R101" s="101"/>
      <c r="S101" s="102" t="e">
        <f>S100</f>
        <v>#REF!</v>
      </c>
      <c r="T101" s="103" t="e">
        <f>T100</f>
        <v>#REF!</v>
      </c>
      <c r="U101" s="103" t="e">
        <f t="shared" ref="U101:Z101" si="120">WORKDAY(IF(T102="",T101,T102),INDEX(U$2:U$5,MATCH($I100,$I$2:$I$5,0)),$BB$10:$BB$141)</f>
        <v>#REF!</v>
      </c>
      <c r="V101" s="103" t="e">
        <f t="shared" si="120"/>
        <v>#REF!</v>
      </c>
      <c r="W101" s="103" t="e">
        <f t="shared" si="120"/>
        <v>#REF!</v>
      </c>
      <c r="X101" s="103" t="e">
        <f t="shared" si="120"/>
        <v>#REF!</v>
      </c>
      <c r="Y101" s="103" t="e">
        <f t="shared" si="120"/>
        <v>#REF!</v>
      </c>
      <c r="Z101" s="103" t="e">
        <f t="shared" si="120"/>
        <v>#REF!</v>
      </c>
      <c r="AA101" s="103" t="e">
        <f>WORKDAY(IF(Z102="",X101,Z102),INDEX(AA$2:AA$5,MATCH($I100,$I$2:$I$5,0)),$BB$10:$BB$141)</f>
        <v>#REF!</v>
      </c>
      <c r="AB101" s="104" t="e">
        <f>WORKDAY(AE100+#REF!,0,'[38]Equipment List and MR List (3)'!$A$2:$A$80)</f>
        <v>#REF!</v>
      </c>
      <c r="AC101" s="798"/>
      <c r="AD101" s="105"/>
      <c r="AE101" s="801"/>
      <c r="AF101" s="807"/>
      <c r="AG101" s="810"/>
      <c r="AH101" s="106"/>
      <c r="AI101" s="107"/>
      <c r="AJ101" s="813"/>
      <c r="AK101" s="108"/>
      <c r="AL101" s="109"/>
      <c r="AM101" s="92">
        <f t="shared" ref="AM101:AW101" si="121">IF(ISERROR(LOOKUP(AM$6,$S101:$AB101,$S$9:$AB$9)),0,(LOOKUP(AM$6,$S101:$AB101,$S$9:$AB$9)))</f>
        <v>0</v>
      </c>
      <c r="AN101" s="93">
        <f t="shared" si="121"/>
        <v>0</v>
      </c>
      <c r="AO101" s="93">
        <f t="shared" si="121"/>
        <v>0</v>
      </c>
      <c r="AP101" s="93">
        <f t="shared" si="121"/>
        <v>0</v>
      </c>
      <c r="AQ101" s="93">
        <f t="shared" si="121"/>
        <v>0</v>
      </c>
      <c r="AR101" s="93">
        <f t="shared" si="121"/>
        <v>0</v>
      </c>
      <c r="AS101" s="93">
        <f t="shared" si="121"/>
        <v>0</v>
      </c>
      <c r="AT101" s="93">
        <f t="shared" si="121"/>
        <v>0</v>
      </c>
      <c r="AU101" s="93">
        <f t="shared" si="121"/>
        <v>0</v>
      </c>
      <c r="AV101" s="93">
        <f t="shared" si="121"/>
        <v>0</v>
      </c>
      <c r="AW101" s="93">
        <f t="shared" ca="1" si="121"/>
        <v>0</v>
      </c>
      <c r="BB101" s="94" t="e">
        <v>#REF!</v>
      </c>
    </row>
    <row r="102" spans="1:54" s="20" customFormat="1" ht="18" customHeight="1">
      <c r="A102" s="784"/>
      <c r="B102" s="110"/>
      <c r="C102" s="793"/>
      <c r="D102" s="111" t="str">
        <f>D100</f>
        <v>INS</v>
      </c>
      <c r="E102" s="112" t="str">
        <f>E100</f>
        <v>RFQ-031</v>
      </c>
      <c r="F102" s="113" t="str">
        <f>F100</f>
        <v>N</v>
      </c>
      <c r="G102" s="796"/>
      <c r="H102" s="113" t="str">
        <f>H100</f>
        <v>Temperature Gauge</v>
      </c>
      <c r="I102" s="112" t="str">
        <f>I100</f>
        <v>LC</v>
      </c>
      <c r="J102" s="113"/>
      <c r="K102" s="114"/>
      <c r="L102" s="114"/>
      <c r="M102" s="114">
        <v>0.01</v>
      </c>
      <c r="N102" s="112"/>
      <c r="O102" s="112"/>
      <c r="P102" s="112"/>
      <c r="Q102" s="115" t="s">
        <v>368</v>
      </c>
      <c r="R102" s="115"/>
      <c r="S102" s="126"/>
      <c r="T102" s="126"/>
      <c r="U102" s="126"/>
      <c r="V102" s="126"/>
      <c r="W102" s="126"/>
      <c r="X102" s="126"/>
      <c r="Y102" s="126"/>
      <c r="Z102" s="126"/>
      <c r="AA102" s="126"/>
      <c r="AB102" s="126"/>
      <c r="AC102" s="799"/>
      <c r="AD102" s="116"/>
      <c r="AE102" s="801"/>
      <c r="AF102" s="808"/>
      <c r="AG102" s="811"/>
      <c r="AH102" s="117"/>
      <c r="AI102" s="118"/>
      <c r="AJ102" s="814"/>
      <c r="AK102" s="119"/>
      <c r="AL102" s="120"/>
      <c r="AM102" s="121">
        <f t="shared" ref="AM102:AW102" si="122">IF(ISERROR(LOOKUP(AM$6,$S102:$AB102,$S$9:$AB$9)),0,(LOOKUP(AM$6,$S102:$AB102,$S$9:$AB$9)))</f>
        <v>0</v>
      </c>
      <c r="AN102" s="122">
        <f t="shared" si="122"/>
        <v>0</v>
      </c>
      <c r="AO102" s="122">
        <f t="shared" si="122"/>
        <v>0</v>
      </c>
      <c r="AP102" s="122">
        <f t="shared" si="122"/>
        <v>0</v>
      </c>
      <c r="AQ102" s="122">
        <f t="shared" si="122"/>
        <v>0</v>
      </c>
      <c r="AR102" s="122">
        <f t="shared" si="122"/>
        <v>0</v>
      </c>
      <c r="AS102" s="122">
        <f t="shared" si="122"/>
        <v>0</v>
      </c>
      <c r="AT102" s="122">
        <f t="shared" si="122"/>
        <v>0</v>
      </c>
      <c r="AU102" s="122">
        <f t="shared" si="122"/>
        <v>0</v>
      </c>
      <c r="AV102" s="122">
        <f t="shared" si="122"/>
        <v>0</v>
      </c>
      <c r="AW102" s="122">
        <f t="shared" ca="1" si="122"/>
        <v>0</v>
      </c>
      <c r="BB102" s="94" t="e">
        <v>#REF!</v>
      </c>
    </row>
    <row r="103" spans="1:54" s="20" customFormat="1" ht="18" customHeight="1">
      <c r="A103" s="782">
        <f>A100+1</f>
        <v>32</v>
      </c>
      <c r="B103" s="79"/>
      <c r="C103" s="791" t="s">
        <v>5361</v>
      </c>
      <c r="D103" s="80" t="s">
        <v>5392</v>
      </c>
      <c r="E103" s="81" t="s">
        <v>5280</v>
      </c>
      <c r="F103" s="82" t="s">
        <v>73</v>
      </c>
      <c r="G103" s="794" t="s">
        <v>5404</v>
      </c>
      <c r="H103" s="82" t="s">
        <v>173</v>
      </c>
      <c r="I103" s="81" t="s">
        <v>8</v>
      </c>
      <c r="J103" s="82"/>
      <c r="K103" s="84">
        <f>M105</f>
        <v>0.02</v>
      </c>
      <c r="L103" s="84"/>
      <c r="M103" s="84"/>
      <c r="N103" s="81"/>
      <c r="O103" s="81"/>
      <c r="P103" s="81"/>
      <c r="Q103" s="85" t="s">
        <v>5364</v>
      </c>
      <c r="R103" s="86">
        <f>'Before Award'!U110+5</f>
        <v>46417</v>
      </c>
      <c r="S103" s="86" t="e">
        <f>WORKDAY(R103,INDEX(S$2:S$5,MATCH($I103,$I$2:$I$5,0)),$BB$10:$BB$141)</f>
        <v>#REF!</v>
      </c>
      <c r="T103" s="86" t="e">
        <f>WORKDAY(S103,INDEX(T$2:T$5,MATCH($I103,$I$2:$I$5,0)),$BB$10:$BB$141)</f>
        <v>#REF!</v>
      </c>
      <c r="U103" s="86" t="e">
        <f>T103+30</f>
        <v>#REF!</v>
      </c>
      <c r="V103" s="86"/>
      <c r="W103" s="86">
        <f>AB103-35</f>
        <v>46503</v>
      </c>
      <c r="X103" s="86"/>
      <c r="Y103" s="86"/>
      <c r="Z103" s="86"/>
      <c r="AA103" s="86"/>
      <c r="AB103" s="86">
        <f>'Before Award'!X110</f>
        <v>46538</v>
      </c>
      <c r="AC103" s="797" t="s">
        <v>5365</v>
      </c>
      <c r="AD103" s="87">
        <v>7</v>
      </c>
      <c r="AE103" s="801">
        <f>18*7</f>
        <v>126</v>
      </c>
      <c r="AF103" s="806" t="e">
        <f>AB104</f>
        <v>#REF!</v>
      </c>
      <c r="AG103" s="809">
        <f>WORKDAY(AH103+1,-1,$BA$10:$BA$141)</f>
        <v>46538</v>
      </c>
      <c r="AH103" s="88">
        <v>46538</v>
      </c>
      <c r="AI103" s="89"/>
      <c r="AJ103" s="812" t="e">
        <f>AG103-AF103</f>
        <v>#REF!</v>
      </c>
      <c r="AK103" s="90"/>
      <c r="AL103" s="91"/>
      <c r="AM103" s="92">
        <f t="shared" ref="AM103:AW103" si="123">IF(ISERROR(LOOKUP(AM$6,$S103:$AB103,$S$9:$AB$9)),0,(LOOKUP(AM$6,$S103:$AB103,$S$9:$AB$9)))</f>
        <v>0</v>
      </c>
      <c r="AN103" s="93">
        <f t="shared" si="123"/>
        <v>0</v>
      </c>
      <c r="AO103" s="93">
        <f t="shared" si="123"/>
        <v>0</v>
      </c>
      <c r="AP103" s="93">
        <f t="shared" si="123"/>
        <v>0</v>
      </c>
      <c r="AQ103" s="93">
        <f t="shared" si="123"/>
        <v>0</v>
      </c>
      <c r="AR103" s="93">
        <f t="shared" si="123"/>
        <v>0</v>
      </c>
      <c r="AS103" s="93">
        <f t="shared" si="123"/>
        <v>0</v>
      </c>
      <c r="AT103" s="93">
        <f t="shared" si="123"/>
        <v>0</v>
      </c>
      <c r="AU103" s="93">
        <f t="shared" si="123"/>
        <v>0</v>
      </c>
      <c r="AV103" s="93">
        <f t="shared" si="123"/>
        <v>0</v>
      </c>
      <c r="AW103" s="93">
        <f t="shared" ca="1" si="123"/>
        <v>0</v>
      </c>
      <c r="BB103" s="94" t="e">
        <v>#REF!</v>
      </c>
    </row>
    <row r="104" spans="1:54" s="20" customFormat="1" ht="18" customHeight="1">
      <c r="A104" s="783"/>
      <c r="B104" s="95"/>
      <c r="C104" s="792"/>
      <c r="D104" s="96" t="str">
        <f>D103</f>
        <v>INS</v>
      </c>
      <c r="E104" s="97" t="str">
        <f>E103</f>
        <v>RFQ-032</v>
      </c>
      <c r="F104" s="98" t="str">
        <f>F103</f>
        <v>N</v>
      </c>
      <c r="G104" s="795"/>
      <c r="H104" s="98" t="str">
        <f>H103</f>
        <v>Temperature Transmitter</v>
      </c>
      <c r="I104" s="97" t="str">
        <f>I103</f>
        <v>LC</v>
      </c>
      <c r="J104" s="98"/>
      <c r="K104" s="100"/>
      <c r="L104" s="100">
        <f>M105</f>
        <v>0.02</v>
      </c>
      <c r="M104" s="100"/>
      <c r="N104" s="97"/>
      <c r="O104" s="97"/>
      <c r="P104" s="97"/>
      <c r="Q104" s="101" t="s">
        <v>5366</v>
      </c>
      <c r="R104" s="101"/>
      <c r="S104" s="102" t="e">
        <f>S103</f>
        <v>#REF!</v>
      </c>
      <c r="T104" s="103" t="e">
        <f>T103</f>
        <v>#REF!</v>
      </c>
      <c r="U104" s="103" t="e">
        <f t="shared" ref="U104:Z104" si="124">WORKDAY(IF(T105="",T104,T105),INDEX(U$2:U$5,MATCH($I103,$I$2:$I$5,0)),$BB$10:$BB$141)</f>
        <v>#REF!</v>
      </c>
      <c r="V104" s="103" t="e">
        <f t="shared" si="124"/>
        <v>#REF!</v>
      </c>
      <c r="W104" s="103" t="e">
        <f t="shared" si="124"/>
        <v>#REF!</v>
      </c>
      <c r="X104" s="103" t="e">
        <f t="shared" si="124"/>
        <v>#REF!</v>
      </c>
      <c r="Y104" s="103" t="e">
        <f t="shared" si="124"/>
        <v>#REF!</v>
      </c>
      <c r="Z104" s="103" t="e">
        <f t="shared" si="124"/>
        <v>#REF!</v>
      </c>
      <c r="AA104" s="103" t="e">
        <f>WORKDAY(IF(Z105="",X104,Z105),INDEX(AA$2:AA$5,MATCH($I103,$I$2:$I$5,0)),$BB$10:$BB$141)</f>
        <v>#REF!</v>
      </c>
      <c r="AB104" s="104" t="e">
        <f>WORKDAY(AE103+#REF!,0,'[38]Equipment List and MR List (3)'!$A$2:$A$80)</f>
        <v>#REF!</v>
      </c>
      <c r="AC104" s="798"/>
      <c r="AD104" s="105"/>
      <c r="AE104" s="801"/>
      <c r="AF104" s="807"/>
      <c r="AG104" s="810"/>
      <c r="AH104" s="106"/>
      <c r="AI104" s="107"/>
      <c r="AJ104" s="813"/>
      <c r="AK104" s="108"/>
      <c r="AL104" s="109"/>
      <c r="AM104" s="92">
        <f t="shared" ref="AM104:AW104" si="125">IF(ISERROR(LOOKUP(AM$6,$S104:$AB104,$S$9:$AB$9)),0,(LOOKUP(AM$6,$S104:$AB104,$S$9:$AB$9)))</f>
        <v>0</v>
      </c>
      <c r="AN104" s="93">
        <f t="shared" si="125"/>
        <v>0</v>
      </c>
      <c r="AO104" s="93">
        <f t="shared" si="125"/>
        <v>0</v>
      </c>
      <c r="AP104" s="93">
        <f t="shared" si="125"/>
        <v>0</v>
      </c>
      <c r="AQ104" s="93">
        <f t="shared" si="125"/>
        <v>0</v>
      </c>
      <c r="AR104" s="93">
        <f t="shared" si="125"/>
        <v>0</v>
      </c>
      <c r="AS104" s="93">
        <f t="shared" si="125"/>
        <v>0</v>
      </c>
      <c r="AT104" s="93">
        <f t="shared" si="125"/>
        <v>0</v>
      </c>
      <c r="AU104" s="93">
        <f t="shared" si="125"/>
        <v>0</v>
      </c>
      <c r="AV104" s="93">
        <f t="shared" si="125"/>
        <v>0</v>
      </c>
      <c r="AW104" s="93">
        <f t="shared" ca="1" si="125"/>
        <v>0</v>
      </c>
      <c r="BB104" s="94" t="e">
        <v>#REF!</v>
      </c>
    </row>
    <row r="105" spans="1:54" s="20" customFormat="1" ht="18" customHeight="1">
      <c r="A105" s="784"/>
      <c r="B105" s="110"/>
      <c r="C105" s="793"/>
      <c r="D105" s="111" t="str">
        <f>D103</f>
        <v>INS</v>
      </c>
      <c r="E105" s="112" t="str">
        <f>E103</f>
        <v>RFQ-032</v>
      </c>
      <c r="F105" s="113" t="str">
        <f>F103</f>
        <v>N</v>
      </c>
      <c r="G105" s="796"/>
      <c r="H105" s="113" t="str">
        <f>H103</f>
        <v>Temperature Transmitter</v>
      </c>
      <c r="I105" s="112" t="str">
        <f>I103</f>
        <v>LC</v>
      </c>
      <c r="J105" s="113"/>
      <c r="K105" s="114"/>
      <c r="L105" s="114"/>
      <c r="M105" s="114">
        <v>0.02</v>
      </c>
      <c r="N105" s="112"/>
      <c r="O105" s="112"/>
      <c r="P105" s="112"/>
      <c r="Q105" s="115" t="s">
        <v>368</v>
      </c>
      <c r="R105" s="115"/>
      <c r="S105" s="126"/>
      <c r="T105" s="126"/>
      <c r="U105" s="126"/>
      <c r="V105" s="126"/>
      <c r="W105" s="126"/>
      <c r="X105" s="126"/>
      <c r="Y105" s="126"/>
      <c r="Z105" s="126"/>
      <c r="AA105" s="126"/>
      <c r="AB105" s="126"/>
      <c r="AC105" s="799"/>
      <c r="AD105" s="116"/>
      <c r="AE105" s="801"/>
      <c r="AF105" s="808"/>
      <c r="AG105" s="811"/>
      <c r="AH105" s="117"/>
      <c r="AI105" s="118"/>
      <c r="AJ105" s="814"/>
      <c r="AK105" s="119"/>
      <c r="AL105" s="120"/>
      <c r="AM105" s="121">
        <f t="shared" ref="AM105:AW105" si="126">IF(ISERROR(LOOKUP(AM$6,$S105:$AB105,$S$9:$AB$9)),0,(LOOKUP(AM$6,$S105:$AB105,$S$9:$AB$9)))</f>
        <v>0</v>
      </c>
      <c r="AN105" s="122">
        <f t="shared" si="126"/>
        <v>0</v>
      </c>
      <c r="AO105" s="122">
        <f t="shared" si="126"/>
        <v>0</v>
      </c>
      <c r="AP105" s="122">
        <f t="shared" si="126"/>
        <v>0</v>
      </c>
      <c r="AQ105" s="122">
        <f t="shared" si="126"/>
        <v>0</v>
      </c>
      <c r="AR105" s="122">
        <f t="shared" si="126"/>
        <v>0</v>
      </c>
      <c r="AS105" s="122">
        <f t="shared" si="126"/>
        <v>0</v>
      </c>
      <c r="AT105" s="122">
        <f t="shared" si="126"/>
        <v>0</v>
      </c>
      <c r="AU105" s="122">
        <f t="shared" si="126"/>
        <v>0</v>
      </c>
      <c r="AV105" s="122">
        <f t="shared" si="126"/>
        <v>0</v>
      </c>
      <c r="AW105" s="122">
        <f t="shared" ca="1" si="126"/>
        <v>0</v>
      </c>
      <c r="BB105" s="94" t="e">
        <v>#REF!</v>
      </c>
    </row>
    <row r="106" spans="1:54" s="20" customFormat="1" ht="18" customHeight="1">
      <c r="A106" s="782">
        <f>A103+1</f>
        <v>33</v>
      </c>
      <c r="B106" s="79"/>
      <c r="C106" s="791" t="s">
        <v>5361</v>
      </c>
      <c r="D106" s="80" t="s">
        <v>5392</v>
      </c>
      <c r="E106" s="81" t="s">
        <v>5281</v>
      </c>
      <c r="F106" s="82" t="s">
        <v>73</v>
      </c>
      <c r="G106" s="794" t="s">
        <v>5405</v>
      </c>
      <c r="H106" s="82" t="s">
        <v>175</v>
      </c>
      <c r="I106" s="81" t="s">
        <v>8</v>
      </c>
      <c r="J106" s="82"/>
      <c r="K106" s="84">
        <f>M108</f>
        <v>0.04</v>
      </c>
      <c r="L106" s="84"/>
      <c r="M106" s="84"/>
      <c r="N106" s="81"/>
      <c r="O106" s="81"/>
      <c r="P106" s="81"/>
      <c r="Q106" s="85" t="s">
        <v>5364</v>
      </c>
      <c r="R106" s="86">
        <f>'Before Award'!U113+5</f>
        <v>46417</v>
      </c>
      <c r="S106" s="86" t="e">
        <f>WORKDAY(R106,INDEX(S$2:S$5,MATCH($I106,$I$2:$I$5,0)),$BB$10:$BB$141)</f>
        <v>#REF!</v>
      </c>
      <c r="T106" s="86" t="e">
        <f>WORKDAY(S106,INDEX(T$2:T$5,MATCH($I106,$I$2:$I$5,0)),$BB$10:$BB$141)</f>
        <v>#REF!</v>
      </c>
      <c r="U106" s="86" t="e">
        <f>T106+30</f>
        <v>#REF!</v>
      </c>
      <c r="V106" s="86"/>
      <c r="W106" s="86">
        <f>AB106-35</f>
        <v>46503</v>
      </c>
      <c r="X106" s="86"/>
      <c r="Y106" s="86"/>
      <c r="Z106" s="86"/>
      <c r="AA106" s="86"/>
      <c r="AB106" s="86">
        <f>'Before Award'!X113</f>
        <v>46538</v>
      </c>
      <c r="AC106" s="797" t="s">
        <v>5365</v>
      </c>
      <c r="AD106" s="87">
        <v>7</v>
      </c>
      <c r="AE106" s="801">
        <f t="shared" ref="AE106" si="127">18*7</f>
        <v>126</v>
      </c>
      <c r="AF106" s="806" t="e">
        <f>AB107</f>
        <v>#REF!</v>
      </c>
      <c r="AG106" s="809">
        <f>WORKDAY(AH106+1,-1,$BA$10:$BA$141)</f>
        <v>46538</v>
      </c>
      <c r="AH106" s="88">
        <v>46538</v>
      </c>
      <c r="AI106" s="89"/>
      <c r="AJ106" s="812" t="e">
        <f>AG106-AF106</f>
        <v>#REF!</v>
      </c>
      <c r="AK106" s="90"/>
      <c r="AL106" s="91"/>
      <c r="AM106" s="92">
        <f t="shared" ref="AM106:AW106" si="128">IF(ISERROR(LOOKUP(AM$6,$S106:$AB106,$S$9:$AB$9)),0,(LOOKUP(AM$6,$S106:$AB106,$S$9:$AB$9)))</f>
        <v>0</v>
      </c>
      <c r="AN106" s="93">
        <f t="shared" si="128"/>
        <v>0</v>
      </c>
      <c r="AO106" s="93">
        <f t="shared" si="128"/>
        <v>0</v>
      </c>
      <c r="AP106" s="93">
        <f t="shared" si="128"/>
        <v>0</v>
      </c>
      <c r="AQ106" s="93">
        <f t="shared" si="128"/>
        <v>0</v>
      </c>
      <c r="AR106" s="93">
        <f t="shared" si="128"/>
        <v>0</v>
      </c>
      <c r="AS106" s="93">
        <f t="shared" si="128"/>
        <v>0</v>
      </c>
      <c r="AT106" s="93">
        <f t="shared" si="128"/>
        <v>0</v>
      </c>
      <c r="AU106" s="93">
        <f t="shared" si="128"/>
        <v>0</v>
      </c>
      <c r="AV106" s="93">
        <f t="shared" si="128"/>
        <v>0</v>
      </c>
      <c r="AW106" s="93">
        <f t="shared" ca="1" si="128"/>
        <v>0</v>
      </c>
      <c r="BB106" s="94" t="e">
        <v>#REF!</v>
      </c>
    </row>
    <row r="107" spans="1:54" s="20" customFormat="1" ht="18" customHeight="1">
      <c r="A107" s="783"/>
      <c r="B107" s="95"/>
      <c r="C107" s="792"/>
      <c r="D107" s="96" t="str">
        <f>D106</f>
        <v>INS</v>
      </c>
      <c r="E107" s="97" t="str">
        <f>E106</f>
        <v>RFQ-033</v>
      </c>
      <c r="F107" s="98" t="str">
        <f>F106</f>
        <v>N</v>
      </c>
      <c r="G107" s="795"/>
      <c r="H107" s="98" t="str">
        <f>H106</f>
        <v>Vortex Flow Meter</v>
      </c>
      <c r="I107" s="97" t="str">
        <f>I106</f>
        <v>LC</v>
      </c>
      <c r="J107" s="98"/>
      <c r="K107" s="100"/>
      <c r="L107" s="100">
        <f>M108</f>
        <v>0.04</v>
      </c>
      <c r="M107" s="100"/>
      <c r="N107" s="97"/>
      <c r="O107" s="97"/>
      <c r="P107" s="97"/>
      <c r="Q107" s="101" t="s">
        <v>5366</v>
      </c>
      <c r="R107" s="101"/>
      <c r="S107" s="102" t="e">
        <f>S106</f>
        <v>#REF!</v>
      </c>
      <c r="T107" s="103" t="e">
        <f>T106</f>
        <v>#REF!</v>
      </c>
      <c r="U107" s="103" t="e">
        <f t="shared" ref="U107:Z107" si="129">WORKDAY(IF(T108="",T107,T108),INDEX(U$2:U$5,MATCH($I106,$I$2:$I$5,0)),$BB$10:$BB$141)</f>
        <v>#REF!</v>
      </c>
      <c r="V107" s="103" t="e">
        <f t="shared" si="129"/>
        <v>#REF!</v>
      </c>
      <c r="W107" s="103" t="e">
        <f t="shared" si="129"/>
        <v>#REF!</v>
      </c>
      <c r="X107" s="103" t="e">
        <f t="shared" si="129"/>
        <v>#REF!</v>
      </c>
      <c r="Y107" s="103" t="e">
        <f t="shared" si="129"/>
        <v>#REF!</v>
      </c>
      <c r="Z107" s="103" t="e">
        <f t="shared" si="129"/>
        <v>#REF!</v>
      </c>
      <c r="AA107" s="103" t="e">
        <f>WORKDAY(IF(Z108="",X107,Z108),INDEX(AA$2:AA$5,MATCH($I106,$I$2:$I$5,0)),$BB$10:$BB$141)</f>
        <v>#REF!</v>
      </c>
      <c r="AB107" s="104" t="e">
        <f>WORKDAY(AE106+#REF!,0,'[38]Equipment List and MR List (3)'!$A$2:$A$80)</f>
        <v>#REF!</v>
      </c>
      <c r="AC107" s="798"/>
      <c r="AD107" s="105"/>
      <c r="AE107" s="801"/>
      <c r="AF107" s="807"/>
      <c r="AG107" s="810"/>
      <c r="AH107" s="106"/>
      <c r="AI107" s="107"/>
      <c r="AJ107" s="813"/>
      <c r="AK107" s="108"/>
      <c r="AL107" s="109"/>
      <c r="AM107" s="92">
        <f t="shared" ref="AM107:AW107" si="130">IF(ISERROR(LOOKUP(AM$6,$S107:$AB107,$S$9:$AB$9)),0,(LOOKUP(AM$6,$S107:$AB107,$S$9:$AB$9)))</f>
        <v>0</v>
      </c>
      <c r="AN107" s="93">
        <f t="shared" si="130"/>
        <v>0</v>
      </c>
      <c r="AO107" s="93">
        <f t="shared" si="130"/>
        <v>0</v>
      </c>
      <c r="AP107" s="93">
        <f t="shared" si="130"/>
        <v>0</v>
      </c>
      <c r="AQ107" s="93">
        <f t="shared" si="130"/>
        <v>0</v>
      </c>
      <c r="AR107" s="93">
        <f t="shared" si="130"/>
        <v>0</v>
      </c>
      <c r="AS107" s="93">
        <f t="shared" si="130"/>
        <v>0</v>
      </c>
      <c r="AT107" s="93">
        <f t="shared" si="130"/>
        <v>0</v>
      </c>
      <c r="AU107" s="93">
        <f t="shared" si="130"/>
        <v>0</v>
      </c>
      <c r="AV107" s="93">
        <f t="shared" si="130"/>
        <v>0</v>
      </c>
      <c r="AW107" s="93">
        <f t="shared" ca="1" si="130"/>
        <v>0</v>
      </c>
      <c r="BB107" s="94" t="e">
        <v>#REF!</v>
      </c>
    </row>
    <row r="108" spans="1:54" s="20" customFormat="1" ht="18" customHeight="1">
      <c r="A108" s="784"/>
      <c r="B108" s="110"/>
      <c r="C108" s="793"/>
      <c r="D108" s="111" t="str">
        <f>D106</f>
        <v>INS</v>
      </c>
      <c r="E108" s="112" t="str">
        <f>E106</f>
        <v>RFQ-033</v>
      </c>
      <c r="F108" s="113" t="str">
        <f>F106</f>
        <v>N</v>
      </c>
      <c r="G108" s="796"/>
      <c r="H108" s="113" t="str">
        <f>H106</f>
        <v>Vortex Flow Meter</v>
      </c>
      <c r="I108" s="112" t="str">
        <f>I106</f>
        <v>LC</v>
      </c>
      <c r="J108" s="113"/>
      <c r="K108" s="114"/>
      <c r="L108" s="114"/>
      <c r="M108" s="114">
        <v>0.04</v>
      </c>
      <c r="N108" s="112"/>
      <c r="O108" s="112"/>
      <c r="P108" s="112"/>
      <c r="Q108" s="115" t="s">
        <v>368</v>
      </c>
      <c r="R108" s="115"/>
      <c r="S108" s="126"/>
      <c r="T108" s="126"/>
      <c r="U108" s="126"/>
      <c r="V108" s="126"/>
      <c r="W108" s="126"/>
      <c r="X108" s="126"/>
      <c r="Y108" s="126"/>
      <c r="Z108" s="126"/>
      <c r="AA108" s="126"/>
      <c r="AB108" s="126"/>
      <c r="AC108" s="799"/>
      <c r="AD108" s="116"/>
      <c r="AE108" s="801"/>
      <c r="AF108" s="808"/>
      <c r="AG108" s="811"/>
      <c r="AH108" s="117"/>
      <c r="AI108" s="118"/>
      <c r="AJ108" s="814"/>
      <c r="AK108" s="119"/>
      <c r="AL108" s="120"/>
      <c r="AM108" s="121">
        <f t="shared" ref="AM108:AW108" si="131">IF(ISERROR(LOOKUP(AM$6,$S108:$AB108,$S$9:$AB$9)),0,(LOOKUP(AM$6,$S108:$AB108,$S$9:$AB$9)))</f>
        <v>0</v>
      </c>
      <c r="AN108" s="122">
        <f t="shared" si="131"/>
        <v>0</v>
      </c>
      <c r="AO108" s="122">
        <f t="shared" si="131"/>
        <v>0</v>
      </c>
      <c r="AP108" s="122">
        <f t="shared" si="131"/>
        <v>0</v>
      </c>
      <c r="AQ108" s="122">
        <f t="shared" si="131"/>
        <v>0</v>
      </c>
      <c r="AR108" s="122">
        <f t="shared" si="131"/>
        <v>0</v>
      </c>
      <c r="AS108" s="122">
        <f t="shared" si="131"/>
        <v>0</v>
      </c>
      <c r="AT108" s="122">
        <f t="shared" si="131"/>
        <v>0</v>
      </c>
      <c r="AU108" s="122">
        <f t="shared" si="131"/>
        <v>0</v>
      </c>
      <c r="AV108" s="122">
        <f t="shared" si="131"/>
        <v>0</v>
      </c>
      <c r="AW108" s="122">
        <f t="shared" ca="1" si="131"/>
        <v>0</v>
      </c>
      <c r="BB108" s="94" t="e">
        <v>#REF!</v>
      </c>
    </row>
    <row r="109" spans="1:54" s="20" customFormat="1" ht="18" customHeight="1">
      <c r="A109" s="782">
        <f>A106+1</f>
        <v>34</v>
      </c>
      <c r="B109" s="79"/>
      <c r="C109" s="791" t="s">
        <v>5361</v>
      </c>
      <c r="D109" s="80" t="s">
        <v>5392</v>
      </c>
      <c r="E109" s="81" t="s">
        <v>5282</v>
      </c>
      <c r="F109" s="82" t="s">
        <v>73</v>
      </c>
      <c r="G109" s="794" t="s">
        <v>5406</v>
      </c>
      <c r="H109" s="82" t="s">
        <v>5283</v>
      </c>
      <c r="I109" s="81" t="s">
        <v>8</v>
      </c>
      <c r="J109" s="82"/>
      <c r="K109" s="84">
        <f>M111</f>
        <v>0.01</v>
      </c>
      <c r="L109" s="84"/>
      <c r="M109" s="84"/>
      <c r="N109" s="81"/>
      <c r="O109" s="81"/>
      <c r="P109" s="81"/>
      <c r="Q109" s="85" t="s">
        <v>5364</v>
      </c>
      <c r="R109" s="86">
        <f>'Before Award'!U116+5</f>
        <v>46417</v>
      </c>
      <c r="S109" s="86" t="e">
        <f>WORKDAY(R109,INDEX(S$2:S$5,MATCH($I109,$I$2:$I$5,0)),$BB$10:$BB$141)</f>
        <v>#REF!</v>
      </c>
      <c r="T109" s="86" t="e">
        <f>WORKDAY(S109,INDEX(T$2:T$5,MATCH($I109,$I$2:$I$5,0)),$BB$10:$BB$141)</f>
        <v>#REF!</v>
      </c>
      <c r="U109" s="86" t="e">
        <f>T109+30</f>
        <v>#REF!</v>
      </c>
      <c r="V109" s="86"/>
      <c r="W109" s="86">
        <f>AB109-35</f>
        <v>46503</v>
      </c>
      <c r="X109" s="86"/>
      <c r="Y109" s="86"/>
      <c r="Z109" s="86"/>
      <c r="AA109" s="86"/>
      <c r="AB109" s="86">
        <f>'Before Award'!X116</f>
        <v>46538</v>
      </c>
      <c r="AC109" s="797" t="s">
        <v>5365</v>
      </c>
      <c r="AD109" s="87">
        <v>7</v>
      </c>
      <c r="AE109" s="801">
        <f t="shared" ref="AE109" si="132">18*7</f>
        <v>126</v>
      </c>
      <c r="AF109" s="806" t="e">
        <f>AB110</f>
        <v>#REF!</v>
      </c>
      <c r="AG109" s="809">
        <f>WORKDAY(AH109+1,-1,$BA$10:$BA$141)</f>
        <v>46538</v>
      </c>
      <c r="AH109" s="88">
        <v>46538</v>
      </c>
      <c r="AI109" s="89"/>
      <c r="AJ109" s="812" t="e">
        <f>AG109-AF109</f>
        <v>#REF!</v>
      </c>
      <c r="AK109" s="90"/>
      <c r="AL109" s="91"/>
      <c r="AM109" s="92">
        <f t="shared" ref="AM109:AW109" si="133">IF(ISERROR(LOOKUP(AM$6,$S109:$AB109,$S$9:$AB$9)),0,(LOOKUP(AM$6,$S109:$AB109,$S$9:$AB$9)))</f>
        <v>0</v>
      </c>
      <c r="AN109" s="93">
        <f t="shared" si="133"/>
        <v>0</v>
      </c>
      <c r="AO109" s="93">
        <f t="shared" si="133"/>
        <v>0</v>
      </c>
      <c r="AP109" s="93">
        <f t="shared" si="133"/>
        <v>0</v>
      </c>
      <c r="AQ109" s="93">
        <f t="shared" si="133"/>
        <v>0</v>
      </c>
      <c r="AR109" s="93">
        <f t="shared" si="133"/>
        <v>0</v>
      </c>
      <c r="AS109" s="93">
        <f t="shared" si="133"/>
        <v>0</v>
      </c>
      <c r="AT109" s="93">
        <f t="shared" si="133"/>
        <v>0</v>
      </c>
      <c r="AU109" s="93">
        <f t="shared" si="133"/>
        <v>0</v>
      </c>
      <c r="AV109" s="93">
        <f t="shared" si="133"/>
        <v>0</v>
      </c>
      <c r="AW109" s="93">
        <f t="shared" ca="1" si="133"/>
        <v>0</v>
      </c>
      <c r="BB109" s="94" t="e">
        <v>#REF!</v>
      </c>
    </row>
    <row r="110" spans="1:54" s="20" customFormat="1" ht="18" customHeight="1">
      <c r="A110" s="783"/>
      <c r="B110" s="95"/>
      <c r="C110" s="792"/>
      <c r="D110" s="96" t="str">
        <f>D109</f>
        <v>INS</v>
      </c>
      <c r="E110" s="97" t="str">
        <f>E109</f>
        <v>RFQ-034</v>
      </c>
      <c r="F110" s="98" t="str">
        <f>F109</f>
        <v>N</v>
      </c>
      <c r="G110" s="795"/>
      <c r="H110" s="98" t="str">
        <f>H109</f>
        <v>Level Transmitter and Gauge</v>
      </c>
      <c r="I110" s="97" t="str">
        <f>I109</f>
        <v>LC</v>
      </c>
      <c r="J110" s="98"/>
      <c r="K110" s="100"/>
      <c r="L110" s="100">
        <f>M111</f>
        <v>0.01</v>
      </c>
      <c r="M110" s="100"/>
      <c r="N110" s="97"/>
      <c r="O110" s="97"/>
      <c r="P110" s="97"/>
      <c r="Q110" s="101" t="s">
        <v>5366</v>
      </c>
      <c r="R110" s="101"/>
      <c r="S110" s="102" t="e">
        <f>S109</f>
        <v>#REF!</v>
      </c>
      <c r="T110" s="103" t="e">
        <f>T109</f>
        <v>#REF!</v>
      </c>
      <c r="U110" s="103" t="e">
        <f t="shared" ref="U110:Z110" si="134">WORKDAY(IF(T111="",T110,T111),INDEX(U$2:U$5,MATCH($I109,$I$2:$I$5,0)),$BB$10:$BB$141)</f>
        <v>#REF!</v>
      </c>
      <c r="V110" s="103" t="e">
        <f t="shared" si="134"/>
        <v>#REF!</v>
      </c>
      <c r="W110" s="103" t="e">
        <f t="shared" si="134"/>
        <v>#REF!</v>
      </c>
      <c r="X110" s="103" t="e">
        <f t="shared" si="134"/>
        <v>#REF!</v>
      </c>
      <c r="Y110" s="103" t="e">
        <f t="shared" si="134"/>
        <v>#REF!</v>
      </c>
      <c r="Z110" s="103" t="e">
        <f t="shared" si="134"/>
        <v>#REF!</v>
      </c>
      <c r="AA110" s="103" t="e">
        <f>WORKDAY(IF(Z111="",X110,Z111),INDEX(AA$2:AA$5,MATCH($I109,$I$2:$I$5,0)),$BB$10:$BB$141)</f>
        <v>#REF!</v>
      </c>
      <c r="AB110" s="104" t="e">
        <f>WORKDAY(AE109+#REF!,0,'[38]Equipment List and MR List (3)'!$A$2:$A$80)</f>
        <v>#REF!</v>
      </c>
      <c r="AC110" s="798"/>
      <c r="AD110" s="105"/>
      <c r="AE110" s="801"/>
      <c r="AF110" s="807"/>
      <c r="AG110" s="810"/>
      <c r="AH110" s="106"/>
      <c r="AI110" s="107"/>
      <c r="AJ110" s="813"/>
      <c r="AK110" s="108"/>
      <c r="AL110" s="109"/>
      <c r="AM110" s="92">
        <f t="shared" ref="AM110:AW110" si="135">IF(ISERROR(LOOKUP(AM$6,$S110:$AB110,$S$9:$AB$9)),0,(LOOKUP(AM$6,$S110:$AB110,$S$9:$AB$9)))</f>
        <v>0</v>
      </c>
      <c r="AN110" s="93">
        <f t="shared" si="135"/>
        <v>0</v>
      </c>
      <c r="AO110" s="93">
        <f t="shared" si="135"/>
        <v>0</v>
      </c>
      <c r="AP110" s="93">
        <f t="shared" si="135"/>
        <v>0</v>
      </c>
      <c r="AQ110" s="93">
        <f t="shared" si="135"/>
        <v>0</v>
      </c>
      <c r="AR110" s="93">
        <f t="shared" si="135"/>
        <v>0</v>
      </c>
      <c r="AS110" s="93">
        <f t="shared" si="135"/>
        <v>0</v>
      </c>
      <c r="AT110" s="93">
        <f t="shared" si="135"/>
        <v>0</v>
      </c>
      <c r="AU110" s="93">
        <f t="shared" si="135"/>
        <v>0</v>
      </c>
      <c r="AV110" s="93">
        <f t="shared" si="135"/>
        <v>0</v>
      </c>
      <c r="AW110" s="93">
        <f t="shared" ca="1" si="135"/>
        <v>0</v>
      </c>
      <c r="BB110" s="94" t="e">
        <v>#REF!</v>
      </c>
    </row>
    <row r="111" spans="1:54" s="20" customFormat="1" ht="18" customHeight="1">
      <c r="A111" s="784"/>
      <c r="B111" s="110"/>
      <c r="C111" s="793"/>
      <c r="D111" s="111" t="str">
        <f>D109</f>
        <v>INS</v>
      </c>
      <c r="E111" s="112" t="str">
        <f>E109</f>
        <v>RFQ-034</v>
      </c>
      <c r="F111" s="113" t="str">
        <f>F109</f>
        <v>N</v>
      </c>
      <c r="G111" s="796"/>
      <c r="H111" s="113" t="str">
        <f>H109</f>
        <v>Level Transmitter and Gauge</v>
      </c>
      <c r="I111" s="112" t="str">
        <f>I109</f>
        <v>LC</v>
      </c>
      <c r="J111" s="113"/>
      <c r="K111" s="114"/>
      <c r="L111" s="114"/>
      <c r="M111" s="114">
        <v>0.01</v>
      </c>
      <c r="N111" s="112"/>
      <c r="O111" s="112"/>
      <c r="P111" s="112"/>
      <c r="Q111" s="115" t="s">
        <v>368</v>
      </c>
      <c r="R111" s="115"/>
      <c r="S111" s="126"/>
      <c r="T111" s="126"/>
      <c r="U111" s="126"/>
      <c r="V111" s="126"/>
      <c r="W111" s="126"/>
      <c r="X111" s="126"/>
      <c r="Y111" s="126"/>
      <c r="Z111" s="126"/>
      <c r="AA111" s="126"/>
      <c r="AB111" s="126"/>
      <c r="AC111" s="799"/>
      <c r="AD111" s="116"/>
      <c r="AE111" s="801"/>
      <c r="AF111" s="808"/>
      <c r="AG111" s="811"/>
      <c r="AH111" s="117"/>
      <c r="AI111" s="118"/>
      <c r="AJ111" s="814"/>
      <c r="AK111" s="119"/>
      <c r="AL111" s="120"/>
      <c r="AM111" s="121">
        <f t="shared" ref="AM111:AW111" si="136">IF(ISERROR(LOOKUP(AM$6,$S111:$AB111,$S$9:$AB$9)),0,(LOOKUP(AM$6,$S111:$AB111,$S$9:$AB$9)))</f>
        <v>0</v>
      </c>
      <c r="AN111" s="122">
        <f t="shared" si="136"/>
        <v>0</v>
      </c>
      <c r="AO111" s="122">
        <f t="shared" si="136"/>
        <v>0</v>
      </c>
      <c r="AP111" s="122">
        <f t="shared" si="136"/>
        <v>0</v>
      </c>
      <c r="AQ111" s="122">
        <f t="shared" si="136"/>
        <v>0</v>
      </c>
      <c r="AR111" s="122">
        <f t="shared" si="136"/>
        <v>0</v>
      </c>
      <c r="AS111" s="122">
        <f t="shared" si="136"/>
        <v>0</v>
      </c>
      <c r="AT111" s="122">
        <f t="shared" si="136"/>
        <v>0</v>
      </c>
      <c r="AU111" s="122">
        <f t="shared" si="136"/>
        <v>0</v>
      </c>
      <c r="AV111" s="122">
        <f t="shared" si="136"/>
        <v>0</v>
      </c>
      <c r="AW111" s="122">
        <f t="shared" ca="1" si="136"/>
        <v>0</v>
      </c>
      <c r="BB111" s="94" t="e">
        <v>#REF!</v>
      </c>
    </row>
    <row r="112" spans="1:54" s="20" customFormat="1" ht="18" customHeight="1">
      <c r="A112" s="782">
        <f>A109+1</f>
        <v>35</v>
      </c>
      <c r="B112" s="79"/>
      <c r="C112" s="791" t="s">
        <v>5361</v>
      </c>
      <c r="D112" s="80" t="s">
        <v>5392</v>
      </c>
      <c r="E112" s="81" t="s">
        <v>5284</v>
      </c>
      <c r="F112" s="82" t="s">
        <v>73</v>
      </c>
      <c r="G112" s="794" t="s">
        <v>5407</v>
      </c>
      <c r="H112" s="82" t="s">
        <v>180</v>
      </c>
      <c r="I112" s="81" t="s">
        <v>8</v>
      </c>
      <c r="J112" s="82"/>
      <c r="K112" s="84">
        <f>M114</f>
        <v>5.0000000000000001E-3</v>
      </c>
      <c r="L112" s="84"/>
      <c r="M112" s="84"/>
      <c r="N112" s="81"/>
      <c r="O112" s="81"/>
      <c r="P112" s="81"/>
      <c r="Q112" s="85" t="s">
        <v>5364</v>
      </c>
      <c r="R112" s="86">
        <f>'Before Award'!U119+5</f>
        <v>46417</v>
      </c>
      <c r="S112" s="86" t="e">
        <f>WORKDAY(R112,INDEX(S$2:S$5,MATCH($I112,$I$2:$I$5,0)),$BB$10:$BB$141)</f>
        <v>#REF!</v>
      </c>
      <c r="T112" s="86" t="e">
        <f>WORKDAY(S112,INDEX(T$2:T$5,MATCH($I112,$I$2:$I$5,0)),$BB$10:$BB$141)</f>
        <v>#REF!</v>
      </c>
      <c r="U112" s="86" t="e">
        <f>T112+30</f>
        <v>#REF!</v>
      </c>
      <c r="V112" s="86"/>
      <c r="W112" s="86">
        <f>AB112-35</f>
        <v>46503</v>
      </c>
      <c r="X112" s="86"/>
      <c r="Y112" s="86"/>
      <c r="Z112" s="86"/>
      <c r="AA112" s="86"/>
      <c r="AB112" s="86">
        <f>'Before Award'!X119</f>
        <v>46538</v>
      </c>
      <c r="AC112" s="797" t="s">
        <v>5365</v>
      </c>
      <c r="AD112" s="87">
        <v>7</v>
      </c>
      <c r="AE112" s="801">
        <f>18*7</f>
        <v>126</v>
      </c>
      <c r="AF112" s="806" t="e">
        <f>AB113</f>
        <v>#REF!</v>
      </c>
      <c r="AG112" s="809">
        <f>WORKDAY(AH112+1,-1,$BA$10:$BA$141)</f>
        <v>46538</v>
      </c>
      <c r="AH112" s="88">
        <v>46538</v>
      </c>
      <c r="AI112" s="89"/>
      <c r="AJ112" s="812" t="e">
        <f>AG112-AF112</f>
        <v>#REF!</v>
      </c>
      <c r="AK112" s="90"/>
      <c r="AL112" s="91"/>
      <c r="AM112" s="92">
        <f t="shared" ref="AM112:AW112" si="137">IF(ISERROR(LOOKUP(AM$6,$S112:$AB112,$S$9:$AB$9)),0,(LOOKUP(AM$6,$S112:$AB112,$S$9:$AB$9)))</f>
        <v>0</v>
      </c>
      <c r="AN112" s="93">
        <f t="shared" si="137"/>
        <v>0</v>
      </c>
      <c r="AO112" s="93">
        <f t="shared" si="137"/>
        <v>0</v>
      </c>
      <c r="AP112" s="93">
        <f t="shared" si="137"/>
        <v>0</v>
      </c>
      <c r="AQ112" s="93">
        <f t="shared" si="137"/>
        <v>0</v>
      </c>
      <c r="AR112" s="93">
        <f t="shared" si="137"/>
        <v>0</v>
      </c>
      <c r="AS112" s="93">
        <f t="shared" si="137"/>
        <v>0</v>
      </c>
      <c r="AT112" s="93">
        <f t="shared" si="137"/>
        <v>0</v>
      </c>
      <c r="AU112" s="93">
        <f t="shared" si="137"/>
        <v>0</v>
      </c>
      <c r="AV112" s="93">
        <f t="shared" si="137"/>
        <v>0</v>
      </c>
      <c r="AW112" s="93">
        <f t="shared" ca="1" si="137"/>
        <v>0</v>
      </c>
      <c r="BB112" s="94" t="e">
        <v>#REF!</v>
      </c>
    </row>
    <row r="113" spans="1:54" s="20" customFormat="1" ht="18" customHeight="1">
      <c r="A113" s="783"/>
      <c r="B113" s="95"/>
      <c r="C113" s="792"/>
      <c r="D113" s="96" t="str">
        <f>D112</f>
        <v>INS</v>
      </c>
      <c r="E113" s="97" t="str">
        <f>E112</f>
        <v>RFQ-035</v>
      </c>
      <c r="F113" s="98" t="str">
        <f>F112</f>
        <v>N</v>
      </c>
      <c r="G113" s="795"/>
      <c r="H113" s="98" t="str">
        <f>H112</f>
        <v>Pig Signaller</v>
      </c>
      <c r="I113" s="97" t="str">
        <f>I112</f>
        <v>LC</v>
      </c>
      <c r="J113" s="98"/>
      <c r="K113" s="100"/>
      <c r="L113" s="100">
        <f>M114</f>
        <v>5.0000000000000001E-3</v>
      </c>
      <c r="M113" s="100"/>
      <c r="N113" s="97"/>
      <c r="O113" s="97"/>
      <c r="P113" s="97"/>
      <c r="Q113" s="101" t="s">
        <v>5366</v>
      </c>
      <c r="R113" s="101"/>
      <c r="S113" s="102" t="e">
        <f>S112</f>
        <v>#REF!</v>
      </c>
      <c r="T113" s="103" t="e">
        <f>T112</f>
        <v>#REF!</v>
      </c>
      <c r="U113" s="103" t="e">
        <f t="shared" ref="U113:Z113" si="138">WORKDAY(IF(T114="",T113,T114),INDEX(U$2:U$5,MATCH($I112,$I$2:$I$5,0)),$BB$10:$BB$141)</f>
        <v>#REF!</v>
      </c>
      <c r="V113" s="103" t="e">
        <f t="shared" si="138"/>
        <v>#REF!</v>
      </c>
      <c r="W113" s="103" t="e">
        <f t="shared" si="138"/>
        <v>#REF!</v>
      </c>
      <c r="X113" s="103" t="e">
        <f t="shared" si="138"/>
        <v>#REF!</v>
      </c>
      <c r="Y113" s="103" t="e">
        <f t="shared" si="138"/>
        <v>#REF!</v>
      </c>
      <c r="Z113" s="103" t="e">
        <f t="shared" si="138"/>
        <v>#REF!</v>
      </c>
      <c r="AA113" s="103" t="e">
        <f>WORKDAY(IF(Z114="",X113,Z114),INDEX(AA$2:AA$5,MATCH($I112,$I$2:$I$5,0)),$BB$10:$BB$141)</f>
        <v>#REF!</v>
      </c>
      <c r="AB113" s="104" t="e">
        <f>WORKDAY(AE112+#REF!,0,'[38]Equipment List and MR List (3)'!$A$2:$A$80)</f>
        <v>#REF!</v>
      </c>
      <c r="AC113" s="798"/>
      <c r="AD113" s="105"/>
      <c r="AE113" s="801"/>
      <c r="AF113" s="807"/>
      <c r="AG113" s="810"/>
      <c r="AH113" s="106"/>
      <c r="AI113" s="107"/>
      <c r="AJ113" s="813"/>
      <c r="AK113" s="108"/>
      <c r="AL113" s="109"/>
      <c r="AM113" s="92">
        <f t="shared" ref="AM113:AW113" si="139">IF(ISERROR(LOOKUP(AM$6,$S113:$AB113,$S$9:$AB$9)),0,(LOOKUP(AM$6,$S113:$AB113,$S$9:$AB$9)))</f>
        <v>0</v>
      </c>
      <c r="AN113" s="93">
        <f t="shared" si="139"/>
        <v>0</v>
      </c>
      <c r="AO113" s="93">
        <f t="shared" si="139"/>
        <v>0</v>
      </c>
      <c r="AP113" s="93">
        <f t="shared" si="139"/>
        <v>0</v>
      </c>
      <c r="AQ113" s="93">
        <f t="shared" si="139"/>
        <v>0</v>
      </c>
      <c r="AR113" s="93">
        <f t="shared" si="139"/>
        <v>0</v>
      </c>
      <c r="AS113" s="93">
        <f t="shared" si="139"/>
        <v>0</v>
      </c>
      <c r="AT113" s="93">
        <f t="shared" si="139"/>
        <v>0</v>
      </c>
      <c r="AU113" s="93">
        <f t="shared" si="139"/>
        <v>0</v>
      </c>
      <c r="AV113" s="93">
        <f t="shared" si="139"/>
        <v>0</v>
      </c>
      <c r="AW113" s="93">
        <f t="shared" ca="1" si="139"/>
        <v>0</v>
      </c>
      <c r="BB113" s="94" t="e">
        <v>#REF!</v>
      </c>
    </row>
    <row r="114" spans="1:54" s="20" customFormat="1" ht="18" customHeight="1">
      <c r="A114" s="784"/>
      <c r="B114" s="110"/>
      <c r="C114" s="793"/>
      <c r="D114" s="111" t="str">
        <f>D112</f>
        <v>INS</v>
      </c>
      <c r="E114" s="112" t="str">
        <f>E112</f>
        <v>RFQ-035</v>
      </c>
      <c r="F114" s="113" t="str">
        <f>F112</f>
        <v>N</v>
      </c>
      <c r="G114" s="796"/>
      <c r="H114" s="113" t="str">
        <f>H112</f>
        <v>Pig Signaller</v>
      </c>
      <c r="I114" s="112" t="str">
        <f>I112</f>
        <v>LC</v>
      </c>
      <c r="J114" s="113"/>
      <c r="K114" s="114"/>
      <c r="L114" s="114"/>
      <c r="M114" s="114">
        <v>5.0000000000000001E-3</v>
      </c>
      <c r="N114" s="112"/>
      <c r="O114" s="112"/>
      <c r="P114" s="112"/>
      <c r="Q114" s="115" t="s">
        <v>368</v>
      </c>
      <c r="R114" s="115"/>
      <c r="S114" s="126"/>
      <c r="T114" s="126"/>
      <c r="U114" s="126"/>
      <c r="V114" s="126"/>
      <c r="W114" s="126"/>
      <c r="X114" s="126"/>
      <c r="Y114" s="126"/>
      <c r="Z114" s="126"/>
      <c r="AA114" s="126"/>
      <c r="AB114" s="126"/>
      <c r="AC114" s="799"/>
      <c r="AD114" s="116"/>
      <c r="AE114" s="801"/>
      <c r="AF114" s="808"/>
      <c r="AG114" s="811"/>
      <c r="AH114" s="117"/>
      <c r="AI114" s="118"/>
      <c r="AJ114" s="814"/>
      <c r="AK114" s="119"/>
      <c r="AL114" s="120"/>
      <c r="AM114" s="121">
        <f t="shared" ref="AM114:AW114" si="140">IF(ISERROR(LOOKUP(AM$6,$S114:$AB114,$S$9:$AB$9)),0,(LOOKUP(AM$6,$S114:$AB114,$S$9:$AB$9)))</f>
        <v>0</v>
      </c>
      <c r="AN114" s="122">
        <f t="shared" si="140"/>
        <v>0</v>
      </c>
      <c r="AO114" s="122">
        <f t="shared" si="140"/>
        <v>0</v>
      </c>
      <c r="AP114" s="122">
        <f t="shared" si="140"/>
        <v>0</v>
      </c>
      <c r="AQ114" s="122">
        <f t="shared" si="140"/>
        <v>0</v>
      </c>
      <c r="AR114" s="122">
        <f t="shared" si="140"/>
        <v>0</v>
      </c>
      <c r="AS114" s="122">
        <f t="shared" si="140"/>
        <v>0</v>
      </c>
      <c r="AT114" s="122">
        <f t="shared" si="140"/>
        <v>0</v>
      </c>
      <c r="AU114" s="122">
        <f t="shared" si="140"/>
        <v>0</v>
      </c>
      <c r="AV114" s="122">
        <f t="shared" si="140"/>
        <v>0</v>
      </c>
      <c r="AW114" s="122">
        <f t="shared" ca="1" si="140"/>
        <v>0</v>
      </c>
      <c r="BB114" s="94" t="e">
        <v>#REF!</v>
      </c>
    </row>
    <row r="115" spans="1:54" s="20" customFormat="1" ht="18" customHeight="1">
      <c r="A115" s="782">
        <f>A112+1</f>
        <v>36</v>
      </c>
      <c r="B115" s="79"/>
      <c r="C115" s="791" t="s">
        <v>5361</v>
      </c>
      <c r="D115" s="80" t="s">
        <v>5392</v>
      </c>
      <c r="E115" s="81" t="s">
        <v>5285</v>
      </c>
      <c r="F115" s="82" t="s">
        <v>73</v>
      </c>
      <c r="G115" s="794" t="s">
        <v>5408</v>
      </c>
      <c r="H115" s="82" t="s">
        <v>184</v>
      </c>
      <c r="I115" s="81" t="s">
        <v>8</v>
      </c>
      <c r="J115" s="82"/>
      <c r="K115" s="84">
        <f>M117</f>
        <v>5.0000000000000001E-3</v>
      </c>
      <c r="L115" s="84"/>
      <c r="M115" s="84"/>
      <c r="N115" s="81"/>
      <c r="O115" s="81"/>
      <c r="P115" s="81"/>
      <c r="Q115" s="85" t="s">
        <v>5364</v>
      </c>
      <c r="R115" s="86">
        <f>'Before Award'!U122+5</f>
        <v>46389</v>
      </c>
      <c r="S115" s="86" t="e">
        <f>WORKDAY(R115,INDEX(S$2:S$5,MATCH($I115,$I$2:$I$5,0)),$BB$10:$BB$141)</f>
        <v>#REF!</v>
      </c>
      <c r="T115" s="86" t="e">
        <f>WORKDAY(S115,INDEX(T$2:T$5,MATCH($I115,$I$2:$I$5,0)),$BB$10:$BB$141)</f>
        <v>#REF!</v>
      </c>
      <c r="U115" s="86" t="e">
        <f>T115+30</f>
        <v>#REF!</v>
      </c>
      <c r="V115" s="86"/>
      <c r="W115" s="86">
        <f>AB115-35</f>
        <v>46503</v>
      </c>
      <c r="X115" s="86"/>
      <c r="Y115" s="86"/>
      <c r="Z115" s="86"/>
      <c r="AA115" s="86"/>
      <c r="AB115" s="86">
        <f>'Before Award'!X122</f>
        <v>46538</v>
      </c>
      <c r="AC115" s="797" t="s">
        <v>5365</v>
      </c>
      <c r="AD115" s="87">
        <v>7</v>
      </c>
      <c r="AE115" s="801">
        <v>154</v>
      </c>
      <c r="AF115" s="806" t="e">
        <f>AB116</f>
        <v>#REF!</v>
      </c>
      <c r="AG115" s="809">
        <f>WORKDAY(AH115+1,-1,$BA$10:$BA$141)</f>
        <v>46538</v>
      </c>
      <c r="AH115" s="88">
        <v>46538</v>
      </c>
      <c r="AI115" s="89"/>
      <c r="AJ115" s="812" t="e">
        <f>AG115-AF115</f>
        <v>#REF!</v>
      </c>
      <c r="AK115" s="90"/>
      <c r="AL115" s="91"/>
      <c r="AM115" s="92">
        <f t="shared" ref="AM115:AW115" si="141">IF(ISERROR(LOOKUP(AM$6,$S115:$AB115,$S$9:$AB$9)),0,(LOOKUP(AM$6,$S115:$AB115,$S$9:$AB$9)))</f>
        <v>0</v>
      </c>
      <c r="AN115" s="93">
        <f t="shared" si="141"/>
        <v>0</v>
      </c>
      <c r="AO115" s="93">
        <f t="shared" si="141"/>
        <v>0</v>
      </c>
      <c r="AP115" s="93">
        <f t="shared" si="141"/>
        <v>0</v>
      </c>
      <c r="AQ115" s="93">
        <f t="shared" si="141"/>
        <v>0</v>
      </c>
      <c r="AR115" s="93">
        <f t="shared" si="141"/>
        <v>0</v>
      </c>
      <c r="AS115" s="93">
        <f t="shared" si="141"/>
        <v>0</v>
      </c>
      <c r="AT115" s="93">
        <f t="shared" si="141"/>
        <v>0</v>
      </c>
      <c r="AU115" s="93">
        <f t="shared" si="141"/>
        <v>0</v>
      </c>
      <c r="AV115" s="93">
        <f t="shared" si="141"/>
        <v>0</v>
      </c>
      <c r="AW115" s="93">
        <f t="shared" ca="1" si="141"/>
        <v>0</v>
      </c>
      <c r="BB115" s="94" t="e">
        <v>#REF!</v>
      </c>
    </row>
    <row r="116" spans="1:54" s="20" customFormat="1" ht="18" customHeight="1">
      <c r="A116" s="783"/>
      <c r="B116" s="95"/>
      <c r="C116" s="792"/>
      <c r="D116" s="96" t="str">
        <f>D115</f>
        <v>INS</v>
      </c>
      <c r="E116" s="97" t="str">
        <f>E115</f>
        <v>RFQ-036</v>
      </c>
      <c r="F116" s="98" t="str">
        <f>F115</f>
        <v>N</v>
      </c>
      <c r="G116" s="795"/>
      <c r="H116" s="98" t="str">
        <f>H115</f>
        <v>Rrestriction Orifice</v>
      </c>
      <c r="I116" s="97" t="str">
        <f>I115</f>
        <v>LC</v>
      </c>
      <c r="J116" s="98"/>
      <c r="K116" s="100"/>
      <c r="L116" s="100">
        <f>M117</f>
        <v>5.0000000000000001E-3</v>
      </c>
      <c r="M116" s="100"/>
      <c r="N116" s="97"/>
      <c r="O116" s="97"/>
      <c r="P116" s="97"/>
      <c r="Q116" s="101" t="s">
        <v>5366</v>
      </c>
      <c r="R116" s="101"/>
      <c r="S116" s="102" t="e">
        <f>S115</f>
        <v>#REF!</v>
      </c>
      <c r="T116" s="103" t="e">
        <f>T115</f>
        <v>#REF!</v>
      </c>
      <c r="U116" s="103" t="e">
        <f t="shared" ref="U116:Z116" si="142">WORKDAY(IF(T117="",T116,T117),INDEX(U$2:U$5,MATCH($I115,$I$2:$I$5,0)),$BB$10:$BB$141)</f>
        <v>#REF!</v>
      </c>
      <c r="V116" s="103" t="e">
        <f t="shared" si="142"/>
        <v>#REF!</v>
      </c>
      <c r="W116" s="103" t="e">
        <f t="shared" si="142"/>
        <v>#REF!</v>
      </c>
      <c r="X116" s="103" t="e">
        <f t="shared" si="142"/>
        <v>#REF!</v>
      </c>
      <c r="Y116" s="103" t="e">
        <f t="shared" si="142"/>
        <v>#REF!</v>
      </c>
      <c r="Z116" s="103" t="e">
        <f t="shared" si="142"/>
        <v>#REF!</v>
      </c>
      <c r="AA116" s="103" t="e">
        <f>WORKDAY(IF(Z117="",X116,Z117),INDEX(AA$2:AA$5,MATCH($I115,$I$2:$I$5,0)),$BB$10:$BB$141)</f>
        <v>#REF!</v>
      </c>
      <c r="AB116" s="104" t="e">
        <f>WORKDAY(AE115+#REF!,0,'[38]Equipment List and MR List (3)'!$A$2:$A$80)</f>
        <v>#REF!</v>
      </c>
      <c r="AC116" s="798"/>
      <c r="AD116" s="105"/>
      <c r="AE116" s="801"/>
      <c r="AF116" s="807"/>
      <c r="AG116" s="810"/>
      <c r="AH116" s="106"/>
      <c r="AI116" s="107"/>
      <c r="AJ116" s="813"/>
      <c r="AK116" s="108"/>
      <c r="AL116" s="109"/>
      <c r="AM116" s="92">
        <f t="shared" ref="AM116:AW116" si="143">IF(ISERROR(LOOKUP(AM$6,$S116:$AB116,$S$9:$AB$9)),0,(LOOKUP(AM$6,$S116:$AB116,$S$9:$AB$9)))</f>
        <v>0</v>
      </c>
      <c r="AN116" s="93">
        <f t="shared" si="143"/>
        <v>0</v>
      </c>
      <c r="AO116" s="93">
        <f t="shared" si="143"/>
        <v>0</v>
      </c>
      <c r="AP116" s="93">
        <f t="shared" si="143"/>
        <v>0</v>
      </c>
      <c r="AQ116" s="93">
        <f t="shared" si="143"/>
        <v>0</v>
      </c>
      <c r="AR116" s="93">
        <f t="shared" si="143"/>
        <v>0</v>
      </c>
      <c r="AS116" s="93">
        <f t="shared" si="143"/>
        <v>0</v>
      </c>
      <c r="AT116" s="93">
        <f t="shared" si="143"/>
        <v>0</v>
      </c>
      <c r="AU116" s="93">
        <f t="shared" si="143"/>
        <v>0</v>
      </c>
      <c r="AV116" s="93">
        <f t="shared" si="143"/>
        <v>0</v>
      </c>
      <c r="AW116" s="93">
        <f t="shared" ca="1" si="143"/>
        <v>0</v>
      </c>
      <c r="BB116" s="94" t="e">
        <v>#REF!</v>
      </c>
    </row>
    <row r="117" spans="1:54" s="20" customFormat="1" ht="18" customHeight="1">
      <c r="A117" s="784"/>
      <c r="B117" s="110"/>
      <c r="C117" s="793"/>
      <c r="D117" s="111" t="str">
        <f>D115</f>
        <v>INS</v>
      </c>
      <c r="E117" s="112" t="str">
        <f>E115</f>
        <v>RFQ-036</v>
      </c>
      <c r="F117" s="113" t="str">
        <f>F115</f>
        <v>N</v>
      </c>
      <c r="G117" s="796"/>
      <c r="H117" s="113" t="str">
        <f>H115</f>
        <v>Rrestriction Orifice</v>
      </c>
      <c r="I117" s="112" t="str">
        <f>I115</f>
        <v>LC</v>
      </c>
      <c r="J117" s="113"/>
      <c r="K117" s="114"/>
      <c r="L117" s="114"/>
      <c r="M117" s="114">
        <v>5.0000000000000001E-3</v>
      </c>
      <c r="N117" s="112"/>
      <c r="O117" s="112"/>
      <c r="P117" s="112"/>
      <c r="Q117" s="115" t="s">
        <v>368</v>
      </c>
      <c r="R117" s="115"/>
      <c r="S117" s="126"/>
      <c r="T117" s="126"/>
      <c r="U117" s="126"/>
      <c r="V117" s="126"/>
      <c r="W117" s="126"/>
      <c r="X117" s="126"/>
      <c r="Y117" s="126"/>
      <c r="Z117" s="126"/>
      <c r="AA117" s="126"/>
      <c r="AB117" s="126"/>
      <c r="AC117" s="799"/>
      <c r="AD117" s="116"/>
      <c r="AE117" s="801"/>
      <c r="AF117" s="808"/>
      <c r="AG117" s="811"/>
      <c r="AH117" s="117"/>
      <c r="AI117" s="118"/>
      <c r="AJ117" s="814"/>
      <c r="AK117" s="119"/>
      <c r="AL117" s="120"/>
      <c r="AM117" s="121">
        <f t="shared" ref="AM117:AW117" si="144">IF(ISERROR(LOOKUP(AM$6,$S117:$AB117,$S$9:$AB$9)),0,(LOOKUP(AM$6,$S117:$AB117,$S$9:$AB$9)))</f>
        <v>0</v>
      </c>
      <c r="AN117" s="122">
        <f t="shared" si="144"/>
        <v>0</v>
      </c>
      <c r="AO117" s="122">
        <f t="shared" si="144"/>
        <v>0</v>
      </c>
      <c r="AP117" s="122">
        <f t="shared" si="144"/>
        <v>0</v>
      </c>
      <c r="AQ117" s="122">
        <f t="shared" si="144"/>
        <v>0</v>
      </c>
      <c r="AR117" s="122">
        <f t="shared" si="144"/>
        <v>0</v>
      </c>
      <c r="AS117" s="122">
        <f t="shared" si="144"/>
        <v>0</v>
      </c>
      <c r="AT117" s="122">
        <f t="shared" si="144"/>
        <v>0</v>
      </c>
      <c r="AU117" s="122">
        <f t="shared" si="144"/>
        <v>0</v>
      </c>
      <c r="AV117" s="122">
        <f t="shared" si="144"/>
        <v>0</v>
      </c>
      <c r="AW117" s="122">
        <f t="shared" ca="1" si="144"/>
        <v>0</v>
      </c>
      <c r="BB117" s="94" t="e">
        <v>#REF!</v>
      </c>
    </row>
    <row r="118" spans="1:54" s="20" customFormat="1" ht="18" customHeight="1">
      <c r="A118" s="782">
        <f>A115+1</f>
        <v>37</v>
      </c>
      <c r="B118" s="79"/>
      <c r="C118" s="791" t="s">
        <v>5361</v>
      </c>
      <c r="D118" s="80" t="s">
        <v>5392</v>
      </c>
      <c r="E118" s="81" t="s">
        <v>5286</v>
      </c>
      <c r="F118" s="82" t="s">
        <v>73</v>
      </c>
      <c r="G118" s="794" t="s">
        <v>5409</v>
      </c>
      <c r="H118" s="82" t="s">
        <v>186</v>
      </c>
      <c r="I118" s="81" t="s">
        <v>7</v>
      </c>
      <c r="J118" s="82"/>
      <c r="K118" s="84">
        <f>M120</f>
        <v>5.0000000000000001E-3</v>
      </c>
      <c r="L118" s="84"/>
      <c r="M118" s="84"/>
      <c r="N118" s="81"/>
      <c r="O118" s="81"/>
      <c r="P118" s="81"/>
      <c r="Q118" s="85" t="s">
        <v>5364</v>
      </c>
      <c r="R118" s="86">
        <f>'Before Award'!U125+5</f>
        <v>46291</v>
      </c>
      <c r="S118" s="86" t="e">
        <f>WORKDAY(R118,INDEX(S$2:S$5,MATCH($I118,$I$2:$I$5,0)),$BB$10:$BB$141)</f>
        <v>#REF!</v>
      </c>
      <c r="T118" s="86" t="e">
        <f>WORKDAY(S118,INDEX(T$2:T$5,MATCH($I118,$I$2:$I$5,0)),$BB$10:$BB$141)</f>
        <v>#REF!</v>
      </c>
      <c r="U118" s="86" t="e">
        <f>T118+30</f>
        <v>#REF!</v>
      </c>
      <c r="V118" s="86"/>
      <c r="W118" s="86">
        <f>AB118-35</f>
        <v>46503</v>
      </c>
      <c r="X118" s="86"/>
      <c r="Y118" s="86"/>
      <c r="Z118" s="86"/>
      <c r="AA118" s="86"/>
      <c r="AB118" s="86">
        <f>'Before Award'!X125</f>
        <v>46538</v>
      </c>
      <c r="AC118" s="797" t="s">
        <v>5365</v>
      </c>
      <c r="AD118" s="87">
        <v>7</v>
      </c>
      <c r="AE118" s="801">
        <f>36*7</f>
        <v>252</v>
      </c>
      <c r="AF118" s="806" t="e">
        <f>AB119</f>
        <v>#REF!</v>
      </c>
      <c r="AG118" s="809">
        <f>WORKDAY(AH118+1,-1,$BA$10:$BA$141)</f>
        <v>46538</v>
      </c>
      <c r="AH118" s="88">
        <v>46538</v>
      </c>
      <c r="AI118" s="89"/>
      <c r="AJ118" s="812" t="e">
        <f>AG118-AF118</f>
        <v>#REF!</v>
      </c>
      <c r="AK118" s="90"/>
      <c r="AL118" s="91"/>
      <c r="AM118" s="92">
        <f t="shared" ref="AM118:AW118" si="145">IF(ISERROR(LOOKUP(AM$6,$S118:$AB118,$S$9:$AB$9)),0,(LOOKUP(AM$6,$S118:$AB118,$S$9:$AB$9)))</f>
        <v>0</v>
      </c>
      <c r="AN118" s="93">
        <f t="shared" si="145"/>
        <v>0</v>
      </c>
      <c r="AO118" s="93">
        <f t="shared" si="145"/>
        <v>0</v>
      </c>
      <c r="AP118" s="93">
        <f t="shared" si="145"/>
        <v>0</v>
      </c>
      <c r="AQ118" s="93">
        <f t="shared" si="145"/>
        <v>0</v>
      </c>
      <c r="AR118" s="93">
        <f t="shared" si="145"/>
        <v>0</v>
      </c>
      <c r="AS118" s="93">
        <f t="shared" si="145"/>
        <v>0</v>
      </c>
      <c r="AT118" s="93">
        <f t="shared" si="145"/>
        <v>0</v>
      </c>
      <c r="AU118" s="93">
        <f t="shared" si="145"/>
        <v>0</v>
      </c>
      <c r="AV118" s="93">
        <f t="shared" si="145"/>
        <v>0</v>
      </c>
      <c r="AW118" s="93">
        <f t="shared" ca="1" si="145"/>
        <v>0</v>
      </c>
      <c r="BB118" s="94" t="e">
        <v>#REF!</v>
      </c>
    </row>
    <row r="119" spans="1:54" s="20" customFormat="1" ht="18" customHeight="1">
      <c r="A119" s="783"/>
      <c r="B119" s="95"/>
      <c r="C119" s="792"/>
      <c r="D119" s="96" t="str">
        <f>D118</f>
        <v>INS</v>
      </c>
      <c r="E119" s="97" t="str">
        <f>E118</f>
        <v>RFQ-037</v>
      </c>
      <c r="F119" s="98" t="str">
        <f>F118</f>
        <v>N</v>
      </c>
      <c r="G119" s="795"/>
      <c r="H119" s="98" t="str">
        <f>H118</f>
        <v>PLC System</v>
      </c>
      <c r="I119" s="97" t="str">
        <f>I118</f>
        <v>LB</v>
      </c>
      <c r="J119" s="98"/>
      <c r="K119" s="100"/>
      <c r="L119" s="100">
        <f>M120</f>
        <v>5.0000000000000001E-3</v>
      </c>
      <c r="M119" s="100"/>
      <c r="N119" s="97"/>
      <c r="O119" s="97"/>
      <c r="P119" s="97"/>
      <c r="Q119" s="101" t="s">
        <v>5366</v>
      </c>
      <c r="R119" s="101"/>
      <c r="S119" s="102" t="e">
        <f>S118</f>
        <v>#REF!</v>
      </c>
      <c r="T119" s="103" t="e">
        <f>T118</f>
        <v>#REF!</v>
      </c>
      <c r="U119" s="103" t="e">
        <f t="shared" ref="U119:Z119" si="146">WORKDAY(IF(T120="",T119,T120),INDEX(U$2:U$5,MATCH($I118,$I$2:$I$5,0)),$BB$10:$BB$141)</f>
        <v>#REF!</v>
      </c>
      <c r="V119" s="103" t="e">
        <f t="shared" si="146"/>
        <v>#REF!</v>
      </c>
      <c r="W119" s="103" t="e">
        <f t="shared" si="146"/>
        <v>#REF!</v>
      </c>
      <c r="X119" s="103" t="e">
        <f t="shared" si="146"/>
        <v>#REF!</v>
      </c>
      <c r="Y119" s="103" t="e">
        <f t="shared" si="146"/>
        <v>#REF!</v>
      </c>
      <c r="Z119" s="103" t="e">
        <f t="shared" si="146"/>
        <v>#REF!</v>
      </c>
      <c r="AA119" s="103" t="e">
        <f>WORKDAY(IF(Z120="",X119,Z120),INDEX(AA$2:AA$5,MATCH($I118,$I$2:$I$5,0)),$BB$10:$BB$141)</f>
        <v>#REF!</v>
      </c>
      <c r="AB119" s="104" t="e">
        <f>WORKDAY(AE118+#REF!,0,'[38]Equipment List and MR List (3)'!$A$2:$A$80)</f>
        <v>#REF!</v>
      </c>
      <c r="AC119" s="798"/>
      <c r="AD119" s="105"/>
      <c r="AE119" s="801"/>
      <c r="AF119" s="807"/>
      <c r="AG119" s="810"/>
      <c r="AH119" s="106"/>
      <c r="AI119" s="107"/>
      <c r="AJ119" s="813"/>
      <c r="AK119" s="108"/>
      <c r="AL119" s="109"/>
      <c r="AM119" s="92">
        <f t="shared" ref="AM119:AW119" si="147">IF(ISERROR(LOOKUP(AM$6,$S119:$AB119,$S$9:$AB$9)),0,(LOOKUP(AM$6,$S119:$AB119,$S$9:$AB$9)))</f>
        <v>0</v>
      </c>
      <c r="AN119" s="93">
        <f t="shared" si="147"/>
        <v>0</v>
      </c>
      <c r="AO119" s="93">
        <f t="shared" si="147"/>
        <v>0</v>
      </c>
      <c r="AP119" s="93">
        <f t="shared" si="147"/>
        <v>0</v>
      </c>
      <c r="AQ119" s="93">
        <f t="shared" si="147"/>
        <v>0</v>
      </c>
      <c r="AR119" s="93">
        <f t="shared" si="147"/>
        <v>0</v>
      </c>
      <c r="AS119" s="93">
        <f t="shared" si="147"/>
        <v>0</v>
      </c>
      <c r="AT119" s="93">
        <f t="shared" si="147"/>
        <v>0</v>
      </c>
      <c r="AU119" s="93">
        <f t="shared" si="147"/>
        <v>0</v>
      </c>
      <c r="AV119" s="93">
        <f t="shared" si="147"/>
        <v>0</v>
      </c>
      <c r="AW119" s="93">
        <f t="shared" ca="1" si="147"/>
        <v>0</v>
      </c>
      <c r="BB119" s="94" t="e">
        <v>#REF!</v>
      </c>
    </row>
    <row r="120" spans="1:54" s="20" customFormat="1" ht="18" customHeight="1">
      <c r="A120" s="784"/>
      <c r="B120" s="110"/>
      <c r="C120" s="793"/>
      <c r="D120" s="111" t="str">
        <f>D118</f>
        <v>INS</v>
      </c>
      <c r="E120" s="112" t="str">
        <f>E118</f>
        <v>RFQ-037</v>
      </c>
      <c r="F120" s="113" t="str">
        <f>F118</f>
        <v>N</v>
      </c>
      <c r="G120" s="796"/>
      <c r="H120" s="113" t="str">
        <f>H118</f>
        <v>PLC System</v>
      </c>
      <c r="I120" s="112" t="str">
        <f>I118</f>
        <v>LB</v>
      </c>
      <c r="J120" s="113"/>
      <c r="K120" s="114"/>
      <c r="L120" s="114"/>
      <c r="M120" s="114">
        <v>5.0000000000000001E-3</v>
      </c>
      <c r="N120" s="112"/>
      <c r="O120" s="112"/>
      <c r="P120" s="112"/>
      <c r="Q120" s="115" t="s">
        <v>368</v>
      </c>
      <c r="R120" s="115"/>
      <c r="S120" s="126"/>
      <c r="T120" s="126"/>
      <c r="U120" s="126"/>
      <c r="V120" s="126"/>
      <c r="W120" s="126"/>
      <c r="X120" s="126"/>
      <c r="Y120" s="126"/>
      <c r="Z120" s="126"/>
      <c r="AA120" s="126"/>
      <c r="AB120" s="126"/>
      <c r="AC120" s="799"/>
      <c r="AD120" s="116"/>
      <c r="AE120" s="801"/>
      <c r="AF120" s="808"/>
      <c r="AG120" s="811"/>
      <c r="AH120" s="117"/>
      <c r="AI120" s="118"/>
      <c r="AJ120" s="814"/>
      <c r="AK120" s="119"/>
      <c r="AL120" s="120"/>
      <c r="AM120" s="121">
        <f t="shared" ref="AM120:AW120" si="148">IF(ISERROR(LOOKUP(AM$6,$S120:$AB120,$S$9:$AB$9)),0,(LOOKUP(AM$6,$S120:$AB120,$S$9:$AB$9)))</f>
        <v>0</v>
      </c>
      <c r="AN120" s="122">
        <f t="shared" si="148"/>
        <v>0</v>
      </c>
      <c r="AO120" s="122">
        <f t="shared" si="148"/>
        <v>0</v>
      </c>
      <c r="AP120" s="122">
        <f t="shared" si="148"/>
        <v>0</v>
      </c>
      <c r="AQ120" s="122">
        <f t="shared" si="148"/>
        <v>0</v>
      </c>
      <c r="AR120" s="122">
        <f t="shared" si="148"/>
        <v>0</v>
      </c>
      <c r="AS120" s="122">
        <f t="shared" si="148"/>
        <v>0</v>
      </c>
      <c r="AT120" s="122">
        <f t="shared" si="148"/>
        <v>0</v>
      </c>
      <c r="AU120" s="122">
        <f t="shared" si="148"/>
        <v>0</v>
      </c>
      <c r="AV120" s="122">
        <f t="shared" si="148"/>
        <v>0</v>
      </c>
      <c r="AW120" s="122">
        <f t="shared" ca="1" si="148"/>
        <v>0</v>
      </c>
      <c r="BB120" s="94" t="e">
        <v>#REF!</v>
      </c>
    </row>
    <row r="121" spans="1:54" s="20" customFormat="1" ht="18" customHeight="1">
      <c r="A121" s="782">
        <f>A118+1</f>
        <v>38</v>
      </c>
      <c r="B121" s="79"/>
      <c r="C121" s="791" t="s">
        <v>5361</v>
      </c>
      <c r="D121" s="80" t="s">
        <v>5392</v>
      </c>
      <c r="E121" s="81" t="s">
        <v>5287</v>
      </c>
      <c r="F121" s="82" t="s">
        <v>73</v>
      </c>
      <c r="G121" s="794" t="s">
        <v>5410</v>
      </c>
      <c r="H121" s="82" t="s">
        <v>189</v>
      </c>
      <c r="I121" s="81" t="s">
        <v>8</v>
      </c>
      <c r="J121" s="82"/>
      <c r="K121" s="84">
        <f>M123</f>
        <v>5.0000000000000001E-3</v>
      </c>
      <c r="L121" s="84"/>
      <c r="M121" s="84"/>
      <c r="N121" s="81"/>
      <c r="O121" s="81"/>
      <c r="P121" s="81"/>
      <c r="Q121" s="85" t="s">
        <v>5364</v>
      </c>
      <c r="R121" s="86">
        <f>'Before Award'!U128+5</f>
        <v>46412</v>
      </c>
      <c r="S121" s="86" t="e">
        <f>WORKDAY(R121,INDEX(S$2:S$5,MATCH($I121,$I$2:$I$5,0)),$BB$10:$BB$141)</f>
        <v>#REF!</v>
      </c>
      <c r="T121" s="86" t="e">
        <f>WORKDAY(S121,INDEX(T$2:T$5,MATCH($I121,$I$2:$I$5,0)),$BB$10:$BB$141)</f>
        <v>#REF!</v>
      </c>
      <c r="U121" s="86" t="e">
        <f>T121+30</f>
        <v>#REF!</v>
      </c>
      <c r="V121" s="86"/>
      <c r="W121" s="86">
        <f>AB121-35</f>
        <v>46503</v>
      </c>
      <c r="X121" s="86"/>
      <c r="Y121" s="86"/>
      <c r="Z121" s="86"/>
      <c r="AA121" s="86"/>
      <c r="AB121" s="86">
        <f>'Before Award'!X128</f>
        <v>46538</v>
      </c>
      <c r="AC121" s="797" t="s">
        <v>5365</v>
      </c>
      <c r="AD121" s="87">
        <v>7</v>
      </c>
      <c r="AE121" s="801">
        <v>131</v>
      </c>
      <c r="AF121" s="806" t="e">
        <f>AB122</f>
        <v>#REF!</v>
      </c>
      <c r="AG121" s="809">
        <f>WORKDAY(AH121+1,-1,$BA$10:$BA$141)</f>
        <v>46538</v>
      </c>
      <c r="AH121" s="88">
        <v>46538</v>
      </c>
      <c r="AI121" s="89"/>
      <c r="AJ121" s="812" t="e">
        <f>AG121-AF121</f>
        <v>#REF!</v>
      </c>
      <c r="AK121" s="90"/>
      <c r="AL121" s="91"/>
      <c r="AM121" s="92">
        <f t="shared" ref="AM121:AW121" si="149">IF(ISERROR(LOOKUP(AM$6,$S121:$AB121,$S$9:$AB$9)),0,(LOOKUP(AM$6,$S121:$AB121,$S$9:$AB$9)))</f>
        <v>0</v>
      </c>
      <c r="AN121" s="93">
        <f t="shared" si="149"/>
        <v>0</v>
      </c>
      <c r="AO121" s="93">
        <f t="shared" si="149"/>
        <v>0</v>
      </c>
      <c r="AP121" s="93">
        <f t="shared" si="149"/>
        <v>0</v>
      </c>
      <c r="AQ121" s="93">
        <f t="shared" si="149"/>
        <v>0</v>
      </c>
      <c r="AR121" s="93">
        <f t="shared" si="149"/>
        <v>0</v>
      </c>
      <c r="AS121" s="93">
        <f t="shared" si="149"/>
        <v>0</v>
      </c>
      <c r="AT121" s="93">
        <f t="shared" si="149"/>
        <v>0</v>
      </c>
      <c r="AU121" s="93">
        <f t="shared" si="149"/>
        <v>0</v>
      </c>
      <c r="AV121" s="93">
        <f t="shared" si="149"/>
        <v>0</v>
      </c>
      <c r="AW121" s="93">
        <f t="shared" ca="1" si="149"/>
        <v>0</v>
      </c>
      <c r="BB121" s="94" t="e">
        <v>#REF!</v>
      </c>
    </row>
    <row r="122" spans="1:54" s="20" customFormat="1" ht="18" customHeight="1">
      <c r="A122" s="783"/>
      <c r="B122" s="95"/>
      <c r="C122" s="792"/>
      <c r="D122" s="96" t="str">
        <f>D121</f>
        <v>INS</v>
      </c>
      <c r="E122" s="97" t="str">
        <f>E121</f>
        <v>RFQ-038</v>
      </c>
      <c r="F122" s="98" t="str">
        <f>F121</f>
        <v>N</v>
      </c>
      <c r="G122" s="795"/>
      <c r="H122" s="98" t="str">
        <f>H121</f>
        <v>Fire and Gas Detector</v>
      </c>
      <c r="I122" s="97" t="str">
        <f>I121</f>
        <v>LC</v>
      </c>
      <c r="J122" s="98"/>
      <c r="K122" s="100"/>
      <c r="L122" s="100">
        <f>M123</f>
        <v>5.0000000000000001E-3</v>
      </c>
      <c r="M122" s="100"/>
      <c r="N122" s="97"/>
      <c r="O122" s="97"/>
      <c r="P122" s="97"/>
      <c r="Q122" s="101" t="s">
        <v>5366</v>
      </c>
      <c r="R122" s="101"/>
      <c r="S122" s="102" t="e">
        <f>S121</f>
        <v>#REF!</v>
      </c>
      <c r="T122" s="103" t="e">
        <f>T121</f>
        <v>#REF!</v>
      </c>
      <c r="U122" s="103" t="e">
        <f t="shared" ref="U122:Z122" si="150">WORKDAY(IF(T123="",T122,T123),INDEX(U$2:U$5,MATCH($I121,$I$2:$I$5,0)),$BB$10:$BB$141)</f>
        <v>#REF!</v>
      </c>
      <c r="V122" s="103" t="e">
        <f t="shared" si="150"/>
        <v>#REF!</v>
      </c>
      <c r="W122" s="103" t="e">
        <f t="shared" si="150"/>
        <v>#REF!</v>
      </c>
      <c r="X122" s="103" t="e">
        <f t="shared" si="150"/>
        <v>#REF!</v>
      </c>
      <c r="Y122" s="103" t="e">
        <f t="shared" si="150"/>
        <v>#REF!</v>
      </c>
      <c r="Z122" s="103" t="e">
        <f t="shared" si="150"/>
        <v>#REF!</v>
      </c>
      <c r="AA122" s="103" t="e">
        <f>WORKDAY(IF(Z123="",X122,Z123),INDEX(AA$2:AA$5,MATCH($I121,$I$2:$I$5,0)),$BB$10:$BB$141)</f>
        <v>#REF!</v>
      </c>
      <c r="AB122" s="104" t="e">
        <f>WORKDAY(AE121+#REF!,0,'[38]Equipment List and MR List (3)'!$A$2:$A$80)</f>
        <v>#REF!</v>
      </c>
      <c r="AC122" s="798"/>
      <c r="AD122" s="105"/>
      <c r="AE122" s="801"/>
      <c r="AF122" s="807"/>
      <c r="AG122" s="810"/>
      <c r="AH122" s="106"/>
      <c r="AI122" s="107"/>
      <c r="AJ122" s="813"/>
      <c r="AK122" s="108"/>
      <c r="AL122" s="109"/>
      <c r="AM122" s="92">
        <f t="shared" ref="AM122:AW122" si="151">IF(ISERROR(LOOKUP(AM$6,$S122:$AB122,$S$9:$AB$9)),0,(LOOKUP(AM$6,$S122:$AB122,$S$9:$AB$9)))</f>
        <v>0</v>
      </c>
      <c r="AN122" s="93">
        <f t="shared" si="151"/>
        <v>0</v>
      </c>
      <c r="AO122" s="93">
        <f t="shared" si="151"/>
        <v>0</v>
      </c>
      <c r="AP122" s="93">
        <f t="shared" si="151"/>
        <v>0</v>
      </c>
      <c r="AQ122" s="93">
        <f t="shared" si="151"/>
        <v>0</v>
      </c>
      <c r="AR122" s="93">
        <f t="shared" si="151"/>
        <v>0</v>
      </c>
      <c r="AS122" s="93">
        <f t="shared" si="151"/>
        <v>0</v>
      </c>
      <c r="AT122" s="93">
        <f t="shared" si="151"/>
        <v>0</v>
      </c>
      <c r="AU122" s="93">
        <f t="shared" si="151"/>
        <v>0</v>
      </c>
      <c r="AV122" s="93">
        <f t="shared" si="151"/>
        <v>0</v>
      </c>
      <c r="AW122" s="93">
        <f t="shared" ca="1" si="151"/>
        <v>0</v>
      </c>
      <c r="BB122" s="94" t="e">
        <v>#REF!</v>
      </c>
    </row>
    <row r="123" spans="1:54" s="20" customFormat="1" ht="18" customHeight="1">
      <c r="A123" s="784"/>
      <c r="B123" s="110"/>
      <c r="C123" s="793"/>
      <c r="D123" s="111" t="str">
        <f>D121</f>
        <v>INS</v>
      </c>
      <c r="E123" s="112" t="str">
        <f>E121</f>
        <v>RFQ-038</v>
      </c>
      <c r="F123" s="113" t="str">
        <f>F121</f>
        <v>N</v>
      </c>
      <c r="G123" s="796"/>
      <c r="H123" s="113" t="str">
        <f>H121</f>
        <v>Fire and Gas Detector</v>
      </c>
      <c r="I123" s="112" t="str">
        <f>I121</f>
        <v>LC</v>
      </c>
      <c r="J123" s="113"/>
      <c r="K123" s="114"/>
      <c r="L123" s="114"/>
      <c r="M123" s="114">
        <v>5.0000000000000001E-3</v>
      </c>
      <c r="N123" s="112"/>
      <c r="O123" s="112"/>
      <c r="P123" s="112"/>
      <c r="Q123" s="115" t="s">
        <v>368</v>
      </c>
      <c r="R123" s="115"/>
      <c r="S123" s="126"/>
      <c r="T123" s="126"/>
      <c r="U123" s="126"/>
      <c r="V123" s="126"/>
      <c r="W123" s="126"/>
      <c r="X123" s="126"/>
      <c r="Y123" s="126"/>
      <c r="Z123" s="126"/>
      <c r="AA123" s="126"/>
      <c r="AB123" s="126"/>
      <c r="AC123" s="799"/>
      <c r="AD123" s="116"/>
      <c r="AE123" s="801"/>
      <c r="AF123" s="808"/>
      <c r="AG123" s="811"/>
      <c r="AH123" s="117"/>
      <c r="AI123" s="118"/>
      <c r="AJ123" s="814"/>
      <c r="AK123" s="119"/>
      <c r="AL123" s="120"/>
      <c r="AM123" s="121">
        <f t="shared" ref="AM123:AW123" si="152">IF(ISERROR(LOOKUP(AM$6,$S123:$AB123,$S$9:$AB$9)),0,(LOOKUP(AM$6,$S123:$AB123,$S$9:$AB$9)))</f>
        <v>0</v>
      </c>
      <c r="AN123" s="122">
        <f t="shared" si="152"/>
        <v>0</v>
      </c>
      <c r="AO123" s="122">
        <f t="shared" si="152"/>
        <v>0</v>
      </c>
      <c r="AP123" s="122">
        <f t="shared" si="152"/>
        <v>0</v>
      </c>
      <c r="AQ123" s="122">
        <f t="shared" si="152"/>
        <v>0</v>
      </c>
      <c r="AR123" s="122">
        <f t="shared" si="152"/>
        <v>0</v>
      </c>
      <c r="AS123" s="122">
        <f t="shared" si="152"/>
        <v>0</v>
      </c>
      <c r="AT123" s="122">
        <f t="shared" si="152"/>
        <v>0</v>
      </c>
      <c r="AU123" s="122">
        <f t="shared" si="152"/>
        <v>0</v>
      </c>
      <c r="AV123" s="122">
        <f t="shared" si="152"/>
        <v>0</v>
      </c>
      <c r="AW123" s="122">
        <f t="shared" ca="1" si="152"/>
        <v>0</v>
      </c>
      <c r="BB123" s="94" t="e">
        <v>#REF!</v>
      </c>
    </row>
    <row r="124" spans="1:54" s="20" customFormat="1" ht="18" customHeight="1">
      <c r="A124" s="782">
        <f>A121+1</f>
        <v>39</v>
      </c>
      <c r="B124" s="79"/>
      <c r="C124" s="791" t="s">
        <v>5361</v>
      </c>
      <c r="D124" s="80" t="s">
        <v>5392</v>
      </c>
      <c r="E124" s="81" t="s">
        <v>5288</v>
      </c>
      <c r="F124" s="82" t="s">
        <v>73</v>
      </c>
      <c r="G124" s="794" t="s">
        <v>5411</v>
      </c>
      <c r="H124" s="82" t="s">
        <v>5289</v>
      </c>
      <c r="I124" s="81" t="s">
        <v>8</v>
      </c>
      <c r="J124" s="82"/>
      <c r="K124" s="84">
        <f>M126</f>
        <v>5.0000000000000001E-3</v>
      </c>
      <c r="L124" s="84"/>
      <c r="M124" s="84"/>
      <c r="N124" s="81"/>
      <c r="O124" s="81"/>
      <c r="P124" s="81"/>
      <c r="Q124" s="85" t="s">
        <v>5364</v>
      </c>
      <c r="R124" s="86">
        <f>'Before Award'!U131+5</f>
        <v>46417</v>
      </c>
      <c r="S124" s="86" t="e">
        <f>WORKDAY(R124,INDEX(S$2:S$5,MATCH($I124,$I$2:$I$5,0)),$BB$10:$BB$141)</f>
        <v>#REF!</v>
      </c>
      <c r="T124" s="86" t="e">
        <f>WORKDAY(S124,INDEX(T$2:T$5,MATCH($I124,$I$2:$I$5,0)),$BB$10:$BB$141)</f>
        <v>#REF!</v>
      </c>
      <c r="U124" s="86" t="e">
        <f>T124+30</f>
        <v>#REF!</v>
      </c>
      <c r="V124" s="86"/>
      <c r="W124" s="86">
        <f>AB124-35</f>
        <v>46503</v>
      </c>
      <c r="X124" s="86"/>
      <c r="Y124" s="86"/>
      <c r="Z124" s="86"/>
      <c r="AA124" s="86"/>
      <c r="AB124" s="86">
        <f>'Before Award'!X131</f>
        <v>46538</v>
      </c>
      <c r="AC124" s="797" t="s">
        <v>5365</v>
      </c>
      <c r="AD124" s="87">
        <v>7</v>
      </c>
      <c r="AE124" s="801">
        <f>18*7</f>
        <v>126</v>
      </c>
      <c r="AF124" s="806" t="e">
        <f>AB125</f>
        <v>#REF!</v>
      </c>
      <c r="AG124" s="809">
        <f>WORKDAY(AH124+1,-1,$BA$10:$BA$141)</f>
        <v>46538</v>
      </c>
      <c r="AH124" s="88">
        <v>46538</v>
      </c>
      <c r="AI124" s="89"/>
      <c r="AJ124" s="812" t="e">
        <f>AG124-AF124</f>
        <v>#REF!</v>
      </c>
      <c r="AK124" s="90"/>
      <c r="AL124" s="91"/>
      <c r="AM124" s="92">
        <f t="shared" ref="AM124:AW124" si="153">IF(ISERROR(LOOKUP(AM$6,$S124:$AB124,$S$9:$AB$9)),0,(LOOKUP(AM$6,$S124:$AB124,$S$9:$AB$9)))</f>
        <v>0</v>
      </c>
      <c r="AN124" s="93">
        <f t="shared" si="153"/>
        <v>0</v>
      </c>
      <c r="AO124" s="93">
        <f t="shared" si="153"/>
        <v>0</v>
      </c>
      <c r="AP124" s="93">
        <f t="shared" si="153"/>
        <v>0</v>
      </c>
      <c r="AQ124" s="93">
        <f t="shared" si="153"/>
        <v>0</v>
      </c>
      <c r="AR124" s="93">
        <f t="shared" si="153"/>
        <v>0</v>
      </c>
      <c r="AS124" s="93">
        <f t="shared" si="153"/>
        <v>0</v>
      </c>
      <c r="AT124" s="93">
        <f t="shared" si="153"/>
        <v>0</v>
      </c>
      <c r="AU124" s="93">
        <f t="shared" si="153"/>
        <v>0</v>
      </c>
      <c r="AV124" s="93">
        <f t="shared" si="153"/>
        <v>0</v>
      </c>
      <c r="AW124" s="93">
        <f t="shared" ca="1" si="153"/>
        <v>0</v>
      </c>
      <c r="BB124" s="94" t="e">
        <v>#REF!</v>
      </c>
    </row>
    <row r="125" spans="1:54" s="20" customFormat="1" ht="18" customHeight="1">
      <c r="A125" s="783"/>
      <c r="B125" s="95"/>
      <c r="C125" s="792"/>
      <c r="D125" s="96" t="str">
        <f>D124</f>
        <v>INS</v>
      </c>
      <c r="E125" s="97" t="str">
        <f>E124</f>
        <v>RFQ-039</v>
      </c>
      <c r="F125" s="98" t="str">
        <f>F124</f>
        <v>N</v>
      </c>
      <c r="G125" s="795"/>
      <c r="H125" s="98" t="str">
        <f>H124</f>
        <v>Dip Tape Level Indicator</v>
      </c>
      <c r="I125" s="97" t="str">
        <f>I124</f>
        <v>LC</v>
      </c>
      <c r="J125" s="98"/>
      <c r="K125" s="100"/>
      <c r="L125" s="100">
        <f>M126</f>
        <v>5.0000000000000001E-3</v>
      </c>
      <c r="M125" s="100"/>
      <c r="N125" s="97"/>
      <c r="O125" s="97"/>
      <c r="P125" s="97"/>
      <c r="Q125" s="101" t="s">
        <v>5366</v>
      </c>
      <c r="R125" s="101"/>
      <c r="S125" s="102" t="e">
        <f>S124</f>
        <v>#REF!</v>
      </c>
      <c r="T125" s="103" t="e">
        <f>T124</f>
        <v>#REF!</v>
      </c>
      <c r="U125" s="103" t="e">
        <f t="shared" ref="U125:Z125" si="154">WORKDAY(IF(T126="",T125,T126),INDEX(U$2:U$5,MATCH($I124,$I$2:$I$5,0)),$BB$10:$BB$141)</f>
        <v>#REF!</v>
      </c>
      <c r="V125" s="103" t="e">
        <f t="shared" si="154"/>
        <v>#REF!</v>
      </c>
      <c r="W125" s="103" t="e">
        <f t="shared" si="154"/>
        <v>#REF!</v>
      </c>
      <c r="X125" s="103" t="e">
        <f t="shared" si="154"/>
        <v>#REF!</v>
      </c>
      <c r="Y125" s="103" t="e">
        <f t="shared" si="154"/>
        <v>#REF!</v>
      </c>
      <c r="Z125" s="103" t="e">
        <f t="shared" si="154"/>
        <v>#REF!</v>
      </c>
      <c r="AA125" s="103" t="e">
        <f>WORKDAY(IF(Z126="",X125,Z126),INDEX(AA$2:AA$5,MATCH($I124,$I$2:$I$5,0)),$BB$10:$BB$141)</f>
        <v>#REF!</v>
      </c>
      <c r="AB125" s="104" t="e">
        <f>WORKDAY(AE124+#REF!,0,'[38]Equipment List and MR List (3)'!$A$2:$A$80)</f>
        <v>#REF!</v>
      </c>
      <c r="AC125" s="798"/>
      <c r="AD125" s="105"/>
      <c r="AE125" s="801"/>
      <c r="AF125" s="807"/>
      <c r="AG125" s="810"/>
      <c r="AH125" s="106"/>
      <c r="AI125" s="107"/>
      <c r="AJ125" s="813"/>
      <c r="AK125" s="108"/>
      <c r="AL125" s="109"/>
      <c r="AM125" s="92">
        <f t="shared" ref="AM125:AW125" si="155">IF(ISERROR(LOOKUP(AM$6,$S125:$AB125,$S$9:$AB$9)),0,(LOOKUP(AM$6,$S125:$AB125,$S$9:$AB$9)))</f>
        <v>0</v>
      </c>
      <c r="AN125" s="93">
        <f t="shared" si="155"/>
        <v>0</v>
      </c>
      <c r="AO125" s="93">
        <f t="shared" si="155"/>
        <v>0</v>
      </c>
      <c r="AP125" s="93">
        <f t="shared" si="155"/>
        <v>0</v>
      </c>
      <c r="AQ125" s="93">
        <f t="shared" si="155"/>
        <v>0</v>
      </c>
      <c r="AR125" s="93">
        <f t="shared" si="155"/>
        <v>0</v>
      </c>
      <c r="AS125" s="93">
        <f t="shared" si="155"/>
        <v>0</v>
      </c>
      <c r="AT125" s="93">
        <f t="shared" si="155"/>
        <v>0</v>
      </c>
      <c r="AU125" s="93">
        <f t="shared" si="155"/>
        <v>0</v>
      </c>
      <c r="AV125" s="93">
        <f t="shared" si="155"/>
        <v>0</v>
      </c>
      <c r="AW125" s="93">
        <f t="shared" ca="1" si="155"/>
        <v>0</v>
      </c>
      <c r="BB125" s="94" t="e">
        <v>#REF!</v>
      </c>
    </row>
    <row r="126" spans="1:54" s="20" customFormat="1" ht="18" customHeight="1">
      <c r="A126" s="784"/>
      <c r="B126" s="110"/>
      <c r="C126" s="793"/>
      <c r="D126" s="111" t="str">
        <f>D124</f>
        <v>INS</v>
      </c>
      <c r="E126" s="112" t="str">
        <f>E124</f>
        <v>RFQ-039</v>
      </c>
      <c r="F126" s="113" t="str">
        <f>F124</f>
        <v>N</v>
      </c>
      <c r="G126" s="796"/>
      <c r="H126" s="113" t="str">
        <f>H124</f>
        <v>Dip Tape Level Indicator</v>
      </c>
      <c r="I126" s="112" t="str">
        <f>I124</f>
        <v>LC</v>
      </c>
      <c r="J126" s="113"/>
      <c r="K126" s="114"/>
      <c r="L126" s="114"/>
      <c r="M126" s="114">
        <v>5.0000000000000001E-3</v>
      </c>
      <c r="N126" s="112"/>
      <c r="O126" s="112"/>
      <c r="P126" s="112"/>
      <c r="Q126" s="115" t="s">
        <v>368</v>
      </c>
      <c r="R126" s="115"/>
      <c r="S126" s="126"/>
      <c r="T126" s="126"/>
      <c r="U126" s="126"/>
      <c r="V126" s="126"/>
      <c r="W126" s="126"/>
      <c r="X126" s="126"/>
      <c r="Y126" s="126"/>
      <c r="Z126" s="126"/>
      <c r="AA126" s="126"/>
      <c r="AB126" s="126"/>
      <c r="AC126" s="799"/>
      <c r="AD126" s="116"/>
      <c r="AE126" s="801"/>
      <c r="AF126" s="808"/>
      <c r="AG126" s="811"/>
      <c r="AH126" s="117"/>
      <c r="AI126" s="118"/>
      <c r="AJ126" s="814"/>
      <c r="AK126" s="119"/>
      <c r="AL126" s="120"/>
      <c r="AM126" s="121">
        <f t="shared" ref="AM126:AW126" si="156">IF(ISERROR(LOOKUP(AM$6,$S126:$AB126,$S$9:$AB$9)),0,(LOOKUP(AM$6,$S126:$AB126,$S$9:$AB$9)))</f>
        <v>0</v>
      </c>
      <c r="AN126" s="122">
        <f t="shared" si="156"/>
        <v>0</v>
      </c>
      <c r="AO126" s="122">
        <f t="shared" si="156"/>
        <v>0</v>
      </c>
      <c r="AP126" s="122">
        <f t="shared" si="156"/>
        <v>0</v>
      </c>
      <c r="AQ126" s="122">
        <f t="shared" si="156"/>
        <v>0</v>
      </c>
      <c r="AR126" s="122">
        <f t="shared" si="156"/>
        <v>0</v>
      </c>
      <c r="AS126" s="122">
        <f t="shared" si="156"/>
        <v>0</v>
      </c>
      <c r="AT126" s="122">
        <f t="shared" si="156"/>
        <v>0</v>
      </c>
      <c r="AU126" s="122">
        <f t="shared" si="156"/>
        <v>0</v>
      </c>
      <c r="AV126" s="122">
        <f t="shared" si="156"/>
        <v>0</v>
      </c>
      <c r="AW126" s="122">
        <f t="shared" ca="1" si="156"/>
        <v>0</v>
      </c>
      <c r="BB126" s="94" t="e">
        <v>#REF!</v>
      </c>
    </row>
    <row r="127" spans="1:54" s="20" customFormat="1" ht="18" customHeight="1">
      <c r="A127" s="782">
        <f>A124+1</f>
        <v>40</v>
      </c>
      <c r="B127" s="79"/>
      <c r="C127" s="791" t="s">
        <v>5361</v>
      </c>
      <c r="D127" s="80" t="s">
        <v>5392</v>
      </c>
      <c r="E127" s="81" t="s">
        <v>5290</v>
      </c>
      <c r="F127" s="82" t="s">
        <v>73</v>
      </c>
      <c r="G127" s="794" t="s">
        <v>5412</v>
      </c>
      <c r="H127" s="82" t="s">
        <v>192</v>
      </c>
      <c r="I127" s="81" t="s">
        <v>8</v>
      </c>
      <c r="J127" s="82"/>
      <c r="K127" s="84">
        <f>M129</f>
        <v>5.0000000000000001E-3</v>
      </c>
      <c r="L127" s="84"/>
      <c r="M127" s="84"/>
      <c r="N127" s="81"/>
      <c r="O127" s="81"/>
      <c r="P127" s="81"/>
      <c r="Q127" s="85" t="s">
        <v>5364</v>
      </c>
      <c r="R127" s="86">
        <f>'Before Award'!U134+5</f>
        <v>46417</v>
      </c>
      <c r="S127" s="86" t="e">
        <f>WORKDAY(R127,INDEX(S$2:S$5,MATCH($I127,$I$2:$I$5,0)),$BB$10:$BB$141)</f>
        <v>#REF!</v>
      </c>
      <c r="T127" s="86" t="e">
        <f>WORKDAY(S127,INDEX(T$2:T$5,MATCH($I127,$I$2:$I$5,0)),$BB$10:$BB$141)</f>
        <v>#REF!</v>
      </c>
      <c r="U127" s="86" t="e">
        <f>T127+30</f>
        <v>#REF!</v>
      </c>
      <c r="V127" s="86"/>
      <c r="W127" s="86">
        <f>AB127-35</f>
        <v>46503</v>
      </c>
      <c r="X127" s="86"/>
      <c r="Y127" s="86"/>
      <c r="Z127" s="86"/>
      <c r="AA127" s="86"/>
      <c r="AB127" s="86">
        <f>'Before Award'!X134</f>
        <v>46538</v>
      </c>
      <c r="AC127" s="797" t="s">
        <v>5365</v>
      </c>
      <c r="AD127" s="87">
        <v>7</v>
      </c>
      <c r="AE127" s="801">
        <f>18*7</f>
        <v>126</v>
      </c>
      <c r="AF127" s="806" t="e">
        <f>AB128</f>
        <v>#REF!</v>
      </c>
      <c r="AG127" s="809">
        <f>WORKDAY(AH127+1,-1,$BA$10:$BA$141)</f>
        <v>46538</v>
      </c>
      <c r="AH127" s="88">
        <v>46538</v>
      </c>
      <c r="AI127" s="89"/>
      <c r="AJ127" s="812" t="e">
        <f>AG127-AF127</f>
        <v>#REF!</v>
      </c>
      <c r="AK127" s="90"/>
      <c r="AL127" s="91"/>
      <c r="AM127" s="92">
        <f t="shared" ref="AM127:AW127" si="157">IF(ISERROR(LOOKUP(AM$6,$S127:$AB127,$S$9:$AB$9)),0,(LOOKUP(AM$6,$S127:$AB127,$S$9:$AB$9)))</f>
        <v>0</v>
      </c>
      <c r="AN127" s="93">
        <f t="shared" si="157"/>
        <v>0</v>
      </c>
      <c r="AO127" s="93">
        <f t="shared" si="157"/>
        <v>0</v>
      </c>
      <c r="AP127" s="93">
        <f t="shared" si="157"/>
        <v>0</v>
      </c>
      <c r="AQ127" s="93">
        <f t="shared" si="157"/>
        <v>0</v>
      </c>
      <c r="AR127" s="93">
        <f t="shared" si="157"/>
        <v>0</v>
      </c>
      <c r="AS127" s="93">
        <f t="shared" si="157"/>
        <v>0</v>
      </c>
      <c r="AT127" s="93">
        <f t="shared" si="157"/>
        <v>0</v>
      </c>
      <c r="AU127" s="93">
        <f t="shared" si="157"/>
        <v>0</v>
      </c>
      <c r="AV127" s="93">
        <f t="shared" si="157"/>
        <v>0</v>
      </c>
      <c r="AW127" s="93">
        <f t="shared" ca="1" si="157"/>
        <v>0</v>
      </c>
      <c r="BB127" s="94" t="e">
        <v>#REF!</v>
      </c>
    </row>
    <row r="128" spans="1:54" s="20" customFormat="1" ht="18" customHeight="1">
      <c r="A128" s="783"/>
      <c r="B128" s="95"/>
      <c r="C128" s="792"/>
      <c r="D128" s="96" t="str">
        <f>D127</f>
        <v>INS</v>
      </c>
      <c r="E128" s="97" t="str">
        <f>E127</f>
        <v>RFQ-040</v>
      </c>
      <c r="F128" s="98" t="str">
        <f>F127</f>
        <v>N</v>
      </c>
      <c r="G128" s="795"/>
      <c r="H128" s="98" t="str">
        <f>H127</f>
        <v>Position Limit Switches</v>
      </c>
      <c r="I128" s="97" t="str">
        <f>I127</f>
        <v>LC</v>
      </c>
      <c r="J128" s="98"/>
      <c r="K128" s="100"/>
      <c r="L128" s="100">
        <f>M129</f>
        <v>5.0000000000000001E-3</v>
      </c>
      <c r="M128" s="100"/>
      <c r="N128" s="97"/>
      <c r="O128" s="97"/>
      <c r="P128" s="97"/>
      <c r="Q128" s="101" t="s">
        <v>5366</v>
      </c>
      <c r="R128" s="101"/>
      <c r="S128" s="102" t="e">
        <f>S127</f>
        <v>#REF!</v>
      </c>
      <c r="T128" s="103" t="e">
        <f>T127</f>
        <v>#REF!</v>
      </c>
      <c r="U128" s="103" t="e">
        <f t="shared" ref="U128:Z128" si="158">WORKDAY(IF(T129="",T128,T129),INDEX(U$2:U$5,MATCH($I127,$I$2:$I$5,0)),$BB$10:$BB$141)</f>
        <v>#REF!</v>
      </c>
      <c r="V128" s="103" t="e">
        <f t="shared" si="158"/>
        <v>#REF!</v>
      </c>
      <c r="W128" s="103" t="e">
        <f t="shared" si="158"/>
        <v>#REF!</v>
      </c>
      <c r="X128" s="103" t="e">
        <f t="shared" si="158"/>
        <v>#REF!</v>
      </c>
      <c r="Y128" s="103" t="e">
        <f t="shared" si="158"/>
        <v>#REF!</v>
      </c>
      <c r="Z128" s="103" t="e">
        <f t="shared" si="158"/>
        <v>#REF!</v>
      </c>
      <c r="AA128" s="103" t="e">
        <f>WORKDAY(IF(Z129="",X128,Z129),INDEX(AA$2:AA$5,MATCH($I127,$I$2:$I$5,0)),$BB$10:$BB$141)</f>
        <v>#REF!</v>
      </c>
      <c r="AB128" s="104" t="e">
        <f>WORKDAY(AE127+#REF!,0,'[38]Equipment List and MR List (3)'!$A$2:$A$80)</f>
        <v>#REF!</v>
      </c>
      <c r="AC128" s="798"/>
      <c r="AD128" s="105"/>
      <c r="AE128" s="801"/>
      <c r="AF128" s="807"/>
      <c r="AG128" s="810"/>
      <c r="AH128" s="106"/>
      <c r="AI128" s="107"/>
      <c r="AJ128" s="813"/>
      <c r="AK128" s="108"/>
      <c r="AL128" s="109"/>
      <c r="AM128" s="92">
        <f t="shared" ref="AM128:AW128" si="159">IF(ISERROR(LOOKUP(AM$6,$S128:$AB128,$S$9:$AB$9)),0,(LOOKUP(AM$6,$S128:$AB128,$S$9:$AB$9)))</f>
        <v>0</v>
      </c>
      <c r="AN128" s="93">
        <f t="shared" si="159"/>
        <v>0</v>
      </c>
      <c r="AO128" s="93">
        <f t="shared" si="159"/>
        <v>0</v>
      </c>
      <c r="AP128" s="93">
        <f t="shared" si="159"/>
        <v>0</v>
      </c>
      <c r="AQ128" s="93">
        <f t="shared" si="159"/>
        <v>0</v>
      </c>
      <c r="AR128" s="93">
        <f t="shared" si="159"/>
        <v>0</v>
      </c>
      <c r="AS128" s="93">
        <f t="shared" si="159"/>
        <v>0</v>
      </c>
      <c r="AT128" s="93">
        <f t="shared" si="159"/>
        <v>0</v>
      </c>
      <c r="AU128" s="93">
        <f t="shared" si="159"/>
        <v>0</v>
      </c>
      <c r="AV128" s="93">
        <f t="shared" si="159"/>
        <v>0</v>
      </c>
      <c r="AW128" s="93">
        <f t="shared" ca="1" si="159"/>
        <v>0</v>
      </c>
      <c r="BB128" s="94" t="e">
        <v>#REF!</v>
      </c>
    </row>
    <row r="129" spans="1:54" s="20" customFormat="1" ht="18" customHeight="1">
      <c r="A129" s="784"/>
      <c r="B129" s="110"/>
      <c r="C129" s="793"/>
      <c r="D129" s="111" t="str">
        <f>D127</f>
        <v>INS</v>
      </c>
      <c r="E129" s="112" t="str">
        <f>E127</f>
        <v>RFQ-040</v>
      </c>
      <c r="F129" s="113" t="str">
        <f>F127</f>
        <v>N</v>
      </c>
      <c r="G129" s="796"/>
      <c r="H129" s="113" t="str">
        <f>H127</f>
        <v>Position Limit Switches</v>
      </c>
      <c r="I129" s="112" t="str">
        <f>I127</f>
        <v>LC</v>
      </c>
      <c r="J129" s="113"/>
      <c r="K129" s="114"/>
      <c r="L129" s="114"/>
      <c r="M129" s="114">
        <v>5.0000000000000001E-3</v>
      </c>
      <c r="N129" s="112"/>
      <c r="O129" s="112"/>
      <c r="P129" s="112"/>
      <c r="Q129" s="115" t="s">
        <v>368</v>
      </c>
      <c r="R129" s="115"/>
      <c r="S129" s="126"/>
      <c r="T129" s="126"/>
      <c r="U129" s="126"/>
      <c r="V129" s="126"/>
      <c r="W129" s="126"/>
      <c r="X129" s="126"/>
      <c r="Y129" s="126"/>
      <c r="Z129" s="126"/>
      <c r="AA129" s="126"/>
      <c r="AB129" s="126"/>
      <c r="AC129" s="799"/>
      <c r="AD129" s="116"/>
      <c r="AE129" s="801"/>
      <c r="AF129" s="808"/>
      <c r="AG129" s="811"/>
      <c r="AH129" s="117"/>
      <c r="AI129" s="118"/>
      <c r="AJ129" s="814"/>
      <c r="AK129" s="119"/>
      <c r="AL129" s="120"/>
      <c r="AM129" s="121">
        <f t="shared" ref="AM129:AW129" si="160">IF(ISERROR(LOOKUP(AM$6,$S129:$AB129,$S$9:$AB$9)),0,(LOOKUP(AM$6,$S129:$AB129,$S$9:$AB$9)))</f>
        <v>0</v>
      </c>
      <c r="AN129" s="122">
        <f t="shared" si="160"/>
        <v>0</v>
      </c>
      <c r="AO129" s="122">
        <f t="shared" si="160"/>
        <v>0</v>
      </c>
      <c r="AP129" s="122">
        <f t="shared" si="160"/>
        <v>0</v>
      </c>
      <c r="AQ129" s="122">
        <f t="shared" si="160"/>
        <v>0</v>
      </c>
      <c r="AR129" s="122">
        <f t="shared" si="160"/>
        <v>0</v>
      </c>
      <c r="AS129" s="122">
        <f t="shared" si="160"/>
        <v>0</v>
      </c>
      <c r="AT129" s="122">
        <f t="shared" si="160"/>
        <v>0</v>
      </c>
      <c r="AU129" s="122">
        <f t="shared" si="160"/>
        <v>0</v>
      </c>
      <c r="AV129" s="122">
        <f t="shared" si="160"/>
        <v>0</v>
      </c>
      <c r="AW129" s="122">
        <f t="shared" ca="1" si="160"/>
        <v>0</v>
      </c>
      <c r="BB129" s="94" t="e">
        <v>#REF!</v>
      </c>
    </row>
    <row r="130" spans="1:54" s="20" customFormat="1" ht="18" customHeight="1">
      <c r="A130" s="782">
        <f>A127+1</f>
        <v>41</v>
      </c>
      <c r="B130" s="79"/>
      <c r="C130" s="791" t="s">
        <v>5361</v>
      </c>
      <c r="D130" s="80" t="s">
        <v>5392</v>
      </c>
      <c r="E130" s="81" t="s">
        <v>5291</v>
      </c>
      <c r="F130" s="82" t="s">
        <v>73</v>
      </c>
      <c r="G130" s="794" t="s">
        <v>5413</v>
      </c>
      <c r="H130" s="82" t="s">
        <v>195</v>
      </c>
      <c r="I130" s="81" t="s">
        <v>8</v>
      </c>
      <c r="J130" s="82"/>
      <c r="K130" s="84">
        <f>M132</f>
        <v>5.0000000000000001E-3</v>
      </c>
      <c r="L130" s="84"/>
      <c r="M130" s="84"/>
      <c r="N130" s="81"/>
      <c r="O130" s="81"/>
      <c r="P130" s="81"/>
      <c r="Q130" s="85" t="s">
        <v>5364</v>
      </c>
      <c r="R130" s="86">
        <f>'Before Award'!U137+5</f>
        <v>46333</v>
      </c>
      <c r="S130" s="86" t="e">
        <f>WORKDAY(R130,INDEX(S$2:S$5,MATCH($I130,$I$2:$I$5,0)),$BB$10:$BB$141)</f>
        <v>#REF!</v>
      </c>
      <c r="T130" s="86" t="e">
        <f>WORKDAY(S130,INDEX(T$2:T$5,MATCH($I130,$I$2:$I$5,0)),$BB$10:$BB$141)</f>
        <v>#REF!</v>
      </c>
      <c r="U130" s="86" t="e">
        <f>T130+30</f>
        <v>#REF!</v>
      </c>
      <c r="V130" s="86"/>
      <c r="W130" s="86">
        <f>AB130-35</f>
        <v>46503</v>
      </c>
      <c r="X130" s="86"/>
      <c r="Y130" s="86"/>
      <c r="Z130" s="86"/>
      <c r="AA130" s="86"/>
      <c r="AB130" s="86">
        <f>'Before Award'!X137</f>
        <v>46538</v>
      </c>
      <c r="AC130" s="797" t="s">
        <v>5365</v>
      </c>
      <c r="AD130" s="87">
        <v>7</v>
      </c>
      <c r="AE130" s="801">
        <f>30*7</f>
        <v>210</v>
      </c>
      <c r="AF130" s="806" t="e">
        <f>AB131</f>
        <v>#REF!</v>
      </c>
      <c r="AG130" s="809">
        <f>WORKDAY(AH130+1,-1,$BA$10:$BA$141)</f>
        <v>46538</v>
      </c>
      <c r="AH130" s="88">
        <v>46538</v>
      </c>
      <c r="AI130" s="89"/>
      <c r="AJ130" s="812" t="e">
        <f>AG130-AF130</f>
        <v>#REF!</v>
      </c>
      <c r="AK130" s="90"/>
      <c r="AL130" s="91"/>
      <c r="AM130" s="92">
        <f t="shared" ref="AM130:AW130" si="161">IF(ISERROR(LOOKUP(AM$6,$S130:$AB130,$S$9:$AB$9)),0,(LOOKUP(AM$6,$S130:$AB130,$S$9:$AB$9)))</f>
        <v>0</v>
      </c>
      <c r="AN130" s="93">
        <f t="shared" si="161"/>
        <v>0</v>
      </c>
      <c r="AO130" s="93">
        <f t="shared" si="161"/>
        <v>0</v>
      </c>
      <c r="AP130" s="93">
        <f t="shared" si="161"/>
        <v>0</v>
      </c>
      <c r="AQ130" s="93">
        <f t="shared" si="161"/>
        <v>0</v>
      </c>
      <c r="AR130" s="93">
        <f t="shared" si="161"/>
        <v>0</v>
      </c>
      <c r="AS130" s="93">
        <f t="shared" si="161"/>
        <v>0</v>
      </c>
      <c r="AT130" s="93">
        <f t="shared" si="161"/>
        <v>0</v>
      </c>
      <c r="AU130" s="93">
        <f t="shared" si="161"/>
        <v>0</v>
      </c>
      <c r="AV130" s="93">
        <f t="shared" si="161"/>
        <v>0</v>
      </c>
      <c r="AW130" s="93">
        <f t="shared" ca="1" si="161"/>
        <v>0</v>
      </c>
      <c r="BB130" s="94" t="e">
        <v>#REF!</v>
      </c>
    </row>
    <row r="131" spans="1:54" s="20" customFormat="1" ht="18" customHeight="1">
      <c r="A131" s="783"/>
      <c r="B131" s="95"/>
      <c r="C131" s="792"/>
      <c r="D131" s="96" t="str">
        <f>D130</f>
        <v>INS</v>
      </c>
      <c r="E131" s="97" t="str">
        <f>E130</f>
        <v>RFQ-041</v>
      </c>
      <c r="F131" s="98" t="str">
        <f>F130</f>
        <v>N</v>
      </c>
      <c r="G131" s="795"/>
      <c r="H131" s="98" t="str">
        <f>H130</f>
        <v>Guided Wave Radar Level Transmitter</v>
      </c>
      <c r="I131" s="97" t="str">
        <f>I130</f>
        <v>LC</v>
      </c>
      <c r="J131" s="98"/>
      <c r="K131" s="100"/>
      <c r="L131" s="100">
        <f>M132</f>
        <v>5.0000000000000001E-3</v>
      </c>
      <c r="M131" s="100"/>
      <c r="N131" s="97"/>
      <c r="O131" s="97"/>
      <c r="P131" s="97"/>
      <c r="Q131" s="101" t="s">
        <v>5366</v>
      </c>
      <c r="R131" s="101"/>
      <c r="S131" s="102" t="e">
        <f>S130</f>
        <v>#REF!</v>
      </c>
      <c r="T131" s="103" t="e">
        <f>T130</f>
        <v>#REF!</v>
      </c>
      <c r="U131" s="103" t="e">
        <f t="shared" ref="U131:Z131" si="162">WORKDAY(IF(T132="",T131,T132),INDEX(U$2:U$5,MATCH($I130,$I$2:$I$5,0)),$BB$10:$BB$141)</f>
        <v>#REF!</v>
      </c>
      <c r="V131" s="103" t="e">
        <f t="shared" si="162"/>
        <v>#REF!</v>
      </c>
      <c r="W131" s="103" t="e">
        <f t="shared" si="162"/>
        <v>#REF!</v>
      </c>
      <c r="X131" s="103" t="e">
        <f t="shared" si="162"/>
        <v>#REF!</v>
      </c>
      <c r="Y131" s="103" t="e">
        <f t="shared" si="162"/>
        <v>#REF!</v>
      </c>
      <c r="Z131" s="103" t="e">
        <f t="shared" si="162"/>
        <v>#REF!</v>
      </c>
      <c r="AA131" s="103" t="e">
        <f>WORKDAY(IF(Z132="",X131,Z132),INDEX(AA$2:AA$5,MATCH($I130,$I$2:$I$5,0)),$BB$10:$BB$141)</f>
        <v>#REF!</v>
      </c>
      <c r="AB131" s="104" t="e">
        <f>WORKDAY(AE130+#REF!,0,'[38]Equipment List and MR List (3)'!$A$2:$A$80)</f>
        <v>#REF!</v>
      </c>
      <c r="AC131" s="798"/>
      <c r="AD131" s="105"/>
      <c r="AE131" s="801"/>
      <c r="AF131" s="807"/>
      <c r="AG131" s="810"/>
      <c r="AH131" s="106"/>
      <c r="AI131" s="107"/>
      <c r="AJ131" s="813"/>
      <c r="AK131" s="108"/>
      <c r="AL131" s="109"/>
      <c r="AM131" s="92">
        <f t="shared" ref="AM131:AW131" si="163">IF(ISERROR(LOOKUP(AM$6,$S131:$AB131,$S$9:$AB$9)),0,(LOOKUP(AM$6,$S131:$AB131,$S$9:$AB$9)))</f>
        <v>0</v>
      </c>
      <c r="AN131" s="93">
        <f t="shared" si="163"/>
        <v>0</v>
      </c>
      <c r="AO131" s="93">
        <f t="shared" si="163"/>
        <v>0</v>
      </c>
      <c r="AP131" s="93">
        <f t="shared" si="163"/>
        <v>0</v>
      </c>
      <c r="AQ131" s="93">
        <f t="shared" si="163"/>
        <v>0</v>
      </c>
      <c r="AR131" s="93">
        <f t="shared" si="163"/>
        <v>0</v>
      </c>
      <c r="AS131" s="93">
        <f t="shared" si="163"/>
        <v>0</v>
      </c>
      <c r="AT131" s="93">
        <f t="shared" si="163"/>
        <v>0</v>
      </c>
      <c r="AU131" s="93">
        <f t="shared" si="163"/>
        <v>0</v>
      </c>
      <c r="AV131" s="93">
        <f t="shared" si="163"/>
        <v>0</v>
      </c>
      <c r="AW131" s="93">
        <f t="shared" ca="1" si="163"/>
        <v>0</v>
      </c>
      <c r="BB131" s="94" t="e">
        <v>#REF!</v>
      </c>
    </row>
    <row r="132" spans="1:54" s="20" customFormat="1" ht="18" customHeight="1">
      <c r="A132" s="784"/>
      <c r="B132" s="110"/>
      <c r="C132" s="793"/>
      <c r="D132" s="111" t="str">
        <f>D130</f>
        <v>INS</v>
      </c>
      <c r="E132" s="112" t="str">
        <f>E130</f>
        <v>RFQ-041</v>
      </c>
      <c r="F132" s="113" t="str">
        <f>F130</f>
        <v>N</v>
      </c>
      <c r="G132" s="796"/>
      <c r="H132" s="113" t="str">
        <f>H130</f>
        <v>Guided Wave Radar Level Transmitter</v>
      </c>
      <c r="I132" s="112" t="str">
        <f>I130</f>
        <v>LC</v>
      </c>
      <c r="J132" s="113"/>
      <c r="K132" s="114"/>
      <c r="L132" s="114"/>
      <c r="M132" s="114">
        <v>5.0000000000000001E-3</v>
      </c>
      <c r="N132" s="112"/>
      <c r="O132" s="112"/>
      <c r="P132" s="112"/>
      <c r="Q132" s="115" t="s">
        <v>368</v>
      </c>
      <c r="R132" s="115"/>
      <c r="S132" s="126"/>
      <c r="T132" s="126"/>
      <c r="U132" s="126"/>
      <c r="V132" s="126"/>
      <c r="W132" s="126"/>
      <c r="X132" s="126"/>
      <c r="Y132" s="126"/>
      <c r="Z132" s="126"/>
      <c r="AA132" s="126"/>
      <c r="AB132" s="126"/>
      <c r="AC132" s="799"/>
      <c r="AD132" s="116"/>
      <c r="AE132" s="801"/>
      <c r="AF132" s="808"/>
      <c r="AG132" s="811"/>
      <c r="AH132" s="117"/>
      <c r="AI132" s="118"/>
      <c r="AJ132" s="814"/>
      <c r="AK132" s="119"/>
      <c r="AL132" s="120"/>
      <c r="AM132" s="121">
        <f t="shared" ref="AM132:AW132" si="164">IF(ISERROR(LOOKUP(AM$6,$S132:$AB132,$S$9:$AB$9)),0,(LOOKUP(AM$6,$S132:$AB132,$S$9:$AB$9)))</f>
        <v>0</v>
      </c>
      <c r="AN132" s="122">
        <f t="shared" si="164"/>
        <v>0</v>
      </c>
      <c r="AO132" s="122">
        <f t="shared" si="164"/>
        <v>0</v>
      </c>
      <c r="AP132" s="122">
        <f t="shared" si="164"/>
        <v>0</v>
      </c>
      <c r="AQ132" s="122">
        <f t="shared" si="164"/>
        <v>0</v>
      </c>
      <c r="AR132" s="122">
        <f t="shared" si="164"/>
        <v>0</v>
      </c>
      <c r="AS132" s="122">
        <f t="shared" si="164"/>
        <v>0</v>
      </c>
      <c r="AT132" s="122">
        <f t="shared" si="164"/>
        <v>0</v>
      </c>
      <c r="AU132" s="122">
        <f t="shared" si="164"/>
        <v>0</v>
      </c>
      <c r="AV132" s="122">
        <f t="shared" si="164"/>
        <v>0</v>
      </c>
      <c r="AW132" s="122">
        <f t="shared" ca="1" si="164"/>
        <v>0</v>
      </c>
      <c r="BB132" s="94" t="e">
        <v>#REF!</v>
      </c>
    </row>
    <row r="133" spans="1:54" s="20" customFormat="1" ht="18" customHeight="1">
      <c r="A133" s="782">
        <f>A130+1</f>
        <v>42</v>
      </c>
      <c r="B133" s="79"/>
      <c r="C133" s="791" t="s">
        <v>5361</v>
      </c>
      <c r="D133" s="80" t="s">
        <v>5392</v>
      </c>
      <c r="E133" s="81" t="s">
        <v>5292</v>
      </c>
      <c r="F133" s="82" t="s">
        <v>73</v>
      </c>
      <c r="G133" s="794" t="s">
        <v>5414</v>
      </c>
      <c r="H133" s="82" t="s">
        <v>5293</v>
      </c>
      <c r="I133" s="81" t="s">
        <v>8</v>
      </c>
      <c r="J133" s="82"/>
      <c r="K133" s="84">
        <f>M135</f>
        <v>2E-3</v>
      </c>
      <c r="L133" s="84"/>
      <c r="M133" s="84"/>
      <c r="N133" s="81"/>
      <c r="O133" s="81"/>
      <c r="P133" s="81"/>
      <c r="Q133" s="85" t="s">
        <v>5364</v>
      </c>
      <c r="R133" s="86">
        <f>'Before Award'!U140+5</f>
        <v>46375</v>
      </c>
      <c r="S133" s="86" t="e">
        <f>WORKDAY(R133,INDEX(S$2:S$5,MATCH($I133,$I$2:$I$5,0)),$BB$10:$BB$141)</f>
        <v>#REF!</v>
      </c>
      <c r="T133" s="86" t="e">
        <f>WORKDAY(S133,INDEX(T$2:T$5,MATCH($I133,$I$2:$I$5,0)),$BB$10:$BB$141)</f>
        <v>#REF!</v>
      </c>
      <c r="U133" s="86" t="e">
        <f>T133+30</f>
        <v>#REF!</v>
      </c>
      <c r="V133" s="86"/>
      <c r="W133" s="86">
        <f>AB133-35</f>
        <v>46503</v>
      </c>
      <c r="X133" s="86"/>
      <c r="Y133" s="86"/>
      <c r="Z133" s="86"/>
      <c r="AA133" s="86"/>
      <c r="AB133" s="86">
        <f>'Before Award'!X140</f>
        <v>46538</v>
      </c>
      <c r="AC133" s="797" t="s">
        <v>5365</v>
      </c>
      <c r="AD133" s="87">
        <v>7</v>
      </c>
      <c r="AE133" s="801">
        <f>24*7</f>
        <v>168</v>
      </c>
      <c r="AF133" s="806" t="e">
        <f>AB134</f>
        <v>#REF!</v>
      </c>
      <c r="AG133" s="809">
        <f>WORKDAY(AH133+1,-1,$BA$10:$BA$141)</f>
        <v>46538</v>
      </c>
      <c r="AH133" s="88">
        <v>46538</v>
      </c>
      <c r="AI133" s="89"/>
      <c r="AJ133" s="812" t="e">
        <f>AG133-AF133</f>
        <v>#REF!</v>
      </c>
      <c r="AK133" s="90"/>
      <c r="AL133" s="91"/>
      <c r="AM133" s="92">
        <f t="shared" ref="AM133:AW133" si="165">IF(ISERROR(LOOKUP(AM$6,$S133:$AB133,$S$9:$AB$9)),0,(LOOKUP(AM$6,$S133:$AB133,$S$9:$AB$9)))</f>
        <v>0</v>
      </c>
      <c r="AN133" s="93">
        <f t="shared" si="165"/>
        <v>0</v>
      </c>
      <c r="AO133" s="93">
        <f t="shared" si="165"/>
        <v>0</v>
      </c>
      <c r="AP133" s="93">
        <f t="shared" si="165"/>
        <v>0</v>
      </c>
      <c r="AQ133" s="93">
        <f t="shared" si="165"/>
        <v>0</v>
      </c>
      <c r="AR133" s="93">
        <f t="shared" si="165"/>
        <v>0</v>
      </c>
      <c r="AS133" s="93">
        <f t="shared" si="165"/>
        <v>0</v>
      </c>
      <c r="AT133" s="93">
        <f t="shared" si="165"/>
        <v>0</v>
      </c>
      <c r="AU133" s="93">
        <f t="shared" si="165"/>
        <v>0</v>
      </c>
      <c r="AV133" s="93">
        <f t="shared" si="165"/>
        <v>0</v>
      </c>
      <c r="AW133" s="93">
        <f t="shared" ca="1" si="165"/>
        <v>0</v>
      </c>
      <c r="BB133" s="94" t="e">
        <v>#REF!</v>
      </c>
    </row>
    <row r="134" spans="1:54" s="20" customFormat="1" ht="18" customHeight="1">
      <c r="A134" s="783"/>
      <c r="B134" s="95"/>
      <c r="C134" s="792"/>
      <c r="D134" s="96" t="str">
        <f>D133</f>
        <v>INS</v>
      </c>
      <c r="E134" s="97" t="str">
        <f>E133</f>
        <v>RFQ-042</v>
      </c>
      <c r="F134" s="98" t="str">
        <f>F133</f>
        <v>N</v>
      </c>
      <c r="G134" s="795"/>
      <c r="H134" s="98" t="str">
        <f>H133</f>
        <v>Oil in Water Analyzer</v>
      </c>
      <c r="I134" s="97" t="str">
        <f>I133</f>
        <v>LC</v>
      </c>
      <c r="J134" s="98"/>
      <c r="K134" s="100"/>
      <c r="L134" s="100">
        <f>M135</f>
        <v>2E-3</v>
      </c>
      <c r="M134" s="100"/>
      <c r="N134" s="97"/>
      <c r="O134" s="97"/>
      <c r="P134" s="97"/>
      <c r="Q134" s="101" t="s">
        <v>5366</v>
      </c>
      <c r="R134" s="101"/>
      <c r="S134" s="102" t="e">
        <f>S133</f>
        <v>#REF!</v>
      </c>
      <c r="T134" s="103" t="e">
        <f>T133</f>
        <v>#REF!</v>
      </c>
      <c r="U134" s="103" t="e">
        <f t="shared" ref="U134:Z134" si="166">WORKDAY(IF(T135="",T134,T135),INDEX(U$2:U$5,MATCH($I133,$I$2:$I$5,0)),$BB$10:$BB$141)</f>
        <v>#REF!</v>
      </c>
      <c r="V134" s="103" t="e">
        <f t="shared" si="166"/>
        <v>#REF!</v>
      </c>
      <c r="W134" s="103" t="e">
        <f t="shared" si="166"/>
        <v>#REF!</v>
      </c>
      <c r="X134" s="103" t="e">
        <f t="shared" si="166"/>
        <v>#REF!</v>
      </c>
      <c r="Y134" s="103" t="e">
        <f t="shared" si="166"/>
        <v>#REF!</v>
      </c>
      <c r="Z134" s="103" t="e">
        <f t="shared" si="166"/>
        <v>#REF!</v>
      </c>
      <c r="AA134" s="103" t="e">
        <f>WORKDAY(IF(Z135="",X134,Z135),INDEX(AA$2:AA$5,MATCH($I133,$I$2:$I$5,0)),$BB$10:$BB$141)</f>
        <v>#REF!</v>
      </c>
      <c r="AB134" s="104" t="e">
        <f>WORKDAY(AE133+#REF!,0,'[38]Equipment List and MR List (3)'!$A$2:$A$80)</f>
        <v>#REF!</v>
      </c>
      <c r="AC134" s="798"/>
      <c r="AD134" s="105"/>
      <c r="AE134" s="801"/>
      <c r="AF134" s="807"/>
      <c r="AG134" s="810"/>
      <c r="AH134" s="106"/>
      <c r="AI134" s="107"/>
      <c r="AJ134" s="813"/>
      <c r="AK134" s="108"/>
      <c r="AL134" s="109"/>
      <c r="AM134" s="92">
        <f t="shared" ref="AM134:AW134" si="167">IF(ISERROR(LOOKUP(AM$6,$S134:$AB134,$S$9:$AB$9)),0,(LOOKUP(AM$6,$S134:$AB134,$S$9:$AB$9)))</f>
        <v>0</v>
      </c>
      <c r="AN134" s="93">
        <f t="shared" si="167"/>
        <v>0</v>
      </c>
      <c r="AO134" s="93">
        <f t="shared" si="167"/>
        <v>0</v>
      </c>
      <c r="AP134" s="93">
        <f t="shared" si="167"/>
        <v>0</v>
      </c>
      <c r="AQ134" s="93">
        <f t="shared" si="167"/>
        <v>0</v>
      </c>
      <c r="AR134" s="93">
        <f t="shared" si="167"/>
        <v>0</v>
      </c>
      <c r="AS134" s="93">
        <f t="shared" si="167"/>
        <v>0</v>
      </c>
      <c r="AT134" s="93">
        <f t="shared" si="167"/>
        <v>0</v>
      </c>
      <c r="AU134" s="93">
        <f t="shared" si="167"/>
        <v>0</v>
      </c>
      <c r="AV134" s="93">
        <f t="shared" si="167"/>
        <v>0</v>
      </c>
      <c r="AW134" s="93">
        <f t="shared" ca="1" si="167"/>
        <v>0</v>
      </c>
      <c r="BB134" s="94" t="e">
        <v>#REF!</v>
      </c>
    </row>
    <row r="135" spans="1:54" s="20" customFormat="1" ht="18" customHeight="1">
      <c r="A135" s="784"/>
      <c r="B135" s="110"/>
      <c r="C135" s="793"/>
      <c r="D135" s="111" t="str">
        <f>D133</f>
        <v>INS</v>
      </c>
      <c r="E135" s="112" t="str">
        <f>E133</f>
        <v>RFQ-042</v>
      </c>
      <c r="F135" s="113" t="str">
        <f>F133</f>
        <v>N</v>
      </c>
      <c r="G135" s="796"/>
      <c r="H135" s="113" t="str">
        <f>H133</f>
        <v>Oil in Water Analyzer</v>
      </c>
      <c r="I135" s="112" t="str">
        <f>I133</f>
        <v>LC</v>
      </c>
      <c r="J135" s="113"/>
      <c r="K135" s="114"/>
      <c r="L135" s="114"/>
      <c r="M135" s="114">
        <v>2E-3</v>
      </c>
      <c r="N135" s="112"/>
      <c r="O135" s="112"/>
      <c r="P135" s="112"/>
      <c r="Q135" s="115" t="s">
        <v>368</v>
      </c>
      <c r="R135" s="115"/>
      <c r="S135" s="126"/>
      <c r="T135" s="126"/>
      <c r="U135" s="126"/>
      <c r="V135" s="126"/>
      <c r="W135" s="126"/>
      <c r="X135" s="126"/>
      <c r="Y135" s="126"/>
      <c r="Z135" s="126"/>
      <c r="AA135" s="126"/>
      <c r="AB135" s="126"/>
      <c r="AC135" s="799"/>
      <c r="AD135" s="116"/>
      <c r="AE135" s="801"/>
      <c r="AF135" s="808"/>
      <c r="AG135" s="811"/>
      <c r="AH135" s="117"/>
      <c r="AI135" s="118"/>
      <c r="AJ135" s="814"/>
      <c r="AK135" s="119"/>
      <c r="AL135" s="120"/>
      <c r="AM135" s="121">
        <f t="shared" ref="AM135:AW135" si="168">IF(ISERROR(LOOKUP(AM$6,$S135:$AB135,$S$9:$AB$9)),0,(LOOKUP(AM$6,$S135:$AB135,$S$9:$AB$9)))</f>
        <v>0</v>
      </c>
      <c r="AN135" s="122">
        <f t="shared" si="168"/>
        <v>0</v>
      </c>
      <c r="AO135" s="122">
        <f t="shared" si="168"/>
        <v>0</v>
      </c>
      <c r="AP135" s="122">
        <f t="shared" si="168"/>
        <v>0</v>
      </c>
      <c r="AQ135" s="122">
        <f t="shared" si="168"/>
        <v>0</v>
      </c>
      <c r="AR135" s="122">
        <f t="shared" si="168"/>
        <v>0</v>
      </c>
      <c r="AS135" s="122">
        <f t="shared" si="168"/>
        <v>0</v>
      </c>
      <c r="AT135" s="122">
        <f t="shared" si="168"/>
        <v>0</v>
      </c>
      <c r="AU135" s="122">
        <f t="shared" si="168"/>
        <v>0</v>
      </c>
      <c r="AV135" s="122">
        <f t="shared" si="168"/>
        <v>0</v>
      </c>
      <c r="AW135" s="122">
        <f t="shared" ca="1" si="168"/>
        <v>0</v>
      </c>
      <c r="BB135" s="94" t="e">
        <v>#REF!</v>
      </c>
    </row>
    <row r="136" spans="1:54" s="20" customFormat="1" ht="18" customHeight="1">
      <c r="A136" s="782">
        <f>A133+1</f>
        <v>43</v>
      </c>
      <c r="B136" s="79"/>
      <c r="C136" s="791" t="s">
        <v>5361</v>
      </c>
      <c r="D136" s="80" t="s">
        <v>5392</v>
      </c>
      <c r="E136" s="81" t="s">
        <v>5294</v>
      </c>
      <c r="F136" s="82" t="s">
        <v>73</v>
      </c>
      <c r="G136" s="794" t="s">
        <v>5415</v>
      </c>
      <c r="H136" s="82" t="s">
        <v>200</v>
      </c>
      <c r="I136" s="81" t="s">
        <v>8</v>
      </c>
      <c r="J136" s="82"/>
      <c r="K136" s="84">
        <f>M138</f>
        <v>5.0000000000000001E-3</v>
      </c>
      <c r="L136" s="84"/>
      <c r="M136" s="84"/>
      <c r="N136" s="81"/>
      <c r="O136" s="81"/>
      <c r="P136" s="81"/>
      <c r="Q136" s="85" t="s">
        <v>5364</v>
      </c>
      <c r="R136" s="86">
        <f>'Before Award'!U143+5</f>
        <v>46483</v>
      </c>
      <c r="S136" s="86" t="e">
        <f>WORKDAY(R136,INDEX(S$2:S$5,MATCH($I136,$I$2:$I$5,0)),$BB$10:$BB$141)</f>
        <v>#REF!</v>
      </c>
      <c r="T136" s="86" t="e">
        <f>WORKDAY(S136,INDEX(T$2:T$5,MATCH($I136,$I$2:$I$5,0)),$BB$10:$BB$141)</f>
        <v>#REF!</v>
      </c>
      <c r="U136" s="86" t="e">
        <f>T136+30</f>
        <v>#REF!</v>
      </c>
      <c r="V136" s="86"/>
      <c r="W136" s="86">
        <f>AB136-35</f>
        <v>46503</v>
      </c>
      <c r="X136" s="86"/>
      <c r="Y136" s="86"/>
      <c r="Z136" s="86"/>
      <c r="AA136" s="86"/>
      <c r="AB136" s="86">
        <f>'Before Award'!X143</f>
        <v>46538</v>
      </c>
      <c r="AC136" s="797" t="s">
        <v>5365</v>
      </c>
      <c r="AD136" s="87">
        <v>7</v>
      </c>
      <c r="AE136" s="801">
        <v>60</v>
      </c>
      <c r="AF136" s="806" t="e">
        <f>AB137</f>
        <v>#REF!</v>
      </c>
      <c r="AG136" s="809">
        <f>WORKDAY(AH136+1,-1,$BA$10:$BA$141)</f>
        <v>46538</v>
      </c>
      <c r="AH136" s="88">
        <v>46538</v>
      </c>
      <c r="AI136" s="89"/>
      <c r="AJ136" s="812" t="e">
        <f>AG136-AF136</f>
        <v>#REF!</v>
      </c>
      <c r="AK136" s="90"/>
      <c r="AL136" s="91"/>
      <c r="AM136" s="92">
        <f t="shared" ref="AM136:AW136" si="169">IF(ISERROR(LOOKUP(AM$6,$S136:$AB136,$S$9:$AB$9)),0,(LOOKUP(AM$6,$S136:$AB136,$S$9:$AB$9)))</f>
        <v>0</v>
      </c>
      <c r="AN136" s="93">
        <f t="shared" si="169"/>
        <v>0</v>
      </c>
      <c r="AO136" s="93">
        <f t="shared" si="169"/>
        <v>0</v>
      </c>
      <c r="AP136" s="93">
        <f t="shared" si="169"/>
        <v>0</v>
      </c>
      <c r="AQ136" s="93">
        <f t="shared" si="169"/>
        <v>0</v>
      </c>
      <c r="AR136" s="93">
        <f t="shared" si="169"/>
        <v>0</v>
      </c>
      <c r="AS136" s="93">
        <f t="shared" si="169"/>
        <v>0</v>
      </c>
      <c r="AT136" s="93">
        <f t="shared" si="169"/>
        <v>0</v>
      </c>
      <c r="AU136" s="93">
        <f t="shared" si="169"/>
        <v>0</v>
      </c>
      <c r="AV136" s="93">
        <f t="shared" si="169"/>
        <v>0</v>
      </c>
      <c r="AW136" s="93">
        <f t="shared" ca="1" si="169"/>
        <v>0</v>
      </c>
      <c r="BB136" s="94" t="e">
        <v>#REF!</v>
      </c>
    </row>
    <row r="137" spans="1:54" s="20" customFormat="1" ht="18" customHeight="1">
      <c r="A137" s="783"/>
      <c r="B137" s="95"/>
      <c r="C137" s="792"/>
      <c r="D137" s="96" t="str">
        <f>D136</f>
        <v>INS</v>
      </c>
      <c r="E137" s="97" t="str">
        <f>E136</f>
        <v>RFQ-043</v>
      </c>
      <c r="F137" s="98" t="str">
        <f>F136</f>
        <v>N</v>
      </c>
      <c r="G137" s="795"/>
      <c r="H137" s="98" t="str">
        <f>H136</f>
        <v>Level Switch</v>
      </c>
      <c r="I137" s="97" t="str">
        <f>I136</f>
        <v>LC</v>
      </c>
      <c r="J137" s="98"/>
      <c r="K137" s="100"/>
      <c r="L137" s="100">
        <f>M138</f>
        <v>5.0000000000000001E-3</v>
      </c>
      <c r="M137" s="100"/>
      <c r="N137" s="97"/>
      <c r="O137" s="97"/>
      <c r="P137" s="97"/>
      <c r="Q137" s="101" t="s">
        <v>5366</v>
      </c>
      <c r="R137" s="101"/>
      <c r="S137" s="102" t="e">
        <f>S136</f>
        <v>#REF!</v>
      </c>
      <c r="T137" s="103" t="e">
        <f>T136</f>
        <v>#REF!</v>
      </c>
      <c r="U137" s="103" t="e">
        <f t="shared" ref="U137:Z137" si="170">WORKDAY(IF(T138="",T137,T138),INDEX(U$2:U$5,MATCH($I136,$I$2:$I$5,0)),$BB$10:$BB$141)</f>
        <v>#REF!</v>
      </c>
      <c r="V137" s="103" t="e">
        <f t="shared" si="170"/>
        <v>#REF!</v>
      </c>
      <c r="W137" s="103" t="e">
        <f t="shared" si="170"/>
        <v>#REF!</v>
      </c>
      <c r="X137" s="103" t="e">
        <f t="shared" si="170"/>
        <v>#REF!</v>
      </c>
      <c r="Y137" s="103" t="e">
        <f t="shared" si="170"/>
        <v>#REF!</v>
      </c>
      <c r="Z137" s="103" t="e">
        <f t="shared" si="170"/>
        <v>#REF!</v>
      </c>
      <c r="AA137" s="103" t="e">
        <f>WORKDAY(IF(Z138="",X137,Z138),INDEX(AA$2:AA$5,MATCH($I136,$I$2:$I$5,0)),$BB$10:$BB$141)</f>
        <v>#REF!</v>
      </c>
      <c r="AB137" s="104" t="e">
        <f>WORKDAY(AE136+#REF!,0,'[38]Equipment List and MR List (3)'!$A$2:$A$80)</f>
        <v>#REF!</v>
      </c>
      <c r="AC137" s="798"/>
      <c r="AD137" s="105"/>
      <c r="AE137" s="801"/>
      <c r="AF137" s="807"/>
      <c r="AG137" s="810"/>
      <c r="AH137" s="106"/>
      <c r="AI137" s="107"/>
      <c r="AJ137" s="813"/>
      <c r="AK137" s="108"/>
      <c r="AL137" s="109"/>
      <c r="AM137" s="92">
        <f t="shared" ref="AM137:AW137" si="171">IF(ISERROR(LOOKUP(AM$6,$S137:$AB137,$S$9:$AB$9)),0,(LOOKUP(AM$6,$S137:$AB137,$S$9:$AB$9)))</f>
        <v>0</v>
      </c>
      <c r="AN137" s="93">
        <f t="shared" si="171"/>
        <v>0</v>
      </c>
      <c r="AO137" s="93">
        <f t="shared" si="171"/>
        <v>0</v>
      </c>
      <c r="AP137" s="93">
        <f t="shared" si="171"/>
        <v>0</v>
      </c>
      <c r="AQ137" s="93">
        <f t="shared" si="171"/>
        <v>0</v>
      </c>
      <c r="AR137" s="93">
        <f t="shared" si="171"/>
        <v>0</v>
      </c>
      <c r="AS137" s="93">
        <f t="shared" si="171"/>
        <v>0</v>
      </c>
      <c r="AT137" s="93">
        <f t="shared" si="171"/>
        <v>0</v>
      </c>
      <c r="AU137" s="93">
        <f t="shared" si="171"/>
        <v>0</v>
      </c>
      <c r="AV137" s="93">
        <f t="shared" si="171"/>
        <v>0</v>
      </c>
      <c r="AW137" s="93">
        <f t="shared" ca="1" si="171"/>
        <v>0</v>
      </c>
      <c r="BB137" s="94" t="e">
        <v>#REF!</v>
      </c>
    </row>
    <row r="138" spans="1:54" s="20" customFormat="1" ht="18" customHeight="1">
      <c r="A138" s="784"/>
      <c r="B138" s="110"/>
      <c r="C138" s="793"/>
      <c r="D138" s="111" t="str">
        <f>D136</f>
        <v>INS</v>
      </c>
      <c r="E138" s="112" t="str">
        <f>E136</f>
        <v>RFQ-043</v>
      </c>
      <c r="F138" s="113" t="str">
        <f>F136</f>
        <v>N</v>
      </c>
      <c r="G138" s="796"/>
      <c r="H138" s="113" t="str">
        <f>H136</f>
        <v>Level Switch</v>
      </c>
      <c r="I138" s="112" t="str">
        <f>I136</f>
        <v>LC</v>
      </c>
      <c r="J138" s="113"/>
      <c r="K138" s="114"/>
      <c r="L138" s="114"/>
      <c r="M138" s="114">
        <v>5.0000000000000001E-3</v>
      </c>
      <c r="N138" s="112"/>
      <c r="O138" s="112"/>
      <c r="P138" s="112"/>
      <c r="Q138" s="115" t="s">
        <v>368</v>
      </c>
      <c r="R138" s="115"/>
      <c r="S138" s="126"/>
      <c r="T138" s="126"/>
      <c r="U138" s="126"/>
      <c r="V138" s="126"/>
      <c r="W138" s="126"/>
      <c r="X138" s="126"/>
      <c r="Y138" s="126"/>
      <c r="Z138" s="126"/>
      <c r="AA138" s="126"/>
      <c r="AB138" s="126"/>
      <c r="AC138" s="799"/>
      <c r="AD138" s="116"/>
      <c r="AE138" s="801"/>
      <c r="AF138" s="808"/>
      <c r="AG138" s="811"/>
      <c r="AH138" s="117"/>
      <c r="AI138" s="118"/>
      <c r="AJ138" s="814"/>
      <c r="AK138" s="119"/>
      <c r="AL138" s="120"/>
      <c r="AM138" s="121">
        <f t="shared" ref="AM138:AW138" si="172">IF(ISERROR(LOOKUP(AM$6,$S138:$AB138,$S$9:$AB$9)),0,(LOOKUP(AM$6,$S138:$AB138,$S$9:$AB$9)))</f>
        <v>0</v>
      </c>
      <c r="AN138" s="122">
        <f t="shared" si="172"/>
        <v>0</v>
      </c>
      <c r="AO138" s="122">
        <f t="shared" si="172"/>
        <v>0</v>
      </c>
      <c r="AP138" s="122">
        <f t="shared" si="172"/>
        <v>0</v>
      </c>
      <c r="AQ138" s="122">
        <f t="shared" si="172"/>
        <v>0</v>
      </c>
      <c r="AR138" s="122">
        <f t="shared" si="172"/>
        <v>0</v>
      </c>
      <c r="AS138" s="122">
        <f t="shared" si="172"/>
        <v>0</v>
      </c>
      <c r="AT138" s="122">
        <f t="shared" si="172"/>
        <v>0</v>
      </c>
      <c r="AU138" s="122">
        <f t="shared" si="172"/>
        <v>0</v>
      </c>
      <c r="AV138" s="122">
        <f t="shared" si="172"/>
        <v>0</v>
      </c>
      <c r="AW138" s="122">
        <f t="shared" ca="1" si="172"/>
        <v>0</v>
      </c>
      <c r="BB138" s="94" t="e">
        <v>#REF!</v>
      </c>
    </row>
    <row r="139" spans="1:54" s="20" customFormat="1" ht="18" customHeight="1">
      <c r="A139" s="782">
        <f>A136+1</f>
        <v>44</v>
      </c>
      <c r="B139" s="79"/>
      <c r="C139" s="791" t="s">
        <v>5361</v>
      </c>
      <c r="D139" s="80" t="s">
        <v>5392</v>
      </c>
      <c r="E139" s="81" t="s">
        <v>5295</v>
      </c>
      <c r="F139" s="82" t="s">
        <v>73</v>
      </c>
      <c r="G139" s="794" t="s">
        <v>5416</v>
      </c>
      <c r="H139" s="82" t="s">
        <v>5296</v>
      </c>
      <c r="I139" s="81" t="s">
        <v>8</v>
      </c>
      <c r="J139" s="82"/>
      <c r="K139" s="84">
        <f>M141</f>
        <v>5.0000000000000001E-3</v>
      </c>
      <c r="L139" s="84"/>
      <c r="M139" s="84"/>
      <c r="N139" s="81"/>
      <c r="O139" s="81"/>
      <c r="P139" s="81"/>
      <c r="Q139" s="85" t="s">
        <v>5364</v>
      </c>
      <c r="R139" s="86">
        <f>'Before Award'!U146+5</f>
        <v>46483</v>
      </c>
      <c r="S139" s="86" t="e">
        <f>WORKDAY(R139,INDEX(S$2:S$5,MATCH($I139,$I$2:$I$5,0)),$BB$10:$BB$141)</f>
        <v>#REF!</v>
      </c>
      <c r="T139" s="86" t="e">
        <f>WORKDAY(S139,INDEX(T$2:T$5,MATCH($I139,$I$2:$I$5,0)),$BB$10:$BB$141)</f>
        <v>#REF!</v>
      </c>
      <c r="U139" s="86" t="e">
        <f>T139+30</f>
        <v>#REF!</v>
      </c>
      <c r="V139" s="86"/>
      <c r="W139" s="86">
        <f>AB139-35</f>
        <v>46503</v>
      </c>
      <c r="X139" s="86"/>
      <c r="Y139" s="86"/>
      <c r="Z139" s="86"/>
      <c r="AA139" s="86"/>
      <c r="AB139" s="86">
        <f>'Before Award'!X146</f>
        <v>46538</v>
      </c>
      <c r="AC139" s="797" t="s">
        <v>5365</v>
      </c>
      <c r="AD139" s="87">
        <v>7</v>
      </c>
      <c r="AE139" s="801">
        <v>60</v>
      </c>
      <c r="AF139" s="806" t="e">
        <f>AB140</f>
        <v>#REF!</v>
      </c>
      <c r="AG139" s="809">
        <f>WORKDAY(AH139+1,-1,$BA$10:$BA$141)</f>
        <v>46538</v>
      </c>
      <c r="AH139" s="88">
        <v>46538</v>
      </c>
      <c r="AI139" s="89"/>
      <c r="AJ139" s="812" t="e">
        <f>AG139-AF139</f>
        <v>#REF!</v>
      </c>
      <c r="AK139" s="90"/>
      <c r="AL139" s="91"/>
      <c r="AM139" s="92">
        <f t="shared" ref="AM139:AW139" si="173">IF(ISERROR(LOOKUP(AM$6,$S139:$AB139,$S$9:$AB$9)),0,(LOOKUP(AM$6,$S139:$AB139,$S$9:$AB$9)))</f>
        <v>0</v>
      </c>
      <c r="AN139" s="93">
        <f t="shared" si="173"/>
        <v>0</v>
      </c>
      <c r="AO139" s="93">
        <f t="shared" si="173"/>
        <v>0</v>
      </c>
      <c r="AP139" s="93">
        <f t="shared" si="173"/>
        <v>0</v>
      </c>
      <c r="AQ139" s="93">
        <f t="shared" si="173"/>
        <v>0</v>
      </c>
      <c r="AR139" s="93">
        <f t="shared" si="173"/>
        <v>0</v>
      </c>
      <c r="AS139" s="93">
        <f t="shared" si="173"/>
        <v>0</v>
      </c>
      <c r="AT139" s="93">
        <f t="shared" si="173"/>
        <v>0</v>
      </c>
      <c r="AU139" s="93">
        <f t="shared" si="173"/>
        <v>0</v>
      </c>
      <c r="AV139" s="93">
        <f t="shared" si="173"/>
        <v>0</v>
      </c>
      <c r="AW139" s="93">
        <f t="shared" ca="1" si="173"/>
        <v>0</v>
      </c>
      <c r="BB139" s="94" t="e">
        <v>#REF!</v>
      </c>
    </row>
    <row r="140" spans="1:54" s="20" customFormat="1" ht="18" customHeight="1">
      <c r="A140" s="783"/>
      <c r="B140" s="95"/>
      <c r="C140" s="792"/>
      <c r="D140" s="96" t="str">
        <f>D139</f>
        <v>INS</v>
      </c>
      <c r="E140" s="97" t="str">
        <f>E139</f>
        <v>RFQ-044</v>
      </c>
      <c r="F140" s="98" t="str">
        <f>F139</f>
        <v>N</v>
      </c>
      <c r="G140" s="795"/>
      <c r="H140" s="98" t="str">
        <f>H139</f>
        <v>Flow Switch</v>
      </c>
      <c r="I140" s="97" t="str">
        <f>I139</f>
        <v>LC</v>
      </c>
      <c r="J140" s="98"/>
      <c r="K140" s="100"/>
      <c r="L140" s="100">
        <f>M141</f>
        <v>5.0000000000000001E-3</v>
      </c>
      <c r="M140" s="100"/>
      <c r="N140" s="97"/>
      <c r="O140" s="97"/>
      <c r="P140" s="97"/>
      <c r="Q140" s="101" t="s">
        <v>5366</v>
      </c>
      <c r="R140" s="101"/>
      <c r="S140" s="102" t="e">
        <f>S139</f>
        <v>#REF!</v>
      </c>
      <c r="T140" s="103" t="e">
        <f>T139</f>
        <v>#REF!</v>
      </c>
      <c r="U140" s="103" t="e">
        <f t="shared" ref="U140:Z140" si="174">WORKDAY(IF(T141="",T140,T141),INDEX(U$2:U$5,MATCH($I139,$I$2:$I$5,0)),$BB$10:$BB$141)</f>
        <v>#REF!</v>
      </c>
      <c r="V140" s="103" t="e">
        <f t="shared" si="174"/>
        <v>#REF!</v>
      </c>
      <c r="W140" s="103" t="e">
        <f t="shared" si="174"/>
        <v>#REF!</v>
      </c>
      <c r="X140" s="103" t="e">
        <f t="shared" si="174"/>
        <v>#REF!</v>
      </c>
      <c r="Y140" s="103" t="e">
        <f t="shared" si="174"/>
        <v>#REF!</v>
      </c>
      <c r="Z140" s="103" t="e">
        <f t="shared" si="174"/>
        <v>#REF!</v>
      </c>
      <c r="AA140" s="103" t="e">
        <f>WORKDAY(IF(Z141="",X140,Z141),INDEX(AA$2:AA$5,MATCH($I139,$I$2:$I$5,0)),$BB$10:$BB$141)</f>
        <v>#REF!</v>
      </c>
      <c r="AB140" s="104" t="e">
        <f>WORKDAY(AE139+#REF!,0,'[38]Equipment List and MR List (3)'!$A$2:$A$80)</f>
        <v>#REF!</v>
      </c>
      <c r="AC140" s="798"/>
      <c r="AD140" s="105"/>
      <c r="AE140" s="801"/>
      <c r="AF140" s="807"/>
      <c r="AG140" s="810"/>
      <c r="AH140" s="106"/>
      <c r="AI140" s="107"/>
      <c r="AJ140" s="813"/>
      <c r="AK140" s="108"/>
      <c r="AL140" s="109"/>
      <c r="AM140" s="92">
        <f t="shared" ref="AM140:AW140" si="175">IF(ISERROR(LOOKUP(AM$6,$S140:$AB140,$S$9:$AB$9)),0,(LOOKUP(AM$6,$S140:$AB140,$S$9:$AB$9)))</f>
        <v>0</v>
      </c>
      <c r="AN140" s="93">
        <f t="shared" si="175"/>
        <v>0</v>
      </c>
      <c r="AO140" s="93">
        <f t="shared" si="175"/>
        <v>0</v>
      </c>
      <c r="AP140" s="93">
        <f t="shared" si="175"/>
        <v>0</v>
      </c>
      <c r="AQ140" s="93">
        <f t="shared" si="175"/>
        <v>0</v>
      </c>
      <c r="AR140" s="93">
        <f t="shared" si="175"/>
        <v>0</v>
      </c>
      <c r="AS140" s="93">
        <f t="shared" si="175"/>
        <v>0</v>
      </c>
      <c r="AT140" s="93">
        <f t="shared" si="175"/>
        <v>0</v>
      </c>
      <c r="AU140" s="93">
        <f t="shared" si="175"/>
        <v>0</v>
      </c>
      <c r="AV140" s="93">
        <f t="shared" si="175"/>
        <v>0</v>
      </c>
      <c r="AW140" s="93">
        <f t="shared" ca="1" si="175"/>
        <v>0</v>
      </c>
      <c r="BB140" s="94" t="e">
        <v>#REF!</v>
      </c>
    </row>
    <row r="141" spans="1:54" s="20" customFormat="1" ht="18" customHeight="1">
      <c r="A141" s="784"/>
      <c r="B141" s="110"/>
      <c r="C141" s="793"/>
      <c r="D141" s="111" t="str">
        <f>D139</f>
        <v>INS</v>
      </c>
      <c r="E141" s="112" t="str">
        <f>E139</f>
        <v>RFQ-044</v>
      </c>
      <c r="F141" s="113" t="str">
        <f>F139</f>
        <v>N</v>
      </c>
      <c r="G141" s="796"/>
      <c r="H141" s="113" t="str">
        <f>H139</f>
        <v>Flow Switch</v>
      </c>
      <c r="I141" s="112" t="str">
        <f>I139</f>
        <v>LC</v>
      </c>
      <c r="J141" s="113"/>
      <c r="K141" s="114"/>
      <c r="L141" s="114"/>
      <c r="M141" s="114">
        <v>5.0000000000000001E-3</v>
      </c>
      <c r="N141" s="112"/>
      <c r="O141" s="112"/>
      <c r="P141" s="112"/>
      <c r="Q141" s="115" t="s">
        <v>368</v>
      </c>
      <c r="R141" s="115"/>
      <c r="S141" s="126"/>
      <c r="T141" s="126"/>
      <c r="U141" s="126"/>
      <c r="V141" s="126"/>
      <c r="W141" s="126"/>
      <c r="X141" s="126"/>
      <c r="Y141" s="126"/>
      <c r="Z141" s="126"/>
      <c r="AA141" s="126"/>
      <c r="AB141" s="126"/>
      <c r="AC141" s="799"/>
      <c r="AD141" s="116"/>
      <c r="AE141" s="801"/>
      <c r="AF141" s="808"/>
      <c r="AG141" s="811"/>
      <c r="AH141" s="117"/>
      <c r="AI141" s="118"/>
      <c r="AJ141" s="814"/>
      <c r="AK141" s="119"/>
      <c r="AL141" s="120"/>
      <c r="AM141" s="121">
        <f t="shared" ref="AM141:AW141" si="176">IF(ISERROR(LOOKUP(AM$6,$S141:$AB141,$S$9:$AB$9)),0,(LOOKUP(AM$6,$S141:$AB141,$S$9:$AB$9)))</f>
        <v>0</v>
      </c>
      <c r="AN141" s="122">
        <f t="shared" si="176"/>
        <v>0</v>
      </c>
      <c r="AO141" s="122">
        <f t="shared" si="176"/>
        <v>0</v>
      </c>
      <c r="AP141" s="122">
        <f t="shared" si="176"/>
        <v>0</v>
      </c>
      <c r="AQ141" s="122">
        <f t="shared" si="176"/>
        <v>0</v>
      </c>
      <c r="AR141" s="122">
        <f t="shared" si="176"/>
        <v>0</v>
      </c>
      <c r="AS141" s="122">
        <f t="shared" si="176"/>
        <v>0</v>
      </c>
      <c r="AT141" s="122">
        <f t="shared" si="176"/>
        <v>0</v>
      </c>
      <c r="AU141" s="122">
        <f t="shared" si="176"/>
        <v>0</v>
      </c>
      <c r="AV141" s="122">
        <f t="shared" si="176"/>
        <v>0</v>
      </c>
      <c r="AW141" s="122">
        <f t="shared" ca="1" si="176"/>
        <v>0</v>
      </c>
      <c r="BB141" s="94" t="e">
        <v>#REF!</v>
      </c>
    </row>
    <row r="142" spans="1:54" s="20" customFormat="1" ht="18" customHeight="1">
      <c r="A142" s="782">
        <f>A139+1</f>
        <v>45</v>
      </c>
      <c r="B142" s="79"/>
      <c r="C142" s="791" t="s">
        <v>5361</v>
      </c>
      <c r="D142" s="80" t="s">
        <v>5392</v>
      </c>
      <c r="E142" s="81" t="s">
        <v>5297</v>
      </c>
      <c r="F142" s="82" t="s">
        <v>73</v>
      </c>
      <c r="G142" s="794" t="s">
        <v>5409</v>
      </c>
      <c r="H142" s="82" t="s">
        <v>203</v>
      </c>
      <c r="I142" s="81" t="s">
        <v>7</v>
      </c>
      <c r="J142" s="82"/>
      <c r="K142" s="84">
        <f>M144</f>
        <v>2E-3</v>
      </c>
      <c r="L142" s="84"/>
      <c r="M142" s="84"/>
      <c r="N142" s="81"/>
      <c r="O142" s="81"/>
      <c r="P142" s="81"/>
      <c r="Q142" s="85" t="s">
        <v>5364</v>
      </c>
      <c r="R142" s="86">
        <f>'Before Award'!U149+5</f>
        <v>46291</v>
      </c>
      <c r="S142" s="86" t="e">
        <f>WORKDAY(R142,INDEX(S$2:S$5,MATCH($I142,$I$2:$I$5,0)),$BB$10:$BB$141)</f>
        <v>#REF!</v>
      </c>
      <c r="T142" s="86" t="e">
        <f>WORKDAY(S142,INDEX(T$2:T$5,MATCH($I142,$I$2:$I$5,0)),$BB$10:$BB$141)</f>
        <v>#REF!</v>
      </c>
      <c r="U142" s="86" t="e">
        <f>T142+30</f>
        <v>#REF!</v>
      </c>
      <c r="V142" s="86"/>
      <c r="W142" s="86">
        <f>AB142-35</f>
        <v>46503</v>
      </c>
      <c r="X142" s="86"/>
      <c r="Y142" s="86"/>
      <c r="Z142" s="86"/>
      <c r="AA142" s="86"/>
      <c r="AB142" s="86">
        <f>'Before Award'!X149</f>
        <v>46538</v>
      </c>
      <c r="AC142" s="797" t="s">
        <v>5365</v>
      </c>
      <c r="AD142" s="87">
        <v>7</v>
      </c>
      <c r="AE142" s="801">
        <f>36*7</f>
        <v>252</v>
      </c>
      <c r="AF142" s="806" t="e">
        <f>AB143</f>
        <v>#REF!</v>
      </c>
      <c r="AG142" s="809">
        <f>WORKDAY(AH142+1,-1,$BA$10:$BA$141)</f>
        <v>46538</v>
      </c>
      <c r="AH142" s="88">
        <v>46538</v>
      </c>
      <c r="AI142" s="89"/>
      <c r="AJ142" s="812" t="e">
        <f>AG142-AF142</f>
        <v>#REF!</v>
      </c>
      <c r="AK142" s="90"/>
      <c r="AL142" s="91"/>
      <c r="AM142" s="92">
        <f t="shared" ref="AM142:AW142" si="177">IF(ISERROR(LOOKUP(AM$6,$S142:$AB142,$S$9:$AB$9)),0,(LOOKUP(AM$6,$S142:$AB142,$S$9:$AB$9)))</f>
        <v>0</v>
      </c>
      <c r="AN142" s="93">
        <f t="shared" si="177"/>
        <v>0</v>
      </c>
      <c r="AO142" s="93">
        <f t="shared" si="177"/>
        <v>0</v>
      </c>
      <c r="AP142" s="93">
        <f t="shared" si="177"/>
        <v>0</v>
      </c>
      <c r="AQ142" s="93">
        <f t="shared" si="177"/>
        <v>0</v>
      </c>
      <c r="AR142" s="93">
        <f t="shared" si="177"/>
        <v>0</v>
      </c>
      <c r="AS142" s="93">
        <f t="shared" si="177"/>
        <v>0</v>
      </c>
      <c r="AT142" s="93">
        <f t="shared" si="177"/>
        <v>0</v>
      </c>
      <c r="AU142" s="93">
        <f t="shared" si="177"/>
        <v>0</v>
      </c>
      <c r="AV142" s="93">
        <f t="shared" si="177"/>
        <v>0</v>
      </c>
      <c r="AW142" s="93">
        <f t="shared" ca="1" si="177"/>
        <v>0</v>
      </c>
      <c r="BB142" s="94" t="e">
        <v>#REF!</v>
      </c>
    </row>
    <row r="143" spans="1:54" s="20" customFormat="1" ht="18" customHeight="1">
      <c r="A143" s="783"/>
      <c r="B143" s="95"/>
      <c r="C143" s="792"/>
      <c r="D143" s="96" t="str">
        <f>D142</f>
        <v>INS</v>
      </c>
      <c r="E143" s="97" t="str">
        <f>E142</f>
        <v>RFQ-045</v>
      </c>
      <c r="F143" s="98" t="str">
        <f>F142</f>
        <v>N</v>
      </c>
      <c r="G143" s="795"/>
      <c r="H143" s="98" t="str">
        <f>H142</f>
        <v>SCADA System</v>
      </c>
      <c r="I143" s="97" t="str">
        <f>I142</f>
        <v>LB</v>
      </c>
      <c r="J143" s="98"/>
      <c r="K143" s="100"/>
      <c r="L143" s="100">
        <f>M144</f>
        <v>2E-3</v>
      </c>
      <c r="M143" s="100"/>
      <c r="N143" s="97"/>
      <c r="O143" s="97"/>
      <c r="P143" s="97"/>
      <c r="Q143" s="101" t="s">
        <v>5366</v>
      </c>
      <c r="R143" s="101"/>
      <c r="S143" s="102" t="e">
        <f>S142</f>
        <v>#REF!</v>
      </c>
      <c r="T143" s="103" t="e">
        <f>T142</f>
        <v>#REF!</v>
      </c>
      <c r="U143" s="103" t="e">
        <f t="shared" ref="U143:Z143" si="178">WORKDAY(IF(T144="",T143,T144),INDEX(U$2:U$5,MATCH($I142,$I$2:$I$5,0)),$BB$10:$BB$141)</f>
        <v>#REF!</v>
      </c>
      <c r="V143" s="103" t="e">
        <f t="shared" si="178"/>
        <v>#REF!</v>
      </c>
      <c r="W143" s="103" t="e">
        <f t="shared" si="178"/>
        <v>#REF!</v>
      </c>
      <c r="X143" s="103" t="e">
        <f t="shared" si="178"/>
        <v>#REF!</v>
      </c>
      <c r="Y143" s="103" t="e">
        <f t="shared" si="178"/>
        <v>#REF!</v>
      </c>
      <c r="Z143" s="103" t="e">
        <f t="shared" si="178"/>
        <v>#REF!</v>
      </c>
      <c r="AA143" s="103" t="e">
        <f>WORKDAY(IF(Z144="",X143,Z144),INDEX(AA$2:AA$5,MATCH($I142,$I$2:$I$5,0)),$BB$10:$BB$141)</f>
        <v>#REF!</v>
      </c>
      <c r="AB143" s="104" t="e">
        <f>WORKDAY(AE142+#REF!,0,'[38]Equipment List and MR List (3)'!$A$2:$A$80)</f>
        <v>#REF!</v>
      </c>
      <c r="AC143" s="798"/>
      <c r="AD143" s="105"/>
      <c r="AE143" s="801"/>
      <c r="AF143" s="807"/>
      <c r="AG143" s="810"/>
      <c r="AH143" s="106"/>
      <c r="AI143" s="107"/>
      <c r="AJ143" s="813"/>
      <c r="AK143" s="108"/>
      <c r="AL143" s="109"/>
      <c r="AM143" s="92">
        <f t="shared" ref="AM143:AW143" si="179">IF(ISERROR(LOOKUP(AM$6,$S143:$AB143,$S$9:$AB$9)),0,(LOOKUP(AM$6,$S143:$AB143,$S$9:$AB$9)))</f>
        <v>0</v>
      </c>
      <c r="AN143" s="93">
        <f t="shared" si="179"/>
        <v>0</v>
      </c>
      <c r="AO143" s="93">
        <f t="shared" si="179"/>
        <v>0</v>
      </c>
      <c r="AP143" s="93">
        <f t="shared" si="179"/>
        <v>0</v>
      </c>
      <c r="AQ143" s="93">
        <f t="shared" si="179"/>
        <v>0</v>
      </c>
      <c r="AR143" s="93">
        <f t="shared" si="179"/>
        <v>0</v>
      </c>
      <c r="AS143" s="93">
        <f t="shared" si="179"/>
        <v>0</v>
      </c>
      <c r="AT143" s="93">
        <f t="shared" si="179"/>
        <v>0</v>
      </c>
      <c r="AU143" s="93">
        <f t="shared" si="179"/>
        <v>0</v>
      </c>
      <c r="AV143" s="93">
        <f t="shared" si="179"/>
        <v>0</v>
      </c>
      <c r="AW143" s="93">
        <f t="shared" ca="1" si="179"/>
        <v>0</v>
      </c>
      <c r="BB143" s="94" t="e">
        <v>#REF!</v>
      </c>
    </row>
    <row r="144" spans="1:54" s="20" customFormat="1" ht="18" customHeight="1">
      <c r="A144" s="784"/>
      <c r="B144" s="110"/>
      <c r="C144" s="793"/>
      <c r="D144" s="111" t="str">
        <f>D142</f>
        <v>INS</v>
      </c>
      <c r="E144" s="112" t="str">
        <f>E142</f>
        <v>RFQ-045</v>
      </c>
      <c r="F144" s="113" t="str">
        <f>F142</f>
        <v>N</v>
      </c>
      <c r="G144" s="796"/>
      <c r="H144" s="113" t="str">
        <f>H142</f>
        <v>SCADA System</v>
      </c>
      <c r="I144" s="112" t="str">
        <f>I142</f>
        <v>LB</v>
      </c>
      <c r="J144" s="113"/>
      <c r="K144" s="114"/>
      <c r="L144" s="114"/>
      <c r="M144" s="114">
        <v>2E-3</v>
      </c>
      <c r="N144" s="112"/>
      <c r="O144" s="112"/>
      <c r="P144" s="112"/>
      <c r="Q144" s="115" t="s">
        <v>368</v>
      </c>
      <c r="R144" s="115"/>
      <c r="S144" s="126"/>
      <c r="T144" s="126"/>
      <c r="U144" s="126"/>
      <c r="V144" s="126"/>
      <c r="W144" s="126"/>
      <c r="X144" s="126"/>
      <c r="Y144" s="126"/>
      <c r="Z144" s="126"/>
      <c r="AA144" s="126"/>
      <c r="AB144" s="126"/>
      <c r="AC144" s="799"/>
      <c r="AD144" s="116"/>
      <c r="AE144" s="801"/>
      <c r="AF144" s="808"/>
      <c r="AG144" s="811"/>
      <c r="AH144" s="117"/>
      <c r="AI144" s="118"/>
      <c r="AJ144" s="814"/>
      <c r="AK144" s="119"/>
      <c r="AL144" s="120"/>
      <c r="AM144" s="121">
        <f t="shared" ref="AM144:AW144" si="180">IF(ISERROR(LOOKUP(AM$6,$S144:$AB144,$S$9:$AB$9)),0,(LOOKUP(AM$6,$S144:$AB144,$S$9:$AB$9)))</f>
        <v>0</v>
      </c>
      <c r="AN144" s="122">
        <f t="shared" si="180"/>
        <v>0</v>
      </c>
      <c r="AO144" s="122">
        <f t="shared" si="180"/>
        <v>0</v>
      </c>
      <c r="AP144" s="122">
        <f t="shared" si="180"/>
        <v>0</v>
      </c>
      <c r="AQ144" s="122">
        <f t="shared" si="180"/>
        <v>0</v>
      </c>
      <c r="AR144" s="122">
        <f t="shared" si="180"/>
        <v>0</v>
      </c>
      <c r="AS144" s="122">
        <f t="shared" si="180"/>
        <v>0</v>
      </c>
      <c r="AT144" s="122">
        <f t="shared" si="180"/>
        <v>0</v>
      </c>
      <c r="AU144" s="122">
        <f t="shared" si="180"/>
        <v>0</v>
      </c>
      <c r="AV144" s="122">
        <f t="shared" si="180"/>
        <v>0</v>
      </c>
      <c r="AW144" s="122">
        <f t="shared" ca="1" si="180"/>
        <v>0</v>
      </c>
      <c r="BB144" s="94" t="e">
        <v>#REF!</v>
      </c>
    </row>
    <row r="145" spans="1:54" s="20" customFormat="1" ht="18" customHeight="1">
      <c r="A145" s="782">
        <f>A142+1</f>
        <v>46</v>
      </c>
      <c r="B145" s="79"/>
      <c r="C145" s="791" t="s">
        <v>5361</v>
      </c>
      <c r="D145" s="80" t="s">
        <v>5392</v>
      </c>
      <c r="E145" s="81" t="s">
        <v>5298</v>
      </c>
      <c r="F145" s="82" t="s">
        <v>64</v>
      </c>
      <c r="G145" s="794" t="s">
        <v>5417</v>
      </c>
      <c r="H145" s="82" t="s">
        <v>5299</v>
      </c>
      <c r="I145" s="81" t="s">
        <v>8</v>
      </c>
      <c r="J145" s="82"/>
      <c r="K145" s="84">
        <f>M147</f>
        <v>2E-3</v>
      </c>
      <c r="L145" s="84"/>
      <c r="M145" s="84"/>
      <c r="N145" s="81"/>
      <c r="O145" s="81"/>
      <c r="P145" s="81"/>
      <c r="Q145" s="85" t="s">
        <v>5364</v>
      </c>
      <c r="R145" s="86">
        <f>'Before Award'!U152+5</f>
        <v>46249</v>
      </c>
      <c r="S145" s="86" t="e">
        <f>WORKDAY(R145,INDEX(S$2:S$5,MATCH($I145,$I$2:$I$5,0)),$BB$10:$BB$141)</f>
        <v>#REF!</v>
      </c>
      <c r="T145" s="86" t="e">
        <f>WORKDAY(S145,INDEX(T$2:T$5,MATCH($I145,$I$2:$I$5,0)),$BB$10:$BB$141)</f>
        <v>#REF!</v>
      </c>
      <c r="U145" s="86" t="e">
        <f>T145+30</f>
        <v>#REF!</v>
      </c>
      <c r="V145" s="86"/>
      <c r="W145" s="86">
        <f>AB145-35</f>
        <v>46503</v>
      </c>
      <c r="X145" s="86"/>
      <c r="Y145" s="86"/>
      <c r="Z145" s="86"/>
      <c r="AA145" s="86"/>
      <c r="AB145" s="86">
        <f>'Before Award'!X152</f>
        <v>46538</v>
      </c>
      <c r="AC145" s="797" t="s">
        <v>5365</v>
      </c>
      <c r="AD145" s="87">
        <v>7</v>
      </c>
      <c r="AE145" s="801">
        <v>294</v>
      </c>
      <c r="AF145" s="806" t="e">
        <f>AB146</f>
        <v>#REF!</v>
      </c>
      <c r="AG145" s="809">
        <f>WORKDAY(AH145+1,-1,$BA$10:$BA$141)</f>
        <v>46538</v>
      </c>
      <c r="AH145" s="88">
        <v>46538</v>
      </c>
      <c r="AI145" s="89"/>
      <c r="AJ145" s="812" t="e">
        <f>AG145-AF145</f>
        <v>#REF!</v>
      </c>
      <c r="AK145" s="90"/>
      <c r="AL145" s="91"/>
      <c r="AM145" s="92">
        <f t="shared" ref="AM145:AW145" si="181">IF(ISERROR(LOOKUP(AM$6,$S145:$AB145,$S$9:$AB$9)),0,(LOOKUP(AM$6,$S145:$AB145,$S$9:$AB$9)))</f>
        <v>0</v>
      </c>
      <c r="AN145" s="93">
        <f t="shared" si="181"/>
        <v>0</v>
      </c>
      <c r="AO145" s="93">
        <f t="shared" si="181"/>
        <v>0</v>
      </c>
      <c r="AP145" s="93">
        <f t="shared" si="181"/>
        <v>0</v>
      </c>
      <c r="AQ145" s="93">
        <f t="shared" si="181"/>
        <v>0</v>
      </c>
      <c r="AR145" s="93">
        <f t="shared" si="181"/>
        <v>0</v>
      </c>
      <c r="AS145" s="93">
        <f t="shared" si="181"/>
        <v>0</v>
      </c>
      <c r="AT145" s="93">
        <f t="shared" si="181"/>
        <v>0</v>
      </c>
      <c r="AU145" s="93">
        <f t="shared" si="181"/>
        <v>0</v>
      </c>
      <c r="AV145" s="93">
        <f t="shared" si="181"/>
        <v>0</v>
      </c>
      <c r="AW145" s="93">
        <f t="shared" ca="1" si="181"/>
        <v>0</v>
      </c>
      <c r="BB145" s="94" t="e">
        <v>#REF!</v>
      </c>
    </row>
    <row r="146" spans="1:54" s="20" customFormat="1" ht="18" customHeight="1">
      <c r="A146" s="783"/>
      <c r="B146" s="95"/>
      <c r="C146" s="792"/>
      <c r="D146" s="96" t="str">
        <f>D145</f>
        <v>INS</v>
      </c>
      <c r="E146" s="97" t="str">
        <f>E145</f>
        <v>RFQ-046</v>
      </c>
      <c r="F146" s="98" t="str">
        <f>F145</f>
        <v>Y</v>
      </c>
      <c r="G146" s="795"/>
      <c r="H146" s="98" t="str">
        <f>H145</f>
        <v>Telecommunication System (WiMAX, Telephone, Marine Radio)</v>
      </c>
      <c r="I146" s="97" t="str">
        <f>I145</f>
        <v>LC</v>
      </c>
      <c r="J146" s="98"/>
      <c r="K146" s="100"/>
      <c r="L146" s="100">
        <f>M147</f>
        <v>2E-3</v>
      </c>
      <c r="M146" s="100"/>
      <c r="N146" s="97"/>
      <c r="O146" s="97"/>
      <c r="P146" s="97"/>
      <c r="Q146" s="101" t="s">
        <v>5366</v>
      </c>
      <c r="R146" s="101"/>
      <c r="S146" s="102" t="e">
        <f>S145</f>
        <v>#REF!</v>
      </c>
      <c r="T146" s="103" t="e">
        <f>T145</f>
        <v>#REF!</v>
      </c>
      <c r="U146" s="103" t="e">
        <f t="shared" ref="U146:Z146" si="182">WORKDAY(IF(T147="",T146,T147),INDEX(U$2:U$5,MATCH($I145,$I$2:$I$5,0)),$BB$10:$BB$141)</f>
        <v>#REF!</v>
      </c>
      <c r="V146" s="103" t="e">
        <f t="shared" si="182"/>
        <v>#REF!</v>
      </c>
      <c r="W146" s="103" t="e">
        <f t="shared" si="182"/>
        <v>#REF!</v>
      </c>
      <c r="X146" s="103" t="e">
        <f t="shared" si="182"/>
        <v>#REF!</v>
      </c>
      <c r="Y146" s="103" t="e">
        <f t="shared" si="182"/>
        <v>#REF!</v>
      </c>
      <c r="Z146" s="103" t="e">
        <f t="shared" si="182"/>
        <v>#REF!</v>
      </c>
      <c r="AA146" s="103" t="e">
        <f>WORKDAY(IF(Z147="",X146,Z147),INDEX(AA$2:AA$5,MATCH($I145,$I$2:$I$5,0)),$BB$10:$BB$141)</f>
        <v>#REF!</v>
      </c>
      <c r="AB146" s="104" t="e">
        <f>WORKDAY(AE145+#REF!,0,'[38]Equipment List and MR List (3)'!$A$2:$A$80)</f>
        <v>#REF!</v>
      </c>
      <c r="AC146" s="798"/>
      <c r="AD146" s="105"/>
      <c r="AE146" s="801"/>
      <c r="AF146" s="807"/>
      <c r="AG146" s="810"/>
      <c r="AH146" s="106"/>
      <c r="AI146" s="107"/>
      <c r="AJ146" s="813"/>
      <c r="AK146" s="108"/>
      <c r="AL146" s="109"/>
      <c r="AM146" s="92">
        <f t="shared" ref="AM146:AW146" si="183">IF(ISERROR(LOOKUP(AM$6,$S146:$AB146,$S$9:$AB$9)),0,(LOOKUP(AM$6,$S146:$AB146,$S$9:$AB$9)))</f>
        <v>0</v>
      </c>
      <c r="AN146" s="93">
        <f t="shared" si="183"/>
        <v>0</v>
      </c>
      <c r="AO146" s="93">
        <f t="shared" si="183"/>
        <v>0</v>
      </c>
      <c r="AP146" s="93">
        <f t="shared" si="183"/>
        <v>0</v>
      </c>
      <c r="AQ146" s="93">
        <f t="shared" si="183"/>
        <v>0</v>
      </c>
      <c r="AR146" s="93">
        <f t="shared" si="183"/>
        <v>0</v>
      </c>
      <c r="AS146" s="93">
        <f t="shared" si="183"/>
        <v>0</v>
      </c>
      <c r="AT146" s="93">
        <f t="shared" si="183"/>
        <v>0</v>
      </c>
      <c r="AU146" s="93">
        <f t="shared" si="183"/>
        <v>0</v>
      </c>
      <c r="AV146" s="93">
        <f t="shared" si="183"/>
        <v>0</v>
      </c>
      <c r="AW146" s="93">
        <f t="shared" ca="1" si="183"/>
        <v>0</v>
      </c>
      <c r="BB146" s="94" t="e">
        <v>#REF!</v>
      </c>
    </row>
    <row r="147" spans="1:54" s="20" customFormat="1" ht="18" customHeight="1">
      <c r="A147" s="784"/>
      <c r="B147" s="110"/>
      <c r="C147" s="793"/>
      <c r="D147" s="111" t="str">
        <f>D145</f>
        <v>INS</v>
      </c>
      <c r="E147" s="112" t="str">
        <f>E145</f>
        <v>RFQ-046</v>
      </c>
      <c r="F147" s="113" t="str">
        <f>F145</f>
        <v>Y</v>
      </c>
      <c r="G147" s="796"/>
      <c r="H147" s="113" t="str">
        <f>H145</f>
        <v>Telecommunication System (WiMAX, Telephone, Marine Radio)</v>
      </c>
      <c r="I147" s="112" t="str">
        <f>I145</f>
        <v>LC</v>
      </c>
      <c r="J147" s="113"/>
      <c r="K147" s="114"/>
      <c r="L147" s="114"/>
      <c r="M147" s="114">
        <v>2E-3</v>
      </c>
      <c r="N147" s="112"/>
      <c r="O147" s="112"/>
      <c r="P147" s="112"/>
      <c r="Q147" s="115" t="s">
        <v>368</v>
      </c>
      <c r="R147" s="115"/>
      <c r="S147" s="126"/>
      <c r="T147" s="126"/>
      <c r="U147" s="126"/>
      <c r="V147" s="126"/>
      <c r="W147" s="126"/>
      <c r="X147" s="126"/>
      <c r="Y147" s="126"/>
      <c r="Z147" s="126"/>
      <c r="AA147" s="126"/>
      <c r="AB147" s="126"/>
      <c r="AC147" s="799"/>
      <c r="AD147" s="116"/>
      <c r="AE147" s="801"/>
      <c r="AF147" s="808"/>
      <c r="AG147" s="811"/>
      <c r="AH147" s="117"/>
      <c r="AI147" s="118"/>
      <c r="AJ147" s="814"/>
      <c r="AK147" s="119"/>
      <c r="AL147" s="120"/>
      <c r="AM147" s="121">
        <f t="shared" ref="AM147:AW147" si="184">IF(ISERROR(LOOKUP(AM$6,$S147:$AB147,$S$9:$AB$9)),0,(LOOKUP(AM$6,$S147:$AB147,$S$9:$AB$9)))</f>
        <v>0</v>
      </c>
      <c r="AN147" s="122">
        <f t="shared" si="184"/>
        <v>0</v>
      </c>
      <c r="AO147" s="122">
        <f t="shared" si="184"/>
        <v>0</v>
      </c>
      <c r="AP147" s="122">
        <f t="shared" si="184"/>
        <v>0</v>
      </c>
      <c r="AQ147" s="122">
        <f t="shared" si="184"/>
        <v>0</v>
      </c>
      <c r="AR147" s="122">
        <f t="shared" si="184"/>
        <v>0</v>
      </c>
      <c r="AS147" s="122">
        <f t="shared" si="184"/>
        <v>0</v>
      </c>
      <c r="AT147" s="122">
        <f t="shared" si="184"/>
        <v>0</v>
      </c>
      <c r="AU147" s="122">
        <f t="shared" si="184"/>
        <v>0</v>
      </c>
      <c r="AV147" s="122">
        <f t="shared" si="184"/>
        <v>0</v>
      </c>
      <c r="AW147" s="122">
        <f t="shared" ca="1" si="184"/>
        <v>0</v>
      </c>
      <c r="BB147" s="94" t="e">
        <v>#REF!</v>
      </c>
    </row>
    <row r="148" spans="1:54" s="20" customFormat="1" ht="18" customHeight="1">
      <c r="A148" s="782">
        <f>A145+1</f>
        <v>47</v>
      </c>
      <c r="B148" s="79"/>
      <c r="C148" s="791" t="s">
        <v>5361</v>
      </c>
      <c r="D148" s="80" t="s">
        <v>5392</v>
      </c>
      <c r="E148" s="81" t="s">
        <v>5300</v>
      </c>
      <c r="F148" s="82" t="s">
        <v>73</v>
      </c>
      <c r="G148" s="794" t="s">
        <v>5418</v>
      </c>
      <c r="H148" s="82" t="s">
        <v>5301</v>
      </c>
      <c r="I148" s="81" t="s">
        <v>8</v>
      </c>
      <c r="J148" s="82"/>
      <c r="K148" s="84">
        <f>M150</f>
        <v>1E-3</v>
      </c>
      <c r="L148" s="84"/>
      <c r="M148" s="84"/>
      <c r="N148" s="81"/>
      <c r="O148" s="81"/>
      <c r="P148" s="81"/>
      <c r="Q148" s="85" t="s">
        <v>5364</v>
      </c>
      <c r="R148" s="86">
        <f>'Before Award'!U155+5</f>
        <v>46370</v>
      </c>
      <c r="S148" s="86" t="e">
        <f>WORKDAY(R148,INDEX(S$2:S$5,MATCH($I148,$I$2:$I$5,0)),$BB$10:$BB$141)</f>
        <v>#REF!</v>
      </c>
      <c r="T148" s="86" t="e">
        <f>WORKDAY(S148,INDEX(T$2:T$5,MATCH($I148,$I$2:$I$5,0)),$BB$10:$BB$141)</f>
        <v>#REF!</v>
      </c>
      <c r="U148" s="86" t="e">
        <f>T148+30</f>
        <v>#REF!</v>
      </c>
      <c r="V148" s="86"/>
      <c r="W148" s="86">
        <f>AB148-35</f>
        <v>46442</v>
      </c>
      <c r="X148" s="86"/>
      <c r="Y148" s="86"/>
      <c r="Z148" s="86"/>
      <c r="AA148" s="86"/>
      <c r="AB148" s="86">
        <f>'Before Award'!X155</f>
        <v>46477</v>
      </c>
      <c r="AC148" s="797" t="s">
        <v>5365</v>
      </c>
      <c r="AD148" s="87">
        <v>7</v>
      </c>
      <c r="AE148" s="801">
        <f>16*7</f>
        <v>112</v>
      </c>
      <c r="AF148" s="806" t="e">
        <f>AB149</f>
        <v>#REF!</v>
      </c>
      <c r="AG148" s="809">
        <f>WORKDAY(AH148+1,-1,$BA$10:$BA$141)</f>
        <v>46477</v>
      </c>
      <c r="AH148" s="88">
        <v>46477</v>
      </c>
      <c r="AI148" s="89"/>
      <c r="AJ148" s="812" t="e">
        <f>AG148-AF148</f>
        <v>#REF!</v>
      </c>
      <c r="AK148" s="90"/>
      <c r="AL148" s="91"/>
      <c r="AM148" s="92">
        <f t="shared" ref="AM148:AW148" si="185">IF(ISERROR(LOOKUP(AM$6,$S148:$AB148,$S$9:$AB$9)),0,(LOOKUP(AM$6,$S148:$AB148,$S$9:$AB$9)))</f>
        <v>0</v>
      </c>
      <c r="AN148" s="93">
        <f t="shared" si="185"/>
        <v>0</v>
      </c>
      <c r="AO148" s="93">
        <f t="shared" si="185"/>
        <v>0</v>
      </c>
      <c r="AP148" s="93">
        <f t="shared" si="185"/>
        <v>0</v>
      </c>
      <c r="AQ148" s="93">
        <f t="shared" si="185"/>
        <v>0</v>
      </c>
      <c r="AR148" s="93">
        <f t="shared" si="185"/>
        <v>0</v>
      </c>
      <c r="AS148" s="93">
        <f t="shared" si="185"/>
        <v>0</v>
      </c>
      <c r="AT148" s="93">
        <f t="shared" si="185"/>
        <v>0</v>
      </c>
      <c r="AU148" s="93">
        <f t="shared" si="185"/>
        <v>0</v>
      </c>
      <c r="AV148" s="93">
        <f t="shared" si="185"/>
        <v>0</v>
      </c>
      <c r="AW148" s="93">
        <f t="shared" ca="1" si="185"/>
        <v>0</v>
      </c>
      <c r="BB148" s="94" t="e">
        <v>#REF!</v>
      </c>
    </row>
    <row r="149" spans="1:54" s="20" customFormat="1" ht="18" customHeight="1">
      <c r="A149" s="783"/>
      <c r="B149" s="95"/>
      <c r="C149" s="792"/>
      <c r="D149" s="96" t="str">
        <f>D148</f>
        <v>INS</v>
      </c>
      <c r="E149" s="97" t="str">
        <f>E148</f>
        <v>RFQ-047</v>
      </c>
      <c r="F149" s="98" t="str">
        <f>F148</f>
        <v>N</v>
      </c>
      <c r="G149" s="795"/>
      <c r="H149" s="98" t="s">
        <v>5301</v>
      </c>
      <c r="I149" s="97" t="str">
        <f>I148</f>
        <v>LC</v>
      </c>
      <c r="J149" s="98"/>
      <c r="K149" s="100"/>
      <c r="L149" s="100">
        <f>M150</f>
        <v>1E-3</v>
      </c>
      <c r="M149" s="100"/>
      <c r="N149" s="97"/>
      <c r="O149" s="97"/>
      <c r="P149" s="97"/>
      <c r="Q149" s="101" t="s">
        <v>5366</v>
      </c>
      <c r="R149" s="101"/>
      <c r="S149" s="102" t="e">
        <f>S148</f>
        <v>#REF!</v>
      </c>
      <c r="T149" s="103" t="e">
        <f>T148</f>
        <v>#REF!</v>
      </c>
      <c r="U149" s="103" t="e">
        <f t="shared" ref="U149:Z149" si="186">WORKDAY(IF(T150="",T149,T150),INDEX(U$2:U$5,MATCH($I148,$I$2:$I$5,0)),$BB$10:$BB$141)</f>
        <v>#REF!</v>
      </c>
      <c r="V149" s="103" t="e">
        <f t="shared" si="186"/>
        <v>#REF!</v>
      </c>
      <c r="W149" s="103" t="e">
        <f t="shared" si="186"/>
        <v>#REF!</v>
      </c>
      <c r="X149" s="103" t="e">
        <f t="shared" si="186"/>
        <v>#REF!</v>
      </c>
      <c r="Y149" s="103" t="e">
        <f t="shared" si="186"/>
        <v>#REF!</v>
      </c>
      <c r="Z149" s="103" t="e">
        <f t="shared" si="186"/>
        <v>#REF!</v>
      </c>
      <c r="AA149" s="103" t="e">
        <f>WORKDAY(IF(Z150="",X149,Z150),INDEX(AA$2:AA$5,MATCH($I148,$I$2:$I$5,0)),$BB$10:$BB$141)</f>
        <v>#REF!</v>
      </c>
      <c r="AB149" s="104" t="e">
        <f>WORKDAY(AE148+#REF!,0,'[38]Equipment List and MR List (3)'!$A$2:$A$80)</f>
        <v>#REF!</v>
      </c>
      <c r="AC149" s="798"/>
      <c r="AD149" s="105"/>
      <c r="AE149" s="801"/>
      <c r="AF149" s="807"/>
      <c r="AG149" s="810"/>
      <c r="AH149" s="106"/>
      <c r="AI149" s="107"/>
      <c r="AJ149" s="813"/>
      <c r="AK149" s="108"/>
      <c r="AL149" s="109"/>
      <c r="AM149" s="92">
        <f t="shared" ref="AM149:AW149" si="187">IF(ISERROR(LOOKUP(AM$6,$S149:$AB149,$S$9:$AB$9)),0,(LOOKUP(AM$6,$S149:$AB149,$S$9:$AB$9)))</f>
        <v>0</v>
      </c>
      <c r="AN149" s="93">
        <f t="shared" si="187"/>
        <v>0</v>
      </c>
      <c r="AO149" s="93">
        <f t="shared" si="187"/>
        <v>0</v>
      </c>
      <c r="AP149" s="93">
        <f t="shared" si="187"/>
        <v>0</v>
      </c>
      <c r="AQ149" s="93">
        <f t="shared" si="187"/>
        <v>0</v>
      </c>
      <c r="AR149" s="93">
        <f t="shared" si="187"/>
        <v>0</v>
      </c>
      <c r="AS149" s="93">
        <f t="shared" si="187"/>
        <v>0</v>
      </c>
      <c r="AT149" s="93">
        <f t="shared" si="187"/>
        <v>0</v>
      </c>
      <c r="AU149" s="93">
        <f t="shared" si="187"/>
        <v>0</v>
      </c>
      <c r="AV149" s="93">
        <f t="shared" si="187"/>
        <v>0</v>
      </c>
      <c r="AW149" s="93">
        <f t="shared" ca="1" si="187"/>
        <v>0</v>
      </c>
      <c r="BB149" s="94" t="e">
        <v>#REF!</v>
      </c>
    </row>
    <row r="150" spans="1:54" s="20" customFormat="1" ht="18" customHeight="1">
      <c r="A150" s="784"/>
      <c r="B150" s="110"/>
      <c r="C150" s="793"/>
      <c r="D150" s="111" t="str">
        <f>D148</f>
        <v>INS</v>
      </c>
      <c r="E150" s="112" t="str">
        <f>E148</f>
        <v>RFQ-047</v>
      </c>
      <c r="F150" s="113" t="str">
        <f>F148</f>
        <v>N</v>
      </c>
      <c r="G150" s="796"/>
      <c r="H150" s="113" t="str">
        <f>H148</f>
        <v>Marine Racon</v>
      </c>
      <c r="I150" s="112" t="str">
        <f>I148</f>
        <v>LC</v>
      </c>
      <c r="J150" s="113"/>
      <c r="K150" s="114"/>
      <c r="L150" s="114"/>
      <c r="M150" s="114">
        <v>1E-3</v>
      </c>
      <c r="N150" s="112"/>
      <c r="O150" s="112"/>
      <c r="P150" s="112"/>
      <c r="Q150" s="115" t="s">
        <v>368</v>
      </c>
      <c r="R150" s="115"/>
      <c r="S150" s="126"/>
      <c r="T150" s="126"/>
      <c r="U150" s="126"/>
      <c r="V150" s="126"/>
      <c r="W150" s="126"/>
      <c r="X150" s="126"/>
      <c r="Y150" s="126"/>
      <c r="Z150" s="126"/>
      <c r="AA150" s="126"/>
      <c r="AB150" s="126"/>
      <c r="AC150" s="799"/>
      <c r="AD150" s="116"/>
      <c r="AE150" s="801"/>
      <c r="AF150" s="808"/>
      <c r="AG150" s="811"/>
      <c r="AH150" s="117"/>
      <c r="AI150" s="118"/>
      <c r="AJ150" s="814"/>
      <c r="AK150" s="119"/>
      <c r="AL150" s="120"/>
      <c r="AM150" s="121">
        <f t="shared" ref="AM150:AW150" si="188">IF(ISERROR(LOOKUP(AM$6,$S150:$AB150,$S$9:$AB$9)),0,(LOOKUP(AM$6,$S150:$AB150,$S$9:$AB$9)))</f>
        <v>0</v>
      </c>
      <c r="AN150" s="122">
        <f t="shared" si="188"/>
        <v>0</v>
      </c>
      <c r="AO150" s="122">
        <f t="shared" si="188"/>
        <v>0</v>
      </c>
      <c r="AP150" s="122">
        <f t="shared" si="188"/>
        <v>0</v>
      </c>
      <c r="AQ150" s="122">
        <f t="shared" si="188"/>
        <v>0</v>
      </c>
      <c r="AR150" s="122">
        <f t="shared" si="188"/>
        <v>0</v>
      </c>
      <c r="AS150" s="122">
        <f t="shared" si="188"/>
        <v>0</v>
      </c>
      <c r="AT150" s="122">
        <f t="shared" si="188"/>
        <v>0</v>
      </c>
      <c r="AU150" s="122">
        <f t="shared" si="188"/>
        <v>0</v>
      </c>
      <c r="AV150" s="122">
        <f t="shared" si="188"/>
        <v>0</v>
      </c>
      <c r="AW150" s="122">
        <f t="shared" ca="1" si="188"/>
        <v>0</v>
      </c>
      <c r="BB150" s="94" t="e">
        <v>#REF!</v>
      </c>
    </row>
    <row r="151" spans="1:54" s="20" customFormat="1" ht="18" customHeight="1">
      <c r="A151" s="782">
        <f>A148+1</f>
        <v>48</v>
      </c>
      <c r="B151" s="79"/>
      <c r="C151" s="791" t="s">
        <v>5361</v>
      </c>
      <c r="D151" s="80" t="s">
        <v>5372</v>
      </c>
      <c r="E151" s="81" t="s">
        <v>5302</v>
      </c>
      <c r="F151" s="82" t="s">
        <v>73</v>
      </c>
      <c r="G151" s="794" t="s">
        <v>5419</v>
      </c>
      <c r="H151" s="82" t="s">
        <v>213</v>
      </c>
      <c r="I151" s="81" t="s">
        <v>8</v>
      </c>
      <c r="J151" s="82"/>
      <c r="K151" s="84">
        <f>M153</f>
        <v>1E-3</v>
      </c>
      <c r="L151" s="84"/>
      <c r="M151" s="84"/>
      <c r="N151" s="81"/>
      <c r="O151" s="81"/>
      <c r="P151" s="81"/>
      <c r="Q151" s="85" t="s">
        <v>5364</v>
      </c>
      <c r="R151" s="86">
        <f>'Before Award'!U158+5</f>
        <v>46269</v>
      </c>
      <c r="S151" s="86" t="e">
        <f>WORKDAY(R151,INDEX(S$2:S$5,MATCH($I151,$I$2:$I$5,0)),$BB$10:$BB$141)</f>
        <v>#REF!</v>
      </c>
      <c r="T151" s="86" t="e">
        <f>WORKDAY(S151,INDEX(T$2:T$5,MATCH($I151,$I$2:$I$5,0)),$BB$10:$BB$141)</f>
        <v>#REF!</v>
      </c>
      <c r="U151" s="86" t="e">
        <f>T151+30</f>
        <v>#REF!</v>
      </c>
      <c r="V151" s="86"/>
      <c r="W151" s="86">
        <f>AB151-35</f>
        <v>46412</v>
      </c>
      <c r="X151" s="86"/>
      <c r="Y151" s="86"/>
      <c r="Z151" s="86"/>
      <c r="AA151" s="86"/>
      <c r="AB151" s="86">
        <f>'Before Award'!X158</f>
        <v>46447</v>
      </c>
      <c r="AC151" s="797" t="s">
        <v>5365</v>
      </c>
      <c r="AD151" s="87">
        <v>7</v>
      </c>
      <c r="AE151" s="802">
        <v>183</v>
      </c>
      <c r="AF151" s="806" t="e">
        <f>AB152</f>
        <v>#REF!</v>
      </c>
      <c r="AG151" s="809">
        <f>WORKDAY(AH151+1,-1,$BA$10:$BA$141)</f>
        <v>46538</v>
      </c>
      <c r="AH151" s="88">
        <v>46538</v>
      </c>
      <c r="AI151" s="89"/>
      <c r="AJ151" s="812" t="e">
        <f>AG151-AF151</f>
        <v>#REF!</v>
      </c>
      <c r="AK151" s="90"/>
      <c r="AL151" s="91"/>
      <c r="AM151" s="92">
        <f t="shared" ref="AM151:AW151" si="189">IF(ISERROR(LOOKUP(AM$6,$S151:$AB151,$S$9:$AB$9)),0,(LOOKUP(AM$6,$S151:$AB151,$S$9:$AB$9)))</f>
        <v>0</v>
      </c>
      <c r="AN151" s="93">
        <f t="shared" si="189"/>
        <v>0</v>
      </c>
      <c r="AO151" s="93">
        <f t="shared" si="189"/>
        <v>0</v>
      </c>
      <c r="AP151" s="93">
        <f t="shared" si="189"/>
        <v>0</v>
      </c>
      <c r="AQ151" s="93">
        <f t="shared" si="189"/>
        <v>0</v>
      </c>
      <c r="AR151" s="93">
        <f t="shared" si="189"/>
        <v>0</v>
      </c>
      <c r="AS151" s="93">
        <f t="shared" si="189"/>
        <v>0</v>
      </c>
      <c r="AT151" s="93">
        <f t="shared" si="189"/>
        <v>0</v>
      </c>
      <c r="AU151" s="93">
        <f t="shared" si="189"/>
        <v>0</v>
      </c>
      <c r="AV151" s="93">
        <f t="shared" si="189"/>
        <v>0</v>
      </c>
      <c r="AW151" s="93">
        <f t="shared" ca="1" si="189"/>
        <v>0</v>
      </c>
      <c r="BB151" s="94" t="e">
        <v>#REF!</v>
      </c>
    </row>
    <row r="152" spans="1:54" s="20" customFormat="1" ht="18" customHeight="1">
      <c r="A152" s="783"/>
      <c r="B152" s="95"/>
      <c r="C152" s="792"/>
      <c r="D152" s="96" t="str">
        <f>D151</f>
        <v>PIP</v>
      </c>
      <c r="E152" s="97" t="str">
        <f>E151</f>
        <v>RFQ-048</v>
      </c>
      <c r="F152" s="98" t="str">
        <f>F151</f>
        <v>N</v>
      </c>
      <c r="G152" s="795"/>
      <c r="H152" s="98" t="str">
        <f>H151</f>
        <v>BALL VALVE (FLANGE END)</v>
      </c>
      <c r="I152" s="97" t="str">
        <f>I151</f>
        <v>LC</v>
      </c>
      <c r="J152" s="98"/>
      <c r="K152" s="100"/>
      <c r="L152" s="100">
        <f>M153</f>
        <v>1E-3</v>
      </c>
      <c r="M152" s="100"/>
      <c r="N152" s="97"/>
      <c r="O152" s="97"/>
      <c r="P152" s="97"/>
      <c r="Q152" s="101" t="s">
        <v>5366</v>
      </c>
      <c r="R152" s="101"/>
      <c r="S152" s="102" t="e">
        <f>S151</f>
        <v>#REF!</v>
      </c>
      <c r="T152" s="103" t="e">
        <f>T151</f>
        <v>#REF!</v>
      </c>
      <c r="U152" s="103" t="e">
        <f t="shared" ref="U152:Z152" si="190">WORKDAY(IF(T153="",T152,T153),INDEX(U$2:U$5,MATCH($I151,$I$2:$I$5,0)),$BB$10:$BB$141)</f>
        <v>#REF!</v>
      </c>
      <c r="V152" s="103" t="e">
        <f t="shared" si="190"/>
        <v>#REF!</v>
      </c>
      <c r="W152" s="103" t="e">
        <f t="shared" si="190"/>
        <v>#REF!</v>
      </c>
      <c r="X152" s="103" t="e">
        <f t="shared" si="190"/>
        <v>#REF!</v>
      </c>
      <c r="Y152" s="103" t="e">
        <f t="shared" si="190"/>
        <v>#REF!</v>
      </c>
      <c r="Z152" s="103" t="e">
        <f t="shared" si="190"/>
        <v>#REF!</v>
      </c>
      <c r="AA152" s="103" t="e">
        <f>WORKDAY(IF(Z153="",X152,Z153),INDEX(AA$2:AA$5,MATCH($I151,$I$2:$I$5,0)),$BB$10:$BB$141)</f>
        <v>#REF!</v>
      </c>
      <c r="AB152" s="104" t="e">
        <f>WORKDAY(AE151+#REF!,0,'[38]Equipment List and MR List (3)'!$A$2:$A$80)</f>
        <v>#REF!</v>
      </c>
      <c r="AC152" s="798"/>
      <c r="AD152" s="105"/>
      <c r="AE152" s="802"/>
      <c r="AF152" s="807"/>
      <c r="AG152" s="810"/>
      <c r="AH152" s="106"/>
      <c r="AI152" s="107"/>
      <c r="AJ152" s="813"/>
      <c r="AK152" s="108"/>
      <c r="AL152" s="109"/>
      <c r="AM152" s="92">
        <f t="shared" ref="AM152:AW152" si="191">IF(ISERROR(LOOKUP(AM$6,$S152:$AB152,$S$9:$AB$9)),0,(LOOKUP(AM$6,$S152:$AB152,$S$9:$AB$9)))</f>
        <v>0</v>
      </c>
      <c r="AN152" s="93">
        <f t="shared" si="191"/>
        <v>0</v>
      </c>
      <c r="AO152" s="93">
        <f t="shared" si="191"/>
        <v>0</v>
      </c>
      <c r="AP152" s="93">
        <f t="shared" si="191"/>
        <v>0</v>
      </c>
      <c r="AQ152" s="93">
        <f t="shared" si="191"/>
        <v>0</v>
      </c>
      <c r="AR152" s="93">
        <f t="shared" si="191"/>
        <v>0</v>
      </c>
      <c r="AS152" s="93">
        <f t="shared" si="191"/>
        <v>0</v>
      </c>
      <c r="AT152" s="93">
        <f t="shared" si="191"/>
        <v>0</v>
      </c>
      <c r="AU152" s="93">
        <f t="shared" si="191"/>
        <v>0</v>
      </c>
      <c r="AV152" s="93">
        <f t="shared" si="191"/>
        <v>0</v>
      </c>
      <c r="AW152" s="93">
        <f t="shared" ca="1" si="191"/>
        <v>0</v>
      </c>
      <c r="BB152" s="94" t="e">
        <v>#REF!</v>
      </c>
    </row>
    <row r="153" spans="1:54" s="20" customFormat="1" ht="18" customHeight="1">
      <c r="A153" s="784"/>
      <c r="B153" s="110"/>
      <c r="C153" s="793"/>
      <c r="D153" s="111" t="str">
        <f>D151</f>
        <v>PIP</v>
      </c>
      <c r="E153" s="112" t="str">
        <f>E151</f>
        <v>RFQ-048</v>
      </c>
      <c r="F153" s="113" t="str">
        <f>F151</f>
        <v>N</v>
      </c>
      <c r="G153" s="796"/>
      <c r="H153" s="113" t="str">
        <f>H151</f>
        <v>BALL VALVE (FLANGE END)</v>
      </c>
      <c r="I153" s="112" t="str">
        <f>I151</f>
        <v>LC</v>
      </c>
      <c r="J153" s="113"/>
      <c r="K153" s="114"/>
      <c r="L153" s="114"/>
      <c r="M153" s="114">
        <v>1E-3</v>
      </c>
      <c r="N153" s="112"/>
      <c r="O153" s="112"/>
      <c r="P153" s="112"/>
      <c r="Q153" s="115" t="s">
        <v>368</v>
      </c>
      <c r="R153" s="115"/>
      <c r="S153" s="126"/>
      <c r="T153" s="126"/>
      <c r="U153" s="126"/>
      <c r="V153" s="126"/>
      <c r="W153" s="126"/>
      <c r="X153" s="126"/>
      <c r="Y153" s="126"/>
      <c r="Z153" s="126"/>
      <c r="AA153" s="126"/>
      <c r="AB153" s="126"/>
      <c r="AC153" s="799"/>
      <c r="AD153" s="116"/>
      <c r="AE153" s="802"/>
      <c r="AF153" s="808"/>
      <c r="AG153" s="811"/>
      <c r="AH153" s="117"/>
      <c r="AI153" s="118"/>
      <c r="AJ153" s="814"/>
      <c r="AK153" s="119"/>
      <c r="AL153" s="120"/>
      <c r="AM153" s="121">
        <f t="shared" ref="AM153:AW153" si="192">IF(ISERROR(LOOKUP(AM$6,$S153:$AB153,$S$9:$AB$9)),0,(LOOKUP(AM$6,$S153:$AB153,$S$9:$AB$9)))</f>
        <v>0</v>
      </c>
      <c r="AN153" s="122">
        <f t="shared" si="192"/>
        <v>0</v>
      </c>
      <c r="AO153" s="122">
        <f t="shared" si="192"/>
        <v>0</v>
      </c>
      <c r="AP153" s="122">
        <f t="shared" si="192"/>
        <v>0</v>
      </c>
      <c r="AQ153" s="122">
        <f t="shared" si="192"/>
        <v>0</v>
      </c>
      <c r="AR153" s="122">
        <f t="shared" si="192"/>
        <v>0</v>
      </c>
      <c r="AS153" s="122">
        <f t="shared" si="192"/>
        <v>0</v>
      </c>
      <c r="AT153" s="122">
        <f t="shared" si="192"/>
        <v>0</v>
      </c>
      <c r="AU153" s="122">
        <f t="shared" si="192"/>
        <v>0</v>
      </c>
      <c r="AV153" s="122">
        <f t="shared" si="192"/>
        <v>0</v>
      </c>
      <c r="AW153" s="122">
        <f t="shared" ca="1" si="192"/>
        <v>0</v>
      </c>
      <c r="BB153" s="94" t="e">
        <v>#REF!</v>
      </c>
    </row>
    <row r="154" spans="1:54" s="20" customFormat="1" ht="18" customHeight="1">
      <c r="A154" s="782">
        <f>A151+1</f>
        <v>49</v>
      </c>
      <c r="B154" s="79"/>
      <c r="C154" s="791" t="s">
        <v>5361</v>
      </c>
      <c r="D154" s="80" t="s">
        <v>5372</v>
      </c>
      <c r="E154" s="81" t="s">
        <v>5303</v>
      </c>
      <c r="F154" s="82" t="s">
        <v>73</v>
      </c>
      <c r="G154" s="794" t="s">
        <v>5419</v>
      </c>
      <c r="H154" s="82" t="s">
        <v>221</v>
      </c>
      <c r="I154" s="81" t="s">
        <v>8</v>
      </c>
      <c r="J154" s="82"/>
      <c r="K154" s="84">
        <f>M156</f>
        <v>0.01</v>
      </c>
      <c r="L154" s="84"/>
      <c r="M154" s="84"/>
      <c r="N154" s="81"/>
      <c r="O154" s="81"/>
      <c r="P154" s="81"/>
      <c r="Q154" s="85" t="s">
        <v>5364</v>
      </c>
      <c r="R154" s="86">
        <f>'Before Award'!U161+5</f>
        <v>46269</v>
      </c>
      <c r="S154" s="86" t="e">
        <f>WORKDAY(R154,INDEX(S$2:S$5,MATCH($I154,$I$2:$I$5,0)),$BB$10:$BB$141)</f>
        <v>#REF!</v>
      </c>
      <c r="T154" s="86" t="e">
        <f>WORKDAY(S154,INDEX(T$2:T$5,MATCH($I154,$I$2:$I$5,0)),$BB$10:$BB$141)</f>
        <v>#REF!</v>
      </c>
      <c r="U154" s="86" t="e">
        <f>T154+30</f>
        <v>#REF!</v>
      </c>
      <c r="V154" s="86"/>
      <c r="W154" s="86">
        <f>AB154-35</f>
        <v>46412</v>
      </c>
      <c r="X154" s="86"/>
      <c r="Y154" s="86"/>
      <c r="Z154" s="86"/>
      <c r="AA154" s="86"/>
      <c r="AB154" s="86">
        <f>'Before Award'!X161</f>
        <v>46447</v>
      </c>
      <c r="AC154" s="797" t="s">
        <v>5365</v>
      </c>
      <c r="AD154" s="87">
        <v>7</v>
      </c>
      <c r="AE154" s="802">
        <v>183</v>
      </c>
      <c r="AF154" s="806" t="e">
        <f>AB155</f>
        <v>#REF!</v>
      </c>
      <c r="AG154" s="809">
        <f>WORKDAY(AH154+1,-1,$BA$10:$BA$141)</f>
        <v>46538</v>
      </c>
      <c r="AH154" s="88">
        <v>46538</v>
      </c>
      <c r="AI154" s="89"/>
      <c r="AJ154" s="812" t="e">
        <f>AG154-AF154</f>
        <v>#REF!</v>
      </c>
      <c r="AK154" s="90"/>
      <c r="AL154" s="91"/>
      <c r="AM154" s="92">
        <f t="shared" ref="AM154:AW154" si="193">IF(ISERROR(LOOKUP(AM$6,$S154:$AB154,$S$9:$AB$9)),0,(LOOKUP(AM$6,$S154:$AB154,$S$9:$AB$9)))</f>
        <v>0</v>
      </c>
      <c r="AN154" s="93">
        <f t="shared" si="193"/>
        <v>0</v>
      </c>
      <c r="AO154" s="93">
        <f t="shared" si="193"/>
        <v>0</v>
      </c>
      <c r="AP154" s="93">
        <f t="shared" si="193"/>
        <v>0</v>
      </c>
      <c r="AQ154" s="93">
        <f t="shared" si="193"/>
        <v>0</v>
      </c>
      <c r="AR154" s="93">
        <f t="shared" si="193"/>
        <v>0</v>
      </c>
      <c r="AS154" s="93">
        <f t="shared" si="193"/>
        <v>0</v>
      </c>
      <c r="AT154" s="93">
        <f t="shared" si="193"/>
        <v>0</v>
      </c>
      <c r="AU154" s="93">
        <f t="shared" si="193"/>
        <v>0</v>
      </c>
      <c r="AV154" s="93">
        <f t="shared" si="193"/>
        <v>0</v>
      </c>
      <c r="AW154" s="93">
        <f t="shared" ca="1" si="193"/>
        <v>0</v>
      </c>
      <c r="BB154" s="94" t="e">
        <v>#REF!</v>
      </c>
    </row>
    <row r="155" spans="1:54" s="20" customFormat="1" ht="18" customHeight="1">
      <c r="A155" s="783"/>
      <c r="B155" s="95"/>
      <c r="C155" s="792"/>
      <c r="D155" s="96" t="str">
        <f>D154</f>
        <v>PIP</v>
      </c>
      <c r="E155" s="97" t="str">
        <f>E154</f>
        <v>RFQ-049</v>
      </c>
      <c r="F155" s="98" t="str">
        <f>F154</f>
        <v>N</v>
      </c>
      <c r="G155" s="795"/>
      <c r="H155" s="98" t="str">
        <f>H154</f>
        <v>GLOBE VALVE (FLANGE END)</v>
      </c>
      <c r="I155" s="97" t="str">
        <f>I154</f>
        <v>LC</v>
      </c>
      <c r="J155" s="98"/>
      <c r="K155" s="100"/>
      <c r="L155" s="100">
        <f>M156</f>
        <v>0.01</v>
      </c>
      <c r="M155" s="100"/>
      <c r="N155" s="97"/>
      <c r="O155" s="97"/>
      <c r="P155" s="97"/>
      <c r="Q155" s="101" t="s">
        <v>5366</v>
      </c>
      <c r="R155" s="101"/>
      <c r="S155" s="102" t="e">
        <f>S154</f>
        <v>#REF!</v>
      </c>
      <c r="T155" s="103" t="e">
        <f>T154</f>
        <v>#REF!</v>
      </c>
      <c r="U155" s="103" t="e">
        <f t="shared" ref="U155:Z155" si="194">WORKDAY(IF(T156="",T155,T156),INDEX(U$2:U$5,MATCH($I154,$I$2:$I$5,0)),$BB$10:$BB$141)</f>
        <v>#REF!</v>
      </c>
      <c r="V155" s="103" t="e">
        <f t="shared" si="194"/>
        <v>#REF!</v>
      </c>
      <c r="W155" s="103" t="e">
        <f t="shared" si="194"/>
        <v>#REF!</v>
      </c>
      <c r="X155" s="103" t="e">
        <f t="shared" si="194"/>
        <v>#REF!</v>
      </c>
      <c r="Y155" s="103" t="e">
        <f t="shared" si="194"/>
        <v>#REF!</v>
      </c>
      <c r="Z155" s="103" t="e">
        <f t="shared" si="194"/>
        <v>#REF!</v>
      </c>
      <c r="AA155" s="103" t="e">
        <f>WORKDAY(IF(Z156="",X155,Z156),INDEX(AA$2:AA$5,MATCH($I154,$I$2:$I$5,0)),$BB$10:$BB$141)</f>
        <v>#REF!</v>
      </c>
      <c r="AB155" s="104" t="e">
        <f>WORKDAY(AE154+#REF!,0,'[38]Equipment List and MR List (3)'!$A$2:$A$80)</f>
        <v>#REF!</v>
      </c>
      <c r="AC155" s="798"/>
      <c r="AD155" s="105"/>
      <c r="AE155" s="802"/>
      <c r="AF155" s="807"/>
      <c r="AG155" s="810"/>
      <c r="AH155" s="106"/>
      <c r="AI155" s="107"/>
      <c r="AJ155" s="813"/>
      <c r="AK155" s="108"/>
      <c r="AL155" s="109"/>
      <c r="AM155" s="92">
        <f t="shared" ref="AM155:AW155" si="195">IF(ISERROR(LOOKUP(AM$6,$S155:$AB155,$S$9:$AB$9)),0,(LOOKUP(AM$6,$S155:$AB155,$S$9:$AB$9)))</f>
        <v>0</v>
      </c>
      <c r="AN155" s="93">
        <f t="shared" si="195"/>
        <v>0</v>
      </c>
      <c r="AO155" s="93">
        <f t="shared" si="195"/>
        <v>0</v>
      </c>
      <c r="AP155" s="93">
        <f t="shared" si="195"/>
        <v>0</v>
      </c>
      <c r="AQ155" s="93">
        <f t="shared" si="195"/>
        <v>0</v>
      </c>
      <c r="AR155" s="93">
        <f t="shared" si="195"/>
        <v>0</v>
      </c>
      <c r="AS155" s="93">
        <f t="shared" si="195"/>
        <v>0</v>
      </c>
      <c r="AT155" s="93">
        <f t="shared" si="195"/>
        <v>0</v>
      </c>
      <c r="AU155" s="93">
        <f t="shared" si="195"/>
        <v>0</v>
      </c>
      <c r="AV155" s="93">
        <f t="shared" si="195"/>
        <v>0</v>
      </c>
      <c r="AW155" s="93">
        <f t="shared" ca="1" si="195"/>
        <v>0</v>
      </c>
      <c r="BB155" s="94" t="e">
        <v>#REF!</v>
      </c>
    </row>
    <row r="156" spans="1:54" s="20" customFormat="1" ht="18" customHeight="1">
      <c r="A156" s="784"/>
      <c r="B156" s="110"/>
      <c r="C156" s="793"/>
      <c r="D156" s="111" t="str">
        <f>D154</f>
        <v>PIP</v>
      </c>
      <c r="E156" s="112" t="str">
        <f>E154</f>
        <v>RFQ-049</v>
      </c>
      <c r="F156" s="113" t="str">
        <f>F154</f>
        <v>N</v>
      </c>
      <c r="G156" s="796"/>
      <c r="H156" s="113" t="str">
        <f>H154</f>
        <v>GLOBE VALVE (FLANGE END)</v>
      </c>
      <c r="I156" s="112" t="str">
        <f>I154</f>
        <v>LC</v>
      </c>
      <c r="J156" s="113"/>
      <c r="K156" s="114"/>
      <c r="L156" s="114"/>
      <c r="M156" s="114">
        <v>0.01</v>
      </c>
      <c r="N156" s="112"/>
      <c r="O156" s="112"/>
      <c r="P156" s="112"/>
      <c r="Q156" s="115" t="s">
        <v>368</v>
      </c>
      <c r="R156" s="115"/>
      <c r="S156" s="126"/>
      <c r="T156" s="126"/>
      <c r="U156" s="126"/>
      <c r="V156" s="126"/>
      <c r="W156" s="126"/>
      <c r="X156" s="126"/>
      <c r="Y156" s="126"/>
      <c r="Z156" s="126"/>
      <c r="AA156" s="126"/>
      <c r="AB156" s="126"/>
      <c r="AC156" s="799"/>
      <c r="AD156" s="116"/>
      <c r="AE156" s="802"/>
      <c r="AF156" s="808"/>
      <c r="AG156" s="811"/>
      <c r="AH156" s="117"/>
      <c r="AI156" s="118"/>
      <c r="AJ156" s="814"/>
      <c r="AK156" s="119"/>
      <c r="AL156" s="120"/>
      <c r="AM156" s="121">
        <f t="shared" ref="AM156:AW156" si="196">IF(ISERROR(LOOKUP(AM$6,$S156:$AB156,$S$9:$AB$9)),0,(LOOKUP(AM$6,$S156:$AB156,$S$9:$AB$9)))</f>
        <v>0</v>
      </c>
      <c r="AN156" s="122">
        <f t="shared" si="196"/>
        <v>0</v>
      </c>
      <c r="AO156" s="122">
        <f t="shared" si="196"/>
        <v>0</v>
      </c>
      <c r="AP156" s="122">
        <f t="shared" si="196"/>
        <v>0</v>
      </c>
      <c r="AQ156" s="122">
        <f t="shared" si="196"/>
        <v>0</v>
      </c>
      <c r="AR156" s="122">
        <f t="shared" si="196"/>
        <v>0</v>
      </c>
      <c r="AS156" s="122">
        <f t="shared" si="196"/>
        <v>0</v>
      </c>
      <c r="AT156" s="122">
        <f t="shared" si="196"/>
        <v>0</v>
      </c>
      <c r="AU156" s="122">
        <f t="shared" si="196"/>
        <v>0</v>
      </c>
      <c r="AV156" s="122">
        <f t="shared" si="196"/>
        <v>0</v>
      </c>
      <c r="AW156" s="122">
        <f t="shared" ca="1" si="196"/>
        <v>0</v>
      </c>
      <c r="BB156" s="94" t="e">
        <v>#REF!</v>
      </c>
    </row>
    <row r="157" spans="1:54" s="20" customFormat="1" ht="18" customHeight="1">
      <c r="A157" s="782">
        <f>A154+1</f>
        <v>50</v>
      </c>
      <c r="B157" s="79"/>
      <c r="C157" s="791" t="s">
        <v>5361</v>
      </c>
      <c r="D157" s="80" t="s">
        <v>5372</v>
      </c>
      <c r="E157" s="81" t="s">
        <v>5304</v>
      </c>
      <c r="F157" s="82" t="s">
        <v>73</v>
      </c>
      <c r="G157" s="794" t="s">
        <v>5419</v>
      </c>
      <c r="H157" s="82" t="s">
        <v>223</v>
      </c>
      <c r="I157" s="81" t="s">
        <v>8</v>
      </c>
      <c r="J157" s="82"/>
      <c r="K157" s="84">
        <f>M159</f>
        <v>5.0000000000000001E-4</v>
      </c>
      <c r="L157" s="84"/>
      <c r="M157" s="84"/>
      <c r="N157" s="81"/>
      <c r="O157" s="81"/>
      <c r="P157" s="81"/>
      <c r="Q157" s="85" t="s">
        <v>5364</v>
      </c>
      <c r="R157" s="86">
        <f>'Before Award'!U164+5</f>
        <v>46269</v>
      </c>
      <c r="S157" s="86" t="e">
        <f>WORKDAY(R157,INDEX(S$2:S$5,MATCH($I157,$I$2:$I$5,0)),$BB$10:$BB$141)</f>
        <v>#REF!</v>
      </c>
      <c r="T157" s="86" t="e">
        <f>WORKDAY(S157,INDEX(T$2:T$5,MATCH($I157,$I$2:$I$5,0)),$BB$10:$BB$141)</f>
        <v>#REF!</v>
      </c>
      <c r="U157" s="86" t="e">
        <f>T157+30</f>
        <v>#REF!</v>
      </c>
      <c r="V157" s="86"/>
      <c r="W157" s="86">
        <f>AB157-35</f>
        <v>46412</v>
      </c>
      <c r="X157" s="86"/>
      <c r="Y157" s="86"/>
      <c r="Z157" s="86"/>
      <c r="AA157" s="86"/>
      <c r="AB157" s="86">
        <f>'Before Award'!X164</f>
        <v>46447</v>
      </c>
      <c r="AC157" s="797" t="s">
        <v>5365</v>
      </c>
      <c r="AD157" s="87">
        <v>7</v>
      </c>
      <c r="AE157" s="802">
        <v>183</v>
      </c>
      <c r="AF157" s="806" t="e">
        <f>AB158</f>
        <v>#REF!</v>
      </c>
      <c r="AG157" s="809">
        <f>WORKDAY(AH157+1,-1,$BA$10:$BA$141)</f>
        <v>46538</v>
      </c>
      <c r="AH157" s="88">
        <v>46538</v>
      </c>
      <c r="AI157" s="89"/>
      <c r="AJ157" s="812" t="e">
        <f>AG157-AF157</f>
        <v>#REF!</v>
      </c>
      <c r="AK157" s="90"/>
      <c r="AL157" s="91"/>
      <c r="AM157" s="92">
        <f t="shared" ref="AM157:AW157" si="197">IF(ISERROR(LOOKUP(AM$6,$S157:$AB157,$S$9:$AB$9)),0,(LOOKUP(AM$6,$S157:$AB157,$S$9:$AB$9)))</f>
        <v>0</v>
      </c>
      <c r="AN157" s="93">
        <f t="shared" si="197"/>
        <v>0</v>
      </c>
      <c r="AO157" s="93">
        <f t="shared" si="197"/>
        <v>0</v>
      </c>
      <c r="AP157" s="93">
        <f t="shared" si="197"/>
        <v>0</v>
      </c>
      <c r="AQ157" s="93">
        <f t="shared" si="197"/>
        <v>0</v>
      </c>
      <c r="AR157" s="93">
        <f t="shared" si="197"/>
        <v>0</v>
      </c>
      <c r="AS157" s="93">
        <f t="shared" si="197"/>
        <v>0</v>
      </c>
      <c r="AT157" s="93">
        <f t="shared" si="197"/>
        <v>0</v>
      </c>
      <c r="AU157" s="93">
        <f t="shared" si="197"/>
        <v>0</v>
      </c>
      <c r="AV157" s="93">
        <f t="shared" si="197"/>
        <v>0</v>
      </c>
      <c r="AW157" s="93">
        <f t="shared" ca="1" si="197"/>
        <v>0</v>
      </c>
      <c r="BB157" s="94" t="e">
        <v>#REF!</v>
      </c>
    </row>
    <row r="158" spans="1:54" s="20" customFormat="1" ht="18" customHeight="1">
      <c r="A158" s="783"/>
      <c r="B158" s="95"/>
      <c r="C158" s="792"/>
      <c r="D158" s="96" t="str">
        <f>D157</f>
        <v>PIP</v>
      </c>
      <c r="E158" s="97" t="str">
        <f>E157</f>
        <v>RFQ-050</v>
      </c>
      <c r="F158" s="98" t="str">
        <f>F157</f>
        <v>N</v>
      </c>
      <c r="G158" s="795"/>
      <c r="H158" s="98" t="str">
        <f>H157</f>
        <v>GLOBE VALVE (WELDED END)</v>
      </c>
      <c r="I158" s="97" t="str">
        <f>I157</f>
        <v>LC</v>
      </c>
      <c r="J158" s="98"/>
      <c r="K158" s="100"/>
      <c r="L158" s="100">
        <f>M159</f>
        <v>5.0000000000000001E-4</v>
      </c>
      <c r="M158" s="100"/>
      <c r="N158" s="97"/>
      <c r="O158" s="97"/>
      <c r="P158" s="97"/>
      <c r="Q158" s="101" t="s">
        <v>5366</v>
      </c>
      <c r="R158" s="101"/>
      <c r="S158" s="102" t="e">
        <f>S157</f>
        <v>#REF!</v>
      </c>
      <c r="T158" s="103" t="e">
        <f>T157</f>
        <v>#REF!</v>
      </c>
      <c r="U158" s="103" t="e">
        <f t="shared" ref="U158:Z158" si="198">WORKDAY(IF(T159="",T158,T159),INDEX(U$2:U$5,MATCH($I157,$I$2:$I$5,0)),$BB$10:$BB$141)</f>
        <v>#REF!</v>
      </c>
      <c r="V158" s="103" t="e">
        <f t="shared" si="198"/>
        <v>#REF!</v>
      </c>
      <c r="W158" s="103" t="e">
        <f t="shared" si="198"/>
        <v>#REF!</v>
      </c>
      <c r="X158" s="103" t="e">
        <f t="shared" si="198"/>
        <v>#REF!</v>
      </c>
      <c r="Y158" s="103" t="e">
        <f t="shared" si="198"/>
        <v>#REF!</v>
      </c>
      <c r="Z158" s="103" t="e">
        <f t="shared" si="198"/>
        <v>#REF!</v>
      </c>
      <c r="AA158" s="103" t="e">
        <f>WORKDAY(IF(Z159="",X158,Z159),INDEX(AA$2:AA$5,MATCH($I157,$I$2:$I$5,0)),$BB$10:$BB$141)</f>
        <v>#REF!</v>
      </c>
      <c r="AB158" s="104" t="e">
        <f>WORKDAY(AE157+#REF!,0,'[38]Equipment List and MR List (3)'!$A$2:$A$80)</f>
        <v>#REF!</v>
      </c>
      <c r="AC158" s="798"/>
      <c r="AD158" s="105"/>
      <c r="AE158" s="802"/>
      <c r="AF158" s="807"/>
      <c r="AG158" s="810"/>
      <c r="AH158" s="106"/>
      <c r="AI158" s="107"/>
      <c r="AJ158" s="813"/>
      <c r="AK158" s="108"/>
      <c r="AL158" s="109"/>
      <c r="AM158" s="92">
        <f t="shared" ref="AM158:AW158" si="199">IF(ISERROR(LOOKUP(AM$6,$S158:$AB158,$S$9:$AB$9)),0,(LOOKUP(AM$6,$S158:$AB158,$S$9:$AB$9)))</f>
        <v>0</v>
      </c>
      <c r="AN158" s="93">
        <f t="shared" si="199"/>
        <v>0</v>
      </c>
      <c r="AO158" s="93">
        <f t="shared" si="199"/>
        <v>0</v>
      </c>
      <c r="AP158" s="93">
        <f t="shared" si="199"/>
        <v>0</v>
      </c>
      <c r="AQ158" s="93">
        <f t="shared" si="199"/>
        <v>0</v>
      </c>
      <c r="AR158" s="93">
        <f t="shared" si="199"/>
        <v>0</v>
      </c>
      <c r="AS158" s="93">
        <f t="shared" si="199"/>
        <v>0</v>
      </c>
      <c r="AT158" s="93">
        <f t="shared" si="199"/>
        <v>0</v>
      </c>
      <c r="AU158" s="93">
        <f t="shared" si="199"/>
        <v>0</v>
      </c>
      <c r="AV158" s="93">
        <f t="shared" si="199"/>
        <v>0</v>
      </c>
      <c r="AW158" s="93">
        <f t="shared" ca="1" si="199"/>
        <v>0</v>
      </c>
      <c r="BB158" s="94" t="e">
        <v>#REF!</v>
      </c>
    </row>
    <row r="159" spans="1:54" s="20" customFormat="1" ht="18" customHeight="1">
      <c r="A159" s="784"/>
      <c r="B159" s="110"/>
      <c r="C159" s="793"/>
      <c r="D159" s="111" t="str">
        <f>D157</f>
        <v>PIP</v>
      </c>
      <c r="E159" s="112" t="str">
        <f>E157</f>
        <v>RFQ-050</v>
      </c>
      <c r="F159" s="113" t="str">
        <f>F157</f>
        <v>N</v>
      </c>
      <c r="G159" s="796"/>
      <c r="H159" s="113" t="str">
        <f>H157</f>
        <v>GLOBE VALVE (WELDED END)</v>
      </c>
      <c r="I159" s="112" t="str">
        <f>I157</f>
        <v>LC</v>
      </c>
      <c r="J159" s="113"/>
      <c r="K159" s="114"/>
      <c r="L159" s="114"/>
      <c r="M159" s="114">
        <v>5.0000000000000001E-4</v>
      </c>
      <c r="N159" s="112"/>
      <c r="O159" s="112"/>
      <c r="P159" s="112"/>
      <c r="Q159" s="115" t="s">
        <v>368</v>
      </c>
      <c r="R159" s="115"/>
      <c r="S159" s="126"/>
      <c r="T159" s="126"/>
      <c r="U159" s="126"/>
      <c r="V159" s="126"/>
      <c r="W159" s="126"/>
      <c r="X159" s="126"/>
      <c r="Y159" s="126"/>
      <c r="Z159" s="126"/>
      <c r="AA159" s="126"/>
      <c r="AB159" s="126"/>
      <c r="AC159" s="799"/>
      <c r="AD159" s="116"/>
      <c r="AE159" s="802"/>
      <c r="AF159" s="808"/>
      <c r="AG159" s="811"/>
      <c r="AH159" s="117"/>
      <c r="AI159" s="118"/>
      <c r="AJ159" s="814"/>
      <c r="AK159" s="119"/>
      <c r="AL159" s="120"/>
      <c r="AM159" s="121">
        <f t="shared" ref="AM159:AW159" si="200">IF(ISERROR(LOOKUP(AM$6,$S159:$AB159,$S$9:$AB$9)),0,(LOOKUP(AM$6,$S159:$AB159,$S$9:$AB$9)))</f>
        <v>0</v>
      </c>
      <c r="AN159" s="122">
        <f t="shared" si="200"/>
        <v>0</v>
      </c>
      <c r="AO159" s="122">
        <f t="shared" si="200"/>
        <v>0</v>
      </c>
      <c r="AP159" s="122">
        <f t="shared" si="200"/>
        <v>0</v>
      </c>
      <c r="AQ159" s="122">
        <f t="shared" si="200"/>
        <v>0</v>
      </c>
      <c r="AR159" s="122">
        <f t="shared" si="200"/>
        <v>0</v>
      </c>
      <c r="AS159" s="122">
        <f t="shared" si="200"/>
        <v>0</v>
      </c>
      <c r="AT159" s="122">
        <f t="shared" si="200"/>
        <v>0</v>
      </c>
      <c r="AU159" s="122">
        <f t="shared" si="200"/>
        <v>0</v>
      </c>
      <c r="AV159" s="122">
        <f t="shared" si="200"/>
        <v>0</v>
      </c>
      <c r="AW159" s="122">
        <f t="shared" ca="1" si="200"/>
        <v>0</v>
      </c>
      <c r="BB159" s="94" t="e">
        <v>#REF!</v>
      </c>
    </row>
    <row r="160" spans="1:54" s="20" customFormat="1" ht="18" customHeight="1">
      <c r="A160" s="782">
        <f>A157+1</f>
        <v>51</v>
      </c>
      <c r="B160" s="79"/>
      <c r="C160" s="791" t="s">
        <v>5361</v>
      </c>
      <c r="D160" s="80" t="s">
        <v>5372</v>
      </c>
      <c r="E160" s="81" t="s">
        <v>5305</v>
      </c>
      <c r="F160" s="82" t="s">
        <v>73</v>
      </c>
      <c r="G160" s="794" t="s">
        <v>5419</v>
      </c>
      <c r="H160" s="82" t="s">
        <v>225</v>
      </c>
      <c r="I160" s="81" t="s">
        <v>8</v>
      </c>
      <c r="J160" s="82"/>
      <c r="K160" s="84">
        <f>M162</f>
        <v>1E-3</v>
      </c>
      <c r="L160" s="84"/>
      <c r="M160" s="84"/>
      <c r="N160" s="81"/>
      <c r="O160" s="81"/>
      <c r="P160" s="81"/>
      <c r="Q160" s="85" t="s">
        <v>5364</v>
      </c>
      <c r="R160" s="86">
        <f>'Before Award'!U167+5</f>
        <v>46269</v>
      </c>
      <c r="S160" s="86" t="e">
        <f>WORKDAY(R160,INDEX(S$2:S$5,MATCH($I160,$I$2:$I$5,0)),$BB$10:$BB$141)</f>
        <v>#REF!</v>
      </c>
      <c r="T160" s="86" t="e">
        <f>WORKDAY(S160,INDEX(T$2:T$5,MATCH($I160,$I$2:$I$5,0)),$BB$10:$BB$141)</f>
        <v>#REF!</v>
      </c>
      <c r="U160" s="86" t="e">
        <f>T160+30</f>
        <v>#REF!</v>
      </c>
      <c r="V160" s="86"/>
      <c r="W160" s="86">
        <f>AB160-35</f>
        <v>46412</v>
      </c>
      <c r="X160" s="86"/>
      <c r="Y160" s="86"/>
      <c r="Z160" s="86"/>
      <c r="AA160" s="86"/>
      <c r="AB160" s="86">
        <f>'Before Award'!X167</f>
        <v>46447</v>
      </c>
      <c r="AC160" s="797" t="s">
        <v>5365</v>
      </c>
      <c r="AD160" s="87">
        <v>7</v>
      </c>
      <c r="AE160" s="802">
        <v>183</v>
      </c>
      <c r="AF160" s="806" t="e">
        <f>AB161</f>
        <v>#REF!</v>
      </c>
      <c r="AG160" s="809">
        <f>WORKDAY(AH160+1,-1,$BA$10:$BA$141)</f>
        <v>46538</v>
      </c>
      <c r="AH160" s="88">
        <v>46538</v>
      </c>
      <c r="AI160" s="89"/>
      <c r="AJ160" s="812" t="e">
        <f>AG160-AF160</f>
        <v>#REF!</v>
      </c>
      <c r="AK160" s="90"/>
      <c r="AL160" s="91"/>
      <c r="AM160" s="92">
        <f t="shared" ref="AM160:AW160" si="201">IF(ISERROR(LOOKUP(AM$6,$S160:$AB160,$S$9:$AB$9)),0,(LOOKUP(AM$6,$S160:$AB160,$S$9:$AB$9)))</f>
        <v>0</v>
      </c>
      <c r="AN160" s="93">
        <f t="shared" si="201"/>
        <v>0</v>
      </c>
      <c r="AO160" s="93">
        <f t="shared" si="201"/>
        <v>0</v>
      </c>
      <c r="AP160" s="93">
        <f t="shared" si="201"/>
        <v>0</v>
      </c>
      <c r="AQ160" s="93">
        <f t="shared" si="201"/>
        <v>0</v>
      </c>
      <c r="AR160" s="93">
        <f t="shared" si="201"/>
        <v>0</v>
      </c>
      <c r="AS160" s="93">
        <f t="shared" si="201"/>
        <v>0</v>
      </c>
      <c r="AT160" s="93">
        <f t="shared" si="201"/>
        <v>0</v>
      </c>
      <c r="AU160" s="93">
        <f t="shared" si="201"/>
        <v>0</v>
      </c>
      <c r="AV160" s="93">
        <f t="shared" si="201"/>
        <v>0</v>
      </c>
      <c r="AW160" s="93">
        <f t="shared" ca="1" si="201"/>
        <v>0</v>
      </c>
      <c r="BB160" s="94" t="e">
        <v>#REF!</v>
      </c>
    </row>
    <row r="161" spans="1:54" s="20" customFormat="1" ht="18" customHeight="1">
      <c r="A161" s="783"/>
      <c r="B161" s="95"/>
      <c r="C161" s="792"/>
      <c r="D161" s="96" t="str">
        <f>D160</f>
        <v>PIP</v>
      </c>
      <c r="E161" s="97" t="str">
        <f>E160</f>
        <v>RFQ-051</v>
      </c>
      <c r="F161" s="98" t="str">
        <f>F160</f>
        <v>N</v>
      </c>
      <c r="G161" s="795"/>
      <c r="H161" s="98" t="str">
        <f>H160</f>
        <v>CHECK VALVE (FLANGE END)</v>
      </c>
      <c r="I161" s="97" t="str">
        <f>I160</f>
        <v>LC</v>
      </c>
      <c r="J161" s="98"/>
      <c r="K161" s="100"/>
      <c r="L161" s="100">
        <f>M162</f>
        <v>1E-3</v>
      </c>
      <c r="M161" s="100"/>
      <c r="N161" s="97"/>
      <c r="O161" s="97"/>
      <c r="P161" s="97"/>
      <c r="Q161" s="101" t="s">
        <v>5366</v>
      </c>
      <c r="R161" s="101"/>
      <c r="S161" s="102" t="e">
        <f>S160</f>
        <v>#REF!</v>
      </c>
      <c r="T161" s="103" t="e">
        <f>T160</f>
        <v>#REF!</v>
      </c>
      <c r="U161" s="103" t="e">
        <f t="shared" ref="U161:Z161" si="202">WORKDAY(IF(T162="",T161,T162),INDEX(U$2:U$5,MATCH($I160,$I$2:$I$5,0)),$BB$10:$BB$141)</f>
        <v>#REF!</v>
      </c>
      <c r="V161" s="103" t="e">
        <f t="shared" si="202"/>
        <v>#REF!</v>
      </c>
      <c r="W161" s="103" t="e">
        <f t="shared" si="202"/>
        <v>#REF!</v>
      </c>
      <c r="X161" s="103" t="e">
        <f t="shared" si="202"/>
        <v>#REF!</v>
      </c>
      <c r="Y161" s="103" t="e">
        <f t="shared" si="202"/>
        <v>#REF!</v>
      </c>
      <c r="Z161" s="103" t="e">
        <f t="shared" si="202"/>
        <v>#REF!</v>
      </c>
      <c r="AA161" s="103" t="e">
        <f>WORKDAY(IF(Z162="",X161,Z162),INDEX(AA$2:AA$5,MATCH($I160,$I$2:$I$5,0)),$BB$10:$BB$141)</f>
        <v>#REF!</v>
      </c>
      <c r="AB161" s="104" t="e">
        <f>WORKDAY(AE160+#REF!,0,'[38]Equipment List and MR List (3)'!$A$2:$A$80)</f>
        <v>#REF!</v>
      </c>
      <c r="AC161" s="798"/>
      <c r="AD161" s="105"/>
      <c r="AE161" s="802"/>
      <c r="AF161" s="807"/>
      <c r="AG161" s="810"/>
      <c r="AH161" s="106"/>
      <c r="AI161" s="107"/>
      <c r="AJ161" s="813"/>
      <c r="AK161" s="108"/>
      <c r="AL161" s="109"/>
      <c r="AM161" s="92">
        <f t="shared" ref="AM161:AW161" si="203">IF(ISERROR(LOOKUP(AM$6,$S161:$AB161,$S$9:$AB$9)),0,(LOOKUP(AM$6,$S161:$AB161,$S$9:$AB$9)))</f>
        <v>0</v>
      </c>
      <c r="AN161" s="93">
        <f t="shared" si="203"/>
        <v>0</v>
      </c>
      <c r="AO161" s="93">
        <f t="shared" si="203"/>
        <v>0</v>
      </c>
      <c r="AP161" s="93">
        <f t="shared" si="203"/>
        <v>0</v>
      </c>
      <c r="AQ161" s="93">
        <f t="shared" si="203"/>
        <v>0</v>
      </c>
      <c r="AR161" s="93">
        <f t="shared" si="203"/>
        <v>0</v>
      </c>
      <c r="AS161" s="93">
        <f t="shared" si="203"/>
        <v>0</v>
      </c>
      <c r="AT161" s="93">
        <f t="shared" si="203"/>
        <v>0</v>
      </c>
      <c r="AU161" s="93">
        <f t="shared" si="203"/>
        <v>0</v>
      </c>
      <c r="AV161" s="93">
        <f t="shared" si="203"/>
        <v>0</v>
      </c>
      <c r="AW161" s="93">
        <f t="shared" ca="1" si="203"/>
        <v>0</v>
      </c>
      <c r="BB161" s="94" t="e">
        <v>#REF!</v>
      </c>
    </row>
    <row r="162" spans="1:54" s="20" customFormat="1" ht="18" customHeight="1">
      <c r="A162" s="784"/>
      <c r="B162" s="110"/>
      <c r="C162" s="793"/>
      <c r="D162" s="111" t="str">
        <f>D160</f>
        <v>PIP</v>
      </c>
      <c r="E162" s="112" t="str">
        <f>E160</f>
        <v>RFQ-051</v>
      </c>
      <c r="F162" s="113" t="str">
        <f>F160</f>
        <v>N</v>
      </c>
      <c r="G162" s="796"/>
      <c r="H162" s="113" t="str">
        <f>H160</f>
        <v>CHECK VALVE (FLANGE END)</v>
      </c>
      <c r="I162" s="112" t="str">
        <f>I160</f>
        <v>LC</v>
      </c>
      <c r="J162" s="113"/>
      <c r="K162" s="114"/>
      <c r="L162" s="114"/>
      <c r="M162" s="114">
        <v>1E-3</v>
      </c>
      <c r="N162" s="112"/>
      <c r="O162" s="112"/>
      <c r="P162" s="112"/>
      <c r="Q162" s="115" t="s">
        <v>368</v>
      </c>
      <c r="R162" s="115"/>
      <c r="S162" s="126"/>
      <c r="T162" s="126"/>
      <c r="U162" s="126"/>
      <c r="V162" s="126"/>
      <c r="W162" s="126"/>
      <c r="X162" s="126"/>
      <c r="Y162" s="126"/>
      <c r="Z162" s="126"/>
      <c r="AA162" s="126"/>
      <c r="AB162" s="126"/>
      <c r="AC162" s="799"/>
      <c r="AD162" s="116"/>
      <c r="AE162" s="802"/>
      <c r="AF162" s="808"/>
      <c r="AG162" s="811"/>
      <c r="AH162" s="117"/>
      <c r="AI162" s="118"/>
      <c r="AJ162" s="814"/>
      <c r="AK162" s="119"/>
      <c r="AL162" s="120"/>
      <c r="AM162" s="121">
        <f t="shared" ref="AM162:AW162" si="204">IF(ISERROR(LOOKUP(AM$6,$S162:$AB162,$S$9:$AB$9)),0,(LOOKUP(AM$6,$S162:$AB162,$S$9:$AB$9)))</f>
        <v>0</v>
      </c>
      <c r="AN162" s="122">
        <f t="shared" si="204"/>
        <v>0</v>
      </c>
      <c r="AO162" s="122">
        <f t="shared" si="204"/>
        <v>0</v>
      </c>
      <c r="AP162" s="122">
        <f t="shared" si="204"/>
        <v>0</v>
      </c>
      <c r="AQ162" s="122">
        <f t="shared" si="204"/>
        <v>0</v>
      </c>
      <c r="AR162" s="122">
        <f t="shared" si="204"/>
        <v>0</v>
      </c>
      <c r="AS162" s="122">
        <f t="shared" si="204"/>
        <v>0</v>
      </c>
      <c r="AT162" s="122">
        <f t="shared" si="204"/>
        <v>0</v>
      </c>
      <c r="AU162" s="122">
        <f t="shared" si="204"/>
        <v>0</v>
      </c>
      <c r="AV162" s="122">
        <f t="shared" si="204"/>
        <v>0</v>
      </c>
      <c r="AW162" s="122">
        <f t="shared" ca="1" si="204"/>
        <v>0</v>
      </c>
      <c r="BB162" s="94" t="e">
        <v>#REF!</v>
      </c>
    </row>
    <row r="163" spans="1:54" s="20" customFormat="1" ht="18" customHeight="1">
      <c r="A163" s="782">
        <f>A160+1</f>
        <v>52</v>
      </c>
      <c r="B163" s="79"/>
      <c r="C163" s="791" t="s">
        <v>5361</v>
      </c>
      <c r="D163" s="80" t="s">
        <v>5392</v>
      </c>
      <c r="E163" s="81" t="s">
        <v>5306</v>
      </c>
      <c r="F163" s="82" t="s">
        <v>73</v>
      </c>
      <c r="G163" s="794" t="s">
        <v>5419</v>
      </c>
      <c r="H163" s="82" t="s">
        <v>228</v>
      </c>
      <c r="I163" s="81" t="s">
        <v>8</v>
      </c>
      <c r="J163" s="82"/>
      <c r="K163" s="84">
        <f>M165</f>
        <v>1E-3</v>
      </c>
      <c r="L163" s="84"/>
      <c r="M163" s="84"/>
      <c r="N163" s="81"/>
      <c r="O163" s="81"/>
      <c r="P163" s="81"/>
      <c r="Q163" s="85" t="s">
        <v>5364</v>
      </c>
      <c r="R163" s="86">
        <f>'Before Award'!U170+5</f>
        <v>46269</v>
      </c>
      <c r="S163" s="86" t="e">
        <f>WORKDAY(R163,INDEX(S$2:S$5,MATCH($I163,$I$2:$I$5,0)),$BB$10:$BB$141)</f>
        <v>#REF!</v>
      </c>
      <c r="T163" s="86" t="e">
        <f>WORKDAY(S163,INDEX(T$2:T$5,MATCH($I163,$I$2:$I$5,0)),$BB$10:$BB$141)</f>
        <v>#REF!</v>
      </c>
      <c r="U163" s="86" t="e">
        <f>T163+30</f>
        <v>#REF!</v>
      </c>
      <c r="V163" s="86"/>
      <c r="W163" s="86">
        <f>AB163-35</f>
        <v>46412</v>
      </c>
      <c r="X163" s="86"/>
      <c r="Y163" s="86"/>
      <c r="Z163" s="86"/>
      <c r="AA163" s="86"/>
      <c r="AB163" s="86">
        <f>'Before Award'!X170</f>
        <v>46447</v>
      </c>
      <c r="AC163" s="797" t="s">
        <v>5365</v>
      </c>
      <c r="AD163" s="87">
        <v>7</v>
      </c>
      <c r="AE163" s="802">
        <v>183</v>
      </c>
      <c r="AF163" s="806" t="e">
        <f>AB164</f>
        <v>#REF!</v>
      </c>
      <c r="AG163" s="809">
        <f>WORKDAY(AH163+1,-1,$BA$10:$BA$141)</f>
        <v>46538</v>
      </c>
      <c r="AH163" s="88">
        <v>46538</v>
      </c>
      <c r="AI163" s="89"/>
      <c r="AJ163" s="812" t="e">
        <f>AG163-AF163</f>
        <v>#REF!</v>
      </c>
      <c r="AK163" s="90"/>
      <c r="AL163" s="91"/>
      <c r="AM163" s="92">
        <f t="shared" ref="AM163:AW163" si="205">IF(ISERROR(LOOKUP(AM$6,$S163:$AB163,$S$9:$AB$9)),0,(LOOKUP(AM$6,$S163:$AB163,$S$9:$AB$9)))</f>
        <v>0</v>
      </c>
      <c r="AN163" s="93">
        <f t="shared" si="205"/>
        <v>0</v>
      </c>
      <c r="AO163" s="93">
        <f t="shared" si="205"/>
        <v>0</v>
      </c>
      <c r="AP163" s="93">
        <f t="shared" si="205"/>
        <v>0</v>
      </c>
      <c r="AQ163" s="93">
        <f t="shared" si="205"/>
        <v>0</v>
      </c>
      <c r="AR163" s="93">
        <f t="shared" si="205"/>
        <v>0</v>
      </c>
      <c r="AS163" s="93">
        <f t="shared" si="205"/>
        <v>0</v>
      </c>
      <c r="AT163" s="93">
        <f t="shared" si="205"/>
        <v>0</v>
      </c>
      <c r="AU163" s="93">
        <f t="shared" si="205"/>
        <v>0</v>
      </c>
      <c r="AV163" s="93">
        <f t="shared" si="205"/>
        <v>0</v>
      </c>
      <c r="AW163" s="93">
        <f t="shared" ca="1" si="205"/>
        <v>0</v>
      </c>
      <c r="BB163" s="94" t="e">
        <v>#REF!</v>
      </c>
    </row>
    <row r="164" spans="1:54" s="20" customFormat="1" ht="18" customHeight="1">
      <c r="A164" s="783"/>
      <c r="B164" s="95"/>
      <c r="C164" s="792"/>
      <c r="D164" s="96" t="s">
        <v>5372</v>
      </c>
      <c r="E164" s="97" t="str">
        <f>E163</f>
        <v>RFQ-052</v>
      </c>
      <c r="F164" s="98" t="str">
        <f>F163</f>
        <v>N</v>
      </c>
      <c r="G164" s="795"/>
      <c r="H164" s="98" t="str">
        <f>H163</f>
        <v>CHECK VALVE (WELDED END)</v>
      </c>
      <c r="I164" s="97" t="str">
        <f>I163</f>
        <v>LC</v>
      </c>
      <c r="J164" s="98"/>
      <c r="K164" s="100"/>
      <c r="L164" s="100">
        <f>M165</f>
        <v>1E-3</v>
      </c>
      <c r="M164" s="100"/>
      <c r="N164" s="97"/>
      <c r="O164" s="97"/>
      <c r="P164" s="97"/>
      <c r="Q164" s="101" t="s">
        <v>5366</v>
      </c>
      <c r="R164" s="101"/>
      <c r="S164" s="102" t="e">
        <f>S163</f>
        <v>#REF!</v>
      </c>
      <c r="T164" s="103" t="e">
        <f>T163</f>
        <v>#REF!</v>
      </c>
      <c r="U164" s="103" t="e">
        <f t="shared" ref="U164:Z164" si="206">WORKDAY(IF(T165="",T164,T165),INDEX(U$2:U$5,MATCH($I163,$I$2:$I$5,0)),$BB$10:$BB$141)</f>
        <v>#REF!</v>
      </c>
      <c r="V164" s="103" t="e">
        <f t="shared" si="206"/>
        <v>#REF!</v>
      </c>
      <c r="W164" s="103" t="e">
        <f t="shared" si="206"/>
        <v>#REF!</v>
      </c>
      <c r="X164" s="103" t="e">
        <f t="shared" si="206"/>
        <v>#REF!</v>
      </c>
      <c r="Y164" s="103" t="e">
        <f t="shared" si="206"/>
        <v>#REF!</v>
      </c>
      <c r="Z164" s="103" t="e">
        <f t="shared" si="206"/>
        <v>#REF!</v>
      </c>
      <c r="AA164" s="103" t="e">
        <f>WORKDAY(IF(Z165="",X164,Z165),INDEX(AA$2:AA$5,MATCH($I163,$I$2:$I$5,0)),$BB$10:$BB$141)</f>
        <v>#REF!</v>
      </c>
      <c r="AB164" s="104" t="e">
        <f>WORKDAY(AE163+#REF!,0,'[38]Equipment List and MR List (3)'!$A$2:$A$80)</f>
        <v>#REF!</v>
      </c>
      <c r="AC164" s="798"/>
      <c r="AD164" s="105"/>
      <c r="AE164" s="802"/>
      <c r="AF164" s="807"/>
      <c r="AG164" s="810"/>
      <c r="AH164" s="106"/>
      <c r="AI164" s="107"/>
      <c r="AJ164" s="813"/>
      <c r="AK164" s="108"/>
      <c r="AL164" s="109"/>
      <c r="AM164" s="92">
        <f t="shared" ref="AM164:AW164" si="207">IF(ISERROR(LOOKUP(AM$6,$S164:$AB164,$S$9:$AB$9)),0,(LOOKUP(AM$6,$S164:$AB164,$S$9:$AB$9)))</f>
        <v>0</v>
      </c>
      <c r="AN164" s="93">
        <f t="shared" si="207"/>
        <v>0</v>
      </c>
      <c r="AO164" s="93">
        <f t="shared" si="207"/>
        <v>0</v>
      </c>
      <c r="AP164" s="93">
        <f t="shared" si="207"/>
        <v>0</v>
      </c>
      <c r="AQ164" s="93">
        <f t="shared" si="207"/>
        <v>0</v>
      </c>
      <c r="AR164" s="93">
        <f t="shared" si="207"/>
        <v>0</v>
      </c>
      <c r="AS164" s="93">
        <f t="shared" si="207"/>
        <v>0</v>
      </c>
      <c r="AT164" s="93">
        <f t="shared" si="207"/>
        <v>0</v>
      </c>
      <c r="AU164" s="93">
        <f t="shared" si="207"/>
        <v>0</v>
      </c>
      <c r="AV164" s="93">
        <f t="shared" si="207"/>
        <v>0</v>
      </c>
      <c r="AW164" s="93">
        <f t="shared" ca="1" si="207"/>
        <v>0</v>
      </c>
      <c r="BB164" s="94" t="e">
        <v>#REF!</v>
      </c>
    </row>
    <row r="165" spans="1:54" s="20" customFormat="1" ht="18" customHeight="1">
      <c r="A165" s="784"/>
      <c r="B165" s="110"/>
      <c r="C165" s="793"/>
      <c r="D165" s="111" t="str">
        <f>D163</f>
        <v>INS</v>
      </c>
      <c r="E165" s="112" t="str">
        <f>E163</f>
        <v>RFQ-052</v>
      </c>
      <c r="F165" s="113" t="str">
        <f>F163</f>
        <v>N</v>
      </c>
      <c r="G165" s="796"/>
      <c r="H165" s="113" t="str">
        <f>H163</f>
        <v>CHECK VALVE (WELDED END)</v>
      </c>
      <c r="I165" s="112" t="str">
        <f>I163</f>
        <v>LC</v>
      </c>
      <c r="J165" s="113"/>
      <c r="K165" s="114"/>
      <c r="L165" s="114"/>
      <c r="M165" s="114">
        <v>1E-3</v>
      </c>
      <c r="N165" s="112"/>
      <c r="O165" s="112"/>
      <c r="P165" s="112"/>
      <c r="Q165" s="115" t="s">
        <v>368</v>
      </c>
      <c r="R165" s="115"/>
      <c r="S165" s="126"/>
      <c r="T165" s="126"/>
      <c r="U165" s="126"/>
      <c r="V165" s="126"/>
      <c r="W165" s="126"/>
      <c r="X165" s="126"/>
      <c r="Y165" s="126"/>
      <c r="Z165" s="126"/>
      <c r="AA165" s="126"/>
      <c r="AB165" s="126"/>
      <c r="AC165" s="799"/>
      <c r="AD165" s="116"/>
      <c r="AE165" s="802"/>
      <c r="AF165" s="808"/>
      <c r="AG165" s="811"/>
      <c r="AH165" s="117"/>
      <c r="AI165" s="118"/>
      <c r="AJ165" s="814"/>
      <c r="AK165" s="119"/>
      <c r="AL165" s="120"/>
      <c r="AM165" s="121">
        <f t="shared" ref="AM165:AW165" si="208">IF(ISERROR(LOOKUP(AM$6,$S165:$AB165,$S$9:$AB$9)),0,(LOOKUP(AM$6,$S165:$AB165,$S$9:$AB$9)))</f>
        <v>0</v>
      </c>
      <c r="AN165" s="122">
        <f t="shared" si="208"/>
        <v>0</v>
      </c>
      <c r="AO165" s="122">
        <f t="shared" si="208"/>
        <v>0</v>
      </c>
      <c r="AP165" s="122">
        <f t="shared" si="208"/>
        <v>0</v>
      </c>
      <c r="AQ165" s="122">
        <f t="shared" si="208"/>
        <v>0</v>
      </c>
      <c r="AR165" s="122">
        <f t="shared" si="208"/>
        <v>0</v>
      </c>
      <c r="AS165" s="122">
        <f t="shared" si="208"/>
        <v>0</v>
      </c>
      <c r="AT165" s="122">
        <f t="shared" si="208"/>
        <v>0</v>
      </c>
      <c r="AU165" s="122">
        <f t="shared" si="208"/>
        <v>0</v>
      </c>
      <c r="AV165" s="122">
        <f t="shared" si="208"/>
        <v>0</v>
      </c>
      <c r="AW165" s="122">
        <f t="shared" ca="1" si="208"/>
        <v>0</v>
      </c>
      <c r="BB165" s="94" t="e">
        <v>#REF!</v>
      </c>
    </row>
    <row r="166" spans="1:54" s="20" customFormat="1" ht="18" customHeight="1">
      <c r="A166" s="782">
        <f>A163+1</f>
        <v>53</v>
      </c>
      <c r="B166" s="79"/>
      <c r="C166" s="791" t="s">
        <v>5361</v>
      </c>
      <c r="D166" s="80" t="s">
        <v>5372</v>
      </c>
      <c r="E166" s="81" t="s">
        <v>5307</v>
      </c>
      <c r="F166" s="82" t="s">
        <v>73</v>
      </c>
      <c r="G166" s="794" t="s">
        <v>5419</v>
      </c>
      <c r="H166" s="82" t="s">
        <v>230</v>
      </c>
      <c r="I166" s="81" t="s">
        <v>7</v>
      </c>
      <c r="J166" s="82"/>
      <c r="K166" s="84">
        <f>M168</f>
        <v>1E-3</v>
      </c>
      <c r="L166" s="84"/>
      <c r="M166" s="84"/>
      <c r="N166" s="81"/>
      <c r="O166" s="81"/>
      <c r="P166" s="81"/>
      <c r="Q166" s="85" t="s">
        <v>5364</v>
      </c>
      <c r="R166" s="86">
        <f>'Before Award'!U173+5</f>
        <v>46242</v>
      </c>
      <c r="S166" s="86" t="e">
        <f>WORKDAY(R166,INDEX(S$2:S$5,MATCH($I166,$I$2:$I$5,0)),$BB$10:$BB$141)</f>
        <v>#REF!</v>
      </c>
      <c r="T166" s="86" t="e">
        <f>WORKDAY(S166,INDEX(T$2:T$5,MATCH($I166,$I$2:$I$5,0)),$BB$10:$BB$141)</f>
        <v>#REF!</v>
      </c>
      <c r="U166" s="86" t="e">
        <f>T166+30</f>
        <v>#REF!</v>
      </c>
      <c r="V166" s="86"/>
      <c r="W166" s="86">
        <f>AB166-35</f>
        <v>46412</v>
      </c>
      <c r="X166" s="86"/>
      <c r="Y166" s="86"/>
      <c r="Z166" s="86"/>
      <c r="AA166" s="86"/>
      <c r="AB166" s="86">
        <f>'Before Award'!X173</f>
        <v>46447</v>
      </c>
      <c r="AC166" s="797" t="s">
        <v>5365</v>
      </c>
      <c r="AD166" s="87">
        <v>7</v>
      </c>
      <c r="AE166" s="802">
        <v>183</v>
      </c>
      <c r="AF166" s="806" t="e">
        <f>AB167</f>
        <v>#REF!</v>
      </c>
      <c r="AG166" s="809">
        <f>WORKDAY(AH166+1,-1,$BA$10:$BA$141)</f>
        <v>46538</v>
      </c>
      <c r="AH166" s="88">
        <v>46538</v>
      </c>
      <c r="AI166" s="89"/>
      <c r="AJ166" s="812" t="e">
        <f>AG166-AF166</f>
        <v>#REF!</v>
      </c>
      <c r="AK166" s="90"/>
      <c r="AL166" s="91"/>
      <c r="AM166" s="92">
        <f t="shared" ref="AM166:AW166" si="209">IF(ISERROR(LOOKUP(AM$6,$S166:$AB166,$S$9:$AB$9)),0,(LOOKUP(AM$6,$S166:$AB166,$S$9:$AB$9)))</f>
        <v>0</v>
      </c>
      <c r="AN166" s="93">
        <f t="shared" si="209"/>
        <v>0</v>
      </c>
      <c r="AO166" s="93">
        <f t="shared" si="209"/>
        <v>0</v>
      </c>
      <c r="AP166" s="93">
        <f t="shared" si="209"/>
        <v>0</v>
      </c>
      <c r="AQ166" s="93">
        <f t="shared" si="209"/>
        <v>0</v>
      </c>
      <c r="AR166" s="93">
        <f t="shared" si="209"/>
        <v>0</v>
      </c>
      <c r="AS166" s="93">
        <f t="shared" si="209"/>
        <v>0</v>
      </c>
      <c r="AT166" s="93">
        <f t="shared" si="209"/>
        <v>0</v>
      </c>
      <c r="AU166" s="93">
        <f t="shared" si="209"/>
        <v>0</v>
      </c>
      <c r="AV166" s="93">
        <f t="shared" si="209"/>
        <v>0</v>
      </c>
      <c r="AW166" s="93">
        <f t="shared" ca="1" si="209"/>
        <v>0</v>
      </c>
      <c r="BB166" s="94" t="e">
        <v>#REF!</v>
      </c>
    </row>
    <row r="167" spans="1:54" s="20" customFormat="1" ht="18" customHeight="1">
      <c r="A167" s="783"/>
      <c r="B167" s="95"/>
      <c r="C167" s="792"/>
      <c r="D167" s="96" t="str">
        <f>D166</f>
        <v>PIP</v>
      </c>
      <c r="E167" s="97" t="str">
        <f>E166</f>
        <v>RFQ-053</v>
      </c>
      <c r="F167" s="98" t="str">
        <f>F166</f>
        <v>N</v>
      </c>
      <c r="G167" s="795"/>
      <c r="H167" s="98" t="str">
        <f>H166</f>
        <v>COMPACT CHECK VALVE (WELDED END)</v>
      </c>
      <c r="I167" s="97" t="str">
        <f>I166</f>
        <v>LB</v>
      </c>
      <c r="J167" s="98"/>
      <c r="K167" s="100"/>
      <c r="L167" s="100">
        <f>M168</f>
        <v>1E-3</v>
      </c>
      <c r="M167" s="100"/>
      <c r="N167" s="97"/>
      <c r="O167" s="97"/>
      <c r="P167" s="97"/>
      <c r="Q167" s="101" t="s">
        <v>5366</v>
      </c>
      <c r="R167" s="101"/>
      <c r="S167" s="102" t="e">
        <f>S166</f>
        <v>#REF!</v>
      </c>
      <c r="T167" s="103" t="e">
        <f>T166</f>
        <v>#REF!</v>
      </c>
      <c r="U167" s="103" t="e">
        <f t="shared" ref="U167:Z167" si="210">WORKDAY(IF(T168="",T167,T168),INDEX(U$2:U$5,MATCH($I166,$I$2:$I$5,0)),$BB$10:$BB$141)</f>
        <v>#REF!</v>
      </c>
      <c r="V167" s="103" t="e">
        <f t="shared" si="210"/>
        <v>#REF!</v>
      </c>
      <c r="W167" s="103" t="e">
        <f t="shared" si="210"/>
        <v>#REF!</v>
      </c>
      <c r="X167" s="103" t="e">
        <f t="shared" si="210"/>
        <v>#REF!</v>
      </c>
      <c r="Y167" s="103" t="e">
        <f t="shared" si="210"/>
        <v>#REF!</v>
      </c>
      <c r="Z167" s="103" t="e">
        <f t="shared" si="210"/>
        <v>#REF!</v>
      </c>
      <c r="AA167" s="103" t="e">
        <f>WORKDAY(IF(Z168="",X167,Z168),INDEX(AA$2:AA$5,MATCH($I166,$I$2:$I$5,0)),$BB$10:$BB$141)</f>
        <v>#REF!</v>
      </c>
      <c r="AB167" s="104" t="e">
        <f>WORKDAY(AE166+#REF!,0,'[38]Equipment List and MR List (3)'!$A$2:$A$80)</f>
        <v>#REF!</v>
      </c>
      <c r="AC167" s="798"/>
      <c r="AD167" s="105"/>
      <c r="AE167" s="802"/>
      <c r="AF167" s="807"/>
      <c r="AG167" s="810"/>
      <c r="AH167" s="106"/>
      <c r="AI167" s="107"/>
      <c r="AJ167" s="813"/>
      <c r="AK167" s="108"/>
      <c r="AL167" s="109"/>
      <c r="AM167" s="92">
        <f t="shared" ref="AM167:AW167" si="211">IF(ISERROR(LOOKUP(AM$6,$S167:$AB167,$S$9:$AB$9)),0,(LOOKUP(AM$6,$S167:$AB167,$S$9:$AB$9)))</f>
        <v>0</v>
      </c>
      <c r="AN167" s="93">
        <f t="shared" si="211"/>
        <v>0</v>
      </c>
      <c r="AO167" s="93">
        <f t="shared" si="211"/>
        <v>0</v>
      </c>
      <c r="AP167" s="93">
        <f t="shared" si="211"/>
        <v>0</v>
      </c>
      <c r="AQ167" s="93">
        <f t="shared" si="211"/>
        <v>0</v>
      </c>
      <c r="AR167" s="93">
        <f t="shared" si="211"/>
        <v>0</v>
      </c>
      <c r="AS167" s="93">
        <f t="shared" si="211"/>
        <v>0</v>
      </c>
      <c r="AT167" s="93">
        <f t="shared" si="211"/>
        <v>0</v>
      </c>
      <c r="AU167" s="93">
        <f t="shared" si="211"/>
        <v>0</v>
      </c>
      <c r="AV167" s="93">
        <f t="shared" si="211"/>
        <v>0</v>
      </c>
      <c r="AW167" s="93">
        <f t="shared" ca="1" si="211"/>
        <v>0</v>
      </c>
      <c r="BB167" s="94" t="e">
        <v>#REF!</v>
      </c>
    </row>
    <row r="168" spans="1:54" s="20" customFormat="1" ht="18" customHeight="1">
      <c r="A168" s="784"/>
      <c r="B168" s="110"/>
      <c r="C168" s="793"/>
      <c r="D168" s="111" t="str">
        <f>D166</f>
        <v>PIP</v>
      </c>
      <c r="E168" s="112" t="str">
        <f>E166</f>
        <v>RFQ-053</v>
      </c>
      <c r="F168" s="113" t="str">
        <f>F166</f>
        <v>N</v>
      </c>
      <c r="G168" s="796"/>
      <c r="H168" s="113" t="str">
        <f>H166</f>
        <v>COMPACT CHECK VALVE (WELDED END)</v>
      </c>
      <c r="I168" s="112" t="str">
        <f>I166</f>
        <v>LB</v>
      </c>
      <c r="J168" s="113"/>
      <c r="K168" s="114"/>
      <c r="L168" s="114"/>
      <c r="M168" s="114">
        <v>1E-3</v>
      </c>
      <c r="N168" s="112"/>
      <c r="O168" s="112"/>
      <c r="P168" s="112"/>
      <c r="Q168" s="115" t="s">
        <v>368</v>
      </c>
      <c r="R168" s="115"/>
      <c r="S168" s="126"/>
      <c r="T168" s="126"/>
      <c r="U168" s="126"/>
      <c r="V168" s="126"/>
      <c r="W168" s="126"/>
      <c r="X168" s="126"/>
      <c r="Y168" s="126"/>
      <c r="Z168" s="126"/>
      <c r="AA168" s="126"/>
      <c r="AB168" s="126"/>
      <c r="AC168" s="799"/>
      <c r="AD168" s="116"/>
      <c r="AE168" s="802"/>
      <c r="AF168" s="808"/>
      <c r="AG168" s="811"/>
      <c r="AH168" s="117"/>
      <c r="AI168" s="118"/>
      <c r="AJ168" s="814"/>
      <c r="AK168" s="119"/>
      <c r="AL168" s="120"/>
      <c r="AM168" s="121">
        <f t="shared" ref="AM168:AW168" si="212">IF(ISERROR(LOOKUP(AM$6,$S168:$AB168,$S$9:$AB$9)),0,(LOOKUP(AM$6,$S168:$AB168,$S$9:$AB$9)))</f>
        <v>0</v>
      </c>
      <c r="AN168" s="122">
        <f t="shared" si="212"/>
        <v>0</v>
      </c>
      <c r="AO168" s="122">
        <f t="shared" si="212"/>
        <v>0</v>
      </c>
      <c r="AP168" s="122">
        <f t="shared" si="212"/>
        <v>0</v>
      </c>
      <c r="AQ168" s="122">
        <f t="shared" si="212"/>
        <v>0</v>
      </c>
      <c r="AR168" s="122">
        <f t="shared" si="212"/>
        <v>0</v>
      </c>
      <c r="AS168" s="122">
        <f t="shared" si="212"/>
        <v>0</v>
      </c>
      <c r="AT168" s="122">
        <f t="shared" si="212"/>
        <v>0</v>
      </c>
      <c r="AU168" s="122">
        <f t="shared" si="212"/>
        <v>0</v>
      </c>
      <c r="AV168" s="122">
        <f t="shared" si="212"/>
        <v>0</v>
      </c>
      <c r="AW168" s="122">
        <f t="shared" ca="1" si="212"/>
        <v>0</v>
      </c>
      <c r="BB168" s="94"/>
    </row>
    <row r="169" spans="1:54" s="20" customFormat="1" ht="18" customHeight="1">
      <c r="A169" s="782">
        <f>A166+1</f>
        <v>54</v>
      </c>
      <c r="B169" s="788" t="s">
        <v>5420</v>
      </c>
      <c r="C169" s="791" t="s">
        <v>5361</v>
      </c>
      <c r="D169" s="80" t="s">
        <v>5421</v>
      </c>
      <c r="E169" s="81" t="s">
        <v>5422</v>
      </c>
      <c r="F169" s="82" t="str">
        <f>IF(_xlfn.XLOOKUP(E169,'[38]Before Award'!D:D,'[38]Before Award'!AV:AV,"N/A")="N/A","N","Y")</f>
        <v>N</v>
      </c>
      <c r="G169" s="794"/>
      <c r="H169" s="123" t="s">
        <v>5308</v>
      </c>
      <c r="I169" s="81" t="s">
        <v>6</v>
      </c>
      <c r="J169" s="82"/>
      <c r="K169" s="84">
        <f>M171</f>
        <v>1E-3</v>
      </c>
      <c r="L169" s="84"/>
      <c r="M169" s="84"/>
      <c r="N169" s="81"/>
      <c r="O169" s="81"/>
      <c r="P169" s="81"/>
      <c r="Q169" s="85" t="s">
        <v>5364</v>
      </c>
      <c r="R169" s="86">
        <f>'Before Award'!U176+5</f>
        <v>46129</v>
      </c>
      <c r="S169" s="86" t="e">
        <f>WORKDAY(R169,INDEX(S$2:S$5,MATCH($I169,$I$2:$I$5,0)),$BB$10:$BB$141)</f>
        <v>#REF!</v>
      </c>
      <c r="T169" s="86" t="e">
        <f>WORKDAY(S169,INDEX(T$2:T$5,MATCH($I169,$I$2:$I$5,0)),$BB$10:$BB$141)</f>
        <v>#REF!</v>
      </c>
      <c r="U169" s="86" t="e">
        <f>T169+10</f>
        <v>#REF!</v>
      </c>
      <c r="V169" s="86"/>
      <c r="W169" s="86">
        <f>AB169-35</f>
        <v>46209</v>
      </c>
      <c r="X169" s="86"/>
      <c r="Y169" s="86"/>
      <c r="Z169" s="86"/>
      <c r="AA169" s="86"/>
      <c r="AB169" s="86">
        <f>'Before Award'!X176</f>
        <v>46244</v>
      </c>
      <c r="AC169" s="797" t="s">
        <v>5365</v>
      </c>
      <c r="AD169" s="87">
        <v>7</v>
      </c>
      <c r="AE169" s="800">
        <v>84</v>
      </c>
      <c r="AF169" s="806" t="e">
        <f>AB170</f>
        <v>#REF!</v>
      </c>
      <c r="AG169" s="809">
        <f>WORKDAY(AH169+1,-1,$BA$10:$BA$141)</f>
        <v>46244</v>
      </c>
      <c r="AH169" s="88">
        <v>46244</v>
      </c>
      <c r="AI169" s="89"/>
      <c r="AJ169" s="812" t="e">
        <f>AG169-AF169</f>
        <v>#REF!</v>
      </c>
      <c r="AK169" s="90"/>
      <c r="AL169" s="91"/>
      <c r="AM169" s="92">
        <f t="shared" ref="AM169:AW169" si="213">IF(ISERROR(LOOKUP(AM$6,$S169:$AB169,$S$9:$AB$9)),0,(LOOKUP(AM$6,$S169:$AB169,$S$9:$AB$9)))</f>
        <v>0</v>
      </c>
      <c r="AN169" s="93">
        <f t="shared" si="213"/>
        <v>0</v>
      </c>
      <c r="AO169" s="93">
        <f t="shared" si="213"/>
        <v>0</v>
      </c>
      <c r="AP169" s="93">
        <f t="shared" si="213"/>
        <v>0</v>
      </c>
      <c r="AQ169" s="93">
        <f t="shared" si="213"/>
        <v>0</v>
      </c>
      <c r="AR169" s="93">
        <f t="shared" si="213"/>
        <v>0</v>
      </c>
      <c r="AS169" s="93">
        <f t="shared" si="213"/>
        <v>0</v>
      </c>
      <c r="AT169" s="93">
        <f t="shared" si="213"/>
        <v>0</v>
      </c>
      <c r="AU169" s="93">
        <f t="shared" si="213"/>
        <v>0</v>
      </c>
      <c r="AV169" s="93">
        <f t="shared" si="213"/>
        <v>0</v>
      </c>
      <c r="AW169" s="93">
        <f t="shared" ca="1" si="213"/>
        <v>0.95</v>
      </c>
      <c r="BB169" s="94"/>
    </row>
    <row r="170" spans="1:54" s="20" customFormat="1" ht="18" customHeight="1">
      <c r="A170" s="783"/>
      <c r="B170" s="789"/>
      <c r="C170" s="792"/>
      <c r="D170" s="96" t="str">
        <f>D169</f>
        <v>STR</v>
      </c>
      <c r="E170" s="97" t="str">
        <f>E169</f>
        <v>RFQ-054</v>
      </c>
      <c r="F170" s="98" t="str">
        <f>F169</f>
        <v>N</v>
      </c>
      <c r="G170" s="795"/>
      <c r="H170" s="124" t="str">
        <f>H169</f>
        <v>Primary Steel - Plate</v>
      </c>
      <c r="I170" s="97" t="str">
        <f>I169</f>
        <v>LA</v>
      </c>
      <c r="J170" s="98"/>
      <c r="K170" s="100"/>
      <c r="L170" s="100">
        <f>M171</f>
        <v>1E-3</v>
      </c>
      <c r="M170" s="100"/>
      <c r="N170" s="97"/>
      <c r="O170" s="97"/>
      <c r="P170" s="97"/>
      <c r="Q170" s="101" t="s">
        <v>5366</v>
      </c>
      <c r="R170" s="101"/>
      <c r="S170" s="102" t="e">
        <f>S169</f>
        <v>#REF!</v>
      </c>
      <c r="T170" s="103" t="e">
        <f>T169</f>
        <v>#REF!</v>
      </c>
      <c r="U170" s="103" t="e">
        <f t="shared" ref="U170:Z170" si="214">WORKDAY(IF(T171="",T170,T171),INDEX(U$2:U$5,MATCH($I169,$I$2:$I$5,0)),$BB$10:$BB$141)</f>
        <v>#REF!</v>
      </c>
      <c r="V170" s="103" t="e">
        <f t="shared" si="214"/>
        <v>#REF!</v>
      </c>
      <c r="W170" s="103" t="e">
        <f t="shared" si="214"/>
        <v>#REF!</v>
      </c>
      <c r="X170" s="103" t="e">
        <f t="shared" si="214"/>
        <v>#REF!</v>
      </c>
      <c r="Y170" s="103" t="e">
        <f t="shared" si="214"/>
        <v>#REF!</v>
      </c>
      <c r="Z170" s="103" t="e">
        <f t="shared" si="214"/>
        <v>#REF!</v>
      </c>
      <c r="AA170" s="103" t="e">
        <f>WORKDAY(IF(Z171="",X170,Z171),INDEX(AA$2:AA$5,MATCH($I169,$I$2:$I$5,0)),$BB$10:$BB$141)</f>
        <v>#REF!</v>
      </c>
      <c r="AB170" s="104" t="e">
        <f>WORKDAY(AE169+#REF!,0,'[38]Equipment List and MR List (3)'!$A$2:$A$80)</f>
        <v>#REF!</v>
      </c>
      <c r="AC170" s="798"/>
      <c r="AD170" s="105"/>
      <c r="AE170" s="800"/>
      <c r="AF170" s="807"/>
      <c r="AG170" s="810"/>
      <c r="AH170" s="106"/>
      <c r="AI170" s="107"/>
      <c r="AJ170" s="813"/>
      <c r="AK170" s="108"/>
      <c r="AL170" s="109"/>
      <c r="AM170" s="92">
        <f t="shared" ref="AM170:AW170" si="215">IF(ISERROR(LOOKUP(AM$6,$S170:$AB170,$S$9:$AB$9)),0,(LOOKUP(AM$6,$S170:$AB170,$S$9:$AB$9)))</f>
        <v>0</v>
      </c>
      <c r="AN170" s="93">
        <f t="shared" si="215"/>
        <v>0</v>
      </c>
      <c r="AO170" s="93">
        <f t="shared" si="215"/>
        <v>0</v>
      </c>
      <c r="AP170" s="93">
        <f t="shared" si="215"/>
        <v>0</v>
      </c>
      <c r="AQ170" s="93">
        <f t="shared" si="215"/>
        <v>0</v>
      </c>
      <c r="AR170" s="93">
        <f t="shared" si="215"/>
        <v>0</v>
      </c>
      <c r="AS170" s="93">
        <f t="shared" si="215"/>
        <v>0</v>
      </c>
      <c r="AT170" s="93">
        <f t="shared" si="215"/>
        <v>0</v>
      </c>
      <c r="AU170" s="93">
        <f t="shared" si="215"/>
        <v>0</v>
      </c>
      <c r="AV170" s="93">
        <f t="shared" si="215"/>
        <v>0</v>
      </c>
      <c r="AW170" s="93">
        <f t="shared" ca="1" si="215"/>
        <v>0</v>
      </c>
      <c r="BB170" s="94"/>
    </row>
    <row r="171" spans="1:54" s="20" customFormat="1" ht="18" customHeight="1">
      <c r="A171" s="784"/>
      <c r="B171" s="790"/>
      <c r="C171" s="793"/>
      <c r="D171" s="111" t="str">
        <f>D169</f>
        <v>STR</v>
      </c>
      <c r="E171" s="112" t="str">
        <f>E169</f>
        <v>RFQ-054</v>
      </c>
      <c r="F171" s="113" t="str">
        <f>F169</f>
        <v>N</v>
      </c>
      <c r="G171" s="796"/>
      <c r="H171" s="124" t="str">
        <f>H169</f>
        <v>Primary Steel - Plate</v>
      </c>
      <c r="I171" s="112" t="str">
        <f>I169</f>
        <v>LA</v>
      </c>
      <c r="J171" s="113"/>
      <c r="K171" s="114"/>
      <c r="L171" s="114"/>
      <c r="M171" s="114">
        <v>1E-3</v>
      </c>
      <c r="N171" s="112"/>
      <c r="O171" s="112"/>
      <c r="P171" s="112"/>
      <c r="Q171" s="115" t="s">
        <v>368</v>
      </c>
      <c r="R171" s="115"/>
      <c r="S171" s="126"/>
      <c r="T171" s="126"/>
      <c r="U171" s="126"/>
      <c r="V171" s="126"/>
      <c r="W171" s="126"/>
      <c r="X171" s="126"/>
      <c r="Y171" s="126"/>
      <c r="Z171" s="126"/>
      <c r="AA171" s="126"/>
      <c r="AB171" s="126"/>
      <c r="AC171" s="799"/>
      <c r="AD171" s="116"/>
      <c r="AE171" s="800"/>
      <c r="AF171" s="808"/>
      <c r="AG171" s="811"/>
      <c r="AH171" s="117"/>
      <c r="AI171" s="118"/>
      <c r="AJ171" s="814"/>
      <c r="AK171" s="119"/>
      <c r="AL171" s="120"/>
      <c r="AM171" s="121">
        <f t="shared" ref="AM171:AW171" si="216">IF(ISERROR(LOOKUP(AM$6,$S171:$AB171,$S$9:$AB$9)),0,(LOOKUP(AM$6,$S171:$AB171,$S$9:$AB$9)))</f>
        <v>0</v>
      </c>
      <c r="AN171" s="122">
        <f t="shared" si="216"/>
        <v>0</v>
      </c>
      <c r="AO171" s="122">
        <f t="shared" si="216"/>
        <v>0</v>
      </c>
      <c r="AP171" s="122">
        <f t="shared" si="216"/>
        <v>0</v>
      </c>
      <c r="AQ171" s="122">
        <f t="shared" si="216"/>
        <v>0</v>
      </c>
      <c r="AR171" s="122">
        <f t="shared" si="216"/>
        <v>0</v>
      </c>
      <c r="AS171" s="122">
        <f t="shared" si="216"/>
        <v>0</v>
      </c>
      <c r="AT171" s="122">
        <f t="shared" si="216"/>
        <v>0</v>
      </c>
      <c r="AU171" s="122">
        <f t="shared" si="216"/>
        <v>0</v>
      </c>
      <c r="AV171" s="122">
        <f t="shared" si="216"/>
        <v>0</v>
      </c>
      <c r="AW171" s="122">
        <f t="shared" ca="1" si="216"/>
        <v>0</v>
      </c>
      <c r="BB171" s="94"/>
    </row>
    <row r="172" spans="1:54" s="20" customFormat="1" ht="18" customHeight="1">
      <c r="A172" s="782">
        <f>A169+1</f>
        <v>55</v>
      </c>
      <c r="B172" s="788" t="s">
        <v>5420</v>
      </c>
      <c r="C172" s="791" t="s">
        <v>5361</v>
      </c>
      <c r="D172" s="80" t="s">
        <v>5421</v>
      </c>
      <c r="E172" s="81" t="s">
        <v>5422</v>
      </c>
      <c r="F172" s="82" t="str">
        <f>IF(_xlfn.XLOOKUP(E172,'[38]Before Award'!D:D,'[38]Before Award'!AV:AV,"N/A")="N/A","N","Y")</f>
        <v>N</v>
      </c>
      <c r="G172" s="794"/>
      <c r="H172" s="123" t="s">
        <v>5311</v>
      </c>
      <c r="I172" s="81" t="s">
        <v>6</v>
      </c>
      <c r="J172" s="82"/>
      <c r="K172" s="84">
        <f>M174</f>
        <v>1E-3</v>
      </c>
      <c r="L172" s="84"/>
      <c r="M172" s="84"/>
      <c r="N172" s="81"/>
      <c r="O172" s="81"/>
      <c r="P172" s="81"/>
      <c r="Q172" s="85" t="s">
        <v>5364</v>
      </c>
      <c r="R172" s="86">
        <f>'Before Award'!U179+5</f>
        <v>46129</v>
      </c>
      <c r="S172" s="86" t="e">
        <f>WORKDAY(R172,INDEX(S$2:S$5,MATCH($I172,$I$2:$I$5,0)),$BB$10:$BB$141)</f>
        <v>#REF!</v>
      </c>
      <c r="T172" s="86" t="e">
        <f>WORKDAY(S172,INDEX(T$2:T$5,MATCH($I172,$I$2:$I$5,0)),$BB$10:$BB$141)</f>
        <v>#REF!</v>
      </c>
      <c r="U172" s="86" t="e">
        <f>T172+10</f>
        <v>#REF!</v>
      </c>
      <c r="V172" s="86"/>
      <c r="W172" s="86">
        <f>AB172-35</f>
        <v>46209</v>
      </c>
      <c r="X172" s="86"/>
      <c r="Y172" s="86"/>
      <c r="Z172" s="86"/>
      <c r="AA172" s="86"/>
      <c r="AB172" s="86">
        <f>'Before Award'!X179</f>
        <v>46244</v>
      </c>
      <c r="AC172" s="797" t="s">
        <v>5365</v>
      </c>
      <c r="AD172" s="87">
        <v>7</v>
      </c>
      <c r="AE172" s="800">
        <f>19*7</f>
        <v>133</v>
      </c>
      <c r="AF172" s="806" t="e">
        <f>AB173</f>
        <v>#REF!</v>
      </c>
      <c r="AG172" s="809">
        <f>WORKDAY(AH172+1,-1,$BA$10:$BA$141)</f>
        <v>46244</v>
      </c>
      <c r="AH172" s="88">
        <v>46244</v>
      </c>
      <c r="AI172" s="89"/>
      <c r="AJ172" s="812" t="e">
        <f>AG172-AF172</f>
        <v>#REF!</v>
      </c>
      <c r="AK172" s="90"/>
      <c r="AL172" s="91"/>
      <c r="AM172" s="92">
        <f t="shared" ref="AM172:AW172" si="217">IF(ISERROR(LOOKUP(AM$6,$S172:$AB172,$S$9:$AB$9)),0,(LOOKUP(AM$6,$S172:$AB172,$S$9:$AB$9)))</f>
        <v>0</v>
      </c>
      <c r="AN172" s="93">
        <f t="shared" si="217"/>
        <v>0</v>
      </c>
      <c r="AO172" s="93">
        <f t="shared" si="217"/>
        <v>0</v>
      </c>
      <c r="AP172" s="93">
        <f t="shared" si="217"/>
        <v>0</v>
      </c>
      <c r="AQ172" s="93">
        <f t="shared" si="217"/>
        <v>0</v>
      </c>
      <c r="AR172" s="93">
        <f t="shared" si="217"/>
        <v>0</v>
      </c>
      <c r="AS172" s="93">
        <f t="shared" si="217"/>
        <v>0</v>
      </c>
      <c r="AT172" s="93">
        <f t="shared" si="217"/>
        <v>0</v>
      </c>
      <c r="AU172" s="93">
        <f t="shared" si="217"/>
        <v>0</v>
      </c>
      <c r="AV172" s="93">
        <f t="shared" si="217"/>
        <v>0</v>
      </c>
      <c r="AW172" s="93">
        <f t="shared" ca="1" si="217"/>
        <v>0.95</v>
      </c>
      <c r="BB172" s="94"/>
    </row>
    <row r="173" spans="1:54" s="20" customFormat="1" ht="18" customHeight="1">
      <c r="A173" s="783"/>
      <c r="B173" s="789"/>
      <c r="C173" s="792"/>
      <c r="D173" s="96" t="str">
        <f>D172</f>
        <v>STR</v>
      </c>
      <c r="E173" s="97" t="str">
        <f>E172</f>
        <v>RFQ-054</v>
      </c>
      <c r="F173" s="98" t="str">
        <f>F172</f>
        <v>N</v>
      </c>
      <c r="G173" s="795"/>
      <c r="H173" s="124" t="str">
        <f>H172</f>
        <v>Primary Steel - Beam</v>
      </c>
      <c r="I173" s="97" t="str">
        <f>I172</f>
        <v>LA</v>
      </c>
      <c r="J173" s="98"/>
      <c r="K173" s="100"/>
      <c r="L173" s="100">
        <f>M174</f>
        <v>1E-3</v>
      </c>
      <c r="M173" s="100"/>
      <c r="N173" s="97"/>
      <c r="O173" s="97"/>
      <c r="P173" s="97"/>
      <c r="Q173" s="101" t="s">
        <v>5366</v>
      </c>
      <c r="R173" s="101"/>
      <c r="S173" s="102" t="e">
        <f>S172</f>
        <v>#REF!</v>
      </c>
      <c r="T173" s="103" t="e">
        <f>T172</f>
        <v>#REF!</v>
      </c>
      <c r="U173" s="103" t="e">
        <f t="shared" ref="U173:Z173" si="218">WORKDAY(IF(T174="",T173,T174),INDEX(U$2:U$5,MATCH($I172,$I$2:$I$5,0)),$BB$10:$BB$141)</f>
        <v>#REF!</v>
      </c>
      <c r="V173" s="103" t="e">
        <f t="shared" si="218"/>
        <v>#REF!</v>
      </c>
      <c r="W173" s="103" t="e">
        <f t="shared" si="218"/>
        <v>#REF!</v>
      </c>
      <c r="X173" s="103" t="e">
        <f t="shared" si="218"/>
        <v>#REF!</v>
      </c>
      <c r="Y173" s="103" t="e">
        <f t="shared" si="218"/>
        <v>#REF!</v>
      </c>
      <c r="Z173" s="103" t="e">
        <f t="shared" si="218"/>
        <v>#REF!</v>
      </c>
      <c r="AA173" s="103" t="e">
        <f>WORKDAY(IF(Z174="",X173,Z174),INDEX(AA$2:AA$5,MATCH($I172,$I$2:$I$5,0)),$BB$10:$BB$141)</f>
        <v>#REF!</v>
      </c>
      <c r="AB173" s="104" t="e">
        <f>WORKDAY(AE172+#REF!,0,'[38]Equipment List and MR List (3)'!$A$2:$A$80)</f>
        <v>#REF!</v>
      </c>
      <c r="AC173" s="798"/>
      <c r="AD173" s="105"/>
      <c r="AE173" s="800"/>
      <c r="AF173" s="807"/>
      <c r="AG173" s="810"/>
      <c r="AH173" s="106"/>
      <c r="AI173" s="107"/>
      <c r="AJ173" s="813"/>
      <c r="AK173" s="108"/>
      <c r="AL173" s="109"/>
      <c r="AM173" s="92">
        <f t="shared" ref="AM173:AW173" si="219">IF(ISERROR(LOOKUP(AM$6,$S173:$AB173,$S$9:$AB$9)),0,(LOOKUP(AM$6,$S173:$AB173,$S$9:$AB$9)))</f>
        <v>0</v>
      </c>
      <c r="AN173" s="93">
        <f t="shared" si="219"/>
        <v>0</v>
      </c>
      <c r="AO173" s="93">
        <f t="shared" si="219"/>
        <v>0</v>
      </c>
      <c r="AP173" s="93">
        <f t="shared" si="219"/>
        <v>0</v>
      </c>
      <c r="AQ173" s="93">
        <f t="shared" si="219"/>
        <v>0</v>
      </c>
      <c r="AR173" s="93">
        <f t="shared" si="219"/>
        <v>0</v>
      </c>
      <c r="AS173" s="93">
        <f t="shared" si="219"/>
        <v>0</v>
      </c>
      <c r="AT173" s="93">
        <f t="shared" si="219"/>
        <v>0</v>
      </c>
      <c r="AU173" s="93">
        <f t="shared" si="219"/>
        <v>0</v>
      </c>
      <c r="AV173" s="93">
        <f t="shared" si="219"/>
        <v>0</v>
      </c>
      <c r="AW173" s="93">
        <f t="shared" ca="1" si="219"/>
        <v>0</v>
      </c>
      <c r="BB173" s="94"/>
    </row>
    <row r="174" spans="1:54" s="20" customFormat="1" ht="18" customHeight="1">
      <c r="A174" s="784"/>
      <c r="B174" s="790"/>
      <c r="C174" s="793"/>
      <c r="D174" s="111" t="str">
        <f>D172</f>
        <v>STR</v>
      </c>
      <c r="E174" s="112" t="str">
        <f>E172</f>
        <v>RFQ-054</v>
      </c>
      <c r="F174" s="113" t="str">
        <f>F172</f>
        <v>N</v>
      </c>
      <c r="G174" s="796"/>
      <c r="H174" s="124" t="str">
        <f>H172</f>
        <v>Primary Steel - Beam</v>
      </c>
      <c r="I174" s="112" t="str">
        <f>I172</f>
        <v>LA</v>
      </c>
      <c r="J174" s="113"/>
      <c r="K174" s="114"/>
      <c r="L174" s="114"/>
      <c r="M174" s="114">
        <v>1E-3</v>
      </c>
      <c r="N174" s="112"/>
      <c r="O174" s="112"/>
      <c r="P174" s="112"/>
      <c r="Q174" s="115" t="s">
        <v>368</v>
      </c>
      <c r="R174" s="115"/>
      <c r="S174" s="126"/>
      <c r="T174" s="126"/>
      <c r="U174" s="126"/>
      <c r="V174" s="126"/>
      <c r="W174" s="126"/>
      <c r="X174" s="126"/>
      <c r="Y174" s="126"/>
      <c r="Z174" s="126"/>
      <c r="AA174" s="126"/>
      <c r="AB174" s="126"/>
      <c r="AC174" s="799"/>
      <c r="AD174" s="116"/>
      <c r="AE174" s="800"/>
      <c r="AF174" s="808"/>
      <c r="AG174" s="811"/>
      <c r="AH174" s="117"/>
      <c r="AI174" s="118"/>
      <c r="AJ174" s="814"/>
      <c r="AK174" s="119"/>
      <c r="AL174" s="120"/>
      <c r="AM174" s="121">
        <f t="shared" ref="AM174:AW174" si="220">IF(ISERROR(LOOKUP(AM$6,$S174:$AB174,$S$9:$AB$9)),0,(LOOKUP(AM$6,$S174:$AB174,$S$9:$AB$9)))</f>
        <v>0</v>
      </c>
      <c r="AN174" s="122">
        <f t="shared" si="220"/>
        <v>0</v>
      </c>
      <c r="AO174" s="122">
        <f t="shared" si="220"/>
        <v>0</v>
      </c>
      <c r="AP174" s="122">
        <f t="shared" si="220"/>
        <v>0</v>
      </c>
      <c r="AQ174" s="122">
        <f t="shared" si="220"/>
        <v>0</v>
      </c>
      <c r="AR174" s="122">
        <f t="shared" si="220"/>
        <v>0</v>
      </c>
      <c r="AS174" s="122">
        <f t="shared" si="220"/>
        <v>0</v>
      </c>
      <c r="AT174" s="122">
        <f t="shared" si="220"/>
        <v>0</v>
      </c>
      <c r="AU174" s="122">
        <f t="shared" si="220"/>
        <v>0</v>
      </c>
      <c r="AV174" s="122">
        <f t="shared" si="220"/>
        <v>0</v>
      </c>
      <c r="AW174" s="122">
        <f t="shared" ca="1" si="220"/>
        <v>0</v>
      </c>
      <c r="BB174" s="94"/>
    </row>
    <row r="175" spans="1:54" s="20" customFormat="1" ht="18" customHeight="1">
      <c r="A175" s="782">
        <f>A172+1</f>
        <v>56</v>
      </c>
      <c r="B175" s="788" t="s">
        <v>5420</v>
      </c>
      <c r="C175" s="791" t="s">
        <v>5361</v>
      </c>
      <c r="D175" s="80" t="s">
        <v>5421</v>
      </c>
      <c r="E175" s="81" t="s">
        <v>5422</v>
      </c>
      <c r="F175" s="82" t="str">
        <f>IF(_xlfn.XLOOKUP(E175,'[38]Before Award'!D:D,'[38]Before Award'!AV:AV,"N/A")="N/A","N","Y")</f>
        <v>N</v>
      </c>
      <c r="G175" s="794"/>
      <c r="H175" s="123" t="s">
        <v>5423</v>
      </c>
      <c r="I175" s="81" t="s">
        <v>6</v>
      </c>
      <c r="J175" s="82"/>
      <c r="K175" s="84">
        <f>M177</f>
        <v>1E-3</v>
      </c>
      <c r="L175" s="84"/>
      <c r="M175" s="84"/>
      <c r="N175" s="81"/>
      <c r="O175" s="81"/>
      <c r="P175" s="81"/>
      <c r="Q175" s="85" t="s">
        <v>5364</v>
      </c>
      <c r="R175" s="86">
        <f>'Before Award'!U182+5</f>
        <v>46147</v>
      </c>
      <c r="S175" s="86" t="e">
        <f>WORKDAY(R175,INDEX(S$2:S$5,MATCH($I175,$I$2:$I$5,0)),$BB$10:$BB$141)</f>
        <v>#REF!</v>
      </c>
      <c r="T175" s="86" t="e">
        <f>WORKDAY(S175,INDEX(T$2:T$5,MATCH($I175,$I$2:$I$5,0)),$BB$10:$BB$141)</f>
        <v>#REF!</v>
      </c>
      <c r="U175" s="86" t="e">
        <f>T175+10</f>
        <v>#REF!</v>
      </c>
      <c r="V175" s="86"/>
      <c r="W175" s="86">
        <f>AB175-35</f>
        <v>46240</v>
      </c>
      <c r="X175" s="86"/>
      <c r="Y175" s="86"/>
      <c r="Z175" s="86"/>
      <c r="AA175" s="86"/>
      <c r="AB175" s="86">
        <f>'Before Award'!X182</f>
        <v>46275</v>
      </c>
      <c r="AC175" s="797" t="s">
        <v>5365</v>
      </c>
      <c r="AD175" s="87">
        <v>7</v>
      </c>
      <c r="AE175" s="800">
        <f>24*8</f>
        <v>192</v>
      </c>
      <c r="AF175" s="806" t="e">
        <f>AB176</f>
        <v>#REF!</v>
      </c>
      <c r="AG175" s="809">
        <f>WORKDAY(AH175+1,-1,$BA$10:$BA$141)</f>
        <v>46244</v>
      </c>
      <c r="AH175" s="88">
        <v>46244</v>
      </c>
      <c r="AI175" s="89"/>
      <c r="AJ175" s="812" t="e">
        <f>AG175-AF175</f>
        <v>#REF!</v>
      </c>
      <c r="AK175" s="90"/>
      <c r="AL175" s="91"/>
      <c r="AM175" s="92">
        <f t="shared" ref="AM175:AW175" si="221">IF(ISERROR(LOOKUP(AM$6,$S175:$AB175,$S$9:$AB$9)),0,(LOOKUP(AM$6,$S175:$AB175,$S$9:$AB$9)))</f>
        <v>0</v>
      </c>
      <c r="AN175" s="93">
        <f t="shared" si="221"/>
        <v>0</v>
      </c>
      <c r="AO175" s="93">
        <f t="shared" si="221"/>
        <v>0</v>
      </c>
      <c r="AP175" s="93">
        <f t="shared" si="221"/>
        <v>0</v>
      </c>
      <c r="AQ175" s="93">
        <f t="shared" si="221"/>
        <v>0</v>
      </c>
      <c r="AR175" s="93">
        <f t="shared" si="221"/>
        <v>0</v>
      </c>
      <c r="AS175" s="93">
        <f t="shared" si="221"/>
        <v>0</v>
      </c>
      <c r="AT175" s="93">
        <f t="shared" si="221"/>
        <v>0</v>
      </c>
      <c r="AU175" s="93">
        <f t="shared" si="221"/>
        <v>0</v>
      </c>
      <c r="AV175" s="93">
        <f t="shared" si="221"/>
        <v>0</v>
      </c>
      <c r="AW175" s="93">
        <f t="shared" ca="1" si="221"/>
        <v>0.95</v>
      </c>
      <c r="BB175" s="94"/>
    </row>
    <row r="176" spans="1:54" s="20" customFormat="1" ht="18" customHeight="1">
      <c r="A176" s="783"/>
      <c r="B176" s="789"/>
      <c r="C176" s="792"/>
      <c r="D176" s="96" t="str">
        <f>D175</f>
        <v>STR</v>
      </c>
      <c r="E176" s="97" t="str">
        <f>E175</f>
        <v>RFQ-054</v>
      </c>
      <c r="F176" s="98" t="str">
        <f>F175</f>
        <v>N</v>
      </c>
      <c r="G176" s="795"/>
      <c r="H176" s="124" t="str">
        <f>H175</f>
        <v>Primary Steel - Seamless</v>
      </c>
      <c r="I176" s="97" t="str">
        <f>I175</f>
        <v>LA</v>
      </c>
      <c r="J176" s="98"/>
      <c r="K176" s="100"/>
      <c r="L176" s="100">
        <f>M177</f>
        <v>1E-3</v>
      </c>
      <c r="M176" s="100"/>
      <c r="N176" s="97"/>
      <c r="O176" s="97"/>
      <c r="P176" s="97"/>
      <c r="Q176" s="101" t="s">
        <v>5366</v>
      </c>
      <c r="R176" s="101"/>
      <c r="S176" s="102" t="e">
        <f>S175</f>
        <v>#REF!</v>
      </c>
      <c r="T176" s="103" t="e">
        <f>T175</f>
        <v>#REF!</v>
      </c>
      <c r="U176" s="103" t="e">
        <f t="shared" ref="U176:Z176" si="222">WORKDAY(IF(T177="",T176,T177),INDEX(U$2:U$5,MATCH($I175,$I$2:$I$5,0)),$BB$10:$BB$141)</f>
        <v>#REF!</v>
      </c>
      <c r="V176" s="103" t="e">
        <f t="shared" si="222"/>
        <v>#REF!</v>
      </c>
      <c r="W176" s="103" t="e">
        <f t="shared" si="222"/>
        <v>#REF!</v>
      </c>
      <c r="X176" s="103" t="e">
        <f t="shared" si="222"/>
        <v>#REF!</v>
      </c>
      <c r="Y176" s="103" t="e">
        <f t="shared" si="222"/>
        <v>#REF!</v>
      </c>
      <c r="Z176" s="103" t="e">
        <f t="shared" si="222"/>
        <v>#REF!</v>
      </c>
      <c r="AA176" s="103" t="e">
        <f>WORKDAY(IF(Z177="",X176,Z177),INDEX(AA$2:AA$5,MATCH($I175,$I$2:$I$5,0)),$BB$10:$BB$141)</f>
        <v>#REF!</v>
      </c>
      <c r="AB176" s="104" t="e">
        <f>WORKDAY(AE175+#REF!,0,'[38]Equipment List and MR List (3)'!$A$2:$A$80)</f>
        <v>#REF!</v>
      </c>
      <c r="AC176" s="798"/>
      <c r="AD176" s="105"/>
      <c r="AE176" s="800"/>
      <c r="AF176" s="807"/>
      <c r="AG176" s="810"/>
      <c r="AH176" s="106"/>
      <c r="AI176" s="107"/>
      <c r="AJ176" s="813"/>
      <c r="AK176" s="108"/>
      <c r="AL176" s="109"/>
      <c r="AM176" s="92">
        <f t="shared" ref="AM176:AW176" si="223">IF(ISERROR(LOOKUP(AM$6,$S176:$AB176,$S$9:$AB$9)),0,(LOOKUP(AM$6,$S176:$AB176,$S$9:$AB$9)))</f>
        <v>0</v>
      </c>
      <c r="AN176" s="93">
        <f t="shared" si="223"/>
        <v>0</v>
      </c>
      <c r="AO176" s="93">
        <f t="shared" si="223"/>
        <v>0</v>
      </c>
      <c r="AP176" s="93">
        <f t="shared" si="223"/>
        <v>0</v>
      </c>
      <c r="AQ176" s="93">
        <f t="shared" si="223"/>
        <v>0</v>
      </c>
      <c r="AR176" s="93">
        <f t="shared" si="223"/>
        <v>0</v>
      </c>
      <c r="AS176" s="93">
        <f t="shared" si="223"/>
        <v>0</v>
      </c>
      <c r="AT176" s="93">
        <f t="shared" si="223"/>
        <v>0</v>
      </c>
      <c r="AU176" s="93">
        <f t="shared" si="223"/>
        <v>0</v>
      </c>
      <c r="AV176" s="93">
        <f t="shared" si="223"/>
        <v>0</v>
      </c>
      <c r="AW176" s="93">
        <f t="shared" ca="1" si="223"/>
        <v>0</v>
      </c>
      <c r="BB176" s="94"/>
    </row>
    <row r="177" spans="1:54" s="20" customFormat="1" ht="18" customHeight="1">
      <c r="A177" s="784"/>
      <c r="B177" s="790"/>
      <c r="C177" s="793"/>
      <c r="D177" s="111" t="str">
        <f>D175</f>
        <v>STR</v>
      </c>
      <c r="E177" s="112" t="str">
        <f>E175</f>
        <v>RFQ-054</v>
      </c>
      <c r="F177" s="113" t="str">
        <f>F175</f>
        <v>N</v>
      </c>
      <c r="G177" s="796"/>
      <c r="H177" s="124" t="str">
        <f>H175</f>
        <v>Primary Steel - Seamless</v>
      </c>
      <c r="I177" s="112" t="str">
        <f>I175</f>
        <v>LA</v>
      </c>
      <c r="J177" s="113"/>
      <c r="K177" s="114"/>
      <c r="L177" s="114"/>
      <c r="M177" s="114">
        <v>1E-3</v>
      </c>
      <c r="N177" s="112"/>
      <c r="O177" s="112"/>
      <c r="P177" s="112"/>
      <c r="Q177" s="115" t="s">
        <v>368</v>
      </c>
      <c r="R177" s="115"/>
      <c r="S177" s="126"/>
      <c r="T177" s="126"/>
      <c r="U177" s="126"/>
      <c r="V177" s="126"/>
      <c r="W177" s="126"/>
      <c r="X177" s="126"/>
      <c r="Y177" s="126"/>
      <c r="Z177" s="126"/>
      <c r="AA177" s="126"/>
      <c r="AB177" s="126"/>
      <c r="AC177" s="799"/>
      <c r="AD177" s="116"/>
      <c r="AE177" s="800"/>
      <c r="AF177" s="808"/>
      <c r="AG177" s="811"/>
      <c r="AH177" s="117"/>
      <c r="AI177" s="118"/>
      <c r="AJ177" s="814"/>
      <c r="AK177" s="119"/>
      <c r="AL177" s="120"/>
      <c r="AM177" s="121">
        <f t="shared" ref="AM177:AW177" si="224">IF(ISERROR(LOOKUP(AM$6,$S177:$AB177,$S$9:$AB$9)),0,(LOOKUP(AM$6,$S177:$AB177,$S$9:$AB$9)))</f>
        <v>0</v>
      </c>
      <c r="AN177" s="122">
        <f t="shared" si="224"/>
        <v>0</v>
      </c>
      <c r="AO177" s="122">
        <f t="shared" si="224"/>
        <v>0</v>
      </c>
      <c r="AP177" s="122">
        <f t="shared" si="224"/>
        <v>0</v>
      </c>
      <c r="AQ177" s="122">
        <f t="shared" si="224"/>
        <v>0</v>
      </c>
      <c r="AR177" s="122">
        <f t="shared" si="224"/>
        <v>0</v>
      </c>
      <c r="AS177" s="122">
        <f t="shared" si="224"/>
        <v>0</v>
      </c>
      <c r="AT177" s="122">
        <f t="shared" si="224"/>
        <v>0</v>
      </c>
      <c r="AU177" s="122">
        <f t="shared" si="224"/>
        <v>0</v>
      </c>
      <c r="AV177" s="122">
        <f t="shared" si="224"/>
        <v>0</v>
      </c>
      <c r="AW177" s="122">
        <f t="shared" ca="1" si="224"/>
        <v>0</v>
      </c>
      <c r="BB177" s="94"/>
    </row>
    <row r="178" spans="1:54" s="21" customFormat="1" ht="18" customHeight="1">
      <c r="A178" s="782">
        <f>A175+1</f>
        <v>57</v>
      </c>
      <c r="B178" s="788" t="s">
        <v>5420</v>
      </c>
      <c r="C178" s="791" t="s">
        <v>5361</v>
      </c>
      <c r="D178" s="80" t="s">
        <v>5387</v>
      </c>
      <c r="E178" s="127" t="s">
        <v>5422</v>
      </c>
      <c r="F178" s="128" t="s">
        <v>73</v>
      </c>
      <c r="G178" s="794"/>
      <c r="H178" s="123" t="s">
        <v>5424</v>
      </c>
      <c r="I178" s="81" t="s">
        <v>6</v>
      </c>
      <c r="J178" s="128"/>
      <c r="K178" s="129">
        <f>M180</f>
        <v>1E-3</v>
      </c>
      <c r="L178" s="129"/>
      <c r="M178" s="129"/>
      <c r="N178" s="127"/>
      <c r="O178" s="127"/>
      <c r="P178" s="127"/>
      <c r="Q178" s="130" t="s">
        <v>5364</v>
      </c>
      <c r="R178" s="86" t="e">
        <f>'Before Award'!#REF!+5</f>
        <v>#REF!</v>
      </c>
      <c r="S178" s="86" t="e">
        <f>WORKDAY(R178,INDEX(S$2:S$5,MATCH($I178,$I$2:$I$5,0)),$BB$10:$BB$141)</f>
        <v>#REF!</v>
      </c>
      <c r="T178" s="86" t="e">
        <f>WORKDAY(S178,INDEX(T$2:T$5,MATCH($I178,$I$2:$I$5,0)),$BB$10:$BB$141)</f>
        <v>#REF!</v>
      </c>
      <c r="U178" s="86" t="e">
        <f>T178+10</f>
        <v>#REF!</v>
      </c>
      <c r="V178" s="86"/>
      <c r="W178" s="86" t="e">
        <f>AB178-35</f>
        <v>#REF!</v>
      </c>
      <c r="X178" s="86"/>
      <c r="Y178" s="86"/>
      <c r="Z178" s="86"/>
      <c r="AA178" s="86"/>
      <c r="AB178" s="86" t="e">
        <f>'Before Award'!#REF!</f>
        <v>#REF!</v>
      </c>
      <c r="AC178" s="797" t="s">
        <v>5365</v>
      </c>
      <c r="AD178" s="87">
        <v>7</v>
      </c>
      <c r="AE178" s="800">
        <v>141</v>
      </c>
      <c r="AF178" s="806" t="e">
        <f>AB179</f>
        <v>#REF!</v>
      </c>
      <c r="AG178" s="809"/>
      <c r="AH178" s="88"/>
      <c r="AI178" s="89"/>
      <c r="AJ178" s="812" t="e">
        <f>AG178-AF178</f>
        <v>#REF!</v>
      </c>
      <c r="AK178" s="131"/>
      <c r="AL178" s="132"/>
      <c r="AM178" s="133">
        <f t="shared" ref="AM178:AW178" si="225">IF(ISERROR(LOOKUP(AM$6,$S178:$AB178,$S$9:$AB$9)),0,(LOOKUP(AM$6,$S178:$AB178,$S$9:$AB$9)))</f>
        <v>0</v>
      </c>
      <c r="AN178" s="134">
        <f t="shared" si="225"/>
        <v>0</v>
      </c>
      <c r="AO178" s="134">
        <f t="shared" si="225"/>
        <v>0</v>
      </c>
      <c r="AP178" s="134">
        <f t="shared" si="225"/>
        <v>0</v>
      </c>
      <c r="AQ178" s="134">
        <f t="shared" si="225"/>
        <v>0</v>
      </c>
      <c r="AR178" s="134">
        <f t="shared" si="225"/>
        <v>0</v>
      </c>
      <c r="AS178" s="134">
        <f t="shared" si="225"/>
        <v>0</v>
      </c>
      <c r="AT178" s="134">
        <f t="shared" si="225"/>
        <v>0</v>
      </c>
      <c r="AU178" s="134">
        <f t="shared" si="225"/>
        <v>0</v>
      </c>
      <c r="AV178" s="134">
        <f t="shared" si="225"/>
        <v>0</v>
      </c>
      <c r="AW178" s="134">
        <f t="shared" ca="1" si="225"/>
        <v>0</v>
      </c>
      <c r="BB178" s="135"/>
    </row>
    <row r="179" spans="1:54" s="21" customFormat="1" ht="18" customHeight="1">
      <c r="A179" s="783"/>
      <c r="B179" s="789"/>
      <c r="C179" s="792"/>
      <c r="D179" s="96" t="str">
        <f>D178</f>
        <v>ELE</v>
      </c>
      <c r="E179" s="136" t="str">
        <f>E178</f>
        <v>RFQ-054</v>
      </c>
      <c r="F179" s="137" t="str">
        <f>F178</f>
        <v>N</v>
      </c>
      <c r="G179" s="795"/>
      <c r="H179" s="124" t="str">
        <f>H178</f>
        <v>Primary Steel - Welding</v>
      </c>
      <c r="I179" s="97" t="str">
        <f>I178</f>
        <v>LA</v>
      </c>
      <c r="J179" s="137"/>
      <c r="K179" s="138"/>
      <c r="L179" s="138">
        <f>M180</f>
        <v>1E-3</v>
      </c>
      <c r="M179" s="138"/>
      <c r="N179" s="136"/>
      <c r="O179" s="136"/>
      <c r="P179" s="136"/>
      <c r="Q179" s="139" t="s">
        <v>5366</v>
      </c>
      <c r="R179" s="139"/>
      <c r="S179" s="140" t="e">
        <f>S178</f>
        <v>#REF!</v>
      </c>
      <c r="T179" s="141" t="e">
        <f>T178</f>
        <v>#REF!</v>
      </c>
      <c r="U179" s="141" t="e">
        <f>WORKDAY(IF(T180="",T179,T180),INDEX(U$2:U$5,MATCH($I178,$I$2:$I$5,0)),$BB$10:$BB$141)</f>
        <v>#REF!</v>
      </c>
      <c r="V179" s="141" t="e">
        <f>WORKDAY(IF(U180="",U179,U180),INDEX(V$2:V$5,MATCH($I178,$I$2:$I$5,0)),$BB$10:$BB$141)</f>
        <v>#REF!</v>
      </c>
      <c r="W179" s="141" t="e">
        <f>WORKDAY(IF(V180="",V179,V180),INDEX(W$2:W$5,MATCH($I178,$I$2:$I$5,0)),$BB$10:$BB$141)</f>
        <v>#REF!</v>
      </c>
      <c r="X179" s="141" t="e">
        <f>WORKDAY(IF(#REF!="",#REF!,#REF!),INDEX(X$2:X$5,MATCH($I178,$I$2:$I$5,0)),$BB$10:$BB$141)</f>
        <v>#REF!</v>
      </c>
      <c r="Y179" s="141" t="e">
        <f>WORKDAY(IF(X180="",X179,X180),INDEX(Y$2:Y$5,MATCH($I178,$I$2:$I$5,0)),$BB$10:$BB$141)</f>
        <v>#REF!</v>
      </c>
      <c r="Z179" s="141" t="e">
        <f>WORKDAY(IF(Y180="",Y179,Y180),INDEX(Z$2:Z$5,MATCH($I178,$I$2:$I$5,0)),$BB$10:$BB$141)</f>
        <v>#REF!</v>
      </c>
      <c r="AA179" s="141" t="e">
        <f>WORKDAY(IF(Z180="",Z179,Z180),INDEX(AA$2:AA$5,MATCH($I178,$I$2:$I$5,0)),$BB$10:$BB$141)</f>
        <v>#REF!</v>
      </c>
      <c r="AB179" s="142" t="e">
        <f>AE178+#REF!</f>
        <v>#REF!</v>
      </c>
      <c r="AC179" s="798"/>
      <c r="AD179" s="105"/>
      <c r="AE179" s="800"/>
      <c r="AF179" s="807"/>
      <c r="AG179" s="810"/>
      <c r="AH179" s="106"/>
      <c r="AI179" s="107"/>
      <c r="AJ179" s="813"/>
      <c r="AK179" s="143"/>
      <c r="AL179" s="144"/>
      <c r="AM179" s="133">
        <f t="shared" ref="AM179:AW179" si="226">IF(ISERROR(LOOKUP(AM$6,$S179:$AB179,$S$9:$AB$9)),0,(LOOKUP(AM$6,$S179:$AB179,$S$9:$AB$9)))</f>
        <v>0</v>
      </c>
      <c r="AN179" s="134">
        <f t="shared" si="226"/>
        <v>0</v>
      </c>
      <c r="AO179" s="134">
        <f t="shared" si="226"/>
        <v>0</v>
      </c>
      <c r="AP179" s="134">
        <f t="shared" si="226"/>
        <v>0</v>
      </c>
      <c r="AQ179" s="134">
        <f t="shared" si="226"/>
        <v>0</v>
      </c>
      <c r="AR179" s="134">
        <f t="shared" si="226"/>
        <v>0</v>
      </c>
      <c r="AS179" s="134">
        <f t="shared" si="226"/>
        <v>0</v>
      </c>
      <c r="AT179" s="134">
        <f t="shared" si="226"/>
        <v>0</v>
      </c>
      <c r="AU179" s="134">
        <f t="shared" si="226"/>
        <v>0</v>
      </c>
      <c r="AV179" s="134">
        <f t="shared" si="226"/>
        <v>0</v>
      </c>
      <c r="AW179" s="134">
        <f t="shared" ca="1" si="226"/>
        <v>0</v>
      </c>
      <c r="BB179" s="135"/>
    </row>
    <row r="180" spans="1:54" s="21" customFormat="1" ht="18" customHeight="1">
      <c r="A180" s="784"/>
      <c r="B180" s="790"/>
      <c r="C180" s="793"/>
      <c r="D180" s="111" t="str">
        <f>D178</f>
        <v>ELE</v>
      </c>
      <c r="E180" s="145" t="str">
        <f>E178</f>
        <v>RFQ-054</v>
      </c>
      <c r="F180" s="146" t="str">
        <f>F178</f>
        <v>N</v>
      </c>
      <c r="G180" s="796"/>
      <c r="H180" s="124" t="str">
        <f>H178</f>
        <v>Primary Steel - Welding</v>
      </c>
      <c r="I180" s="112" t="str">
        <f>I178</f>
        <v>LA</v>
      </c>
      <c r="J180" s="146"/>
      <c r="K180" s="147"/>
      <c r="L180" s="147"/>
      <c r="M180" s="147">
        <v>1E-3</v>
      </c>
      <c r="N180" s="145"/>
      <c r="O180" s="145"/>
      <c r="P180" s="145"/>
      <c r="Q180" s="148" t="s">
        <v>368</v>
      </c>
      <c r="R180" s="148"/>
      <c r="S180" s="149"/>
      <c r="T180" s="149"/>
      <c r="U180" s="149"/>
      <c r="V180" s="149"/>
      <c r="W180" s="149"/>
      <c r="X180" s="149"/>
      <c r="Y180" s="149"/>
      <c r="Z180" s="149"/>
      <c r="AA180" s="149"/>
      <c r="AB180" s="149"/>
      <c r="AC180" s="799"/>
      <c r="AD180" s="116"/>
      <c r="AE180" s="800"/>
      <c r="AF180" s="808"/>
      <c r="AG180" s="811"/>
      <c r="AH180" s="117"/>
      <c r="AI180" s="118"/>
      <c r="AJ180" s="814"/>
      <c r="AK180" s="150"/>
      <c r="AL180" s="151"/>
      <c r="AM180" s="152">
        <f t="shared" ref="AM180:AW180" si="227">IF(ISERROR(LOOKUP(AM$6,$S180:$AB180,$S$9:$AB$9)),0,(LOOKUP(AM$6,$S180:$AB180,$S$9:$AB$9)))</f>
        <v>0</v>
      </c>
      <c r="AN180" s="153">
        <f t="shared" si="227"/>
        <v>0</v>
      </c>
      <c r="AO180" s="153">
        <f t="shared" si="227"/>
        <v>0</v>
      </c>
      <c r="AP180" s="153">
        <f t="shared" si="227"/>
        <v>0</v>
      </c>
      <c r="AQ180" s="153">
        <f t="shared" si="227"/>
        <v>0</v>
      </c>
      <c r="AR180" s="153">
        <f t="shared" si="227"/>
        <v>0</v>
      </c>
      <c r="AS180" s="153">
        <f t="shared" si="227"/>
        <v>0</v>
      </c>
      <c r="AT180" s="153">
        <f t="shared" si="227"/>
        <v>0</v>
      </c>
      <c r="AU180" s="153">
        <f t="shared" si="227"/>
        <v>0</v>
      </c>
      <c r="AV180" s="153">
        <f t="shared" si="227"/>
        <v>0</v>
      </c>
      <c r="AW180" s="153">
        <f t="shared" ca="1" si="227"/>
        <v>0</v>
      </c>
      <c r="BB180" s="135"/>
    </row>
    <row r="181" spans="1:54" s="21" customFormat="1" ht="18" customHeight="1">
      <c r="A181" s="782">
        <f>A178+1</f>
        <v>58</v>
      </c>
      <c r="B181" s="154" t="s">
        <v>5425</v>
      </c>
      <c r="C181" s="791" t="s">
        <v>5361</v>
      </c>
      <c r="D181" s="80" t="s">
        <v>5387</v>
      </c>
      <c r="E181" s="127" t="s">
        <v>5422</v>
      </c>
      <c r="F181" s="128" t="s">
        <v>73</v>
      </c>
      <c r="G181" s="794"/>
      <c r="H181" s="82" t="s">
        <v>5426</v>
      </c>
      <c r="I181" s="127" t="s">
        <v>9</v>
      </c>
      <c r="J181" s="128"/>
      <c r="K181" s="129">
        <f>M183</f>
        <v>1E-3</v>
      </c>
      <c r="L181" s="129"/>
      <c r="M181" s="129"/>
      <c r="N181" s="127"/>
      <c r="O181" s="127"/>
      <c r="P181" s="127"/>
      <c r="Q181" s="130" t="s">
        <v>5364</v>
      </c>
      <c r="R181" s="130"/>
      <c r="S181" s="155" t="e">
        <f>WORKDAY(T181,-INDEX(T$2:T$5,MATCH($I181,$I$2:$I$5,0)),'[38]Equipment List and MR List (3)'!$A$2:$A$80)</f>
        <v>#REF!</v>
      </c>
      <c r="T181" s="155" t="e">
        <f>WORKDAY(U181,-INDEX(U$2:U$5,MATCH($I181,$I$2:$I$5,0)),$BB$10:$BB$141)</f>
        <v>#REF!</v>
      </c>
      <c r="U181" s="155" t="e">
        <f>WORKDAY(V181,-INDEX(V$2:V$5,MATCH($I181,$I$2:$I$5,0)),$BB$10:$BB$141)</f>
        <v>#REF!</v>
      </c>
      <c r="V181" s="155" t="e">
        <f>WORKDAY(W181,-INDEX(W$2:W$5,MATCH($I181,$I$2:$I$5,0)),$BB$10:$BB$141)</f>
        <v>#REF!</v>
      </c>
      <c r="W181" s="155" t="e">
        <f>WORKDAY(#REF!,-INDEX(#REF!,MATCH($I181,$I$2:$I$5,0)),$BB$10:$BB$141)</f>
        <v>#REF!</v>
      </c>
      <c r="X181" s="155" t="e">
        <f>WORKDAY(Y181,-INDEX(Y$2:Y$5,MATCH($I181,$I$2:$I$5,0)),$BB$10:$BB$141)</f>
        <v>#REF!</v>
      </c>
      <c r="Y181" s="155" t="e">
        <f>WORKDAY(Z181,-INDEX(Z$2:Z$5,MATCH($I181,$I$2:$I$5,0)),$BB$10:$BB$141)</f>
        <v>#REF!</v>
      </c>
      <c r="Z181" s="155" t="e">
        <f>WORKDAY(AA181,-INDEX(AA$2:AA$5,MATCH($I181,$I$2:$I$5,0)),$BB$10:$BB$141)</f>
        <v>#REF!</v>
      </c>
      <c r="AA181" s="155" t="e">
        <f>WORKDAY(#REF!,-INDEX(#REF!,MATCH($I181,$I$2:$I$5,0)),$BB$10:$BB$141)</f>
        <v>#REF!</v>
      </c>
      <c r="AB181" s="155">
        <f>WORKDAY(AG181,0,'[38]Equipment List and MR List (3)'!$A$2:$A$80)</f>
        <v>0</v>
      </c>
      <c r="AC181" s="797" t="s">
        <v>5365</v>
      </c>
      <c r="AD181" s="87">
        <v>7</v>
      </c>
      <c r="AE181" s="803">
        <v>175</v>
      </c>
      <c r="AF181" s="806" t="e">
        <f>AB182</f>
        <v>#REF!</v>
      </c>
      <c r="AG181" s="809"/>
      <c r="AH181" s="88"/>
      <c r="AI181" s="89"/>
      <c r="AJ181" s="812" t="e">
        <f>AG181-AF181</f>
        <v>#REF!</v>
      </c>
      <c r="AK181" s="131"/>
      <c r="AL181" s="132"/>
      <c r="AM181" s="133">
        <f t="shared" ref="AM181:AW181" si="228">IF(ISERROR(LOOKUP(AM$6,$S181:$AB181,$S$9:$AB$9)),0,(LOOKUP(AM$6,$S181:$AB181,$S$9:$AB$9)))</f>
        <v>0.95</v>
      </c>
      <c r="AN181" s="134">
        <f t="shared" si="228"/>
        <v>0.95</v>
      </c>
      <c r="AO181" s="134">
        <f t="shared" si="228"/>
        <v>0.95</v>
      </c>
      <c r="AP181" s="134">
        <f t="shared" si="228"/>
        <v>0.95</v>
      </c>
      <c r="AQ181" s="134">
        <f t="shared" si="228"/>
        <v>0.95</v>
      </c>
      <c r="AR181" s="134">
        <f t="shared" si="228"/>
        <v>0.95</v>
      </c>
      <c r="AS181" s="134">
        <f t="shared" si="228"/>
        <v>0.95</v>
      </c>
      <c r="AT181" s="134">
        <f t="shared" si="228"/>
        <v>0.95</v>
      </c>
      <c r="AU181" s="134">
        <f t="shared" si="228"/>
        <v>0.95</v>
      </c>
      <c r="AV181" s="134">
        <f t="shared" si="228"/>
        <v>0.95</v>
      </c>
      <c r="AW181" s="134">
        <f t="shared" ca="1" si="228"/>
        <v>0.95</v>
      </c>
      <c r="BB181" s="135"/>
    </row>
    <row r="182" spans="1:54" s="21" customFormat="1" ht="18" customHeight="1">
      <c r="A182" s="783"/>
      <c r="B182" s="156"/>
      <c r="C182" s="792"/>
      <c r="D182" s="96" t="str">
        <f>D181</f>
        <v>ELE</v>
      </c>
      <c r="E182" s="136" t="str">
        <f>E181</f>
        <v>RFQ-054</v>
      </c>
      <c r="F182" s="137" t="str">
        <f>F181</f>
        <v>N</v>
      </c>
      <c r="G182" s="795"/>
      <c r="H182" s="98" t="str">
        <f>H181</f>
        <v>JUNCTION BOX AND RECEPTACLES</v>
      </c>
      <c r="I182" s="136" t="str">
        <f>I181</f>
        <v>LD</v>
      </c>
      <c r="J182" s="137"/>
      <c r="K182" s="138"/>
      <c r="L182" s="138">
        <f>M183</f>
        <v>1E-3</v>
      </c>
      <c r="M182" s="138"/>
      <c r="N182" s="136"/>
      <c r="O182" s="136"/>
      <c r="P182" s="136"/>
      <c r="Q182" s="139" t="s">
        <v>5366</v>
      </c>
      <c r="R182" s="139"/>
      <c r="S182" s="140" t="e">
        <f>S181</f>
        <v>#REF!</v>
      </c>
      <c r="T182" s="141" t="e">
        <f>T181</f>
        <v>#REF!</v>
      </c>
      <c r="U182" s="141" t="e">
        <f>WORKDAY(IF(T183="",T182,T183),INDEX(U$2:U$5,MATCH($I181,$I$2:$I$5,0)),$BB$10:$BB$141)</f>
        <v>#REF!</v>
      </c>
      <c r="V182" s="141" t="e">
        <f>WORKDAY(IF(U183="",U182,U183),INDEX(V$2:V$5,MATCH($I181,$I$2:$I$5,0)),$BB$10:$BB$141)</f>
        <v>#REF!</v>
      </c>
      <c r="W182" s="141" t="e">
        <f>WORKDAY(IF(V183="",V182,V183),INDEX(W$2:W$5,MATCH($I181,$I$2:$I$5,0)),$BB$10:$BB$141)</f>
        <v>#REF!</v>
      </c>
      <c r="X182" s="141" t="e">
        <f>WORKDAY(IF(#REF!="",#REF!,#REF!),INDEX(X$2:X$5,MATCH($I181,$I$2:$I$5,0)),$BB$10:$BB$141)</f>
        <v>#REF!</v>
      </c>
      <c r="Y182" s="141" t="e">
        <f>WORKDAY(IF(X183="",X182,X183),INDEX(Y$2:Y$5,MATCH($I181,$I$2:$I$5,0)),$BB$10:$BB$141)</f>
        <v>#REF!</v>
      </c>
      <c r="Z182" s="141" t="e">
        <f>WORKDAY(IF(Y183="",Y182,Y183),INDEX(Z$2:Z$5,MATCH($I181,$I$2:$I$5,0)),$BB$10:$BB$141)</f>
        <v>#REF!</v>
      </c>
      <c r="AA182" s="141" t="e">
        <f>WORKDAY(IF(Z183="",Z182,Z183),INDEX(AA$2:AA$5,MATCH($I181,$I$2:$I$5,0)),$BB$10:$BB$141)</f>
        <v>#REF!</v>
      </c>
      <c r="AB182" s="142" t="e">
        <f>AE181+#REF!</f>
        <v>#REF!</v>
      </c>
      <c r="AC182" s="798"/>
      <c r="AD182" s="105"/>
      <c r="AE182" s="804"/>
      <c r="AF182" s="807"/>
      <c r="AG182" s="810"/>
      <c r="AH182" s="106"/>
      <c r="AI182" s="107"/>
      <c r="AJ182" s="813"/>
      <c r="AK182" s="143"/>
      <c r="AL182" s="144"/>
      <c r="AM182" s="133">
        <f t="shared" ref="AM182:AW182" si="229">IF(ISERROR(LOOKUP(AM$6,$S182:$AB182,$S$9:$AB$9)),0,(LOOKUP(AM$6,$S182:$AB182,$S$9:$AB$9)))</f>
        <v>0</v>
      </c>
      <c r="AN182" s="134">
        <f t="shared" si="229"/>
        <v>0</v>
      </c>
      <c r="AO182" s="134">
        <f t="shared" si="229"/>
        <v>0</v>
      </c>
      <c r="AP182" s="134">
        <f t="shared" si="229"/>
        <v>0</v>
      </c>
      <c r="AQ182" s="134">
        <f t="shared" si="229"/>
        <v>0</v>
      </c>
      <c r="AR182" s="134">
        <f t="shared" si="229"/>
        <v>0</v>
      </c>
      <c r="AS182" s="134">
        <f t="shared" si="229"/>
        <v>0</v>
      </c>
      <c r="AT182" s="134">
        <f t="shared" si="229"/>
        <v>0</v>
      </c>
      <c r="AU182" s="134">
        <f t="shared" si="229"/>
        <v>0</v>
      </c>
      <c r="AV182" s="134">
        <f t="shared" si="229"/>
        <v>0</v>
      </c>
      <c r="AW182" s="134">
        <f t="shared" ca="1" si="229"/>
        <v>0</v>
      </c>
      <c r="BB182" s="135"/>
    </row>
    <row r="183" spans="1:54" s="21" customFormat="1" ht="18" customHeight="1">
      <c r="A183" s="784"/>
      <c r="B183" s="157"/>
      <c r="C183" s="793"/>
      <c r="D183" s="111" t="str">
        <f>D181</f>
        <v>ELE</v>
      </c>
      <c r="E183" s="145" t="str">
        <f>E181</f>
        <v>RFQ-054</v>
      </c>
      <c r="F183" s="146" t="str">
        <f>F181</f>
        <v>N</v>
      </c>
      <c r="G183" s="796"/>
      <c r="H183" s="113" t="str">
        <f>H181</f>
        <v>JUNCTION BOX AND RECEPTACLES</v>
      </c>
      <c r="I183" s="145" t="str">
        <f>I181</f>
        <v>LD</v>
      </c>
      <c r="J183" s="146"/>
      <c r="K183" s="147"/>
      <c r="L183" s="147"/>
      <c r="M183" s="147">
        <v>1E-3</v>
      </c>
      <c r="N183" s="145"/>
      <c r="O183" s="145"/>
      <c r="P183" s="145"/>
      <c r="Q183" s="148" t="s">
        <v>368</v>
      </c>
      <c r="R183" s="148"/>
      <c r="S183" s="149"/>
      <c r="T183" s="149"/>
      <c r="U183" s="149"/>
      <c r="V183" s="149"/>
      <c r="W183" s="149"/>
      <c r="X183" s="149"/>
      <c r="Y183" s="149"/>
      <c r="Z183" s="149"/>
      <c r="AA183" s="149"/>
      <c r="AB183" s="149"/>
      <c r="AC183" s="799"/>
      <c r="AD183" s="116"/>
      <c r="AE183" s="805"/>
      <c r="AF183" s="808"/>
      <c r="AG183" s="811"/>
      <c r="AH183" s="117"/>
      <c r="AI183" s="118"/>
      <c r="AJ183" s="814"/>
      <c r="AK183" s="150"/>
      <c r="AL183" s="151"/>
      <c r="AM183" s="152">
        <f t="shared" ref="AM183:AW183" si="230">IF(ISERROR(LOOKUP(AM$6,$S183:$AB183,$S$9:$AB$9)),0,(LOOKUP(AM$6,$S183:$AB183,$S$9:$AB$9)))</f>
        <v>0</v>
      </c>
      <c r="AN183" s="153">
        <f t="shared" si="230"/>
        <v>0</v>
      </c>
      <c r="AO183" s="153">
        <f t="shared" si="230"/>
        <v>0</v>
      </c>
      <c r="AP183" s="153">
        <f t="shared" si="230"/>
        <v>0</v>
      </c>
      <c r="AQ183" s="153">
        <f t="shared" si="230"/>
        <v>0</v>
      </c>
      <c r="AR183" s="153">
        <f t="shared" si="230"/>
        <v>0</v>
      </c>
      <c r="AS183" s="153">
        <f t="shared" si="230"/>
        <v>0</v>
      </c>
      <c r="AT183" s="153">
        <f t="shared" si="230"/>
        <v>0</v>
      </c>
      <c r="AU183" s="153">
        <f t="shared" si="230"/>
        <v>0</v>
      </c>
      <c r="AV183" s="153">
        <f t="shared" si="230"/>
        <v>0</v>
      </c>
      <c r="AW183" s="153">
        <f t="shared" ca="1" si="230"/>
        <v>0</v>
      </c>
      <c r="BB183" s="135"/>
    </row>
    <row r="184" spans="1:54" s="21" customFormat="1" ht="18" customHeight="1">
      <c r="A184" s="782">
        <f>A181+1</f>
        <v>59</v>
      </c>
      <c r="B184" s="154" t="s">
        <v>5425</v>
      </c>
      <c r="C184" s="791" t="s">
        <v>5361</v>
      </c>
      <c r="D184" s="80" t="s">
        <v>5387</v>
      </c>
      <c r="E184" s="127" t="s">
        <v>5422</v>
      </c>
      <c r="F184" s="128" t="s">
        <v>73</v>
      </c>
      <c r="G184" s="794"/>
      <c r="H184" s="82" t="s">
        <v>5427</v>
      </c>
      <c r="I184" s="127" t="s">
        <v>9</v>
      </c>
      <c r="J184" s="128"/>
      <c r="K184" s="129">
        <f>M186</f>
        <v>1E-3</v>
      </c>
      <c r="L184" s="129"/>
      <c r="M184" s="129"/>
      <c r="N184" s="127"/>
      <c r="O184" s="127"/>
      <c r="P184" s="127"/>
      <c r="Q184" s="130" t="s">
        <v>5364</v>
      </c>
      <c r="R184" s="130"/>
      <c r="S184" s="155" t="e">
        <f>WORKDAY(T184,-INDEX(T$2:T$5,MATCH($I184,$I$2:$I$5,0)),'[38]Equipment List and MR List (3)'!$A$2:$A$80)</f>
        <v>#REF!</v>
      </c>
      <c r="T184" s="155" t="e">
        <f>WORKDAY(U184,-INDEX(U$2:U$5,MATCH($I184,$I$2:$I$5,0)),$BB$10:$BB$141)</f>
        <v>#REF!</v>
      </c>
      <c r="U184" s="155" t="e">
        <f>WORKDAY(V184,-INDEX(V$2:V$5,MATCH($I184,$I$2:$I$5,0)),$BB$10:$BB$141)</f>
        <v>#REF!</v>
      </c>
      <c r="V184" s="155" t="e">
        <f>WORKDAY(W184,-INDEX(W$2:W$5,MATCH($I184,$I$2:$I$5,0)),$BB$10:$BB$141)</f>
        <v>#REF!</v>
      </c>
      <c r="W184" s="155" t="e">
        <f>WORKDAY(#REF!,-INDEX(#REF!,MATCH($I184,$I$2:$I$5,0)),$BB$10:$BB$141)</f>
        <v>#REF!</v>
      </c>
      <c r="X184" s="155" t="e">
        <f>WORKDAY(Y184,-INDEX(Y$2:Y$5,MATCH($I184,$I$2:$I$5,0)),$BB$10:$BB$141)</f>
        <v>#REF!</v>
      </c>
      <c r="Y184" s="155" t="e">
        <f>WORKDAY(Z184,-INDEX(Z$2:Z$5,MATCH($I184,$I$2:$I$5,0)),$BB$10:$BB$141)</f>
        <v>#REF!</v>
      </c>
      <c r="Z184" s="155" t="e">
        <f>WORKDAY(AA184,-INDEX(AA$2:AA$5,MATCH($I184,$I$2:$I$5,0)),$BB$10:$BB$141)</f>
        <v>#REF!</v>
      </c>
      <c r="AA184" s="155" t="e">
        <f>WORKDAY(#REF!,-INDEX(#REF!,MATCH($I184,$I$2:$I$5,0)),$BB$10:$BB$141)</f>
        <v>#REF!</v>
      </c>
      <c r="AB184" s="155">
        <f>WORKDAY(AG184,0,'[38]Equipment List and MR List (3)'!$A$2:$A$80)</f>
        <v>0</v>
      </c>
      <c r="AC184" s="797" t="s">
        <v>5365</v>
      </c>
      <c r="AD184" s="87">
        <v>7</v>
      </c>
      <c r="AE184" s="803">
        <v>123</v>
      </c>
      <c r="AF184" s="806" t="e">
        <f>AB185</f>
        <v>#REF!</v>
      </c>
      <c r="AG184" s="809"/>
      <c r="AH184" s="88"/>
      <c r="AI184" s="89"/>
      <c r="AJ184" s="812" t="e">
        <f>AG184-AF184</f>
        <v>#REF!</v>
      </c>
      <c r="AK184" s="131"/>
      <c r="AL184" s="132"/>
      <c r="AM184" s="133">
        <f t="shared" ref="AM184:AW184" si="231">IF(ISERROR(LOOKUP(AM$6,$S184:$AB184,$S$9:$AB$9)),0,(LOOKUP(AM$6,$S184:$AB184,$S$9:$AB$9)))</f>
        <v>0.95</v>
      </c>
      <c r="AN184" s="134">
        <f t="shared" si="231"/>
        <v>0.95</v>
      </c>
      <c r="AO184" s="134">
        <f t="shared" si="231"/>
        <v>0.95</v>
      </c>
      <c r="AP184" s="134">
        <f t="shared" si="231"/>
        <v>0.95</v>
      </c>
      <c r="AQ184" s="134">
        <f t="shared" si="231"/>
        <v>0.95</v>
      </c>
      <c r="AR184" s="134">
        <f t="shared" si="231"/>
        <v>0.95</v>
      </c>
      <c r="AS184" s="134">
        <f t="shared" si="231"/>
        <v>0.95</v>
      </c>
      <c r="AT184" s="134">
        <f t="shared" si="231"/>
        <v>0.95</v>
      </c>
      <c r="AU184" s="134">
        <f t="shared" si="231"/>
        <v>0.95</v>
      </c>
      <c r="AV184" s="134">
        <f t="shared" si="231"/>
        <v>0.95</v>
      </c>
      <c r="AW184" s="134">
        <f t="shared" ca="1" si="231"/>
        <v>0.95</v>
      </c>
      <c r="BB184" s="135"/>
    </row>
    <row r="185" spans="1:54" s="21" customFormat="1" ht="18" customHeight="1">
      <c r="A185" s="783"/>
      <c r="B185" s="156"/>
      <c r="C185" s="792"/>
      <c r="D185" s="96" t="str">
        <f>D184</f>
        <v>ELE</v>
      </c>
      <c r="E185" s="136" t="str">
        <f>E184</f>
        <v>RFQ-054</v>
      </c>
      <c r="F185" s="137" t="str">
        <f>F184</f>
        <v>N</v>
      </c>
      <c r="G185" s="795"/>
      <c r="H185" s="98" t="str">
        <f>H184</f>
        <v>CABLE GLAND</v>
      </c>
      <c r="I185" s="136" t="str">
        <f>I184</f>
        <v>LD</v>
      </c>
      <c r="J185" s="137"/>
      <c r="K185" s="138"/>
      <c r="L185" s="138">
        <f>M186</f>
        <v>1E-3</v>
      </c>
      <c r="M185" s="138"/>
      <c r="N185" s="136"/>
      <c r="O185" s="136"/>
      <c r="P185" s="136"/>
      <c r="Q185" s="139" t="s">
        <v>5366</v>
      </c>
      <c r="R185" s="139"/>
      <c r="S185" s="140" t="e">
        <f>S184</f>
        <v>#REF!</v>
      </c>
      <c r="T185" s="141" t="e">
        <f>T184</f>
        <v>#REF!</v>
      </c>
      <c r="U185" s="141" t="e">
        <f>WORKDAY(IF(T186="",T185,T186),INDEX(U$2:U$5,MATCH($I184,$I$2:$I$5,0)),$BB$10:$BB$141)</f>
        <v>#REF!</v>
      </c>
      <c r="V185" s="141" t="e">
        <f>WORKDAY(IF(U186="",U185,U186),INDEX(V$2:V$5,MATCH($I184,$I$2:$I$5,0)),$BB$10:$BB$141)</f>
        <v>#REF!</v>
      </c>
      <c r="W185" s="141" t="e">
        <f>WORKDAY(IF(V186="",V185,V186),INDEX(W$2:W$5,MATCH($I184,$I$2:$I$5,0)),$BB$10:$BB$141)</f>
        <v>#REF!</v>
      </c>
      <c r="X185" s="141" t="e">
        <f>WORKDAY(IF(#REF!="",#REF!,#REF!),INDEX(X$2:X$5,MATCH($I184,$I$2:$I$5,0)),$BB$10:$BB$141)</f>
        <v>#REF!</v>
      </c>
      <c r="Y185" s="141" t="e">
        <f>WORKDAY(IF(X186="",X185,X186),INDEX(Y$2:Y$5,MATCH($I184,$I$2:$I$5,0)),$BB$10:$BB$141)</f>
        <v>#REF!</v>
      </c>
      <c r="Z185" s="141" t="e">
        <f>WORKDAY(IF(Y186="",Y185,Y186),INDEX(Z$2:Z$5,MATCH($I184,$I$2:$I$5,0)),$BB$10:$BB$141)</f>
        <v>#REF!</v>
      </c>
      <c r="AA185" s="141" t="e">
        <f>WORKDAY(IF(Z186="",Z185,Z186),INDEX(AA$2:AA$5,MATCH($I184,$I$2:$I$5,0)),$BB$10:$BB$141)</f>
        <v>#REF!</v>
      </c>
      <c r="AB185" s="142" t="e">
        <f>AE184+#REF!</f>
        <v>#REF!</v>
      </c>
      <c r="AC185" s="798"/>
      <c r="AD185" s="105"/>
      <c r="AE185" s="804"/>
      <c r="AF185" s="807"/>
      <c r="AG185" s="810"/>
      <c r="AH185" s="106"/>
      <c r="AI185" s="107"/>
      <c r="AJ185" s="813"/>
      <c r="AK185" s="143"/>
      <c r="AL185" s="144"/>
      <c r="AM185" s="133">
        <f t="shared" ref="AM185:AW185" si="232">IF(ISERROR(LOOKUP(AM$6,$S185:$AB185,$S$9:$AB$9)),0,(LOOKUP(AM$6,$S185:$AB185,$S$9:$AB$9)))</f>
        <v>0</v>
      </c>
      <c r="AN185" s="134">
        <f t="shared" si="232"/>
        <v>0</v>
      </c>
      <c r="AO185" s="134">
        <f t="shared" si="232"/>
        <v>0</v>
      </c>
      <c r="AP185" s="134">
        <f t="shared" si="232"/>
        <v>0</v>
      </c>
      <c r="AQ185" s="134">
        <f t="shared" si="232"/>
        <v>0</v>
      </c>
      <c r="AR185" s="134">
        <f t="shared" si="232"/>
        <v>0</v>
      </c>
      <c r="AS185" s="134">
        <f t="shared" si="232"/>
        <v>0</v>
      </c>
      <c r="AT185" s="134">
        <f t="shared" si="232"/>
        <v>0</v>
      </c>
      <c r="AU185" s="134">
        <f t="shared" si="232"/>
        <v>0</v>
      </c>
      <c r="AV185" s="134">
        <f t="shared" si="232"/>
        <v>0</v>
      </c>
      <c r="AW185" s="134">
        <f t="shared" ca="1" si="232"/>
        <v>0</v>
      </c>
      <c r="BB185" s="135"/>
    </row>
    <row r="186" spans="1:54" s="21" customFormat="1" ht="18" customHeight="1">
      <c r="A186" s="784"/>
      <c r="B186" s="157"/>
      <c r="C186" s="793"/>
      <c r="D186" s="111" t="str">
        <f>D184</f>
        <v>ELE</v>
      </c>
      <c r="E186" s="145" t="str">
        <f>E184</f>
        <v>RFQ-054</v>
      </c>
      <c r="F186" s="146" t="str">
        <f>F184</f>
        <v>N</v>
      </c>
      <c r="G186" s="796"/>
      <c r="H186" s="113" t="str">
        <f>H184</f>
        <v>CABLE GLAND</v>
      </c>
      <c r="I186" s="145" t="str">
        <f>I184</f>
        <v>LD</v>
      </c>
      <c r="J186" s="146"/>
      <c r="K186" s="147"/>
      <c r="L186" s="147"/>
      <c r="M186" s="147">
        <v>1E-3</v>
      </c>
      <c r="N186" s="145"/>
      <c r="O186" s="145"/>
      <c r="P186" s="145"/>
      <c r="Q186" s="148" t="s">
        <v>368</v>
      </c>
      <c r="R186" s="148"/>
      <c r="S186" s="149"/>
      <c r="T186" s="149"/>
      <c r="U186" s="149"/>
      <c r="V186" s="149"/>
      <c r="W186" s="149"/>
      <c r="X186" s="149"/>
      <c r="Y186" s="149"/>
      <c r="Z186" s="149"/>
      <c r="AA186" s="149"/>
      <c r="AB186" s="149"/>
      <c r="AC186" s="799"/>
      <c r="AD186" s="116"/>
      <c r="AE186" s="805"/>
      <c r="AF186" s="808"/>
      <c r="AG186" s="811"/>
      <c r="AH186" s="117"/>
      <c r="AI186" s="118"/>
      <c r="AJ186" s="814"/>
      <c r="AK186" s="150"/>
      <c r="AL186" s="151"/>
      <c r="AM186" s="152">
        <f t="shared" ref="AM186:AW186" si="233">IF(ISERROR(LOOKUP(AM$6,$S186:$AB186,$S$9:$AB$9)),0,(LOOKUP(AM$6,$S186:$AB186,$S$9:$AB$9)))</f>
        <v>0</v>
      </c>
      <c r="AN186" s="153">
        <f t="shared" si="233"/>
        <v>0</v>
      </c>
      <c r="AO186" s="153">
        <f t="shared" si="233"/>
        <v>0</v>
      </c>
      <c r="AP186" s="153">
        <f t="shared" si="233"/>
        <v>0</v>
      </c>
      <c r="AQ186" s="153">
        <f t="shared" si="233"/>
        <v>0</v>
      </c>
      <c r="AR186" s="153">
        <f t="shared" si="233"/>
        <v>0</v>
      </c>
      <c r="AS186" s="153">
        <f t="shared" si="233"/>
        <v>0</v>
      </c>
      <c r="AT186" s="153">
        <f t="shared" si="233"/>
        <v>0</v>
      </c>
      <c r="AU186" s="153">
        <f t="shared" si="233"/>
        <v>0</v>
      </c>
      <c r="AV186" s="153">
        <f t="shared" si="233"/>
        <v>0</v>
      </c>
      <c r="AW186" s="153">
        <f t="shared" ca="1" si="233"/>
        <v>0</v>
      </c>
      <c r="BB186" s="135"/>
    </row>
    <row r="187" spans="1:54" s="21" customFormat="1" ht="18" customHeight="1">
      <c r="A187" s="782">
        <f>A184+1</f>
        <v>60</v>
      </c>
      <c r="B187" s="154" t="s">
        <v>5425</v>
      </c>
      <c r="C187" s="791" t="s">
        <v>5361</v>
      </c>
      <c r="D187" s="80" t="s">
        <v>5387</v>
      </c>
      <c r="E187" s="127" t="s">
        <v>5422</v>
      </c>
      <c r="F187" s="128" t="s">
        <v>73</v>
      </c>
      <c r="G187" s="794"/>
      <c r="H187" s="82" t="s">
        <v>5428</v>
      </c>
      <c r="I187" s="127" t="s">
        <v>9</v>
      </c>
      <c r="J187" s="128"/>
      <c r="K187" s="129">
        <f>M189</f>
        <v>1E-3</v>
      </c>
      <c r="L187" s="129"/>
      <c r="M187" s="129"/>
      <c r="N187" s="127"/>
      <c r="O187" s="127"/>
      <c r="P187" s="127"/>
      <c r="Q187" s="130" t="s">
        <v>5364</v>
      </c>
      <c r="R187" s="130"/>
      <c r="S187" s="155" t="e">
        <f>WORKDAY(T187,-INDEX(T$2:T$5,MATCH($I187,$I$2:$I$5,0)),'[38]Equipment List and MR List (3)'!$A$2:$A$80)</f>
        <v>#REF!</v>
      </c>
      <c r="T187" s="155" t="e">
        <f>WORKDAY(U187,-INDEX(U$2:U$5,MATCH($I187,$I$2:$I$5,0)),$BB$10:$BB$141)</f>
        <v>#REF!</v>
      </c>
      <c r="U187" s="155" t="e">
        <f>WORKDAY(V187,-INDEX(V$2:V$5,MATCH($I187,$I$2:$I$5,0)),$BB$10:$BB$141)</f>
        <v>#REF!</v>
      </c>
      <c r="V187" s="155" t="e">
        <f>WORKDAY(W187,-INDEX(W$2:W$5,MATCH($I187,$I$2:$I$5,0)),$BB$10:$BB$141)</f>
        <v>#REF!</v>
      </c>
      <c r="W187" s="155" t="e">
        <f>WORKDAY(#REF!,-INDEX(#REF!,MATCH($I187,$I$2:$I$5,0)),$BB$10:$BB$141)</f>
        <v>#REF!</v>
      </c>
      <c r="X187" s="155" t="e">
        <f>WORKDAY(Y187,-INDEX(Y$2:Y$5,MATCH($I187,$I$2:$I$5,0)),$BB$10:$BB$141)</f>
        <v>#REF!</v>
      </c>
      <c r="Y187" s="155" t="e">
        <f>WORKDAY(Z187,-INDEX(Z$2:Z$5,MATCH($I187,$I$2:$I$5,0)),$BB$10:$BB$141)</f>
        <v>#REF!</v>
      </c>
      <c r="Z187" s="155" t="e">
        <f>WORKDAY(AA187,-INDEX(AA$2:AA$5,MATCH($I187,$I$2:$I$5,0)),$BB$10:$BB$141)</f>
        <v>#REF!</v>
      </c>
      <c r="AA187" s="155" t="e">
        <f>WORKDAY(#REF!,-INDEX(#REF!,MATCH($I187,$I$2:$I$5,0)),$BB$10:$BB$141)</f>
        <v>#REF!</v>
      </c>
      <c r="AB187" s="155">
        <f>WORKDAY(AG187,0,'[38]Equipment List and MR List (3)'!$A$2:$A$80)</f>
        <v>0</v>
      </c>
      <c r="AC187" s="797" t="s">
        <v>5365</v>
      </c>
      <c r="AD187" s="87">
        <v>7</v>
      </c>
      <c r="AE187" s="803">
        <v>175</v>
      </c>
      <c r="AF187" s="806" t="e">
        <f>AB188</f>
        <v>#REF!</v>
      </c>
      <c r="AG187" s="809"/>
      <c r="AH187" s="88"/>
      <c r="AI187" s="89"/>
      <c r="AJ187" s="812" t="e">
        <f>AG187-AF187</f>
        <v>#REF!</v>
      </c>
      <c r="AK187" s="131"/>
      <c r="AL187" s="132"/>
      <c r="AM187" s="133">
        <f t="shared" ref="AM187:AW187" si="234">IF(ISERROR(LOOKUP(AM$6,$S187:$AB187,$S$9:$AB$9)),0,(LOOKUP(AM$6,$S187:$AB187,$S$9:$AB$9)))</f>
        <v>0.95</v>
      </c>
      <c r="AN187" s="134">
        <f t="shared" si="234"/>
        <v>0.95</v>
      </c>
      <c r="AO187" s="134">
        <f t="shared" si="234"/>
        <v>0.95</v>
      </c>
      <c r="AP187" s="134">
        <f t="shared" si="234"/>
        <v>0.95</v>
      </c>
      <c r="AQ187" s="134">
        <f t="shared" si="234"/>
        <v>0.95</v>
      </c>
      <c r="AR187" s="134">
        <f t="shared" si="234"/>
        <v>0.95</v>
      </c>
      <c r="AS187" s="134">
        <f t="shared" si="234"/>
        <v>0.95</v>
      </c>
      <c r="AT187" s="134">
        <f t="shared" si="234"/>
        <v>0.95</v>
      </c>
      <c r="AU187" s="134">
        <f t="shared" si="234"/>
        <v>0.95</v>
      </c>
      <c r="AV187" s="134">
        <f t="shared" si="234"/>
        <v>0.95</v>
      </c>
      <c r="AW187" s="134">
        <f t="shared" ca="1" si="234"/>
        <v>0.95</v>
      </c>
      <c r="BB187" s="135"/>
    </row>
    <row r="188" spans="1:54" s="21" customFormat="1" ht="18" customHeight="1">
      <c r="A188" s="783"/>
      <c r="B188" s="156"/>
      <c r="C188" s="792"/>
      <c r="D188" s="96" t="str">
        <f>D187</f>
        <v>ELE</v>
      </c>
      <c r="E188" s="136" t="str">
        <f>E187</f>
        <v>RFQ-054</v>
      </c>
      <c r="F188" s="137" t="str">
        <f>F187</f>
        <v>N</v>
      </c>
      <c r="G188" s="795"/>
      <c r="H188" s="98" t="str">
        <f>H187</f>
        <v>ELECTRICAL CABLE LADDER / TRAY</v>
      </c>
      <c r="I188" s="136" t="str">
        <f>I187</f>
        <v>LD</v>
      </c>
      <c r="J188" s="137"/>
      <c r="K188" s="138"/>
      <c r="L188" s="138">
        <f>M189</f>
        <v>1E-3</v>
      </c>
      <c r="M188" s="138"/>
      <c r="N188" s="136"/>
      <c r="O188" s="136"/>
      <c r="P188" s="136"/>
      <c r="Q188" s="139" t="s">
        <v>5366</v>
      </c>
      <c r="R188" s="139"/>
      <c r="S188" s="140" t="e">
        <f>S187</f>
        <v>#REF!</v>
      </c>
      <c r="T188" s="141" t="e">
        <f>T187</f>
        <v>#REF!</v>
      </c>
      <c r="U188" s="141" t="e">
        <f>WORKDAY(IF(T189="",T188,T189),INDEX(U$2:U$5,MATCH($I187,$I$2:$I$5,0)),$BB$10:$BB$141)</f>
        <v>#REF!</v>
      </c>
      <c r="V188" s="141" t="e">
        <f>WORKDAY(IF(U189="",U188,U189),INDEX(V$2:V$5,MATCH($I187,$I$2:$I$5,0)),$BB$10:$BB$141)</f>
        <v>#REF!</v>
      </c>
      <c r="W188" s="141" t="e">
        <f>WORKDAY(IF(V189="",V188,V189),INDEX(W$2:W$5,MATCH($I187,$I$2:$I$5,0)),$BB$10:$BB$141)</f>
        <v>#REF!</v>
      </c>
      <c r="X188" s="141" t="e">
        <f>WORKDAY(IF(#REF!="",#REF!,#REF!),INDEX(X$2:X$5,MATCH($I187,$I$2:$I$5,0)),$BB$10:$BB$141)</f>
        <v>#REF!</v>
      </c>
      <c r="Y188" s="141" t="e">
        <f>WORKDAY(IF(X189="",X188,X189),INDEX(Y$2:Y$5,MATCH($I187,$I$2:$I$5,0)),$BB$10:$BB$141)</f>
        <v>#REF!</v>
      </c>
      <c r="Z188" s="141" t="e">
        <f>WORKDAY(IF(Y189="",Y188,Y189),INDEX(Z$2:Z$5,MATCH($I187,$I$2:$I$5,0)),$BB$10:$BB$141)</f>
        <v>#REF!</v>
      </c>
      <c r="AA188" s="141" t="e">
        <f>WORKDAY(IF(Z189="",Z188,Z189),INDEX(AA$2:AA$5,MATCH($I187,$I$2:$I$5,0)),$BB$10:$BB$141)</f>
        <v>#REF!</v>
      </c>
      <c r="AB188" s="142" t="e">
        <f>AE187+#REF!</f>
        <v>#REF!</v>
      </c>
      <c r="AC188" s="798"/>
      <c r="AD188" s="105"/>
      <c r="AE188" s="804"/>
      <c r="AF188" s="807"/>
      <c r="AG188" s="810"/>
      <c r="AH188" s="106"/>
      <c r="AI188" s="107"/>
      <c r="AJ188" s="813"/>
      <c r="AK188" s="143"/>
      <c r="AL188" s="144"/>
      <c r="AM188" s="133">
        <f t="shared" ref="AM188:AW188" si="235">IF(ISERROR(LOOKUP(AM$6,$S188:$AB188,$S$9:$AB$9)),0,(LOOKUP(AM$6,$S188:$AB188,$S$9:$AB$9)))</f>
        <v>0</v>
      </c>
      <c r="AN188" s="134">
        <f t="shared" si="235"/>
        <v>0</v>
      </c>
      <c r="AO188" s="134">
        <f t="shared" si="235"/>
        <v>0</v>
      </c>
      <c r="AP188" s="134">
        <f t="shared" si="235"/>
        <v>0</v>
      </c>
      <c r="AQ188" s="134">
        <f t="shared" si="235"/>
        <v>0</v>
      </c>
      <c r="AR188" s="134">
        <f t="shared" si="235"/>
        <v>0</v>
      </c>
      <c r="AS188" s="134">
        <f t="shared" si="235"/>
        <v>0</v>
      </c>
      <c r="AT188" s="134">
        <f t="shared" si="235"/>
        <v>0</v>
      </c>
      <c r="AU188" s="134">
        <f t="shared" si="235"/>
        <v>0</v>
      </c>
      <c r="AV188" s="134">
        <f t="shared" si="235"/>
        <v>0</v>
      </c>
      <c r="AW188" s="134">
        <f t="shared" ca="1" si="235"/>
        <v>0</v>
      </c>
      <c r="BB188" s="135"/>
    </row>
    <row r="189" spans="1:54" s="21" customFormat="1" ht="18" customHeight="1">
      <c r="A189" s="784"/>
      <c r="B189" s="157"/>
      <c r="C189" s="793"/>
      <c r="D189" s="111" t="str">
        <f>D187</f>
        <v>ELE</v>
      </c>
      <c r="E189" s="145" t="str">
        <f>E187</f>
        <v>RFQ-054</v>
      </c>
      <c r="F189" s="146" t="str">
        <f>F187</f>
        <v>N</v>
      </c>
      <c r="G189" s="796"/>
      <c r="H189" s="113" t="str">
        <f>H187</f>
        <v>ELECTRICAL CABLE LADDER / TRAY</v>
      </c>
      <c r="I189" s="145" t="str">
        <f>I187</f>
        <v>LD</v>
      </c>
      <c r="J189" s="146"/>
      <c r="K189" s="147"/>
      <c r="L189" s="147"/>
      <c r="M189" s="147">
        <v>1E-3</v>
      </c>
      <c r="N189" s="145"/>
      <c r="O189" s="145"/>
      <c r="P189" s="145"/>
      <c r="Q189" s="148" t="s">
        <v>368</v>
      </c>
      <c r="R189" s="148"/>
      <c r="S189" s="149"/>
      <c r="T189" s="149"/>
      <c r="U189" s="149"/>
      <c r="V189" s="149"/>
      <c r="W189" s="149"/>
      <c r="X189" s="149"/>
      <c r="Y189" s="149"/>
      <c r="Z189" s="149"/>
      <c r="AA189" s="149"/>
      <c r="AB189" s="149"/>
      <c r="AC189" s="799"/>
      <c r="AD189" s="116"/>
      <c r="AE189" s="805"/>
      <c r="AF189" s="808"/>
      <c r="AG189" s="811"/>
      <c r="AH189" s="117"/>
      <c r="AI189" s="118"/>
      <c r="AJ189" s="814"/>
      <c r="AK189" s="150"/>
      <c r="AL189" s="151"/>
      <c r="AM189" s="152">
        <f t="shared" ref="AM189:AW189" si="236">IF(ISERROR(LOOKUP(AM$6,$S189:$AB189,$S$9:$AB$9)),0,(LOOKUP(AM$6,$S189:$AB189,$S$9:$AB$9)))</f>
        <v>0</v>
      </c>
      <c r="AN189" s="153">
        <f t="shared" si="236"/>
        <v>0</v>
      </c>
      <c r="AO189" s="153">
        <f t="shared" si="236"/>
        <v>0</v>
      </c>
      <c r="AP189" s="153">
        <f t="shared" si="236"/>
        <v>0</v>
      </c>
      <c r="AQ189" s="153">
        <f t="shared" si="236"/>
        <v>0</v>
      </c>
      <c r="AR189" s="153">
        <f t="shared" si="236"/>
        <v>0</v>
      </c>
      <c r="AS189" s="153">
        <f t="shared" si="236"/>
        <v>0</v>
      </c>
      <c r="AT189" s="153">
        <f t="shared" si="236"/>
        <v>0</v>
      </c>
      <c r="AU189" s="153">
        <f t="shared" si="236"/>
        <v>0</v>
      </c>
      <c r="AV189" s="153">
        <f t="shared" si="236"/>
        <v>0</v>
      </c>
      <c r="AW189" s="153">
        <f t="shared" ca="1" si="236"/>
        <v>0</v>
      </c>
      <c r="BB189" s="135"/>
    </row>
    <row r="190" spans="1:54" s="21" customFormat="1" ht="18" customHeight="1">
      <c r="A190" s="782">
        <f>A187+1</f>
        <v>61</v>
      </c>
      <c r="B190" s="154" t="s">
        <v>5425</v>
      </c>
      <c r="C190" s="791" t="s">
        <v>5361</v>
      </c>
      <c r="D190" s="80" t="s">
        <v>5387</v>
      </c>
      <c r="E190" s="127" t="s">
        <v>5422</v>
      </c>
      <c r="F190" s="128" t="s">
        <v>73</v>
      </c>
      <c r="G190" s="794"/>
      <c r="H190" s="82" t="s">
        <v>5429</v>
      </c>
      <c r="I190" s="127" t="s">
        <v>9</v>
      </c>
      <c r="J190" s="128"/>
      <c r="K190" s="129">
        <f>M192</f>
        <v>1E-3</v>
      </c>
      <c r="L190" s="129"/>
      <c r="M190" s="129"/>
      <c r="N190" s="127"/>
      <c r="O190" s="127"/>
      <c r="P190" s="127"/>
      <c r="Q190" s="130" t="s">
        <v>5364</v>
      </c>
      <c r="R190" s="130"/>
      <c r="S190" s="155" t="e">
        <f>WORKDAY(T190,-INDEX(T$2:T$5,MATCH($I190,$I$2:$I$5,0)),'[38]Equipment List and MR List (3)'!$A$2:$A$80)</f>
        <v>#REF!</v>
      </c>
      <c r="T190" s="155" t="e">
        <f>WORKDAY(U190,-INDEX(U$2:U$5,MATCH($I190,$I$2:$I$5,0)),$BB$10:$BB$141)</f>
        <v>#REF!</v>
      </c>
      <c r="U190" s="155" t="e">
        <f>WORKDAY(V190,-INDEX(V$2:V$5,MATCH($I190,$I$2:$I$5,0)),$BB$10:$BB$141)</f>
        <v>#REF!</v>
      </c>
      <c r="V190" s="155" t="e">
        <f>WORKDAY(W190,-INDEX(W$2:W$5,MATCH($I190,$I$2:$I$5,0)),$BB$10:$BB$141)</f>
        <v>#REF!</v>
      </c>
      <c r="W190" s="155" t="e">
        <f>WORKDAY(#REF!,-INDEX(#REF!,MATCH($I190,$I$2:$I$5,0)),$BB$10:$BB$141)</f>
        <v>#REF!</v>
      </c>
      <c r="X190" s="155" t="e">
        <f>WORKDAY(Y190,-INDEX(Y$2:Y$5,MATCH($I190,$I$2:$I$5,0)),$BB$10:$BB$141)</f>
        <v>#REF!</v>
      </c>
      <c r="Y190" s="155" t="e">
        <f>WORKDAY(Z190,-INDEX(Z$2:Z$5,MATCH($I190,$I$2:$I$5,0)),$BB$10:$BB$141)</f>
        <v>#REF!</v>
      </c>
      <c r="Z190" s="155" t="e">
        <f>WORKDAY(AA190,-INDEX(AA$2:AA$5,MATCH($I190,$I$2:$I$5,0)),$BB$10:$BB$141)</f>
        <v>#REF!</v>
      </c>
      <c r="AA190" s="155" t="e">
        <f>WORKDAY(#REF!,-INDEX(#REF!,MATCH($I190,$I$2:$I$5,0)),$BB$10:$BB$141)</f>
        <v>#REF!</v>
      </c>
      <c r="AB190" s="155">
        <f>WORKDAY(AG190,0,'[38]Equipment List and MR List (3)'!$A$2:$A$80)</f>
        <v>0</v>
      </c>
      <c r="AC190" s="797" t="s">
        <v>5365</v>
      </c>
      <c r="AD190" s="87">
        <v>7</v>
      </c>
      <c r="AE190" s="803"/>
      <c r="AF190" s="806" t="e">
        <f>AB191</f>
        <v>#REF!</v>
      </c>
      <c r="AG190" s="809"/>
      <c r="AH190" s="88"/>
      <c r="AI190" s="89"/>
      <c r="AJ190" s="812" t="e">
        <f>AG190-AF190</f>
        <v>#REF!</v>
      </c>
      <c r="AK190" s="131"/>
      <c r="AL190" s="132"/>
      <c r="AM190" s="133">
        <f t="shared" ref="AM190:AW190" si="237">IF(ISERROR(LOOKUP(AM$6,$S190:$AB190,$S$9:$AB$9)),0,(LOOKUP(AM$6,$S190:$AB190,$S$9:$AB$9)))</f>
        <v>0.95</v>
      </c>
      <c r="AN190" s="134">
        <f t="shared" si="237"/>
        <v>0.95</v>
      </c>
      <c r="AO190" s="134">
        <f t="shared" si="237"/>
        <v>0.95</v>
      </c>
      <c r="AP190" s="134">
        <f t="shared" si="237"/>
        <v>0.95</v>
      </c>
      <c r="AQ190" s="134">
        <f t="shared" si="237"/>
        <v>0.95</v>
      </c>
      <c r="AR190" s="134">
        <f t="shared" si="237"/>
        <v>0.95</v>
      </c>
      <c r="AS190" s="134">
        <f t="shared" si="237"/>
        <v>0.95</v>
      </c>
      <c r="AT190" s="134">
        <f t="shared" si="237"/>
        <v>0.95</v>
      </c>
      <c r="AU190" s="134">
        <f t="shared" si="237"/>
        <v>0.95</v>
      </c>
      <c r="AV190" s="134">
        <f t="shared" si="237"/>
        <v>0.95</v>
      </c>
      <c r="AW190" s="134">
        <f t="shared" ca="1" si="237"/>
        <v>0.95</v>
      </c>
      <c r="BB190" s="135"/>
    </row>
    <row r="191" spans="1:54" s="21" customFormat="1" ht="18" customHeight="1">
      <c r="A191" s="783"/>
      <c r="B191" s="156"/>
      <c r="C191" s="792"/>
      <c r="D191" s="96" t="str">
        <f>D190</f>
        <v>ELE</v>
      </c>
      <c r="E191" s="136" t="str">
        <f>E190</f>
        <v>RFQ-054</v>
      </c>
      <c r="F191" s="137" t="str">
        <f>F190</f>
        <v>N</v>
      </c>
      <c r="G191" s="795"/>
      <c r="H191" s="98" t="str">
        <f>H190</f>
        <v>EARTHING SYSTEM</v>
      </c>
      <c r="I191" s="136" t="str">
        <f>I190</f>
        <v>LD</v>
      </c>
      <c r="J191" s="137"/>
      <c r="K191" s="138"/>
      <c r="L191" s="138">
        <f>M192</f>
        <v>1E-3</v>
      </c>
      <c r="M191" s="138"/>
      <c r="N191" s="136"/>
      <c r="O191" s="136"/>
      <c r="P191" s="136"/>
      <c r="Q191" s="139" t="s">
        <v>5366</v>
      </c>
      <c r="R191" s="139"/>
      <c r="S191" s="140" t="e">
        <f>S190</f>
        <v>#REF!</v>
      </c>
      <c r="T191" s="141" t="e">
        <f>T190</f>
        <v>#REF!</v>
      </c>
      <c r="U191" s="141" t="e">
        <f>WORKDAY(IF(T192="",T191,T192),INDEX(U$2:U$5,MATCH($I190,$I$2:$I$5,0)),$BB$10:$BB$141)</f>
        <v>#REF!</v>
      </c>
      <c r="V191" s="141" t="e">
        <f>WORKDAY(IF(U192="",U191,U192),INDEX(V$2:V$5,MATCH($I190,$I$2:$I$5,0)),$BB$10:$BB$141)</f>
        <v>#REF!</v>
      </c>
      <c r="W191" s="141" t="e">
        <f>WORKDAY(IF(V192="",V191,V192),INDEX(W$2:W$5,MATCH($I190,$I$2:$I$5,0)),$BB$10:$BB$141)</f>
        <v>#REF!</v>
      </c>
      <c r="X191" s="141" t="e">
        <f>WORKDAY(IF(#REF!="",#REF!,#REF!),INDEX(X$2:X$5,MATCH($I190,$I$2:$I$5,0)),$BB$10:$BB$141)</f>
        <v>#REF!</v>
      </c>
      <c r="Y191" s="141" t="e">
        <f>WORKDAY(IF(X192="",X191,X192),INDEX(Y$2:Y$5,MATCH($I190,$I$2:$I$5,0)),$BB$10:$BB$141)</f>
        <v>#REF!</v>
      </c>
      <c r="Z191" s="141" t="e">
        <f>WORKDAY(IF(Y192="",Y191,Y192),INDEX(Z$2:Z$5,MATCH($I190,$I$2:$I$5,0)),$BB$10:$BB$141)</f>
        <v>#REF!</v>
      </c>
      <c r="AA191" s="141" t="e">
        <f>WORKDAY(IF(Z192="",Z191,Z192),INDEX(AA$2:AA$5,MATCH($I190,$I$2:$I$5,0)),$BB$10:$BB$141)</f>
        <v>#REF!</v>
      </c>
      <c r="AB191" s="142" t="e">
        <f>AE190+#REF!</f>
        <v>#REF!</v>
      </c>
      <c r="AC191" s="798"/>
      <c r="AD191" s="105"/>
      <c r="AE191" s="804"/>
      <c r="AF191" s="807"/>
      <c r="AG191" s="810"/>
      <c r="AH191" s="106"/>
      <c r="AI191" s="107"/>
      <c r="AJ191" s="813"/>
      <c r="AK191" s="143"/>
      <c r="AL191" s="144"/>
      <c r="AM191" s="133">
        <f t="shared" ref="AM191:AW191" si="238">IF(ISERROR(LOOKUP(AM$6,$S191:$AB191,$S$9:$AB$9)),0,(LOOKUP(AM$6,$S191:$AB191,$S$9:$AB$9)))</f>
        <v>0</v>
      </c>
      <c r="AN191" s="134">
        <f t="shared" si="238"/>
        <v>0</v>
      </c>
      <c r="AO191" s="134">
        <f t="shared" si="238"/>
        <v>0</v>
      </c>
      <c r="AP191" s="134">
        <f t="shared" si="238"/>
        <v>0</v>
      </c>
      <c r="AQ191" s="134">
        <f t="shared" si="238"/>
        <v>0</v>
      </c>
      <c r="AR191" s="134">
        <f t="shared" si="238"/>
        <v>0</v>
      </c>
      <c r="AS191" s="134">
        <f t="shared" si="238"/>
        <v>0</v>
      </c>
      <c r="AT191" s="134">
        <f t="shared" si="238"/>
        <v>0</v>
      </c>
      <c r="AU191" s="134">
        <f t="shared" si="238"/>
        <v>0</v>
      </c>
      <c r="AV191" s="134">
        <f t="shared" si="238"/>
        <v>0</v>
      </c>
      <c r="AW191" s="134">
        <f t="shared" ca="1" si="238"/>
        <v>0</v>
      </c>
      <c r="BB191" s="135"/>
    </row>
    <row r="192" spans="1:54" s="21" customFormat="1" ht="18" customHeight="1">
      <c r="A192" s="784"/>
      <c r="B192" s="157"/>
      <c r="C192" s="793"/>
      <c r="D192" s="111" t="str">
        <f>D190</f>
        <v>ELE</v>
      </c>
      <c r="E192" s="145" t="str">
        <f>E190</f>
        <v>RFQ-054</v>
      </c>
      <c r="F192" s="146" t="str">
        <f>F190</f>
        <v>N</v>
      </c>
      <c r="G192" s="796"/>
      <c r="H192" s="113" t="str">
        <f>H190</f>
        <v>EARTHING SYSTEM</v>
      </c>
      <c r="I192" s="145" t="str">
        <f>I190</f>
        <v>LD</v>
      </c>
      <c r="J192" s="146"/>
      <c r="K192" s="147"/>
      <c r="L192" s="147"/>
      <c r="M192" s="147">
        <v>1E-3</v>
      </c>
      <c r="N192" s="145"/>
      <c r="O192" s="145"/>
      <c r="P192" s="145"/>
      <c r="Q192" s="148" t="s">
        <v>368</v>
      </c>
      <c r="R192" s="148"/>
      <c r="S192" s="149"/>
      <c r="T192" s="149"/>
      <c r="U192" s="149"/>
      <c r="V192" s="149"/>
      <c r="W192" s="149"/>
      <c r="X192" s="149"/>
      <c r="Y192" s="149"/>
      <c r="Z192" s="149"/>
      <c r="AA192" s="149"/>
      <c r="AB192" s="149"/>
      <c r="AC192" s="799"/>
      <c r="AD192" s="116"/>
      <c r="AE192" s="805"/>
      <c r="AF192" s="808"/>
      <c r="AG192" s="811"/>
      <c r="AH192" s="117"/>
      <c r="AI192" s="118"/>
      <c r="AJ192" s="814"/>
      <c r="AK192" s="150"/>
      <c r="AL192" s="151"/>
      <c r="AM192" s="152">
        <f t="shared" ref="AM192:AW192" si="239">IF(ISERROR(LOOKUP(AM$6,$S192:$AB192,$S$9:$AB$9)),0,(LOOKUP(AM$6,$S192:$AB192,$S$9:$AB$9)))</f>
        <v>0</v>
      </c>
      <c r="AN192" s="153">
        <f t="shared" si="239"/>
        <v>0</v>
      </c>
      <c r="AO192" s="153">
        <f t="shared" si="239"/>
        <v>0</v>
      </c>
      <c r="AP192" s="153">
        <f t="shared" si="239"/>
        <v>0</v>
      </c>
      <c r="AQ192" s="153">
        <f t="shared" si="239"/>
        <v>0</v>
      </c>
      <c r="AR192" s="153">
        <f t="shared" si="239"/>
        <v>0</v>
      </c>
      <c r="AS192" s="153">
        <f t="shared" si="239"/>
        <v>0</v>
      </c>
      <c r="AT192" s="153">
        <f t="shared" si="239"/>
        <v>0</v>
      </c>
      <c r="AU192" s="153">
        <f t="shared" si="239"/>
        <v>0</v>
      </c>
      <c r="AV192" s="153">
        <f t="shared" si="239"/>
        <v>0</v>
      </c>
      <c r="AW192" s="153">
        <f t="shared" ca="1" si="239"/>
        <v>0</v>
      </c>
      <c r="BB192" s="135"/>
    </row>
    <row r="193" spans="1:54" s="21" customFormat="1" ht="18" customHeight="1">
      <c r="A193" s="782">
        <f>A190+1</f>
        <v>62</v>
      </c>
      <c r="B193" s="154" t="s">
        <v>5425</v>
      </c>
      <c r="C193" s="791" t="s">
        <v>5361</v>
      </c>
      <c r="D193" s="80" t="s">
        <v>5387</v>
      </c>
      <c r="E193" s="127" t="s">
        <v>5422</v>
      </c>
      <c r="F193" s="128" t="s">
        <v>73</v>
      </c>
      <c r="G193" s="794"/>
      <c r="H193" s="82" t="s">
        <v>5430</v>
      </c>
      <c r="I193" s="127" t="s">
        <v>9</v>
      </c>
      <c r="J193" s="128"/>
      <c r="K193" s="129">
        <f>M195</f>
        <v>1E-3</v>
      </c>
      <c r="L193" s="129"/>
      <c r="M193" s="129"/>
      <c r="N193" s="127"/>
      <c r="O193" s="127"/>
      <c r="P193" s="127"/>
      <c r="Q193" s="130" t="s">
        <v>5364</v>
      </c>
      <c r="R193" s="130"/>
      <c r="S193" s="155" t="e">
        <f>WORKDAY(T193,-INDEX(T$2:T$5,MATCH($I193,$I$2:$I$5,0)),'[38]Equipment List and MR List (3)'!$A$2:$A$80)</f>
        <v>#REF!</v>
      </c>
      <c r="T193" s="155" t="e">
        <f>WORKDAY(U193,-INDEX(U$2:U$5,MATCH($I193,$I$2:$I$5,0)),$BB$10:$BB$141)</f>
        <v>#REF!</v>
      </c>
      <c r="U193" s="155" t="e">
        <f>WORKDAY(V193,-INDEX(V$2:V$5,MATCH($I193,$I$2:$I$5,0)),$BB$10:$BB$141)</f>
        <v>#REF!</v>
      </c>
      <c r="V193" s="155" t="e">
        <f>WORKDAY(W193,-INDEX(W$2:W$5,MATCH($I193,$I$2:$I$5,0)),$BB$10:$BB$141)</f>
        <v>#REF!</v>
      </c>
      <c r="W193" s="155" t="e">
        <f>WORKDAY(#REF!,-INDEX(#REF!,MATCH($I193,$I$2:$I$5,0)),$BB$10:$BB$141)</f>
        <v>#REF!</v>
      </c>
      <c r="X193" s="155" t="e">
        <f>WORKDAY(Y193,-INDEX(Y$2:Y$5,MATCH($I193,$I$2:$I$5,0)),$BB$10:$BB$141)</f>
        <v>#REF!</v>
      </c>
      <c r="Y193" s="155" t="e">
        <f>WORKDAY(Z193,-INDEX(Z$2:Z$5,MATCH($I193,$I$2:$I$5,0)),$BB$10:$BB$141)</f>
        <v>#REF!</v>
      </c>
      <c r="Z193" s="155" t="e">
        <f>WORKDAY(AA193,-INDEX(AA$2:AA$5,MATCH($I193,$I$2:$I$5,0)),$BB$10:$BB$141)</f>
        <v>#REF!</v>
      </c>
      <c r="AA193" s="155" t="e">
        <f>WORKDAY(#REF!,-INDEX(#REF!,MATCH($I193,$I$2:$I$5,0)),$BB$10:$BB$141)</f>
        <v>#REF!</v>
      </c>
      <c r="AB193" s="155">
        <f>WORKDAY(AG193,0,'[38]Equipment List and MR List (3)'!$A$2:$A$80)</f>
        <v>0</v>
      </c>
      <c r="AC193" s="797" t="s">
        <v>5365</v>
      </c>
      <c r="AD193" s="87">
        <v>7</v>
      </c>
      <c r="AE193" s="803">
        <v>123</v>
      </c>
      <c r="AF193" s="806" t="e">
        <f>AB194</f>
        <v>#REF!</v>
      </c>
      <c r="AG193" s="809"/>
      <c r="AH193" s="88"/>
      <c r="AI193" s="89"/>
      <c r="AJ193" s="812" t="e">
        <f>AG193-AF193</f>
        <v>#REF!</v>
      </c>
      <c r="AK193" s="131"/>
      <c r="AL193" s="132"/>
      <c r="AM193" s="133">
        <f t="shared" ref="AM193:AW193" si="240">IF(ISERROR(LOOKUP(AM$6,$S193:$AB193,$S$9:$AB$9)),0,(LOOKUP(AM$6,$S193:$AB193,$S$9:$AB$9)))</f>
        <v>0.95</v>
      </c>
      <c r="AN193" s="134">
        <f t="shared" si="240"/>
        <v>0.95</v>
      </c>
      <c r="AO193" s="134">
        <f t="shared" si="240"/>
        <v>0.95</v>
      </c>
      <c r="AP193" s="134">
        <f t="shared" si="240"/>
        <v>0.95</v>
      </c>
      <c r="AQ193" s="134">
        <f t="shared" si="240"/>
        <v>0.95</v>
      </c>
      <c r="AR193" s="134">
        <f t="shared" si="240"/>
        <v>0.95</v>
      </c>
      <c r="AS193" s="134">
        <f t="shared" si="240"/>
        <v>0.95</v>
      </c>
      <c r="AT193" s="134">
        <f t="shared" si="240"/>
        <v>0.95</v>
      </c>
      <c r="AU193" s="134">
        <f t="shared" si="240"/>
        <v>0.95</v>
      </c>
      <c r="AV193" s="134">
        <f t="shared" si="240"/>
        <v>0.95</v>
      </c>
      <c r="AW193" s="134">
        <f t="shared" ca="1" si="240"/>
        <v>0.95</v>
      </c>
      <c r="BB193" s="135"/>
    </row>
    <row r="194" spans="1:54" s="21" customFormat="1" ht="18" customHeight="1">
      <c r="A194" s="783"/>
      <c r="B194" s="156"/>
      <c r="C194" s="792"/>
      <c r="D194" s="96" t="str">
        <f>D193</f>
        <v>ELE</v>
      </c>
      <c r="E194" s="136" t="str">
        <f>E193</f>
        <v>RFQ-054</v>
      </c>
      <c r="F194" s="137" t="str">
        <f>F193</f>
        <v>N</v>
      </c>
      <c r="G194" s="795"/>
      <c r="H194" s="98" t="str">
        <f>H193</f>
        <v>MULTI-CABLE TRANSIT (MCT)</v>
      </c>
      <c r="I194" s="136" t="str">
        <f>I193</f>
        <v>LD</v>
      </c>
      <c r="J194" s="137"/>
      <c r="K194" s="138"/>
      <c r="L194" s="138">
        <f>M195</f>
        <v>1E-3</v>
      </c>
      <c r="M194" s="138"/>
      <c r="N194" s="136"/>
      <c r="O194" s="136"/>
      <c r="P194" s="136"/>
      <c r="Q194" s="139" t="s">
        <v>5366</v>
      </c>
      <c r="R194" s="139"/>
      <c r="S194" s="140" t="e">
        <f>S193</f>
        <v>#REF!</v>
      </c>
      <c r="T194" s="141" t="e">
        <f>T193</f>
        <v>#REF!</v>
      </c>
      <c r="U194" s="141" t="e">
        <f>WORKDAY(IF(T195="",T194,T195),INDEX(U$2:U$5,MATCH($I193,$I$2:$I$5,0)),$BB$10:$BB$141)</f>
        <v>#REF!</v>
      </c>
      <c r="V194" s="141" t="e">
        <f>WORKDAY(IF(U195="",U194,U195),INDEX(V$2:V$5,MATCH($I193,$I$2:$I$5,0)),$BB$10:$BB$141)</f>
        <v>#REF!</v>
      </c>
      <c r="W194" s="141" t="e">
        <f>WORKDAY(IF(V195="",V194,V195),INDEX(W$2:W$5,MATCH($I193,$I$2:$I$5,0)),$BB$10:$BB$141)</f>
        <v>#REF!</v>
      </c>
      <c r="X194" s="141" t="e">
        <f>WORKDAY(IF(#REF!="",#REF!,#REF!),INDEX(X$2:X$5,MATCH($I193,$I$2:$I$5,0)),$BB$10:$BB$141)</f>
        <v>#REF!</v>
      </c>
      <c r="Y194" s="141" t="e">
        <f>WORKDAY(IF(X195="",X194,X195),INDEX(Y$2:Y$5,MATCH($I193,$I$2:$I$5,0)),$BB$10:$BB$141)</f>
        <v>#REF!</v>
      </c>
      <c r="Z194" s="141" t="e">
        <f>WORKDAY(IF(Y195="",Y194,Y195),INDEX(Z$2:Z$5,MATCH($I193,$I$2:$I$5,0)),$BB$10:$BB$141)</f>
        <v>#REF!</v>
      </c>
      <c r="AA194" s="141" t="e">
        <f>WORKDAY(IF(Z195="",Z194,Z195),INDEX(AA$2:AA$5,MATCH($I193,$I$2:$I$5,0)),$BB$10:$BB$141)</f>
        <v>#REF!</v>
      </c>
      <c r="AB194" s="142" t="e">
        <f>AE193+#REF!</f>
        <v>#REF!</v>
      </c>
      <c r="AC194" s="798"/>
      <c r="AD194" s="105"/>
      <c r="AE194" s="804"/>
      <c r="AF194" s="807"/>
      <c r="AG194" s="810"/>
      <c r="AH194" s="106"/>
      <c r="AI194" s="107"/>
      <c r="AJ194" s="813"/>
      <c r="AK194" s="143"/>
      <c r="AL194" s="144"/>
      <c r="AM194" s="133">
        <f t="shared" ref="AM194:AW194" si="241">IF(ISERROR(LOOKUP(AM$6,$S194:$AB194,$S$9:$AB$9)),0,(LOOKUP(AM$6,$S194:$AB194,$S$9:$AB$9)))</f>
        <v>0</v>
      </c>
      <c r="AN194" s="134">
        <f t="shared" si="241"/>
        <v>0</v>
      </c>
      <c r="AO194" s="134">
        <f t="shared" si="241"/>
        <v>0</v>
      </c>
      <c r="AP194" s="134">
        <f t="shared" si="241"/>
        <v>0</v>
      </c>
      <c r="AQ194" s="134">
        <f t="shared" si="241"/>
        <v>0</v>
      </c>
      <c r="AR194" s="134">
        <f t="shared" si="241"/>
        <v>0</v>
      </c>
      <c r="AS194" s="134">
        <f t="shared" si="241"/>
        <v>0</v>
      </c>
      <c r="AT194" s="134">
        <f t="shared" si="241"/>
        <v>0</v>
      </c>
      <c r="AU194" s="134">
        <f t="shared" si="241"/>
        <v>0</v>
      </c>
      <c r="AV194" s="134">
        <f t="shared" si="241"/>
        <v>0</v>
      </c>
      <c r="AW194" s="134">
        <f t="shared" ca="1" si="241"/>
        <v>0</v>
      </c>
      <c r="BB194" s="135"/>
    </row>
    <row r="195" spans="1:54" s="21" customFormat="1" ht="18" customHeight="1">
      <c r="A195" s="784"/>
      <c r="B195" s="157"/>
      <c r="C195" s="793"/>
      <c r="D195" s="111" t="str">
        <f>D193</f>
        <v>ELE</v>
      </c>
      <c r="E195" s="145" t="str">
        <f>E193</f>
        <v>RFQ-054</v>
      </c>
      <c r="F195" s="146" t="str">
        <f>F193</f>
        <v>N</v>
      </c>
      <c r="G195" s="796"/>
      <c r="H195" s="113" t="str">
        <f>H193</f>
        <v>MULTI-CABLE TRANSIT (MCT)</v>
      </c>
      <c r="I195" s="145" t="str">
        <f>I193</f>
        <v>LD</v>
      </c>
      <c r="J195" s="146"/>
      <c r="K195" s="147"/>
      <c r="L195" s="147"/>
      <c r="M195" s="147">
        <v>1E-3</v>
      </c>
      <c r="N195" s="145"/>
      <c r="O195" s="145"/>
      <c r="P195" s="145"/>
      <c r="Q195" s="148" t="s">
        <v>368</v>
      </c>
      <c r="R195" s="148"/>
      <c r="S195" s="149"/>
      <c r="T195" s="149"/>
      <c r="U195" s="149"/>
      <c r="V195" s="149"/>
      <c r="W195" s="149"/>
      <c r="X195" s="149"/>
      <c r="Y195" s="149"/>
      <c r="Z195" s="149"/>
      <c r="AA195" s="149"/>
      <c r="AB195" s="149"/>
      <c r="AC195" s="799"/>
      <c r="AD195" s="116"/>
      <c r="AE195" s="805"/>
      <c r="AF195" s="808"/>
      <c r="AG195" s="811"/>
      <c r="AH195" s="117"/>
      <c r="AI195" s="118"/>
      <c r="AJ195" s="814"/>
      <c r="AK195" s="150"/>
      <c r="AL195" s="151"/>
      <c r="AM195" s="152">
        <f t="shared" ref="AM195:AW195" si="242">IF(ISERROR(LOOKUP(AM$6,$S195:$AB195,$S$9:$AB$9)),0,(LOOKUP(AM$6,$S195:$AB195,$S$9:$AB$9)))</f>
        <v>0</v>
      </c>
      <c r="AN195" s="153">
        <f t="shared" si="242"/>
        <v>0</v>
      </c>
      <c r="AO195" s="153">
        <f t="shared" si="242"/>
        <v>0</v>
      </c>
      <c r="AP195" s="153">
        <f t="shared" si="242"/>
        <v>0</v>
      </c>
      <c r="AQ195" s="153">
        <f t="shared" si="242"/>
        <v>0</v>
      </c>
      <c r="AR195" s="153">
        <f t="shared" si="242"/>
        <v>0</v>
      </c>
      <c r="AS195" s="153">
        <f t="shared" si="242"/>
        <v>0</v>
      </c>
      <c r="AT195" s="153">
        <f t="shared" si="242"/>
        <v>0</v>
      </c>
      <c r="AU195" s="153">
        <f t="shared" si="242"/>
        <v>0</v>
      </c>
      <c r="AV195" s="153">
        <f t="shared" si="242"/>
        <v>0</v>
      </c>
      <c r="AW195" s="153">
        <f t="shared" ca="1" si="242"/>
        <v>0</v>
      </c>
      <c r="BB195" s="135"/>
    </row>
    <row r="196" spans="1:54" s="21" customFormat="1" ht="18" customHeight="1">
      <c r="A196" s="782">
        <f>A193+1</f>
        <v>63</v>
      </c>
      <c r="B196" s="154" t="s">
        <v>5425</v>
      </c>
      <c r="C196" s="791" t="s">
        <v>5361</v>
      </c>
      <c r="D196" s="80" t="s">
        <v>5387</v>
      </c>
      <c r="E196" s="127" t="s">
        <v>5422</v>
      </c>
      <c r="F196" s="128" t="s">
        <v>73</v>
      </c>
      <c r="G196" s="794"/>
      <c r="H196" s="82" t="s">
        <v>5431</v>
      </c>
      <c r="I196" s="127" t="s">
        <v>9</v>
      </c>
      <c r="J196" s="128"/>
      <c r="K196" s="129">
        <f>M198</f>
        <v>1E-3</v>
      </c>
      <c r="L196" s="129"/>
      <c r="M196" s="129"/>
      <c r="N196" s="127"/>
      <c r="O196" s="127"/>
      <c r="P196" s="127"/>
      <c r="Q196" s="130" t="s">
        <v>5364</v>
      </c>
      <c r="R196" s="130"/>
      <c r="S196" s="155" t="e">
        <f>WORKDAY(T196,-INDEX(T$2:T$5,MATCH($I196,$I$2:$I$5,0)),'[38]Equipment List and MR List (3)'!$A$2:$A$80)</f>
        <v>#REF!</v>
      </c>
      <c r="T196" s="155" t="e">
        <f>WORKDAY(U196,-INDEX(U$2:U$5,MATCH($I196,$I$2:$I$5,0)),$BB$10:$BB$141)</f>
        <v>#REF!</v>
      </c>
      <c r="U196" s="155" t="e">
        <f>WORKDAY(V196,-INDEX(V$2:V$5,MATCH($I196,$I$2:$I$5,0)),$BB$10:$BB$141)</f>
        <v>#REF!</v>
      </c>
      <c r="V196" s="155" t="e">
        <f>WORKDAY(W196,-INDEX(W$2:W$5,MATCH($I196,$I$2:$I$5,0)),$BB$10:$BB$141)</f>
        <v>#REF!</v>
      </c>
      <c r="W196" s="155" t="e">
        <f>WORKDAY(#REF!,-INDEX(#REF!,MATCH($I196,$I$2:$I$5,0)),$BB$10:$BB$141)</f>
        <v>#REF!</v>
      </c>
      <c r="X196" s="155" t="e">
        <f>WORKDAY(Y196,-INDEX(Y$2:Y$5,MATCH($I196,$I$2:$I$5,0)),$BB$10:$BB$141)</f>
        <v>#REF!</v>
      </c>
      <c r="Y196" s="155" t="e">
        <f>WORKDAY(Z196,-INDEX(Z$2:Z$5,MATCH($I196,$I$2:$I$5,0)),$BB$10:$BB$141)</f>
        <v>#REF!</v>
      </c>
      <c r="Z196" s="155" t="e">
        <f>WORKDAY(AA196,-INDEX(AA$2:AA$5,MATCH($I196,$I$2:$I$5,0)),$BB$10:$BB$141)</f>
        <v>#REF!</v>
      </c>
      <c r="AA196" s="155" t="e">
        <f>WORKDAY(#REF!,-INDEX(#REF!,MATCH($I196,$I$2:$I$5,0)),$BB$10:$BB$141)</f>
        <v>#REF!</v>
      </c>
      <c r="AB196" s="155">
        <f>WORKDAY(AG196,0,'[38]Equipment List and MR List (3)'!$A$2:$A$80)</f>
        <v>0</v>
      </c>
      <c r="AC196" s="797" t="s">
        <v>5365</v>
      </c>
      <c r="AD196" s="87">
        <v>7</v>
      </c>
      <c r="AE196" s="803">
        <v>104</v>
      </c>
      <c r="AF196" s="806" t="e">
        <f>AB197</f>
        <v>#REF!</v>
      </c>
      <c r="AG196" s="809"/>
      <c r="AH196" s="88"/>
      <c r="AI196" s="89"/>
      <c r="AJ196" s="812" t="e">
        <f>AG196-AF196</f>
        <v>#REF!</v>
      </c>
      <c r="AK196" s="131"/>
      <c r="AL196" s="132"/>
      <c r="AM196" s="133">
        <f t="shared" ref="AM196:AW196" si="243">IF(ISERROR(LOOKUP(AM$6,$S196:$AB196,$S$9:$AB$9)),0,(LOOKUP(AM$6,$S196:$AB196,$S$9:$AB$9)))</f>
        <v>0.95</v>
      </c>
      <c r="AN196" s="134">
        <f t="shared" si="243"/>
        <v>0.95</v>
      </c>
      <c r="AO196" s="134">
        <f t="shared" si="243"/>
        <v>0.95</v>
      </c>
      <c r="AP196" s="134">
        <f t="shared" si="243"/>
        <v>0.95</v>
      </c>
      <c r="AQ196" s="134">
        <f t="shared" si="243"/>
        <v>0.95</v>
      </c>
      <c r="AR196" s="134">
        <f t="shared" si="243"/>
        <v>0.95</v>
      </c>
      <c r="AS196" s="134">
        <f t="shared" si="243"/>
        <v>0.95</v>
      </c>
      <c r="AT196" s="134">
        <f t="shared" si="243"/>
        <v>0.95</v>
      </c>
      <c r="AU196" s="134">
        <f t="shared" si="243"/>
        <v>0.95</v>
      </c>
      <c r="AV196" s="134">
        <f t="shared" si="243"/>
        <v>0.95</v>
      </c>
      <c r="AW196" s="134">
        <f t="shared" ca="1" si="243"/>
        <v>0.95</v>
      </c>
      <c r="BB196" s="135"/>
    </row>
    <row r="197" spans="1:54" s="21" customFormat="1" ht="18" customHeight="1">
      <c r="A197" s="783"/>
      <c r="B197" s="156"/>
      <c r="C197" s="792"/>
      <c r="D197" s="96" t="str">
        <f>D196</f>
        <v>ELE</v>
      </c>
      <c r="E197" s="136" t="str">
        <f>E196</f>
        <v>RFQ-054</v>
      </c>
      <c r="F197" s="137" t="str">
        <f>F196</f>
        <v>N</v>
      </c>
      <c r="G197" s="795"/>
      <c r="H197" s="98" t="str">
        <f>H196</f>
        <v>ELECTRICAL CABLE</v>
      </c>
      <c r="I197" s="136" t="str">
        <f>I196</f>
        <v>LD</v>
      </c>
      <c r="J197" s="137"/>
      <c r="K197" s="138"/>
      <c r="L197" s="138">
        <f>M198</f>
        <v>1E-3</v>
      </c>
      <c r="M197" s="138"/>
      <c r="N197" s="136"/>
      <c r="O197" s="136"/>
      <c r="P197" s="136"/>
      <c r="Q197" s="139" t="s">
        <v>5366</v>
      </c>
      <c r="R197" s="139"/>
      <c r="S197" s="140" t="e">
        <f>S196</f>
        <v>#REF!</v>
      </c>
      <c r="T197" s="141" t="e">
        <f>T196</f>
        <v>#REF!</v>
      </c>
      <c r="U197" s="141" t="e">
        <f>WORKDAY(IF(T198="",T197,T198),INDEX(U$2:U$5,MATCH($I196,$I$2:$I$5,0)),$BB$10:$BB$141)</f>
        <v>#REF!</v>
      </c>
      <c r="V197" s="141" t="e">
        <f>WORKDAY(IF(U198="",U197,U198),INDEX(V$2:V$5,MATCH($I196,$I$2:$I$5,0)),$BB$10:$BB$141)</f>
        <v>#REF!</v>
      </c>
      <c r="W197" s="141" t="e">
        <f>WORKDAY(IF(V198="",V197,V198),INDEX(W$2:W$5,MATCH($I196,$I$2:$I$5,0)),$BB$10:$BB$141)</f>
        <v>#REF!</v>
      </c>
      <c r="X197" s="141" t="e">
        <f>WORKDAY(IF(#REF!="",#REF!,#REF!),INDEX(X$2:X$5,MATCH($I196,$I$2:$I$5,0)),$BB$10:$BB$141)</f>
        <v>#REF!</v>
      </c>
      <c r="Y197" s="141" t="e">
        <f>WORKDAY(IF(X198="",X197,X198),INDEX(Y$2:Y$5,MATCH($I196,$I$2:$I$5,0)),$BB$10:$BB$141)</f>
        <v>#REF!</v>
      </c>
      <c r="Z197" s="141" t="e">
        <f>WORKDAY(IF(Y198="",Y197,Y198),INDEX(Z$2:Z$5,MATCH($I196,$I$2:$I$5,0)),$BB$10:$BB$141)</f>
        <v>#REF!</v>
      </c>
      <c r="AA197" s="141" t="e">
        <f>WORKDAY(IF(Z198="",Z197,Z198),INDEX(AA$2:AA$5,MATCH($I196,$I$2:$I$5,0)),$BB$10:$BB$141)</f>
        <v>#REF!</v>
      </c>
      <c r="AB197" s="142" t="e">
        <f>AE196+#REF!</f>
        <v>#REF!</v>
      </c>
      <c r="AC197" s="798"/>
      <c r="AD197" s="105"/>
      <c r="AE197" s="804"/>
      <c r="AF197" s="807"/>
      <c r="AG197" s="810"/>
      <c r="AH197" s="106"/>
      <c r="AI197" s="107"/>
      <c r="AJ197" s="813"/>
      <c r="AK197" s="143"/>
      <c r="AL197" s="144"/>
      <c r="AM197" s="133">
        <f t="shared" ref="AM197:AW197" si="244">IF(ISERROR(LOOKUP(AM$6,$S197:$AB197,$S$9:$AB$9)),0,(LOOKUP(AM$6,$S197:$AB197,$S$9:$AB$9)))</f>
        <v>0</v>
      </c>
      <c r="AN197" s="134">
        <f t="shared" si="244"/>
        <v>0</v>
      </c>
      <c r="AO197" s="134">
        <f t="shared" si="244"/>
        <v>0</v>
      </c>
      <c r="AP197" s="134">
        <f t="shared" si="244"/>
        <v>0</v>
      </c>
      <c r="AQ197" s="134">
        <f t="shared" si="244"/>
        <v>0</v>
      </c>
      <c r="AR197" s="134">
        <f t="shared" si="244"/>
        <v>0</v>
      </c>
      <c r="AS197" s="134">
        <f t="shared" si="244"/>
        <v>0</v>
      </c>
      <c r="AT197" s="134">
        <f t="shared" si="244"/>
        <v>0</v>
      </c>
      <c r="AU197" s="134">
        <f t="shared" si="244"/>
        <v>0</v>
      </c>
      <c r="AV197" s="134">
        <f t="shared" si="244"/>
        <v>0</v>
      </c>
      <c r="AW197" s="134">
        <f t="shared" ca="1" si="244"/>
        <v>0</v>
      </c>
      <c r="BB197" s="135"/>
    </row>
    <row r="198" spans="1:54" s="21" customFormat="1" ht="18" customHeight="1">
      <c r="A198" s="784"/>
      <c r="B198" s="157"/>
      <c r="C198" s="793"/>
      <c r="D198" s="111" t="str">
        <f>D196</f>
        <v>ELE</v>
      </c>
      <c r="E198" s="145" t="str">
        <f>E196</f>
        <v>RFQ-054</v>
      </c>
      <c r="F198" s="146" t="str">
        <f>F196</f>
        <v>N</v>
      </c>
      <c r="G198" s="796"/>
      <c r="H198" s="113" t="str">
        <f>H196</f>
        <v>ELECTRICAL CABLE</v>
      </c>
      <c r="I198" s="145" t="str">
        <f>I196</f>
        <v>LD</v>
      </c>
      <c r="J198" s="146"/>
      <c r="K198" s="147"/>
      <c r="L198" s="147"/>
      <c r="M198" s="147">
        <v>1E-3</v>
      </c>
      <c r="N198" s="145"/>
      <c r="O198" s="145"/>
      <c r="P198" s="145"/>
      <c r="Q198" s="148" t="s">
        <v>368</v>
      </c>
      <c r="R198" s="148"/>
      <c r="S198" s="149"/>
      <c r="T198" s="149"/>
      <c r="U198" s="149"/>
      <c r="V198" s="149"/>
      <c r="W198" s="149"/>
      <c r="X198" s="149"/>
      <c r="Y198" s="149"/>
      <c r="Z198" s="149"/>
      <c r="AA198" s="149"/>
      <c r="AB198" s="149"/>
      <c r="AC198" s="799"/>
      <c r="AD198" s="116"/>
      <c r="AE198" s="805"/>
      <c r="AF198" s="808"/>
      <c r="AG198" s="811"/>
      <c r="AH198" s="117"/>
      <c r="AI198" s="118"/>
      <c r="AJ198" s="814"/>
      <c r="AK198" s="150"/>
      <c r="AL198" s="151"/>
      <c r="AM198" s="152">
        <f t="shared" ref="AM198:AW198" si="245">IF(ISERROR(LOOKUP(AM$6,$S198:$AB198,$S$9:$AB$9)),0,(LOOKUP(AM$6,$S198:$AB198,$S$9:$AB$9)))</f>
        <v>0</v>
      </c>
      <c r="AN198" s="153">
        <f t="shared" si="245"/>
        <v>0</v>
      </c>
      <c r="AO198" s="153">
        <f t="shared" si="245"/>
        <v>0</v>
      </c>
      <c r="AP198" s="153">
        <f t="shared" si="245"/>
        <v>0</v>
      </c>
      <c r="AQ198" s="153">
        <f t="shared" si="245"/>
        <v>0</v>
      </c>
      <c r="AR198" s="153">
        <f t="shared" si="245"/>
        <v>0</v>
      </c>
      <c r="AS198" s="153">
        <f t="shared" si="245"/>
        <v>0</v>
      </c>
      <c r="AT198" s="153">
        <f t="shared" si="245"/>
        <v>0</v>
      </c>
      <c r="AU198" s="153">
        <f t="shared" si="245"/>
        <v>0</v>
      </c>
      <c r="AV198" s="153">
        <f t="shared" si="245"/>
        <v>0</v>
      </c>
      <c r="AW198" s="153">
        <f t="shared" ca="1" si="245"/>
        <v>0</v>
      </c>
      <c r="BB198" s="135"/>
    </row>
    <row r="199" spans="1:54" s="21" customFormat="1" ht="18" customHeight="1">
      <c r="A199" s="782">
        <f>A196+1</f>
        <v>64</v>
      </c>
      <c r="B199" s="154" t="s">
        <v>5425</v>
      </c>
      <c r="C199" s="791" t="s">
        <v>5361</v>
      </c>
      <c r="D199" s="80" t="s">
        <v>5387</v>
      </c>
      <c r="E199" s="127" t="s">
        <v>5422</v>
      </c>
      <c r="F199" s="128" t="s">
        <v>73</v>
      </c>
      <c r="G199" s="794"/>
      <c r="H199" s="82" t="s">
        <v>5432</v>
      </c>
      <c r="I199" s="127" t="s">
        <v>9</v>
      </c>
      <c r="J199" s="128"/>
      <c r="K199" s="129">
        <f>M201</f>
        <v>1E-3</v>
      </c>
      <c r="L199" s="129"/>
      <c r="M199" s="129"/>
      <c r="N199" s="127"/>
      <c r="O199" s="127"/>
      <c r="P199" s="127"/>
      <c r="Q199" s="130" t="s">
        <v>5364</v>
      </c>
      <c r="R199" s="130"/>
      <c r="S199" s="155" t="e">
        <f>WORKDAY(T199,-INDEX(T$2:T$5,MATCH($I199,$I$2:$I$5,0)),'[38]Equipment List and MR List (3)'!$A$2:$A$80)</f>
        <v>#REF!</v>
      </c>
      <c r="T199" s="155" t="e">
        <f>WORKDAY(U199,-INDEX(U$2:U$5,MATCH($I199,$I$2:$I$5,0)),$BB$10:$BB$141)</f>
        <v>#REF!</v>
      </c>
      <c r="U199" s="155" t="e">
        <f>WORKDAY(V199,-INDEX(V$2:V$5,MATCH($I199,$I$2:$I$5,0)),$BB$10:$BB$141)</f>
        <v>#REF!</v>
      </c>
      <c r="V199" s="155" t="e">
        <f>WORKDAY(W199,-INDEX(W$2:W$5,MATCH($I199,$I$2:$I$5,0)),$BB$10:$BB$141)</f>
        <v>#REF!</v>
      </c>
      <c r="W199" s="155" t="e">
        <f>WORKDAY(#REF!,-INDEX(#REF!,MATCH($I199,$I$2:$I$5,0)),$BB$10:$BB$141)</f>
        <v>#REF!</v>
      </c>
      <c r="X199" s="155" t="e">
        <f>WORKDAY(Y199,-INDEX(Y$2:Y$5,MATCH($I199,$I$2:$I$5,0)),$BB$10:$BB$141)</f>
        <v>#REF!</v>
      </c>
      <c r="Y199" s="155" t="e">
        <f>WORKDAY(Z199,-INDEX(Z$2:Z$5,MATCH($I199,$I$2:$I$5,0)),$BB$10:$BB$141)</f>
        <v>#REF!</v>
      </c>
      <c r="Z199" s="155" t="e">
        <f>WORKDAY(AA199,-INDEX(AA$2:AA$5,MATCH($I199,$I$2:$I$5,0)),$BB$10:$BB$141)</f>
        <v>#REF!</v>
      </c>
      <c r="AA199" s="155" t="e">
        <f>WORKDAY(#REF!,-INDEX(#REF!,MATCH($I199,$I$2:$I$5,0)),$BB$10:$BB$141)</f>
        <v>#REF!</v>
      </c>
      <c r="AB199" s="155">
        <f>WORKDAY(AG199,0,'[38]Equipment List and MR List (3)'!$A$2:$A$80)</f>
        <v>0</v>
      </c>
      <c r="AC199" s="797" t="s">
        <v>5365</v>
      </c>
      <c r="AD199" s="87">
        <v>7</v>
      </c>
      <c r="AE199" s="803"/>
      <c r="AF199" s="806" t="e">
        <f>AB200</f>
        <v>#REF!</v>
      </c>
      <c r="AG199" s="809"/>
      <c r="AH199" s="88"/>
      <c r="AI199" s="89"/>
      <c r="AJ199" s="812" t="e">
        <f>AG199-AF199</f>
        <v>#REF!</v>
      </c>
      <c r="AK199" s="131"/>
      <c r="AL199" s="132"/>
      <c r="AM199" s="133">
        <f t="shared" ref="AM199:AW199" si="246">IF(ISERROR(LOOKUP(AM$6,$S199:$AB199,$S$9:$AB$9)),0,(LOOKUP(AM$6,$S199:$AB199,$S$9:$AB$9)))</f>
        <v>0.95</v>
      </c>
      <c r="AN199" s="134">
        <f t="shared" si="246"/>
        <v>0.95</v>
      </c>
      <c r="AO199" s="134">
        <f t="shared" si="246"/>
        <v>0.95</v>
      </c>
      <c r="AP199" s="134">
        <f t="shared" si="246"/>
        <v>0.95</v>
      </c>
      <c r="AQ199" s="134">
        <f t="shared" si="246"/>
        <v>0.95</v>
      </c>
      <c r="AR199" s="134">
        <f t="shared" si="246"/>
        <v>0.95</v>
      </c>
      <c r="AS199" s="134">
        <f t="shared" si="246"/>
        <v>0.95</v>
      </c>
      <c r="AT199" s="134">
        <f t="shared" si="246"/>
        <v>0.95</v>
      </c>
      <c r="AU199" s="134">
        <f t="shared" si="246"/>
        <v>0.95</v>
      </c>
      <c r="AV199" s="134">
        <f t="shared" si="246"/>
        <v>0.95</v>
      </c>
      <c r="AW199" s="134">
        <f t="shared" ca="1" si="246"/>
        <v>0.95</v>
      </c>
      <c r="BB199" s="135"/>
    </row>
    <row r="200" spans="1:54" s="21" customFormat="1" ht="18" customHeight="1">
      <c r="A200" s="783"/>
      <c r="B200" s="156"/>
      <c r="C200" s="792"/>
      <c r="D200" s="96" t="str">
        <f>D199</f>
        <v>ELE</v>
      </c>
      <c r="E200" s="136" t="str">
        <f>E199</f>
        <v>RFQ-054</v>
      </c>
      <c r="F200" s="137" t="str">
        <f>F199</f>
        <v>N</v>
      </c>
      <c r="G200" s="795"/>
      <c r="H200" s="98" t="str">
        <f>H199</f>
        <v>NAVIGATIONAL AIDS LANTERN AND FOG HORN</v>
      </c>
      <c r="I200" s="136" t="str">
        <f>I199</f>
        <v>LD</v>
      </c>
      <c r="J200" s="137"/>
      <c r="K200" s="138"/>
      <c r="L200" s="138">
        <f>M201</f>
        <v>1E-3</v>
      </c>
      <c r="M200" s="138"/>
      <c r="N200" s="136"/>
      <c r="O200" s="136"/>
      <c r="P200" s="136"/>
      <c r="Q200" s="139" t="s">
        <v>5366</v>
      </c>
      <c r="R200" s="139"/>
      <c r="S200" s="140" t="e">
        <f>S199</f>
        <v>#REF!</v>
      </c>
      <c r="T200" s="141" t="e">
        <f>T199</f>
        <v>#REF!</v>
      </c>
      <c r="U200" s="141" t="e">
        <f>WORKDAY(IF(T201="",T200,T201),INDEX(U$2:U$5,MATCH($I199,$I$2:$I$5,0)),$BB$10:$BB$141)</f>
        <v>#REF!</v>
      </c>
      <c r="V200" s="141" t="e">
        <f>WORKDAY(IF(U201="",U200,U201),INDEX(V$2:V$5,MATCH($I199,$I$2:$I$5,0)),$BB$10:$BB$141)</f>
        <v>#REF!</v>
      </c>
      <c r="W200" s="141" t="e">
        <f>WORKDAY(IF(V201="",V200,V201),INDEX(W$2:W$5,MATCH($I199,$I$2:$I$5,0)),$BB$10:$BB$141)</f>
        <v>#REF!</v>
      </c>
      <c r="X200" s="141" t="e">
        <f>WORKDAY(IF(#REF!="",#REF!,#REF!),INDEX(X$2:X$5,MATCH($I199,$I$2:$I$5,0)),$BB$10:$BB$141)</f>
        <v>#REF!</v>
      </c>
      <c r="Y200" s="141" t="e">
        <f>WORKDAY(IF(X201="",X200,X201),INDEX(Y$2:Y$5,MATCH($I199,$I$2:$I$5,0)),$BB$10:$BB$141)</f>
        <v>#REF!</v>
      </c>
      <c r="Z200" s="141" t="e">
        <f>WORKDAY(IF(Y201="",Y200,Y201),INDEX(Z$2:Z$5,MATCH($I199,$I$2:$I$5,0)),$BB$10:$BB$141)</f>
        <v>#REF!</v>
      </c>
      <c r="AA200" s="141" t="e">
        <f>WORKDAY(IF(Z201="",Z200,Z201),INDEX(AA$2:AA$5,MATCH($I199,$I$2:$I$5,0)),$BB$10:$BB$141)</f>
        <v>#REF!</v>
      </c>
      <c r="AB200" s="142" t="e">
        <f>AE199+#REF!</f>
        <v>#REF!</v>
      </c>
      <c r="AC200" s="798"/>
      <c r="AD200" s="105"/>
      <c r="AE200" s="804"/>
      <c r="AF200" s="807"/>
      <c r="AG200" s="810"/>
      <c r="AH200" s="106"/>
      <c r="AI200" s="107"/>
      <c r="AJ200" s="813"/>
      <c r="AK200" s="143"/>
      <c r="AL200" s="144"/>
      <c r="AM200" s="133">
        <f t="shared" ref="AM200:AW200" si="247">IF(ISERROR(LOOKUP(AM$6,$S200:$AB200,$S$9:$AB$9)),0,(LOOKUP(AM$6,$S200:$AB200,$S$9:$AB$9)))</f>
        <v>0</v>
      </c>
      <c r="AN200" s="134">
        <f t="shared" si="247"/>
        <v>0</v>
      </c>
      <c r="AO200" s="134">
        <f t="shared" si="247"/>
        <v>0</v>
      </c>
      <c r="AP200" s="134">
        <f t="shared" si="247"/>
        <v>0</v>
      </c>
      <c r="AQ200" s="134">
        <f t="shared" si="247"/>
        <v>0</v>
      </c>
      <c r="AR200" s="134">
        <f t="shared" si="247"/>
        <v>0</v>
      </c>
      <c r="AS200" s="134">
        <f t="shared" si="247"/>
        <v>0</v>
      </c>
      <c r="AT200" s="134">
        <f t="shared" si="247"/>
        <v>0</v>
      </c>
      <c r="AU200" s="134">
        <f t="shared" si="247"/>
        <v>0</v>
      </c>
      <c r="AV200" s="134">
        <f t="shared" si="247"/>
        <v>0</v>
      </c>
      <c r="AW200" s="134">
        <f t="shared" ca="1" si="247"/>
        <v>0</v>
      </c>
      <c r="BB200" s="135"/>
    </row>
    <row r="201" spans="1:54" s="21" customFormat="1" ht="18" customHeight="1">
      <c r="A201" s="784"/>
      <c r="B201" s="157"/>
      <c r="C201" s="793"/>
      <c r="D201" s="111" t="str">
        <f>D199</f>
        <v>ELE</v>
      </c>
      <c r="E201" s="145" t="str">
        <f>E199</f>
        <v>RFQ-054</v>
      </c>
      <c r="F201" s="146" t="str">
        <f>F199</f>
        <v>N</v>
      </c>
      <c r="G201" s="796"/>
      <c r="H201" s="113" t="str">
        <f>H199</f>
        <v>NAVIGATIONAL AIDS LANTERN AND FOG HORN</v>
      </c>
      <c r="I201" s="145" t="str">
        <f>I199</f>
        <v>LD</v>
      </c>
      <c r="J201" s="146"/>
      <c r="K201" s="147"/>
      <c r="L201" s="147"/>
      <c r="M201" s="147">
        <v>1E-3</v>
      </c>
      <c r="N201" s="145"/>
      <c r="O201" s="145"/>
      <c r="P201" s="145"/>
      <c r="Q201" s="148" t="s">
        <v>368</v>
      </c>
      <c r="R201" s="148"/>
      <c r="S201" s="149"/>
      <c r="T201" s="149"/>
      <c r="U201" s="149"/>
      <c r="V201" s="149"/>
      <c r="W201" s="149"/>
      <c r="X201" s="149"/>
      <c r="Y201" s="149"/>
      <c r="Z201" s="149"/>
      <c r="AA201" s="149"/>
      <c r="AB201" s="149"/>
      <c r="AC201" s="799"/>
      <c r="AD201" s="116"/>
      <c r="AE201" s="805"/>
      <c r="AF201" s="808"/>
      <c r="AG201" s="811"/>
      <c r="AH201" s="117"/>
      <c r="AI201" s="118"/>
      <c r="AJ201" s="814"/>
      <c r="AK201" s="150"/>
      <c r="AL201" s="151"/>
      <c r="AM201" s="152">
        <f t="shared" ref="AM201:AW201" si="248">IF(ISERROR(LOOKUP(AM$6,$S201:$AB201,$S$9:$AB$9)),0,(LOOKUP(AM$6,$S201:$AB201,$S$9:$AB$9)))</f>
        <v>0</v>
      </c>
      <c r="AN201" s="153">
        <f t="shared" si="248"/>
        <v>0</v>
      </c>
      <c r="AO201" s="153">
        <f t="shared" si="248"/>
        <v>0</v>
      </c>
      <c r="AP201" s="153">
        <f t="shared" si="248"/>
        <v>0</v>
      </c>
      <c r="AQ201" s="153">
        <f t="shared" si="248"/>
        <v>0</v>
      </c>
      <c r="AR201" s="153">
        <f t="shared" si="248"/>
        <v>0</v>
      </c>
      <c r="AS201" s="153">
        <f t="shared" si="248"/>
        <v>0</v>
      </c>
      <c r="AT201" s="153">
        <f t="shared" si="248"/>
        <v>0</v>
      </c>
      <c r="AU201" s="153">
        <f t="shared" si="248"/>
        <v>0</v>
      </c>
      <c r="AV201" s="153">
        <f t="shared" si="248"/>
        <v>0</v>
      </c>
      <c r="AW201" s="153">
        <f t="shared" ca="1" si="248"/>
        <v>0</v>
      </c>
      <c r="BB201" s="135"/>
    </row>
    <row r="202" spans="1:54" s="21" customFormat="1" ht="18" customHeight="1">
      <c r="A202" s="782">
        <f>A199+1</f>
        <v>65</v>
      </c>
      <c r="B202" s="154" t="s">
        <v>5425</v>
      </c>
      <c r="C202" s="791" t="s">
        <v>5361</v>
      </c>
      <c r="D202" s="80" t="s">
        <v>5387</v>
      </c>
      <c r="E202" s="127" t="s">
        <v>5422</v>
      </c>
      <c r="F202" s="128" t="s">
        <v>73</v>
      </c>
      <c r="G202" s="794"/>
      <c r="H202" s="82" t="s">
        <v>5433</v>
      </c>
      <c r="I202" s="127" t="s">
        <v>9</v>
      </c>
      <c r="J202" s="128"/>
      <c r="K202" s="129">
        <f>M204</f>
        <v>1E-3</v>
      </c>
      <c r="L202" s="129"/>
      <c r="M202" s="129"/>
      <c r="N202" s="127"/>
      <c r="O202" s="127"/>
      <c r="P202" s="127"/>
      <c r="Q202" s="130" t="s">
        <v>5364</v>
      </c>
      <c r="R202" s="130"/>
      <c r="S202" s="155" t="e">
        <f>WORKDAY(T202,-INDEX(T$2:T$5,MATCH($I202,$I$2:$I$5,0)),'[38]Equipment List and MR List (3)'!$A$2:$A$80)</f>
        <v>#REF!</v>
      </c>
      <c r="T202" s="155" t="e">
        <f>WORKDAY(U202,-INDEX(U$2:U$5,MATCH($I202,$I$2:$I$5,0)),$BB$10:$BB$141)</f>
        <v>#REF!</v>
      </c>
      <c r="U202" s="155" t="e">
        <f>WORKDAY(V202,-INDEX(V$2:V$5,MATCH($I202,$I$2:$I$5,0)),$BB$10:$BB$141)</f>
        <v>#REF!</v>
      </c>
      <c r="V202" s="155" t="e">
        <f>WORKDAY(W202,-INDEX(W$2:W$5,MATCH($I202,$I$2:$I$5,0)),$BB$10:$BB$141)</f>
        <v>#REF!</v>
      </c>
      <c r="W202" s="155" t="e">
        <f>WORKDAY(#REF!,-INDEX(#REF!,MATCH($I202,$I$2:$I$5,0)),$BB$10:$BB$141)</f>
        <v>#REF!</v>
      </c>
      <c r="X202" s="155" t="e">
        <f>WORKDAY(Y202,-INDEX(Y$2:Y$5,MATCH($I202,$I$2:$I$5,0)),$BB$10:$BB$141)</f>
        <v>#REF!</v>
      </c>
      <c r="Y202" s="155" t="e">
        <f>WORKDAY(Z202,-INDEX(Z$2:Z$5,MATCH($I202,$I$2:$I$5,0)),$BB$10:$BB$141)</f>
        <v>#REF!</v>
      </c>
      <c r="Z202" s="155" t="e">
        <f>WORKDAY(AA202,-INDEX(AA$2:AA$5,MATCH($I202,$I$2:$I$5,0)),$BB$10:$BB$141)</f>
        <v>#REF!</v>
      </c>
      <c r="AA202" s="155" t="e">
        <f>WORKDAY(#REF!,-INDEX(#REF!,MATCH($I202,$I$2:$I$5,0)),$BB$10:$BB$141)</f>
        <v>#REF!</v>
      </c>
      <c r="AB202" s="155">
        <f>WORKDAY(AG202,0,'[38]Equipment List and MR List (3)'!$A$2:$A$80)</f>
        <v>0</v>
      </c>
      <c r="AC202" s="797" t="s">
        <v>5365</v>
      </c>
      <c r="AD202" s="87">
        <v>7</v>
      </c>
      <c r="AE202" s="803"/>
      <c r="AF202" s="806" t="e">
        <f>AB203</f>
        <v>#REF!</v>
      </c>
      <c r="AG202" s="809"/>
      <c r="AH202" s="88"/>
      <c r="AI202" s="89"/>
      <c r="AJ202" s="812" t="e">
        <f>AG202-AF202</f>
        <v>#REF!</v>
      </c>
      <c r="AK202" s="131"/>
      <c r="AL202" s="132"/>
      <c r="AM202" s="133">
        <f t="shared" ref="AM202:AW202" si="249">IF(ISERROR(LOOKUP(AM$6,$S202:$AB202,$S$9:$AB$9)),0,(LOOKUP(AM$6,$S202:$AB202,$S$9:$AB$9)))</f>
        <v>0.95</v>
      </c>
      <c r="AN202" s="134">
        <f t="shared" si="249"/>
        <v>0.95</v>
      </c>
      <c r="AO202" s="134">
        <f t="shared" si="249"/>
        <v>0.95</v>
      </c>
      <c r="AP202" s="134">
        <f t="shared" si="249"/>
        <v>0.95</v>
      </c>
      <c r="AQ202" s="134">
        <f t="shared" si="249"/>
        <v>0.95</v>
      </c>
      <c r="AR202" s="134">
        <f t="shared" si="249"/>
        <v>0.95</v>
      </c>
      <c r="AS202" s="134">
        <f t="shared" si="249"/>
        <v>0.95</v>
      </c>
      <c r="AT202" s="134">
        <f t="shared" si="249"/>
        <v>0.95</v>
      </c>
      <c r="AU202" s="134">
        <f t="shared" si="249"/>
        <v>0.95</v>
      </c>
      <c r="AV202" s="134">
        <f t="shared" si="249"/>
        <v>0.95</v>
      </c>
      <c r="AW202" s="134">
        <f t="shared" ca="1" si="249"/>
        <v>0.95</v>
      </c>
      <c r="BB202" s="135"/>
    </row>
    <row r="203" spans="1:54" s="21" customFormat="1" ht="18" customHeight="1">
      <c r="A203" s="783"/>
      <c r="B203" s="156"/>
      <c r="C203" s="792"/>
      <c r="D203" s="96" t="str">
        <f>D202</f>
        <v>ELE</v>
      </c>
      <c r="E203" s="136" t="str">
        <f>E202</f>
        <v>RFQ-054</v>
      </c>
      <c r="F203" s="137" t="str">
        <f>F202</f>
        <v>N</v>
      </c>
      <c r="G203" s="795"/>
      <c r="H203" s="98" t="str">
        <f>H202</f>
        <v>FLASHING BEACON AND WARNING SIREN</v>
      </c>
      <c r="I203" s="136" t="str">
        <f>I202</f>
        <v>LD</v>
      </c>
      <c r="J203" s="137"/>
      <c r="K203" s="138"/>
      <c r="L203" s="138">
        <f>M204</f>
        <v>1E-3</v>
      </c>
      <c r="M203" s="138"/>
      <c r="N203" s="136"/>
      <c r="O203" s="136"/>
      <c r="P203" s="136"/>
      <c r="Q203" s="139" t="s">
        <v>5366</v>
      </c>
      <c r="R203" s="139"/>
      <c r="S203" s="140" t="e">
        <f>S202</f>
        <v>#REF!</v>
      </c>
      <c r="T203" s="141" t="e">
        <f>T202</f>
        <v>#REF!</v>
      </c>
      <c r="U203" s="141" t="e">
        <f>WORKDAY(IF(T204="",T203,T204),INDEX(U$2:U$5,MATCH($I202,$I$2:$I$5,0)),$BB$10:$BB$141)</f>
        <v>#REF!</v>
      </c>
      <c r="V203" s="141" t="e">
        <f>WORKDAY(IF(U204="",U203,U204),INDEX(V$2:V$5,MATCH($I202,$I$2:$I$5,0)),$BB$10:$BB$141)</f>
        <v>#REF!</v>
      </c>
      <c r="W203" s="141" t="e">
        <f>WORKDAY(IF(V204="",V203,V204),INDEX(W$2:W$5,MATCH($I202,$I$2:$I$5,0)),$BB$10:$BB$141)</f>
        <v>#REF!</v>
      </c>
      <c r="X203" s="141" t="e">
        <f>WORKDAY(IF(#REF!="",#REF!,#REF!),INDEX(X$2:X$5,MATCH($I202,$I$2:$I$5,0)),$BB$10:$BB$141)</f>
        <v>#REF!</v>
      </c>
      <c r="Y203" s="141" t="e">
        <f>WORKDAY(IF(X204="",X203,X204),INDEX(Y$2:Y$5,MATCH($I202,$I$2:$I$5,0)),$BB$10:$BB$141)</f>
        <v>#REF!</v>
      </c>
      <c r="Z203" s="141" t="e">
        <f>WORKDAY(IF(Y204="",Y203,Y204),INDEX(Z$2:Z$5,MATCH($I202,$I$2:$I$5,0)),$BB$10:$BB$141)</f>
        <v>#REF!</v>
      </c>
      <c r="AA203" s="141" t="e">
        <f>WORKDAY(IF(Z204="",Z203,Z204),INDEX(AA$2:AA$5,MATCH($I202,$I$2:$I$5,0)),$BB$10:$BB$141)</f>
        <v>#REF!</v>
      </c>
      <c r="AB203" s="142" t="e">
        <f>AE202+#REF!</f>
        <v>#REF!</v>
      </c>
      <c r="AC203" s="798"/>
      <c r="AD203" s="105"/>
      <c r="AE203" s="804"/>
      <c r="AF203" s="807"/>
      <c r="AG203" s="810"/>
      <c r="AH203" s="106"/>
      <c r="AI203" s="107"/>
      <c r="AJ203" s="813"/>
      <c r="AK203" s="143"/>
      <c r="AL203" s="144"/>
      <c r="AM203" s="133">
        <f t="shared" ref="AM203:AW203" si="250">IF(ISERROR(LOOKUP(AM$6,$S203:$AB203,$S$9:$AB$9)),0,(LOOKUP(AM$6,$S203:$AB203,$S$9:$AB$9)))</f>
        <v>0</v>
      </c>
      <c r="AN203" s="134">
        <f t="shared" si="250"/>
        <v>0</v>
      </c>
      <c r="AO203" s="134">
        <f t="shared" si="250"/>
        <v>0</v>
      </c>
      <c r="AP203" s="134">
        <f t="shared" si="250"/>
        <v>0</v>
      </c>
      <c r="AQ203" s="134">
        <f t="shared" si="250"/>
        <v>0</v>
      </c>
      <c r="AR203" s="134">
        <f t="shared" si="250"/>
        <v>0</v>
      </c>
      <c r="AS203" s="134">
        <f t="shared" si="250"/>
        <v>0</v>
      </c>
      <c r="AT203" s="134">
        <f t="shared" si="250"/>
        <v>0</v>
      </c>
      <c r="AU203" s="134">
        <f t="shared" si="250"/>
        <v>0</v>
      </c>
      <c r="AV203" s="134">
        <f t="shared" si="250"/>
        <v>0</v>
      </c>
      <c r="AW203" s="134">
        <f t="shared" ca="1" si="250"/>
        <v>0</v>
      </c>
      <c r="BB203" s="135"/>
    </row>
    <row r="204" spans="1:54" s="21" customFormat="1" ht="18" customHeight="1">
      <c r="A204" s="784"/>
      <c r="B204" s="157"/>
      <c r="C204" s="793"/>
      <c r="D204" s="111" t="str">
        <f>D202</f>
        <v>ELE</v>
      </c>
      <c r="E204" s="145" t="str">
        <f>E202</f>
        <v>RFQ-054</v>
      </c>
      <c r="F204" s="146" t="str">
        <f>F202</f>
        <v>N</v>
      </c>
      <c r="G204" s="796"/>
      <c r="H204" s="113" t="str">
        <f>H202</f>
        <v>FLASHING BEACON AND WARNING SIREN</v>
      </c>
      <c r="I204" s="145" t="str">
        <f>I202</f>
        <v>LD</v>
      </c>
      <c r="J204" s="146"/>
      <c r="K204" s="147"/>
      <c r="L204" s="147"/>
      <c r="M204" s="147">
        <v>1E-3</v>
      </c>
      <c r="N204" s="145"/>
      <c r="O204" s="145"/>
      <c r="P204" s="145"/>
      <c r="Q204" s="148" t="s">
        <v>368</v>
      </c>
      <c r="R204" s="148"/>
      <c r="S204" s="149"/>
      <c r="T204" s="149"/>
      <c r="U204" s="149"/>
      <c r="V204" s="149"/>
      <c r="W204" s="149"/>
      <c r="X204" s="149"/>
      <c r="Y204" s="149"/>
      <c r="Z204" s="149"/>
      <c r="AA204" s="149"/>
      <c r="AB204" s="149"/>
      <c r="AC204" s="799"/>
      <c r="AD204" s="116"/>
      <c r="AE204" s="805"/>
      <c r="AF204" s="808"/>
      <c r="AG204" s="811"/>
      <c r="AH204" s="117"/>
      <c r="AI204" s="118"/>
      <c r="AJ204" s="814"/>
      <c r="AK204" s="150"/>
      <c r="AL204" s="151"/>
      <c r="AM204" s="152">
        <f t="shared" ref="AM204:AW204" si="251">IF(ISERROR(LOOKUP(AM$6,$S204:$AB204,$S$9:$AB$9)),0,(LOOKUP(AM$6,$S204:$AB204,$S$9:$AB$9)))</f>
        <v>0</v>
      </c>
      <c r="AN204" s="153">
        <f t="shared" si="251"/>
        <v>0</v>
      </c>
      <c r="AO204" s="153">
        <f t="shared" si="251"/>
        <v>0</v>
      </c>
      <c r="AP204" s="153">
        <f t="shared" si="251"/>
        <v>0</v>
      </c>
      <c r="AQ204" s="153">
        <f t="shared" si="251"/>
        <v>0</v>
      </c>
      <c r="AR204" s="153">
        <f t="shared" si="251"/>
        <v>0</v>
      </c>
      <c r="AS204" s="153">
        <f t="shared" si="251"/>
        <v>0</v>
      </c>
      <c r="AT204" s="153">
        <f t="shared" si="251"/>
        <v>0</v>
      </c>
      <c r="AU204" s="153">
        <f t="shared" si="251"/>
        <v>0</v>
      </c>
      <c r="AV204" s="153">
        <f t="shared" si="251"/>
        <v>0</v>
      </c>
      <c r="AW204" s="153">
        <f t="shared" ca="1" si="251"/>
        <v>0</v>
      </c>
      <c r="BB204" s="135"/>
    </row>
    <row r="205" spans="1:54" s="21" customFormat="1" ht="18" customHeight="1">
      <c r="A205" s="782">
        <f>A202+1</f>
        <v>66</v>
      </c>
      <c r="B205" s="154" t="s">
        <v>5425</v>
      </c>
      <c r="C205" s="791" t="s">
        <v>5361</v>
      </c>
      <c r="D205" s="80" t="s">
        <v>5387</v>
      </c>
      <c r="E205" s="127" t="s">
        <v>5422</v>
      </c>
      <c r="F205" s="128" t="s">
        <v>73</v>
      </c>
      <c r="G205" s="794"/>
      <c r="H205" s="82" t="s">
        <v>5434</v>
      </c>
      <c r="I205" s="127" t="s">
        <v>9</v>
      </c>
      <c r="J205" s="128"/>
      <c r="K205" s="129">
        <f>M207</f>
        <v>1E-3</v>
      </c>
      <c r="L205" s="129"/>
      <c r="M205" s="129"/>
      <c r="N205" s="127"/>
      <c r="O205" s="127"/>
      <c r="P205" s="127"/>
      <c r="Q205" s="130" t="s">
        <v>5364</v>
      </c>
      <c r="R205" s="130"/>
      <c r="S205" s="155" t="e">
        <f>WORKDAY(T205,-INDEX(T$2:T$5,MATCH($I205,$I$2:$I$5,0)),'[38]Equipment List and MR List (3)'!$A$2:$A$80)</f>
        <v>#REF!</v>
      </c>
      <c r="T205" s="155" t="e">
        <f>WORKDAY(U205,-INDEX(U$2:U$5,MATCH($I205,$I$2:$I$5,0)),$BB$10:$BB$141)</f>
        <v>#REF!</v>
      </c>
      <c r="U205" s="155" t="e">
        <f>WORKDAY(V205,-INDEX(V$2:V$5,MATCH($I205,$I$2:$I$5,0)),$BB$10:$BB$141)</f>
        <v>#REF!</v>
      </c>
      <c r="V205" s="155" t="e">
        <f>WORKDAY(W205,-INDEX(W$2:W$5,MATCH($I205,$I$2:$I$5,0)),$BB$10:$BB$141)</f>
        <v>#REF!</v>
      </c>
      <c r="W205" s="155" t="e">
        <f>WORKDAY(#REF!,-INDEX(#REF!,MATCH($I205,$I$2:$I$5,0)),$BB$10:$BB$141)</f>
        <v>#REF!</v>
      </c>
      <c r="X205" s="155" t="e">
        <f>WORKDAY(Y205,-INDEX(Y$2:Y$5,MATCH($I205,$I$2:$I$5,0)),$BB$10:$BB$141)</f>
        <v>#REF!</v>
      </c>
      <c r="Y205" s="155" t="e">
        <f>WORKDAY(Z205,-INDEX(Z$2:Z$5,MATCH($I205,$I$2:$I$5,0)),$BB$10:$BB$141)</f>
        <v>#REF!</v>
      </c>
      <c r="Z205" s="155" t="e">
        <f>WORKDAY(AA205,-INDEX(AA$2:AA$5,MATCH($I205,$I$2:$I$5,0)),$BB$10:$BB$141)</f>
        <v>#REF!</v>
      </c>
      <c r="AA205" s="155" t="e">
        <f>WORKDAY(#REF!,-INDEX(#REF!,MATCH($I205,$I$2:$I$5,0)),$BB$10:$BB$141)</f>
        <v>#REF!</v>
      </c>
      <c r="AB205" s="155">
        <f>WORKDAY(AG205,0,'[38]Equipment List and MR List (3)'!$A$2:$A$80)</f>
        <v>0</v>
      </c>
      <c r="AC205" s="797" t="s">
        <v>5365</v>
      </c>
      <c r="AD205" s="87">
        <v>7</v>
      </c>
      <c r="AE205" s="803"/>
      <c r="AF205" s="806" t="e">
        <f>AB206</f>
        <v>#REF!</v>
      </c>
      <c r="AG205" s="809"/>
      <c r="AH205" s="88"/>
      <c r="AI205" s="89"/>
      <c r="AJ205" s="812" t="e">
        <f>AG205-AF205</f>
        <v>#REF!</v>
      </c>
      <c r="AK205" s="131"/>
      <c r="AL205" s="132"/>
      <c r="AM205" s="133">
        <f t="shared" ref="AM205:AW205" si="252">IF(ISERROR(LOOKUP(AM$6,$S205:$AB205,$S$9:$AB$9)),0,(LOOKUP(AM$6,$S205:$AB205,$S$9:$AB$9)))</f>
        <v>0.95</v>
      </c>
      <c r="AN205" s="134">
        <f t="shared" si="252"/>
        <v>0.95</v>
      </c>
      <c r="AO205" s="134">
        <f t="shared" si="252"/>
        <v>0.95</v>
      </c>
      <c r="AP205" s="134">
        <f t="shared" si="252"/>
        <v>0.95</v>
      </c>
      <c r="AQ205" s="134">
        <f t="shared" si="252"/>
        <v>0.95</v>
      </c>
      <c r="AR205" s="134">
        <f t="shared" si="252"/>
        <v>0.95</v>
      </c>
      <c r="AS205" s="134">
        <f t="shared" si="252"/>
        <v>0.95</v>
      </c>
      <c r="AT205" s="134">
        <f t="shared" si="252"/>
        <v>0.95</v>
      </c>
      <c r="AU205" s="134">
        <f t="shared" si="252"/>
        <v>0.95</v>
      </c>
      <c r="AV205" s="134">
        <f t="shared" si="252"/>
        <v>0.95</v>
      </c>
      <c r="AW205" s="134">
        <f t="shared" ca="1" si="252"/>
        <v>0.95</v>
      </c>
      <c r="BB205" s="135"/>
    </row>
    <row r="206" spans="1:54" s="21" customFormat="1" ht="18" customHeight="1">
      <c r="A206" s="783"/>
      <c r="B206" s="156"/>
      <c r="C206" s="792"/>
      <c r="D206" s="96" t="str">
        <f>D205</f>
        <v>ELE</v>
      </c>
      <c r="E206" s="136" t="str">
        <f>E205</f>
        <v>RFQ-054</v>
      </c>
      <c r="F206" s="137" t="str">
        <f>F205</f>
        <v>N</v>
      </c>
      <c r="G206" s="795"/>
      <c r="H206" s="98" t="str">
        <f>H205</f>
        <v>PRESERVATION AND SEA-FASTENING MATERIAL</v>
      </c>
      <c r="I206" s="136" t="str">
        <f>I205</f>
        <v>LD</v>
      </c>
      <c r="J206" s="137"/>
      <c r="K206" s="138"/>
      <c r="L206" s="138">
        <f>M207</f>
        <v>1E-3</v>
      </c>
      <c r="M206" s="138"/>
      <c r="N206" s="136"/>
      <c r="O206" s="136"/>
      <c r="P206" s="136"/>
      <c r="Q206" s="139" t="s">
        <v>5366</v>
      </c>
      <c r="R206" s="139"/>
      <c r="S206" s="140" t="e">
        <f>S205</f>
        <v>#REF!</v>
      </c>
      <c r="T206" s="141" t="e">
        <f>T205</f>
        <v>#REF!</v>
      </c>
      <c r="U206" s="141" t="e">
        <f>WORKDAY(IF(T207="",T206,T207),INDEX(U$2:U$5,MATCH($I205,$I$2:$I$5,0)),$BB$10:$BB$141)</f>
        <v>#REF!</v>
      </c>
      <c r="V206" s="141" t="e">
        <f>WORKDAY(IF(U207="",U206,U207),INDEX(V$2:V$5,MATCH($I205,$I$2:$I$5,0)),$BB$10:$BB$141)</f>
        <v>#REF!</v>
      </c>
      <c r="W206" s="141" t="e">
        <f>WORKDAY(IF(V207="",V206,V207),INDEX(W$2:W$5,MATCH($I205,$I$2:$I$5,0)),$BB$10:$BB$141)</f>
        <v>#REF!</v>
      </c>
      <c r="X206" s="141" t="e">
        <f>WORKDAY(IF(#REF!="",#REF!,#REF!),INDEX(X$2:X$5,MATCH($I205,$I$2:$I$5,0)),$BB$10:$BB$141)</f>
        <v>#REF!</v>
      </c>
      <c r="Y206" s="141" t="e">
        <f>WORKDAY(IF(X207="",X206,X207),INDEX(Y$2:Y$5,MATCH($I205,$I$2:$I$5,0)),$BB$10:$BB$141)</f>
        <v>#REF!</v>
      </c>
      <c r="Z206" s="141" t="e">
        <f>WORKDAY(IF(Y207="",Y206,Y207),INDEX(Z$2:Z$5,MATCH($I205,$I$2:$I$5,0)),$BB$10:$BB$141)</f>
        <v>#REF!</v>
      </c>
      <c r="AA206" s="141" t="e">
        <f>WORKDAY(IF(Z207="",Z206,Z207),INDEX(AA$2:AA$5,MATCH($I205,$I$2:$I$5,0)),$BB$10:$BB$141)</f>
        <v>#REF!</v>
      </c>
      <c r="AB206" s="142" t="e">
        <f>AE205+#REF!</f>
        <v>#REF!</v>
      </c>
      <c r="AC206" s="798"/>
      <c r="AD206" s="105"/>
      <c r="AE206" s="804"/>
      <c r="AF206" s="807"/>
      <c r="AG206" s="810"/>
      <c r="AH206" s="106"/>
      <c r="AI206" s="107"/>
      <c r="AJ206" s="813"/>
      <c r="AK206" s="143"/>
      <c r="AL206" s="144"/>
      <c r="AM206" s="133">
        <f t="shared" ref="AM206:AW206" si="253">IF(ISERROR(LOOKUP(AM$6,$S206:$AB206,$S$9:$AB$9)),0,(LOOKUP(AM$6,$S206:$AB206,$S$9:$AB$9)))</f>
        <v>0</v>
      </c>
      <c r="AN206" s="134">
        <f t="shared" si="253"/>
        <v>0</v>
      </c>
      <c r="AO206" s="134">
        <f t="shared" si="253"/>
        <v>0</v>
      </c>
      <c r="AP206" s="134">
        <f t="shared" si="253"/>
        <v>0</v>
      </c>
      <c r="AQ206" s="134">
        <f t="shared" si="253"/>
        <v>0</v>
      </c>
      <c r="AR206" s="134">
        <f t="shared" si="253"/>
        <v>0</v>
      </c>
      <c r="AS206" s="134">
        <f t="shared" si="253"/>
        <v>0</v>
      </c>
      <c r="AT206" s="134">
        <f t="shared" si="253"/>
        <v>0</v>
      </c>
      <c r="AU206" s="134">
        <f t="shared" si="253"/>
        <v>0</v>
      </c>
      <c r="AV206" s="134">
        <f t="shared" si="253"/>
        <v>0</v>
      </c>
      <c r="AW206" s="134">
        <f t="shared" ca="1" si="253"/>
        <v>0</v>
      </c>
      <c r="BB206" s="135"/>
    </row>
    <row r="207" spans="1:54" s="21" customFormat="1" ht="18" customHeight="1">
      <c r="A207" s="784"/>
      <c r="B207" s="157"/>
      <c r="C207" s="793"/>
      <c r="D207" s="111" t="str">
        <f>D205</f>
        <v>ELE</v>
      </c>
      <c r="E207" s="145" t="str">
        <f>E205</f>
        <v>RFQ-054</v>
      </c>
      <c r="F207" s="146" t="str">
        <f>F205</f>
        <v>N</v>
      </c>
      <c r="G207" s="796"/>
      <c r="H207" s="113" t="str">
        <f>H205</f>
        <v>PRESERVATION AND SEA-FASTENING MATERIAL</v>
      </c>
      <c r="I207" s="145" t="str">
        <f>I205</f>
        <v>LD</v>
      </c>
      <c r="J207" s="146"/>
      <c r="K207" s="147"/>
      <c r="L207" s="147"/>
      <c r="M207" s="147">
        <v>1E-3</v>
      </c>
      <c r="N207" s="145"/>
      <c r="O207" s="145"/>
      <c r="P207" s="145"/>
      <c r="Q207" s="148" t="s">
        <v>368</v>
      </c>
      <c r="R207" s="148"/>
      <c r="S207" s="149"/>
      <c r="T207" s="149"/>
      <c r="U207" s="149"/>
      <c r="V207" s="149"/>
      <c r="W207" s="149"/>
      <c r="X207" s="149"/>
      <c r="Y207" s="149"/>
      <c r="Z207" s="149"/>
      <c r="AA207" s="149"/>
      <c r="AB207" s="149"/>
      <c r="AC207" s="799"/>
      <c r="AD207" s="116"/>
      <c r="AE207" s="805"/>
      <c r="AF207" s="808"/>
      <c r="AG207" s="811"/>
      <c r="AH207" s="117"/>
      <c r="AI207" s="118"/>
      <c r="AJ207" s="814"/>
      <c r="AK207" s="150"/>
      <c r="AL207" s="151"/>
      <c r="AM207" s="152">
        <f t="shared" ref="AM207:AW207" si="254">IF(ISERROR(LOOKUP(AM$6,$S207:$AB207,$S$9:$AB$9)),0,(LOOKUP(AM$6,$S207:$AB207,$S$9:$AB$9)))</f>
        <v>0</v>
      </c>
      <c r="AN207" s="153">
        <f t="shared" si="254"/>
        <v>0</v>
      </c>
      <c r="AO207" s="153">
        <f t="shared" si="254"/>
        <v>0</v>
      </c>
      <c r="AP207" s="153">
        <f t="shared" si="254"/>
        <v>0</v>
      </c>
      <c r="AQ207" s="153">
        <f t="shared" si="254"/>
        <v>0</v>
      </c>
      <c r="AR207" s="153">
        <f t="shared" si="254"/>
        <v>0</v>
      </c>
      <c r="AS207" s="153">
        <f t="shared" si="254"/>
        <v>0</v>
      </c>
      <c r="AT207" s="153">
        <f t="shared" si="254"/>
        <v>0</v>
      </c>
      <c r="AU207" s="153">
        <f t="shared" si="254"/>
        <v>0</v>
      </c>
      <c r="AV207" s="153">
        <f t="shared" si="254"/>
        <v>0</v>
      </c>
      <c r="AW207" s="153">
        <f t="shared" ca="1" si="254"/>
        <v>0</v>
      </c>
      <c r="BB207" s="135"/>
    </row>
    <row r="208" spans="1:54" s="21" customFormat="1" ht="18" customHeight="1">
      <c r="A208" s="782">
        <f>A205+1</f>
        <v>67</v>
      </c>
      <c r="B208" s="154" t="s">
        <v>5425</v>
      </c>
      <c r="C208" s="791" t="s">
        <v>5361</v>
      </c>
      <c r="D208" s="80" t="s">
        <v>5372</v>
      </c>
      <c r="E208" s="127" t="s">
        <v>5422</v>
      </c>
      <c r="F208" s="128" t="s">
        <v>73</v>
      </c>
      <c r="G208" s="158"/>
      <c r="H208" s="98" t="s">
        <v>5435</v>
      </c>
      <c r="I208" s="127" t="s">
        <v>9</v>
      </c>
      <c r="J208" s="128"/>
      <c r="K208" s="129">
        <f>M210</f>
        <v>1E-3</v>
      </c>
      <c r="L208" s="129"/>
      <c r="M208" s="129"/>
      <c r="N208" s="127"/>
      <c r="O208" s="127"/>
      <c r="P208" s="127"/>
      <c r="Q208" s="130" t="s">
        <v>5364</v>
      </c>
      <c r="R208" s="130"/>
      <c r="S208" s="155" t="e">
        <f>WORKDAY(T208,-INDEX(T$2:T$5,MATCH($I208,$I$2:$I$5,0)),'[38]Equipment List and MR List (3)'!$A$2:$A$80)</f>
        <v>#REF!</v>
      </c>
      <c r="T208" s="155" t="e">
        <f>WORKDAY(U208,-INDEX(U$2:U$5,MATCH($I208,$I$2:$I$5,0)),$BB$10:$BB$141)</f>
        <v>#REF!</v>
      </c>
      <c r="U208" s="155" t="e">
        <f>WORKDAY(V208,-INDEX(V$2:V$5,MATCH($I208,$I$2:$I$5,0)),$BB$10:$BB$141)</f>
        <v>#REF!</v>
      </c>
      <c r="V208" s="155" t="e">
        <f>WORKDAY(W208,-INDEX(W$2:W$5,MATCH($I208,$I$2:$I$5,0)),$BB$10:$BB$141)</f>
        <v>#REF!</v>
      </c>
      <c r="W208" s="155" t="e">
        <f>WORKDAY(#REF!,-INDEX(#REF!,MATCH($I208,$I$2:$I$5,0)),$BB$10:$BB$141)</f>
        <v>#REF!</v>
      </c>
      <c r="X208" s="155" t="e">
        <f>WORKDAY(Y208,-INDEX(Y$2:Y$5,MATCH($I208,$I$2:$I$5,0)),$BB$10:$BB$141)</f>
        <v>#REF!</v>
      </c>
      <c r="Y208" s="155" t="e">
        <f>WORKDAY(Z208,-INDEX(Z$2:Z$5,MATCH($I208,$I$2:$I$5,0)),$BB$10:$BB$141)</f>
        <v>#REF!</v>
      </c>
      <c r="Z208" s="155" t="e">
        <f>WORKDAY(AA208,-INDEX(AA$2:AA$5,MATCH($I208,$I$2:$I$5,0)),$BB$10:$BB$141)</f>
        <v>#REF!</v>
      </c>
      <c r="AA208" s="155" t="e">
        <f>WORKDAY(#REF!,-INDEX(#REF!,MATCH($I208,$I$2:$I$5,0)),$BB$10:$BB$141)</f>
        <v>#REF!</v>
      </c>
      <c r="AB208" s="155">
        <f>WORKDAY(AG208,0,'[38]Equipment List and MR List (3)'!$A$2:$A$80)</f>
        <v>0</v>
      </c>
      <c r="AC208" s="797" t="s">
        <v>5365</v>
      </c>
      <c r="AD208" s="87">
        <v>7</v>
      </c>
      <c r="AE208" s="803">
        <v>69</v>
      </c>
      <c r="AF208" s="806" t="e">
        <f>AB209</f>
        <v>#REF!</v>
      </c>
      <c r="AG208" s="809"/>
      <c r="AH208" s="88"/>
      <c r="AI208" s="89"/>
      <c r="AJ208" s="812" t="e">
        <f>AG208-AF208</f>
        <v>#REF!</v>
      </c>
      <c r="AK208" s="131"/>
      <c r="AL208" s="132"/>
      <c r="AM208" s="133">
        <f t="shared" ref="AM208:AW208" si="255">IF(ISERROR(LOOKUP(AM$6,$S208:$AB208,$S$9:$AB$9)),0,(LOOKUP(AM$6,$S208:$AB208,$S$9:$AB$9)))</f>
        <v>0.95</v>
      </c>
      <c r="AN208" s="134">
        <f t="shared" si="255"/>
        <v>0.95</v>
      </c>
      <c r="AO208" s="134">
        <f t="shared" si="255"/>
        <v>0.95</v>
      </c>
      <c r="AP208" s="134">
        <f t="shared" si="255"/>
        <v>0.95</v>
      </c>
      <c r="AQ208" s="134">
        <f t="shared" si="255"/>
        <v>0.95</v>
      </c>
      <c r="AR208" s="134">
        <f t="shared" si="255"/>
        <v>0.95</v>
      </c>
      <c r="AS208" s="134">
        <f t="shared" si="255"/>
        <v>0.95</v>
      </c>
      <c r="AT208" s="134">
        <f t="shared" si="255"/>
        <v>0.95</v>
      </c>
      <c r="AU208" s="134">
        <f t="shared" si="255"/>
        <v>0.95</v>
      </c>
      <c r="AV208" s="134">
        <f t="shared" si="255"/>
        <v>0.95</v>
      </c>
      <c r="AW208" s="134">
        <f t="shared" ca="1" si="255"/>
        <v>0.95</v>
      </c>
      <c r="BB208" s="135"/>
    </row>
    <row r="209" spans="1:54" s="21" customFormat="1" ht="18" customHeight="1">
      <c r="A209" s="783"/>
      <c r="B209" s="156"/>
      <c r="C209" s="792"/>
      <c r="D209" s="96" t="str">
        <f>D208</f>
        <v>PIP</v>
      </c>
      <c r="E209" s="136" t="str">
        <f>E208</f>
        <v>RFQ-054</v>
      </c>
      <c r="F209" s="137" t="str">
        <f>F208</f>
        <v>N</v>
      </c>
      <c r="G209" s="159"/>
      <c r="H209" s="98" t="str">
        <f>H208</f>
        <v>PIPING SURPPORT</v>
      </c>
      <c r="I209" s="136" t="str">
        <f>I208</f>
        <v>LD</v>
      </c>
      <c r="J209" s="137"/>
      <c r="K209" s="138"/>
      <c r="L209" s="138">
        <f>M210</f>
        <v>1E-3</v>
      </c>
      <c r="M209" s="138"/>
      <c r="N209" s="136"/>
      <c r="O209" s="136"/>
      <c r="P209" s="136"/>
      <c r="Q209" s="139" t="s">
        <v>5366</v>
      </c>
      <c r="R209" s="139"/>
      <c r="S209" s="140" t="e">
        <f>S208</f>
        <v>#REF!</v>
      </c>
      <c r="T209" s="141" t="e">
        <f>T208</f>
        <v>#REF!</v>
      </c>
      <c r="U209" s="141" t="e">
        <f>WORKDAY(IF(T210="",T209,T210),INDEX(U$2:U$5,MATCH($I208,$I$2:$I$5,0)),$BB$10:$BB$141)</f>
        <v>#REF!</v>
      </c>
      <c r="V209" s="141" t="e">
        <f>WORKDAY(IF(U210="",U209,U210),INDEX(V$2:V$5,MATCH($I208,$I$2:$I$5,0)),$BB$10:$BB$141)</f>
        <v>#REF!</v>
      </c>
      <c r="W209" s="141" t="e">
        <f>WORKDAY(IF(V210="",V209,V210),INDEX(W$2:W$5,MATCH($I208,$I$2:$I$5,0)),$BB$10:$BB$141)</f>
        <v>#REF!</v>
      </c>
      <c r="X209" s="141" t="e">
        <f>WORKDAY(IF(#REF!="",#REF!,#REF!),INDEX(X$2:X$5,MATCH($I208,$I$2:$I$5,0)),$BB$10:$BB$141)</f>
        <v>#REF!</v>
      </c>
      <c r="Y209" s="141" t="e">
        <f>WORKDAY(IF(X210="",X209,X210),INDEX(Y$2:Y$5,MATCH($I208,$I$2:$I$5,0)),$BB$10:$BB$141)</f>
        <v>#REF!</v>
      </c>
      <c r="Z209" s="141" t="e">
        <f>WORKDAY(IF(Y210="",Y209,Y210),INDEX(Z$2:Z$5,MATCH($I208,$I$2:$I$5,0)),$BB$10:$BB$141)</f>
        <v>#REF!</v>
      </c>
      <c r="AA209" s="141" t="e">
        <f>WORKDAY(IF(Z210="",Z209,Z210),INDEX(AA$2:AA$5,MATCH($I208,$I$2:$I$5,0)),$BB$10:$BB$141)</f>
        <v>#REF!</v>
      </c>
      <c r="AB209" s="142" t="e">
        <f>AE208+#REF!</f>
        <v>#REF!</v>
      </c>
      <c r="AC209" s="798"/>
      <c r="AD209" s="105"/>
      <c r="AE209" s="804"/>
      <c r="AF209" s="807"/>
      <c r="AG209" s="810"/>
      <c r="AH209" s="106"/>
      <c r="AI209" s="107"/>
      <c r="AJ209" s="813"/>
      <c r="AK209" s="143"/>
      <c r="AL209" s="144"/>
      <c r="AM209" s="133">
        <f t="shared" ref="AM209:AW209" si="256">IF(ISERROR(LOOKUP(AM$6,$S209:$AB209,$S$9:$AB$9)),0,(LOOKUP(AM$6,$S209:$AB209,$S$9:$AB$9)))</f>
        <v>0</v>
      </c>
      <c r="AN209" s="134">
        <f t="shared" si="256"/>
        <v>0</v>
      </c>
      <c r="AO209" s="134">
        <f t="shared" si="256"/>
        <v>0</v>
      </c>
      <c r="AP209" s="134">
        <f t="shared" si="256"/>
        <v>0</v>
      </c>
      <c r="AQ209" s="134">
        <f t="shared" si="256"/>
        <v>0</v>
      </c>
      <c r="AR209" s="134">
        <f t="shared" si="256"/>
        <v>0</v>
      </c>
      <c r="AS209" s="134">
        <f t="shared" si="256"/>
        <v>0</v>
      </c>
      <c r="AT209" s="134">
        <f t="shared" si="256"/>
        <v>0</v>
      </c>
      <c r="AU209" s="134">
        <f t="shared" si="256"/>
        <v>0</v>
      </c>
      <c r="AV209" s="134">
        <f t="shared" si="256"/>
        <v>0</v>
      </c>
      <c r="AW209" s="134">
        <f t="shared" ca="1" si="256"/>
        <v>0</v>
      </c>
      <c r="BB209" s="135"/>
    </row>
    <row r="210" spans="1:54" s="21" customFormat="1" ht="18" customHeight="1">
      <c r="A210" s="784"/>
      <c r="B210" s="157"/>
      <c r="C210" s="793"/>
      <c r="D210" s="111" t="str">
        <f>D208</f>
        <v>PIP</v>
      </c>
      <c r="E210" s="145" t="str">
        <f>E208</f>
        <v>RFQ-054</v>
      </c>
      <c r="F210" s="146" t="str">
        <f>F208</f>
        <v>N</v>
      </c>
      <c r="G210" s="160"/>
      <c r="H210" s="98" t="str">
        <f>H208</f>
        <v>PIPING SURPPORT</v>
      </c>
      <c r="I210" s="145" t="str">
        <f>I208</f>
        <v>LD</v>
      </c>
      <c r="J210" s="146"/>
      <c r="K210" s="147"/>
      <c r="L210" s="147"/>
      <c r="M210" s="147">
        <v>1E-3</v>
      </c>
      <c r="N210" s="145"/>
      <c r="O210" s="145"/>
      <c r="P210" s="145"/>
      <c r="Q210" s="148" t="s">
        <v>368</v>
      </c>
      <c r="R210" s="148"/>
      <c r="S210" s="149"/>
      <c r="T210" s="149"/>
      <c r="U210" s="149"/>
      <c r="V210" s="149"/>
      <c r="W210" s="149"/>
      <c r="X210" s="149"/>
      <c r="Y210" s="149"/>
      <c r="Z210" s="149"/>
      <c r="AA210" s="149"/>
      <c r="AB210" s="149"/>
      <c r="AC210" s="799"/>
      <c r="AD210" s="116"/>
      <c r="AE210" s="805"/>
      <c r="AF210" s="808"/>
      <c r="AG210" s="811"/>
      <c r="AH210" s="117"/>
      <c r="AI210" s="118"/>
      <c r="AJ210" s="814"/>
      <c r="AK210" s="150"/>
      <c r="AL210" s="151"/>
      <c r="AM210" s="152">
        <f t="shared" ref="AM210:AW210" si="257">IF(ISERROR(LOOKUP(AM$6,$S210:$AB210,$S$9:$AB$9)),0,(LOOKUP(AM$6,$S210:$AB210,$S$9:$AB$9)))</f>
        <v>0</v>
      </c>
      <c r="AN210" s="153">
        <f t="shared" si="257"/>
        <v>0</v>
      </c>
      <c r="AO210" s="153">
        <f t="shared" si="257"/>
        <v>0</v>
      </c>
      <c r="AP210" s="153">
        <f t="shared" si="257"/>
        <v>0</v>
      </c>
      <c r="AQ210" s="153">
        <f t="shared" si="257"/>
        <v>0</v>
      </c>
      <c r="AR210" s="153">
        <f t="shared" si="257"/>
        <v>0</v>
      </c>
      <c r="AS210" s="153">
        <f t="shared" si="257"/>
        <v>0</v>
      </c>
      <c r="AT210" s="153">
        <f t="shared" si="257"/>
        <v>0</v>
      </c>
      <c r="AU210" s="153">
        <f t="shared" si="257"/>
        <v>0</v>
      </c>
      <c r="AV210" s="153">
        <f t="shared" si="257"/>
        <v>0</v>
      </c>
      <c r="AW210" s="153">
        <f t="shared" ca="1" si="257"/>
        <v>0</v>
      </c>
      <c r="BB210" s="135"/>
    </row>
    <row r="211" spans="1:54" s="21" customFormat="1" ht="18" customHeight="1">
      <c r="A211" s="782">
        <f>A208+1</f>
        <v>68</v>
      </c>
      <c r="B211" s="154" t="s">
        <v>5425</v>
      </c>
      <c r="C211" s="791" t="s">
        <v>5361</v>
      </c>
      <c r="D211" s="80" t="s">
        <v>5372</v>
      </c>
      <c r="E211" s="127" t="s">
        <v>5422</v>
      </c>
      <c r="F211" s="128" t="s">
        <v>73</v>
      </c>
      <c r="G211" s="158"/>
      <c r="H211" s="161" t="s">
        <v>5436</v>
      </c>
      <c r="I211" s="127" t="s">
        <v>9</v>
      </c>
      <c r="J211" s="128"/>
      <c r="K211" s="129">
        <f>M213</f>
        <v>1E-3</v>
      </c>
      <c r="L211" s="129"/>
      <c r="M211" s="129"/>
      <c r="N211" s="127"/>
      <c r="O211" s="127"/>
      <c r="P211" s="127"/>
      <c r="Q211" s="130" t="s">
        <v>5364</v>
      </c>
      <c r="R211" s="130"/>
      <c r="S211" s="155" t="e">
        <f>WORKDAY(T211,-INDEX(T$2:T$5,MATCH($I211,$I$2:$I$5,0)),'[38]Equipment List and MR List (3)'!$A$2:$A$80)</f>
        <v>#REF!</v>
      </c>
      <c r="T211" s="155" t="e">
        <f>WORKDAY(U211,-INDEX(U$2:U$5,MATCH($I211,$I$2:$I$5,0)),$BB$10:$BB$141)</f>
        <v>#REF!</v>
      </c>
      <c r="U211" s="155" t="e">
        <f>WORKDAY(V211,-INDEX(V$2:V$5,MATCH($I211,$I$2:$I$5,0)),$BB$10:$BB$141)</f>
        <v>#REF!</v>
      </c>
      <c r="V211" s="155" t="e">
        <f>WORKDAY(W211,-INDEX(W$2:W$5,MATCH($I211,$I$2:$I$5,0)),$BB$10:$BB$141)</f>
        <v>#REF!</v>
      </c>
      <c r="W211" s="155" t="e">
        <f>WORKDAY(#REF!,-INDEX(#REF!,MATCH($I211,$I$2:$I$5,0)),$BB$10:$BB$141)</f>
        <v>#REF!</v>
      </c>
      <c r="X211" s="155" t="e">
        <f>WORKDAY(Y211,-INDEX(Y$2:Y$5,MATCH($I211,$I$2:$I$5,0)),$BB$10:$BB$141)</f>
        <v>#REF!</v>
      </c>
      <c r="Y211" s="155" t="e">
        <f>WORKDAY(Z211,-INDEX(Z$2:Z$5,MATCH($I211,$I$2:$I$5,0)),$BB$10:$BB$141)</f>
        <v>#REF!</v>
      </c>
      <c r="Z211" s="155" t="e">
        <f>WORKDAY(AA211,-INDEX(AA$2:AA$5,MATCH($I211,$I$2:$I$5,0)),$BB$10:$BB$141)</f>
        <v>#REF!</v>
      </c>
      <c r="AA211" s="155" t="e">
        <f>WORKDAY(#REF!,-INDEX(#REF!,MATCH($I211,$I$2:$I$5,0)),$BB$10:$BB$141)</f>
        <v>#REF!</v>
      </c>
      <c r="AB211" s="155">
        <f>WORKDAY(AG211,0,'[38]Equipment List and MR List (3)'!$A$2:$A$80)</f>
        <v>0</v>
      </c>
      <c r="AC211" s="797" t="s">
        <v>5365</v>
      </c>
      <c r="AD211" s="87">
        <v>7</v>
      </c>
      <c r="AE211" s="803">
        <v>151</v>
      </c>
      <c r="AF211" s="806" t="e">
        <f>AB212</f>
        <v>#REF!</v>
      </c>
      <c r="AG211" s="809"/>
      <c r="AH211" s="88"/>
      <c r="AI211" s="89"/>
      <c r="AJ211" s="812" t="e">
        <f>AG211-AF211</f>
        <v>#REF!</v>
      </c>
      <c r="AK211" s="131"/>
      <c r="AL211" s="132"/>
      <c r="AM211" s="133">
        <f t="shared" ref="AM211:AW211" si="258">IF(ISERROR(LOOKUP(AM$6,$S211:$AB211,$S$9:$AB$9)),0,(LOOKUP(AM$6,$S211:$AB211,$S$9:$AB$9)))</f>
        <v>0.95</v>
      </c>
      <c r="AN211" s="134">
        <f t="shared" si="258"/>
        <v>0.95</v>
      </c>
      <c r="AO211" s="134">
        <f t="shared" si="258"/>
        <v>0.95</v>
      </c>
      <c r="AP211" s="134">
        <f t="shared" si="258"/>
        <v>0.95</v>
      </c>
      <c r="AQ211" s="134">
        <f t="shared" si="258"/>
        <v>0.95</v>
      </c>
      <c r="AR211" s="134">
        <f t="shared" si="258"/>
        <v>0.95</v>
      </c>
      <c r="AS211" s="134">
        <f t="shared" si="258"/>
        <v>0.95</v>
      </c>
      <c r="AT211" s="134">
        <f t="shared" si="258"/>
        <v>0.95</v>
      </c>
      <c r="AU211" s="134">
        <f t="shared" si="258"/>
        <v>0.95</v>
      </c>
      <c r="AV211" s="134">
        <f t="shared" si="258"/>
        <v>0.95</v>
      </c>
      <c r="AW211" s="134">
        <f t="shared" ca="1" si="258"/>
        <v>0.95</v>
      </c>
      <c r="BB211" s="135"/>
    </row>
    <row r="212" spans="1:54" s="21" customFormat="1" ht="18" customHeight="1">
      <c r="A212" s="783"/>
      <c r="B212" s="156"/>
      <c r="C212" s="792"/>
      <c r="D212" s="96" t="str">
        <f>D211</f>
        <v>PIP</v>
      </c>
      <c r="E212" s="136" t="str">
        <f>E211</f>
        <v>RFQ-054</v>
      </c>
      <c r="F212" s="137" t="str">
        <f>F211</f>
        <v>N</v>
      </c>
      <c r="G212" s="159"/>
      <c r="H212" s="162" t="str">
        <f>H211</f>
        <v>Strainer</v>
      </c>
      <c r="I212" s="136" t="str">
        <f>I211</f>
        <v>LD</v>
      </c>
      <c r="J212" s="137"/>
      <c r="K212" s="138"/>
      <c r="L212" s="138">
        <f>M213</f>
        <v>1E-3</v>
      </c>
      <c r="M212" s="138"/>
      <c r="N212" s="136"/>
      <c r="O212" s="136"/>
      <c r="P212" s="136"/>
      <c r="Q212" s="139" t="s">
        <v>5366</v>
      </c>
      <c r="R212" s="139"/>
      <c r="S212" s="140" t="e">
        <f>S211</f>
        <v>#REF!</v>
      </c>
      <c r="T212" s="141" t="e">
        <f>T211</f>
        <v>#REF!</v>
      </c>
      <c r="U212" s="141" t="e">
        <f>WORKDAY(IF(T213="",T212,T213),INDEX(U$2:U$5,MATCH($I211,$I$2:$I$5,0)),$BB$10:$BB$141)</f>
        <v>#REF!</v>
      </c>
      <c r="V212" s="141" t="e">
        <f>WORKDAY(IF(U213="",U212,U213),INDEX(V$2:V$5,MATCH($I211,$I$2:$I$5,0)),$BB$10:$BB$141)</f>
        <v>#REF!</v>
      </c>
      <c r="W212" s="141" t="e">
        <f>WORKDAY(IF(V213="",V212,V213),INDEX(W$2:W$5,MATCH($I211,$I$2:$I$5,0)),$BB$10:$BB$141)</f>
        <v>#REF!</v>
      </c>
      <c r="X212" s="141" t="e">
        <f>WORKDAY(IF(#REF!="",#REF!,#REF!),INDEX(X$2:X$5,MATCH($I211,$I$2:$I$5,0)),$BB$10:$BB$141)</f>
        <v>#REF!</v>
      </c>
      <c r="Y212" s="141" t="e">
        <f>WORKDAY(IF(X213="",X212,X213),INDEX(Y$2:Y$5,MATCH($I211,$I$2:$I$5,0)),$BB$10:$BB$141)</f>
        <v>#REF!</v>
      </c>
      <c r="Z212" s="141" t="e">
        <f>WORKDAY(IF(Y213="",Y212,Y213),INDEX(Z$2:Z$5,MATCH($I211,$I$2:$I$5,0)),$BB$10:$BB$141)</f>
        <v>#REF!</v>
      </c>
      <c r="AA212" s="141" t="e">
        <f>WORKDAY(IF(Z213="",Z212,Z213),INDEX(AA$2:AA$5,MATCH($I211,$I$2:$I$5,0)),$BB$10:$BB$141)</f>
        <v>#REF!</v>
      </c>
      <c r="AB212" s="142" t="e">
        <f>AE211+#REF!</f>
        <v>#REF!</v>
      </c>
      <c r="AC212" s="798"/>
      <c r="AD212" s="105"/>
      <c r="AE212" s="804"/>
      <c r="AF212" s="807"/>
      <c r="AG212" s="810"/>
      <c r="AH212" s="106"/>
      <c r="AI212" s="107"/>
      <c r="AJ212" s="813"/>
      <c r="AK212" s="143"/>
      <c r="AL212" s="144"/>
      <c r="AM212" s="133">
        <f t="shared" ref="AM212:AW212" si="259">IF(ISERROR(LOOKUP(AM$6,$S212:$AB212,$S$9:$AB$9)),0,(LOOKUP(AM$6,$S212:$AB212,$S$9:$AB$9)))</f>
        <v>0</v>
      </c>
      <c r="AN212" s="134">
        <f t="shared" si="259"/>
        <v>0</v>
      </c>
      <c r="AO212" s="134">
        <f t="shared" si="259"/>
        <v>0</v>
      </c>
      <c r="AP212" s="134">
        <f t="shared" si="259"/>
        <v>0</v>
      </c>
      <c r="AQ212" s="134">
        <f t="shared" si="259"/>
        <v>0</v>
      </c>
      <c r="AR212" s="134">
        <f t="shared" si="259"/>
        <v>0</v>
      </c>
      <c r="AS212" s="134">
        <f t="shared" si="259"/>
        <v>0</v>
      </c>
      <c r="AT212" s="134">
        <f t="shared" si="259"/>
        <v>0</v>
      </c>
      <c r="AU212" s="134">
        <f t="shared" si="259"/>
        <v>0</v>
      </c>
      <c r="AV212" s="134">
        <f t="shared" si="259"/>
        <v>0</v>
      </c>
      <c r="AW212" s="134">
        <f t="shared" ca="1" si="259"/>
        <v>0</v>
      </c>
      <c r="BB212" s="135"/>
    </row>
    <row r="213" spans="1:54" s="21" customFormat="1" ht="18" customHeight="1">
      <c r="A213" s="784"/>
      <c r="B213" s="157"/>
      <c r="C213" s="793"/>
      <c r="D213" s="111" t="str">
        <f>D211</f>
        <v>PIP</v>
      </c>
      <c r="E213" s="145" t="str">
        <f>E211</f>
        <v>RFQ-054</v>
      </c>
      <c r="F213" s="146" t="str">
        <f>F211</f>
        <v>N</v>
      </c>
      <c r="G213" s="160"/>
      <c r="H213" s="163" t="str">
        <f>H211</f>
        <v>Strainer</v>
      </c>
      <c r="I213" s="145" t="str">
        <f>I211</f>
        <v>LD</v>
      </c>
      <c r="J213" s="146"/>
      <c r="K213" s="147"/>
      <c r="L213" s="147"/>
      <c r="M213" s="147">
        <v>1E-3</v>
      </c>
      <c r="N213" s="145"/>
      <c r="O213" s="145"/>
      <c r="P213" s="145"/>
      <c r="Q213" s="148" t="s">
        <v>368</v>
      </c>
      <c r="R213" s="148"/>
      <c r="S213" s="149"/>
      <c r="T213" s="149"/>
      <c r="U213" s="149"/>
      <c r="V213" s="149"/>
      <c r="W213" s="149"/>
      <c r="X213" s="149"/>
      <c r="Y213" s="149"/>
      <c r="Z213" s="149"/>
      <c r="AA213" s="149"/>
      <c r="AB213" s="149"/>
      <c r="AC213" s="799"/>
      <c r="AD213" s="116"/>
      <c r="AE213" s="805"/>
      <c r="AF213" s="808"/>
      <c r="AG213" s="811"/>
      <c r="AH213" s="117"/>
      <c r="AI213" s="118"/>
      <c r="AJ213" s="814"/>
      <c r="AK213" s="150"/>
      <c r="AL213" s="151"/>
      <c r="AM213" s="152">
        <f t="shared" ref="AM213:AW213" si="260">IF(ISERROR(LOOKUP(AM$6,$S213:$AB213,$S$9:$AB$9)),0,(LOOKUP(AM$6,$S213:$AB213,$S$9:$AB$9)))</f>
        <v>0</v>
      </c>
      <c r="AN213" s="153">
        <f t="shared" si="260"/>
        <v>0</v>
      </c>
      <c r="AO213" s="153">
        <f t="shared" si="260"/>
        <v>0</v>
      </c>
      <c r="AP213" s="153">
        <f t="shared" si="260"/>
        <v>0</v>
      </c>
      <c r="AQ213" s="153">
        <f t="shared" si="260"/>
        <v>0</v>
      </c>
      <c r="AR213" s="153">
        <f t="shared" si="260"/>
        <v>0</v>
      </c>
      <c r="AS213" s="153">
        <f t="shared" si="260"/>
        <v>0</v>
      </c>
      <c r="AT213" s="153">
        <f t="shared" si="260"/>
        <v>0</v>
      </c>
      <c r="AU213" s="153">
        <f t="shared" si="260"/>
        <v>0</v>
      </c>
      <c r="AV213" s="153">
        <f t="shared" si="260"/>
        <v>0</v>
      </c>
      <c r="AW213" s="153">
        <f t="shared" ca="1" si="260"/>
        <v>0</v>
      </c>
      <c r="BB213" s="135"/>
    </row>
    <row r="214" spans="1:54" s="21" customFormat="1" ht="18" customHeight="1">
      <c r="A214" s="782">
        <f>A211+1</f>
        <v>69</v>
      </c>
      <c r="B214" s="154" t="s">
        <v>5425</v>
      </c>
      <c r="C214" s="791" t="s">
        <v>5361</v>
      </c>
      <c r="D214" s="80" t="s">
        <v>5372</v>
      </c>
      <c r="E214" s="127" t="s">
        <v>5422</v>
      </c>
      <c r="F214" s="128" t="s">
        <v>73</v>
      </c>
      <c r="G214" s="158"/>
      <c r="H214" s="161" t="s">
        <v>5437</v>
      </c>
      <c r="I214" s="127" t="s">
        <v>9</v>
      </c>
      <c r="J214" s="128"/>
      <c r="K214" s="129">
        <f>M216</f>
        <v>1E-3</v>
      </c>
      <c r="L214" s="129"/>
      <c r="M214" s="129"/>
      <c r="N214" s="127"/>
      <c r="O214" s="127"/>
      <c r="P214" s="127"/>
      <c r="Q214" s="130" t="s">
        <v>5364</v>
      </c>
      <c r="R214" s="130"/>
      <c r="S214" s="155" t="e">
        <f>WORKDAY(T214,-INDEX(T$2:T$5,MATCH($I214,$I$2:$I$5,0)),'[38]Equipment List and MR List (3)'!$A$2:$A$80)</f>
        <v>#REF!</v>
      </c>
      <c r="T214" s="155" t="e">
        <f>WORKDAY(U214,-INDEX(U$2:U$5,MATCH($I214,$I$2:$I$5,0)),$BB$10:$BB$141)</f>
        <v>#REF!</v>
      </c>
      <c r="U214" s="155" t="e">
        <f>WORKDAY(V214,-INDEX(V$2:V$5,MATCH($I214,$I$2:$I$5,0)),$BB$10:$BB$141)</f>
        <v>#REF!</v>
      </c>
      <c r="V214" s="155" t="e">
        <f>WORKDAY(W214,-INDEX(W$2:W$5,MATCH($I214,$I$2:$I$5,0)),$BB$10:$BB$141)</f>
        <v>#REF!</v>
      </c>
      <c r="W214" s="155" t="e">
        <f>WORKDAY(#REF!,-INDEX(#REF!,MATCH($I214,$I$2:$I$5,0)),$BB$10:$BB$141)</f>
        <v>#REF!</v>
      </c>
      <c r="X214" s="155" t="e">
        <f>WORKDAY(Y214,-INDEX(Y$2:Y$5,MATCH($I214,$I$2:$I$5,0)),$BB$10:$BB$141)</f>
        <v>#REF!</v>
      </c>
      <c r="Y214" s="155" t="e">
        <f>WORKDAY(Z214,-INDEX(Z$2:Z$5,MATCH($I214,$I$2:$I$5,0)),$BB$10:$BB$141)</f>
        <v>#REF!</v>
      </c>
      <c r="Z214" s="155" t="e">
        <f>WORKDAY(AA214,-INDEX(AA$2:AA$5,MATCH($I214,$I$2:$I$5,0)),$BB$10:$BB$141)</f>
        <v>#REF!</v>
      </c>
      <c r="AA214" s="155" t="e">
        <f>WORKDAY(#REF!,-INDEX(#REF!,MATCH($I214,$I$2:$I$5,0)),$BB$10:$BB$141)</f>
        <v>#REF!</v>
      </c>
      <c r="AB214" s="155">
        <f>WORKDAY(AG214,0,'[38]Equipment List and MR List (3)'!$A$2:$A$80)</f>
        <v>0</v>
      </c>
      <c r="AC214" s="797" t="s">
        <v>5365</v>
      </c>
      <c r="AD214" s="87">
        <v>7</v>
      </c>
      <c r="AE214" s="803">
        <v>100</v>
      </c>
      <c r="AF214" s="806" t="e">
        <f>AB215</f>
        <v>#REF!</v>
      </c>
      <c r="AG214" s="809"/>
      <c r="AH214" s="88"/>
      <c r="AI214" s="89"/>
      <c r="AJ214" s="812" t="e">
        <f>AG214-AF214</f>
        <v>#REF!</v>
      </c>
      <c r="AK214" s="131"/>
      <c r="AL214" s="132"/>
      <c r="AM214" s="133">
        <f t="shared" ref="AM214:AW214" si="261">IF(ISERROR(LOOKUP(AM$6,$S214:$AB214,$S$9:$AB$9)),0,(LOOKUP(AM$6,$S214:$AB214,$S$9:$AB$9)))</f>
        <v>0.95</v>
      </c>
      <c r="AN214" s="134">
        <f t="shared" si="261"/>
        <v>0.95</v>
      </c>
      <c r="AO214" s="134">
        <f t="shared" si="261"/>
        <v>0.95</v>
      </c>
      <c r="AP214" s="134">
        <f t="shared" si="261"/>
        <v>0.95</v>
      </c>
      <c r="AQ214" s="134">
        <f t="shared" si="261"/>
        <v>0.95</v>
      </c>
      <c r="AR214" s="134">
        <f t="shared" si="261"/>
        <v>0.95</v>
      </c>
      <c r="AS214" s="134">
        <f t="shared" si="261"/>
        <v>0.95</v>
      </c>
      <c r="AT214" s="134">
        <f t="shared" si="261"/>
        <v>0.95</v>
      </c>
      <c r="AU214" s="134">
        <f t="shared" si="261"/>
        <v>0.95</v>
      </c>
      <c r="AV214" s="134">
        <f t="shared" si="261"/>
        <v>0.95</v>
      </c>
      <c r="AW214" s="134">
        <f t="shared" ca="1" si="261"/>
        <v>0.95</v>
      </c>
      <c r="BB214" s="135"/>
    </row>
    <row r="215" spans="1:54" s="21" customFormat="1" ht="18" customHeight="1">
      <c r="A215" s="783"/>
      <c r="B215" s="156"/>
      <c r="C215" s="792"/>
      <c r="D215" s="96" t="str">
        <f>D214</f>
        <v>PIP</v>
      </c>
      <c r="E215" s="136" t="str">
        <f>E214</f>
        <v>RFQ-054</v>
      </c>
      <c r="F215" s="137" t="str">
        <f>F214</f>
        <v>N</v>
      </c>
      <c r="G215" s="159"/>
      <c r="H215" s="162" t="str">
        <f>H214</f>
        <v>BOLT &amp; NUTS</v>
      </c>
      <c r="I215" s="136" t="str">
        <f>I214</f>
        <v>LD</v>
      </c>
      <c r="J215" s="137"/>
      <c r="K215" s="138"/>
      <c r="L215" s="138">
        <f>M216</f>
        <v>1E-3</v>
      </c>
      <c r="M215" s="138"/>
      <c r="N215" s="136"/>
      <c r="O215" s="136"/>
      <c r="P215" s="136"/>
      <c r="Q215" s="139" t="s">
        <v>5366</v>
      </c>
      <c r="R215" s="139"/>
      <c r="S215" s="140" t="e">
        <f>S214</f>
        <v>#REF!</v>
      </c>
      <c r="T215" s="141" t="e">
        <f>T214</f>
        <v>#REF!</v>
      </c>
      <c r="U215" s="141" t="e">
        <f>WORKDAY(IF(T216="",T215,T216),INDEX(U$2:U$5,MATCH($I214,$I$2:$I$5,0)),$BB$10:$BB$141)</f>
        <v>#REF!</v>
      </c>
      <c r="V215" s="141" t="e">
        <f>WORKDAY(IF(U216="",U215,U216),INDEX(V$2:V$5,MATCH($I214,$I$2:$I$5,0)),$BB$10:$BB$141)</f>
        <v>#REF!</v>
      </c>
      <c r="W215" s="141" t="e">
        <f>WORKDAY(IF(V216="",V215,V216),INDEX(W$2:W$5,MATCH($I214,$I$2:$I$5,0)),$BB$10:$BB$141)</f>
        <v>#REF!</v>
      </c>
      <c r="X215" s="141" t="e">
        <f>WORKDAY(IF(#REF!="",#REF!,#REF!),INDEX(X$2:X$5,MATCH($I214,$I$2:$I$5,0)),$BB$10:$BB$141)</f>
        <v>#REF!</v>
      </c>
      <c r="Y215" s="141" t="e">
        <f>WORKDAY(IF(X216="",X215,X216),INDEX(Y$2:Y$5,MATCH($I214,$I$2:$I$5,0)),$BB$10:$BB$141)</f>
        <v>#REF!</v>
      </c>
      <c r="Z215" s="141" t="e">
        <f>WORKDAY(IF(Y216="",Y215,Y216),INDEX(Z$2:Z$5,MATCH($I214,$I$2:$I$5,0)),$BB$10:$BB$141)</f>
        <v>#REF!</v>
      </c>
      <c r="AA215" s="141" t="e">
        <f>WORKDAY(IF(Z216="",Z215,Z216),INDEX(AA$2:AA$5,MATCH($I214,$I$2:$I$5,0)),$BB$10:$BB$141)</f>
        <v>#REF!</v>
      </c>
      <c r="AB215" s="142" t="e">
        <f>AE214+#REF!</f>
        <v>#REF!</v>
      </c>
      <c r="AC215" s="798"/>
      <c r="AD215" s="105"/>
      <c r="AE215" s="804"/>
      <c r="AF215" s="807"/>
      <c r="AG215" s="810"/>
      <c r="AH215" s="106"/>
      <c r="AI215" s="107"/>
      <c r="AJ215" s="813"/>
      <c r="AK215" s="143"/>
      <c r="AL215" s="144"/>
      <c r="AM215" s="133">
        <f t="shared" ref="AM215:AW215" si="262">IF(ISERROR(LOOKUP(AM$6,$S215:$AB215,$S$9:$AB$9)),0,(LOOKUP(AM$6,$S215:$AB215,$S$9:$AB$9)))</f>
        <v>0</v>
      </c>
      <c r="AN215" s="134">
        <f t="shared" si="262"/>
        <v>0</v>
      </c>
      <c r="AO215" s="134">
        <f t="shared" si="262"/>
        <v>0</v>
      </c>
      <c r="AP215" s="134">
        <f t="shared" si="262"/>
        <v>0</v>
      </c>
      <c r="AQ215" s="134">
        <f t="shared" si="262"/>
        <v>0</v>
      </c>
      <c r="AR215" s="134">
        <f t="shared" si="262"/>
        <v>0</v>
      </c>
      <c r="AS215" s="134">
        <f t="shared" si="262"/>
        <v>0</v>
      </c>
      <c r="AT215" s="134">
        <f t="shared" si="262"/>
        <v>0</v>
      </c>
      <c r="AU215" s="134">
        <f t="shared" si="262"/>
        <v>0</v>
      </c>
      <c r="AV215" s="134">
        <f t="shared" si="262"/>
        <v>0</v>
      </c>
      <c r="AW215" s="134">
        <f t="shared" ca="1" si="262"/>
        <v>0</v>
      </c>
      <c r="BB215" s="135"/>
    </row>
    <row r="216" spans="1:54" s="21" customFormat="1" ht="18" customHeight="1">
      <c r="A216" s="784"/>
      <c r="B216" s="157"/>
      <c r="C216" s="793"/>
      <c r="D216" s="111" t="str">
        <f>D214</f>
        <v>PIP</v>
      </c>
      <c r="E216" s="145" t="str">
        <f>E214</f>
        <v>RFQ-054</v>
      </c>
      <c r="F216" s="146" t="str">
        <f>F214</f>
        <v>N</v>
      </c>
      <c r="G216" s="160"/>
      <c r="H216" s="163" t="str">
        <f>H214</f>
        <v>BOLT &amp; NUTS</v>
      </c>
      <c r="I216" s="145" t="str">
        <f>I214</f>
        <v>LD</v>
      </c>
      <c r="J216" s="146"/>
      <c r="K216" s="147"/>
      <c r="L216" s="147"/>
      <c r="M216" s="147">
        <v>1E-3</v>
      </c>
      <c r="N216" s="145"/>
      <c r="O216" s="145"/>
      <c r="P216" s="145"/>
      <c r="Q216" s="148" t="s">
        <v>368</v>
      </c>
      <c r="R216" s="148"/>
      <c r="S216" s="149"/>
      <c r="T216" s="149"/>
      <c r="U216" s="149"/>
      <c r="V216" s="149"/>
      <c r="W216" s="149"/>
      <c r="X216" s="149"/>
      <c r="Y216" s="149"/>
      <c r="Z216" s="149"/>
      <c r="AA216" s="149"/>
      <c r="AB216" s="149"/>
      <c r="AC216" s="799"/>
      <c r="AD216" s="116"/>
      <c r="AE216" s="805"/>
      <c r="AF216" s="808"/>
      <c r="AG216" s="811"/>
      <c r="AH216" s="117"/>
      <c r="AI216" s="118"/>
      <c r="AJ216" s="814"/>
      <c r="AK216" s="150"/>
      <c r="AL216" s="151"/>
      <c r="AM216" s="152">
        <f t="shared" ref="AM216:AW216" si="263">IF(ISERROR(LOOKUP(AM$6,$S216:$AB216,$S$9:$AB$9)),0,(LOOKUP(AM$6,$S216:$AB216,$S$9:$AB$9)))</f>
        <v>0</v>
      </c>
      <c r="AN216" s="153">
        <f t="shared" si="263"/>
        <v>0</v>
      </c>
      <c r="AO216" s="153">
        <f t="shared" si="263"/>
        <v>0</v>
      </c>
      <c r="AP216" s="153">
        <f t="shared" si="263"/>
        <v>0</v>
      </c>
      <c r="AQ216" s="153">
        <f t="shared" si="263"/>
        <v>0</v>
      </c>
      <c r="AR216" s="153">
        <f t="shared" si="263"/>
        <v>0</v>
      </c>
      <c r="AS216" s="153">
        <f t="shared" si="263"/>
        <v>0</v>
      </c>
      <c r="AT216" s="153">
        <f t="shared" si="263"/>
        <v>0</v>
      </c>
      <c r="AU216" s="153">
        <f t="shared" si="263"/>
        <v>0</v>
      </c>
      <c r="AV216" s="153">
        <f t="shared" si="263"/>
        <v>0</v>
      </c>
      <c r="AW216" s="153">
        <f t="shared" ca="1" si="263"/>
        <v>0</v>
      </c>
      <c r="BB216" s="135"/>
    </row>
    <row r="217" spans="1:54" s="21" customFormat="1" ht="18" customHeight="1">
      <c r="A217" s="782">
        <f>A214+1</f>
        <v>70</v>
      </c>
      <c r="B217" s="154" t="s">
        <v>5425</v>
      </c>
      <c r="C217" s="791" t="s">
        <v>5361</v>
      </c>
      <c r="D217" s="80" t="s">
        <v>5372</v>
      </c>
      <c r="E217" s="127" t="s">
        <v>5422</v>
      </c>
      <c r="F217" s="128" t="s">
        <v>73</v>
      </c>
      <c r="G217" s="158"/>
      <c r="H217" s="161" t="s">
        <v>5438</v>
      </c>
      <c r="I217" s="127" t="s">
        <v>9</v>
      </c>
      <c r="J217" s="128"/>
      <c r="K217" s="129">
        <f>M219</f>
        <v>1E-3</v>
      </c>
      <c r="L217" s="129"/>
      <c r="M217" s="129"/>
      <c r="N217" s="127"/>
      <c r="O217" s="127"/>
      <c r="P217" s="127"/>
      <c r="Q217" s="130" t="s">
        <v>5364</v>
      </c>
      <c r="R217" s="130"/>
      <c r="S217" s="155" t="e">
        <f>WORKDAY(T217,-INDEX(T$2:T$5,MATCH($I217,$I$2:$I$5,0)),'[38]Equipment List and MR List (3)'!$A$2:$A$80)</f>
        <v>#REF!</v>
      </c>
      <c r="T217" s="155" t="e">
        <f>WORKDAY(U217,-INDEX(U$2:U$5,MATCH($I217,$I$2:$I$5,0)),$BB$10:$BB$141)</f>
        <v>#REF!</v>
      </c>
      <c r="U217" s="155" t="e">
        <f>WORKDAY(V217,-INDEX(V$2:V$5,MATCH($I217,$I$2:$I$5,0)),$BB$10:$BB$141)</f>
        <v>#REF!</v>
      </c>
      <c r="V217" s="155" t="e">
        <f>WORKDAY(W217,-INDEX(W$2:W$5,MATCH($I217,$I$2:$I$5,0)),$BB$10:$BB$141)</f>
        <v>#REF!</v>
      </c>
      <c r="W217" s="155" t="e">
        <f>WORKDAY(#REF!,-INDEX(#REF!,MATCH($I217,$I$2:$I$5,0)),$BB$10:$BB$141)</f>
        <v>#REF!</v>
      </c>
      <c r="X217" s="155" t="e">
        <f>WORKDAY(Y217,-INDEX(Y$2:Y$5,MATCH($I217,$I$2:$I$5,0)),$BB$10:$BB$141)</f>
        <v>#REF!</v>
      </c>
      <c r="Y217" s="155" t="e">
        <f>WORKDAY(Z217,-INDEX(Z$2:Z$5,MATCH($I217,$I$2:$I$5,0)),$BB$10:$BB$141)</f>
        <v>#REF!</v>
      </c>
      <c r="Z217" s="155" t="e">
        <f>WORKDAY(AA217,-INDEX(AA$2:AA$5,MATCH($I217,$I$2:$I$5,0)),$BB$10:$BB$141)</f>
        <v>#REF!</v>
      </c>
      <c r="AA217" s="155" t="e">
        <f>WORKDAY(#REF!,-INDEX(#REF!,MATCH($I217,$I$2:$I$5,0)),$BB$10:$BB$141)</f>
        <v>#REF!</v>
      </c>
      <c r="AB217" s="155">
        <f>WORKDAY(AG217,0,'[38]Equipment List and MR List (3)'!$A$2:$A$80)</f>
        <v>0</v>
      </c>
      <c r="AC217" s="797" t="s">
        <v>5365</v>
      </c>
      <c r="AD217" s="87">
        <v>7</v>
      </c>
      <c r="AE217" s="803">
        <v>100</v>
      </c>
      <c r="AF217" s="806" t="e">
        <f>AB218</f>
        <v>#REF!</v>
      </c>
      <c r="AG217" s="809"/>
      <c r="AH217" s="88"/>
      <c r="AI217" s="89"/>
      <c r="AJ217" s="812" t="e">
        <f>AG217-AF217</f>
        <v>#REF!</v>
      </c>
      <c r="AK217" s="131"/>
      <c r="AL217" s="132"/>
      <c r="AM217" s="133">
        <f t="shared" ref="AM217:AW217" si="264">IF(ISERROR(LOOKUP(AM$6,$S217:$AB217,$S$9:$AB$9)),0,(LOOKUP(AM$6,$S217:$AB217,$S$9:$AB$9)))</f>
        <v>0.95</v>
      </c>
      <c r="AN217" s="134">
        <f t="shared" si="264"/>
        <v>0.95</v>
      </c>
      <c r="AO217" s="134">
        <f t="shared" si="264"/>
        <v>0.95</v>
      </c>
      <c r="AP217" s="134">
        <f t="shared" si="264"/>
        <v>0.95</v>
      </c>
      <c r="AQ217" s="134">
        <f t="shared" si="264"/>
        <v>0.95</v>
      </c>
      <c r="AR217" s="134">
        <f t="shared" si="264"/>
        <v>0.95</v>
      </c>
      <c r="AS217" s="134">
        <f t="shared" si="264"/>
        <v>0.95</v>
      </c>
      <c r="AT217" s="134">
        <f t="shared" si="264"/>
        <v>0.95</v>
      </c>
      <c r="AU217" s="134">
        <f t="shared" si="264"/>
        <v>0.95</v>
      </c>
      <c r="AV217" s="134">
        <f t="shared" si="264"/>
        <v>0.95</v>
      </c>
      <c r="AW217" s="134">
        <f t="shared" ca="1" si="264"/>
        <v>0.95</v>
      </c>
      <c r="BB217" s="135"/>
    </row>
    <row r="218" spans="1:54" s="21" customFormat="1" ht="18" customHeight="1">
      <c r="A218" s="783"/>
      <c r="B218" s="156"/>
      <c r="C218" s="792"/>
      <c r="D218" s="96" t="str">
        <f>D217</f>
        <v>PIP</v>
      </c>
      <c r="E218" s="136" t="str">
        <f>E217</f>
        <v>RFQ-054</v>
      </c>
      <c r="F218" s="137" t="str">
        <f>F217</f>
        <v>N</v>
      </c>
      <c r="G218" s="159"/>
      <c r="H218" s="162" t="str">
        <f>H217</f>
        <v>CS FITTING</v>
      </c>
      <c r="I218" s="136" t="str">
        <f>I217</f>
        <v>LD</v>
      </c>
      <c r="J218" s="137"/>
      <c r="K218" s="138"/>
      <c r="L218" s="138">
        <f>M219</f>
        <v>1E-3</v>
      </c>
      <c r="M218" s="138"/>
      <c r="N218" s="136"/>
      <c r="O218" s="136"/>
      <c r="P218" s="136"/>
      <c r="Q218" s="139" t="s">
        <v>5366</v>
      </c>
      <c r="R218" s="139"/>
      <c r="S218" s="140" t="e">
        <f>S217</f>
        <v>#REF!</v>
      </c>
      <c r="T218" s="141" t="e">
        <f>T217</f>
        <v>#REF!</v>
      </c>
      <c r="U218" s="141" t="e">
        <f>WORKDAY(IF(T219="",T218,T219),INDEX(U$2:U$5,MATCH($I217,$I$2:$I$5,0)),$BB$10:$BB$141)</f>
        <v>#REF!</v>
      </c>
      <c r="V218" s="141" t="e">
        <f>WORKDAY(IF(U219="",U218,U219),INDEX(V$2:V$5,MATCH($I217,$I$2:$I$5,0)),$BB$10:$BB$141)</f>
        <v>#REF!</v>
      </c>
      <c r="W218" s="141" t="e">
        <f>WORKDAY(IF(V219="",V218,V219),INDEX(W$2:W$5,MATCH($I217,$I$2:$I$5,0)),$BB$10:$BB$141)</f>
        <v>#REF!</v>
      </c>
      <c r="X218" s="141" t="e">
        <f>WORKDAY(IF(#REF!="",#REF!,#REF!),INDEX(X$2:X$5,MATCH($I217,$I$2:$I$5,0)),$BB$10:$BB$141)</f>
        <v>#REF!</v>
      </c>
      <c r="Y218" s="141" t="e">
        <f>WORKDAY(IF(X219="",X218,X219),INDEX(Y$2:Y$5,MATCH($I217,$I$2:$I$5,0)),$BB$10:$BB$141)</f>
        <v>#REF!</v>
      </c>
      <c r="Z218" s="141" t="e">
        <f>WORKDAY(IF(Y219="",Y218,Y219),INDEX(Z$2:Z$5,MATCH($I217,$I$2:$I$5,0)),$BB$10:$BB$141)</f>
        <v>#REF!</v>
      </c>
      <c r="AA218" s="141" t="e">
        <f>WORKDAY(IF(Z219="",Z218,Z219),INDEX(AA$2:AA$5,MATCH($I217,$I$2:$I$5,0)),$BB$10:$BB$141)</f>
        <v>#REF!</v>
      </c>
      <c r="AB218" s="142" t="e">
        <f>AE217+#REF!</f>
        <v>#REF!</v>
      </c>
      <c r="AC218" s="798"/>
      <c r="AD218" s="105"/>
      <c r="AE218" s="804"/>
      <c r="AF218" s="807"/>
      <c r="AG218" s="810"/>
      <c r="AH218" s="106"/>
      <c r="AI218" s="107"/>
      <c r="AJ218" s="813"/>
      <c r="AK218" s="143"/>
      <c r="AL218" s="144"/>
      <c r="AM218" s="133">
        <f t="shared" ref="AM218:AW218" si="265">IF(ISERROR(LOOKUP(AM$6,$S218:$AB218,$S$9:$AB$9)),0,(LOOKUP(AM$6,$S218:$AB218,$S$9:$AB$9)))</f>
        <v>0</v>
      </c>
      <c r="AN218" s="134">
        <f t="shared" si="265"/>
        <v>0</v>
      </c>
      <c r="AO218" s="134">
        <f t="shared" si="265"/>
        <v>0</v>
      </c>
      <c r="AP218" s="134">
        <f t="shared" si="265"/>
        <v>0</v>
      </c>
      <c r="AQ218" s="134">
        <f t="shared" si="265"/>
        <v>0</v>
      </c>
      <c r="AR218" s="134">
        <f t="shared" si="265"/>
        <v>0</v>
      </c>
      <c r="AS218" s="134">
        <f t="shared" si="265"/>
        <v>0</v>
      </c>
      <c r="AT218" s="134">
        <f t="shared" si="265"/>
        <v>0</v>
      </c>
      <c r="AU218" s="134">
        <f t="shared" si="265"/>
        <v>0</v>
      </c>
      <c r="AV218" s="134">
        <f t="shared" si="265"/>
        <v>0</v>
      </c>
      <c r="AW218" s="134">
        <f t="shared" ca="1" si="265"/>
        <v>0</v>
      </c>
      <c r="BB218" s="135"/>
    </row>
    <row r="219" spans="1:54" s="21" customFormat="1" ht="18" customHeight="1">
      <c r="A219" s="784"/>
      <c r="B219" s="157"/>
      <c r="C219" s="793"/>
      <c r="D219" s="111" t="str">
        <f>D217</f>
        <v>PIP</v>
      </c>
      <c r="E219" s="145" t="str">
        <f>E217</f>
        <v>RFQ-054</v>
      </c>
      <c r="F219" s="146" t="str">
        <f>F217</f>
        <v>N</v>
      </c>
      <c r="G219" s="160"/>
      <c r="H219" s="163" t="str">
        <f>H217</f>
        <v>CS FITTING</v>
      </c>
      <c r="I219" s="145" t="str">
        <f>I217</f>
        <v>LD</v>
      </c>
      <c r="J219" s="146"/>
      <c r="K219" s="147"/>
      <c r="L219" s="147"/>
      <c r="M219" s="147">
        <v>1E-3</v>
      </c>
      <c r="N219" s="145"/>
      <c r="O219" s="145"/>
      <c r="P219" s="145"/>
      <c r="Q219" s="148" t="s">
        <v>368</v>
      </c>
      <c r="R219" s="148"/>
      <c r="S219" s="149"/>
      <c r="T219" s="149"/>
      <c r="U219" s="149"/>
      <c r="V219" s="149"/>
      <c r="W219" s="149"/>
      <c r="X219" s="149"/>
      <c r="Y219" s="149"/>
      <c r="Z219" s="149"/>
      <c r="AA219" s="149"/>
      <c r="AB219" s="149"/>
      <c r="AC219" s="799"/>
      <c r="AD219" s="116"/>
      <c r="AE219" s="805"/>
      <c r="AF219" s="808"/>
      <c r="AG219" s="811"/>
      <c r="AH219" s="117"/>
      <c r="AI219" s="118"/>
      <c r="AJ219" s="814"/>
      <c r="AK219" s="150"/>
      <c r="AL219" s="151"/>
      <c r="AM219" s="152">
        <f t="shared" ref="AM219:AW219" si="266">IF(ISERROR(LOOKUP(AM$6,$S219:$AB219,$S$9:$AB$9)),0,(LOOKUP(AM$6,$S219:$AB219,$S$9:$AB$9)))</f>
        <v>0</v>
      </c>
      <c r="AN219" s="153">
        <f t="shared" si="266"/>
        <v>0</v>
      </c>
      <c r="AO219" s="153">
        <f t="shared" si="266"/>
        <v>0</v>
      </c>
      <c r="AP219" s="153">
        <f t="shared" si="266"/>
        <v>0</v>
      </c>
      <c r="AQ219" s="153">
        <f t="shared" si="266"/>
        <v>0</v>
      </c>
      <c r="AR219" s="153">
        <f t="shared" si="266"/>
        <v>0</v>
      </c>
      <c r="AS219" s="153">
        <f t="shared" si="266"/>
        <v>0</v>
      </c>
      <c r="AT219" s="153">
        <f t="shared" si="266"/>
        <v>0</v>
      </c>
      <c r="AU219" s="153">
        <f t="shared" si="266"/>
        <v>0</v>
      </c>
      <c r="AV219" s="153">
        <f t="shared" si="266"/>
        <v>0</v>
      </c>
      <c r="AW219" s="153">
        <f t="shared" ca="1" si="266"/>
        <v>0</v>
      </c>
      <c r="BB219" s="135"/>
    </row>
    <row r="220" spans="1:54" s="21" customFormat="1" ht="18" customHeight="1">
      <c r="A220" s="782">
        <f>A217+1</f>
        <v>71</v>
      </c>
      <c r="B220" s="154" t="s">
        <v>5425</v>
      </c>
      <c r="C220" s="791" t="s">
        <v>5361</v>
      </c>
      <c r="D220" s="80" t="s">
        <v>5372</v>
      </c>
      <c r="E220" s="127" t="s">
        <v>5422</v>
      </c>
      <c r="F220" s="128" t="s">
        <v>73</v>
      </c>
      <c r="G220" s="158"/>
      <c r="H220" s="161" t="s">
        <v>5439</v>
      </c>
      <c r="I220" s="127" t="s">
        <v>9</v>
      </c>
      <c r="J220" s="128"/>
      <c r="K220" s="129">
        <f>M222</f>
        <v>1E-3</v>
      </c>
      <c r="L220" s="129"/>
      <c r="M220" s="129"/>
      <c r="N220" s="127"/>
      <c r="O220" s="127"/>
      <c r="P220" s="127"/>
      <c r="Q220" s="130" t="s">
        <v>5364</v>
      </c>
      <c r="R220" s="130"/>
      <c r="S220" s="155" t="e">
        <f>WORKDAY(T220,-INDEX(T$2:T$5,MATCH($I220,$I$2:$I$5,0)),'[38]Equipment List and MR List (3)'!$A$2:$A$80)</f>
        <v>#REF!</v>
      </c>
      <c r="T220" s="155" t="e">
        <f>WORKDAY(U220,-INDEX(U$2:U$5,MATCH($I220,$I$2:$I$5,0)),$BB$10:$BB$141)</f>
        <v>#REF!</v>
      </c>
      <c r="U220" s="155" t="e">
        <f>WORKDAY(V220,-INDEX(V$2:V$5,MATCH($I220,$I$2:$I$5,0)),$BB$10:$BB$141)</f>
        <v>#REF!</v>
      </c>
      <c r="V220" s="155" t="e">
        <f>WORKDAY(W220,-INDEX(W$2:W$5,MATCH($I220,$I$2:$I$5,0)),$BB$10:$BB$141)</f>
        <v>#REF!</v>
      </c>
      <c r="W220" s="155" t="e">
        <f>WORKDAY(#REF!,-INDEX(#REF!,MATCH($I220,$I$2:$I$5,0)),$BB$10:$BB$141)</f>
        <v>#REF!</v>
      </c>
      <c r="X220" s="155" t="e">
        <f>WORKDAY(Y220,-INDEX(Y$2:Y$5,MATCH($I220,$I$2:$I$5,0)),$BB$10:$BB$141)</f>
        <v>#REF!</v>
      </c>
      <c r="Y220" s="155" t="e">
        <f>WORKDAY(Z220,-INDEX(Z$2:Z$5,MATCH($I220,$I$2:$I$5,0)),$BB$10:$BB$141)</f>
        <v>#REF!</v>
      </c>
      <c r="Z220" s="155" t="e">
        <f>WORKDAY(AA220,-INDEX(AA$2:AA$5,MATCH($I220,$I$2:$I$5,0)),$BB$10:$BB$141)</f>
        <v>#REF!</v>
      </c>
      <c r="AA220" s="155" t="e">
        <f>WORKDAY(#REF!,-INDEX(#REF!,MATCH($I220,$I$2:$I$5,0)),$BB$10:$BB$141)</f>
        <v>#REF!</v>
      </c>
      <c r="AB220" s="155">
        <f>WORKDAY(AG220,0,'[38]Equipment List and MR List (3)'!$A$2:$A$80)</f>
        <v>0</v>
      </c>
      <c r="AC220" s="797" t="s">
        <v>5365</v>
      </c>
      <c r="AD220" s="87">
        <v>7</v>
      </c>
      <c r="AE220" s="803">
        <v>100</v>
      </c>
      <c r="AF220" s="806" t="e">
        <f>AB221</f>
        <v>#REF!</v>
      </c>
      <c r="AG220" s="809"/>
      <c r="AH220" s="88"/>
      <c r="AI220" s="89"/>
      <c r="AJ220" s="812" t="e">
        <f>AG220-AF220</f>
        <v>#REF!</v>
      </c>
      <c r="AK220" s="131"/>
      <c r="AL220" s="132"/>
      <c r="AM220" s="133">
        <f t="shared" ref="AM220:AW220" si="267">IF(ISERROR(LOOKUP(AM$6,$S220:$AB220,$S$9:$AB$9)),0,(LOOKUP(AM$6,$S220:$AB220,$S$9:$AB$9)))</f>
        <v>0.95</v>
      </c>
      <c r="AN220" s="134">
        <f t="shared" si="267"/>
        <v>0.95</v>
      </c>
      <c r="AO220" s="134">
        <f t="shared" si="267"/>
        <v>0.95</v>
      </c>
      <c r="AP220" s="134">
        <f t="shared" si="267"/>
        <v>0.95</v>
      </c>
      <c r="AQ220" s="134">
        <f t="shared" si="267"/>
        <v>0.95</v>
      </c>
      <c r="AR220" s="134">
        <f t="shared" si="267"/>
        <v>0.95</v>
      </c>
      <c r="AS220" s="134">
        <f t="shared" si="267"/>
        <v>0.95</v>
      </c>
      <c r="AT220" s="134">
        <f t="shared" si="267"/>
        <v>0.95</v>
      </c>
      <c r="AU220" s="134">
        <f t="shared" si="267"/>
        <v>0.95</v>
      </c>
      <c r="AV220" s="134">
        <f t="shared" si="267"/>
        <v>0.95</v>
      </c>
      <c r="AW220" s="134">
        <f t="shared" ca="1" si="267"/>
        <v>0.95</v>
      </c>
      <c r="BB220" s="135"/>
    </row>
    <row r="221" spans="1:54" s="21" customFormat="1" ht="18" customHeight="1">
      <c r="A221" s="783"/>
      <c r="B221" s="156"/>
      <c r="C221" s="792"/>
      <c r="D221" s="96" t="str">
        <f>D220</f>
        <v>PIP</v>
      </c>
      <c r="E221" s="136" t="str">
        <f>E220</f>
        <v>RFQ-054</v>
      </c>
      <c r="F221" s="137" t="str">
        <f>F220</f>
        <v>N</v>
      </c>
      <c r="G221" s="159"/>
      <c r="H221" s="162" t="str">
        <f>H220</f>
        <v>SS &amp; DSS FITTING</v>
      </c>
      <c r="I221" s="136" t="str">
        <f>I220</f>
        <v>LD</v>
      </c>
      <c r="J221" s="137"/>
      <c r="K221" s="138"/>
      <c r="L221" s="138">
        <f>M222</f>
        <v>1E-3</v>
      </c>
      <c r="M221" s="138"/>
      <c r="N221" s="136"/>
      <c r="O221" s="136"/>
      <c r="P221" s="136"/>
      <c r="Q221" s="139" t="s">
        <v>5366</v>
      </c>
      <c r="R221" s="139"/>
      <c r="S221" s="140" t="e">
        <f>S220</f>
        <v>#REF!</v>
      </c>
      <c r="T221" s="141" t="e">
        <f>T220</f>
        <v>#REF!</v>
      </c>
      <c r="U221" s="141" t="e">
        <f>WORKDAY(IF(T222="",T221,T222),INDEX(U$2:U$5,MATCH($I220,$I$2:$I$5,0)),$BB$10:$BB$141)</f>
        <v>#REF!</v>
      </c>
      <c r="V221" s="141" t="e">
        <f>WORKDAY(IF(U222="",U221,U222),INDEX(V$2:V$5,MATCH($I220,$I$2:$I$5,0)),$BB$10:$BB$141)</f>
        <v>#REF!</v>
      </c>
      <c r="W221" s="141" t="e">
        <f>WORKDAY(IF(V222="",V221,V222),INDEX(W$2:W$5,MATCH($I220,$I$2:$I$5,0)),$BB$10:$BB$141)</f>
        <v>#REF!</v>
      </c>
      <c r="X221" s="141" t="e">
        <f>WORKDAY(IF(#REF!="",#REF!,#REF!),INDEX(X$2:X$5,MATCH($I220,$I$2:$I$5,0)),$BB$10:$BB$141)</f>
        <v>#REF!</v>
      </c>
      <c r="Y221" s="141" t="e">
        <f>WORKDAY(IF(X222="",X221,X222),INDEX(Y$2:Y$5,MATCH($I220,$I$2:$I$5,0)),$BB$10:$BB$141)</f>
        <v>#REF!</v>
      </c>
      <c r="Z221" s="141" t="e">
        <f>WORKDAY(IF(Y222="",Y221,Y222),INDEX(Z$2:Z$5,MATCH($I220,$I$2:$I$5,0)),$BB$10:$BB$141)</f>
        <v>#REF!</v>
      </c>
      <c r="AA221" s="141" t="e">
        <f>WORKDAY(IF(Z222="",Z221,Z222),INDEX(AA$2:AA$5,MATCH($I220,$I$2:$I$5,0)),$BB$10:$BB$141)</f>
        <v>#REF!</v>
      </c>
      <c r="AB221" s="142" t="e">
        <f>AE220+#REF!</f>
        <v>#REF!</v>
      </c>
      <c r="AC221" s="798"/>
      <c r="AD221" s="105"/>
      <c r="AE221" s="804"/>
      <c r="AF221" s="807"/>
      <c r="AG221" s="810"/>
      <c r="AH221" s="106"/>
      <c r="AI221" s="107"/>
      <c r="AJ221" s="813"/>
      <c r="AK221" s="143"/>
      <c r="AL221" s="144"/>
      <c r="AM221" s="133">
        <f t="shared" ref="AM221:AW221" si="268">IF(ISERROR(LOOKUP(AM$6,$S221:$AB221,$S$9:$AB$9)),0,(LOOKUP(AM$6,$S221:$AB221,$S$9:$AB$9)))</f>
        <v>0</v>
      </c>
      <c r="AN221" s="134">
        <f t="shared" si="268"/>
        <v>0</v>
      </c>
      <c r="AO221" s="134">
        <f t="shared" si="268"/>
        <v>0</v>
      </c>
      <c r="AP221" s="134">
        <f t="shared" si="268"/>
        <v>0</v>
      </c>
      <c r="AQ221" s="134">
        <f t="shared" si="268"/>
        <v>0</v>
      </c>
      <c r="AR221" s="134">
        <f t="shared" si="268"/>
        <v>0</v>
      </c>
      <c r="AS221" s="134">
        <f t="shared" si="268"/>
        <v>0</v>
      </c>
      <c r="AT221" s="134">
        <f t="shared" si="268"/>
        <v>0</v>
      </c>
      <c r="AU221" s="134">
        <f t="shared" si="268"/>
        <v>0</v>
      </c>
      <c r="AV221" s="134">
        <f t="shared" si="268"/>
        <v>0</v>
      </c>
      <c r="AW221" s="134">
        <f t="shared" ca="1" si="268"/>
        <v>0</v>
      </c>
      <c r="BB221" s="135"/>
    </row>
    <row r="222" spans="1:54" s="21" customFormat="1" ht="18" customHeight="1">
      <c r="A222" s="784"/>
      <c r="B222" s="157"/>
      <c r="C222" s="793"/>
      <c r="D222" s="111" t="str">
        <f>D220</f>
        <v>PIP</v>
      </c>
      <c r="E222" s="145" t="str">
        <f>E220</f>
        <v>RFQ-054</v>
      </c>
      <c r="F222" s="146" t="str">
        <f>F220</f>
        <v>N</v>
      </c>
      <c r="G222" s="160"/>
      <c r="H222" s="163" t="str">
        <f>H220</f>
        <v>SS &amp; DSS FITTING</v>
      </c>
      <c r="I222" s="145" t="str">
        <f>I220</f>
        <v>LD</v>
      </c>
      <c r="J222" s="146"/>
      <c r="K222" s="147"/>
      <c r="L222" s="147"/>
      <c r="M222" s="147">
        <v>1E-3</v>
      </c>
      <c r="N222" s="145"/>
      <c r="O222" s="145"/>
      <c r="P222" s="145"/>
      <c r="Q222" s="148" t="s">
        <v>368</v>
      </c>
      <c r="R222" s="148"/>
      <c r="S222" s="149"/>
      <c r="T222" s="149"/>
      <c r="U222" s="149"/>
      <c r="V222" s="149"/>
      <c r="W222" s="149"/>
      <c r="X222" s="149"/>
      <c r="Y222" s="149"/>
      <c r="Z222" s="149"/>
      <c r="AA222" s="149"/>
      <c r="AB222" s="149"/>
      <c r="AC222" s="799"/>
      <c r="AD222" s="116"/>
      <c r="AE222" s="805"/>
      <c r="AF222" s="808"/>
      <c r="AG222" s="811"/>
      <c r="AH222" s="117"/>
      <c r="AI222" s="118"/>
      <c r="AJ222" s="814"/>
      <c r="AK222" s="150"/>
      <c r="AL222" s="151"/>
      <c r="AM222" s="152">
        <f t="shared" ref="AM222:AW222" si="269">IF(ISERROR(LOOKUP(AM$6,$S222:$AB222,$S$9:$AB$9)),0,(LOOKUP(AM$6,$S222:$AB222,$S$9:$AB$9)))</f>
        <v>0</v>
      </c>
      <c r="AN222" s="153">
        <f t="shared" si="269"/>
        <v>0</v>
      </c>
      <c r="AO222" s="153">
        <f t="shared" si="269"/>
        <v>0</v>
      </c>
      <c r="AP222" s="153">
        <f t="shared" si="269"/>
        <v>0</v>
      </c>
      <c r="AQ222" s="153">
        <f t="shared" si="269"/>
        <v>0</v>
      </c>
      <c r="AR222" s="153">
        <f t="shared" si="269"/>
        <v>0</v>
      </c>
      <c r="AS222" s="153">
        <f t="shared" si="269"/>
        <v>0</v>
      </c>
      <c r="AT222" s="153">
        <f t="shared" si="269"/>
        <v>0</v>
      </c>
      <c r="AU222" s="153">
        <f t="shared" si="269"/>
        <v>0</v>
      </c>
      <c r="AV222" s="153">
        <f t="shared" si="269"/>
        <v>0</v>
      </c>
      <c r="AW222" s="153">
        <f t="shared" ca="1" si="269"/>
        <v>0</v>
      </c>
      <c r="BB222" s="135"/>
    </row>
    <row r="223" spans="1:54" s="21" customFormat="1" ht="18" customHeight="1">
      <c r="A223" s="782">
        <f>A220+1</f>
        <v>72</v>
      </c>
      <c r="B223" s="154" t="s">
        <v>5425</v>
      </c>
      <c r="C223" s="791" t="s">
        <v>5361</v>
      </c>
      <c r="D223" s="80" t="s">
        <v>5387</v>
      </c>
      <c r="E223" s="127" t="s">
        <v>5422</v>
      </c>
      <c r="F223" s="128" t="s">
        <v>73</v>
      </c>
      <c r="G223" s="158"/>
      <c r="H223" s="82" t="s">
        <v>5440</v>
      </c>
      <c r="I223" s="127" t="s">
        <v>9</v>
      </c>
      <c r="J223" s="128"/>
      <c r="K223" s="129">
        <f>M225</f>
        <v>1E-3</v>
      </c>
      <c r="L223" s="129"/>
      <c r="M223" s="129"/>
      <c r="N223" s="127"/>
      <c r="O223" s="127"/>
      <c r="P223" s="127"/>
      <c r="Q223" s="130" t="s">
        <v>5364</v>
      </c>
      <c r="R223" s="130"/>
      <c r="S223" s="155" t="e">
        <f>WORKDAY(T223,-INDEX(T$2:T$5,MATCH($I223,$I$2:$I$5,0)),'[38]Equipment List and MR List (3)'!$A$2:$A$80)</f>
        <v>#REF!</v>
      </c>
      <c r="T223" s="155" t="e">
        <f>WORKDAY(U223,-INDEX(U$2:U$5,MATCH($I223,$I$2:$I$5,0)),$BB$10:$BB$141)</f>
        <v>#REF!</v>
      </c>
      <c r="U223" s="155" t="e">
        <f>WORKDAY(V223,-INDEX(V$2:V$5,MATCH($I223,$I$2:$I$5,0)),$BB$10:$BB$141)</f>
        <v>#REF!</v>
      </c>
      <c r="V223" s="155" t="e">
        <f>WORKDAY(W223,-INDEX(W$2:W$5,MATCH($I223,$I$2:$I$5,0)),$BB$10:$BB$141)</f>
        <v>#REF!</v>
      </c>
      <c r="W223" s="155" t="e">
        <f>WORKDAY(#REF!,-INDEX(#REF!,MATCH($I223,$I$2:$I$5,0)),$BB$10:$BB$141)</f>
        <v>#REF!</v>
      </c>
      <c r="X223" s="155" t="e">
        <f>WORKDAY(Y223,-INDEX(Y$2:Y$5,MATCH($I223,$I$2:$I$5,0)),$BB$10:$BB$141)</f>
        <v>#REF!</v>
      </c>
      <c r="Y223" s="155" t="e">
        <f>WORKDAY(Z223,-INDEX(Z$2:Z$5,MATCH($I223,$I$2:$I$5,0)),$BB$10:$BB$141)</f>
        <v>#REF!</v>
      </c>
      <c r="Z223" s="155" t="e">
        <f>WORKDAY(AA223,-INDEX(AA$2:AA$5,MATCH($I223,$I$2:$I$5,0)),$BB$10:$BB$141)</f>
        <v>#REF!</v>
      </c>
      <c r="AA223" s="155" t="e">
        <f>WORKDAY(#REF!,-INDEX(#REF!,MATCH($I223,$I$2:$I$5,0)),$BB$10:$BB$141)</f>
        <v>#REF!</v>
      </c>
      <c r="AB223" s="155">
        <f>WORKDAY(AG223,0,'[38]Equipment List and MR List (3)'!$A$2:$A$80)</f>
        <v>0</v>
      </c>
      <c r="AC223" s="797" t="s">
        <v>5365</v>
      </c>
      <c r="AD223" s="87">
        <v>7</v>
      </c>
      <c r="AE223" s="803"/>
      <c r="AF223" s="806" t="e">
        <f>AB224</f>
        <v>#REF!</v>
      </c>
      <c r="AG223" s="809"/>
      <c r="AH223" s="88"/>
      <c r="AI223" s="89"/>
      <c r="AJ223" s="812" t="e">
        <f>AG223-AF223</f>
        <v>#REF!</v>
      </c>
      <c r="AK223" s="131"/>
      <c r="AL223" s="132"/>
      <c r="AM223" s="133">
        <f t="shared" ref="AM223:AW223" si="270">IF(ISERROR(LOOKUP(AM$6,$S223:$AB223,$S$9:$AB$9)),0,(LOOKUP(AM$6,$S223:$AB223,$S$9:$AB$9)))</f>
        <v>0.95</v>
      </c>
      <c r="AN223" s="134">
        <f t="shared" si="270"/>
        <v>0.95</v>
      </c>
      <c r="AO223" s="134">
        <f t="shared" si="270"/>
        <v>0.95</v>
      </c>
      <c r="AP223" s="134">
        <f t="shared" si="270"/>
        <v>0.95</v>
      </c>
      <c r="AQ223" s="134">
        <f t="shared" si="270"/>
        <v>0.95</v>
      </c>
      <c r="AR223" s="134">
        <f t="shared" si="270"/>
        <v>0.95</v>
      </c>
      <c r="AS223" s="134">
        <f t="shared" si="270"/>
        <v>0.95</v>
      </c>
      <c r="AT223" s="134">
        <f t="shared" si="270"/>
        <v>0.95</v>
      </c>
      <c r="AU223" s="134">
        <f t="shared" si="270"/>
        <v>0.95</v>
      </c>
      <c r="AV223" s="134">
        <f t="shared" si="270"/>
        <v>0.95</v>
      </c>
      <c r="AW223" s="134">
        <f t="shared" ca="1" si="270"/>
        <v>0.95</v>
      </c>
      <c r="BB223" s="135"/>
    </row>
    <row r="224" spans="1:54" s="21" customFormat="1" ht="18" customHeight="1">
      <c r="A224" s="783"/>
      <c r="B224" s="156"/>
      <c r="C224" s="792"/>
      <c r="D224" s="96" t="str">
        <f>D223</f>
        <v>ELE</v>
      </c>
      <c r="E224" s="136" t="str">
        <f>E223</f>
        <v>RFQ-054</v>
      </c>
      <c r="F224" s="137" t="str">
        <f>F223</f>
        <v>N</v>
      </c>
      <c r="G224" s="159"/>
      <c r="H224" s="98" t="str">
        <f>H223</f>
        <v>Welding Electrode</v>
      </c>
      <c r="I224" s="136" t="str">
        <f>I223</f>
        <v>LD</v>
      </c>
      <c r="J224" s="137"/>
      <c r="K224" s="138"/>
      <c r="L224" s="138">
        <f>M225</f>
        <v>1E-3</v>
      </c>
      <c r="M224" s="138"/>
      <c r="N224" s="136"/>
      <c r="O224" s="136"/>
      <c r="P224" s="136"/>
      <c r="Q224" s="139" t="s">
        <v>5366</v>
      </c>
      <c r="R224" s="139"/>
      <c r="S224" s="140" t="e">
        <f>S223</f>
        <v>#REF!</v>
      </c>
      <c r="T224" s="141" t="e">
        <f>T223</f>
        <v>#REF!</v>
      </c>
      <c r="U224" s="141" t="e">
        <f>WORKDAY(IF(T225="",T224,T225),INDEX(U$2:U$5,MATCH($I223,$I$2:$I$5,0)),$BB$10:$BB$141)</f>
        <v>#REF!</v>
      </c>
      <c r="V224" s="141" t="e">
        <f>WORKDAY(IF(U225="",U224,U225),INDEX(V$2:V$5,MATCH($I223,$I$2:$I$5,0)),$BB$10:$BB$141)</f>
        <v>#REF!</v>
      </c>
      <c r="W224" s="141" t="e">
        <f>WORKDAY(IF(V225="",V224,V225),INDEX(W$2:W$5,MATCH($I223,$I$2:$I$5,0)),$BB$10:$BB$141)</f>
        <v>#REF!</v>
      </c>
      <c r="X224" s="141" t="e">
        <f>WORKDAY(IF(#REF!="",#REF!,#REF!),INDEX(X$2:X$5,MATCH($I223,$I$2:$I$5,0)),$BB$10:$BB$141)</f>
        <v>#REF!</v>
      </c>
      <c r="Y224" s="141" t="e">
        <f>WORKDAY(IF(X225="",X224,X225),INDEX(Y$2:Y$5,MATCH($I223,$I$2:$I$5,0)),$BB$10:$BB$141)</f>
        <v>#REF!</v>
      </c>
      <c r="Z224" s="141" t="e">
        <f>WORKDAY(IF(Y225="",Y224,Y225),INDEX(Z$2:Z$5,MATCH($I223,$I$2:$I$5,0)),$BB$10:$BB$141)</f>
        <v>#REF!</v>
      </c>
      <c r="AA224" s="141" t="e">
        <f>WORKDAY(IF(Z225="",Z224,Z225),INDEX(AA$2:AA$5,MATCH($I223,$I$2:$I$5,0)),$BB$10:$BB$141)</f>
        <v>#REF!</v>
      </c>
      <c r="AB224" s="142" t="e">
        <f>AE223+#REF!</f>
        <v>#REF!</v>
      </c>
      <c r="AC224" s="798"/>
      <c r="AD224" s="105"/>
      <c r="AE224" s="804"/>
      <c r="AF224" s="807"/>
      <c r="AG224" s="810"/>
      <c r="AH224" s="106"/>
      <c r="AI224" s="107"/>
      <c r="AJ224" s="813"/>
      <c r="AK224" s="143"/>
      <c r="AL224" s="144"/>
      <c r="AM224" s="133">
        <f t="shared" ref="AM224:AW224" si="271">IF(ISERROR(LOOKUP(AM$6,$S224:$AB224,$S$9:$AB$9)),0,(LOOKUP(AM$6,$S224:$AB224,$S$9:$AB$9)))</f>
        <v>0</v>
      </c>
      <c r="AN224" s="134">
        <f t="shared" si="271"/>
        <v>0</v>
      </c>
      <c r="AO224" s="134">
        <f t="shared" si="271"/>
        <v>0</v>
      </c>
      <c r="AP224" s="134">
        <f t="shared" si="271"/>
        <v>0</v>
      </c>
      <c r="AQ224" s="134">
        <f t="shared" si="271"/>
        <v>0</v>
      </c>
      <c r="AR224" s="134">
        <f t="shared" si="271"/>
        <v>0</v>
      </c>
      <c r="AS224" s="134">
        <f t="shared" si="271"/>
        <v>0</v>
      </c>
      <c r="AT224" s="134">
        <f t="shared" si="271"/>
        <v>0</v>
      </c>
      <c r="AU224" s="134">
        <f t="shared" si="271"/>
        <v>0</v>
      </c>
      <c r="AV224" s="134">
        <f t="shared" si="271"/>
        <v>0</v>
      </c>
      <c r="AW224" s="134">
        <f t="shared" ca="1" si="271"/>
        <v>0</v>
      </c>
      <c r="BB224" s="135"/>
    </row>
    <row r="225" spans="1:54" s="21" customFormat="1" ht="18" customHeight="1">
      <c r="A225" s="784"/>
      <c r="B225" s="157"/>
      <c r="C225" s="793"/>
      <c r="D225" s="111" t="str">
        <f>D223</f>
        <v>ELE</v>
      </c>
      <c r="E225" s="145" t="str">
        <f>E223</f>
        <v>RFQ-054</v>
      </c>
      <c r="F225" s="146" t="str">
        <f>F223</f>
        <v>N</v>
      </c>
      <c r="G225" s="160"/>
      <c r="H225" s="113" t="str">
        <f>H223</f>
        <v>Welding Electrode</v>
      </c>
      <c r="I225" s="145" t="str">
        <f>I223</f>
        <v>LD</v>
      </c>
      <c r="J225" s="146"/>
      <c r="K225" s="147"/>
      <c r="L225" s="147"/>
      <c r="M225" s="147">
        <v>1E-3</v>
      </c>
      <c r="N225" s="145"/>
      <c r="O225" s="145"/>
      <c r="P225" s="145"/>
      <c r="Q225" s="148" t="s">
        <v>368</v>
      </c>
      <c r="R225" s="148"/>
      <c r="S225" s="149"/>
      <c r="T225" s="149"/>
      <c r="U225" s="149"/>
      <c r="V225" s="149"/>
      <c r="W225" s="149"/>
      <c r="X225" s="149"/>
      <c r="Y225" s="149"/>
      <c r="Z225" s="149"/>
      <c r="AA225" s="149"/>
      <c r="AB225" s="149"/>
      <c r="AC225" s="799"/>
      <c r="AD225" s="116"/>
      <c r="AE225" s="805"/>
      <c r="AF225" s="808"/>
      <c r="AG225" s="811"/>
      <c r="AH225" s="117"/>
      <c r="AI225" s="118"/>
      <c r="AJ225" s="814"/>
      <c r="AK225" s="150"/>
      <c r="AL225" s="151"/>
      <c r="AM225" s="152">
        <f t="shared" ref="AM225:AW225" si="272">IF(ISERROR(LOOKUP(AM$6,$S225:$AB225,$S$9:$AB$9)),0,(LOOKUP(AM$6,$S225:$AB225,$S$9:$AB$9)))</f>
        <v>0</v>
      </c>
      <c r="AN225" s="153">
        <f t="shared" si="272"/>
        <v>0</v>
      </c>
      <c r="AO225" s="153">
        <f t="shared" si="272"/>
        <v>0</v>
      </c>
      <c r="AP225" s="153">
        <f t="shared" si="272"/>
        <v>0</v>
      </c>
      <c r="AQ225" s="153">
        <f t="shared" si="272"/>
        <v>0</v>
      </c>
      <c r="AR225" s="153">
        <f t="shared" si="272"/>
        <v>0</v>
      </c>
      <c r="AS225" s="153">
        <f t="shared" si="272"/>
        <v>0</v>
      </c>
      <c r="AT225" s="153">
        <f t="shared" si="272"/>
        <v>0</v>
      </c>
      <c r="AU225" s="153">
        <f t="shared" si="272"/>
        <v>0</v>
      </c>
      <c r="AV225" s="153">
        <f t="shared" si="272"/>
        <v>0</v>
      </c>
      <c r="AW225" s="153">
        <f t="shared" ca="1" si="272"/>
        <v>0</v>
      </c>
      <c r="BB225" s="135"/>
    </row>
    <row r="226" spans="1:54" s="21" customFormat="1" ht="18" customHeight="1">
      <c r="A226" s="782">
        <f>A223+1</f>
        <v>73</v>
      </c>
      <c r="B226" s="154" t="s">
        <v>5425</v>
      </c>
      <c r="C226" s="791" t="s">
        <v>5361</v>
      </c>
      <c r="D226" s="80" t="s">
        <v>5387</v>
      </c>
      <c r="E226" s="127" t="s">
        <v>5422</v>
      </c>
      <c r="F226" s="128" t="s">
        <v>73</v>
      </c>
      <c r="G226" s="158"/>
      <c r="H226" s="82" t="s">
        <v>5441</v>
      </c>
      <c r="I226" s="127" t="s">
        <v>9</v>
      </c>
      <c r="J226" s="128"/>
      <c r="K226" s="129">
        <f>M228</f>
        <v>1E-3</v>
      </c>
      <c r="L226" s="129"/>
      <c r="M226" s="129"/>
      <c r="N226" s="127"/>
      <c r="O226" s="127"/>
      <c r="P226" s="127"/>
      <c r="Q226" s="130" t="s">
        <v>5364</v>
      </c>
      <c r="R226" s="130"/>
      <c r="S226" s="155" t="e">
        <f>WORKDAY(T226,-INDEX(T$2:T$5,MATCH($I226,$I$2:$I$5,0)),'[38]Equipment List and MR List (3)'!$A$2:$A$80)</f>
        <v>#REF!</v>
      </c>
      <c r="T226" s="155" t="e">
        <f>WORKDAY(U226,-INDEX(U$2:U$5,MATCH($I226,$I$2:$I$5,0)),$BB$10:$BB$141)</f>
        <v>#REF!</v>
      </c>
      <c r="U226" s="155" t="e">
        <f>WORKDAY(V226,-INDEX(V$2:V$5,MATCH($I226,$I$2:$I$5,0)),$BB$10:$BB$141)</f>
        <v>#REF!</v>
      </c>
      <c r="V226" s="155" t="e">
        <f>WORKDAY(W226,-INDEX(W$2:W$5,MATCH($I226,$I$2:$I$5,0)),$BB$10:$BB$141)</f>
        <v>#REF!</v>
      </c>
      <c r="W226" s="155" t="e">
        <f>WORKDAY(#REF!,-INDEX(#REF!,MATCH($I226,$I$2:$I$5,0)),$BB$10:$BB$141)</f>
        <v>#REF!</v>
      </c>
      <c r="X226" s="155" t="e">
        <f>WORKDAY(Y226,-INDEX(Y$2:Y$5,MATCH($I226,$I$2:$I$5,0)),$BB$10:$BB$141)</f>
        <v>#REF!</v>
      </c>
      <c r="Y226" s="155" t="e">
        <f>WORKDAY(Z226,-INDEX(Z$2:Z$5,MATCH($I226,$I$2:$I$5,0)),$BB$10:$BB$141)</f>
        <v>#REF!</v>
      </c>
      <c r="Z226" s="155" t="e">
        <f>WORKDAY(AA226,-INDEX(AA$2:AA$5,MATCH($I226,$I$2:$I$5,0)),$BB$10:$BB$141)</f>
        <v>#REF!</v>
      </c>
      <c r="AA226" s="155" t="e">
        <f>WORKDAY(#REF!,-INDEX(#REF!,MATCH($I226,$I$2:$I$5,0)),$BB$10:$BB$141)</f>
        <v>#REF!</v>
      </c>
      <c r="AB226" s="155">
        <f>WORKDAY(AG226,0,'[38]Equipment List and MR List (3)'!$A$2:$A$80)</f>
        <v>0</v>
      </c>
      <c r="AC226" s="797" t="s">
        <v>5365</v>
      </c>
      <c r="AD226" s="87">
        <v>7</v>
      </c>
      <c r="AE226" s="803"/>
      <c r="AF226" s="806" t="e">
        <f>AB227</f>
        <v>#REF!</v>
      </c>
      <c r="AG226" s="809"/>
      <c r="AH226" s="88"/>
      <c r="AI226" s="89"/>
      <c r="AJ226" s="812" t="e">
        <f>AG226-AF226</f>
        <v>#REF!</v>
      </c>
      <c r="AK226" s="131"/>
      <c r="AL226" s="132"/>
      <c r="AM226" s="133">
        <f t="shared" ref="AM226:AW226" si="273">IF(ISERROR(LOOKUP(AM$6,$S226:$AB226,$S$9:$AB$9)),0,(LOOKUP(AM$6,$S226:$AB226,$S$9:$AB$9)))</f>
        <v>0.95</v>
      </c>
      <c r="AN226" s="134">
        <f t="shared" si="273"/>
        <v>0.95</v>
      </c>
      <c r="AO226" s="134">
        <f t="shared" si="273"/>
        <v>0.95</v>
      </c>
      <c r="AP226" s="134">
        <f t="shared" si="273"/>
        <v>0.95</v>
      </c>
      <c r="AQ226" s="134">
        <f t="shared" si="273"/>
        <v>0.95</v>
      </c>
      <c r="AR226" s="134">
        <f t="shared" si="273"/>
        <v>0.95</v>
      </c>
      <c r="AS226" s="134">
        <f t="shared" si="273"/>
        <v>0.95</v>
      </c>
      <c r="AT226" s="134">
        <f t="shared" si="273"/>
        <v>0.95</v>
      </c>
      <c r="AU226" s="134">
        <f t="shared" si="273"/>
        <v>0.95</v>
      </c>
      <c r="AV226" s="134">
        <f t="shared" si="273"/>
        <v>0.95</v>
      </c>
      <c r="AW226" s="134">
        <f t="shared" ca="1" si="273"/>
        <v>0.95</v>
      </c>
      <c r="BB226" s="135"/>
    </row>
    <row r="227" spans="1:54" s="21" customFormat="1" ht="18" customHeight="1">
      <c r="A227" s="783"/>
      <c r="B227" s="156"/>
      <c r="C227" s="792"/>
      <c r="D227" s="96" t="str">
        <f>D226</f>
        <v>ELE</v>
      </c>
      <c r="E227" s="136" t="str">
        <f>E226</f>
        <v>RFQ-054</v>
      </c>
      <c r="F227" s="137" t="str">
        <f>F226</f>
        <v>N</v>
      </c>
      <c r="G227" s="159"/>
      <c r="H227" s="98" t="str">
        <f>H226</f>
        <v>Cable Ladder/Tray-GRP</v>
      </c>
      <c r="I227" s="136" t="str">
        <f>I226</f>
        <v>LD</v>
      </c>
      <c r="J227" s="137"/>
      <c r="K227" s="138"/>
      <c r="L227" s="138">
        <f>M228</f>
        <v>1E-3</v>
      </c>
      <c r="M227" s="138"/>
      <c r="N227" s="136"/>
      <c r="O227" s="136"/>
      <c r="P227" s="136"/>
      <c r="Q227" s="139" t="s">
        <v>5366</v>
      </c>
      <c r="R227" s="139"/>
      <c r="S227" s="140" t="e">
        <f>S226</f>
        <v>#REF!</v>
      </c>
      <c r="T227" s="141" t="e">
        <f>T226</f>
        <v>#REF!</v>
      </c>
      <c r="U227" s="141" t="e">
        <f>WORKDAY(IF(T228="",T227,T228),INDEX(U$2:U$5,MATCH($I226,$I$2:$I$5,0)),$BB$10:$BB$141)</f>
        <v>#REF!</v>
      </c>
      <c r="V227" s="141" t="e">
        <f>WORKDAY(IF(U228="",U227,U228),INDEX(V$2:V$5,MATCH($I226,$I$2:$I$5,0)),$BB$10:$BB$141)</f>
        <v>#REF!</v>
      </c>
      <c r="W227" s="141" t="e">
        <f>WORKDAY(IF(V228="",V227,V228),INDEX(W$2:W$5,MATCH($I226,$I$2:$I$5,0)),$BB$10:$BB$141)</f>
        <v>#REF!</v>
      </c>
      <c r="X227" s="141" t="e">
        <f>WORKDAY(IF(#REF!="",#REF!,#REF!),INDEX(X$2:X$5,MATCH($I226,$I$2:$I$5,0)),$BB$10:$BB$141)</f>
        <v>#REF!</v>
      </c>
      <c r="Y227" s="141" t="e">
        <f>WORKDAY(IF(X228="",X227,X228),INDEX(Y$2:Y$5,MATCH($I226,$I$2:$I$5,0)),$BB$10:$BB$141)</f>
        <v>#REF!</v>
      </c>
      <c r="Z227" s="141" t="e">
        <f>WORKDAY(IF(Y228="",Y227,Y228),INDEX(Z$2:Z$5,MATCH($I226,$I$2:$I$5,0)),$BB$10:$BB$141)</f>
        <v>#REF!</v>
      </c>
      <c r="AA227" s="141" t="e">
        <f>WORKDAY(IF(Z228="",Z227,Z228),INDEX(AA$2:AA$5,MATCH($I226,$I$2:$I$5,0)),$BB$10:$BB$141)</f>
        <v>#REF!</v>
      </c>
      <c r="AB227" s="142" t="e">
        <f>AE226+#REF!</f>
        <v>#REF!</v>
      </c>
      <c r="AC227" s="798"/>
      <c r="AD227" s="105"/>
      <c r="AE227" s="804"/>
      <c r="AF227" s="807"/>
      <c r="AG227" s="810"/>
      <c r="AH227" s="106"/>
      <c r="AI227" s="107"/>
      <c r="AJ227" s="813"/>
      <c r="AK227" s="143"/>
      <c r="AL227" s="144"/>
      <c r="AM227" s="133">
        <f t="shared" ref="AM227:AW227" si="274">IF(ISERROR(LOOKUP(AM$6,$S227:$AB227,$S$9:$AB$9)),0,(LOOKUP(AM$6,$S227:$AB227,$S$9:$AB$9)))</f>
        <v>0</v>
      </c>
      <c r="AN227" s="134">
        <f t="shared" si="274"/>
        <v>0</v>
      </c>
      <c r="AO227" s="134">
        <f t="shared" si="274"/>
        <v>0</v>
      </c>
      <c r="AP227" s="134">
        <f t="shared" si="274"/>
        <v>0</v>
      </c>
      <c r="AQ227" s="134">
        <f t="shared" si="274"/>
        <v>0</v>
      </c>
      <c r="AR227" s="134">
        <f t="shared" si="274"/>
        <v>0</v>
      </c>
      <c r="AS227" s="134">
        <f t="shared" si="274"/>
        <v>0</v>
      </c>
      <c r="AT227" s="134">
        <f t="shared" si="274"/>
        <v>0</v>
      </c>
      <c r="AU227" s="134">
        <f t="shared" si="274"/>
        <v>0</v>
      </c>
      <c r="AV227" s="134">
        <f t="shared" si="274"/>
        <v>0</v>
      </c>
      <c r="AW227" s="134">
        <f t="shared" ca="1" si="274"/>
        <v>0</v>
      </c>
      <c r="BB227" s="135"/>
    </row>
    <row r="228" spans="1:54" s="21" customFormat="1" ht="18" customHeight="1">
      <c r="A228" s="784"/>
      <c r="B228" s="157"/>
      <c r="C228" s="793"/>
      <c r="D228" s="111" t="str">
        <f>D226</f>
        <v>ELE</v>
      </c>
      <c r="E228" s="145" t="str">
        <f>E226</f>
        <v>RFQ-054</v>
      </c>
      <c r="F228" s="146" t="str">
        <f>F226</f>
        <v>N</v>
      </c>
      <c r="G228" s="160"/>
      <c r="H228" s="113" t="str">
        <f>H226</f>
        <v>Cable Ladder/Tray-GRP</v>
      </c>
      <c r="I228" s="145" t="str">
        <f>I226</f>
        <v>LD</v>
      </c>
      <c r="J228" s="146"/>
      <c r="K228" s="147"/>
      <c r="L228" s="147"/>
      <c r="M228" s="147">
        <v>1E-3</v>
      </c>
      <c r="N228" s="145"/>
      <c r="O228" s="145"/>
      <c r="P228" s="145"/>
      <c r="Q228" s="148" t="s">
        <v>368</v>
      </c>
      <c r="R228" s="148"/>
      <c r="S228" s="149"/>
      <c r="T228" s="149"/>
      <c r="U228" s="149"/>
      <c r="V228" s="149"/>
      <c r="W228" s="149"/>
      <c r="X228" s="149"/>
      <c r="Y228" s="149"/>
      <c r="Z228" s="149"/>
      <c r="AA228" s="149"/>
      <c r="AB228" s="149"/>
      <c r="AC228" s="799"/>
      <c r="AD228" s="116"/>
      <c r="AE228" s="805"/>
      <c r="AF228" s="808"/>
      <c r="AG228" s="811"/>
      <c r="AH228" s="117"/>
      <c r="AI228" s="118"/>
      <c r="AJ228" s="814"/>
      <c r="AK228" s="150"/>
      <c r="AL228" s="151"/>
      <c r="AM228" s="152">
        <f t="shared" ref="AM228:AW228" si="275">IF(ISERROR(LOOKUP(AM$6,$S228:$AB228,$S$9:$AB$9)),0,(LOOKUP(AM$6,$S228:$AB228,$S$9:$AB$9)))</f>
        <v>0</v>
      </c>
      <c r="AN228" s="153">
        <f t="shared" si="275"/>
        <v>0</v>
      </c>
      <c r="AO228" s="153">
        <f t="shared" si="275"/>
        <v>0</v>
      </c>
      <c r="AP228" s="153">
        <f t="shared" si="275"/>
        <v>0</v>
      </c>
      <c r="AQ228" s="153">
        <f t="shared" si="275"/>
        <v>0</v>
      </c>
      <c r="AR228" s="153">
        <f t="shared" si="275"/>
        <v>0</v>
      </c>
      <c r="AS228" s="153">
        <f t="shared" si="275"/>
        <v>0</v>
      </c>
      <c r="AT228" s="153">
        <f t="shared" si="275"/>
        <v>0</v>
      </c>
      <c r="AU228" s="153">
        <f t="shared" si="275"/>
        <v>0</v>
      </c>
      <c r="AV228" s="153">
        <f t="shared" si="275"/>
        <v>0</v>
      </c>
      <c r="AW228" s="153">
        <f t="shared" ca="1" si="275"/>
        <v>0</v>
      </c>
      <c r="BB228" s="135"/>
    </row>
    <row r="229" spans="1:54" s="21" customFormat="1" ht="18" customHeight="1">
      <c r="A229" s="782">
        <f>A226+1</f>
        <v>74</v>
      </c>
      <c r="B229" s="154" t="s">
        <v>5425</v>
      </c>
      <c r="C229" s="791" t="s">
        <v>5361</v>
      </c>
      <c r="D229" s="80" t="s">
        <v>5387</v>
      </c>
      <c r="E229" s="127" t="s">
        <v>5422</v>
      </c>
      <c r="F229" s="128" t="s">
        <v>73</v>
      </c>
      <c r="G229" s="158"/>
      <c r="H229" s="82" t="s">
        <v>5442</v>
      </c>
      <c r="I229" s="127" t="s">
        <v>9</v>
      </c>
      <c r="J229" s="128"/>
      <c r="K229" s="129">
        <f>M231</f>
        <v>1E-3</v>
      </c>
      <c r="L229" s="129"/>
      <c r="M229" s="129"/>
      <c r="N229" s="127"/>
      <c r="O229" s="127"/>
      <c r="P229" s="127"/>
      <c r="Q229" s="130" t="s">
        <v>5364</v>
      </c>
      <c r="R229" s="130"/>
      <c r="S229" s="155" t="e">
        <f>WORKDAY(T229,-INDEX(T$2:T$5,MATCH($I229,$I$2:$I$5,0)),'[38]Equipment List and MR List (3)'!$A$2:$A$80)</f>
        <v>#REF!</v>
      </c>
      <c r="T229" s="155" t="e">
        <f>WORKDAY(U229,-INDEX(U$2:U$5,MATCH($I229,$I$2:$I$5,0)),$BB$10:$BB$141)</f>
        <v>#REF!</v>
      </c>
      <c r="U229" s="155" t="e">
        <f>WORKDAY(V229,-INDEX(V$2:V$5,MATCH($I229,$I$2:$I$5,0)),$BB$10:$BB$141)</f>
        <v>#REF!</v>
      </c>
      <c r="V229" s="155" t="e">
        <f>WORKDAY(W229,-INDEX(W$2:W$5,MATCH($I229,$I$2:$I$5,0)),$BB$10:$BB$141)</f>
        <v>#REF!</v>
      </c>
      <c r="W229" s="155" t="e">
        <f>WORKDAY(#REF!,-INDEX(#REF!,MATCH($I229,$I$2:$I$5,0)),$BB$10:$BB$141)</f>
        <v>#REF!</v>
      </c>
      <c r="X229" s="155" t="e">
        <f>WORKDAY(Y229,-INDEX(Y$2:Y$5,MATCH($I229,$I$2:$I$5,0)),$BB$10:$BB$141)</f>
        <v>#REF!</v>
      </c>
      <c r="Y229" s="155" t="e">
        <f>WORKDAY(Z229,-INDEX(Z$2:Z$5,MATCH($I229,$I$2:$I$5,0)),$BB$10:$BB$141)</f>
        <v>#REF!</v>
      </c>
      <c r="Z229" s="155" t="e">
        <f>WORKDAY(AA229,-INDEX(AA$2:AA$5,MATCH($I229,$I$2:$I$5,0)),$BB$10:$BB$141)</f>
        <v>#REF!</v>
      </c>
      <c r="AA229" s="155" t="e">
        <f>WORKDAY(#REF!,-INDEX(#REF!,MATCH($I229,$I$2:$I$5,0)),$BB$10:$BB$141)</f>
        <v>#REF!</v>
      </c>
      <c r="AB229" s="155">
        <f>WORKDAY(AG229,0,'[38]Equipment List and MR List (3)'!$A$2:$A$80)</f>
        <v>0</v>
      </c>
      <c r="AC229" s="797" t="s">
        <v>5365</v>
      </c>
      <c r="AD229" s="87">
        <v>7</v>
      </c>
      <c r="AE229" s="803"/>
      <c r="AF229" s="806" t="e">
        <f>AB230</f>
        <v>#REF!</v>
      </c>
      <c r="AG229" s="809"/>
      <c r="AH229" s="88"/>
      <c r="AI229" s="89"/>
      <c r="AJ229" s="812" t="e">
        <f>AG229-AF229</f>
        <v>#REF!</v>
      </c>
      <c r="AK229" s="131"/>
      <c r="AL229" s="132"/>
      <c r="AM229" s="133">
        <f t="shared" ref="AM229:AW229" si="276">IF(ISERROR(LOOKUP(AM$6,$S229:$AB229,$S$9:$AB$9)),0,(LOOKUP(AM$6,$S229:$AB229,$S$9:$AB$9)))</f>
        <v>0.95</v>
      </c>
      <c r="AN229" s="134">
        <f t="shared" si="276"/>
        <v>0.95</v>
      </c>
      <c r="AO229" s="134">
        <f t="shared" si="276"/>
        <v>0.95</v>
      </c>
      <c r="AP229" s="134">
        <f t="shared" si="276"/>
        <v>0.95</v>
      </c>
      <c r="AQ229" s="134">
        <f t="shared" si="276"/>
        <v>0.95</v>
      </c>
      <c r="AR229" s="134">
        <f t="shared" si="276"/>
        <v>0.95</v>
      </c>
      <c r="AS229" s="134">
        <f t="shared" si="276"/>
        <v>0.95</v>
      </c>
      <c r="AT229" s="134">
        <f t="shared" si="276"/>
        <v>0.95</v>
      </c>
      <c r="AU229" s="134">
        <f t="shared" si="276"/>
        <v>0.95</v>
      </c>
      <c r="AV229" s="134">
        <f t="shared" si="276"/>
        <v>0.95</v>
      </c>
      <c r="AW229" s="134">
        <f t="shared" ca="1" si="276"/>
        <v>0.95</v>
      </c>
      <c r="BB229" s="135"/>
    </row>
    <row r="230" spans="1:54" s="21" customFormat="1" ht="18" customHeight="1">
      <c r="A230" s="783"/>
      <c r="B230" s="156"/>
      <c r="C230" s="792"/>
      <c r="D230" s="96" t="str">
        <f>D229</f>
        <v>ELE</v>
      </c>
      <c r="E230" s="136" t="str">
        <f>E229</f>
        <v>RFQ-054</v>
      </c>
      <c r="F230" s="137" t="str">
        <f>F229</f>
        <v>N</v>
      </c>
      <c r="G230" s="159"/>
      <c r="H230" s="98" t="str">
        <f>H229</f>
        <v>Flameproof Enclosure (Ex'd)</v>
      </c>
      <c r="I230" s="136" t="str">
        <f>I229</f>
        <v>LD</v>
      </c>
      <c r="J230" s="137"/>
      <c r="K230" s="138"/>
      <c r="L230" s="138">
        <f>M231</f>
        <v>1E-3</v>
      </c>
      <c r="M230" s="138"/>
      <c r="N230" s="136"/>
      <c r="O230" s="136"/>
      <c r="P230" s="136"/>
      <c r="Q230" s="139" t="s">
        <v>5366</v>
      </c>
      <c r="R230" s="139"/>
      <c r="S230" s="140" t="e">
        <f>S229</f>
        <v>#REF!</v>
      </c>
      <c r="T230" s="141" t="e">
        <f>T229</f>
        <v>#REF!</v>
      </c>
      <c r="U230" s="141" t="e">
        <f>WORKDAY(IF(T231="",T230,T231),INDEX(U$2:U$5,MATCH($I229,$I$2:$I$5,0)),$BB$10:$BB$141)</f>
        <v>#REF!</v>
      </c>
      <c r="V230" s="141" t="e">
        <f>WORKDAY(IF(U231="",U230,U231),INDEX(V$2:V$5,MATCH($I229,$I$2:$I$5,0)),$BB$10:$BB$141)</f>
        <v>#REF!</v>
      </c>
      <c r="W230" s="141" t="e">
        <f>WORKDAY(IF(V231="",V230,V231),INDEX(W$2:W$5,MATCH($I229,$I$2:$I$5,0)),$BB$10:$BB$141)</f>
        <v>#REF!</v>
      </c>
      <c r="X230" s="141" t="e">
        <f>WORKDAY(IF(#REF!="",#REF!,#REF!),INDEX(X$2:X$5,MATCH($I229,$I$2:$I$5,0)),$BB$10:$BB$141)</f>
        <v>#REF!</v>
      </c>
      <c r="Y230" s="141" t="e">
        <f>WORKDAY(IF(X231="",X230,X231),INDEX(Y$2:Y$5,MATCH($I229,$I$2:$I$5,0)),$BB$10:$BB$141)</f>
        <v>#REF!</v>
      </c>
      <c r="Z230" s="141" t="e">
        <f>WORKDAY(IF(Y231="",Y230,Y231),INDEX(Z$2:Z$5,MATCH($I229,$I$2:$I$5,0)),$BB$10:$BB$141)</f>
        <v>#REF!</v>
      </c>
      <c r="AA230" s="141" t="e">
        <f>WORKDAY(IF(Z231="",Z230,Z231),INDEX(AA$2:AA$5,MATCH($I229,$I$2:$I$5,0)),$BB$10:$BB$141)</f>
        <v>#REF!</v>
      </c>
      <c r="AB230" s="142" t="e">
        <f>AE229+#REF!</f>
        <v>#REF!</v>
      </c>
      <c r="AC230" s="798"/>
      <c r="AD230" s="105"/>
      <c r="AE230" s="804"/>
      <c r="AF230" s="807"/>
      <c r="AG230" s="810"/>
      <c r="AH230" s="106"/>
      <c r="AI230" s="107"/>
      <c r="AJ230" s="813"/>
      <c r="AK230" s="143"/>
      <c r="AL230" s="144"/>
      <c r="AM230" s="133">
        <f t="shared" ref="AM230:AW230" si="277">IF(ISERROR(LOOKUP(AM$6,$S230:$AB230,$S$9:$AB$9)),0,(LOOKUP(AM$6,$S230:$AB230,$S$9:$AB$9)))</f>
        <v>0</v>
      </c>
      <c r="AN230" s="134">
        <f t="shared" si="277"/>
        <v>0</v>
      </c>
      <c r="AO230" s="134">
        <f t="shared" si="277"/>
        <v>0</v>
      </c>
      <c r="AP230" s="134">
        <f t="shared" si="277"/>
        <v>0</v>
      </c>
      <c r="AQ230" s="134">
        <f t="shared" si="277"/>
        <v>0</v>
      </c>
      <c r="AR230" s="134">
        <f t="shared" si="277"/>
        <v>0</v>
      </c>
      <c r="AS230" s="134">
        <f t="shared" si="277"/>
        <v>0</v>
      </c>
      <c r="AT230" s="134">
        <f t="shared" si="277"/>
        <v>0</v>
      </c>
      <c r="AU230" s="134">
        <f t="shared" si="277"/>
        <v>0</v>
      </c>
      <c r="AV230" s="134">
        <f t="shared" si="277"/>
        <v>0</v>
      </c>
      <c r="AW230" s="134">
        <f t="shared" ca="1" si="277"/>
        <v>0</v>
      </c>
      <c r="BB230" s="135"/>
    </row>
    <row r="231" spans="1:54" s="21" customFormat="1" ht="18" customHeight="1">
      <c r="A231" s="784"/>
      <c r="B231" s="157"/>
      <c r="C231" s="793"/>
      <c r="D231" s="111" t="str">
        <f>D229</f>
        <v>ELE</v>
      </c>
      <c r="E231" s="145" t="str">
        <f>E229</f>
        <v>RFQ-054</v>
      </c>
      <c r="F231" s="146" t="str">
        <f>F229</f>
        <v>N</v>
      </c>
      <c r="G231" s="160"/>
      <c r="H231" s="113" t="str">
        <f>H229</f>
        <v>Flameproof Enclosure (Ex'd)</v>
      </c>
      <c r="I231" s="145" t="str">
        <f>I229</f>
        <v>LD</v>
      </c>
      <c r="J231" s="146"/>
      <c r="K231" s="147"/>
      <c r="L231" s="147"/>
      <c r="M231" s="147">
        <v>1E-3</v>
      </c>
      <c r="N231" s="145"/>
      <c r="O231" s="145"/>
      <c r="P231" s="145"/>
      <c r="Q231" s="148" t="s">
        <v>368</v>
      </c>
      <c r="R231" s="148"/>
      <c r="S231" s="149"/>
      <c r="T231" s="149"/>
      <c r="U231" s="149"/>
      <c r="V231" s="149"/>
      <c r="W231" s="149"/>
      <c r="X231" s="149"/>
      <c r="Y231" s="149"/>
      <c r="Z231" s="149"/>
      <c r="AA231" s="149"/>
      <c r="AB231" s="149"/>
      <c r="AC231" s="799"/>
      <c r="AD231" s="116"/>
      <c r="AE231" s="805"/>
      <c r="AF231" s="808"/>
      <c r="AG231" s="811"/>
      <c r="AH231" s="117"/>
      <c r="AI231" s="118"/>
      <c r="AJ231" s="814"/>
      <c r="AK231" s="150"/>
      <c r="AL231" s="151"/>
      <c r="AM231" s="152">
        <f t="shared" ref="AM231:AW231" si="278">IF(ISERROR(LOOKUP(AM$6,$S231:$AB231,$S$9:$AB$9)),0,(LOOKUP(AM$6,$S231:$AB231,$S$9:$AB$9)))</f>
        <v>0</v>
      </c>
      <c r="AN231" s="153">
        <f t="shared" si="278"/>
        <v>0</v>
      </c>
      <c r="AO231" s="153">
        <f t="shared" si="278"/>
        <v>0</v>
      </c>
      <c r="AP231" s="153">
        <f t="shared" si="278"/>
        <v>0</v>
      </c>
      <c r="AQ231" s="153">
        <f t="shared" si="278"/>
        <v>0</v>
      </c>
      <c r="AR231" s="153">
        <f t="shared" si="278"/>
        <v>0</v>
      </c>
      <c r="AS231" s="153">
        <f t="shared" si="278"/>
        <v>0</v>
      </c>
      <c r="AT231" s="153">
        <f t="shared" si="278"/>
        <v>0</v>
      </c>
      <c r="AU231" s="153">
        <f t="shared" si="278"/>
        <v>0</v>
      </c>
      <c r="AV231" s="153">
        <f t="shared" si="278"/>
        <v>0</v>
      </c>
      <c r="AW231" s="153">
        <f t="shared" ca="1" si="278"/>
        <v>0</v>
      </c>
      <c r="BB231" s="135"/>
    </row>
    <row r="232" spans="1:54" s="21" customFormat="1" ht="18" customHeight="1">
      <c r="A232" s="782">
        <f>A229+1</f>
        <v>75</v>
      </c>
      <c r="B232" s="154" t="s">
        <v>5425</v>
      </c>
      <c r="C232" s="791" t="s">
        <v>5361</v>
      </c>
      <c r="D232" s="80" t="s">
        <v>5387</v>
      </c>
      <c r="E232" s="127" t="s">
        <v>5422</v>
      </c>
      <c r="F232" s="128" t="s">
        <v>73</v>
      </c>
      <c r="G232" s="158"/>
      <c r="H232" s="82" t="s">
        <v>5443</v>
      </c>
      <c r="I232" s="127" t="s">
        <v>9</v>
      </c>
      <c r="J232" s="128"/>
      <c r="K232" s="129">
        <f>M234</f>
        <v>1E-3</v>
      </c>
      <c r="L232" s="129"/>
      <c r="M232" s="129"/>
      <c r="N232" s="127"/>
      <c r="O232" s="127"/>
      <c r="P232" s="127"/>
      <c r="Q232" s="130" t="s">
        <v>5364</v>
      </c>
      <c r="R232" s="130"/>
      <c r="S232" s="155" t="e">
        <f>WORKDAY(T232,-INDEX(T$2:T$5,MATCH($I232,$I$2:$I$5,0)),'[38]Equipment List and MR List (3)'!$A$2:$A$80)</f>
        <v>#REF!</v>
      </c>
      <c r="T232" s="155" t="e">
        <f>WORKDAY(U232,-INDEX(U$2:U$5,MATCH($I232,$I$2:$I$5,0)),$BB$10:$BB$141)</f>
        <v>#REF!</v>
      </c>
      <c r="U232" s="155" t="e">
        <f>WORKDAY(V232,-INDEX(V$2:V$5,MATCH($I232,$I$2:$I$5,0)),$BB$10:$BB$141)</f>
        <v>#REF!</v>
      </c>
      <c r="V232" s="155" t="e">
        <f>WORKDAY(W232,-INDEX(W$2:W$5,MATCH($I232,$I$2:$I$5,0)),$BB$10:$BB$141)</f>
        <v>#REF!</v>
      </c>
      <c r="W232" s="155" t="e">
        <f>WORKDAY(#REF!,-INDEX(#REF!,MATCH($I232,$I$2:$I$5,0)),$BB$10:$BB$141)</f>
        <v>#REF!</v>
      </c>
      <c r="X232" s="155" t="e">
        <f>WORKDAY(Y232,-INDEX(Y$2:Y$5,MATCH($I232,$I$2:$I$5,0)),$BB$10:$BB$141)</f>
        <v>#REF!</v>
      </c>
      <c r="Y232" s="155" t="e">
        <f>WORKDAY(Z232,-INDEX(Z$2:Z$5,MATCH($I232,$I$2:$I$5,0)),$BB$10:$BB$141)</f>
        <v>#REF!</v>
      </c>
      <c r="Z232" s="155" t="e">
        <f>WORKDAY(AA232,-INDEX(AA$2:AA$5,MATCH($I232,$I$2:$I$5,0)),$BB$10:$BB$141)</f>
        <v>#REF!</v>
      </c>
      <c r="AA232" s="155" t="e">
        <f>WORKDAY(#REF!,-INDEX(#REF!,MATCH($I232,$I$2:$I$5,0)),$BB$10:$BB$141)</f>
        <v>#REF!</v>
      </c>
      <c r="AB232" s="155">
        <f>WORKDAY(AG232,0,'[38]Equipment List and MR List (3)'!$A$2:$A$80)</f>
        <v>0</v>
      </c>
      <c r="AC232" s="797" t="s">
        <v>5365</v>
      </c>
      <c r="AD232" s="87">
        <v>7</v>
      </c>
      <c r="AE232" s="803"/>
      <c r="AF232" s="806" t="e">
        <f>AB233</f>
        <v>#REF!</v>
      </c>
      <c r="AG232" s="809"/>
      <c r="AH232" s="88"/>
      <c r="AI232" s="89"/>
      <c r="AJ232" s="812" t="e">
        <f>AG232-AF232</f>
        <v>#REF!</v>
      </c>
      <c r="AK232" s="131"/>
      <c r="AL232" s="132"/>
      <c r="AM232" s="133">
        <f t="shared" ref="AM232:AW232" si="279">IF(ISERROR(LOOKUP(AM$6,$S232:$AB232,$S$9:$AB$9)),0,(LOOKUP(AM$6,$S232:$AB232,$S$9:$AB$9)))</f>
        <v>0.95</v>
      </c>
      <c r="AN232" s="134">
        <f t="shared" si="279"/>
        <v>0.95</v>
      </c>
      <c r="AO232" s="134">
        <f t="shared" si="279"/>
        <v>0.95</v>
      </c>
      <c r="AP232" s="134">
        <f t="shared" si="279"/>
        <v>0.95</v>
      </c>
      <c r="AQ232" s="134">
        <f t="shared" si="279"/>
        <v>0.95</v>
      </c>
      <c r="AR232" s="134">
        <f t="shared" si="279"/>
        <v>0.95</v>
      </c>
      <c r="AS232" s="134">
        <f t="shared" si="279"/>
        <v>0.95</v>
      </c>
      <c r="AT232" s="134">
        <f t="shared" si="279"/>
        <v>0.95</v>
      </c>
      <c r="AU232" s="134">
        <f t="shared" si="279"/>
        <v>0.95</v>
      </c>
      <c r="AV232" s="134">
        <f t="shared" si="279"/>
        <v>0.95</v>
      </c>
      <c r="AW232" s="134">
        <f t="shared" ca="1" si="279"/>
        <v>0.95</v>
      </c>
      <c r="BB232" s="135"/>
    </row>
    <row r="233" spans="1:54" s="21" customFormat="1" ht="18" customHeight="1">
      <c r="A233" s="783"/>
      <c r="B233" s="156"/>
      <c r="C233" s="792"/>
      <c r="D233" s="96" t="str">
        <f>D232</f>
        <v>ELE</v>
      </c>
      <c r="E233" s="136" t="str">
        <f>E232</f>
        <v>RFQ-054</v>
      </c>
      <c r="F233" s="137" t="str">
        <f>F232</f>
        <v>N</v>
      </c>
      <c r="G233" s="159"/>
      <c r="H233" s="98" t="str">
        <f>H232</f>
        <v>Pushbutton</v>
      </c>
      <c r="I233" s="136" t="str">
        <f>I232</f>
        <v>LD</v>
      </c>
      <c r="J233" s="137"/>
      <c r="K233" s="138"/>
      <c r="L233" s="138">
        <f>M234</f>
        <v>1E-3</v>
      </c>
      <c r="M233" s="138"/>
      <c r="N233" s="136"/>
      <c r="O233" s="136"/>
      <c r="P233" s="136"/>
      <c r="Q233" s="139" t="s">
        <v>5366</v>
      </c>
      <c r="R233" s="139"/>
      <c r="S233" s="140" t="e">
        <f>S232</f>
        <v>#REF!</v>
      </c>
      <c r="T233" s="141" t="e">
        <f>T232</f>
        <v>#REF!</v>
      </c>
      <c r="U233" s="141" t="e">
        <f>WORKDAY(IF(T234="",T233,T234),INDEX(U$2:U$5,MATCH($I232,$I$2:$I$5,0)),$BB$10:$BB$141)</f>
        <v>#REF!</v>
      </c>
      <c r="V233" s="141" t="e">
        <f>WORKDAY(IF(U234="",U233,U234),INDEX(V$2:V$5,MATCH($I232,$I$2:$I$5,0)),$BB$10:$BB$141)</f>
        <v>#REF!</v>
      </c>
      <c r="W233" s="141" t="e">
        <f>WORKDAY(IF(V234="",V233,V234),INDEX(W$2:W$5,MATCH($I232,$I$2:$I$5,0)),$BB$10:$BB$141)</f>
        <v>#REF!</v>
      </c>
      <c r="X233" s="141" t="e">
        <f>WORKDAY(IF(#REF!="",#REF!,#REF!),INDEX(X$2:X$5,MATCH($I232,$I$2:$I$5,0)),$BB$10:$BB$141)</f>
        <v>#REF!</v>
      </c>
      <c r="Y233" s="141" t="e">
        <f>WORKDAY(IF(X234="",X233,X234),INDEX(Y$2:Y$5,MATCH($I232,$I$2:$I$5,0)),$BB$10:$BB$141)</f>
        <v>#REF!</v>
      </c>
      <c r="Z233" s="141" t="e">
        <f>WORKDAY(IF(Y234="",Y233,Y234),INDEX(Z$2:Z$5,MATCH($I232,$I$2:$I$5,0)),$BB$10:$BB$141)</f>
        <v>#REF!</v>
      </c>
      <c r="AA233" s="141" t="e">
        <f>WORKDAY(IF(Z234="",Z233,Z234),INDEX(AA$2:AA$5,MATCH($I232,$I$2:$I$5,0)),$BB$10:$BB$141)</f>
        <v>#REF!</v>
      </c>
      <c r="AB233" s="142" t="e">
        <f>AE232+#REF!</f>
        <v>#REF!</v>
      </c>
      <c r="AC233" s="798"/>
      <c r="AD233" s="105"/>
      <c r="AE233" s="804"/>
      <c r="AF233" s="807"/>
      <c r="AG233" s="810"/>
      <c r="AH233" s="106"/>
      <c r="AI233" s="107"/>
      <c r="AJ233" s="813"/>
      <c r="AK233" s="143"/>
      <c r="AL233" s="144"/>
      <c r="AM233" s="133">
        <f t="shared" ref="AM233:AW233" si="280">IF(ISERROR(LOOKUP(AM$6,$S233:$AB233,$S$9:$AB$9)),0,(LOOKUP(AM$6,$S233:$AB233,$S$9:$AB$9)))</f>
        <v>0</v>
      </c>
      <c r="AN233" s="134">
        <f t="shared" si="280"/>
        <v>0</v>
      </c>
      <c r="AO233" s="134">
        <f t="shared" si="280"/>
        <v>0</v>
      </c>
      <c r="AP233" s="134">
        <f t="shared" si="280"/>
        <v>0</v>
      </c>
      <c r="AQ233" s="134">
        <f t="shared" si="280"/>
        <v>0</v>
      </c>
      <c r="AR233" s="134">
        <f t="shared" si="280"/>
        <v>0</v>
      </c>
      <c r="AS233" s="134">
        <f t="shared" si="280"/>
        <v>0</v>
      </c>
      <c r="AT233" s="134">
        <f t="shared" si="280"/>
        <v>0</v>
      </c>
      <c r="AU233" s="134">
        <f t="shared" si="280"/>
        <v>0</v>
      </c>
      <c r="AV233" s="134">
        <f t="shared" si="280"/>
        <v>0</v>
      </c>
      <c r="AW233" s="134">
        <f t="shared" ca="1" si="280"/>
        <v>0</v>
      </c>
      <c r="BB233" s="135"/>
    </row>
    <row r="234" spans="1:54" s="21" customFormat="1" ht="18" customHeight="1">
      <c r="A234" s="784"/>
      <c r="B234" s="157"/>
      <c r="C234" s="793"/>
      <c r="D234" s="111" t="str">
        <f>D232</f>
        <v>ELE</v>
      </c>
      <c r="E234" s="145" t="str">
        <f>E232</f>
        <v>RFQ-054</v>
      </c>
      <c r="F234" s="146" t="str">
        <f>F232</f>
        <v>N</v>
      </c>
      <c r="G234" s="160"/>
      <c r="H234" s="113" t="str">
        <f>H232</f>
        <v>Pushbutton</v>
      </c>
      <c r="I234" s="145" t="str">
        <f>I232</f>
        <v>LD</v>
      </c>
      <c r="J234" s="146"/>
      <c r="K234" s="147"/>
      <c r="L234" s="147"/>
      <c r="M234" s="147">
        <v>1E-3</v>
      </c>
      <c r="N234" s="145"/>
      <c r="O234" s="145"/>
      <c r="P234" s="145"/>
      <c r="Q234" s="148" t="s">
        <v>368</v>
      </c>
      <c r="R234" s="148"/>
      <c r="S234" s="149"/>
      <c r="T234" s="149"/>
      <c r="U234" s="149"/>
      <c r="V234" s="149"/>
      <c r="W234" s="149"/>
      <c r="X234" s="149"/>
      <c r="Y234" s="149"/>
      <c r="Z234" s="149"/>
      <c r="AA234" s="149"/>
      <c r="AB234" s="149"/>
      <c r="AC234" s="799"/>
      <c r="AD234" s="116"/>
      <c r="AE234" s="805"/>
      <c r="AF234" s="808"/>
      <c r="AG234" s="811"/>
      <c r="AH234" s="117"/>
      <c r="AI234" s="118"/>
      <c r="AJ234" s="814"/>
      <c r="AK234" s="150"/>
      <c r="AL234" s="151"/>
      <c r="AM234" s="152">
        <f t="shared" ref="AM234:AW234" si="281">IF(ISERROR(LOOKUP(AM$6,$S234:$AB234,$S$9:$AB$9)),0,(LOOKUP(AM$6,$S234:$AB234,$S$9:$AB$9)))</f>
        <v>0</v>
      </c>
      <c r="AN234" s="153">
        <f t="shared" si="281"/>
        <v>0</v>
      </c>
      <c r="AO234" s="153">
        <f t="shared" si="281"/>
        <v>0</v>
      </c>
      <c r="AP234" s="153">
        <f t="shared" si="281"/>
        <v>0</v>
      </c>
      <c r="AQ234" s="153">
        <f t="shared" si="281"/>
        <v>0</v>
      </c>
      <c r="AR234" s="153">
        <f t="shared" si="281"/>
        <v>0</v>
      </c>
      <c r="AS234" s="153">
        <f t="shared" si="281"/>
        <v>0</v>
      </c>
      <c r="AT234" s="153">
        <f t="shared" si="281"/>
        <v>0</v>
      </c>
      <c r="AU234" s="153">
        <f t="shared" si="281"/>
        <v>0</v>
      </c>
      <c r="AV234" s="153">
        <f t="shared" si="281"/>
        <v>0</v>
      </c>
      <c r="AW234" s="153">
        <f t="shared" ca="1" si="281"/>
        <v>0</v>
      </c>
      <c r="BB234" s="135"/>
    </row>
    <row r="235" spans="1:54" s="21" customFormat="1" ht="18" customHeight="1">
      <c r="A235" s="782">
        <f>A232+1</f>
        <v>76</v>
      </c>
      <c r="B235" s="154" t="s">
        <v>5425</v>
      </c>
      <c r="C235" s="791" t="s">
        <v>5361</v>
      </c>
      <c r="D235" s="80" t="s">
        <v>5444</v>
      </c>
      <c r="E235" s="127" t="s">
        <v>5422</v>
      </c>
      <c r="F235" s="128" t="s">
        <v>73</v>
      </c>
      <c r="G235" s="158"/>
      <c r="H235" s="82" t="s">
        <v>5445</v>
      </c>
      <c r="I235" s="127" t="s">
        <v>9</v>
      </c>
      <c r="J235" s="128"/>
      <c r="K235" s="129">
        <f>M237</f>
        <v>1E-3</v>
      </c>
      <c r="L235" s="129"/>
      <c r="M235" s="129"/>
      <c r="N235" s="127"/>
      <c r="O235" s="127"/>
      <c r="P235" s="127"/>
      <c r="Q235" s="130" t="s">
        <v>5364</v>
      </c>
      <c r="R235" s="130"/>
      <c r="S235" s="155" t="e">
        <f>WORKDAY(T235,-INDEX(T$2:T$5,MATCH($I235,$I$2:$I$5,0)),'[38]Equipment List and MR List (3)'!$A$2:$A$80)</f>
        <v>#REF!</v>
      </c>
      <c r="T235" s="155" t="e">
        <f>WORKDAY(U235,-INDEX(U$2:U$5,MATCH($I235,$I$2:$I$5,0)),$BB$10:$BB$141)</f>
        <v>#REF!</v>
      </c>
      <c r="U235" s="155" t="e">
        <f>WORKDAY(V235,-INDEX(V$2:V$5,MATCH($I235,$I$2:$I$5,0)),$BB$10:$BB$141)</f>
        <v>#REF!</v>
      </c>
      <c r="V235" s="155" t="e">
        <f>WORKDAY(W235,-INDEX(W$2:W$5,MATCH($I235,$I$2:$I$5,0)),$BB$10:$BB$141)</f>
        <v>#REF!</v>
      </c>
      <c r="W235" s="155" t="e">
        <f>WORKDAY(#REF!,-INDEX(#REF!,MATCH($I235,$I$2:$I$5,0)),$BB$10:$BB$141)</f>
        <v>#REF!</v>
      </c>
      <c r="X235" s="155" t="e">
        <f>WORKDAY(Y235,-INDEX(Y$2:Y$5,MATCH($I235,$I$2:$I$5,0)),$BB$10:$BB$141)</f>
        <v>#REF!</v>
      </c>
      <c r="Y235" s="155" t="e">
        <f>WORKDAY(Z235,-INDEX(Z$2:Z$5,MATCH($I235,$I$2:$I$5,0)),$BB$10:$BB$141)</f>
        <v>#REF!</v>
      </c>
      <c r="Z235" s="155" t="e">
        <f>WORKDAY(AA235,-INDEX(AA$2:AA$5,MATCH($I235,$I$2:$I$5,0)),$BB$10:$BB$141)</f>
        <v>#REF!</v>
      </c>
      <c r="AA235" s="155" t="e">
        <f>WORKDAY(#REF!,-INDEX(#REF!,MATCH($I235,$I$2:$I$5,0)),$BB$10:$BB$141)</f>
        <v>#REF!</v>
      </c>
      <c r="AB235" s="155">
        <f>WORKDAY(AG235,0,'[38]Equipment List and MR List (3)'!$A$2:$A$80)</f>
        <v>0</v>
      </c>
      <c r="AC235" s="797" t="s">
        <v>5365</v>
      </c>
      <c r="AD235" s="87">
        <v>7</v>
      </c>
      <c r="AE235" s="803"/>
      <c r="AF235" s="806" t="e">
        <f>AB236</f>
        <v>#REF!</v>
      </c>
      <c r="AG235" s="809"/>
      <c r="AH235" s="88"/>
      <c r="AI235" s="89"/>
      <c r="AJ235" s="812" t="e">
        <f>AG235-AF235</f>
        <v>#REF!</v>
      </c>
      <c r="AK235" s="131"/>
      <c r="AL235" s="132"/>
      <c r="AM235" s="133">
        <f t="shared" ref="AM235:AW235" si="282">IF(ISERROR(LOOKUP(AM$6,$S235:$AB235,$S$9:$AB$9)),0,(LOOKUP(AM$6,$S235:$AB235,$S$9:$AB$9)))</f>
        <v>0.95</v>
      </c>
      <c r="AN235" s="134">
        <f t="shared" si="282"/>
        <v>0.95</v>
      </c>
      <c r="AO235" s="134">
        <f t="shared" si="282"/>
        <v>0.95</v>
      </c>
      <c r="AP235" s="134">
        <f t="shared" si="282"/>
        <v>0.95</v>
      </c>
      <c r="AQ235" s="134">
        <f t="shared" si="282"/>
        <v>0.95</v>
      </c>
      <c r="AR235" s="134">
        <f t="shared" si="282"/>
        <v>0.95</v>
      </c>
      <c r="AS235" s="134">
        <f t="shared" si="282"/>
        <v>0.95</v>
      </c>
      <c r="AT235" s="134">
        <f t="shared" si="282"/>
        <v>0.95</v>
      </c>
      <c r="AU235" s="134">
        <f t="shared" si="282"/>
        <v>0.95</v>
      </c>
      <c r="AV235" s="134">
        <f t="shared" si="282"/>
        <v>0.95</v>
      </c>
      <c r="AW235" s="134">
        <f t="shared" ca="1" si="282"/>
        <v>0.95</v>
      </c>
      <c r="BB235" s="135"/>
    </row>
    <row r="236" spans="1:54" s="21" customFormat="1" ht="18" customHeight="1">
      <c r="A236" s="783"/>
      <c r="B236" s="156"/>
      <c r="C236" s="792"/>
      <c r="D236" s="96" t="str">
        <f>D235</f>
        <v>INT</v>
      </c>
      <c r="E236" s="136" t="str">
        <f>E235</f>
        <v>RFQ-054</v>
      </c>
      <c r="F236" s="137" t="str">
        <f>F235</f>
        <v>N</v>
      </c>
      <c r="G236" s="159"/>
      <c r="H236" s="98" t="str">
        <f>H235</f>
        <v>ESD Button / Station</v>
      </c>
      <c r="I236" s="136" t="str">
        <f>I235</f>
        <v>LD</v>
      </c>
      <c r="J236" s="137"/>
      <c r="K236" s="138"/>
      <c r="L236" s="138">
        <f>M237</f>
        <v>1E-3</v>
      </c>
      <c r="M236" s="138"/>
      <c r="N236" s="136"/>
      <c r="O236" s="136"/>
      <c r="P236" s="136"/>
      <c r="Q236" s="139" t="s">
        <v>5366</v>
      </c>
      <c r="R236" s="139"/>
      <c r="S236" s="140" t="e">
        <f>S235</f>
        <v>#REF!</v>
      </c>
      <c r="T236" s="141" t="e">
        <f>T235</f>
        <v>#REF!</v>
      </c>
      <c r="U236" s="141" t="e">
        <f>WORKDAY(IF(T237="",T236,T237),INDEX(U$2:U$5,MATCH($I235,$I$2:$I$5,0)),$BB$10:$BB$141)</f>
        <v>#REF!</v>
      </c>
      <c r="V236" s="141" t="e">
        <f>WORKDAY(IF(U237="",U236,U237),INDEX(V$2:V$5,MATCH($I235,$I$2:$I$5,0)),$BB$10:$BB$141)</f>
        <v>#REF!</v>
      </c>
      <c r="W236" s="141" t="e">
        <f>WORKDAY(IF(V237="",V236,V237),INDEX(W$2:W$5,MATCH($I235,$I$2:$I$5,0)),$BB$10:$BB$141)</f>
        <v>#REF!</v>
      </c>
      <c r="X236" s="141" t="e">
        <f>WORKDAY(IF(#REF!="",#REF!,#REF!),INDEX(X$2:X$5,MATCH($I235,$I$2:$I$5,0)),$BB$10:$BB$141)</f>
        <v>#REF!</v>
      </c>
      <c r="Y236" s="141" t="e">
        <f>WORKDAY(IF(X237="",X236,X237),INDEX(Y$2:Y$5,MATCH($I235,$I$2:$I$5,0)),$BB$10:$BB$141)</f>
        <v>#REF!</v>
      </c>
      <c r="Z236" s="141" t="e">
        <f>WORKDAY(IF(Y237="",Y236,Y237),INDEX(Z$2:Z$5,MATCH($I235,$I$2:$I$5,0)),$BB$10:$BB$141)</f>
        <v>#REF!</v>
      </c>
      <c r="AA236" s="141" t="e">
        <f>WORKDAY(IF(Z237="",Z236,Z237),INDEX(AA$2:AA$5,MATCH($I235,$I$2:$I$5,0)),$BB$10:$BB$141)</f>
        <v>#REF!</v>
      </c>
      <c r="AB236" s="142" t="e">
        <f>AE235+#REF!</f>
        <v>#REF!</v>
      </c>
      <c r="AC236" s="798"/>
      <c r="AD236" s="105"/>
      <c r="AE236" s="804"/>
      <c r="AF236" s="807"/>
      <c r="AG236" s="810"/>
      <c r="AH236" s="106"/>
      <c r="AI236" s="107"/>
      <c r="AJ236" s="813"/>
      <c r="AK236" s="143"/>
      <c r="AL236" s="144"/>
      <c r="AM236" s="133">
        <f t="shared" ref="AM236:AW236" si="283">IF(ISERROR(LOOKUP(AM$6,$S236:$AB236,$S$9:$AB$9)),0,(LOOKUP(AM$6,$S236:$AB236,$S$9:$AB$9)))</f>
        <v>0</v>
      </c>
      <c r="AN236" s="134">
        <f t="shared" si="283"/>
        <v>0</v>
      </c>
      <c r="AO236" s="134">
        <f t="shared" si="283"/>
        <v>0</v>
      </c>
      <c r="AP236" s="134">
        <f t="shared" si="283"/>
        <v>0</v>
      </c>
      <c r="AQ236" s="134">
        <f t="shared" si="283"/>
        <v>0</v>
      </c>
      <c r="AR236" s="134">
        <f t="shared" si="283"/>
        <v>0</v>
      </c>
      <c r="AS236" s="134">
        <f t="shared" si="283"/>
        <v>0</v>
      </c>
      <c r="AT236" s="134">
        <f t="shared" si="283"/>
        <v>0</v>
      </c>
      <c r="AU236" s="134">
        <f t="shared" si="283"/>
        <v>0</v>
      </c>
      <c r="AV236" s="134">
        <f t="shared" si="283"/>
        <v>0</v>
      </c>
      <c r="AW236" s="134">
        <f t="shared" ca="1" si="283"/>
        <v>0</v>
      </c>
      <c r="BB236" s="135"/>
    </row>
    <row r="237" spans="1:54" s="21" customFormat="1" ht="18" customHeight="1">
      <c r="A237" s="784"/>
      <c r="B237" s="157"/>
      <c r="C237" s="793"/>
      <c r="D237" s="111" t="str">
        <f>D235</f>
        <v>INT</v>
      </c>
      <c r="E237" s="145" t="str">
        <f>E235</f>
        <v>RFQ-054</v>
      </c>
      <c r="F237" s="146" t="str">
        <f>F235</f>
        <v>N</v>
      </c>
      <c r="G237" s="160"/>
      <c r="H237" s="113" t="str">
        <f>H235</f>
        <v>ESD Button / Station</v>
      </c>
      <c r="I237" s="145" t="str">
        <f>I235</f>
        <v>LD</v>
      </c>
      <c r="J237" s="146"/>
      <c r="K237" s="147"/>
      <c r="L237" s="147"/>
      <c r="M237" s="147">
        <v>1E-3</v>
      </c>
      <c r="N237" s="145"/>
      <c r="O237" s="145"/>
      <c r="P237" s="145"/>
      <c r="Q237" s="148" t="s">
        <v>368</v>
      </c>
      <c r="R237" s="148"/>
      <c r="S237" s="149"/>
      <c r="T237" s="149"/>
      <c r="U237" s="149"/>
      <c r="V237" s="149"/>
      <c r="W237" s="149"/>
      <c r="X237" s="149"/>
      <c r="Y237" s="149"/>
      <c r="Z237" s="149"/>
      <c r="AA237" s="149"/>
      <c r="AB237" s="149"/>
      <c r="AC237" s="799"/>
      <c r="AD237" s="116"/>
      <c r="AE237" s="805"/>
      <c r="AF237" s="808"/>
      <c r="AG237" s="811"/>
      <c r="AH237" s="117"/>
      <c r="AI237" s="118"/>
      <c r="AJ237" s="814"/>
      <c r="AK237" s="150"/>
      <c r="AL237" s="151"/>
      <c r="AM237" s="152">
        <f t="shared" ref="AM237:AW237" si="284">IF(ISERROR(LOOKUP(AM$6,$S237:$AB237,$S$9:$AB$9)),0,(LOOKUP(AM$6,$S237:$AB237,$S$9:$AB$9)))</f>
        <v>0</v>
      </c>
      <c r="AN237" s="153">
        <f t="shared" si="284"/>
        <v>0</v>
      </c>
      <c r="AO237" s="153">
        <f t="shared" si="284"/>
        <v>0</v>
      </c>
      <c r="AP237" s="153">
        <f t="shared" si="284"/>
        <v>0</v>
      </c>
      <c r="AQ237" s="153">
        <f t="shared" si="284"/>
        <v>0</v>
      </c>
      <c r="AR237" s="153">
        <f t="shared" si="284"/>
        <v>0</v>
      </c>
      <c r="AS237" s="153">
        <f t="shared" si="284"/>
        <v>0</v>
      </c>
      <c r="AT237" s="153">
        <f t="shared" si="284"/>
        <v>0</v>
      </c>
      <c r="AU237" s="153">
        <f t="shared" si="284"/>
        <v>0</v>
      </c>
      <c r="AV237" s="153">
        <f t="shared" si="284"/>
        <v>0</v>
      </c>
      <c r="AW237" s="153">
        <f t="shared" ca="1" si="284"/>
        <v>0</v>
      </c>
      <c r="BB237" s="135"/>
    </row>
    <row r="238" spans="1:54" s="21" customFormat="1" ht="18" customHeight="1">
      <c r="A238" s="782">
        <f>A235+1</f>
        <v>77</v>
      </c>
      <c r="B238" s="154" t="s">
        <v>5425</v>
      </c>
      <c r="C238" s="791" t="s">
        <v>5361</v>
      </c>
      <c r="D238" s="80" t="s">
        <v>5444</v>
      </c>
      <c r="E238" s="127" t="s">
        <v>5422</v>
      </c>
      <c r="F238" s="128" t="s">
        <v>73</v>
      </c>
      <c r="G238" s="158"/>
      <c r="H238" s="82" t="s">
        <v>5446</v>
      </c>
      <c r="I238" s="127" t="s">
        <v>9</v>
      </c>
      <c r="J238" s="128"/>
      <c r="K238" s="129">
        <f>M240</f>
        <v>1E-3</v>
      </c>
      <c r="L238" s="129"/>
      <c r="M238" s="129"/>
      <c r="N238" s="127"/>
      <c r="O238" s="127"/>
      <c r="P238" s="127"/>
      <c r="Q238" s="130" t="s">
        <v>5364</v>
      </c>
      <c r="R238" s="130"/>
      <c r="S238" s="155" t="e">
        <f>WORKDAY(T238,-INDEX(T$2:T$5,MATCH($I238,$I$2:$I$5,0)),'[38]Equipment List and MR List (3)'!$A$2:$A$80)</f>
        <v>#REF!</v>
      </c>
      <c r="T238" s="155" t="e">
        <f>WORKDAY(U238,-INDEX(U$2:U$5,MATCH($I238,$I$2:$I$5,0)),$BB$10:$BB$141)</f>
        <v>#REF!</v>
      </c>
      <c r="U238" s="155" t="e">
        <f>WORKDAY(V238,-INDEX(V$2:V$5,MATCH($I238,$I$2:$I$5,0)),$BB$10:$BB$141)</f>
        <v>#REF!</v>
      </c>
      <c r="V238" s="155" t="e">
        <f>WORKDAY(W238,-INDEX(W$2:W$5,MATCH($I238,$I$2:$I$5,0)),$BB$10:$BB$141)</f>
        <v>#REF!</v>
      </c>
      <c r="W238" s="155" t="e">
        <f>WORKDAY(#REF!,-INDEX(#REF!,MATCH($I238,$I$2:$I$5,0)),$BB$10:$BB$141)</f>
        <v>#REF!</v>
      </c>
      <c r="X238" s="155" t="e">
        <f>WORKDAY(Y238,-INDEX(Y$2:Y$5,MATCH($I238,$I$2:$I$5,0)),$BB$10:$BB$141)</f>
        <v>#REF!</v>
      </c>
      <c r="Y238" s="155" t="e">
        <f>WORKDAY(Z238,-INDEX(Z$2:Z$5,MATCH($I238,$I$2:$I$5,0)),$BB$10:$BB$141)</f>
        <v>#REF!</v>
      </c>
      <c r="Z238" s="155" t="e">
        <f>WORKDAY(AA238,-INDEX(AA$2:AA$5,MATCH($I238,$I$2:$I$5,0)),$BB$10:$BB$141)</f>
        <v>#REF!</v>
      </c>
      <c r="AA238" s="155" t="e">
        <f>WORKDAY(#REF!,-INDEX(#REF!,MATCH($I238,$I$2:$I$5,0)),$BB$10:$BB$141)</f>
        <v>#REF!</v>
      </c>
      <c r="AB238" s="155">
        <f>WORKDAY(AG238,0,'[38]Equipment List and MR List (3)'!$A$2:$A$80)</f>
        <v>0</v>
      </c>
      <c r="AC238" s="797" t="s">
        <v>5365</v>
      </c>
      <c r="AD238" s="87">
        <v>7</v>
      </c>
      <c r="AE238" s="803">
        <v>121</v>
      </c>
      <c r="AF238" s="806" t="e">
        <f>AB239</f>
        <v>#REF!</v>
      </c>
      <c r="AG238" s="809"/>
      <c r="AH238" s="88"/>
      <c r="AI238" s="89"/>
      <c r="AJ238" s="812" t="e">
        <f>AG238-AF238</f>
        <v>#REF!</v>
      </c>
      <c r="AK238" s="131"/>
      <c r="AL238" s="132"/>
      <c r="AM238" s="133">
        <f t="shared" ref="AM238:AW238" si="285">IF(ISERROR(LOOKUP(AM$6,$S238:$AB238,$S$9:$AB$9)),0,(LOOKUP(AM$6,$S238:$AB238,$S$9:$AB$9)))</f>
        <v>0.95</v>
      </c>
      <c r="AN238" s="134">
        <f t="shared" si="285"/>
        <v>0.95</v>
      </c>
      <c r="AO238" s="134">
        <f t="shared" si="285"/>
        <v>0.95</v>
      </c>
      <c r="AP238" s="134">
        <f t="shared" si="285"/>
        <v>0.95</v>
      </c>
      <c r="AQ238" s="134">
        <f t="shared" si="285"/>
        <v>0.95</v>
      </c>
      <c r="AR238" s="134">
        <f t="shared" si="285"/>
        <v>0.95</v>
      </c>
      <c r="AS238" s="134">
        <f t="shared" si="285"/>
        <v>0.95</v>
      </c>
      <c r="AT238" s="134">
        <f t="shared" si="285"/>
        <v>0.95</v>
      </c>
      <c r="AU238" s="134">
        <f t="shared" si="285"/>
        <v>0.95</v>
      </c>
      <c r="AV238" s="134">
        <f t="shared" si="285"/>
        <v>0.95</v>
      </c>
      <c r="AW238" s="134">
        <f t="shared" ca="1" si="285"/>
        <v>0.95</v>
      </c>
      <c r="BB238" s="135"/>
    </row>
    <row r="239" spans="1:54" s="21" customFormat="1" ht="18" customHeight="1">
      <c r="A239" s="783"/>
      <c r="B239" s="156"/>
      <c r="C239" s="792"/>
      <c r="D239" s="96" t="str">
        <f>D238</f>
        <v>INT</v>
      </c>
      <c r="E239" s="136" t="str">
        <f>E238</f>
        <v>RFQ-054</v>
      </c>
      <c r="F239" s="137" t="str">
        <f>F238</f>
        <v>N</v>
      </c>
      <c r="G239" s="159"/>
      <c r="H239" s="98" t="str">
        <f>H238</f>
        <v>Tube Clamp (Anti Corrosion Type)</v>
      </c>
      <c r="I239" s="136" t="str">
        <f>I238</f>
        <v>LD</v>
      </c>
      <c r="J239" s="137"/>
      <c r="K239" s="138"/>
      <c r="L239" s="138">
        <f>M240</f>
        <v>1E-3</v>
      </c>
      <c r="M239" s="138"/>
      <c r="N239" s="136"/>
      <c r="O239" s="136"/>
      <c r="P239" s="136"/>
      <c r="Q239" s="139" t="s">
        <v>5366</v>
      </c>
      <c r="R239" s="139"/>
      <c r="S239" s="140" t="e">
        <f>S238</f>
        <v>#REF!</v>
      </c>
      <c r="T239" s="141" t="e">
        <f>T238</f>
        <v>#REF!</v>
      </c>
      <c r="U239" s="141" t="e">
        <f>WORKDAY(IF(T240="",T239,T240),INDEX(U$2:U$5,MATCH($I238,$I$2:$I$5,0)),$BB$10:$BB$141)</f>
        <v>#REF!</v>
      </c>
      <c r="V239" s="141" t="e">
        <f>WORKDAY(IF(U240="",U239,U240),INDEX(V$2:V$5,MATCH($I238,$I$2:$I$5,0)),$BB$10:$BB$141)</f>
        <v>#REF!</v>
      </c>
      <c r="W239" s="141" t="e">
        <f>WORKDAY(IF(V240="",V239,V240),INDEX(W$2:W$5,MATCH($I238,$I$2:$I$5,0)),$BB$10:$BB$141)</f>
        <v>#REF!</v>
      </c>
      <c r="X239" s="141" t="e">
        <f>WORKDAY(IF(#REF!="",#REF!,#REF!),INDEX(X$2:X$5,MATCH($I238,$I$2:$I$5,0)),$BB$10:$BB$141)</f>
        <v>#REF!</v>
      </c>
      <c r="Y239" s="141" t="e">
        <f>WORKDAY(IF(X240="",X239,X240),INDEX(Y$2:Y$5,MATCH($I238,$I$2:$I$5,0)),$BB$10:$BB$141)</f>
        <v>#REF!</v>
      </c>
      <c r="Z239" s="141" t="e">
        <f>WORKDAY(IF(Y240="",Y239,Y240),INDEX(Z$2:Z$5,MATCH($I238,$I$2:$I$5,0)),$BB$10:$BB$141)</f>
        <v>#REF!</v>
      </c>
      <c r="AA239" s="141" t="e">
        <f>WORKDAY(IF(Z240="",Z239,Z240),INDEX(AA$2:AA$5,MATCH($I238,$I$2:$I$5,0)),$BB$10:$BB$141)</f>
        <v>#REF!</v>
      </c>
      <c r="AB239" s="142" t="e">
        <f>AE238+#REF!</f>
        <v>#REF!</v>
      </c>
      <c r="AC239" s="798"/>
      <c r="AD239" s="105"/>
      <c r="AE239" s="804"/>
      <c r="AF239" s="807"/>
      <c r="AG239" s="810"/>
      <c r="AH239" s="106"/>
      <c r="AI239" s="107"/>
      <c r="AJ239" s="813"/>
      <c r="AK239" s="143"/>
      <c r="AL239" s="144"/>
      <c r="AM239" s="133">
        <f t="shared" ref="AM239:AW239" si="286">IF(ISERROR(LOOKUP(AM$6,$S239:$AB239,$S$9:$AB$9)),0,(LOOKUP(AM$6,$S239:$AB239,$S$9:$AB$9)))</f>
        <v>0</v>
      </c>
      <c r="AN239" s="134">
        <f t="shared" si="286"/>
        <v>0</v>
      </c>
      <c r="AO239" s="134">
        <f t="shared" si="286"/>
        <v>0</v>
      </c>
      <c r="AP239" s="134">
        <f t="shared" si="286"/>
        <v>0</v>
      </c>
      <c r="AQ239" s="134">
        <f t="shared" si="286"/>
        <v>0</v>
      </c>
      <c r="AR239" s="134">
        <f t="shared" si="286"/>
        <v>0</v>
      </c>
      <c r="AS239" s="134">
        <f t="shared" si="286"/>
        <v>0</v>
      </c>
      <c r="AT239" s="134">
        <f t="shared" si="286"/>
        <v>0</v>
      </c>
      <c r="AU239" s="134">
        <f t="shared" si="286"/>
        <v>0</v>
      </c>
      <c r="AV239" s="134">
        <f t="shared" si="286"/>
        <v>0</v>
      </c>
      <c r="AW239" s="134">
        <f t="shared" ca="1" si="286"/>
        <v>0</v>
      </c>
      <c r="BB239" s="135"/>
    </row>
    <row r="240" spans="1:54" s="21" customFormat="1" ht="18" customHeight="1">
      <c r="A240" s="784"/>
      <c r="B240" s="157"/>
      <c r="C240" s="793"/>
      <c r="D240" s="111" t="str">
        <f>D238</f>
        <v>INT</v>
      </c>
      <c r="E240" s="145" t="str">
        <f>E238</f>
        <v>RFQ-054</v>
      </c>
      <c r="F240" s="146" t="str">
        <f>F238</f>
        <v>N</v>
      </c>
      <c r="G240" s="160"/>
      <c r="H240" s="113" t="str">
        <f>H238</f>
        <v>Tube Clamp (Anti Corrosion Type)</v>
      </c>
      <c r="I240" s="145" t="str">
        <f>I238</f>
        <v>LD</v>
      </c>
      <c r="J240" s="146"/>
      <c r="K240" s="147"/>
      <c r="L240" s="147"/>
      <c r="M240" s="147">
        <v>1E-3</v>
      </c>
      <c r="N240" s="145"/>
      <c r="O240" s="145"/>
      <c r="P240" s="145"/>
      <c r="Q240" s="148" t="s">
        <v>368</v>
      </c>
      <c r="R240" s="148"/>
      <c r="S240" s="149"/>
      <c r="T240" s="149"/>
      <c r="U240" s="149"/>
      <c r="V240" s="149"/>
      <c r="W240" s="149"/>
      <c r="X240" s="149"/>
      <c r="Y240" s="149"/>
      <c r="Z240" s="149"/>
      <c r="AA240" s="149"/>
      <c r="AB240" s="149"/>
      <c r="AC240" s="799"/>
      <c r="AD240" s="116"/>
      <c r="AE240" s="805"/>
      <c r="AF240" s="808"/>
      <c r="AG240" s="811"/>
      <c r="AH240" s="117"/>
      <c r="AI240" s="118"/>
      <c r="AJ240" s="814"/>
      <c r="AK240" s="150"/>
      <c r="AL240" s="151"/>
      <c r="AM240" s="152">
        <f t="shared" ref="AM240:AW240" si="287">IF(ISERROR(LOOKUP(AM$6,$S240:$AB240,$S$9:$AB$9)),0,(LOOKUP(AM$6,$S240:$AB240,$S$9:$AB$9)))</f>
        <v>0</v>
      </c>
      <c r="AN240" s="153">
        <f t="shared" si="287"/>
        <v>0</v>
      </c>
      <c r="AO240" s="153">
        <f t="shared" si="287"/>
        <v>0</v>
      </c>
      <c r="AP240" s="153">
        <f t="shared" si="287"/>
        <v>0</v>
      </c>
      <c r="AQ240" s="153">
        <f t="shared" si="287"/>
        <v>0</v>
      </c>
      <c r="AR240" s="153">
        <f t="shared" si="287"/>
        <v>0</v>
      </c>
      <c r="AS240" s="153">
        <f t="shared" si="287"/>
        <v>0</v>
      </c>
      <c r="AT240" s="153">
        <f t="shared" si="287"/>
        <v>0</v>
      </c>
      <c r="AU240" s="153">
        <f t="shared" si="287"/>
        <v>0</v>
      </c>
      <c r="AV240" s="153">
        <f t="shared" si="287"/>
        <v>0</v>
      </c>
      <c r="AW240" s="153">
        <f t="shared" ca="1" si="287"/>
        <v>0</v>
      </c>
      <c r="BB240" s="135"/>
    </row>
    <row r="241" spans="1:54" s="21" customFormat="1" ht="18" customHeight="1">
      <c r="A241" s="782">
        <f>A238+1</f>
        <v>78</v>
      </c>
      <c r="B241" s="154" t="s">
        <v>5425</v>
      </c>
      <c r="C241" s="791" t="s">
        <v>5361</v>
      </c>
      <c r="D241" s="80" t="s">
        <v>5444</v>
      </c>
      <c r="E241" s="127" t="s">
        <v>5422</v>
      </c>
      <c r="F241" s="128" t="s">
        <v>73</v>
      </c>
      <c r="G241" s="158"/>
      <c r="H241" s="82" t="s">
        <v>803</v>
      </c>
      <c r="I241" s="127" t="s">
        <v>9</v>
      </c>
      <c r="J241" s="128"/>
      <c r="K241" s="129">
        <f>M243</f>
        <v>1E-3</v>
      </c>
      <c r="L241" s="129"/>
      <c r="M241" s="129"/>
      <c r="N241" s="127"/>
      <c r="O241" s="127"/>
      <c r="P241" s="127"/>
      <c r="Q241" s="130" t="s">
        <v>5364</v>
      </c>
      <c r="R241" s="130"/>
      <c r="S241" s="155" t="e">
        <f>WORKDAY(T241,-INDEX(T$2:T$5,MATCH($I241,$I$2:$I$5,0)),'[38]Equipment List and MR List (3)'!$A$2:$A$80)</f>
        <v>#REF!</v>
      </c>
      <c r="T241" s="155" t="e">
        <f>WORKDAY(U241,-INDEX(U$2:U$5,MATCH($I241,$I$2:$I$5,0)),$BB$10:$BB$141)</f>
        <v>#REF!</v>
      </c>
      <c r="U241" s="155" t="e">
        <f>WORKDAY(V241,-INDEX(V$2:V$5,MATCH($I241,$I$2:$I$5,0)),$BB$10:$BB$141)</f>
        <v>#REF!</v>
      </c>
      <c r="V241" s="155" t="e">
        <f>WORKDAY(W241,-INDEX(W$2:W$5,MATCH($I241,$I$2:$I$5,0)),$BB$10:$BB$141)</f>
        <v>#REF!</v>
      </c>
      <c r="W241" s="155" t="e">
        <f>WORKDAY(#REF!,-INDEX(#REF!,MATCH($I241,$I$2:$I$5,0)),$BB$10:$BB$141)</f>
        <v>#REF!</v>
      </c>
      <c r="X241" s="155" t="e">
        <f>WORKDAY(Y241,-INDEX(Y$2:Y$5,MATCH($I241,$I$2:$I$5,0)),$BB$10:$BB$141)</f>
        <v>#REF!</v>
      </c>
      <c r="Y241" s="155" t="e">
        <f>WORKDAY(Z241,-INDEX(Z$2:Z$5,MATCH($I241,$I$2:$I$5,0)),$BB$10:$BB$141)</f>
        <v>#REF!</v>
      </c>
      <c r="Z241" s="155" t="e">
        <f>WORKDAY(AA241,-INDEX(AA$2:AA$5,MATCH($I241,$I$2:$I$5,0)),$BB$10:$BB$141)</f>
        <v>#REF!</v>
      </c>
      <c r="AA241" s="155" t="e">
        <f>WORKDAY(#REF!,-INDEX(#REF!,MATCH($I241,$I$2:$I$5,0)),$BB$10:$BB$141)</f>
        <v>#REF!</v>
      </c>
      <c r="AB241" s="155">
        <f>WORKDAY(AG241,0,'[38]Equipment List and MR List (3)'!$A$2:$A$80)</f>
        <v>0</v>
      </c>
      <c r="AC241" s="797" t="s">
        <v>5365</v>
      </c>
      <c r="AD241" s="87">
        <v>7</v>
      </c>
      <c r="AE241" s="803">
        <v>121</v>
      </c>
      <c r="AF241" s="806" t="e">
        <f>AB242</f>
        <v>#REF!</v>
      </c>
      <c r="AG241" s="809"/>
      <c r="AH241" s="88"/>
      <c r="AI241" s="89"/>
      <c r="AJ241" s="812" t="e">
        <f>AG241-AF241</f>
        <v>#REF!</v>
      </c>
      <c r="AK241" s="131"/>
      <c r="AL241" s="132"/>
      <c r="AM241" s="133">
        <f t="shared" ref="AM241:AW241" si="288">IF(ISERROR(LOOKUP(AM$6,$S241:$AB241,$S$9:$AB$9)),0,(LOOKUP(AM$6,$S241:$AB241,$S$9:$AB$9)))</f>
        <v>0.95</v>
      </c>
      <c r="AN241" s="134">
        <f t="shared" si="288"/>
        <v>0.95</v>
      </c>
      <c r="AO241" s="134">
        <f t="shared" si="288"/>
        <v>0.95</v>
      </c>
      <c r="AP241" s="134">
        <f t="shared" si="288"/>
        <v>0.95</v>
      </c>
      <c r="AQ241" s="134">
        <f t="shared" si="288"/>
        <v>0.95</v>
      </c>
      <c r="AR241" s="134">
        <f t="shared" si="288"/>
        <v>0.95</v>
      </c>
      <c r="AS241" s="134">
        <f t="shared" si="288"/>
        <v>0.95</v>
      </c>
      <c r="AT241" s="134">
        <f t="shared" si="288"/>
        <v>0.95</v>
      </c>
      <c r="AU241" s="134">
        <f t="shared" si="288"/>
        <v>0.95</v>
      </c>
      <c r="AV241" s="134">
        <f t="shared" si="288"/>
        <v>0.95</v>
      </c>
      <c r="AW241" s="134">
        <f t="shared" ca="1" si="288"/>
        <v>0.95</v>
      </c>
      <c r="BB241" s="135"/>
    </row>
    <row r="242" spans="1:54" s="21" customFormat="1" ht="18" customHeight="1">
      <c r="A242" s="783"/>
      <c r="B242" s="156"/>
      <c r="C242" s="792"/>
      <c r="D242" s="96" t="str">
        <f>D241</f>
        <v>INT</v>
      </c>
      <c r="E242" s="136" t="str">
        <f>E241</f>
        <v>RFQ-054</v>
      </c>
      <c r="F242" s="137" t="str">
        <f>F241</f>
        <v>N</v>
      </c>
      <c r="G242" s="159"/>
      <c r="H242" s="98" t="str">
        <f>H241</f>
        <v>TUBE</v>
      </c>
      <c r="I242" s="136" t="str">
        <f>I241</f>
        <v>LD</v>
      </c>
      <c r="J242" s="137"/>
      <c r="K242" s="138"/>
      <c r="L242" s="138">
        <f>M243</f>
        <v>1E-3</v>
      </c>
      <c r="M242" s="138"/>
      <c r="N242" s="136"/>
      <c r="O242" s="136"/>
      <c r="P242" s="136"/>
      <c r="Q242" s="139" t="s">
        <v>5366</v>
      </c>
      <c r="R242" s="139"/>
      <c r="S242" s="140" t="e">
        <f>S241</f>
        <v>#REF!</v>
      </c>
      <c r="T242" s="141" t="e">
        <f>T241</f>
        <v>#REF!</v>
      </c>
      <c r="U242" s="141" t="e">
        <f>WORKDAY(IF(T243="",T242,T243),INDEX(U$2:U$5,MATCH($I241,$I$2:$I$5,0)),$BB$10:$BB$141)</f>
        <v>#REF!</v>
      </c>
      <c r="V242" s="141" t="e">
        <f>WORKDAY(IF(U243="",U242,U243),INDEX(V$2:V$5,MATCH($I241,$I$2:$I$5,0)),$BB$10:$BB$141)</f>
        <v>#REF!</v>
      </c>
      <c r="W242" s="141" t="e">
        <f>WORKDAY(IF(V243="",V242,V243),INDEX(W$2:W$5,MATCH($I241,$I$2:$I$5,0)),$BB$10:$BB$141)</f>
        <v>#REF!</v>
      </c>
      <c r="X242" s="141" t="e">
        <f>WORKDAY(IF(#REF!="",#REF!,#REF!),INDEX(X$2:X$5,MATCH($I241,$I$2:$I$5,0)),$BB$10:$BB$141)</f>
        <v>#REF!</v>
      </c>
      <c r="Y242" s="141" t="e">
        <f>WORKDAY(IF(X243="",X242,X243),INDEX(Y$2:Y$5,MATCH($I241,$I$2:$I$5,0)),$BB$10:$BB$141)</f>
        <v>#REF!</v>
      </c>
      <c r="Z242" s="141" t="e">
        <f>WORKDAY(IF(Y243="",Y242,Y243),INDEX(Z$2:Z$5,MATCH($I241,$I$2:$I$5,0)),$BB$10:$BB$141)</f>
        <v>#REF!</v>
      </c>
      <c r="AA242" s="141" t="e">
        <f>WORKDAY(IF(Z243="",Z242,Z243),INDEX(AA$2:AA$5,MATCH($I241,$I$2:$I$5,0)),$BB$10:$BB$141)</f>
        <v>#REF!</v>
      </c>
      <c r="AB242" s="142" t="e">
        <f>AE241+#REF!</f>
        <v>#REF!</v>
      </c>
      <c r="AC242" s="798"/>
      <c r="AD242" s="105"/>
      <c r="AE242" s="804"/>
      <c r="AF242" s="807"/>
      <c r="AG242" s="810"/>
      <c r="AH242" s="106"/>
      <c r="AI242" s="107"/>
      <c r="AJ242" s="813"/>
      <c r="AK242" s="143"/>
      <c r="AL242" s="144"/>
      <c r="AM242" s="133">
        <f t="shared" ref="AM242:AW242" si="289">IF(ISERROR(LOOKUP(AM$6,$S242:$AB242,$S$9:$AB$9)),0,(LOOKUP(AM$6,$S242:$AB242,$S$9:$AB$9)))</f>
        <v>0</v>
      </c>
      <c r="AN242" s="134">
        <f t="shared" si="289"/>
        <v>0</v>
      </c>
      <c r="AO242" s="134">
        <f t="shared" si="289"/>
        <v>0</v>
      </c>
      <c r="AP242" s="134">
        <f t="shared" si="289"/>
        <v>0</v>
      </c>
      <c r="AQ242" s="134">
        <f t="shared" si="289"/>
        <v>0</v>
      </c>
      <c r="AR242" s="134">
        <f t="shared" si="289"/>
        <v>0</v>
      </c>
      <c r="AS242" s="134">
        <f t="shared" si="289"/>
        <v>0</v>
      </c>
      <c r="AT242" s="134">
        <f t="shared" si="289"/>
        <v>0</v>
      </c>
      <c r="AU242" s="134">
        <f t="shared" si="289"/>
        <v>0</v>
      </c>
      <c r="AV242" s="134">
        <f t="shared" si="289"/>
        <v>0</v>
      </c>
      <c r="AW242" s="134">
        <f t="shared" ca="1" si="289"/>
        <v>0</v>
      </c>
      <c r="BB242" s="135"/>
    </row>
    <row r="243" spans="1:54" s="21" customFormat="1" ht="18" customHeight="1">
      <c r="A243" s="784"/>
      <c r="B243" s="157"/>
      <c r="C243" s="793"/>
      <c r="D243" s="111" t="str">
        <f>D241</f>
        <v>INT</v>
      </c>
      <c r="E243" s="145" t="str">
        <f>E241</f>
        <v>RFQ-054</v>
      </c>
      <c r="F243" s="146" t="str">
        <f>F241</f>
        <v>N</v>
      </c>
      <c r="G243" s="160"/>
      <c r="H243" s="113" t="str">
        <f>H241</f>
        <v>TUBE</v>
      </c>
      <c r="I243" s="145" t="str">
        <f>I241</f>
        <v>LD</v>
      </c>
      <c r="J243" s="146"/>
      <c r="K243" s="147"/>
      <c r="L243" s="147"/>
      <c r="M243" s="147">
        <v>1E-3</v>
      </c>
      <c r="N243" s="145"/>
      <c r="O243" s="145"/>
      <c r="P243" s="145"/>
      <c r="Q243" s="148" t="s">
        <v>368</v>
      </c>
      <c r="R243" s="148"/>
      <c r="S243" s="149"/>
      <c r="T243" s="149"/>
      <c r="U243" s="149"/>
      <c r="V243" s="149"/>
      <c r="W243" s="149"/>
      <c r="X243" s="149"/>
      <c r="Y243" s="149"/>
      <c r="Z243" s="149"/>
      <c r="AA243" s="149"/>
      <c r="AB243" s="149"/>
      <c r="AC243" s="799"/>
      <c r="AD243" s="116"/>
      <c r="AE243" s="805"/>
      <c r="AF243" s="808"/>
      <c r="AG243" s="811"/>
      <c r="AH243" s="117"/>
      <c r="AI243" s="118"/>
      <c r="AJ243" s="814"/>
      <c r="AK243" s="150"/>
      <c r="AL243" s="151"/>
      <c r="AM243" s="152">
        <f t="shared" ref="AM243:AW243" si="290">IF(ISERROR(LOOKUP(AM$6,$S243:$AB243,$S$9:$AB$9)),0,(LOOKUP(AM$6,$S243:$AB243,$S$9:$AB$9)))</f>
        <v>0</v>
      </c>
      <c r="AN243" s="153">
        <f t="shared" si="290"/>
        <v>0</v>
      </c>
      <c r="AO243" s="153">
        <f t="shared" si="290"/>
        <v>0</v>
      </c>
      <c r="AP243" s="153">
        <f t="shared" si="290"/>
        <v>0</v>
      </c>
      <c r="AQ243" s="153">
        <f t="shared" si="290"/>
        <v>0</v>
      </c>
      <c r="AR243" s="153">
        <f t="shared" si="290"/>
        <v>0</v>
      </c>
      <c r="AS243" s="153">
        <f t="shared" si="290"/>
        <v>0</v>
      </c>
      <c r="AT243" s="153">
        <f t="shared" si="290"/>
        <v>0</v>
      </c>
      <c r="AU243" s="153">
        <f t="shared" si="290"/>
        <v>0</v>
      </c>
      <c r="AV243" s="153">
        <f t="shared" si="290"/>
        <v>0</v>
      </c>
      <c r="AW243" s="153">
        <f t="shared" ca="1" si="290"/>
        <v>0</v>
      </c>
      <c r="BB243" s="135"/>
    </row>
    <row r="244" spans="1:54" s="21" customFormat="1" ht="18" customHeight="1">
      <c r="A244" s="782">
        <f>A241+1</f>
        <v>79</v>
      </c>
      <c r="B244" s="154" t="s">
        <v>5425</v>
      </c>
      <c r="C244" s="791" t="s">
        <v>5361</v>
      </c>
      <c r="D244" s="80" t="s">
        <v>5444</v>
      </c>
      <c r="E244" s="127" t="s">
        <v>5422</v>
      </c>
      <c r="F244" s="128" t="s">
        <v>73</v>
      </c>
      <c r="G244" s="158"/>
      <c r="H244" s="82" t="s">
        <v>5447</v>
      </c>
      <c r="I244" s="127" t="s">
        <v>9</v>
      </c>
      <c r="J244" s="128"/>
      <c r="K244" s="129">
        <f>M246</f>
        <v>1E-3</v>
      </c>
      <c r="L244" s="129"/>
      <c r="M244" s="129"/>
      <c r="N244" s="127"/>
      <c r="O244" s="127"/>
      <c r="P244" s="127"/>
      <c r="Q244" s="130" t="s">
        <v>5364</v>
      </c>
      <c r="R244" s="130"/>
      <c r="S244" s="155" t="e">
        <f>WORKDAY(T244,-INDEX(T$2:T$5,MATCH($I244,$I$2:$I$5,0)),'[38]Equipment List and MR List (3)'!$A$2:$A$80)</f>
        <v>#REF!</v>
      </c>
      <c r="T244" s="155" t="e">
        <f>WORKDAY(U244,-INDEX(U$2:U$5,MATCH($I244,$I$2:$I$5,0)),$BB$10:$BB$141)</f>
        <v>#REF!</v>
      </c>
      <c r="U244" s="155" t="e">
        <f>WORKDAY(V244,-INDEX(V$2:V$5,MATCH($I244,$I$2:$I$5,0)),$BB$10:$BB$141)</f>
        <v>#REF!</v>
      </c>
      <c r="V244" s="155" t="e">
        <f>WORKDAY(W244,-INDEX(W$2:W$5,MATCH($I244,$I$2:$I$5,0)),$BB$10:$BB$141)</f>
        <v>#REF!</v>
      </c>
      <c r="W244" s="155" t="e">
        <f>WORKDAY(#REF!,-INDEX(#REF!,MATCH($I244,$I$2:$I$5,0)),$BB$10:$BB$141)</f>
        <v>#REF!</v>
      </c>
      <c r="X244" s="155" t="e">
        <f>WORKDAY(Y244,-INDEX(Y$2:Y$5,MATCH($I244,$I$2:$I$5,0)),$BB$10:$BB$141)</f>
        <v>#REF!</v>
      </c>
      <c r="Y244" s="155" t="e">
        <f>WORKDAY(Z244,-INDEX(Z$2:Z$5,MATCH($I244,$I$2:$I$5,0)),$BB$10:$BB$141)</f>
        <v>#REF!</v>
      </c>
      <c r="Z244" s="155" t="e">
        <f>WORKDAY(AA244,-INDEX(AA$2:AA$5,MATCH($I244,$I$2:$I$5,0)),$BB$10:$BB$141)</f>
        <v>#REF!</v>
      </c>
      <c r="AA244" s="155" t="e">
        <f>WORKDAY(#REF!,-INDEX(#REF!,MATCH($I244,$I$2:$I$5,0)),$BB$10:$BB$141)</f>
        <v>#REF!</v>
      </c>
      <c r="AB244" s="155">
        <f>WORKDAY(AG244,0,'[38]Equipment List and MR List (3)'!$A$2:$A$80)</f>
        <v>0</v>
      </c>
      <c r="AC244" s="797" t="s">
        <v>5365</v>
      </c>
      <c r="AD244" s="87">
        <v>7</v>
      </c>
      <c r="AE244" s="803">
        <v>121</v>
      </c>
      <c r="AF244" s="806" t="e">
        <f>AB245</f>
        <v>#REF!</v>
      </c>
      <c r="AG244" s="809"/>
      <c r="AH244" s="88"/>
      <c r="AI244" s="89"/>
      <c r="AJ244" s="812" t="e">
        <f>AG244-AF244</f>
        <v>#REF!</v>
      </c>
      <c r="AK244" s="131"/>
      <c r="AL244" s="132"/>
      <c r="AM244" s="133">
        <f t="shared" ref="AM244:AW244" si="291">IF(ISERROR(LOOKUP(AM$6,$S244:$AB244,$S$9:$AB$9)),0,(LOOKUP(AM$6,$S244:$AB244,$S$9:$AB$9)))</f>
        <v>0.95</v>
      </c>
      <c r="AN244" s="134">
        <f t="shared" si="291"/>
        <v>0.95</v>
      </c>
      <c r="AO244" s="134">
        <f t="shared" si="291"/>
        <v>0.95</v>
      </c>
      <c r="AP244" s="134">
        <f t="shared" si="291"/>
        <v>0.95</v>
      </c>
      <c r="AQ244" s="134">
        <f t="shared" si="291"/>
        <v>0.95</v>
      </c>
      <c r="AR244" s="134">
        <f t="shared" si="291"/>
        <v>0.95</v>
      </c>
      <c r="AS244" s="134">
        <f t="shared" si="291"/>
        <v>0.95</v>
      </c>
      <c r="AT244" s="134">
        <f t="shared" si="291"/>
        <v>0.95</v>
      </c>
      <c r="AU244" s="134">
        <f t="shared" si="291"/>
        <v>0.95</v>
      </c>
      <c r="AV244" s="134">
        <f t="shared" si="291"/>
        <v>0.95</v>
      </c>
      <c r="AW244" s="134">
        <f t="shared" ca="1" si="291"/>
        <v>0.95</v>
      </c>
      <c r="BB244" s="135"/>
    </row>
    <row r="245" spans="1:54" s="21" customFormat="1" ht="18" customHeight="1">
      <c r="A245" s="783"/>
      <c r="B245" s="156"/>
      <c r="C245" s="792"/>
      <c r="D245" s="96" t="str">
        <f>D244</f>
        <v>INT</v>
      </c>
      <c r="E245" s="136" t="str">
        <f>E244</f>
        <v>RFQ-054</v>
      </c>
      <c r="F245" s="137" t="str">
        <f>F244</f>
        <v>N</v>
      </c>
      <c r="G245" s="159"/>
      <c r="H245" s="98" t="str">
        <f>H244</f>
        <v>Instrument Cable Glands</v>
      </c>
      <c r="I245" s="136" t="str">
        <f>I244</f>
        <v>LD</v>
      </c>
      <c r="J245" s="137"/>
      <c r="K245" s="138"/>
      <c r="L245" s="138">
        <f>M246</f>
        <v>1E-3</v>
      </c>
      <c r="M245" s="138"/>
      <c r="N245" s="136"/>
      <c r="O245" s="136"/>
      <c r="P245" s="136"/>
      <c r="Q245" s="139" t="s">
        <v>5366</v>
      </c>
      <c r="R245" s="139"/>
      <c r="S245" s="140" t="e">
        <f>S244</f>
        <v>#REF!</v>
      </c>
      <c r="T245" s="141" t="e">
        <f>T244</f>
        <v>#REF!</v>
      </c>
      <c r="U245" s="141" t="e">
        <f>WORKDAY(IF(T246="",T245,T246),INDEX(U$2:U$5,MATCH($I244,$I$2:$I$5,0)),$BB$10:$BB$141)</f>
        <v>#REF!</v>
      </c>
      <c r="V245" s="141" t="e">
        <f>WORKDAY(IF(U246="",U245,U246),INDEX(V$2:V$5,MATCH($I244,$I$2:$I$5,0)),$BB$10:$BB$141)</f>
        <v>#REF!</v>
      </c>
      <c r="W245" s="141" t="e">
        <f>WORKDAY(IF(V246="",V245,V246),INDEX(W$2:W$5,MATCH($I244,$I$2:$I$5,0)),$BB$10:$BB$141)</f>
        <v>#REF!</v>
      </c>
      <c r="X245" s="141" t="e">
        <f>WORKDAY(IF(#REF!="",#REF!,#REF!),INDEX(X$2:X$5,MATCH($I244,$I$2:$I$5,0)),$BB$10:$BB$141)</f>
        <v>#REF!</v>
      </c>
      <c r="Y245" s="141" t="e">
        <f>WORKDAY(IF(X246="",X245,X246),INDEX(Y$2:Y$5,MATCH($I244,$I$2:$I$5,0)),$BB$10:$BB$141)</f>
        <v>#REF!</v>
      </c>
      <c r="Z245" s="141" t="e">
        <f>WORKDAY(IF(Y246="",Y245,Y246),INDEX(Z$2:Z$5,MATCH($I244,$I$2:$I$5,0)),$BB$10:$BB$141)</f>
        <v>#REF!</v>
      </c>
      <c r="AA245" s="141" t="e">
        <f>WORKDAY(IF(Z246="",Z245,Z246),INDEX(AA$2:AA$5,MATCH($I244,$I$2:$I$5,0)),$BB$10:$BB$141)</f>
        <v>#REF!</v>
      </c>
      <c r="AB245" s="142" t="e">
        <f>AE244+#REF!</f>
        <v>#REF!</v>
      </c>
      <c r="AC245" s="798"/>
      <c r="AD245" s="105"/>
      <c r="AE245" s="804"/>
      <c r="AF245" s="807"/>
      <c r="AG245" s="810"/>
      <c r="AH245" s="106"/>
      <c r="AI245" s="107"/>
      <c r="AJ245" s="813"/>
      <c r="AK245" s="143"/>
      <c r="AL245" s="144"/>
      <c r="AM245" s="133">
        <f t="shared" ref="AM245:AW245" si="292">IF(ISERROR(LOOKUP(AM$6,$S245:$AB245,$S$9:$AB$9)),0,(LOOKUP(AM$6,$S245:$AB245,$S$9:$AB$9)))</f>
        <v>0</v>
      </c>
      <c r="AN245" s="134">
        <f t="shared" si="292"/>
        <v>0</v>
      </c>
      <c r="AO245" s="134">
        <f t="shared" si="292"/>
        <v>0</v>
      </c>
      <c r="AP245" s="134">
        <f t="shared" si="292"/>
        <v>0</v>
      </c>
      <c r="AQ245" s="134">
        <f t="shared" si="292"/>
        <v>0</v>
      </c>
      <c r="AR245" s="134">
        <f t="shared" si="292"/>
        <v>0</v>
      </c>
      <c r="AS245" s="134">
        <f t="shared" si="292"/>
        <v>0</v>
      </c>
      <c r="AT245" s="134">
        <f t="shared" si="292"/>
        <v>0</v>
      </c>
      <c r="AU245" s="134">
        <f t="shared" si="292"/>
        <v>0</v>
      </c>
      <c r="AV245" s="134">
        <f t="shared" si="292"/>
        <v>0</v>
      </c>
      <c r="AW245" s="134">
        <f t="shared" ca="1" si="292"/>
        <v>0</v>
      </c>
      <c r="BB245" s="135"/>
    </row>
    <row r="246" spans="1:54" s="21" customFormat="1" ht="18" customHeight="1">
      <c r="A246" s="784"/>
      <c r="B246" s="157"/>
      <c r="C246" s="793"/>
      <c r="D246" s="111" t="str">
        <f>D244</f>
        <v>INT</v>
      </c>
      <c r="E246" s="145" t="str">
        <f>E244</f>
        <v>RFQ-054</v>
      </c>
      <c r="F246" s="146" t="str">
        <f>F244</f>
        <v>N</v>
      </c>
      <c r="G246" s="160"/>
      <c r="H246" s="113" t="str">
        <f>H244</f>
        <v>Instrument Cable Glands</v>
      </c>
      <c r="I246" s="145" t="str">
        <f>I244</f>
        <v>LD</v>
      </c>
      <c r="J246" s="146"/>
      <c r="K246" s="147"/>
      <c r="L246" s="147"/>
      <c r="M246" s="147">
        <v>1E-3</v>
      </c>
      <c r="N246" s="145"/>
      <c r="O246" s="145"/>
      <c r="P246" s="145"/>
      <c r="Q246" s="148" t="s">
        <v>368</v>
      </c>
      <c r="R246" s="148"/>
      <c r="S246" s="149"/>
      <c r="T246" s="149"/>
      <c r="U246" s="149"/>
      <c r="V246" s="149"/>
      <c r="W246" s="149"/>
      <c r="X246" s="149"/>
      <c r="Y246" s="149"/>
      <c r="Z246" s="149"/>
      <c r="AA246" s="149"/>
      <c r="AB246" s="149"/>
      <c r="AC246" s="799"/>
      <c r="AD246" s="116"/>
      <c r="AE246" s="805"/>
      <c r="AF246" s="808"/>
      <c r="AG246" s="811"/>
      <c r="AH246" s="117"/>
      <c r="AI246" s="118"/>
      <c r="AJ246" s="814"/>
      <c r="AK246" s="150"/>
      <c r="AL246" s="151"/>
      <c r="AM246" s="152">
        <f t="shared" ref="AM246:AW246" si="293">IF(ISERROR(LOOKUP(AM$6,$S246:$AB246,$S$9:$AB$9)),0,(LOOKUP(AM$6,$S246:$AB246,$S$9:$AB$9)))</f>
        <v>0</v>
      </c>
      <c r="AN246" s="153">
        <f t="shared" si="293"/>
        <v>0</v>
      </c>
      <c r="AO246" s="153">
        <f t="shared" si="293"/>
        <v>0</v>
      </c>
      <c r="AP246" s="153">
        <f t="shared" si="293"/>
        <v>0</v>
      </c>
      <c r="AQ246" s="153">
        <f t="shared" si="293"/>
        <v>0</v>
      </c>
      <c r="AR246" s="153">
        <f t="shared" si="293"/>
        <v>0</v>
      </c>
      <c r="AS246" s="153">
        <f t="shared" si="293"/>
        <v>0</v>
      </c>
      <c r="AT246" s="153">
        <f t="shared" si="293"/>
        <v>0</v>
      </c>
      <c r="AU246" s="153">
        <f t="shared" si="293"/>
        <v>0</v>
      </c>
      <c r="AV246" s="153">
        <f t="shared" si="293"/>
        <v>0</v>
      </c>
      <c r="AW246" s="153">
        <f t="shared" ca="1" si="293"/>
        <v>0</v>
      </c>
      <c r="BB246" s="135"/>
    </row>
    <row r="247" spans="1:54" s="21" customFormat="1" ht="18" customHeight="1">
      <c r="A247" s="782">
        <f>A244+1</f>
        <v>80</v>
      </c>
      <c r="B247" s="154" t="s">
        <v>5425</v>
      </c>
      <c r="C247" s="791" t="s">
        <v>5361</v>
      </c>
      <c r="D247" s="80" t="s">
        <v>5444</v>
      </c>
      <c r="E247" s="127" t="s">
        <v>5422</v>
      </c>
      <c r="F247" s="128" t="s">
        <v>73</v>
      </c>
      <c r="G247" s="158"/>
      <c r="H247" s="82" t="s">
        <v>5448</v>
      </c>
      <c r="I247" s="127" t="s">
        <v>9</v>
      </c>
      <c r="J247" s="128"/>
      <c r="K247" s="129">
        <f>M249</f>
        <v>1E-3</v>
      </c>
      <c r="L247" s="129"/>
      <c r="M247" s="129"/>
      <c r="N247" s="127"/>
      <c r="O247" s="127"/>
      <c r="P247" s="127"/>
      <c r="Q247" s="130" t="s">
        <v>5364</v>
      </c>
      <c r="R247" s="130"/>
      <c r="S247" s="155" t="e">
        <f>WORKDAY(T247,-INDEX(T$2:T$5,MATCH($I247,$I$2:$I$5,0)),'[38]Equipment List and MR List (3)'!$A$2:$A$80)</f>
        <v>#REF!</v>
      </c>
      <c r="T247" s="155" t="e">
        <f>WORKDAY(U247,-INDEX(U$2:U$5,MATCH($I247,$I$2:$I$5,0)),$BB$10:$BB$141)</f>
        <v>#REF!</v>
      </c>
      <c r="U247" s="155" t="e">
        <f>WORKDAY(V247,-INDEX(V$2:V$5,MATCH($I247,$I$2:$I$5,0)),$BB$10:$BB$141)</f>
        <v>#REF!</v>
      </c>
      <c r="V247" s="155" t="e">
        <f>WORKDAY(W247,-INDEX(W$2:W$5,MATCH($I247,$I$2:$I$5,0)),$BB$10:$BB$141)</f>
        <v>#REF!</v>
      </c>
      <c r="W247" s="155" t="e">
        <f>WORKDAY(#REF!,-INDEX(#REF!,MATCH($I247,$I$2:$I$5,0)),$BB$10:$BB$141)</f>
        <v>#REF!</v>
      </c>
      <c r="X247" s="155" t="e">
        <f>WORKDAY(Y247,-INDEX(Y$2:Y$5,MATCH($I247,$I$2:$I$5,0)),$BB$10:$BB$141)</f>
        <v>#REF!</v>
      </c>
      <c r="Y247" s="155" t="e">
        <f>WORKDAY(Z247,-INDEX(Z$2:Z$5,MATCH($I247,$I$2:$I$5,0)),$BB$10:$BB$141)</f>
        <v>#REF!</v>
      </c>
      <c r="Z247" s="155" t="e">
        <f>WORKDAY(AA247,-INDEX(AA$2:AA$5,MATCH($I247,$I$2:$I$5,0)),$BB$10:$BB$141)</f>
        <v>#REF!</v>
      </c>
      <c r="AA247" s="155" t="e">
        <f>WORKDAY(#REF!,-INDEX(#REF!,MATCH($I247,$I$2:$I$5,0)),$BB$10:$BB$141)</f>
        <v>#REF!</v>
      </c>
      <c r="AB247" s="155">
        <f>WORKDAY(AG247,0,'[38]Equipment List and MR List (3)'!$A$2:$A$80)</f>
        <v>0</v>
      </c>
      <c r="AC247" s="797" t="s">
        <v>5365</v>
      </c>
      <c r="AD247" s="87">
        <v>7</v>
      </c>
      <c r="AE247" s="803">
        <v>121</v>
      </c>
      <c r="AF247" s="806" t="e">
        <f>AB248</f>
        <v>#REF!</v>
      </c>
      <c r="AG247" s="809"/>
      <c r="AH247" s="88"/>
      <c r="AI247" s="89"/>
      <c r="AJ247" s="812" t="e">
        <f>AG247-AF247</f>
        <v>#REF!</v>
      </c>
      <c r="AK247" s="131"/>
      <c r="AL247" s="132"/>
      <c r="AM247" s="133">
        <f t="shared" ref="AM247:AW247" si="294">IF(ISERROR(LOOKUP(AM$6,$S247:$AB247,$S$9:$AB$9)),0,(LOOKUP(AM$6,$S247:$AB247,$S$9:$AB$9)))</f>
        <v>0.95</v>
      </c>
      <c r="AN247" s="134">
        <f t="shared" si="294"/>
        <v>0.95</v>
      </c>
      <c r="AO247" s="134">
        <f t="shared" si="294"/>
        <v>0.95</v>
      </c>
      <c r="AP247" s="134">
        <f t="shared" si="294"/>
        <v>0.95</v>
      </c>
      <c r="AQ247" s="134">
        <f t="shared" si="294"/>
        <v>0.95</v>
      </c>
      <c r="AR247" s="134">
        <f t="shared" si="294"/>
        <v>0.95</v>
      </c>
      <c r="AS247" s="134">
        <f t="shared" si="294"/>
        <v>0.95</v>
      </c>
      <c r="AT247" s="134">
        <f t="shared" si="294"/>
        <v>0.95</v>
      </c>
      <c r="AU247" s="134">
        <f t="shared" si="294"/>
        <v>0.95</v>
      </c>
      <c r="AV247" s="134">
        <f t="shared" si="294"/>
        <v>0.95</v>
      </c>
      <c r="AW247" s="134">
        <f t="shared" ca="1" si="294"/>
        <v>0.95</v>
      </c>
      <c r="BB247" s="135"/>
    </row>
    <row r="248" spans="1:54" s="21" customFormat="1" ht="18" customHeight="1">
      <c r="A248" s="783"/>
      <c r="B248" s="156"/>
      <c r="C248" s="792"/>
      <c r="D248" s="96" t="str">
        <f>D247</f>
        <v>INT</v>
      </c>
      <c r="E248" s="136" t="str">
        <f>E247</f>
        <v>RFQ-054</v>
      </c>
      <c r="F248" s="137" t="str">
        <f>F247</f>
        <v>N</v>
      </c>
      <c r="G248" s="159"/>
      <c r="H248" s="98" t="str">
        <f>H247</f>
        <v>Instrument cables</v>
      </c>
      <c r="I248" s="136" t="str">
        <f>I247</f>
        <v>LD</v>
      </c>
      <c r="J248" s="137"/>
      <c r="K248" s="138"/>
      <c r="L248" s="138">
        <f>M249</f>
        <v>1E-3</v>
      </c>
      <c r="M248" s="138"/>
      <c r="N248" s="136"/>
      <c r="O248" s="136"/>
      <c r="P248" s="136"/>
      <c r="Q248" s="139" t="s">
        <v>5366</v>
      </c>
      <c r="R248" s="139"/>
      <c r="S248" s="140" t="e">
        <f>S247</f>
        <v>#REF!</v>
      </c>
      <c r="T248" s="141" t="e">
        <f>T247</f>
        <v>#REF!</v>
      </c>
      <c r="U248" s="141" t="e">
        <f>WORKDAY(IF(T249="",T248,T249),INDEX(U$2:U$5,MATCH($I247,$I$2:$I$5,0)),$BB$10:$BB$141)</f>
        <v>#REF!</v>
      </c>
      <c r="V248" s="141" t="e">
        <f>WORKDAY(IF(U249="",U248,U249),INDEX(V$2:V$5,MATCH($I247,$I$2:$I$5,0)),$BB$10:$BB$141)</f>
        <v>#REF!</v>
      </c>
      <c r="W248" s="141" t="e">
        <f>WORKDAY(IF(V249="",V248,V249),INDEX(W$2:W$5,MATCH($I247,$I$2:$I$5,0)),$BB$10:$BB$141)</f>
        <v>#REF!</v>
      </c>
      <c r="X248" s="141" t="e">
        <f>WORKDAY(IF(#REF!="",#REF!,#REF!),INDEX(X$2:X$5,MATCH($I247,$I$2:$I$5,0)),$BB$10:$BB$141)</f>
        <v>#REF!</v>
      </c>
      <c r="Y248" s="141" t="e">
        <f>WORKDAY(IF(X249="",X248,X249),INDEX(Y$2:Y$5,MATCH($I247,$I$2:$I$5,0)),$BB$10:$BB$141)</f>
        <v>#REF!</v>
      </c>
      <c r="Z248" s="141" t="e">
        <f>WORKDAY(IF(Y249="",Y248,Y249),INDEX(Z$2:Z$5,MATCH($I247,$I$2:$I$5,0)),$BB$10:$BB$141)</f>
        <v>#REF!</v>
      </c>
      <c r="AA248" s="141" t="e">
        <f>WORKDAY(IF(Z249="",Z248,Z249),INDEX(AA$2:AA$5,MATCH($I247,$I$2:$I$5,0)),$BB$10:$BB$141)</f>
        <v>#REF!</v>
      </c>
      <c r="AB248" s="142" t="e">
        <f>AE247+#REF!</f>
        <v>#REF!</v>
      </c>
      <c r="AC248" s="798"/>
      <c r="AD248" s="105"/>
      <c r="AE248" s="804"/>
      <c r="AF248" s="807"/>
      <c r="AG248" s="810"/>
      <c r="AH248" s="106"/>
      <c r="AI248" s="107"/>
      <c r="AJ248" s="813"/>
      <c r="AK248" s="143"/>
      <c r="AL248" s="144"/>
      <c r="AM248" s="133">
        <f t="shared" ref="AM248:AW248" si="295">IF(ISERROR(LOOKUP(AM$6,$S248:$AB248,$S$9:$AB$9)),0,(LOOKUP(AM$6,$S248:$AB248,$S$9:$AB$9)))</f>
        <v>0</v>
      </c>
      <c r="AN248" s="134">
        <f t="shared" si="295"/>
        <v>0</v>
      </c>
      <c r="AO248" s="134">
        <f t="shared" si="295"/>
        <v>0</v>
      </c>
      <c r="AP248" s="134">
        <f t="shared" si="295"/>
        <v>0</v>
      </c>
      <c r="AQ248" s="134">
        <f t="shared" si="295"/>
        <v>0</v>
      </c>
      <c r="AR248" s="134">
        <f t="shared" si="295"/>
        <v>0</v>
      </c>
      <c r="AS248" s="134">
        <f t="shared" si="295"/>
        <v>0</v>
      </c>
      <c r="AT248" s="134">
        <f t="shared" si="295"/>
        <v>0</v>
      </c>
      <c r="AU248" s="134">
        <f t="shared" si="295"/>
        <v>0</v>
      </c>
      <c r="AV248" s="134">
        <f t="shared" si="295"/>
        <v>0</v>
      </c>
      <c r="AW248" s="134">
        <f t="shared" ca="1" si="295"/>
        <v>0</v>
      </c>
      <c r="BB248" s="135"/>
    </row>
    <row r="249" spans="1:54" s="21" customFormat="1" ht="18" customHeight="1">
      <c r="A249" s="784"/>
      <c r="B249" s="157"/>
      <c r="C249" s="793"/>
      <c r="D249" s="111" t="str">
        <f>D247</f>
        <v>INT</v>
      </c>
      <c r="E249" s="145" t="str">
        <f>E247</f>
        <v>RFQ-054</v>
      </c>
      <c r="F249" s="146" t="str">
        <f>F247</f>
        <v>N</v>
      </c>
      <c r="G249" s="160"/>
      <c r="H249" s="113" t="str">
        <f>H247</f>
        <v>Instrument cables</v>
      </c>
      <c r="I249" s="145" t="str">
        <f>I247</f>
        <v>LD</v>
      </c>
      <c r="J249" s="146"/>
      <c r="K249" s="147"/>
      <c r="L249" s="147"/>
      <c r="M249" s="147">
        <v>1E-3</v>
      </c>
      <c r="N249" s="145"/>
      <c r="O249" s="145"/>
      <c r="P249" s="145"/>
      <c r="Q249" s="148" t="s">
        <v>368</v>
      </c>
      <c r="R249" s="148"/>
      <c r="S249" s="149"/>
      <c r="T249" s="149"/>
      <c r="U249" s="149"/>
      <c r="V249" s="149"/>
      <c r="W249" s="149"/>
      <c r="X249" s="149"/>
      <c r="Y249" s="149"/>
      <c r="Z249" s="149"/>
      <c r="AA249" s="149"/>
      <c r="AB249" s="149"/>
      <c r="AC249" s="799"/>
      <c r="AD249" s="116"/>
      <c r="AE249" s="805"/>
      <c r="AF249" s="808"/>
      <c r="AG249" s="811"/>
      <c r="AH249" s="117"/>
      <c r="AI249" s="118"/>
      <c r="AJ249" s="814"/>
      <c r="AK249" s="150"/>
      <c r="AL249" s="151"/>
      <c r="AM249" s="152">
        <f t="shared" ref="AM249:AW249" si="296">IF(ISERROR(LOOKUP(AM$6,$S249:$AB249,$S$9:$AB$9)),0,(LOOKUP(AM$6,$S249:$AB249,$S$9:$AB$9)))</f>
        <v>0</v>
      </c>
      <c r="AN249" s="153">
        <f t="shared" si="296"/>
        <v>0</v>
      </c>
      <c r="AO249" s="153">
        <f t="shared" si="296"/>
        <v>0</v>
      </c>
      <c r="AP249" s="153">
        <f t="shared" si="296"/>
        <v>0</v>
      </c>
      <c r="AQ249" s="153">
        <f t="shared" si="296"/>
        <v>0</v>
      </c>
      <c r="AR249" s="153">
        <f t="shared" si="296"/>
        <v>0</v>
      </c>
      <c r="AS249" s="153">
        <f t="shared" si="296"/>
        <v>0</v>
      </c>
      <c r="AT249" s="153">
        <f t="shared" si="296"/>
        <v>0</v>
      </c>
      <c r="AU249" s="153">
        <f t="shared" si="296"/>
        <v>0</v>
      </c>
      <c r="AV249" s="153">
        <f t="shared" si="296"/>
        <v>0</v>
      </c>
      <c r="AW249" s="153">
        <f t="shared" ca="1" si="296"/>
        <v>0</v>
      </c>
      <c r="BB249" s="135"/>
    </row>
    <row r="250" spans="1:54" s="21" customFormat="1" ht="18" customHeight="1">
      <c r="A250" s="782">
        <f>A247+1</f>
        <v>81</v>
      </c>
      <c r="B250" s="154" t="s">
        <v>5425</v>
      </c>
      <c r="C250" s="791" t="s">
        <v>5361</v>
      </c>
      <c r="D250" s="80" t="s">
        <v>5387</v>
      </c>
      <c r="E250" s="127" t="s">
        <v>5422</v>
      </c>
      <c r="F250" s="128" t="s">
        <v>73</v>
      </c>
      <c r="G250" s="158"/>
      <c r="H250" s="161" t="s">
        <v>5449</v>
      </c>
      <c r="I250" s="127" t="s">
        <v>9</v>
      </c>
      <c r="J250" s="128"/>
      <c r="K250" s="129">
        <f>M252</f>
        <v>1E-3</v>
      </c>
      <c r="L250" s="129"/>
      <c r="M250" s="129"/>
      <c r="N250" s="127"/>
      <c r="O250" s="127"/>
      <c r="P250" s="127"/>
      <c r="Q250" s="130" t="s">
        <v>5364</v>
      </c>
      <c r="R250" s="130"/>
      <c r="S250" s="155" t="e">
        <f>WORKDAY(T250,-INDEX(T$2:T$5,MATCH($I250,$I$2:$I$5,0)),'[38]Equipment List and MR List (3)'!$A$2:$A$80)</f>
        <v>#REF!</v>
      </c>
      <c r="T250" s="155" t="e">
        <f>WORKDAY(U250,-INDEX(U$2:U$5,MATCH($I250,$I$2:$I$5,0)),$BB$10:$BB$141)</f>
        <v>#REF!</v>
      </c>
      <c r="U250" s="155" t="e">
        <f>WORKDAY(V250,-INDEX(V$2:V$5,MATCH($I250,$I$2:$I$5,0)),$BB$10:$BB$141)</f>
        <v>#REF!</v>
      </c>
      <c r="V250" s="155" t="e">
        <f>WORKDAY(W250,-INDEX(W$2:W$5,MATCH($I250,$I$2:$I$5,0)),$BB$10:$BB$141)</f>
        <v>#REF!</v>
      </c>
      <c r="W250" s="155" t="e">
        <f>WORKDAY(#REF!,-INDEX(#REF!,MATCH($I250,$I$2:$I$5,0)),$BB$10:$BB$141)</f>
        <v>#REF!</v>
      </c>
      <c r="X250" s="155" t="e">
        <f>WORKDAY(Y250,-INDEX(Y$2:Y$5,MATCH($I250,$I$2:$I$5,0)),$BB$10:$BB$141)</f>
        <v>#REF!</v>
      </c>
      <c r="Y250" s="155" t="e">
        <f>WORKDAY(Z250,-INDEX(Z$2:Z$5,MATCH($I250,$I$2:$I$5,0)),$BB$10:$BB$141)</f>
        <v>#REF!</v>
      </c>
      <c r="Z250" s="155" t="e">
        <f>WORKDAY(AA250,-INDEX(AA$2:AA$5,MATCH($I250,$I$2:$I$5,0)),$BB$10:$BB$141)</f>
        <v>#REF!</v>
      </c>
      <c r="AA250" s="155" t="e">
        <f>WORKDAY(#REF!,-INDEX(#REF!,MATCH($I250,$I$2:$I$5,0)),$BB$10:$BB$141)</f>
        <v>#REF!</v>
      </c>
      <c r="AB250" s="155">
        <f>WORKDAY(AG250,0,'[38]Equipment List and MR List (3)'!$A$2:$A$80)</f>
        <v>0</v>
      </c>
      <c r="AC250" s="797" t="s">
        <v>5365</v>
      </c>
      <c r="AD250" s="87">
        <v>7</v>
      </c>
      <c r="AE250" s="803">
        <v>100</v>
      </c>
      <c r="AF250" s="806" t="e">
        <f>AB251</f>
        <v>#REF!</v>
      </c>
      <c r="AG250" s="809"/>
      <c r="AH250" s="88"/>
      <c r="AI250" s="89"/>
      <c r="AJ250" s="812" t="e">
        <f>AG250-AF250</f>
        <v>#REF!</v>
      </c>
      <c r="AK250" s="131"/>
      <c r="AL250" s="132"/>
      <c r="AM250" s="133">
        <f t="shared" ref="AM250:AW250" si="297">IF(ISERROR(LOOKUP(AM$6,$S250:$AB250,$S$9:$AB$9)),0,(LOOKUP(AM$6,$S250:$AB250,$S$9:$AB$9)))</f>
        <v>0.95</v>
      </c>
      <c r="AN250" s="134">
        <f t="shared" si="297"/>
        <v>0.95</v>
      </c>
      <c r="AO250" s="134">
        <f t="shared" si="297"/>
        <v>0.95</v>
      </c>
      <c r="AP250" s="134">
        <f t="shared" si="297"/>
        <v>0.95</v>
      </c>
      <c r="AQ250" s="134">
        <f t="shared" si="297"/>
        <v>0.95</v>
      </c>
      <c r="AR250" s="134">
        <f t="shared" si="297"/>
        <v>0.95</v>
      </c>
      <c r="AS250" s="134">
        <f t="shared" si="297"/>
        <v>0.95</v>
      </c>
      <c r="AT250" s="134">
        <f t="shared" si="297"/>
        <v>0.95</v>
      </c>
      <c r="AU250" s="134">
        <f t="shared" si="297"/>
        <v>0.95</v>
      </c>
      <c r="AV250" s="134">
        <f t="shared" si="297"/>
        <v>0.95</v>
      </c>
      <c r="AW250" s="134">
        <f t="shared" ca="1" si="297"/>
        <v>0.95</v>
      </c>
      <c r="BB250" s="135"/>
    </row>
    <row r="251" spans="1:54" s="21" customFormat="1" ht="18" customHeight="1">
      <c r="A251" s="783"/>
      <c r="B251" s="156"/>
      <c r="C251" s="792"/>
      <c r="D251" s="96" t="str">
        <f>D250</f>
        <v>ELE</v>
      </c>
      <c r="E251" s="136" t="str">
        <f>E250</f>
        <v>RFQ-054</v>
      </c>
      <c r="F251" s="137" t="str">
        <f>F250</f>
        <v>N</v>
      </c>
      <c r="G251" s="159"/>
      <c r="H251" s="162" t="str">
        <f>H250</f>
        <v>AC Distribution Pane</v>
      </c>
      <c r="I251" s="136" t="str">
        <f>I250</f>
        <v>LD</v>
      </c>
      <c r="J251" s="137"/>
      <c r="K251" s="138"/>
      <c r="L251" s="138">
        <f>M252</f>
        <v>1E-3</v>
      </c>
      <c r="M251" s="138"/>
      <c r="N251" s="136"/>
      <c r="O251" s="136"/>
      <c r="P251" s="136"/>
      <c r="Q251" s="139" t="s">
        <v>5366</v>
      </c>
      <c r="R251" s="139"/>
      <c r="S251" s="140" t="e">
        <f>S250</f>
        <v>#REF!</v>
      </c>
      <c r="T251" s="141" t="e">
        <f>T250</f>
        <v>#REF!</v>
      </c>
      <c r="U251" s="141" t="e">
        <f>WORKDAY(IF(T252="",T251,T252),INDEX(U$2:U$5,MATCH($I250,$I$2:$I$5,0)),$BB$10:$BB$141)</f>
        <v>#REF!</v>
      </c>
      <c r="V251" s="141" t="e">
        <f>WORKDAY(IF(U252="",U251,U252),INDEX(V$2:V$5,MATCH($I250,$I$2:$I$5,0)),$BB$10:$BB$141)</f>
        <v>#REF!</v>
      </c>
      <c r="W251" s="141" t="e">
        <f>WORKDAY(IF(V252="",V251,V252),INDEX(W$2:W$5,MATCH($I250,$I$2:$I$5,0)),$BB$10:$BB$141)</f>
        <v>#REF!</v>
      </c>
      <c r="X251" s="141" t="e">
        <f>WORKDAY(IF(#REF!="",#REF!,#REF!),INDEX(X$2:X$5,MATCH($I250,$I$2:$I$5,0)),$BB$10:$BB$141)</f>
        <v>#REF!</v>
      </c>
      <c r="Y251" s="141" t="e">
        <f>WORKDAY(IF(X252="",X251,X252),INDEX(Y$2:Y$5,MATCH($I250,$I$2:$I$5,0)),$BB$10:$BB$141)</f>
        <v>#REF!</v>
      </c>
      <c r="Z251" s="141" t="e">
        <f>WORKDAY(IF(Y252="",Y251,Y252),INDEX(Z$2:Z$5,MATCH($I250,$I$2:$I$5,0)),$BB$10:$BB$141)</f>
        <v>#REF!</v>
      </c>
      <c r="AA251" s="141" t="e">
        <f>WORKDAY(IF(Z252="",Z251,Z252),INDEX(AA$2:AA$5,MATCH($I250,$I$2:$I$5,0)),$BB$10:$BB$141)</f>
        <v>#REF!</v>
      </c>
      <c r="AB251" s="142" t="e">
        <f>AE250+#REF!</f>
        <v>#REF!</v>
      </c>
      <c r="AC251" s="798"/>
      <c r="AD251" s="105"/>
      <c r="AE251" s="804"/>
      <c r="AF251" s="807"/>
      <c r="AG251" s="810"/>
      <c r="AH251" s="106"/>
      <c r="AI251" s="107"/>
      <c r="AJ251" s="813"/>
      <c r="AK251" s="143"/>
      <c r="AL251" s="144"/>
      <c r="AM251" s="133">
        <f t="shared" ref="AM251:AW251" si="298">IF(ISERROR(LOOKUP(AM$6,$S251:$AB251,$S$9:$AB$9)),0,(LOOKUP(AM$6,$S251:$AB251,$S$9:$AB$9)))</f>
        <v>0</v>
      </c>
      <c r="AN251" s="134">
        <f t="shared" si="298"/>
        <v>0</v>
      </c>
      <c r="AO251" s="134">
        <f t="shared" si="298"/>
        <v>0</v>
      </c>
      <c r="AP251" s="134">
        <f t="shared" si="298"/>
        <v>0</v>
      </c>
      <c r="AQ251" s="134">
        <f t="shared" si="298"/>
        <v>0</v>
      </c>
      <c r="AR251" s="134">
        <f t="shared" si="298"/>
        <v>0</v>
      </c>
      <c r="AS251" s="134">
        <f t="shared" si="298"/>
        <v>0</v>
      </c>
      <c r="AT251" s="134">
        <f t="shared" si="298"/>
        <v>0</v>
      </c>
      <c r="AU251" s="134">
        <f t="shared" si="298"/>
        <v>0</v>
      </c>
      <c r="AV251" s="134">
        <f t="shared" si="298"/>
        <v>0</v>
      </c>
      <c r="AW251" s="134">
        <f t="shared" ca="1" si="298"/>
        <v>0</v>
      </c>
      <c r="BB251" s="135"/>
    </row>
    <row r="252" spans="1:54" s="21" customFormat="1" ht="18" customHeight="1">
      <c r="A252" s="784"/>
      <c r="B252" s="157"/>
      <c r="C252" s="793"/>
      <c r="D252" s="111" t="str">
        <f>D250</f>
        <v>ELE</v>
      </c>
      <c r="E252" s="145" t="str">
        <f>E250</f>
        <v>RFQ-054</v>
      </c>
      <c r="F252" s="146" t="str">
        <f>F250</f>
        <v>N</v>
      </c>
      <c r="G252" s="160"/>
      <c r="H252" s="163" t="str">
        <f>H250</f>
        <v>AC Distribution Pane</v>
      </c>
      <c r="I252" s="145" t="str">
        <f>I250</f>
        <v>LD</v>
      </c>
      <c r="J252" s="146"/>
      <c r="K252" s="147"/>
      <c r="L252" s="147"/>
      <c r="M252" s="147">
        <v>1E-3</v>
      </c>
      <c r="N252" s="145"/>
      <c r="O252" s="145"/>
      <c r="P252" s="145"/>
      <c r="Q252" s="148" t="s">
        <v>368</v>
      </c>
      <c r="R252" s="148"/>
      <c r="S252" s="149"/>
      <c r="T252" s="149"/>
      <c r="U252" s="149"/>
      <c r="V252" s="149"/>
      <c r="W252" s="149"/>
      <c r="X252" s="149"/>
      <c r="Y252" s="149"/>
      <c r="Z252" s="149"/>
      <c r="AA252" s="149"/>
      <c r="AB252" s="149"/>
      <c r="AC252" s="799"/>
      <c r="AD252" s="116"/>
      <c r="AE252" s="805"/>
      <c r="AF252" s="808"/>
      <c r="AG252" s="811"/>
      <c r="AH252" s="117"/>
      <c r="AI252" s="118"/>
      <c r="AJ252" s="814"/>
      <c r="AK252" s="150"/>
      <c r="AL252" s="151"/>
      <c r="AM252" s="152">
        <f t="shared" ref="AM252:AW252" si="299">IF(ISERROR(LOOKUP(AM$6,$S252:$AB252,$S$9:$AB$9)),0,(LOOKUP(AM$6,$S252:$AB252,$S$9:$AB$9)))</f>
        <v>0</v>
      </c>
      <c r="AN252" s="153">
        <f t="shared" si="299"/>
        <v>0</v>
      </c>
      <c r="AO252" s="153">
        <f t="shared" si="299"/>
        <v>0</v>
      </c>
      <c r="AP252" s="153">
        <f t="shared" si="299"/>
        <v>0</v>
      </c>
      <c r="AQ252" s="153">
        <f t="shared" si="299"/>
        <v>0</v>
      </c>
      <c r="AR252" s="153">
        <f t="shared" si="299"/>
        <v>0</v>
      </c>
      <c r="AS252" s="153">
        <f t="shared" si="299"/>
        <v>0</v>
      </c>
      <c r="AT252" s="153">
        <f t="shared" si="299"/>
        <v>0</v>
      </c>
      <c r="AU252" s="153">
        <f t="shared" si="299"/>
        <v>0</v>
      </c>
      <c r="AV252" s="153">
        <f t="shared" si="299"/>
        <v>0</v>
      </c>
      <c r="AW252" s="153">
        <f t="shared" ca="1" si="299"/>
        <v>0</v>
      </c>
      <c r="BB252" s="135"/>
    </row>
    <row r="253" spans="1:54" s="21" customFormat="1" ht="18" customHeight="1">
      <c r="A253" s="782">
        <f>A250+1</f>
        <v>82</v>
      </c>
      <c r="B253" s="154" t="s">
        <v>5425</v>
      </c>
      <c r="C253" s="791" t="s">
        <v>5361</v>
      </c>
      <c r="D253" s="80" t="s">
        <v>5372</v>
      </c>
      <c r="E253" s="127" t="s">
        <v>5422</v>
      </c>
      <c r="F253" s="128" t="s">
        <v>73</v>
      </c>
      <c r="G253" s="158"/>
      <c r="H253" s="161" t="s">
        <v>5439</v>
      </c>
      <c r="I253" s="127" t="s">
        <v>9</v>
      </c>
      <c r="J253" s="128"/>
      <c r="K253" s="129">
        <f>M255</f>
        <v>1E-3</v>
      </c>
      <c r="L253" s="129"/>
      <c r="M253" s="129"/>
      <c r="N253" s="127"/>
      <c r="O253" s="127"/>
      <c r="P253" s="127"/>
      <c r="Q253" s="130" t="s">
        <v>5364</v>
      </c>
      <c r="R253" s="130"/>
      <c r="S253" s="155" t="e">
        <f>WORKDAY(T253,-INDEX(T$2:T$5,MATCH($I253,$I$2:$I$5,0)),'[38]Equipment List and MR List (3)'!$A$2:$A$80)</f>
        <v>#REF!</v>
      </c>
      <c r="T253" s="155" t="e">
        <f>WORKDAY(U253,-INDEX(U$2:U$5,MATCH($I253,$I$2:$I$5,0)),$BB$10:$BB$141)</f>
        <v>#REF!</v>
      </c>
      <c r="U253" s="155" t="e">
        <f>WORKDAY(V253,-INDEX(V$2:V$5,MATCH($I253,$I$2:$I$5,0)),$BB$10:$BB$141)</f>
        <v>#REF!</v>
      </c>
      <c r="V253" s="155" t="e">
        <f>WORKDAY(W253,-INDEX(W$2:W$5,MATCH($I253,$I$2:$I$5,0)),$BB$10:$BB$141)</f>
        <v>#REF!</v>
      </c>
      <c r="W253" s="155" t="e">
        <f>WORKDAY(#REF!,-INDEX(#REF!,MATCH($I253,$I$2:$I$5,0)),$BB$10:$BB$141)</f>
        <v>#REF!</v>
      </c>
      <c r="X253" s="155" t="e">
        <f>WORKDAY(Y253,-INDEX(Y$2:Y$5,MATCH($I253,$I$2:$I$5,0)),$BB$10:$BB$141)</f>
        <v>#REF!</v>
      </c>
      <c r="Y253" s="155" t="e">
        <f>WORKDAY(Z253,-INDEX(Z$2:Z$5,MATCH($I253,$I$2:$I$5,0)),$BB$10:$BB$141)</f>
        <v>#REF!</v>
      </c>
      <c r="Z253" s="155" t="e">
        <f>WORKDAY(AA253,-INDEX(AA$2:AA$5,MATCH($I253,$I$2:$I$5,0)),$BB$10:$BB$141)</f>
        <v>#REF!</v>
      </c>
      <c r="AA253" s="155" t="e">
        <f>WORKDAY(#REF!,-INDEX(#REF!,MATCH($I253,$I$2:$I$5,0)),$BB$10:$BB$141)</f>
        <v>#REF!</v>
      </c>
      <c r="AB253" s="155">
        <f>WORKDAY(AG253,0,'[38]Equipment List and MR List (3)'!$A$2:$A$80)</f>
        <v>0</v>
      </c>
      <c r="AC253" s="797" t="s">
        <v>5365</v>
      </c>
      <c r="AD253" s="87">
        <v>7</v>
      </c>
      <c r="AE253" s="803">
        <v>100</v>
      </c>
      <c r="AF253" s="806" t="e">
        <f>AB254</f>
        <v>#REF!</v>
      </c>
      <c r="AG253" s="809"/>
      <c r="AH253" s="88"/>
      <c r="AI253" s="89"/>
      <c r="AJ253" s="812" t="e">
        <f>AG253-AF253</f>
        <v>#REF!</v>
      </c>
      <c r="AK253" s="131"/>
      <c r="AL253" s="132"/>
      <c r="AM253" s="133">
        <f t="shared" ref="AM253:AW253" si="300">IF(ISERROR(LOOKUP(AM$6,$S253:$AB253,$S$9:$AB$9)),0,(LOOKUP(AM$6,$S253:$AB253,$S$9:$AB$9)))</f>
        <v>0.95</v>
      </c>
      <c r="AN253" s="134">
        <f t="shared" si="300"/>
        <v>0.95</v>
      </c>
      <c r="AO253" s="134">
        <f t="shared" si="300"/>
        <v>0.95</v>
      </c>
      <c r="AP253" s="134">
        <f t="shared" si="300"/>
        <v>0.95</v>
      </c>
      <c r="AQ253" s="134">
        <f t="shared" si="300"/>
        <v>0.95</v>
      </c>
      <c r="AR253" s="134">
        <f t="shared" si="300"/>
        <v>0.95</v>
      </c>
      <c r="AS253" s="134">
        <f t="shared" si="300"/>
        <v>0.95</v>
      </c>
      <c r="AT253" s="134">
        <f t="shared" si="300"/>
        <v>0.95</v>
      </c>
      <c r="AU253" s="134">
        <f t="shared" si="300"/>
        <v>0.95</v>
      </c>
      <c r="AV253" s="134">
        <f t="shared" si="300"/>
        <v>0.95</v>
      </c>
      <c r="AW253" s="134">
        <f t="shared" ca="1" si="300"/>
        <v>0.95</v>
      </c>
      <c r="BB253" s="135"/>
    </row>
    <row r="254" spans="1:54" s="21" customFormat="1" ht="18" customHeight="1">
      <c r="A254" s="783"/>
      <c r="B254" s="156"/>
      <c r="C254" s="792"/>
      <c r="D254" s="96" t="str">
        <f>D253</f>
        <v>PIP</v>
      </c>
      <c r="E254" s="136" t="str">
        <f>E253</f>
        <v>RFQ-054</v>
      </c>
      <c r="F254" s="137" t="str">
        <f>F253</f>
        <v>N</v>
      </c>
      <c r="G254" s="159"/>
      <c r="H254" s="162" t="str">
        <f>H253</f>
        <v>SS &amp; DSS FITTING</v>
      </c>
      <c r="I254" s="136" t="str">
        <f>I253</f>
        <v>LD</v>
      </c>
      <c r="J254" s="137"/>
      <c r="K254" s="138"/>
      <c r="L254" s="138">
        <f>M255</f>
        <v>1E-3</v>
      </c>
      <c r="M254" s="138"/>
      <c r="N254" s="136"/>
      <c r="O254" s="136"/>
      <c r="P254" s="136"/>
      <c r="Q254" s="139" t="s">
        <v>5366</v>
      </c>
      <c r="R254" s="139"/>
      <c r="S254" s="140" t="e">
        <f>S253</f>
        <v>#REF!</v>
      </c>
      <c r="T254" s="141" t="e">
        <f>T253</f>
        <v>#REF!</v>
      </c>
      <c r="U254" s="141" t="e">
        <f>WORKDAY(IF(T255="",T254,T255),INDEX(U$2:U$5,MATCH($I253,$I$2:$I$5,0)),$BB$10:$BB$141)</f>
        <v>#REF!</v>
      </c>
      <c r="V254" s="141" t="e">
        <f>WORKDAY(IF(U255="",U254,U255),INDEX(V$2:V$5,MATCH($I253,$I$2:$I$5,0)),$BB$10:$BB$141)</f>
        <v>#REF!</v>
      </c>
      <c r="W254" s="141" t="e">
        <f>WORKDAY(IF(V255="",V254,V255),INDEX(W$2:W$5,MATCH($I253,$I$2:$I$5,0)),$BB$10:$BB$141)</f>
        <v>#REF!</v>
      </c>
      <c r="X254" s="141" t="e">
        <f>WORKDAY(IF(#REF!="",#REF!,#REF!),INDEX(X$2:X$5,MATCH($I253,$I$2:$I$5,0)),$BB$10:$BB$141)</f>
        <v>#REF!</v>
      </c>
      <c r="Y254" s="141" t="e">
        <f>WORKDAY(IF(X255="",X254,X255),INDEX(Y$2:Y$5,MATCH($I253,$I$2:$I$5,0)),$BB$10:$BB$141)</f>
        <v>#REF!</v>
      </c>
      <c r="Z254" s="141" t="e">
        <f>WORKDAY(IF(Y255="",Y254,Y255),INDEX(Z$2:Z$5,MATCH($I253,$I$2:$I$5,0)),$BB$10:$BB$141)</f>
        <v>#REF!</v>
      </c>
      <c r="AA254" s="141" t="e">
        <f>WORKDAY(IF(Z255="",Z254,Z255),INDEX(AA$2:AA$5,MATCH($I253,$I$2:$I$5,0)),$BB$10:$BB$141)</f>
        <v>#REF!</v>
      </c>
      <c r="AB254" s="142" t="e">
        <f>AE253+#REF!</f>
        <v>#REF!</v>
      </c>
      <c r="AC254" s="798"/>
      <c r="AD254" s="105"/>
      <c r="AE254" s="804"/>
      <c r="AF254" s="807"/>
      <c r="AG254" s="810"/>
      <c r="AH254" s="106"/>
      <c r="AI254" s="107"/>
      <c r="AJ254" s="813"/>
      <c r="AK254" s="143"/>
      <c r="AL254" s="144"/>
      <c r="AM254" s="133">
        <f t="shared" ref="AM254:AW254" si="301">IF(ISERROR(LOOKUP(AM$6,$S254:$AB254,$S$9:$AB$9)),0,(LOOKUP(AM$6,$S254:$AB254,$S$9:$AB$9)))</f>
        <v>0</v>
      </c>
      <c r="AN254" s="134">
        <f t="shared" si="301"/>
        <v>0</v>
      </c>
      <c r="AO254" s="134">
        <f t="shared" si="301"/>
        <v>0</v>
      </c>
      <c r="AP254" s="134">
        <f t="shared" si="301"/>
        <v>0</v>
      </c>
      <c r="AQ254" s="134">
        <f t="shared" si="301"/>
        <v>0</v>
      </c>
      <c r="AR254" s="134">
        <f t="shared" si="301"/>
        <v>0</v>
      </c>
      <c r="AS254" s="134">
        <f t="shared" si="301"/>
        <v>0</v>
      </c>
      <c r="AT254" s="134">
        <f t="shared" si="301"/>
        <v>0</v>
      </c>
      <c r="AU254" s="134">
        <f t="shared" si="301"/>
        <v>0</v>
      </c>
      <c r="AV254" s="134">
        <f t="shared" si="301"/>
        <v>0</v>
      </c>
      <c r="AW254" s="134">
        <f t="shared" ca="1" si="301"/>
        <v>0</v>
      </c>
      <c r="BB254" s="135"/>
    </row>
    <row r="255" spans="1:54" s="21" customFormat="1" ht="18" customHeight="1">
      <c r="A255" s="784"/>
      <c r="B255" s="157"/>
      <c r="C255" s="793"/>
      <c r="D255" s="111" t="str">
        <f>D253</f>
        <v>PIP</v>
      </c>
      <c r="E255" s="145" t="str">
        <f>E253</f>
        <v>RFQ-054</v>
      </c>
      <c r="F255" s="146" t="str">
        <f>F253</f>
        <v>N</v>
      </c>
      <c r="G255" s="160"/>
      <c r="H255" s="163" t="str">
        <f>H253</f>
        <v>SS &amp; DSS FITTING</v>
      </c>
      <c r="I255" s="145" t="str">
        <f>I253</f>
        <v>LD</v>
      </c>
      <c r="J255" s="146"/>
      <c r="K255" s="147"/>
      <c r="L255" s="147"/>
      <c r="M255" s="147">
        <v>1E-3</v>
      </c>
      <c r="N255" s="145"/>
      <c r="O255" s="145"/>
      <c r="P255" s="145"/>
      <c r="Q255" s="148" t="s">
        <v>368</v>
      </c>
      <c r="R255" s="148"/>
      <c r="S255" s="149"/>
      <c r="T255" s="149"/>
      <c r="U255" s="149"/>
      <c r="V255" s="149"/>
      <c r="W255" s="149"/>
      <c r="X255" s="149"/>
      <c r="Y255" s="149"/>
      <c r="Z255" s="149"/>
      <c r="AA255" s="149"/>
      <c r="AB255" s="149"/>
      <c r="AC255" s="799"/>
      <c r="AD255" s="116"/>
      <c r="AE255" s="805"/>
      <c r="AF255" s="808"/>
      <c r="AG255" s="811"/>
      <c r="AH255" s="117"/>
      <c r="AI255" s="118"/>
      <c r="AJ255" s="814"/>
      <c r="AK255" s="150"/>
      <c r="AL255" s="151"/>
      <c r="AM255" s="152">
        <f t="shared" ref="AM255:AW255" si="302">IF(ISERROR(LOOKUP(AM$6,$S255:$AB255,$S$9:$AB$9)),0,(LOOKUP(AM$6,$S255:$AB255,$S$9:$AB$9)))</f>
        <v>0</v>
      </c>
      <c r="AN255" s="153">
        <f t="shared" si="302"/>
        <v>0</v>
      </c>
      <c r="AO255" s="153">
        <f t="shared" si="302"/>
        <v>0</v>
      </c>
      <c r="AP255" s="153">
        <f t="shared" si="302"/>
        <v>0</v>
      </c>
      <c r="AQ255" s="153">
        <f t="shared" si="302"/>
        <v>0</v>
      </c>
      <c r="AR255" s="153">
        <f t="shared" si="302"/>
        <v>0</v>
      </c>
      <c r="AS255" s="153">
        <f t="shared" si="302"/>
        <v>0</v>
      </c>
      <c r="AT255" s="153">
        <f t="shared" si="302"/>
        <v>0</v>
      </c>
      <c r="AU255" s="153">
        <f t="shared" si="302"/>
        <v>0</v>
      </c>
      <c r="AV255" s="153">
        <f t="shared" si="302"/>
        <v>0</v>
      </c>
      <c r="AW255" s="153">
        <f t="shared" ca="1" si="302"/>
        <v>0</v>
      </c>
      <c r="BB255" s="135"/>
    </row>
    <row r="256" spans="1:54" s="21" customFormat="1" ht="18" customHeight="1">
      <c r="A256" s="782">
        <f>A253+1</f>
        <v>83</v>
      </c>
      <c r="B256" s="154" t="s">
        <v>5425</v>
      </c>
      <c r="C256" s="791" t="s">
        <v>5361</v>
      </c>
      <c r="D256" s="80" t="s">
        <v>5372</v>
      </c>
      <c r="E256" s="127" t="s">
        <v>5422</v>
      </c>
      <c r="F256" s="128" t="s">
        <v>73</v>
      </c>
      <c r="G256" s="158"/>
      <c r="H256" s="161" t="s">
        <v>5320</v>
      </c>
      <c r="I256" s="127" t="s">
        <v>9</v>
      </c>
      <c r="J256" s="128"/>
      <c r="K256" s="129">
        <f>M258</f>
        <v>1E-3</v>
      </c>
      <c r="L256" s="129"/>
      <c r="M256" s="129"/>
      <c r="N256" s="127"/>
      <c r="O256" s="127"/>
      <c r="P256" s="127"/>
      <c r="Q256" s="130" t="s">
        <v>5364</v>
      </c>
      <c r="R256" s="130"/>
      <c r="S256" s="155" t="e">
        <f>WORKDAY(T256,-INDEX(T$2:T$5,MATCH($I256,$I$2:$I$5,0)),'[38]Equipment List and MR List (3)'!$A$2:$A$80)</f>
        <v>#REF!</v>
      </c>
      <c r="T256" s="155" t="e">
        <f>WORKDAY(U256,-INDEX(U$2:U$5,MATCH($I256,$I$2:$I$5,0)),$BB$10:$BB$141)</f>
        <v>#REF!</v>
      </c>
      <c r="U256" s="155" t="e">
        <f>WORKDAY(V256,-INDEX(V$2:V$5,MATCH($I256,$I$2:$I$5,0)),$BB$10:$BB$141)</f>
        <v>#REF!</v>
      </c>
      <c r="V256" s="155" t="e">
        <f>WORKDAY(W256,-INDEX(W$2:W$5,MATCH($I256,$I$2:$I$5,0)),$BB$10:$BB$141)</f>
        <v>#REF!</v>
      </c>
      <c r="W256" s="155" t="e">
        <f>WORKDAY(#REF!,-INDEX(#REF!,MATCH($I256,$I$2:$I$5,0)),$BB$10:$BB$141)</f>
        <v>#REF!</v>
      </c>
      <c r="X256" s="155" t="e">
        <f>WORKDAY(Y256,-INDEX(Y$2:Y$5,MATCH($I256,$I$2:$I$5,0)),$BB$10:$BB$141)</f>
        <v>#REF!</v>
      </c>
      <c r="Y256" s="155" t="e">
        <f>WORKDAY(Z256,-INDEX(Z$2:Z$5,MATCH($I256,$I$2:$I$5,0)),$BB$10:$BB$141)</f>
        <v>#REF!</v>
      </c>
      <c r="Z256" s="155" t="e">
        <f>WORKDAY(AA256,-INDEX(AA$2:AA$5,MATCH($I256,$I$2:$I$5,0)),$BB$10:$BB$141)</f>
        <v>#REF!</v>
      </c>
      <c r="AA256" s="155" t="e">
        <f>WORKDAY(#REF!,-INDEX(#REF!,MATCH($I256,$I$2:$I$5,0)),$BB$10:$BB$141)</f>
        <v>#REF!</v>
      </c>
      <c r="AB256" s="155">
        <f>WORKDAY(AG256,0,'[38]Equipment List and MR List (3)'!$A$2:$A$80)</f>
        <v>0</v>
      </c>
      <c r="AC256" s="797" t="s">
        <v>5365</v>
      </c>
      <c r="AD256" s="87">
        <v>7</v>
      </c>
      <c r="AE256" s="803">
        <v>100</v>
      </c>
      <c r="AF256" s="806" t="e">
        <f>AB257</f>
        <v>#REF!</v>
      </c>
      <c r="AG256" s="809"/>
      <c r="AH256" s="88"/>
      <c r="AI256" s="89"/>
      <c r="AJ256" s="812" t="e">
        <f>AG256-AF256</f>
        <v>#REF!</v>
      </c>
      <c r="AK256" s="131"/>
      <c r="AL256" s="132"/>
      <c r="AM256" s="133">
        <f t="shared" ref="AM256:AW256" si="303">IF(ISERROR(LOOKUP(AM$6,$S256:$AB256,$S$9:$AB$9)),0,(LOOKUP(AM$6,$S256:$AB256,$S$9:$AB$9)))</f>
        <v>0.95</v>
      </c>
      <c r="AN256" s="134">
        <f t="shared" si="303"/>
        <v>0.95</v>
      </c>
      <c r="AO256" s="134">
        <f t="shared" si="303"/>
        <v>0.95</v>
      </c>
      <c r="AP256" s="134">
        <f t="shared" si="303"/>
        <v>0.95</v>
      </c>
      <c r="AQ256" s="134">
        <f t="shared" si="303"/>
        <v>0.95</v>
      </c>
      <c r="AR256" s="134">
        <f t="shared" si="303"/>
        <v>0.95</v>
      </c>
      <c r="AS256" s="134">
        <f t="shared" si="303"/>
        <v>0.95</v>
      </c>
      <c r="AT256" s="134">
        <f t="shared" si="303"/>
        <v>0.95</v>
      </c>
      <c r="AU256" s="134">
        <f t="shared" si="303"/>
        <v>0.95</v>
      </c>
      <c r="AV256" s="134">
        <f t="shared" si="303"/>
        <v>0.95</v>
      </c>
      <c r="AW256" s="134">
        <f t="shared" ca="1" si="303"/>
        <v>0.95</v>
      </c>
      <c r="BB256" s="135"/>
    </row>
    <row r="257" spans="1:54" s="21" customFormat="1" ht="18" customHeight="1">
      <c r="A257" s="783"/>
      <c r="B257" s="156"/>
      <c r="C257" s="792"/>
      <c r="D257" s="96" t="str">
        <f>D256</f>
        <v>PIP</v>
      </c>
      <c r="E257" s="136" t="str">
        <f>E256</f>
        <v>RFQ-054</v>
      </c>
      <c r="F257" s="137" t="str">
        <f>F256</f>
        <v>N</v>
      </c>
      <c r="G257" s="159"/>
      <c r="H257" s="162" t="str">
        <f>H256</f>
        <v>SS &amp; DSS Fitting</v>
      </c>
      <c r="I257" s="136" t="str">
        <f>I256</f>
        <v>LD</v>
      </c>
      <c r="J257" s="137"/>
      <c r="K257" s="138"/>
      <c r="L257" s="138">
        <f>M258</f>
        <v>1E-3</v>
      </c>
      <c r="M257" s="138"/>
      <c r="N257" s="136"/>
      <c r="O257" s="136"/>
      <c r="P257" s="136"/>
      <c r="Q257" s="139" t="s">
        <v>5366</v>
      </c>
      <c r="R257" s="139"/>
      <c r="S257" s="140" t="e">
        <f>S256</f>
        <v>#REF!</v>
      </c>
      <c r="T257" s="141" t="e">
        <f>T256</f>
        <v>#REF!</v>
      </c>
      <c r="U257" s="141" t="e">
        <f>WORKDAY(IF(T258="",T257,T258),INDEX(U$2:U$5,MATCH($I256,$I$2:$I$5,0)),$BB$10:$BB$141)</f>
        <v>#REF!</v>
      </c>
      <c r="V257" s="141" t="e">
        <f>WORKDAY(IF(U258="",U257,U258),INDEX(V$2:V$5,MATCH($I256,$I$2:$I$5,0)),$BB$10:$BB$141)</f>
        <v>#REF!</v>
      </c>
      <c r="W257" s="141" t="e">
        <f>WORKDAY(IF(V258="",V257,V258),INDEX(W$2:W$5,MATCH($I256,$I$2:$I$5,0)),$BB$10:$BB$141)</f>
        <v>#REF!</v>
      </c>
      <c r="X257" s="141" t="e">
        <f>WORKDAY(IF(#REF!="",#REF!,#REF!),INDEX(X$2:X$5,MATCH($I256,$I$2:$I$5,0)),$BB$10:$BB$141)</f>
        <v>#REF!</v>
      </c>
      <c r="Y257" s="141" t="e">
        <f>WORKDAY(IF(X258="",X257,X258),INDEX(Y$2:Y$5,MATCH($I256,$I$2:$I$5,0)),$BB$10:$BB$141)</f>
        <v>#REF!</v>
      </c>
      <c r="Z257" s="141" t="e">
        <f>WORKDAY(IF(Y258="",Y257,Y258),INDEX(Z$2:Z$5,MATCH($I256,$I$2:$I$5,0)),$BB$10:$BB$141)</f>
        <v>#REF!</v>
      </c>
      <c r="AA257" s="141" t="e">
        <f>WORKDAY(IF(Z258="",Z257,Z258),INDEX(AA$2:AA$5,MATCH($I256,$I$2:$I$5,0)),$BB$10:$BB$141)</f>
        <v>#REF!</v>
      </c>
      <c r="AB257" s="142" t="e">
        <f>AE256+#REF!</f>
        <v>#REF!</v>
      </c>
      <c r="AC257" s="798"/>
      <c r="AD257" s="105"/>
      <c r="AE257" s="804"/>
      <c r="AF257" s="807"/>
      <c r="AG257" s="810"/>
      <c r="AH257" s="106"/>
      <c r="AI257" s="107"/>
      <c r="AJ257" s="813"/>
      <c r="AK257" s="143"/>
      <c r="AL257" s="144"/>
      <c r="AM257" s="133">
        <f t="shared" ref="AM257:AW257" si="304">IF(ISERROR(LOOKUP(AM$6,$S257:$AB257,$S$9:$AB$9)),0,(LOOKUP(AM$6,$S257:$AB257,$S$9:$AB$9)))</f>
        <v>0</v>
      </c>
      <c r="AN257" s="134">
        <f t="shared" si="304"/>
        <v>0</v>
      </c>
      <c r="AO257" s="134">
        <f t="shared" si="304"/>
        <v>0</v>
      </c>
      <c r="AP257" s="134">
        <f t="shared" si="304"/>
        <v>0</v>
      </c>
      <c r="AQ257" s="134">
        <f t="shared" si="304"/>
        <v>0</v>
      </c>
      <c r="AR257" s="134">
        <f t="shared" si="304"/>
        <v>0</v>
      </c>
      <c r="AS257" s="134">
        <f t="shared" si="304"/>
        <v>0</v>
      </c>
      <c r="AT257" s="134">
        <f t="shared" si="304"/>
        <v>0</v>
      </c>
      <c r="AU257" s="134">
        <f t="shared" si="304"/>
        <v>0</v>
      </c>
      <c r="AV257" s="134">
        <f t="shared" si="304"/>
        <v>0</v>
      </c>
      <c r="AW257" s="134">
        <f t="shared" ca="1" si="304"/>
        <v>0</v>
      </c>
      <c r="BB257" s="135"/>
    </row>
    <row r="258" spans="1:54" s="21" customFormat="1" ht="18" customHeight="1">
      <c r="A258" s="784"/>
      <c r="B258" s="157"/>
      <c r="C258" s="793"/>
      <c r="D258" s="111" t="str">
        <f>D256</f>
        <v>PIP</v>
      </c>
      <c r="E258" s="145" t="str">
        <f>E256</f>
        <v>RFQ-054</v>
      </c>
      <c r="F258" s="146" t="str">
        <f>F256</f>
        <v>N</v>
      </c>
      <c r="G258" s="160"/>
      <c r="H258" s="163" t="str">
        <f>H256</f>
        <v>SS &amp; DSS Fitting</v>
      </c>
      <c r="I258" s="145" t="str">
        <f>I256</f>
        <v>LD</v>
      </c>
      <c r="J258" s="146"/>
      <c r="K258" s="147"/>
      <c r="L258" s="147"/>
      <c r="M258" s="147">
        <v>1E-3</v>
      </c>
      <c r="N258" s="145"/>
      <c r="O258" s="145"/>
      <c r="P258" s="145"/>
      <c r="Q258" s="148" t="s">
        <v>368</v>
      </c>
      <c r="R258" s="148"/>
      <c r="S258" s="149"/>
      <c r="T258" s="149"/>
      <c r="U258" s="149"/>
      <c r="V258" s="149"/>
      <c r="W258" s="149"/>
      <c r="X258" s="149"/>
      <c r="Y258" s="149"/>
      <c r="Z258" s="149"/>
      <c r="AA258" s="149"/>
      <c r="AB258" s="149"/>
      <c r="AC258" s="799"/>
      <c r="AD258" s="116"/>
      <c r="AE258" s="805"/>
      <c r="AF258" s="808"/>
      <c r="AG258" s="811"/>
      <c r="AH258" s="117"/>
      <c r="AI258" s="118"/>
      <c r="AJ258" s="814"/>
      <c r="AK258" s="150"/>
      <c r="AL258" s="151"/>
      <c r="AM258" s="152">
        <f t="shared" ref="AM258:AW258" si="305">IF(ISERROR(LOOKUP(AM$6,$S258:$AB258,$S$9:$AB$9)),0,(LOOKUP(AM$6,$S258:$AB258,$S$9:$AB$9)))</f>
        <v>0</v>
      </c>
      <c r="AN258" s="153">
        <f t="shared" si="305"/>
        <v>0</v>
      </c>
      <c r="AO258" s="153">
        <f t="shared" si="305"/>
        <v>0</v>
      </c>
      <c r="AP258" s="153">
        <f t="shared" si="305"/>
        <v>0</v>
      </c>
      <c r="AQ258" s="153">
        <f t="shared" si="305"/>
        <v>0</v>
      </c>
      <c r="AR258" s="153">
        <f t="shared" si="305"/>
        <v>0</v>
      </c>
      <c r="AS258" s="153">
        <f t="shared" si="305"/>
        <v>0</v>
      </c>
      <c r="AT258" s="153">
        <f t="shared" si="305"/>
        <v>0</v>
      </c>
      <c r="AU258" s="153">
        <f t="shared" si="305"/>
        <v>0</v>
      </c>
      <c r="AV258" s="153">
        <f t="shared" si="305"/>
        <v>0</v>
      </c>
      <c r="AW258" s="153">
        <f t="shared" ca="1" si="305"/>
        <v>0</v>
      </c>
      <c r="BB258" s="135"/>
    </row>
    <row r="259" spans="1:54" s="21" customFormat="1" ht="18" customHeight="1">
      <c r="A259" s="782">
        <f>A256+1</f>
        <v>84</v>
      </c>
      <c r="B259" s="154" t="s">
        <v>5425</v>
      </c>
      <c r="C259" s="791" t="s">
        <v>5361</v>
      </c>
      <c r="D259" s="80" t="s">
        <v>5372</v>
      </c>
      <c r="E259" s="127" t="s">
        <v>5422</v>
      </c>
      <c r="F259" s="128" t="s">
        <v>73</v>
      </c>
      <c r="G259" s="158"/>
      <c r="H259" s="161" t="s">
        <v>5450</v>
      </c>
      <c r="I259" s="127" t="s">
        <v>9</v>
      </c>
      <c r="J259" s="128"/>
      <c r="K259" s="129">
        <f>M261</f>
        <v>1E-3</v>
      </c>
      <c r="L259" s="129"/>
      <c r="M259" s="129"/>
      <c r="N259" s="127"/>
      <c r="O259" s="127"/>
      <c r="P259" s="127"/>
      <c r="Q259" s="130" t="s">
        <v>5364</v>
      </c>
      <c r="R259" s="130"/>
      <c r="S259" s="155" t="e">
        <f>WORKDAY(T259,-INDEX(T$2:T$5,MATCH($I259,$I$2:$I$5,0)),'[38]Equipment List and MR List (3)'!$A$2:$A$80)</f>
        <v>#REF!</v>
      </c>
      <c r="T259" s="155" t="e">
        <f>WORKDAY(U259,-INDEX(U$2:U$5,MATCH($I259,$I$2:$I$5,0)),$BB$10:$BB$141)</f>
        <v>#REF!</v>
      </c>
      <c r="U259" s="155" t="e">
        <f>WORKDAY(V259,-INDEX(V$2:V$5,MATCH($I259,$I$2:$I$5,0)),$BB$10:$BB$141)</f>
        <v>#REF!</v>
      </c>
      <c r="V259" s="155" t="e">
        <f>WORKDAY(W259,-INDEX(W$2:W$5,MATCH($I259,$I$2:$I$5,0)),$BB$10:$BB$141)</f>
        <v>#REF!</v>
      </c>
      <c r="W259" s="155" t="e">
        <f>WORKDAY(#REF!,-INDEX(#REF!,MATCH($I259,$I$2:$I$5,0)),$BB$10:$BB$141)</f>
        <v>#REF!</v>
      </c>
      <c r="X259" s="155" t="e">
        <f>WORKDAY(Y259,-INDEX(Y$2:Y$5,MATCH($I259,$I$2:$I$5,0)),$BB$10:$BB$141)</f>
        <v>#REF!</v>
      </c>
      <c r="Y259" s="155" t="e">
        <f>WORKDAY(Z259,-INDEX(Z$2:Z$5,MATCH($I259,$I$2:$I$5,0)),$BB$10:$BB$141)</f>
        <v>#REF!</v>
      </c>
      <c r="Z259" s="155" t="e">
        <f>WORKDAY(AA259,-INDEX(AA$2:AA$5,MATCH($I259,$I$2:$I$5,0)),$BB$10:$BB$141)</f>
        <v>#REF!</v>
      </c>
      <c r="AA259" s="155" t="e">
        <f>WORKDAY(#REF!,-INDEX(#REF!,MATCH($I259,$I$2:$I$5,0)),$BB$10:$BB$141)</f>
        <v>#REF!</v>
      </c>
      <c r="AB259" s="155">
        <f>WORKDAY(AG259,0,'[38]Equipment List and MR List (3)'!$A$2:$A$80)</f>
        <v>0</v>
      </c>
      <c r="AC259" s="797" t="s">
        <v>5365</v>
      </c>
      <c r="AD259" s="87">
        <v>7</v>
      </c>
      <c r="AE259" s="803">
        <v>100</v>
      </c>
      <c r="AF259" s="806" t="e">
        <f>AB260</f>
        <v>#REF!</v>
      </c>
      <c r="AG259" s="809"/>
      <c r="AH259" s="88"/>
      <c r="AI259" s="89"/>
      <c r="AJ259" s="812" t="e">
        <f>AG259-AF259</f>
        <v>#REF!</v>
      </c>
      <c r="AK259" s="131"/>
      <c r="AL259" s="132"/>
      <c r="AM259" s="133">
        <f t="shared" ref="AM259:AW259" si="306">IF(ISERROR(LOOKUP(AM$6,$S259:$AB259,$S$9:$AB$9)),0,(LOOKUP(AM$6,$S259:$AB259,$S$9:$AB$9)))</f>
        <v>0.95</v>
      </c>
      <c r="AN259" s="134">
        <f t="shared" si="306"/>
        <v>0.95</v>
      </c>
      <c r="AO259" s="134">
        <f t="shared" si="306"/>
        <v>0.95</v>
      </c>
      <c r="AP259" s="134">
        <f t="shared" si="306"/>
        <v>0.95</v>
      </c>
      <c r="AQ259" s="134">
        <f t="shared" si="306"/>
        <v>0.95</v>
      </c>
      <c r="AR259" s="134">
        <f t="shared" si="306"/>
        <v>0.95</v>
      </c>
      <c r="AS259" s="134">
        <f t="shared" si="306"/>
        <v>0.95</v>
      </c>
      <c r="AT259" s="134">
        <f t="shared" si="306"/>
        <v>0.95</v>
      </c>
      <c r="AU259" s="134">
        <f t="shared" si="306"/>
        <v>0.95</v>
      </c>
      <c r="AV259" s="134">
        <f t="shared" si="306"/>
        <v>0.95</v>
      </c>
      <c r="AW259" s="134">
        <f t="shared" ca="1" si="306"/>
        <v>0.95</v>
      </c>
      <c r="BB259" s="135"/>
    </row>
    <row r="260" spans="1:54" s="21" customFormat="1" ht="18" customHeight="1">
      <c r="A260" s="783"/>
      <c r="B260" s="156"/>
      <c r="C260" s="792"/>
      <c r="D260" s="96" t="str">
        <f>D259</f>
        <v>PIP</v>
      </c>
      <c r="E260" s="136" t="str">
        <f>E259</f>
        <v>RFQ-054</v>
      </c>
      <c r="F260" s="137" t="str">
        <f>F259</f>
        <v>N</v>
      </c>
      <c r="G260" s="159"/>
      <c r="H260" s="162" t="str">
        <f>H259</f>
        <v>CS FLANGES</v>
      </c>
      <c r="I260" s="136" t="str">
        <f>I259</f>
        <v>LD</v>
      </c>
      <c r="J260" s="137"/>
      <c r="K260" s="138"/>
      <c r="L260" s="138">
        <f>M261</f>
        <v>1E-3</v>
      </c>
      <c r="M260" s="138"/>
      <c r="N260" s="136"/>
      <c r="O260" s="136"/>
      <c r="P260" s="136"/>
      <c r="Q260" s="139" t="s">
        <v>5366</v>
      </c>
      <c r="R260" s="139"/>
      <c r="S260" s="140" t="e">
        <f>S259</f>
        <v>#REF!</v>
      </c>
      <c r="T260" s="141" t="e">
        <f>T259</f>
        <v>#REF!</v>
      </c>
      <c r="U260" s="141" t="e">
        <f>WORKDAY(IF(T261="",T260,T261),INDEX(U$2:U$5,MATCH($I259,$I$2:$I$5,0)),$BB$10:$BB$141)</f>
        <v>#REF!</v>
      </c>
      <c r="V260" s="141" t="e">
        <f>WORKDAY(IF(U261="",U260,U261),INDEX(V$2:V$5,MATCH($I259,$I$2:$I$5,0)),$BB$10:$BB$141)</f>
        <v>#REF!</v>
      </c>
      <c r="W260" s="141" t="e">
        <f>WORKDAY(IF(V261="",V260,V261),INDEX(W$2:W$5,MATCH($I259,$I$2:$I$5,0)),$BB$10:$BB$141)</f>
        <v>#REF!</v>
      </c>
      <c r="X260" s="141" t="e">
        <f>WORKDAY(IF(#REF!="",#REF!,#REF!),INDEX(X$2:X$5,MATCH($I259,$I$2:$I$5,0)),$BB$10:$BB$141)</f>
        <v>#REF!</v>
      </c>
      <c r="Y260" s="141" t="e">
        <f>WORKDAY(IF(X261="",X260,X261),INDEX(Y$2:Y$5,MATCH($I259,$I$2:$I$5,0)),$BB$10:$BB$141)</f>
        <v>#REF!</v>
      </c>
      <c r="Z260" s="141" t="e">
        <f>WORKDAY(IF(Y261="",Y260,Y261),INDEX(Z$2:Z$5,MATCH($I259,$I$2:$I$5,0)),$BB$10:$BB$141)</f>
        <v>#REF!</v>
      </c>
      <c r="AA260" s="141" t="e">
        <f>WORKDAY(IF(Z261="",Z260,Z261),INDEX(AA$2:AA$5,MATCH($I259,$I$2:$I$5,0)),$BB$10:$BB$141)</f>
        <v>#REF!</v>
      </c>
      <c r="AB260" s="142" t="e">
        <f>AE259+#REF!</f>
        <v>#REF!</v>
      </c>
      <c r="AC260" s="798"/>
      <c r="AD260" s="105"/>
      <c r="AE260" s="804"/>
      <c r="AF260" s="807"/>
      <c r="AG260" s="810"/>
      <c r="AH260" s="106"/>
      <c r="AI260" s="107"/>
      <c r="AJ260" s="813"/>
      <c r="AK260" s="143"/>
      <c r="AL260" s="144"/>
      <c r="AM260" s="133">
        <f t="shared" ref="AM260:AW260" si="307">IF(ISERROR(LOOKUP(AM$6,$S260:$AB260,$S$9:$AB$9)),0,(LOOKUP(AM$6,$S260:$AB260,$S$9:$AB$9)))</f>
        <v>0</v>
      </c>
      <c r="AN260" s="134">
        <f t="shared" si="307"/>
        <v>0</v>
      </c>
      <c r="AO260" s="134">
        <f t="shared" si="307"/>
        <v>0</v>
      </c>
      <c r="AP260" s="134">
        <f t="shared" si="307"/>
        <v>0</v>
      </c>
      <c r="AQ260" s="134">
        <f t="shared" si="307"/>
        <v>0</v>
      </c>
      <c r="AR260" s="134">
        <f t="shared" si="307"/>
        <v>0</v>
      </c>
      <c r="AS260" s="134">
        <f t="shared" si="307"/>
        <v>0</v>
      </c>
      <c r="AT260" s="134">
        <f t="shared" si="307"/>
        <v>0</v>
      </c>
      <c r="AU260" s="134">
        <f t="shared" si="307"/>
        <v>0</v>
      </c>
      <c r="AV260" s="134">
        <f t="shared" si="307"/>
        <v>0</v>
      </c>
      <c r="AW260" s="134">
        <f t="shared" ca="1" si="307"/>
        <v>0</v>
      </c>
      <c r="BB260" s="135"/>
    </row>
    <row r="261" spans="1:54" s="21" customFormat="1" ht="18" customHeight="1">
      <c r="A261" s="784"/>
      <c r="B261" s="157"/>
      <c r="C261" s="793"/>
      <c r="D261" s="111" t="str">
        <f>D259</f>
        <v>PIP</v>
      </c>
      <c r="E261" s="145" t="str">
        <f>E259</f>
        <v>RFQ-054</v>
      </c>
      <c r="F261" s="146" t="str">
        <f>F259</f>
        <v>N</v>
      </c>
      <c r="G261" s="160"/>
      <c r="H261" s="163" t="str">
        <f>H259</f>
        <v>CS FLANGES</v>
      </c>
      <c r="I261" s="145" t="str">
        <f>I259</f>
        <v>LD</v>
      </c>
      <c r="J261" s="146"/>
      <c r="K261" s="147"/>
      <c r="L261" s="147"/>
      <c r="M261" s="147">
        <v>1E-3</v>
      </c>
      <c r="N261" s="145"/>
      <c r="O261" s="145"/>
      <c r="P261" s="145"/>
      <c r="Q261" s="148" t="s">
        <v>368</v>
      </c>
      <c r="R261" s="148"/>
      <c r="S261" s="149"/>
      <c r="T261" s="149"/>
      <c r="U261" s="149"/>
      <c r="V261" s="149"/>
      <c r="W261" s="149"/>
      <c r="X261" s="149"/>
      <c r="Y261" s="149"/>
      <c r="Z261" s="149"/>
      <c r="AA261" s="149"/>
      <c r="AB261" s="149"/>
      <c r="AC261" s="799"/>
      <c r="AD261" s="116"/>
      <c r="AE261" s="805"/>
      <c r="AF261" s="808"/>
      <c r="AG261" s="811"/>
      <c r="AH261" s="117"/>
      <c r="AI261" s="118"/>
      <c r="AJ261" s="814"/>
      <c r="AK261" s="150"/>
      <c r="AL261" s="151"/>
      <c r="AM261" s="152">
        <f t="shared" ref="AM261:AW261" si="308">IF(ISERROR(LOOKUP(AM$6,$S261:$AB261,$S$9:$AB$9)),0,(LOOKUP(AM$6,$S261:$AB261,$S$9:$AB$9)))</f>
        <v>0</v>
      </c>
      <c r="AN261" s="153">
        <f t="shared" si="308"/>
        <v>0</v>
      </c>
      <c r="AO261" s="153">
        <f t="shared" si="308"/>
        <v>0</v>
      </c>
      <c r="AP261" s="153">
        <f t="shared" si="308"/>
        <v>0</v>
      </c>
      <c r="AQ261" s="153">
        <f t="shared" si="308"/>
        <v>0</v>
      </c>
      <c r="AR261" s="153">
        <f t="shared" si="308"/>
        <v>0</v>
      </c>
      <c r="AS261" s="153">
        <f t="shared" si="308"/>
        <v>0</v>
      </c>
      <c r="AT261" s="153">
        <f t="shared" si="308"/>
        <v>0</v>
      </c>
      <c r="AU261" s="153">
        <f t="shared" si="308"/>
        <v>0</v>
      </c>
      <c r="AV261" s="153">
        <f t="shared" si="308"/>
        <v>0</v>
      </c>
      <c r="AW261" s="153">
        <f t="shared" ca="1" si="308"/>
        <v>0</v>
      </c>
      <c r="BB261" s="135"/>
    </row>
    <row r="262" spans="1:54" s="21" customFormat="1" ht="18" customHeight="1">
      <c r="A262" s="782">
        <f>A259+1</f>
        <v>85</v>
      </c>
      <c r="B262" s="154" t="s">
        <v>5425</v>
      </c>
      <c r="C262" s="791" t="s">
        <v>5361</v>
      </c>
      <c r="D262" s="80" t="s">
        <v>5372</v>
      </c>
      <c r="E262" s="127" t="s">
        <v>5422</v>
      </c>
      <c r="F262" s="128" t="s">
        <v>73</v>
      </c>
      <c r="G262" s="158"/>
      <c r="H262" s="161" t="s">
        <v>5451</v>
      </c>
      <c r="I262" s="127" t="s">
        <v>9</v>
      </c>
      <c r="J262" s="128"/>
      <c r="K262" s="129">
        <f>M264</f>
        <v>1E-3</v>
      </c>
      <c r="L262" s="129"/>
      <c r="M262" s="129"/>
      <c r="N262" s="127"/>
      <c r="O262" s="127"/>
      <c r="P262" s="127"/>
      <c r="Q262" s="130" t="s">
        <v>5364</v>
      </c>
      <c r="R262" s="130"/>
      <c r="S262" s="155" t="e">
        <f>WORKDAY(T262,-INDEX(T$2:T$5,MATCH($I262,$I$2:$I$5,0)),'[38]Equipment List and MR List (3)'!$A$2:$A$80)</f>
        <v>#REF!</v>
      </c>
      <c r="T262" s="155" t="e">
        <f>WORKDAY(U262,-INDEX(U$2:U$5,MATCH($I262,$I$2:$I$5,0)),$BB$10:$BB$141)</f>
        <v>#REF!</v>
      </c>
      <c r="U262" s="155" t="e">
        <f>WORKDAY(V262,-INDEX(V$2:V$5,MATCH($I262,$I$2:$I$5,0)),$BB$10:$BB$141)</f>
        <v>#REF!</v>
      </c>
      <c r="V262" s="155" t="e">
        <f>WORKDAY(W262,-INDEX(W$2:W$5,MATCH($I262,$I$2:$I$5,0)),$BB$10:$BB$141)</f>
        <v>#REF!</v>
      </c>
      <c r="W262" s="155" t="e">
        <f>WORKDAY(#REF!,-INDEX(#REF!,MATCH($I262,$I$2:$I$5,0)),$BB$10:$BB$141)</f>
        <v>#REF!</v>
      </c>
      <c r="X262" s="155" t="e">
        <f>WORKDAY(Y262,-INDEX(Y$2:Y$5,MATCH($I262,$I$2:$I$5,0)),$BB$10:$BB$141)</f>
        <v>#REF!</v>
      </c>
      <c r="Y262" s="155" t="e">
        <f>WORKDAY(Z262,-INDEX(Z$2:Z$5,MATCH($I262,$I$2:$I$5,0)),$BB$10:$BB$141)</f>
        <v>#REF!</v>
      </c>
      <c r="Z262" s="155" t="e">
        <f>WORKDAY(AA262,-INDEX(AA$2:AA$5,MATCH($I262,$I$2:$I$5,0)),$BB$10:$BB$141)</f>
        <v>#REF!</v>
      </c>
      <c r="AA262" s="155" t="e">
        <f>WORKDAY(#REF!,-INDEX(#REF!,MATCH($I262,$I$2:$I$5,0)),$BB$10:$BB$141)</f>
        <v>#REF!</v>
      </c>
      <c r="AB262" s="155">
        <f>WORKDAY(AG262,0,'[38]Equipment List and MR List (3)'!$A$2:$A$80)</f>
        <v>0</v>
      </c>
      <c r="AC262" s="797" t="s">
        <v>5365</v>
      </c>
      <c r="AD262" s="87">
        <v>7</v>
      </c>
      <c r="AE262" s="803">
        <v>100</v>
      </c>
      <c r="AF262" s="806" t="e">
        <f>AB263</f>
        <v>#REF!</v>
      </c>
      <c r="AG262" s="809"/>
      <c r="AH262" s="88"/>
      <c r="AI262" s="89"/>
      <c r="AJ262" s="812" t="e">
        <f>AG262-AF262</f>
        <v>#REF!</v>
      </c>
      <c r="AK262" s="131"/>
      <c r="AL262" s="132"/>
      <c r="AM262" s="133">
        <f t="shared" ref="AM262:AW262" si="309">IF(ISERROR(LOOKUP(AM$6,$S262:$AB262,$S$9:$AB$9)),0,(LOOKUP(AM$6,$S262:$AB262,$S$9:$AB$9)))</f>
        <v>0.95</v>
      </c>
      <c r="AN262" s="134">
        <f t="shared" si="309"/>
        <v>0.95</v>
      </c>
      <c r="AO262" s="134">
        <f t="shared" si="309"/>
        <v>0.95</v>
      </c>
      <c r="AP262" s="134">
        <f t="shared" si="309"/>
        <v>0.95</v>
      </c>
      <c r="AQ262" s="134">
        <f t="shared" si="309"/>
        <v>0.95</v>
      </c>
      <c r="AR262" s="134">
        <f t="shared" si="309"/>
        <v>0.95</v>
      </c>
      <c r="AS262" s="134">
        <f t="shared" si="309"/>
        <v>0.95</v>
      </c>
      <c r="AT262" s="134">
        <f t="shared" si="309"/>
        <v>0.95</v>
      </c>
      <c r="AU262" s="134">
        <f t="shared" si="309"/>
        <v>0.95</v>
      </c>
      <c r="AV262" s="134">
        <f t="shared" si="309"/>
        <v>0.95</v>
      </c>
      <c r="AW262" s="134">
        <f t="shared" ca="1" si="309"/>
        <v>0.95</v>
      </c>
      <c r="BB262" s="135"/>
    </row>
    <row r="263" spans="1:54" s="21" customFormat="1" ht="18" customHeight="1">
      <c r="A263" s="783"/>
      <c r="B263" s="156"/>
      <c r="C263" s="792"/>
      <c r="D263" s="96" t="str">
        <f>D262</f>
        <v>PIP</v>
      </c>
      <c r="E263" s="136" t="str">
        <f>E262</f>
        <v>RFQ-054</v>
      </c>
      <c r="F263" s="137" t="str">
        <f>F262</f>
        <v>N</v>
      </c>
      <c r="G263" s="159"/>
      <c r="H263" s="162" t="str">
        <f>H262</f>
        <v>DSS &amp; SS FLANGES</v>
      </c>
      <c r="I263" s="136" t="str">
        <f>I262</f>
        <v>LD</v>
      </c>
      <c r="J263" s="137"/>
      <c r="K263" s="138"/>
      <c r="L263" s="138">
        <f>M264</f>
        <v>1E-3</v>
      </c>
      <c r="M263" s="138"/>
      <c r="N263" s="136"/>
      <c r="O263" s="136"/>
      <c r="P263" s="136"/>
      <c r="Q263" s="139" t="s">
        <v>5366</v>
      </c>
      <c r="R263" s="139"/>
      <c r="S263" s="140" t="e">
        <f>S262</f>
        <v>#REF!</v>
      </c>
      <c r="T263" s="141" t="e">
        <f>T262</f>
        <v>#REF!</v>
      </c>
      <c r="U263" s="141" t="e">
        <f>WORKDAY(IF(T264="",T263,T264),INDEX(U$2:U$5,MATCH($I262,$I$2:$I$5,0)),$BB$10:$BB$141)</f>
        <v>#REF!</v>
      </c>
      <c r="V263" s="141" t="e">
        <f>WORKDAY(IF(U264="",U263,U264),INDEX(V$2:V$5,MATCH($I262,$I$2:$I$5,0)),$BB$10:$BB$141)</f>
        <v>#REF!</v>
      </c>
      <c r="W263" s="141" t="e">
        <f>WORKDAY(IF(V264="",V263,V264),INDEX(W$2:W$5,MATCH($I262,$I$2:$I$5,0)),$BB$10:$BB$141)</f>
        <v>#REF!</v>
      </c>
      <c r="X263" s="141" t="e">
        <f>WORKDAY(IF(#REF!="",#REF!,#REF!),INDEX(X$2:X$5,MATCH($I262,$I$2:$I$5,0)),$BB$10:$BB$141)</f>
        <v>#REF!</v>
      </c>
      <c r="Y263" s="141" t="e">
        <f>WORKDAY(IF(X264="",X263,X264),INDEX(Y$2:Y$5,MATCH($I262,$I$2:$I$5,0)),$BB$10:$BB$141)</f>
        <v>#REF!</v>
      </c>
      <c r="Z263" s="141" t="e">
        <f>WORKDAY(IF(Y264="",Y263,Y264),INDEX(Z$2:Z$5,MATCH($I262,$I$2:$I$5,0)),$BB$10:$BB$141)</f>
        <v>#REF!</v>
      </c>
      <c r="AA263" s="141" t="e">
        <f>WORKDAY(IF(Z264="",Z263,Z264),INDEX(AA$2:AA$5,MATCH($I262,$I$2:$I$5,0)),$BB$10:$BB$141)</f>
        <v>#REF!</v>
      </c>
      <c r="AB263" s="142" t="e">
        <f>AE262+#REF!</f>
        <v>#REF!</v>
      </c>
      <c r="AC263" s="798"/>
      <c r="AD263" s="105"/>
      <c r="AE263" s="804"/>
      <c r="AF263" s="807"/>
      <c r="AG263" s="810"/>
      <c r="AH263" s="106"/>
      <c r="AI263" s="107"/>
      <c r="AJ263" s="813"/>
      <c r="AK263" s="143"/>
      <c r="AL263" s="144"/>
      <c r="AM263" s="133">
        <f t="shared" ref="AM263:AW263" si="310">IF(ISERROR(LOOKUP(AM$6,$S263:$AB263,$S$9:$AB$9)),0,(LOOKUP(AM$6,$S263:$AB263,$S$9:$AB$9)))</f>
        <v>0</v>
      </c>
      <c r="AN263" s="134">
        <f t="shared" si="310"/>
        <v>0</v>
      </c>
      <c r="AO263" s="134">
        <f t="shared" si="310"/>
        <v>0</v>
      </c>
      <c r="AP263" s="134">
        <f t="shared" si="310"/>
        <v>0</v>
      </c>
      <c r="AQ263" s="134">
        <f t="shared" si="310"/>
        <v>0</v>
      </c>
      <c r="AR263" s="134">
        <f t="shared" si="310"/>
        <v>0</v>
      </c>
      <c r="AS263" s="134">
        <f t="shared" si="310"/>
        <v>0</v>
      </c>
      <c r="AT263" s="134">
        <f t="shared" si="310"/>
        <v>0</v>
      </c>
      <c r="AU263" s="134">
        <f t="shared" si="310"/>
        <v>0</v>
      </c>
      <c r="AV263" s="134">
        <f t="shared" si="310"/>
        <v>0</v>
      </c>
      <c r="AW263" s="134">
        <f t="shared" ca="1" si="310"/>
        <v>0</v>
      </c>
      <c r="BB263" s="135"/>
    </row>
    <row r="264" spans="1:54" s="21" customFormat="1" ht="18" customHeight="1">
      <c r="A264" s="784"/>
      <c r="B264" s="157"/>
      <c r="C264" s="793"/>
      <c r="D264" s="111" t="str">
        <f>D262</f>
        <v>PIP</v>
      </c>
      <c r="E264" s="145" t="str">
        <f>E262</f>
        <v>RFQ-054</v>
      </c>
      <c r="F264" s="146" t="str">
        <f>F262</f>
        <v>N</v>
      </c>
      <c r="G264" s="160"/>
      <c r="H264" s="163" t="str">
        <f>H262</f>
        <v>DSS &amp; SS FLANGES</v>
      </c>
      <c r="I264" s="145" t="str">
        <f>I262</f>
        <v>LD</v>
      </c>
      <c r="J264" s="146"/>
      <c r="K264" s="147"/>
      <c r="L264" s="147"/>
      <c r="M264" s="147">
        <v>1E-3</v>
      </c>
      <c r="N264" s="145"/>
      <c r="O264" s="145"/>
      <c r="P264" s="145"/>
      <c r="Q264" s="148" t="s">
        <v>368</v>
      </c>
      <c r="R264" s="148"/>
      <c r="S264" s="149"/>
      <c r="T264" s="149"/>
      <c r="U264" s="149"/>
      <c r="V264" s="149"/>
      <c r="W264" s="149"/>
      <c r="X264" s="149"/>
      <c r="Y264" s="149"/>
      <c r="Z264" s="149"/>
      <c r="AA264" s="149"/>
      <c r="AB264" s="149"/>
      <c r="AC264" s="799"/>
      <c r="AD264" s="116"/>
      <c r="AE264" s="805"/>
      <c r="AF264" s="808"/>
      <c r="AG264" s="811"/>
      <c r="AH264" s="117"/>
      <c r="AI264" s="118"/>
      <c r="AJ264" s="814"/>
      <c r="AK264" s="150"/>
      <c r="AL264" s="151"/>
      <c r="AM264" s="152">
        <f t="shared" ref="AM264:AW264" si="311">IF(ISERROR(LOOKUP(AM$6,$S264:$AB264,$S$9:$AB$9)),0,(LOOKUP(AM$6,$S264:$AB264,$S$9:$AB$9)))</f>
        <v>0</v>
      </c>
      <c r="AN264" s="153">
        <f t="shared" si="311"/>
        <v>0</v>
      </c>
      <c r="AO264" s="153">
        <f t="shared" si="311"/>
        <v>0</v>
      </c>
      <c r="AP264" s="153">
        <f t="shared" si="311"/>
        <v>0</v>
      </c>
      <c r="AQ264" s="153">
        <f t="shared" si="311"/>
        <v>0</v>
      </c>
      <c r="AR264" s="153">
        <f t="shared" si="311"/>
        <v>0</v>
      </c>
      <c r="AS264" s="153">
        <f t="shared" si="311"/>
        <v>0</v>
      </c>
      <c r="AT264" s="153">
        <f t="shared" si="311"/>
        <v>0</v>
      </c>
      <c r="AU264" s="153">
        <f t="shared" si="311"/>
        <v>0</v>
      </c>
      <c r="AV264" s="153">
        <f t="shared" si="311"/>
        <v>0</v>
      </c>
      <c r="AW264" s="153">
        <f t="shared" ca="1" si="311"/>
        <v>0</v>
      </c>
      <c r="BB264" s="135"/>
    </row>
    <row r="265" spans="1:54" s="21" customFormat="1" ht="18" customHeight="1">
      <c r="A265" s="782">
        <f>A262+1</f>
        <v>86</v>
      </c>
      <c r="B265" s="154" t="s">
        <v>5425</v>
      </c>
      <c r="C265" s="791" t="s">
        <v>5361</v>
      </c>
      <c r="D265" s="80" t="s">
        <v>5372</v>
      </c>
      <c r="E265" s="127" t="s">
        <v>5422</v>
      </c>
      <c r="F265" s="128" t="s">
        <v>73</v>
      </c>
      <c r="G265" s="158"/>
      <c r="H265" s="161" t="s">
        <v>5452</v>
      </c>
      <c r="I265" s="127" t="s">
        <v>9</v>
      </c>
      <c r="J265" s="128"/>
      <c r="K265" s="129">
        <f>M267</f>
        <v>1E-3</v>
      </c>
      <c r="L265" s="129"/>
      <c r="M265" s="129"/>
      <c r="N265" s="127"/>
      <c r="O265" s="127"/>
      <c r="P265" s="127"/>
      <c r="Q265" s="130" t="s">
        <v>5364</v>
      </c>
      <c r="R265" s="130"/>
      <c r="S265" s="155" t="e">
        <f>WORKDAY(T265,-INDEX(T$2:T$5,MATCH($I265,$I$2:$I$5,0)),'[38]Equipment List and MR List (3)'!$A$2:$A$80)</f>
        <v>#REF!</v>
      </c>
      <c r="T265" s="155" t="e">
        <f>WORKDAY(U265,-INDEX(U$2:U$5,MATCH($I265,$I$2:$I$5,0)),$BB$10:$BB$141)</f>
        <v>#REF!</v>
      </c>
      <c r="U265" s="155" t="e">
        <f>WORKDAY(V265,-INDEX(V$2:V$5,MATCH($I265,$I$2:$I$5,0)),$BB$10:$BB$141)</f>
        <v>#REF!</v>
      </c>
      <c r="V265" s="155" t="e">
        <f>WORKDAY(W265,-INDEX(W$2:W$5,MATCH($I265,$I$2:$I$5,0)),$BB$10:$BB$141)</f>
        <v>#REF!</v>
      </c>
      <c r="W265" s="155" t="e">
        <f>WORKDAY(#REF!,-INDEX(#REF!,MATCH($I265,$I$2:$I$5,0)),$BB$10:$BB$141)</f>
        <v>#REF!</v>
      </c>
      <c r="X265" s="155" t="e">
        <f>WORKDAY(Y265,-INDEX(Y$2:Y$5,MATCH($I265,$I$2:$I$5,0)),$BB$10:$BB$141)</f>
        <v>#REF!</v>
      </c>
      <c r="Y265" s="155" t="e">
        <f>WORKDAY(Z265,-INDEX(Z$2:Z$5,MATCH($I265,$I$2:$I$5,0)),$BB$10:$BB$141)</f>
        <v>#REF!</v>
      </c>
      <c r="Z265" s="155" t="e">
        <f>WORKDAY(AA265,-INDEX(AA$2:AA$5,MATCH($I265,$I$2:$I$5,0)),$BB$10:$BB$141)</f>
        <v>#REF!</v>
      </c>
      <c r="AA265" s="155" t="e">
        <f>WORKDAY(#REF!,-INDEX(#REF!,MATCH($I265,$I$2:$I$5,0)),$BB$10:$BB$141)</f>
        <v>#REF!</v>
      </c>
      <c r="AB265" s="155">
        <f>WORKDAY(AG265,0,'[38]Equipment List and MR List (3)'!$A$2:$A$80)</f>
        <v>0</v>
      </c>
      <c r="AC265" s="797" t="s">
        <v>5365</v>
      </c>
      <c r="AD265" s="87">
        <v>7</v>
      </c>
      <c r="AE265" s="803">
        <v>100</v>
      </c>
      <c r="AF265" s="806" t="e">
        <f>AB266</f>
        <v>#REF!</v>
      </c>
      <c r="AG265" s="809"/>
      <c r="AH265" s="88"/>
      <c r="AI265" s="89"/>
      <c r="AJ265" s="812" t="e">
        <f>AG265-AF265</f>
        <v>#REF!</v>
      </c>
      <c r="AK265" s="131"/>
      <c r="AL265" s="132"/>
      <c r="AM265" s="133">
        <f t="shared" ref="AM265:AW265" si="312">IF(ISERROR(LOOKUP(AM$6,$S265:$AB265,$S$9:$AB$9)),0,(LOOKUP(AM$6,$S265:$AB265,$S$9:$AB$9)))</f>
        <v>0.95</v>
      </c>
      <c r="AN265" s="134">
        <f t="shared" si="312"/>
        <v>0.95</v>
      </c>
      <c r="AO265" s="134">
        <f t="shared" si="312"/>
        <v>0.95</v>
      </c>
      <c r="AP265" s="134">
        <f t="shared" si="312"/>
        <v>0.95</v>
      </c>
      <c r="AQ265" s="134">
        <f t="shared" si="312"/>
        <v>0.95</v>
      </c>
      <c r="AR265" s="134">
        <f t="shared" si="312"/>
        <v>0.95</v>
      </c>
      <c r="AS265" s="134">
        <f t="shared" si="312"/>
        <v>0.95</v>
      </c>
      <c r="AT265" s="134">
        <f t="shared" si="312"/>
        <v>0.95</v>
      </c>
      <c r="AU265" s="134">
        <f t="shared" si="312"/>
        <v>0.95</v>
      </c>
      <c r="AV265" s="134">
        <f t="shared" si="312"/>
        <v>0.95</v>
      </c>
      <c r="AW265" s="134">
        <f t="shared" ca="1" si="312"/>
        <v>0.95</v>
      </c>
      <c r="BB265" s="135"/>
    </row>
    <row r="266" spans="1:54" s="21" customFormat="1" ht="18" customHeight="1">
      <c r="A266" s="783"/>
      <c r="B266" s="156"/>
      <c r="C266" s="792"/>
      <c r="D266" s="96" t="str">
        <f>D265</f>
        <v>PIP</v>
      </c>
      <c r="E266" s="136" t="str">
        <f>E265</f>
        <v>RFQ-054</v>
      </c>
      <c r="F266" s="137" t="str">
        <f>F265</f>
        <v>N</v>
      </c>
      <c r="G266" s="159"/>
      <c r="H266" s="162" t="str">
        <f>H265</f>
        <v>GASKETS</v>
      </c>
      <c r="I266" s="136" t="str">
        <f>I265</f>
        <v>LD</v>
      </c>
      <c r="J266" s="137"/>
      <c r="K266" s="138"/>
      <c r="L266" s="138">
        <f>M267</f>
        <v>1E-3</v>
      </c>
      <c r="M266" s="138"/>
      <c r="N266" s="136"/>
      <c r="O266" s="136"/>
      <c r="P266" s="136"/>
      <c r="Q266" s="139" t="s">
        <v>5366</v>
      </c>
      <c r="R266" s="139"/>
      <c r="S266" s="140" t="e">
        <f>S265</f>
        <v>#REF!</v>
      </c>
      <c r="T266" s="141" t="e">
        <f>T265</f>
        <v>#REF!</v>
      </c>
      <c r="U266" s="141" t="e">
        <f>WORKDAY(IF(T267="",T266,T267),INDEX(U$2:U$5,MATCH($I265,$I$2:$I$5,0)),$BB$10:$BB$141)</f>
        <v>#REF!</v>
      </c>
      <c r="V266" s="141" t="e">
        <f>WORKDAY(IF(U267="",U266,U267),INDEX(V$2:V$5,MATCH($I265,$I$2:$I$5,0)),$BB$10:$BB$141)</f>
        <v>#REF!</v>
      </c>
      <c r="W266" s="141" t="e">
        <f>WORKDAY(IF(V267="",V266,V267),INDEX(W$2:W$5,MATCH($I265,$I$2:$I$5,0)),$BB$10:$BB$141)</f>
        <v>#REF!</v>
      </c>
      <c r="X266" s="141" t="e">
        <f>WORKDAY(IF(#REF!="",#REF!,#REF!),INDEX(X$2:X$5,MATCH($I265,$I$2:$I$5,0)),$BB$10:$BB$141)</f>
        <v>#REF!</v>
      </c>
      <c r="Y266" s="141" t="e">
        <f>WORKDAY(IF(X267="",X266,X267),INDEX(Y$2:Y$5,MATCH($I265,$I$2:$I$5,0)),$BB$10:$BB$141)</f>
        <v>#REF!</v>
      </c>
      <c r="Z266" s="141" t="e">
        <f>WORKDAY(IF(Y267="",Y266,Y267),INDEX(Z$2:Z$5,MATCH($I265,$I$2:$I$5,0)),$BB$10:$BB$141)</f>
        <v>#REF!</v>
      </c>
      <c r="AA266" s="141" t="e">
        <f>WORKDAY(IF(Z267="",Z266,Z267),INDEX(AA$2:AA$5,MATCH($I265,$I$2:$I$5,0)),$BB$10:$BB$141)</f>
        <v>#REF!</v>
      </c>
      <c r="AB266" s="142" t="e">
        <f>AE265+#REF!</f>
        <v>#REF!</v>
      </c>
      <c r="AC266" s="798"/>
      <c r="AD266" s="105"/>
      <c r="AE266" s="804"/>
      <c r="AF266" s="807"/>
      <c r="AG266" s="810"/>
      <c r="AH266" s="106"/>
      <c r="AI266" s="107"/>
      <c r="AJ266" s="813"/>
      <c r="AK266" s="143"/>
      <c r="AL266" s="144"/>
      <c r="AM266" s="133">
        <f t="shared" ref="AM266:AW266" si="313">IF(ISERROR(LOOKUP(AM$6,$S266:$AB266,$S$9:$AB$9)),0,(LOOKUP(AM$6,$S266:$AB266,$S$9:$AB$9)))</f>
        <v>0</v>
      </c>
      <c r="AN266" s="134">
        <f t="shared" si="313"/>
        <v>0</v>
      </c>
      <c r="AO266" s="134">
        <f t="shared" si="313"/>
        <v>0</v>
      </c>
      <c r="AP266" s="134">
        <f t="shared" si="313"/>
        <v>0</v>
      </c>
      <c r="AQ266" s="134">
        <f t="shared" si="313"/>
        <v>0</v>
      </c>
      <c r="AR266" s="134">
        <f t="shared" si="313"/>
        <v>0</v>
      </c>
      <c r="AS266" s="134">
        <f t="shared" si="313"/>
        <v>0</v>
      </c>
      <c r="AT266" s="134">
        <f t="shared" si="313"/>
        <v>0</v>
      </c>
      <c r="AU266" s="134">
        <f t="shared" si="313"/>
        <v>0</v>
      </c>
      <c r="AV266" s="134">
        <f t="shared" si="313"/>
        <v>0</v>
      </c>
      <c r="AW266" s="134">
        <f t="shared" ca="1" si="313"/>
        <v>0</v>
      </c>
      <c r="BB266" s="135"/>
    </row>
    <row r="267" spans="1:54" s="21" customFormat="1" ht="18" customHeight="1">
      <c r="A267" s="784"/>
      <c r="B267" s="157"/>
      <c r="C267" s="793"/>
      <c r="D267" s="111" t="str">
        <f>D265</f>
        <v>PIP</v>
      </c>
      <c r="E267" s="145" t="str">
        <f>E265</f>
        <v>RFQ-054</v>
      </c>
      <c r="F267" s="146" t="str">
        <f>F265</f>
        <v>N</v>
      </c>
      <c r="G267" s="160"/>
      <c r="H267" s="163" t="str">
        <f>H265</f>
        <v>GASKETS</v>
      </c>
      <c r="I267" s="145" t="str">
        <f>I265</f>
        <v>LD</v>
      </c>
      <c r="J267" s="146"/>
      <c r="K267" s="147"/>
      <c r="L267" s="147"/>
      <c r="M267" s="147">
        <v>1E-3</v>
      </c>
      <c r="N267" s="145"/>
      <c r="O267" s="145"/>
      <c r="P267" s="145"/>
      <c r="Q267" s="148" t="s">
        <v>368</v>
      </c>
      <c r="R267" s="148"/>
      <c r="S267" s="149"/>
      <c r="T267" s="149"/>
      <c r="U267" s="149"/>
      <c r="V267" s="149"/>
      <c r="W267" s="149"/>
      <c r="X267" s="149"/>
      <c r="Y267" s="149"/>
      <c r="Z267" s="149"/>
      <c r="AA267" s="149"/>
      <c r="AB267" s="149"/>
      <c r="AC267" s="799"/>
      <c r="AD267" s="116"/>
      <c r="AE267" s="805"/>
      <c r="AF267" s="808"/>
      <c r="AG267" s="811"/>
      <c r="AH267" s="117"/>
      <c r="AI267" s="118"/>
      <c r="AJ267" s="814"/>
      <c r="AK267" s="150"/>
      <c r="AL267" s="151"/>
      <c r="AM267" s="152">
        <f t="shared" ref="AM267:AW267" si="314">IF(ISERROR(LOOKUP(AM$6,$S267:$AB267,$S$9:$AB$9)),0,(LOOKUP(AM$6,$S267:$AB267,$S$9:$AB$9)))</f>
        <v>0</v>
      </c>
      <c r="AN267" s="153">
        <f t="shared" si="314"/>
        <v>0</v>
      </c>
      <c r="AO267" s="153">
        <f t="shared" si="314"/>
        <v>0</v>
      </c>
      <c r="AP267" s="153">
        <f t="shared" si="314"/>
        <v>0</v>
      </c>
      <c r="AQ267" s="153">
        <f t="shared" si="314"/>
        <v>0</v>
      </c>
      <c r="AR267" s="153">
        <f t="shared" si="314"/>
        <v>0</v>
      </c>
      <c r="AS267" s="153">
        <f t="shared" si="314"/>
        <v>0</v>
      </c>
      <c r="AT267" s="153">
        <f t="shared" si="314"/>
        <v>0</v>
      </c>
      <c r="AU267" s="153">
        <f t="shared" si="314"/>
        <v>0</v>
      </c>
      <c r="AV267" s="153">
        <f t="shared" si="314"/>
        <v>0</v>
      </c>
      <c r="AW267" s="153">
        <f t="shared" ca="1" si="314"/>
        <v>0</v>
      </c>
      <c r="BB267" s="135"/>
    </row>
    <row r="268" spans="1:54" s="21" customFormat="1" ht="18" customHeight="1">
      <c r="A268" s="782">
        <f>A265+1</f>
        <v>87</v>
      </c>
      <c r="B268" s="154" t="s">
        <v>5425</v>
      </c>
      <c r="C268" s="791" t="s">
        <v>5361</v>
      </c>
      <c r="D268" s="80" t="s">
        <v>5372</v>
      </c>
      <c r="E268" s="127" t="s">
        <v>5422</v>
      </c>
      <c r="F268" s="128" t="s">
        <v>73</v>
      </c>
      <c r="G268" s="158"/>
      <c r="H268" s="161" t="s">
        <v>5453</v>
      </c>
      <c r="I268" s="127" t="s">
        <v>9</v>
      </c>
      <c r="J268" s="128"/>
      <c r="K268" s="129">
        <f>M270</f>
        <v>1E-3</v>
      </c>
      <c r="L268" s="129"/>
      <c r="M268" s="129"/>
      <c r="N268" s="127"/>
      <c r="O268" s="127"/>
      <c r="P268" s="127"/>
      <c r="Q268" s="130" t="s">
        <v>5364</v>
      </c>
      <c r="R268" s="130"/>
      <c r="S268" s="155" t="e">
        <f>WORKDAY(T268,-INDEX(T$2:T$5,MATCH($I268,$I$2:$I$5,0)),'[38]Equipment List and MR List (3)'!$A$2:$A$80)</f>
        <v>#REF!</v>
      </c>
      <c r="T268" s="155" t="e">
        <f>WORKDAY(U268,-INDEX(U$2:U$5,MATCH($I268,$I$2:$I$5,0)),$BB$10:$BB$141)</f>
        <v>#REF!</v>
      </c>
      <c r="U268" s="155" t="e">
        <f>WORKDAY(V268,-INDEX(V$2:V$5,MATCH($I268,$I$2:$I$5,0)),$BB$10:$BB$141)</f>
        <v>#REF!</v>
      </c>
      <c r="V268" s="155" t="e">
        <f>WORKDAY(W268,-INDEX(W$2:W$5,MATCH($I268,$I$2:$I$5,0)),$BB$10:$BB$141)</f>
        <v>#REF!</v>
      </c>
      <c r="W268" s="155" t="e">
        <f>WORKDAY(#REF!,-INDEX(#REF!,MATCH($I268,$I$2:$I$5,0)),$BB$10:$BB$141)</f>
        <v>#REF!</v>
      </c>
      <c r="X268" s="155" t="e">
        <f>WORKDAY(Y268,-INDEX(Y$2:Y$5,MATCH($I268,$I$2:$I$5,0)),$BB$10:$BB$141)</f>
        <v>#REF!</v>
      </c>
      <c r="Y268" s="155" t="e">
        <f>WORKDAY(Z268,-INDEX(Z$2:Z$5,MATCH($I268,$I$2:$I$5,0)),$BB$10:$BB$141)</f>
        <v>#REF!</v>
      </c>
      <c r="Z268" s="155" t="e">
        <f>WORKDAY(AA268,-INDEX(AA$2:AA$5,MATCH($I268,$I$2:$I$5,0)),$BB$10:$BB$141)</f>
        <v>#REF!</v>
      </c>
      <c r="AA268" s="155" t="e">
        <f>WORKDAY(#REF!,-INDEX(#REF!,MATCH($I268,$I$2:$I$5,0)),$BB$10:$BB$141)</f>
        <v>#REF!</v>
      </c>
      <c r="AB268" s="155">
        <f>WORKDAY(AG268,0,'[38]Equipment List and MR List (3)'!$A$2:$A$80)</f>
        <v>0</v>
      </c>
      <c r="AC268" s="797" t="s">
        <v>5365</v>
      </c>
      <c r="AD268" s="87">
        <v>7</v>
      </c>
      <c r="AE268" s="803">
        <v>100</v>
      </c>
      <c r="AF268" s="806" t="e">
        <f>AB269</f>
        <v>#REF!</v>
      </c>
      <c r="AG268" s="809"/>
      <c r="AH268" s="88"/>
      <c r="AI268" s="89"/>
      <c r="AJ268" s="812" t="e">
        <f>AG268-AF268</f>
        <v>#REF!</v>
      </c>
      <c r="AK268" s="131"/>
      <c r="AL268" s="132"/>
      <c r="AM268" s="133">
        <f t="shared" ref="AM268:AW268" si="315">IF(ISERROR(LOOKUP(AM$6,$S268:$AB268,$S$9:$AB$9)),0,(LOOKUP(AM$6,$S268:$AB268,$S$9:$AB$9)))</f>
        <v>0.95</v>
      </c>
      <c r="AN268" s="134">
        <f t="shared" si="315"/>
        <v>0.95</v>
      </c>
      <c r="AO268" s="134">
        <f t="shared" si="315"/>
        <v>0.95</v>
      </c>
      <c r="AP268" s="134">
        <f t="shared" si="315"/>
        <v>0.95</v>
      </c>
      <c r="AQ268" s="134">
        <f t="shared" si="315"/>
        <v>0.95</v>
      </c>
      <c r="AR268" s="134">
        <f t="shared" si="315"/>
        <v>0.95</v>
      </c>
      <c r="AS268" s="134">
        <f t="shared" si="315"/>
        <v>0.95</v>
      </c>
      <c r="AT268" s="134">
        <f t="shared" si="315"/>
        <v>0.95</v>
      </c>
      <c r="AU268" s="134">
        <f t="shared" si="315"/>
        <v>0.95</v>
      </c>
      <c r="AV268" s="134">
        <f t="shared" si="315"/>
        <v>0.95</v>
      </c>
      <c r="AW268" s="134">
        <f t="shared" ca="1" si="315"/>
        <v>0.95</v>
      </c>
      <c r="BB268" s="135"/>
    </row>
    <row r="269" spans="1:54" s="21" customFormat="1" ht="18" customHeight="1">
      <c r="A269" s="783"/>
      <c r="B269" s="156"/>
      <c r="C269" s="792"/>
      <c r="D269" s="96" t="str">
        <f>D268</f>
        <v>PIP</v>
      </c>
      <c r="E269" s="136" t="str">
        <f>E268</f>
        <v>RFQ-054</v>
      </c>
      <c r="F269" s="137" t="str">
        <f>F268</f>
        <v>N</v>
      </c>
      <c r="G269" s="159"/>
      <c r="H269" s="162" t="str">
        <f>H268</f>
        <v>SEAMLESS CS PIPE</v>
      </c>
      <c r="I269" s="136" t="str">
        <f>I268</f>
        <v>LD</v>
      </c>
      <c r="J269" s="137"/>
      <c r="K269" s="138"/>
      <c r="L269" s="138">
        <f>M270</f>
        <v>1E-3</v>
      </c>
      <c r="M269" s="138"/>
      <c r="N269" s="136"/>
      <c r="O269" s="136"/>
      <c r="P269" s="136"/>
      <c r="Q269" s="139" t="s">
        <v>5366</v>
      </c>
      <c r="R269" s="139"/>
      <c r="S269" s="140" t="e">
        <f>S268</f>
        <v>#REF!</v>
      </c>
      <c r="T269" s="141" t="e">
        <f>T268</f>
        <v>#REF!</v>
      </c>
      <c r="U269" s="141" t="e">
        <f>WORKDAY(IF(T270="",T269,T270),INDEX(U$2:U$5,MATCH($I268,$I$2:$I$5,0)),$BB$10:$BB$141)</f>
        <v>#REF!</v>
      </c>
      <c r="V269" s="141" t="e">
        <f>WORKDAY(IF(U270="",U269,U270),INDEX(V$2:V$5,MATCH($I268,$I$2:$I$5,0)),$BB$10:$BB$141)</f>
        <v>#REF!</v>
      </c>
      <c r="W269" s="141" t="e">
        <f>WORKDAY(IF(V270="",V269,V270),INDEX(W$2:W$5,MATCH($I268,$I$2:$I$5,0)),$BB$10:$BB$141)</f>
        <v>#REF!</v>
      </c>
      <c r="X269" s="141" t="e">
        <f>WORKDAY(IF(#REF!="",#REF!,#REF!),INDEX(X$2:X$5,MATCH($I268,$I$2:$I$5,0)),$BB$10:$BB$141)</f>
        <v>#REF!</v>
      </c>
      <c r="Y269" s="141" t="e">
        <f>WORKDAY(IF(X270="",X269,X270),INDEX(Y$2:Y$5,MATCH($I268,$I$2:$I$5,0)),$BB$10:$BB$141)</f>
        <v>#REF!</v>
      </c>
      <c r="Z269" s="141" t="e">
        <f>WORKDAY(IF(Y270="",Y269,Y270),INDEX(Z$2:Z$5,MATCH($I268,$I$2:$I$5,0)),$BB$10:$BB$141)</f>
        <v>#REF!</v>
      </c>
      <c r="AA269" s="141" t="e">
        <f>WORKDAY(IF(Z270="",Z269,Z270),INDEX(AA$2:AA$5,MATCH($I268,$I$2:$I$5,0)),$BB$10:$BB$141)</f>
        <v>#REF!</v>
      </c>
      <c r="AB269" s="142" t="e">
        <f>AE268+#REF!</f>
        <v>#REF!</v>
      </c>
      <c r="AC269" s="798"/>
      <c r="AD269" s="105"/>
      <c r="AE269" s="804"/>
      <c r="AF269" s="807"/>
      <c r="AG269" s="810"/>
      <c r="AH269" s="106"/>
      <c r="AI269" s="107"/>
      <c r="AJ269" s="813"/>
      <c r="AK269" s="143"/>
      <c r="AL269" s="144"/>
      <c r="AM269" s="133">
        <f t="shared" ref="AM269:AW269" si="316">IF(ISERROR(LOOKUP(AM$6,$S269:$AB269,$S$9:$AB$9)),0,(LOOKUP(AM$6,$S269:$AB269,$S$9:$AB$9)))</f>
        <v>0</v>
      </c>
      <c r="AN269" s="134">
        <f t="shared" si="316"/>
        <v>0</v>
      </c>
      <c r="AO269" s="134">
        <f t="shared" si="316"/>
        <v>0</v>
      </c>
      <c r="AP269" s="134">
        <f t="shared" si="316"/>
        <v>0</v>
      </c>
      <c r="AQ269" s="134">
        <f t="shared" si="316"/>
        <v>0</v>
      </c>
      <c r="AR269" s="134">
        <f t="shared" si="316"/>
        <v>0</v>
      </c>
      <c r="AS269" s="134">
        <f t="shared" si="316"/>
        <v>0</v>
      </c>
      <c r="AT269" s="134">
        <f t="shared" si="316"/>
        <v>0</v>
      </c>
      <c r="AU269" s="134">
        <f t="shared" si="316"/>
        <v>0</v>
      </c>
      <c r="AV269" s="134">
        <f t="shared" si="316"/>
        <v>0</v>
      </c>
      <c r="AW269" s="134">
        <f t="shared" ca="1" si="316"/>
        <v>0</v>
      </c>
      <c r="BB269" s="135"/>
    </row>
    <row r="270" spans="1:54" s="21" customFormat="1" ht="18" customHeight="1">
      <c r="A270" s="784"/>
      <c r="B270" s="157"/>
      <c r="C270" s="793"/>
      <c r="D270" s="111" t="str">
        <f>D268</f>
        <v>PIP</v>
      </c>
      <c r="E270" s="145" t="str">
        <f>E268</f>
        <v>RFQ-054</v>
      </c>
      <c r="F270" s="146" t="str">
        <f>F268</f>
        <v>N</v>
      </c>
      <c r="G270" s="160"/>
      <c r="H270" s="163" t="str">
        <f>H268</f>
        <v>SEAMLESS CS PIPE</v>
      </c>
      <c r="I270" s="145" t="str">
        <f>I268</f>
        <v>LD</v>
      </c>
      <c r="J270" s="146"/>
      <c r="K270" s="147"/>
      <c r="L270" s="147"/>
      <c r="M270" s="147">
        <v>1E-3</v>
      </c>
      <c r="N270" s="145"/>
      <c r="O270" s="145"/>
      <c r="P270" s="145"/>
      <c r="Q270" s="148" t="s">
        <v>368</v>
      </c>
      <c r="R270" s="148"/>
      <c r="S270" s="149"/>
      <c r="T270" s="149"/>
      <c r="U270" s="149"/>
      <c r="V270" s="149"/>
      <c r="W270" s="149"/>
      <c r="X270" s="149"/>
      <c r="Y270" s="149"/>
      <c r="Z270" s="149"/>
      <c r="AA270" s="149"/>
      <c r="AB270" s="149"/>
      <c r="AC270" s="799"/>
      <c r="AD270" s="116"/>
      <c r="AE270" s="805"/>
      <c r="AF270" s="808"/>
      <c r="AG270" s="811"/>
      <c r="AH270" s="117"/>
      <c r="AI270" s="118"/>
      <c r="AJ270" s="814"/>
      <c r="AK270" s="150"/>
      <c r="AL270" s="151"/>
      <c r="AM270" s="152">
        <f t="shared" ref="AM270:AW270" si="317">IF(ISERROR(LOOKUP(AM$6,$S270:$AB270,$S$9:$AB$9)),0,(LOOKUP(AM$6,$S270:$AB270,$S$9:$AB$9)))</f>
        <v>0</v>
      </c>
      <c r="AN270" s="153">
        <f t="shared" si="317"/>
        <v>0</v>
      </c>
      <c r="AO270" s="153">
        <f t="shared" si="317"/>
        <v>0</v>
      </c>
      <c r="AP270" s="153">
        <f t="shared" si="317"/>
        <v>0</v>
      </c>
      <c r="AQ270" s="153">
        <f t="shared" si="317"/>
        <v>0</v>
      </c>
      <c r="AR270" s="153">
        <f t="shared" si="317"/>
        <v>0</v>
      </c>
      <c r="AS270" s="153">
        <f t="shared" si="317"/>
        <v>0</v>
      </c>
      <c r="AT270" s="153">
        <f t="shared" si="317"/>
        <v>0</v>
      </c>
      <c r="AU270" s="153">
        <f t="shared" si="317"/>
        <v>0</v>
      </c>
      <c r="AV270" s="153">
        <f t="shared" si="317"/>
        <v>0</v>
      </c>
      <c r="AW270" s="153">
        <f t="shared" ca="1" si="317"/>
        <v>0</v>
      </c>
      <c r="BB270" s="135"/>
    </row>
    <row r="271" spans="1:54" s="21" customFormat="1" ht="18" customHeight="1">
      <c r="A271" s="782">
        <f>A268+1</f>
        <v>88</v>
      </c>
      <c r="B271" s="154" t="s">
        <v>5425</v>
      </c>
      <c r="C271" s="791" t="s">
        <v>5361</v>
      </c>
      <c r="D271" s="80" t="s">
        <v>5372</v>
      </c>
      <c r="E271" s="127" t="s">
        <v>5422</v>
      </c>
      <c r="F271" s="128" t="s">
        <v>73</v>
      </c>
      <c r="G271" s="158"/>
      <c r="H271" s="161" t="s">
        <v>5454</v>
      </c>
      <c r="I271" s="127" t="s">
        <v>9</v>
      </c>
      <c r="J271" s="128"/>
      <c r="K271" s="129">
        <f>M273</f>
        <v>1E-3</v>
      </c>
      <c r="L271" s="129"/>
      <c r="M271" s="129"/>
      <c r="N271" s="127"/>
      <c r="O271" s="127"/>
      <c r="P271" s="127"/>
      <c r="Q271" s="130" t="s">
        <v>5364</v>
      </c>
      <c r="R271" s="130"/>
      <c r="S271" s="155" t="e">
        <f>WORKDAY(T271,-INDEX(T$2:T$5,MATCH($I271,$I$2:$I$5,0)),'[38]Equipment List and MR List (3)'!$A$2:$A$80)</f>
        <v>#REF!</v>
      </c>
      <c r="T271" s="155" t="e">
        <f>WORKDAY(U271,-INDEX(U$2:U$5,MATCH($I271,$I$2:$I$5,0)),$BB$10:$BB$141)</f>
        <v>#REF!</v>
      </c>
      <c r="U271" s="155" t="e">
        <f>WORKDAY(V271,-INDEX(V$2:V$5,MATCH($I271,$I$2:$I$5,0)),$BB$10:$BB$141)</f>
        <v>#REF!</v>
      </c>
      <c r="V271" s="155" t="e">
        <f>WORKDAY(W271,-INDEX(W$2:W$5,MATCH($I271,$I$2:$I$5,0)),$BB$10:$BB$141)</f>
        <v>#REF!</v>
      </c>
      <c r="W271" s="155" t="e">
        <f>WORKDAY(#REF!,-INDEX(#REF!,MATCH($I271,$I$2:$I$5,0)),$BB$10:$BB$141)</f>
        <v>#REF!</v>
      </c>
      <c r="X271" s="155" t="e">
        <f>WORKDAY(Y271,-INDEX(Y$2:Y$5,MATCH($I271,$I$2:$I$5,0)),$BB$10:$BB$141)</f>
        <v>#REF!</v>
      </c>
      <c r="Y271" s="155" t="e">
        <f>WORKDAY(Z271,-INDEX(Z$2:Z$5,MATCH($I271,$I$2:$I$5,0)),$BB$10:$BB$141)</f>
        <v>#REF!</v>
      </c>
      <c r="Z271" s="155" t="e">
        <f>WORKDAY(AA271,-INDEX(AA$2:AA$5,MATCH($I271,$I$2:$I$5,0)),$BB$10:$BB$141)</f>
        <v>#REF!</v>
      </c>
      <c r="AA271" s="155" t="e">
        <f>WORKDAY(#REF!,-INDEX(#REF!,MATCH($I271,$I$2:$I$5,0)),$BB$10:$BB$141)</f>
        <v>#REF!</v>
      </c>
      <c r="AB271" s="155">
        <f>WORKDAY(AG271,0,'[38]Equipment List and MR List (3)'!$A$2:$A$80)</f>
        <v>0</v>
      </c>
      <c r="AC271" s="797" t="s">
        <v>5365</v>
      </c>
      <c r="AD271" s="87">
        <v>7</v>
      </c>
      <c r="AE271" s="803">
        <v>100</v>
      </c>
      <c r="AF271" s="806" t="e">
        <f>AB272</f>
        <v>#REF!</v>
      </c>
      <c r="AG271" s="809"/>
      <c r="AH271" s="88"/>
      <c r="AI271" s="89"/>
      <c r="AJ271" s="812" t="e">
        <f>AG271-AF271</f>
        <v>#REF!</v>
      </c>
      <c r="AK271" s="131"/>
      <c r="AL271" s="132"/>
      <c r="AM271" s="133">
        <f t="shared" ref="AM271:AW271" si="318">IF(ISERROR(LOOKUP(AM$6,$S271:$AB271,$S$9:$AB$9)),0,(LOOKUP(AM$6,$S271:$AB271,$S$9:$AB$9)))</f>
        <v>0.95</v>
      </c>
      <c r="AN271" s="134">
        <f t="shared" si="318"/>
        <v>0.95</v>
      </c>
      <c r="AO271" s="134">
        <f t="shared" si="318"/>
        <v>0.95</v>
      </c>
      <c r="AP271" s="134">
        <f t="shared" si="318"/>
        <v>0.95</v>
      </c>
      <c r="AQ271" s="134">
        <f t="shared" si="318"/>
        <v>0.95</v>
      </c>
      <c r="AR271" s="134">
        <f t="shared" si="318"/>
        <v>0.95</v>
      </c>
      <c r="AS271" s="134">
        <f t="shared" si="318"/>
        <v>0.95</v>
      </c>
      <c r="AT271" s="134">
        <f t="shared" si="318"/>
        <v>0.95</v>
      </c>
      <c r="AU271" s="134">
        <f t="shared" si="318"/>
        <v>0.95</v>
      </c>
      <c r="AV271" s="134">
        <f t="shared" si="318"/>
        <v>0.95</v>
      </c>
      <c r="AW271" s="134">
        <f t="shared" ca="1" si="318"/>
        <v>0.95</v>
      </c>
      <c r="BB271" s="135"/>
    </row>
    <row r="272" spans="1:54" s="21" customFormat="1" ht="18" customHeight="1">
      <c r="A272" s="783"/>
      <c r="B272" s="156"/>
      <c r="C272" s="792"/>
      <c r="D272" s="96" t="str">
        <f>D271</f>
        <v>PIP</v>
      </c>
      <c r="E272" s="136" t="str">
        <f>E271</f>
        <v>RFQ-054</v>
      </c>
      <c r="F272" s="137" t="str">
        <f>F271</f>
        <v>N</v>
      </c>
      <c r="G272" s="159"/>
      <c r="H272" s="162" t="str">
        <f>H271</f>
        <v>SEAMLESS SS &amp; DSS STEEL</v>
      </c>
      <c r="I272" s="136" t="str">
        <f>I271</f>
        <v>LD</v>
      </c>
      <c r="J272" s="137"/>
      <c r="K272" s="138"/>
      <c r="L272" s="138">
        <f>M273</f>
        <v>1E-3</v>
      </c>
      <c r="M272" s="138"/>
      <c r="N272" s="136"/>
      <c r="O272" s="136"/>
      <c r="P272" s="136"/>
      <c r="Q272" s="139" t="s">
        <v>5366</v>
      </c>
      <c r="R272" s="139"/>
      <c r="S272" s="140" t="e">
        <f>S271</f>
        <v>#REF!</v>
      </c>
      <c r="T272" s="141" t="e">
        <f>T271</f>
        <v>#REF!</v>
      </c>
      <c r="U272" s="141" t="e">
        <f>WORKDAY(IF(T273="",T272,T273),INDEX(U$2:U$5,MATCH($I271,$I$2:$I$5,0)),$BB$10:$BB$141)</f>
        <v>#REF!</v>
      </c>
      <c r="V272" s="141" t="e">
        <f>WORKDAY(IF(U273="",U272,U273),INDEX(V$2:V$5,MATCH($I271,$I$2:$I$5,0)),$BB$10:$BB$141)</f>
        <v>#REF!</v>
      </c>
      <c r="W272" s="141" t="e">
        <f>WORKDAY(IF(V273="",V272,V273),INDEX(W$2:W$5,MATCH($I271,$I$2:$I$5,0)),$BB$10:$BB$141)</f>
        <v>#REF!</v>
      </c>
      <c r="X272" s="141" t="e">
        <f>WORKDAY(IF(#REF!="",#REF!,#REF!),INDEX(X$2:X$5,MATCH($I271,$I$2:$I$5,0)),$BB$10:$BB$141)</f>
        <v>#REF!</v>
      </c>
      <c r="Y272" s="141" t="e">
        <f>WORKDAY(IF(X273="",X272,X273),INDEX(Y$2:Y$5,MATCH($I271,$I$2:$I$5,0)),$BB$10:$BB$141)</f>
        <v>#REF!</v>
      </c>
      <c r="Z272" s="141" t="e">
        <f>WORKDAY(IF(Y273="",Y272,Y273),INDEX(Z$2:Z$5,MATCH($I271,$I$2:$I$5,0)),$BB$10:$BB$141)</f>
        <v>#REF!</v>
      </c>
      <c r="AA272" s="141" t="e">
        <f>WORKDAY(IF(Z273="",Z272,Z273),INDEX(AA$2:AA$5,MATCH($I271,$I$2:$I$5,0)),$BB$10:$BB$141)</f>
        <v>#REF!</v>
      </c>
      <c r="AB272" s="142" t="e">
        <f>AE271+#REF!</f>
        <v>#REF!</v>
      </c>
      <c r="AC272" s="798"/>
      <c r="AD272" s="105"/>
      <c r="AE272" s="804"/>
      <c r="AF272" s="807"/>
      <c r="AG272" s="810"/>
      <c r="AH272" s="106"/>
      <c r="AI272" s="107"/>
      <c r="AJ272" s="813"/>
      <c r="AK272" s="143"/>
      <c r="AL272" s="144"/>
      <c r="AM272" s="133">
        <f t="shared" ref="AM272:AW272" si="319">IF(ISERROR(LOOKUP(AM$6,$S272:$AB272,$S$9:$AB$9)),0,(LOOKUP(AM$6,$S272:$AB272,$S$9:$AB$9)))</f>
        <v>0</v>
      </c>
      <c r="AN272" s="134">
        <f t="shared" si="319"/>
        <v>0</v>
      </c>
      <c r="AO272" s="134">
        <f t="shared" si="319"/>
        <v>0</v>
      </c>
      <c r="AP272" s="134">
        <f t="shared" si="319"/>
        <v>0</v>
      </c>
      <c r="AQ272" s="134">
        <f t="shared" si="319"/>
        <v>0</v>
      </c>
      <c r="AR272" s="134">
        <f t="shared" si="319"/>
        <v>0</v>
      </c>
      <c r="AS272" s="134">
        <f t="shared" si="319"/>
        <v>0</v>
      </c>
      <c r="AT272" s="134">
        <f t="shared" si="319"/>
        <v>0</v>
      </c>
      <c r="AU272" s="134">
        <f t="shared" si="319"/>
        <v>0</v>
      </c>
      <c r="AV272" s="134">
        <f t="shared" si="319"/>
        <v>0</v>
      </c>
      <c r="AW272" s="134">
        <f t="shared" ca="1" si="319"/>
        <v>0</v>
      </c>
      <c r="BB272" s="135"/>
    </row>
    <row r="273" spans="1:54" s="21" customFormat="1" ht="18" customHeight="1">
      <c r="A273" s="784"/>
      <c r="B273" s="157"/>
      <c r="C273" s="793"/>
      <c r="D273" s="111" t="str">
        <f>D271</f>
        <v>PIP</v>
      </c>
      <c r="E273" s="145" t="str">
        <f>E271</f>
        <v>RFQ-054</v>
      </c>
      <c r="F273" s="146" t="str">
        <f>F271</f>
        <v>N</v>
      </c>
      <c r="G273" s="160"/>
      <c r="H273" s="163" t="str">
        <f>H271</f>
        <v>SEAMLESS SS &amp; DSS STEEL</v>
      </c>
      <c r="I273" s="145" t="str">
        <f>I271</f>
        <v>LD</v>
      </c>
      <c r="J273" s="146"/>
      <c r="K273" s="147"/>
      <c r="L273" s="147"/>
      <c r="M273" s="147">
        <v>1E-3</v>
      </c>
      <c r="N273" s="145"/>
      <c r="O273" s="145"/>
      <c r="P273" s="145"/>
      <c r="Q273" s="148" t="s">
        <v>368</v>
      </c>
      <c r="R273" s="148"/>
      <c r="S273" s="149"/>
      <c r="T273" s="149"/>
      <c r="U273" s="149"/>
      <c r="V273" s="149"/>
      <c r="W273" s="149"/>
      <c r="X273" s="149"/>
      <c r="Y273" s="149"/>
      <c r="Z273" s="149"/>
      <c r="AA273" s="149"/>
      <c r="AB273" s="149"/>
      <c r="AC273" s="799"/>
      <c r="AD273" s="116"/>
      <c r="AE273" s="805"/>
      <c r="AF273" s="808"/>
      <c r="AG273" s="811"/>
      <c r="AH273" s="117"/>
      <c r="AI273" s="118"/>
      <c r="AJ273" s="814"/>
      <c r="AK273" s="150"/>
      <c r="AL273" s="151"/>
      <c r="AM273" s="152">
        <f t="shared" ref="AM273:AW273" si="320">IF(ISERROR(LOOKUP(AM$6,$S273:$AB273,$S$9:$AB$9)),0,(LOOKUP(AM$6,$S273:$AB273,$S$9:$AB$9)))</f>
        <v>0</v>
      </c>
      <c r="AN273" s="153">
        <f t="shared" si="320"/>
        <v>0</v>
      </c>
      <c r="AO273" s="153">
        <f t="shared" si="320"/>
        <v>0</v>
      </c>
      <c r="AP273" s="153">
        <f t="shared" si="320"/>
        <v>0</v>
      </c>
      <c r="AQ273" s="153">
        <f t="shared" si="320"/>
        <v>0</v>
      </c>
      <c r="AR273" s="153">
        <f t="shared" si="320"/>
        <v>0</v>
      </c>
      <c r="AS273" s="153">
        <f t="shared" si="320"/>
        <v>0</v>
      </c>
      <c r="AT273" s="153">
        <f t="shared" si="320"/>
        <v>0</v>
      </c>
      <c r="AU273" s="153">
        <f t="shared" si="320"/>
        <v>0</v>
      </c>
      <c r="AV273" s="153">
        <f t="shared" si="320"/>
        <v>0</v>
      </c>
      <c r="AW273" s="153">
        <f t="shared" ca="1" si="320"/>
        <v>0</v>
      </c>
      <c r="BB273" s="135"/>
    </row>
    <row r="274" spans="1:54" s="21" customFormat="1" ht="18" customHeight="1">
      <c r="A274" s="782">
        <f>A271+1</f>
        <v>89</v>
      </c>
      <c r="B274" s="154" t="s">
        <v>5425</v>
      </c>
      <c r="C274" s="791" t="s">
        <v>5361</v>
      </c>
      <c r="D274" s="80" t="s">
        <v>5372</v>
      </c>
      <c r="E274" s="127" t="s">
        <v>5422</v>
      </c>
      <c r="F274" s="128" t="s">
        <v>73</v>
      </c>
      <c r="G274" s="158"/>
      <c r="H274" s="161" t="s">
        <v>5455</v>
      </c>
      <c r="I274" s="127" t="s">
        <v>9</v>
      </c>
      <c r="J274" s="128"/>
      <c r="K274" s="129">
        <f>M276</f>
        <v>1E-3</v>
      </c>
      <c r="L274" s="129"/>
      <c r="M274" s="129"/>
      <c r="N274" s="127"/>
      <c r="O274" s="127"/>
      <c r="P274" s="127"/>
      <c r="Q274" s="130" t="s">
        <v>5364</v>
      </c>
      <c r="R274" s="130"/>
      <c r="S274" s="155" t="e">
        <f>WORKDAY(T274,-INDEX(T$2:T$5,MATCH($I274,$I$2:$I$5,0)),'[38]Equipment List and MR List (3)'!$A$2:$A$80)</f>
        <v>#REF!</v>
      </c>
      <c r="T274" s="155" t="e">
        <f>WORKDAY(U274,-INDEX(U$2:U$5,MATCH($I274,$I$2:$I$5,0)),$BB$10:$BB$141)</f>
        <v>#REF!</v>
      </c>
      <c r="U274" s="155" t="e">
        <f>WORKDAY(V274,-INDEX(V$2:V$5,MATCH($I274,$I$2:$I$5,0)),$BB$10:$BB$141)</f>
        <v>#REF!</v>
      </c>
      <c r="V274" s="155" t="e">
        <f>WORKDAY(W274,-INDEX(W$2:W$5,MATCH($I274,$I$2:$I$5,0)),$BB$10:$BB$141)</f>
        <v>#REF!</v>
      </c>
      <c r="W274" s="155" t="e">
        <f>WORKDAY(#REF!,-INDEX(#REF!,MATCH($I274,$I$2:$I$5,0)),$BB$10:$BB$141)</f>
        <v>#REF!</v>
      </c>
      <c r="X274" s="155" t="e">
        <f>WORKDAY(Y274,-INDEX(Y$2:Y$5,MATCH($I274,$I$2:$I$5,0)),$BB$10:$BB$141)</f>
        <v>#REF!</v>
      </c>
      <c r="Y274" s="155" t="e">
        <f>WORKDAY(Z274,-INDEX(Z$2:Z$5,MATCH($I274,$I$2:$I$5,0)),$BB$10:$BB$141)</f>
        <v>#REF!</v>
      </c>
      <c r="Z274" s="155" t="e">
        <f>WORKDAY(AA274,-INDEX(AA$2:AA$5,MATCH($I274,$I$2:$I$5,0)),$BB$10:$BB$141)</f>
        <v>#REF!</v>
      </c>
      <c r="AA274" s="155" t="e">
        <f>WORKDAY(#REF!,-INDEX(#REF!,MATCH($I274,$I$2:$I$5,0)),$BB$10:$BB$141)</f>
        <v>#REF!</v>
      </c>
      <c r="AB274" s="155">
        <f>WORKDAY(AG274,0,'[38]Equipment List and MR List (3)'!$A$2:$A$80)</f>
        <v>0</v>
      </c>
      <c r="AC274" s="797" t="s">
        <v>5365</v>
      </c>
      <c r="AD274" s="87">
        <v>7</v>
      </c>
      <c r="AE274" s="803">
        <v>121</v>
      </c>
      <c r="AF274" s="806" t="e">
        <f>AB275</f>
        <v>#REF!</v>
      </c>
      <c r="AG274" s="809"/>
      <c r="AH274" s="88"/>
      <c r="AI274" s="89"/>
      <c r="AJ274" s="812" t="e">
        <f>AG274-AF274</f>
        <v>#REF!</v>
      </c>
      <c r="AK274" s="131"/>
      <c r="AL274" s="132"/>
      <c r="AM274" s="133">
        <f t="shared" ref="AM274:AW274" si="321">IF(ISERROR(LOOKUP(AM$6,$S274:$AB274,$S$9:$AB$9)),0,(LOOKUP(AM$6,$S274:$AB274,$S$9:$AB$9)))</f>
        <v>0.95</v>
      </c>
      <c r="AN274" s="134">
        <f t="shared" si="321"/>
        <v>0.95</v>
      </c>
      <c r="AO274" s="134">
        <f t="shared" si="321"/>
        <v>0.95</v>
      </c>
      <c r="AP274" s="134">
        <f t="shared" si="321"/>
        <v>0.95</v>
      </c>
      <c r="AQ274" s="134">
        <f t="shared" si="321"/>
        <v>0.95</v>
      </c>
      <c r="AR274" s="134">
        <f t="shared" si="321"/>
        <v>0.95</v>
      </c>
      <c r="AS274" s="134">
        <f t="shared" si="321"/>
        <v>0.95</v>
      </c>
      <c r="AT274" s="134">
        <f t="shared" si="321"/>
        <v>0.95</v>
      </c>
      <c r="AU274" s="134">
        <f t="shared" si="321"/>
        <v>0.95</v>
      </c>
      <c r="AV274" s="134">
        <f t="shared" si="321"/>
        <v>0.95</v>
      </c>
      <c r="AW274" s="134">
        <f t="shared" ca="1" si="321"/>
        <v>0.95</v>
      </c>
      <c r="BB274" s="135"/>
    </row>
    <row r="275" spans="1:54" s="21" customFormat="1" ht="18" customHeight="1">
      <c r="A275" s="783"/>
      <c r="B275" s="156"/>
      <c r="C275" s="792"/>
      <c r="D275" s="96" t="str">
        <f>D274</f>
        <v>PIP</v>
      </c>
      <c r="E275" s="136" t="str">
        <f>E274</f>
        <v>RFQ-054</v>
      </c>
      <c r="F275" s="137" t="str">
        <f>F274</f>
        <v>N</v>
      </c>
      <c r="G275" s="159"/>
      <c r="H275" s="162" t="str">
        <f>H274</f>
        <v>CLAMP Type Connectors</v>
      </c>
      <c r="I275" s="136" t="str">
        <f>I274</f>
        <v>LD</v>
      </c>
      <c r="J275" s="137"/>
      <c r="K275" s="138"/>
      <c r="L275" s="138">
        <f>M276</f>
        <v>1E-3</v>
      </c>
      <c r="M275" s="138"/>
      <c r="N275" s="136"/>
      <c r="O275" s="136"/>
      <c r="P275" s="136"/>
      <c r="Q275" s="139" t="s">
        <v>5366</v>
      </c>
      <c r="R275" s="139"/>
      <c r="S275" s="140" t="e">
        <f>S274</f>
        <v>#REF!</v>
      </c>
      <c r="T275" s="141" t="e">
        <f>T274</f>
        <v>#REF!</v>
      </c>
      <c r="U275" s="141" t="e">
        <f>WORKDAY(IF(T276="",T275,T276),INDEX(U$2:U$5,MATCH($I274,$I$2:$I$5,0)),$BB$10:$BB$141)</f>
        <v>#REF!</v>
      </c>
      <c r="V275" s="141" t="e">
        <f>WORKDAY(IF(U276="",U275,U276),INDEX(V$2:V$5,MATCH($I274,$I$2:$I$5,0)),$BB$10:$BB$141)</f>
        <v>#REF!</v>
      </c>
      <c r="W275" s="141" t="e">
        <f>WORKDAY(IF(V276="",V275,V276),INDEX(W$2:W$5,MATCH($I274,$I$2:$I$5,0)),$BB$10:$BB$141)</f>
        <v>#REF!</v>
      </c>
      <c r="X275" s="141" t="e">
        <f>WORKDAY(IF(#REF!="",#REF!,#REF!),INDEX(X$2:X$5,MATCH($I274,$I$2:$I$5,0)),$BB$10:$BB$141)</f>
        <v>#REF!</v>
      </c>
      <c r="Y275" s="141" t="e">
        <f>WORKDAY(IF(X276="",X275,X276),INDEX(Y$2:Y$5,MATCH($I274,$I$2:$I$5,0)),$BB$10:$BB$141)</f>
        <v>#REF!</v>
      </c>
      <c r="Z275" s="141" t="e">
        <f>WORKDAY(IF(Y276="",Y275,Y276),INDEX(Z$2:Z$5,MATCH($I274,$I$2:$I$5,0)),$BB$10:$BB$141)</f>
        <v>#REF!</v>
      </c>
      <c r="AA275" s="141" t="e">
        <f>WORKDAY(IF(Z276="",Z275,Z276),INDEX(AA$2:AA$5,MATCH($I274,$I$2:$I$5,0)),$BB$10:$BB$141)</f>
        <v>#REF!</v>
      </c>
      <c r="AB275" s="142" t="e">
        <f>AE274+#REF!</f>
        <v>#REF!</v>
      </c>
      <c r="AC275" s="798"/>
      <c r="AD275" s="105"/>
      <c r="AE275" s="804"/>
      <c r="AF275" s="807"/>
      <c r="AG275" s="810"/>
      <c r="AH275" s="106"/>
      <c r="AI275" s="107"/>
      <c r="AJ275" s="813"/>
      <c r="AK275" s="143"/>
      <c r="AL275" s="144"/>
      <c r="AM275" s="133">
        <f t="shared" ref="AM275:AW275" si="322">IF(ISERROR(LOOKUP(AM$6,$S275:$AB275,$S$9:$AB$9)),0,(LOOKUP(AM$6,$S275:$AB275,$S$9:$AB$9)))</f>
        <v>0</v>
      </c>
      <c r="AN275" s="134">
        <f t="shared" si="322"/>
        <v>0</v>
      </c>
      <c r="AO275" s="134">
        <f t="shared" si="322"/>
        <v>0</v>
      </c>
      <c r="AP275" s="134">
        <f t="shared" si="322"/>
        <v>0</v>
      </c>
      <c r="AQ275" s="134">
        <f t="shared" si="322"/>
        <v>0</v>
      </c>
      <c r="AR275" s="134">
        <f t="shared" si="322"/>
        <v>0</v>
      </c>
      <c r="AS275" s="134">
        <f t="shared" si="322"/>
        <v>0</v>
      </c>
      <c r="AT275" s="134">
        <f t="shared" si="322"/>
        <v>0</v>
      </c>
      <c r="AU275" s="134">
        <f t="shared" si="322"/>
        <v>0</v>
      </c>
      <c r="AV275" s="134">
        <f t="shared" si="322"/>
        <v>0</v>
      </c>
      <c r="AW275" s="134">
        <f t="shared" ca="1" si="322"/>
        <v>0</v>
      </c>
      <c r="BB275" s="135"/>
    </row>
    <row r="276" spans="1:54" s="21" customFormat="1" ht="18" customHeight="1">
      <c r="A276" s="784"/>
      <c r="B276" s="157"/>
      <c r="C276" s="793"/>
      <c r="D276" s="111" t="str">
        <f>D274</f>
        <v>PIP</v>
      </c>
      <c r="E276" s="145" t="str">
        <f>E274</f>
        <v>RFQ-054</v>
      </c>
      <c r="F276" s="146" t="str">
        <f>F274</f>
        <v>N</v>
      </c>
      <c r="G276" s="160"/>
      <c r="H276" s="163" t="str">
        <f>H274</f>
        <v>CLAMP Type Connectors</v>
      </c>
      <c r="I276" s="145" t="str">
        <f>I274</f>
        <v>LD</v>
      </c>
      <c r="J276" s="146"/>
      <c r="K276" s="147"/>
      <c r="L276" s="147"/>
      <c r="M276" s="147">
        <v>1E-3</v>
      </c>
      <c r="N276" s="145"/>
      <c r="O276" s="145"/>
      <c r="P276" s="145"/>
      <c r="Q276" s="148" t="s">
        <v>368</v>
      </c>
      <c r="R276" s="148"/>
      <c r="S276" s="149"/>
      <c r="T276" s="149"/>
      <c r="U276" s="149"/>
      <c r="V276" s="149"/>
      <c r="W276" s="149"/>
      <c r="X276" s="149"/>
      <c r="Y276" s="149"/>
      <c r="Z276" s="149"/>
      <c r="AA276" s="149"/>
      <c r="AB276" s="149"/>
      <c r="AC276" s="799"/>
      <c r="AD276" s="116"/>
      <c r="AE276" s="805"/>
      <c r="AF276" s="808"/>
      <c r="AG276" s="811"/>
      <c r="AH276" s="117"/>
      <c r="AI276" s="118"/>
      <c r="AJ276" s="814"/>
      <c r="AK276" s="150"/>
      <c r="AL276" s="151"/>
      <c r="AM276" s="152">
        <f t="shared" ref="AM276:AW276" si="323">IF(ISERROR(LOOKUP(AM$6,$S276:$AB276,$S$9:$AB$9)),0,(LOOKUP(AM$6,$S276:$AB276,$S$9:$AB$9)))</f>
        <v>0</v>
      </c>
      <c r="AN276" s="153">
        <f t="shared" si="323"/>
        <v>0</v>
      </c>
      <c r="AO276" s="153">
        <f t="shared" si="323"/>
        <v>0</v>
      </c>
      <c r="AP276" s="153">
        <f t="shared" si="323"/>
        <v>0</v>
      </c>
      <c r="AQ276" s="153">
        <f t="shared" si="323"/>
        <v>0</v>
      </c>
      <c r="AR276" s="153">
        <f t="shared" si="323"/>
        <v>0</v>
      </c>
      <c r="AS276" s="153">
        <f t="shared" si="323"/>
        <v>0</v>
      </c>
      <c r="AT276" s="153">
        <f t="shared" si="323"/>
        <v>0</v>
      </c>
      <c r="AU276" s="153">
        <f t="shared" si="323"/>
        <v>0</v>
      </c>
      <c r="AV276" s="153">
        <f t="shared" si="323"/>
        <v>0</v>
      </c>
      <c r="AW276" s="153">
        <f t="shared" ca="1" si="323"/>
        <v>0</v>
      </c>
      <c r="BB276" s="135"/>
    </row>
    <row r="277" spans="1:54" s="21" customFormat="1" ht="18" customHeight="1">
      <c r="A277" s="782">
        <f>A274+1</f>
        <v>90</v>
      </c>
      <c r="B277" s="154" t="s">
        <v>5425</v>
      </c>
      <c r="C277" s="791" t="s">
        <v>5361</v>
      </c>
      <c r="D277" s="80" t="s">
        <v>5421</v>
      </c>
      <c r="E277" s="127" t="s">
        <v>5422</v>
      </c>
      <c r="F277" s="128" t="s">
        <v>73</v>
      </c>
      <c r="G277" s="158"/>
      <c r="H277" s="161" t="s">
        <v>5456</v>
      </c>
      <c r="I277" s="127" t="s">
        <v>9</v>
      </c>
      <c r="J277" s="128"/>
      <c r="K277" s="129">
        <f>M279</f>
        <v>1E-3</v>
      </c>
      <c r="L277" s="129"/>
      <c r="M277" s="129"/>
      <c r="N277" s="127"/>
      <c r="O277" s="127"/>
      <c r="P277" s="127"/>
      <c r="Q277" s="130" t="s">
        <v>5364</v>
      </c>
      <c r="R277" s="130"/>
      <c r="S277" s="155" t="e">
        <f>WORKDAY(T277,-INDEX(T$2:T$5,MATCH($I277,$I$2:$I$5,0)),'[38]Equipment List and MR List (3)'!$A$2:$A$80)</f>
        <v>#REF!</v>
      </c>
      <c r="T277" s="155" t="e">
        <f>WORKDAY(U277,-INDEX(U$2:U$5,MATCH($I277,$I$2:$I$5,0)),$BB$10:$BB$141)</f>
        <v>#REF!</v>
      </c>
      <c r="U277" s="155" t="e">
        <f>WORKDAY(V277,-INDEX(V$2:V$5,MATCH($I277,$I$2:$I$5,0)),$BB$10:$BB$141)</f>
        <v>#REF!</v>
      </c>
      <c r="V277" s="155" t="e">
        <f>WORKDAY(W277,-INDEX(W$2:W$5,MATCH($I277,$I$2:$I$5,0)),$BB$10:$BB$141)</f>
        <v>#REF!</v>
      </c>
      <c r="W277" s="155" t="e">
        <f>WORKDAY(#REF!,-INDEX(#REF!,MATCH($I277,$I$2:$I$5,0)),$BB$10:$BB$141)</f>
        <v>#REF!</v>
      </c>
      <c r="X277" s="155" t="e">
        <f>WORKDAY(Y277,-INDEX(Y$2:Y$5,MATCH($I277,$I$2:$I$5,0)),$BB$10:$BB$141)</f>
        <v>#REF!</v>
      </c>
      <c r="Y277" s="155" t="e">
        <f>WORKDAY(Z277,-INDEX(Z$2:Z$5,MATCH($I277,$I$2:$I$5,0)),$BB$10:$BB$141)</f>
        <v>#REF!</v>
      </c>
      <c r="Z277" s="155" t="e">
        <f>WORKDAY(AA277,-INDEX(AA$2:AA$5,MATCH($I277,$I$2:$I$5,0)),$BB$10:$BB$141)</f>
        <v>#REF!</v>
      </c>
      <c r="AA277" s="155" t="e">
        <f>WORKDAY(#REF!,-INDEX(#REF!,MATCH($I277,$I$2:$I$5,0)),$BB$10:$BB$141)</f>
        <v>#REF!</v>
      </c>
      <c r="AB277" s="155">
        <f>WORKDAY(AG277,0,'[38]Equipment List and MR List (3)'!$A$2:$A$80)</f>
        <v>0</v>
      </c>
      <c r="AC277" s="797" t="s">
        <v>5365</v>
      </c>
      <c r="AD277" s="87">
        <v>7</v>
      </c>
      <c r="AE277" s="803">
        <v>75</v>
      </c>
      <c r="AF277" s="806" t="e">
        <f>AB278</f>
        <v>#REF!</v>
      </c>
      <c r="AG277" s="809"/>
      <c r="AH277" s="88"/>
      <c r="AI277" s="89"/>
      <c r="AJ277" s="812" t="e">
        <f>AG277-AF277</f>
        <v>#REF!</v>
      </c>
      <c r="AK277" s="131"/>
      <c r="AL277" s="132"/>
      <c r="AM277" s="133">
        <f t="shared" ref="AM277:AW277" si="324">IF(ISERROR(LOOKUP(AM$6,$S277:$AB277,$S$9:$AB$9)),0,(LOOKUP(AM$6,$S277:$AB277,$S$9:$AB$9)))</f>
        <v>0.95</v>
      </c>
      <c r="AN277" s="134">
        <f t="shared" si="324"/>
        <v>0.95</v>
      </c>
      <c r="AO277" s="134">
        <f t="shared" si="324"/>
        <v>0.95</v>
      </c>
      <c r="AP277" s="134">
        <f t="shared" si="324"/>
        <v>0.95</v>
      </c>
      <c r="AQ277" s="134">
        <f t="shared" si="324"/>
        <v>0.95</v>
      </c>
      <c r="AR277" s="134">
        <f t="shared" si="324"/>
        <v>0.95</v>
      </c>
      <c r="AS277" s="134">
        <f t="shared" si="324"/>
        <v>0.95</v>
      </c>
      <c r="AT277" s="134">
        <f t="shared" si="324"/>
        <v>0.95</v>
      </c>
      <c r="AU277" s="134">
        <f t="shared" si="324"/>
        <v>0.95</v>
      </c>
      <c r="AV277" s="134">
        <f t="shared" si="324"/>
        <v>0.95</v>
      </c>
      <c r="AW277" s="134">
        <f t="shared" ca="1" si="324"/>
        <v>0.95</v>
      </c>
      <c r="BB277" s="135"/>
    </row>
    <row r="278" spans="1:54" s="21" customFormat="1" ht="18" customHeight="1">
      <c r="A278" s="783"/>
      <c r="B278" s="156"/>
      <c r="C278" s="792"/>
      <c r="D278" s="96" t="str">
        <f>D277</f>
        <v>STR</v>
      </c>
      <c r="E278" s="136" t="str">
        <f>E277</f>
        <v>RFQ-054</v>
      </c>
      <c r="F278" s="137" t="str">
        <f>F277</f>
        <v>N</v>
      </c>
      <c r="G278" s="159"/>
      <c r="H278" s="162" t="str">
        <f>H277</f>
        <v>Painting</v>
      </c>
      <c r="I278" s="136" t="str">
        <f>I277</f>
        <v>LD</v>
      </c>
      <c r="J278" s="137"/>
      <c r="K278" s="138"/>
      <c r="L278" s="138">
        <f>M279</f>
        <v>1E-3</v>
      </c>
      <c r="M278" s="138"/>
      <c r="N278" s="136"/>
      <c r="O278" s="136"/>
      <c r="P278" s="136"/>
      <c r="Q278" s="139" t="s">
        <v>5366</v>
      </c>
      <c r="R278" s="139"/>
      <c r="S278" s="140" t="e">
        <f>S277</f>
        <v>#REF!</v>
      </c>
      <c r="T278" s="141" t="e">
        <f>T277</f>
        <v>#REF!</v>
      </c>
      <c r="U278" s="141" t="e">
        <f>WORKDAY(IF(T279="",T278,T279),INDEX(U$2:U$5,MATCH($I277,$I$2:$I$5,0)),$BB$10:$BB$141)</f>
        <v>#REF!</v>
      </c>
      <c r="V278" s="141" t="e">
        <f>WORKDAY(IF(U279="",U278,U279),INDEX(V$2:V$5,MATCH($I277,$I$2:$I$5,0)),$BB$10:$BB$141)</f>
        <v>#REF!</v>
      </c>
      <c r="W278" s="141" t="e">
        <f>WORKDAY(IF(V279="",V278,V279),INDEX(W$2:W$5,MATCH($I277,$I$2:$I$5,0)),$BB$10:$BB$141)</f>
        <v>#REF!</v>
      </c>
      <c r="X278" s="141" t="e">
        <f>WORKDAY(IF(#REF!="",#REF!,#REF!),INDEX(X$2:X$5,MATCH($I277,$I$2:$I$5,0)),$BB$10:$BB$141)</f>
        <v>#REF!</v>
      </c>
      <c r="Y278" s="141" t="e">
        <f>WORKDAY(IF(X279="",X278,X279),INDEX(Y$2:Y$5,MATCH($I277,$I$2:$I$5,0)),$BB$10:$BB$141)</f>
        <v>#REF!</v>
      </c>
      <c r="Z278" s="141" t="e">
        <f>WORKDAY(IF(Y279="",Y278,Y279),INDEX(Z$2:Z$5,MATCH($I277,$I$2:$I$5,0)),$BB$10:$BB$141)</f>
        <v>#REF!</v>
      </c>
      <c r="AA278" s="141" t="e">
        <f>WORKDAY(IF(Z279="",Z278,Z279),INDEX(AA$2:AA$5,MATCH($I277,$I$2:$I$5,0)),$BB$10:$BB$141)</f>
        <v>#REF!</v>
      </c>
      <c r="AB278" s="142" t="e">
        <f>AE277+#REF!</f>
        <v>#REF!</v>
      </c>
      <c r="AC278" s="798"/>
      <c r="AD278" s="105"/>
      <c r="AE278" s="804"/>
      <c r="AF278" s="807"/>
      <c r="AG278" s="810"/>
      <c r="AH278" s="106"/>
      <c r="AI278" s="107"/>
      <c r="AJ278" s="813"/>
      <c r="AK278" s="143"/>
      <c r="AL278" s="144"/>
      <c r="AM278" s="133">
        <f t="shared" ref="AM278:AW278" si="325">IF(ISERROR(LOOKUP(AM$6,$S278:$AB278,$S$9:$AB$9)),0,(LOOKUP(AM$6,$S278:$AB278,$S$9:$AB$9)))</f>
        <v>0</v>
      </c>
      <c r="AN278" s="134">
        <f t="shared" si="325"/>
        <v>0</v>
      </c>
      <c r="AO278" s="134">
        <f t="shared" si="325"/>
        <v>0</v>
      </c>
      <c r="AP278" s="134">
        <f t="shared" si="325"/>
        <v>0</v>
      </c>
      <c r="AQ278" s="134">
        <f t="shared" si="325"/>
        <v>0</v>
      </c>
      <c r="AR278" s="134">
        <f t="shared" si="325"/>
        <v>0</v>
      </c>
      <c r="AS278" s="134">
        <f t="shared" si="325"/>
        <v>0</v>
      </c>
      <c r="AT278" s="134">
        <f t="shared" si="325"/>
        <v>0</v>
      </c>
      <c r="AU278" s="134">
        <f t="shared" si="325"/>
        <v>0</v>
      </c>
      <c r="AV278" s="134">
        <f t="shared" si="325"/>
        <v>0</v>
      </c>
      <c r="AW278" s="134">
        <f t="shared" ca="1" si="325"/>
        <v>0</v>
      </c>
      <c r="BB278" s="135"/>
    </row>
    <row r="279" spans="1:54" s="21" customFormat="1" ht="18" customHeight="1">
      <c r="A279" s="784"/>
      <c r="B279" s="157"/>
      <c r="C279" s="793"/>
      <c r="D279" s="111" t="str">
        <f>D277</f>
        <v>STR</v>
      </c>
      <c r="E279" s="145" t="str">
        <f>E277</f>
        <v>RFQ-054</v>
      </c>
      <c r="F279" s="146" t="str">
        <f>F277</f>
        <v>N</v>
      </c>
      <c r="G279" s="160"/>
      <c r="H279" s="163" t="str">
        <f>H277</f>
        <v>Painting</v>
      </c>
      <c r="I279" s="145" t="str">
        <f>I277</f>
        <v>LD</v>
      </c>
      <c r="J279" s="146"/>
      <c r="K279" s="147"/>
      <c r="L279" s="147"/>
      <c r="M279" s="147">
        <v>1E-3</v>
      </c>
      <c r="N279" s="145"/>
      <c r="O279" s="145"/>
      <c r="P279" s="145"/>
      <c r="Q279" s="148" t="s">
        <v>368</v>
      </c>
      <c r="R279" s="148"/>
      <c r="S279" s="149"/>
      <c r="T279" s="149"/>
      <c r="U279" s="149"/>
      <c r="V279" s="149"/>
      <c r="W279" s="149"/>
      <c r="X279" s="149"/>
      <c r="Y279" s="149"/>
      <c r="Z279" s="149"/>
      <c r="AA279" s="149"/>
      <c r="AB279" s="149"/>
      <c r="AC279" s="799"/>
      <c r="AD279" s="116"/>
      <c r="AE279" s="805"/>
      <c r="AF279" s="808"/>
      <c r="AG279" s="811"/>
      <c r="AH279" s="117"/>
      <c r="AI279" s="118"/>
      <c r="AJ279" s="814"/>
      <c r="AK279" s="150"/>
      <c r="AL279" s="151"/>
      <c r="AM279" s="152">
        <f t="shared" ref="AM279:AW279" si="326">IF(ISERROR(LOOKUP(AM$6,$S279:$AB279,$S$9:$AB$9)),0,(LOOKUP(AM$6,$S279:$AB279,$S$9:$AB$9)))</f>
        <v>0</v>
      </c>
      <c r="AN279" s="153">
        <f t="shared" si="326"/>
        <v>0</v>
      </c>
      <c r="AO279" s="153">
        <f t="shared" si="326"/>
        <v>0</v>
      </c>
      <c r="AP279" s="153">
        <f t="shared" si="326"/>
        <v>0</v>
      </c>
      <c r="AQ279" s="153">
        <f t="shared" si="326"/>
        <v>0</v>
      </c>
      <c r="AR279" s="153">
        <f t="shared" si="326"/>
        <v>0</v>
      </c>
      <c r="AS279" s="153">
        <f t="shared" si="326"/>
        <v>0</v>
      </c>
      <c r="AT279" s="153">
        <f t="shared" si="326"/>
        <v>0</v>
      </c>
      <c r="AU279" s="153">
        <f t="shared" si="326"/>
        <v>0</v>
      </c>
      <c r="AV279" s="153">
        <f t="shared" si="326"/>
        <v>0</v>
      </c>
      <c r="AW279" s="153">
        <f t="shared" ca="1" si="326"/>
        <v>0</v>
      </c>
      <c r="BB279" s="135"/>
    </row>
    <row r="280" spans="1:54" s="21" customFormat="1" ht="18" customHeight="1">
      <c r="A280" s="782">
        <f>A277+1</f>
        <v>91</v>
      </c>
      <c r="B280" s="154" t="s">
        <v>5425</v>
      </c>
      <c r="C280" s="791" t="s">
        <v>5361</v>
      </c>
      <c r="D280" s="80" t="s">
        <v>5372</v>
      </c>
      <c r="E280" s="127" t="s">
        <v>5422</v>
      </c>
      <c r="F280" s="128" t="s">
        <v>73</v>
      </c>
      <c r="G280" s="158"/>
      <c r="H280" s="161" t="s">
        <v>5457</v>
      </c>
      <c r="I280" s="127" t="s">
        <v>9</v>
      </c>
      <c r="J280" s="128"/>
      <c r="K280" s="129">
        <f>M282</f>
        <v>1E-3</v>
      </c>
      <c r="L280" s="129"/>
      <c r="M280" s="129"/>
      <c r="N280" s="127"/>
      <c r="O280" s="127"/>
      <c r="P280" s="127"/>
      <c r="Q280" s="130" t="s">
        <v>5364</v>
      </c>
      <c r="R280" s="130"/>
      <c r="S280" s="155" t="e">
        <f>WORKDAY(T280,-INDEX(T$2:T$5,MATCH($I280,$I$2:$I$5,0)),'[38]Equipment List and MR List (3)'!$A$2:$A$80)</f>
        <v>#REF!</v>
      </c>
      <c r="T280" s="155" t="e">
        <f>WORKDAY(U280,-INDEX(U$2:U$5,MATCH($I280,$I$2:$I$5,0)),$BB$10:$BB$141)</f>
        <v>#REF!</v>
      </c>
      <c r="U280" s="155" t="e">
        <f>WORKDAY(V280,-INDEX(V$2:V$5,MATCH($I280,$I$2:$I$5,0)),$BB$10:$BB$141)</f>
        <v>#REF!</v>
      </c>
      <c r="V280" s="155" t="e">
        <f>WORKDAY(W280,-INDEX(W$2:W$5,MATCH($I280,$I$2:$I$5,0)),$BB$10:$BB$141)</f>
        <v>#REF!</v>
      </c>
      <c r="W280" s="155" t="e">
        <f>WORKDAY(#REF!,-INDEX(#REF!,MATCH($I280,$I$2:$I$5,0)),$BB$10:$BB$141)</f>
        <v>#REF!</v>
      </c>
      <c r="X280" s="155" t="e">
        <f>WORKDAY(Y280,-INDEX(Y$2:Y$5,MATCH($I280,$I$2:$I$5,0)),$BB$10:$BB$141)</f>
        <v>#REF!</v>
      </c>
      <c r="Y280" s="155" t="e">
        <f>WORKDAY(Z280,-INDEX(Z$2:Z$5,MATCH($I280,$I$2:$I$5,0)),$BB$10:$BB$141)</f>
        <v>#REF!</v>
      </c>
      <c r="Z280" s="155" t="e">
        <f>WORKDAY(AA280,-INDEX(AA$2:AA$5,MATCH($I280,$I$2:$I$5,0)),$BB$10:$BB$141)</f>
        <v>#REF!</v>
      </c>
      <c r="AA280" s="155" t="e">
        <f>WORKDAY(#REF!,-INDEX(#REF!,MATCH($I280,$I$2:$I$5,0)),$BB$10:$BB$141)</f>
        <v>#REF!</v>
      </c>
      <c r="AB280" s="155">
        <f>WORKDAY(AG280,0,'[38]Equipment List and MR List (3)'!$A$2:$A$80)</f>
        <v>0</v>
      </c>
      <c r="AC280" s="797" t="s">
        <v>5365</v>
      </c>
      <c r="AD280" s="87">
        <v>7</v>
      </c>
      <c r="AE280" s="803">
        <v>121</v>
      </c>
      <c r="AF280" s="806" t="e">
        <f>AB281</f>
        <v>#REF!</v>
      </c>
      <c r="AG280" s="809"/>
      <c r="AH280" s="88"/>
      <c r="AI280" s="89"/>
      <c r="AJ280" s="812" t="e">
        <f>AG280-AF280</f>
        <v>#REF!</v>
      </c>
      <c r="AK280" s="131"/>
      <c r="AL280" s="132"/>
      <c r="AM280" s="133">
        <f t="shared" ref="AM280:AW280" si="327">IF(ISERROR(LOOKUP(AM$6,$S280:$AB280,$S$9:$AB$9)),0,(LOOKUP(AM$6,$S280:$AB280,$S$9:$AB$9)))</f>
        <v>0.95</v>
      </c>
      <c r="AN280" s="134">
        <f t="shared" si="327"/>
        <v>0.95</v>
      </c>
      <c r="AO280" s="134">
        <f t="shared" si="327"/>
        <v>0.95</v>
      </c>
      <c r="AP280" s="134">
        <f t="shared" si="327"/>
        <v>0.95</v>
      </c>
      <c r="AQ280" s="134">
        <f t="shared" si="327"/>
        <v>0.95</v>
      </c>
      <c r="AR280" s="134">
        <f t="shared" si="327"/>
        <v>0.95</v>
      </c>
      <c r="AS280" s="134">
        <f t="shared" si="327"/>
        <v>0.95</v>
      </c>
      <c r="AT280" s="134">
        <f t="shared" si="327"/>
        <v>0.95</v>
      </c>
      <c r="AU280" s="134">
        <f t="shared" si="327"/>
        <v>0.95</v>
      </c>
      <c r="AV280" s="134">
        <f t="shared" si="327"/>
        <v>0.95</v>
      </c>
      <c r="AW280" s="134">
        <f t="shared" ca="1" si="327"/>
        <v>0.95</v>
      </c>
      <c r="BB280" s="135"/>
    </row>
    <row r="281" spans="1:54" s="21" customFormat="1" ht="18" customHeight="1">
      <c r="A281" s="783"/>
      <c r="B281" s="156"/>
      <c r="C281" s="792"/>
      <c r="D281" s="96" t="str">
        <f>D280</f>
        <v>PIP</v>
      </c>
      <c r="E281" s="136" t="str">
        <f>E280</f>
        <v>RFQ-054</v>
      </c>
      <c r="F281" s="137" t="str">
        <f>F280</f>
        <v>N</v>
      </c>
      <c r="G281" s="159"/>
      <c r="H281" s="162" t="str">
        <f>H280</f>
        <v>Fire fighting</v>
      </c>
      <c r="I281" s="136" t="str">
        <f>I280</f>
        <v>LD</v>
      </c>
      <c r="J281" s="137"/>
      <c r="K281" s="138"/>
      <c r="L281" s="138">
        <f>M282</f>
        <v>1E-3</v>
      </c>
      <c r="M281" s="138"/>
      <c r="N281" s="136"/>
      <c r="O281" s="136"/>
      <c r="P281" s="136"/>
      <c r="Q281" s="139" t="s">
        <v>5366</v>
      </c>
      <c r="R281" s="139"/>
      <c r="S281" s="140" t="e">
        <f>S280</f>
        <v>#REF!</v>
      </c>
      <c r="T281" s="141" t="e">
        <f>T280</f>
        <v>#REF!</v>
      </c>
      <c r="U281" s="141" t="e">
        <f>WORKDAY(IF(T282="",T281,T282),INDEX(U$2:U$5,MATCH($I280,$I$2:$I$5,0)),$BB$10:$BB$141)</f>
        <v>#REF!</v>
      </c>
      <c r="V281" s="141" t="e">
        <f>WORKDAY(IF(U282="",U281,U282),INDEX(V$2:V$5,MATCH($I280,$I$2:$I$5,0)),$BB$10:$BB$141)</f>
        <v>#REF!</v>
      </c>
      <c r="W281" s="141" t="e">
        <f>WORKDAY(IF(V282="",V281,V282),INDEX(W$2:W$5,MATCH($I280,$I$2:$I$5,0)),$BB$10:$BB$141)</f>
        <v>#REF!</v>
      </c>
      <c r="X281" s="141" t="e">
        <f>WORKDAY(IF(#REF!="",#REF!,#REF!),INDEX(X$2:X$5,MATCH($I280,$I$2:$I$5,0)),$BB$10:$BB$141)</f>
        <v>#REF!</v>
      </c>
      <c r="Y281" s="141" t="e">
        <f>WORKDAY(IF(X282="",X281,X282),INDEX(Y$2:Y$5,MATCH($I280,$I$2:$I$5,0)),$BB$10:$BB$141)</f>
        <v>#REF!</v>
      </c>
      <c r="Z281" s="141" t="e">
        <f>WORKDAY(IF(Y282="",Y281,Y282),INDEX(Z$2:Z$5,MATCH($I280,$I$2:$I$5,0)),$BB$10:$BB$141)</f>
        <v>#REF!</v>
      </c>
      <c r="AA281" s="141" t="e">
        <f>WORKDAY(IF(Z282="",Z281,Z282),INDEX(AA$2:AA$5,MATCH($I280,$I$2:$I$5,0)),$BB$10:$BB$141)</f>
        <v>#REF!</v>
      </c>
      <c r="AB281" s="142" t="e">
        <f>AE280+#REF!</f>
        <v>#REF!</v>
      </c>
      <c r="AC281" s="798"/>
      <c r="AD281" s="105"/>
      <c r="AE281" s="804"/>
      <c r="AF281" s="807"/>
      <c r="AG281" s="810"/>
      <c r="AH281" s="106"/>
      <c r="AI281" s="107"/>
      <c r="AJ281" s="813"/>
      <c r="AK281" s="143"/>
      <c r="AL281" s="144"/>
      <c r="AM281" s="133">
        <f t="shared" ref="AM281:AW281" si="328">IF(ISERROR(LOOKUP(AM$6,$S281:$AB281,$S$9:$AB$9)),0,(LOOKUP(AM$6,$S281:$AB281,$S$9:$AB$9)))</f>
        <v>0</v>
      </c>
      <c r="AN281" s="134">
        <f t="shared" si="328"/>
        <v>0</v>
      </c>
      <c r="AO281" s="134">
        <f t="shared" si="328"/>
        <v>0</v>
      </c>
      <c r="AP281" s="134">
        <f t="shared" si="328"/>
        <v>0</v>
      </c>
      <c r="AQ281" s="134">
        <f t="shared" si="328"/>
        <v>0</v>
      </c>
      <c r="AR281" s="134">
        <f t="shared" si="328"/>
        <v>0</v>
      </c>
      <c r="AS281" s="134">
        <f t="shared" si="328"/>
        <v>0</v>
      </c>
      <c r="AT281" s="134">
        <f t="shared" si="328"/>
        <v>0</v>
      </c>
      <c r="AU281" s="134">
        <f t="shared" si="328"/>
        <v>0</v>
      </c>
      <c r="AV281" s="134">
        <f t="shared" si="328"/>
        <v>0</v>
      </c>
      <c r="AW281" s="134">
        <f t="shared" ca="1" si="328"/>
        <v>0</v>
      </c>
      <c r="BB281" s="135"/>
    </row>
    <row r="282" spans="1:54" s="21" customFormat="1" ht="18" customHeight="1">
      <c r="A282" s="784"/>
      <c r="B282" s="157"/>
      <c r="C282" s="793"/>
      <c r="D282" s="111" t="str">
        <f>D280</f>
        <v>PIP</v>
      </c>
      <c r="E282" s="145" t="str">
        <f>E280</f>
        <v>RFQ-054</v>
      </c>
      <c r="F282" s="146" t="str">
        <f>F280</f>
        <v>N</v>
      </c>
      <c r="G282" s="160"/>
      <c r="H282" s="163" t="str">
        <f>H280</f>
        <v>Fire fighting</v>
      </c>
      <c r="I282" s="145" t="str">
        <f>I280</f>
        <v>LD</v>
      </c>
      <c r="J282" s="146"/>
      <c r="K282" s="147"/>
      <c r="L282" s="147"/>
      <c r="M282" s="147">
        <v>1E-3</v>
      </c>
      <c r="N282" s="145"/>
      <c r="O282" s="145"/>
      <c r="P282" s="145"/>
      <c r="Q282" s="148" t="s">
        <v>368</v>
      </c>
      <c r="R282" s="148"/>
      <c r="S282" s="149"/>
      <c r="T282" s="149"/>
      <c r="U282" s="149"/>
      <c r="V282" s="149"/>
      <c r="W282" s="149"/>
      <c r="X282" s="149"/>
      <c r="Y282" s="149"/>
      <c r="Z282" s="149"/>
      <c r="AA282" s="149"/>
      <c r="AB282" s="149"/>
      <c r="AC282" s="799"/>
      <c r="AD282" s="116"/>
      <c r="AE282" s="805"/>
      <c r="AF282" s="808"/>
      <c r="AG282" s="811"/>
      <c r="AH282" s="117"/>
      <c r="AI282" s="118"/>
      <c r="AJ282" s="814"/>
      <c r="AK282" s="150"/>
      <c r="AL282" s="151"/>
      <c r="AM282" s="152">
        <f t="shared" ref="AM282:AW282" si="329">IF(ISERROR(LOOKUP(AM$6,$S282:$AB282,$S$9:$AB$9)),0,(LOOKUP(AM$6,$S282:$AB282,$S$9:$AB$9)))</f>
        <v>0</v>
      </c>
      <c r="AN282" s="153">
        <f t="shared" si="329"/>
        <v>0</v>
      </c>
      <c r="AO282" s="153">
        <f t="shared" si="329"/>
        <v>0</v>
      </c>
      <c r="AP282" s="153">
        <f t="shared" si="329"/>
        <v>0</v>
      </c>
      <c r="AQ282" s="153">
        <f t="shared" si="329"/>
        <v>0</v>
      </c>
      <c r="AR282" s="153">
        <f t="shared" si="329"/>
        <v>0</v>
      </c>
      <c r="AS282" s="153">
        <f t="shared" si="329"/>
        <v>0</v>
      </c>
      <c r="AT282" s="153">
        <f t="shared" si="329"/>
        <v>0</v>
      </c>
      <c r="AU282" s="153">
        <f t="shared" si="329"/>
        <v>0</v>
      </c>
      <c r="AV282" s="153">
        <f t="shared" si="329"/>
        <v>0</v>
      </c>
      <c r="AW282" s="153">
        <f t="shared" ca="1" si="329"/>
        <v>0</v>
      </c>
      <c r="BB282" s="135"/>
    </row>
    <row r="283" spans="1:54" s="21" customFormat="1" ht="18" customHeight="1">
      <c r="A283" s="782">
        <f>A280+1</f>
        <v>92</v>
      </c>
      <c r="B283" s="154" t="s">
        <v>5425</v>
      </c>
      <c r="C283" s="791" t="s">
        <v>5361</v>
      </c>
      <c r="D283" s="80" t="s">
        <v>5372</v>
      </c>
      <c r="E283" s="127" t="s">
        <v>5422</v>
      </c>
      <c r="F283" s="128" t="s">
        <v>73</v>
      </c>
      <c r="G283" s="158"/>
      <c r="H283" s="161" t="s">
        <v>5458</v>
      </c>
      <c r="I283" s="127" t="s">
        <v>9</v>
      </c>
      <c r="J283" s="128"/>
      <c r="K283" s="129">
        <f>M285</f>
        <v>1E-3</v>
      </c>
      <c r="L283" s="129"/>
      <c r="M283" s="129"/>
      <c r="N283" s="127"/>
      <c r="O283" s="127"/>
      <c r="P283" s="127"/>
      <c r="Q283" s="130" t="s">
        <v>5364</v>
      </c>
      <c r="R283" s="130"/>
      <c r="S283" s="155" t="e">
        <f>WORKDAY(T283,-INDEX(T$2:T$5,MATCH($I283,$I$2:$I$5,0)),'[38]Equipment List and MR List (3)'!$A$2:$A$80)</f>
        <v>#REF!</v>
      </c>
      <c r="T283" s="155" t="e">
        <f>WORKDAY(U283,-INDEX(U$2:U$5,MATCH($I283,$I$2:$I$5,0)),$BB$10:$BB$141)</f>
        <v>#REF!</v>
      </c>
      <c r="U283" s="155" t="e">
        <f>WORKDAY(V283,-INDEX(V$2:V$5,MATCH($I283,$I$2:$I$5,0)),$BB$10:$BB$141)</f>
        <v>#REF!</v>
      </c>
      <c r="V283" s="155" t="e">
        <f>WORKDAY(W283,-INDEX(W$2:W$5,MATCH($I283,$I$2:$I$5,0)),$BB$10:$BB$141)</f>
        <v>#REF!</v>
      </c>
      <c r="W283" s="155" t="e">
        <f>WORKDAY(#REF!,-INDEX(#REF!,MATCH($I283,$I$2:$I$5,0)),$BB$10:$BB$141)</f>
        <v>#REF!</v>
      </c>
      <c r="X283" s="155" t="e">
        <f>WORKDAY(Y283,-INDEX(Y$2:Y$5,MATCH($I283,$I$2:$I$5,0)),$BB$10:$BB$141)</f>
        <v>#REF!</v>
      </c>
      <c r="Y283" s="155" t="e">
        <f>WORKDAY(Z283,-INDEX(Z$2:Z$5,MATCH($I283,$I$2:$I$5,0)),$BB$10:$BB$141)</f>
        <v>#REF!</v>
      </c>
      <c r="Z283" s="155" t="e">
        <f>WORKDAY(AA283,-INDEX(AA$2:AA$5,MATCH($I283,$I$2:$I$5,0)),$BB$10:$BB$141)</f>
        <v>#REF!</v>
      </c>
      <c r="AA283" s="155" t="e">
        <f>WORKDAY(#REF!,-INDEX(#REF!,MATCH($I283,$I$2:$I$5,0)),$BB$10:$BB$141)</f>
        <v>#REF!</v>
      </c>
      <c r="AB283" s="155">
        <f>WORKDAY(AG283,0,'[38]Equipment List and MR List (3)'!$A$2:$A$80)</f>
        <v>0</v>
      </c>
      <c r="AC283" s="797" t="s">
        <v>5365</v>
      </c>
      <c r="AD283" s="87">
        <v>7</v>
      </c>
      <c r="AE283" s="803">
        <v>121</v>
      </c>
      <c r="AF283" s="806" t="e">
        <f>AB284</f>
        <v>#REF!</v>
      </c>
      <c r="AG283" s="809"/>
      <c r="AH283" s="88"/>
      <c r="AI283" s="89"/>
      <c r="AJ283" s="812" t="e">
        <f>AG283-AF283</f>
        <v>#REF!</v>
      </c>
      <c r="AK283" s="131"/>
      <c r="AL283" s="132"/>
      <c r="AM283" s="133">
        <f t="shared" ref="AM283:AW283" si="330">IF(ISERROR(LOOKUP(AM$6,$S283:$AB283,$S$9:$AB$9)),0,(LOOKUP(AM$6,$S283:$AB283,$S$9:$AB$9)))</f>
        <v>0.95</v>
      </c>
      <c r="AN283" s="134">
        <f t="shared" si="330"/>
        <v>0.95</v>
      </c>
      <c r="AO283" s="134">
        <f t="shared" si="330"/>
        <v>0.95</v>
      </c>
      <c r="AP283" s="134">
        <f t="shared" si="330"/>
        <v>0.95</v>
      </c>
      <c r="AQ283" s="134">
        <f t="shared" si="330"/>
        <v>0.95</v>
      </c>
      <c r="AR283" s="134">
        <f t="shared" si="330"/>
        <v>0.95</v>
      </c>
      <c r="AS283" s="134">
        <f t="shared" si="330"/>
        <v>0.95</v>
      </c>
      <c r="AT283" s="134">
        <f t="shared" si="330"/>
        <v>0.95</v>
      </c>
      <c r="AU283" s="134">
        <f t="shared" si="330"/>
        <v>0.95</v>
      </c>
      <c r="AV283" s="134">
        <f t="shared" si="330"/>
        <v>0.95</v>
      </c>
      <c r="AW283" s="134">
        <f t="shared" ca="1" si="330"/>
        <v>0.95</v>
      </c>
      <c r="BB283" s="135"/>
    </row>
    <row r="284" spans="1:54" s="21" customFormat="1" ht="18" customHeight="1">
      <c r="A284" s="783"/>
      <c r="B284" s="156"/>
      <c r="C284" s="792"/>
      <c r="D284" s="96" t="str">
        <f>D283</f>
        <v>PIP</v>
      </c>
      <c r="E284" s="136" t="str">
        <f>E283</f>
        <v>RFQ-054</v>
      </c>
      <c r="F284" s="137" t="str">
        <f>F283</f>
        <v>N</v>
      </c>
      <c r="G284" s="159"/>
      <c r="H284" s="162" t="str">
        <f>H283</f>
        <v>Life saving</v>
      </c>
      <c r="I284" s="136" t="str">
        <f>I283</f>
        <v>LD</v>
      </c>
      <c r="J284" s="137"/>
      <c r="K284" s="138"/>
      <c r="L284" s="138">
        <f>M285</f>
        <v>1E-3</v>
      </c>
      <c r="M284" s="138"/>
      <c r="N284" s="136"/>
      <c r="O284" s="136"/>
      <c r="P284" s="136"/>
      <c r="Q284" s="139" t="s">
        <v>5366</v>
      </c>
      <c r="R284" s="139"/>
      <c r="S284" s="140" t="e">
        <f>S283</f>
        <v>#REF!</v>
      </c>
      <c r="T284" s="141" t="e">
        <f>T283</f>
        <v>#REF!</v>
      </c>
      <c r="U284" s="141" t="e">
        <f>WORKDAY(IF(T285="",T284,T285),INDEX(U$2:U$5,MATCH($I283,$I$2:$I$5,0)),$BB$10:$BB$141)</f>
        <v>#REF!</v>
      </c>
      <c r="V284" s="141" t="e">
        <f>WORKDAY(IF(U285="",U284,U285),INDEX(V$2:V$5,MATCH($I283,$I$2:$I$5,0)),$BB$10:$BB$141)</f>
        <v>#REF!</v>
      </c>
      <c r="W284" s="141" t="e">
        <f>WORKDAY(IF(V285="",V284,V285),INDEX(W$2:W$5,MATCH($I283,$I$2:$I$5,0)),$BB$10:$BB$141)</f>
        <v>#REF!</v>
      </c>
      <c r="X284" s="141" t="e">
        <f>WORKDAY(IF(#REF!="",#REF!,#REF!),INDEX(X$2:X$5,MATCH($I283,$I$2:$I$5,0)),$BB$10:$BB$141)</f>
        <v>#REF!</v>
      </c>
      <c r="Y284" s="141" t="e">
        <f>WORKDAY(IF(X285="",X284,X285),INDEX(Y$2:Y$5,MATCH($I283,$I$2:$I$5,0)),$BB$10:$BB$141)</f>
        <v>#REF!</v>
      </c>
      <c r="Z284" s="141" t="e">
        <f>WORKDAY(IF(Y285="",Y284,Y285),INDEX(Z$2:Z$5,MATCH($I283,$I$2:$I$5,0)),$BB$10:$BB$141)</f>
        <v>#REF!</v>
      </c>
      <c r="AA284" s="141" t="e">
        <f>WORKDAY(IF(Z285="",Z284,Z285),INDEX(AA$2:AA$5,MATCH($I283,$I$2:$I$5,0)),$BB$10:$BB$141)</f>
        <v>#REF!</v>
      </c>
      <c r="AB284" s="142" t="e">
        <f>AE283+#REF!</f>
        <v>#REF!</v>
      </c>
      <c r="AC284" s="798"/>
      <c r="AD284" s="105"/>
      <c r="AE284" s="804"/>
      <c r="AF284" s="807"/>
      <c r="AG284" s="810"/>
      <c r="AH284" s="106"/>
      <c r="AI284" s="107"/>
      <c r="AJ284" s="813"/>
      <c r="AK284" s="143"/>
      <c r="AL284" s="144"/>
      <c r="AM284" s="133">
        <f t="shared" ref="AM284:AW284" si="331">IF(ISERROR(LOOKUP(AM$6,$S284:$AB284,$S$9:$AB$9)),0,(LOOKUP(AM$6,$S284:$AB284,$S$9:$AB$9)))</f>
        <v>0</v>
      </c>
      <c r="AN284" s="134">
        <f t="shared" si="331"/>
        <v>0</v>
      </c>
      <c r="AO284" s="134">
        <f t="shared" si="331"/>
        <v>0</v>
      </c>
      <c r="AP284" s="134">
        <f t="shared" si="331"/>
        <v>0</v>
      </c>
      <c r="AQ284" s="134">
        <f t="shared" si="331"/>
        <v>0</v>
      </c>
      <c r="AR284" s="134">
        <f t="shared" si="331"/>
        <v>0</v>
      </c>
      <c r="AS284" s="134">
        <f t="shared" si="331"/>
        <v>0</v>
      </c>
      <c r="AT284" s="134">
        <f t="shared" si="331"/>
        <v>0</v>
      </c>
      <c r="AU284" s="134">
        <f t="shared" si="331"/>
        <v>0</v>
      </c>
      <c r="AV284" s="134">
        <f t="shared" si="331"/>
        <v>0</v>
      </c>
      <c r="AW284" s="134">
        <f t="shared" ca="1" si="331"/>
        <v>0</v>
      </c>
      <c r="BB284" s="135"/>
    </row>
    <row r="285" spans="1:54" s="21" customFormat="1" ht="18" customHeight="1">
      <c r="A285" s="784"/>
      <c r="B285" s="157"/>
      <c r="C285" s="793"/>
      <c r="D285" s="111" t="str">
        <f>D283</f>
        <v>PIP</v>
      </c>
      <c r="E285" s="145" t="str">
        <f>E283</f>
        <v>RFQ-054</v>
      </c>
      <c r="F285" s="146" t="str">
        <f>F283</f>
        <v>N</v>
      </c>
      <c r="G285" s="160"/>
      <c r="H285" s="163" t="str">
        <f>H283</f>
        <v>Life saving</v>
      </c>
      <c r="I285" s="145" t="str">
        <f>I283</f>
        <v>LD</v>
      </c>
      <c r="J285" s="146"/>
      <c r="K285" s="147"/>
      <c r="L285" s="147"/>
      <c r="M285" s="147">
        <v>1E-3</v>
      </c>
      <c r="N285" s="145"/>
      <c r="O285" s="145"/>
      <c r="P285" s="145"/>
      <c r="Q285" s="148" t="s">
        <v>368</v>
      </c>
      <c r="R285" s="148"/>
      <c r="S285" s="149"/>
      <c r="T285" s="149"/>
      <c r="U285" s="149"/>
      <c r="V285" s="149"/>
      <c r="W285" s="149"/>
      <c r="X285" s="149"/>
      <c r="Y285" s="149"/>
      <c r="Z285" s="149"/>
      <c r="AA285" s="149"/>
      <c r="AB285" s="149"/>
      <c r="AC285" s="799"/>
      <c r="AD285" s="116"/>
      <c r="AE285" s="805"/>
      <c r="AF285" s="808"/>
      <c r="AG285" s="811"/>
      <c r="AH285" s="117"/>
      <c r="AI285" s="118"/>
      <c r="AJ285" s="814"/>
      <c r="AK285" s="150"/>
      <c r="AL285" s="151"/>
      <c r="AM285" s="152">
        <f t="shared" ref="AM285:AW285" si="332">IF(ISERROR(LOOKUP(AM$6,$S285:$AB285,$S$9:$AB$9)),0,(LOOKUP(AM$6,$S285:$AB285,$S$9:$AB$9)))</f>
        <v>0</v>
      </c>
      <c r="AN285" s="153">
        <f t="shared" si="332"/>
        <v>0</v>
      </c>
      <c r="AO285" s="153">
        <f t="shared" si="332"/>
        <v>0</v>
      </c>
      <c r="AP285" s="153">
        <f t="shared" si="332"/>
        <v>0</v>
      </c>
      <c r="AQ285" s="153">
        <f t="shared" si="332"/>
        <v>0</v>
      </c>
      <c r="AR285" s="153">
        <f t="shared" si="332"/>
        <v>0</v>
      </c>
      <c r="AS285" s="153">
        <f t="shared" si="332"/>
        <v>0</v>
      </c>
      <c r="AT285" s="153">
        <f t="shared" si="332"/>
        <v>0</v>
      </c>
      <c r="AU285" s="153">
        <f t="shared" si="332"/>
        <v>0</v>
      </c>
      <c r="AV285" s="153">
        <f t="shared" si="332"/>
        <v>0</v>
      </c>
      <c r="AW285" s="153">
        <f t="shared" ca="1" si="332"/>
        <v>0</v>
      </c>
      <c r="BB285" s="135"/>
    </row>
    <row r="286" spans="1:54" s="21" customFormat="1" ht="18" customHeight="1">
      <c r="A286" s="782">
        <f>A283+1</f>
        <v>93</v>
      </c>
      <c r="B286" s="154" t="s">
        <v>5425</v>
      </c>
      <c r="C286" s="791" t="s">
        <v>5361</v>
      </c>
      <c r="D286" s="80" t="s">
        <v>5372</v>
      </c>
      <c r="E286" s="127" t="s">
        <v>5422</v>
      </c>
      <c r="F286" s="128" t="s">
        <v>73</v>
      </c>
      <c r="G286" s="158"/>
      <c r="H286" s="161" t="s">
        <v>312</v>
      </c>
      <c r="I286" s="127" t="s">
        <v>9</v>
      </c>
      <c r="J286" s="128"/>
      <c r="K286" s="129">
        <f>M288</f>
        <v>1E-3</v>
      </c>
      <c r="L286" s="129"/>
      <c r="M286" s="129"/>
      <c r="N286" s="127"/>
      <c r="O286" s="127"/>
      <c r="P286" s="127"/>
      <c r="Q286" s="130" t="s">
        <v>5364</v>
      </c>
      <c r="R286" s="130"/>
      <c r="S286" s="155" t="e">
        <f>WORKDAY(T286,-INDEX(T$2:T$5,MATCH($I286,$I$2:$I$5,0)),'[38]Equipment List and MR List (3)'!$A$2:$A$80)</f>
        <v>#REF!</v>
      </c>
      <c r="T286" s="155" t="e">
        <f>WORKDAY(U286,-INDEX(U$2:U$5,MATCH($I286,$I$2:$I$5,0)),$BB$10:$BB$141)</f>
        <v>#REF!</v>
      </c>
      <c r="U286" s="155" t="e">
        <f>WORKDAY(V286,-INDEX(V$2:V$5,MATCH($I286,$I$2:$I$5,0)),$BB$10:$BB$141)</f>
        <v>#REF!</v>
      </c>
      <c r="V286" s="155" t="e">
        <f>WORKDAY(W286,-INDEX(W$2:W$5,MATCH($I286,$I$2:$I$5,0)),$BB$10:$BB$141)</f>
        <v>#REF!</v>
      </c>
      <c r="W286" s="155" t="e">
        <f>WORKDAY(#REF!,-INDEX(#REF!,MATCH($I286,$I$2:$I$5,0)),$BB$10:$BB$141)</f>
        <v>#REF!</v>
      </c>
      <c r="X286" s="155" t="e">
        <f>WORKDAY(Y286,-INDEX(Y$2:Y$5,MATCH($I286,$I$2:$I$5,0)),$BB$10:$BB$141)</f>
        <v>#REF!</v>
      </c>
      <c r="Y286" s="155" t="e">
        <f>WORKDAY(Z286,-INDEX(Z$2:Z$5,MATCH($I286,$I$2:$I$5,0)),$BB$10:$BB$141)</f>
        <v>#REF!</v>
      </c>
      <c r="Z286" s="155" t="e">
        <f>WORKDAY(AA286,-INDEX(AA$2:AA$5,MATCH($I286,$I$2:$I$5,0)),$BB$10:$BB$141)</f>
        <v>#REF!</v>
      </c>
      <c r="AA286" s="155" t="e">
        <f>WORKDAY(#REF!,-INDEX(#REF!,MATCH($I286,$I$2:$I$5,0)),$BB$10:$BB$141)</f>
        <v>#REF!</v>
      </c>
      <c r="AB286" s="155">
        <f>WORKDAY(AG286,0,'[38]Equipment List and MR List (3)'!$A$2:$A$80)</f>
        <v>0</v>
      </c>
      <c r="AC286" s="797" t="s">
        <v>5365</v>
      </c>
      <c r="AD286" s="87">
        <v>7</v>
      </c>
      <c r="AE286" s="803">
        <v>121</v>
      </c>
      <c r="AF286" s="806" t="e">
        <f>AB287</f>
        <v>#REF!</v>
      </c>
      <c r="AG286" s="809"/>
      <c r="AH286" s="88"/>
      <c r="AI286" s="89"/>
      <c r="AJ286" s="812" t="e">
        <f>AG286-AF286</f>
        <v>#REF!</v>
      </c>
      <c r="AK286" s="131"/>
      <c r="AL286" s="132"/>
      <c r="AM286" s="133">
        <f t="shared" ref="AM286:AW286" si="333">IF(ISERROR(LOOKUP(AM$6,$S286:$AB286,$S$9:$AB$9)),0,(LOOKUP(AM$6,$S286:$AB286,$S$9:$AB$9)))</f>
        <v>0.95</v>
      </c>
      <c r="AN286" s="134">
        <f t="shared" si="333"/>
        <v>0.95</v>
      </c>
      <c r="AO286" s="134">
        <f t="shared" si="333"/>
        <v>0.95</v>
      </c>
      <c r="AP286" s="134">
        <f t="shared" si="333"/>
        <v>0.95</v>
      </c>
      <c r="AQ286" s="134">
        <f t="shared" si="333"/>
        <v>0.95</v>
      </c>
      <c r="AR286" s="134">
        <f t="shared" si="333"/>
        <v>0.95</v>
      </c>
      <c r="AS286" s="134">
        <f t="shared" si="333"/>
        <v>0.95</v>
      </c>
      <c r="AT286" s="134">
        <f t="shared" si="333"/>
        <v>0.95</v>
      </c>
      <c r="AU286" s="134">
        <f t="shared" si="333"/>
        <v>0.95</v>
      </c>
      <c r="AV286" s="134">
        <f t="shared" si="333"/>
        <v>0.95</v>
      </c>
      <c r="AW286" s="134">
        <f t="shared" ca="1" si="333"/>
        <v>0.95</v>
      </c>
      <c r="BB286" s="135"/>
    </row>
    <row r="287" spans="1:54" s="21" customFormat="1" ht="18" customHeight="1">
      <c r="A287" s="783"/>
      <c r="B287" s="156"/>
      <c r="C287" s="792"/>
      <c r="D287" s="96" t="str">
        <f>D286</f>
        <v>PIP</v>
      </c>
      <c r="E287" s="136" t="str">
        <f>E286</f>
        <v>RFQ-054</v>
      </c>
      <c r="F287" s="137" t="str">
        <f>F286</f>
        <v>N</v>
      </c>
      <c r="G287" s="159"/>
      <c r="H287" s="162" t="str">
        <f>H286</f>
        <v>SAFETY SIGNS</v>
      </c>
      <c r="I287" s="136" t="str">
        <f>I286</f>
        <v>LD</v>
      </c>
      <c r="J287" s="137"/>
      <c r="K287" s="138"/>
      <c r="L287" s="138">
        <f>M288</f>
        <v>1E-3</v>
      </c>
      <c r="M287" s="138"/>
      <c r="N287" s="136"/>
      <c r="O287" s="136"/>
      <c r="P287" s="136"/>
      <c r="Q287" s="139" t="s">
        <v>5366</v>
      </c>
      <c r="R287" s="139"/>
      <c r="S287" s="140" t="e">
        <f>S286</f>
        <v>#REF!</v>
      </c>
      <c r="T287" s="141" t="e">
        <f>T286</f>
        <v>#REF!</v>
      </c>
      <c r="U287" s="141" t="e">
        <f>WORKDAY(IF(T288="",T287,T288),INDEX(U$2:U$5,MATCH($I286,$I$2:$I$5,0)),$BB$10:$BB$141)</f>
        <v>#REF!</v>
      </c>
      <c r="V287" s="141" t="e">
        <f>WORKDAY(IF(U288="",U287,U288),INDEX(V$2:V$5,MATCH($I286,$I$2:$I$5,0)),$BB$10:$BB$141)</f>
        <v>#REF!</v>
      </c>
      <c r="W287" s="141" t="e">
        <f>WORKDAY(IF(V288="",V287,V288),INDEX(W$2:W$5,MATCH($I286,$I$2:$I$5,0)),$BB$10:$BB$141)</f>
        <v>#REF!</v>
      </c>
      <c r="X287" s="141" t="e">
        <f>WORKDAY(IF(#REF!="",#REF!,#REF!),INDEX(X$2:X$5,MATCH($I286,$I$2:$I$5,0)),$BB$10:$BB$141)</f>
        <v>#REF!</v>
      </c>
      <c r="Y287" s="141" t="e">
        <f>WORKDAY(IF(X288="",X287,X288),INDEX(Y$2:Y$5,MATCH($I286,$I$2:$I$5,0)),$BB$10:$BB$141)</f>
        <v>#REF!</v>
      </c>
      <c r="Z287" s="141" t="e">
        <f>WORKDAY(IF(Y288="",Y287,Y288),INDEX(Z$2:Z$5,MATCH($I286,$I$2:$I$5,0)),$BB$10:$BB$141)</f>
        <v>#REF!</v>
      </c>
      <c r="AA287" s="141" t="e">
        <f>WORKDAY(IF(Z288="",Z287,Z288),INDEX(AA$2:AA$5,MATCH($I286,$I$2:$I$5,0)),$BB$10:$BB$141)</f>
        <v>#REF!</v>
      </c>
      <c r="AB287" s="142" t="e">
        <f>AE286+#REF!</f>
        <v>#REF!</v>
      </c>
      <c r="AC287" s="798"/>
      <c r="AD287" s="105"/>
      <c r="AE287" s="804"/>
      <c r="AF287" s="807"/>
      <c r="AG287" s="810"/>
      <c r="AH287" s="106"/>
      <c r="AI287" s="107"/>
      <c r="AJ287" s="813"/>
      <c r="AK287" s="143"/>
      <c r="AL287" s="144"/>
      <c r="AM287" s="133">
        <f t="shared" ref="AM287:AW287" si="334">IF(ISERROR(LOOKUP(AM$6,$S287:$AB287,$S$9:$AB$9)),0,(LOOKUP(AM$6,$S287:$AB287,$S$9:$AB$9)))</f>
        <v>0</v>
      </c>
      <c r="AN287" s="134">
        <f t="shared" si="334"/>
        <v>0</v>
      </c>
      <c r="AO287" s="134">
        <f t="shared" si="334"/>
        <v>0</v>
      </c>
      <c r="AP287" s="134">
        <f t="shared" si="334"/>
        <v>0</v>
      </c>
      <c r="AQ287" s="134">
        <f t="shared" si="334"/>
        <v>0</v>
      </c>
      <c r="AR287" s="134">
        <f t="shared" si="334"/>
        <v>0</v>
      </c>
      <c r="AS287" s="134">
        <f t="shared" si="334"/>
        <v>0</v>
      </c>
      <c r="AT287" s="134">
        <f t="shared" si="334"/>
        <v>0</v>
      </c>
      <c r="AU287" s="134">
        <f t="shared" si="334"/>
        <v>0</v>
      </c>
      <c r="AV287" s="134">
        <f t="shared" si="334"/>
        <v>0</v>
      </c>
      <c r="AW287" s="134">
        <f t="shared" ca="1" si="334"/>
        <v>0</v>
      </c>
      <c r="BB287" s="135"/>
    </row>
    <row r="288" spans="1:54" s="21" customFormat="1" ht="18" customHeight="1">
      <c r="A288" s="784"/>
      <c r="B288" s="157"/>
      <c r="C288" s="793"/>
      <c r="D288" s="111" t="str">
        <f>D286</f>
        <v>PIP</v>
      </c>
      <c r="E288" s="145" t="str">
        <f>E286</f>
        <v>RFQ-054</v>
      </c>
      <c r="F288" s="146" t="str">
        <f>F286</f>
        <v>N</v>
      </c>
      <c r="G288" s="160"/>
      <c r="H288" s="163" t="str">
        <f>H286</f>
        <v>SAFETY SIGNS</v>
      </c>
      <c r="I288" s="145" t="str">
        <f>I286</f>
        <v>LD</v>
      </c>
      <c r="J288" s="146"/>
      <c r="K288" s="147"/>
      <c r="L288" s="147"/>
      <c r="M288" s="147">
        <v>1E-3</v>
      </c>
      <c r="N288" s="145"/>
      <c r="O288" s="145"/>
      <c r="P288" s="145"/>
      <c r="Q288" s="148" t="s">
        <v>368</v>
      </c>
      <c r="R288" s="148"/>
      <c r="S288" s="149"/>
      <c r="T288" s="149"/>
      <c r="U288" s="149"/>
      <c r="V288" s="149"/>
      <c r="W288" s="149"/>
      <c r="X288" s="149"/>
      <c r="Y288" s="149"/>
      <c r="Z288" s="149"/>
      <c r="AA288" s="149"/>
      <c r="AB288" s="149"/>
      <c r="AC288" s="799"/>
      <c r="AD288" s="116"/>
      <c r="AE288" s="805"/>
      <c r="AF288" s="808"/>
      <c r="AG288" s="811"/>
      <c r="AH288" s="117"/>
      <c r="AI288" s="118"/>
      <c r="AJ288" s="814"/>
      <c r="AK288" s="150"/>
      <c r="AL288" s="151"/>
      <c r="AM288" s="152">
        <f t="shared" ref="AM288:AW288" si="335">IF(ISERROR(LOOKUP(AM$6,$S288:$AB288,$S$9:$AB$9)),0,(LOOKUP(AM$6,$S288:$AB288,$S$9:$AB$9)))</f>
        <v>0</v>
      </c>
      <c r="AN288" s="153">
        <f t="shared" si="335"/>
        <v>0</v>
      </c>
      <c r="AO288" s="153">
        <f t="shared" si="335"/>
        <v>0</v>
      </c>
      <c r="AP288" s="153">
        <f t="shared" si="335"/>
        <v>0</v>
      </c>
      <c r="AQ288" s="153">
        <f t="shared" si="335"/>
        <v>0</v>
      </c>
      <c r="AR288" s="153">
        <f t="shared" si="335"/>
        <v>0</v>
      </c>
      <c r="AS288" s="153">
        <f t="shared" si="335"/>
        <v>0</v>
      </c>
      <c r="AT288" s="153">
        <f t="shared" si="335"/>
        <v>0</v>
      </c>
      <c r="AU288" s="153">
        <f t="shared" si="335"/>
        <v>0</v>
      </c>
      <c r="AV288" s="153">
        <f t="shared" si="335"/>
        <v>0</v>
      </c>
      <c r="AW288" s="153">
        <f t="shared" ca="1" si="335"/>
        <v>0</v>
      </c>
      <c r="BB288" s="135"/>
    </row>
    <row r="289" spans="1:54" s="21" customFormat="1" ht="18" customHeight="1">
      <c r="A289" s="782">
        <f>A286+1</f>
        <v>94</v>
      </c>
      <c r="B289" s="154" t="s">
        <v>5425</v>
      </c>
      <c r="C289" s="791" t="s">
        <v>5361</v>
      </c>
      <c r="D289" s="80" t="s">
        <v>5421</v>
      </c>
      <c r="E289" s="127" t="s">
        <v>5422</v>
      </c>
      <c r="F289" s="128" t="s">
        <v>73</v>
      </c>
      <c r="G289" s="158"/>
      <c r="H289" s="82" t="s">
        <v>5459</v>
      </c>
      <c r="I289" s="127" t="s">
        <v>9</v>
      </c>
      <c r="J289" s="128"/>
      <c r="K289" s="129">
        <f>M291</f>
        <v>1E-3</v>
      </c>
      <c r="L289" s="129"/>
      <c r="M289" s="129"/>
      <c r="N289" s="127"/>
      <c r="O289" s="127"/>
      <c r="P289" s="127"/>
      <c r="Q289" s="130" t="s">
        <v>5364</v>
      </c>
      <c r="R289" s="130"/>
      <c r="S289" s="155" t="e">
        <f>WORKDAY(T289,-INDEX(T$2:T$5,MATCH($I289,$I$2:$I$5,0)),'[38]Equipment List and MR List (3)'!$A$2:$A$80)</f>
        <v>#REF!</v>
      </c>
      <c r="T289" s="155" t="e">
        <f>WORKDAY(U289,-INDEX(U$2:U$5,MATCH($I289,$I$2:$I$5,0)),$BB$10:$BB$141)</f>
        <v>#REF!</v>
      </c>
      <c r="U289" s="155" t="e">
        <f>WORKDAY(V289,-INDEX(V$2:V$5,MATCH($I289,$I$2:$I$5,0)),$BB$10:$BB$141)</f>
        <v>#REF!</v>
      </c>
      <c r="V289" s="155" t="e">
        <f>WORKDAY(W289,-INDEX(W$2:W$5,MATCH($I289,$I$2:$I$5,0)),$BB$10:$BB$141)</f>
        <v>#REF!</v>
      </c>
      <c r="W289" s="155" t="e">
        <f>WORKDAY(#REF!,-INDEX(#REF!,MATCH($I289,$I$2:$I$5,0)),$BB$10:$BB$141)</f>
        <v>#REF!</v>
      </c>
      <c r="X289" s="155" t="e">
        <f>WORKDAY(Y289,-INDEX(Y$2:Y$5,MATCH($I289,$I$2:$I$5,0)),$BB$10:$BB$141)</f>
        <v>#REF!</v>
      </c>
      <c r="Y289" s="155" t="e">
        <f>WORKDAY(Z289,-INDEX(Z$2:Z$5,MATCH($I289,$I$2:$I$5,0)),$BB$10:$BB$141)</f>
        <v>#REF!</v>
      </c>
      <c r="Z289" s="155" t="e">
        <f>WORKDAY(AA289,-INDEX(AA$2:AA$5,MATCH($I289,$I$2:$I$5,0)),$BB$10:$BB$141)</f>
        <v>#REF!</v>
      </c>
      <c r="AA289" s="155" t="e">
        <f>WORKDAY(#REF!,-INDEX(#REF!,MATCH($I289,$I$2:$I$5,0)),$BB$10:$BB$141)</f>
        <v>#REF!</v>
      </c>
      <c r="AB289" s="155">
        <f>WORKDAY(AG289,0,'[38]Equipment List and MR List (3)'!$A$2:$A$80)</f>
        <v>0</v>
      </c>
      <c r="AC289" s="797" t="s">
        <v>5365</v>
      </c>
      <c r="AD289" s="87">
        <v>7</v>
      </c>
      <c r="AE289" s="803"/>
      <c r="AF289" s="806" t="e">
        <f>AB290</f>
        <v>#REF!</v>
      </c>
      <c r="AG289" s="809"/>
      <c r="AH289" s="88"/>
      <c r="AI289" s="89"/>
      <c r="AJ289" s="812" t="e">
        <f>AG289-AF289</f>
        <v>#REF!</v>
      </c>
      <c r="AK289" s="131"/>
      <c r="AL289" s="132"/>
      <c r="AM289" s="133">
        <f t="shared" ref="AM289:AW289" si="336">IF(ISERROR(LOOKUP(AM$6,$S289:$AB289,$S$9:$AB$9)),0,(LOOKUP(AM$6,$S289:$AB289,$S$9:$AB$9)))</f>
        <v>0.95</v>
      </c>
      <c r="AN289" s="134">
        <f t="shared" si="336"/>
        <v>0.95</v>
      </c>
      <c r="AO289" s="134">
        <f t="shared" si="336"/>
        <v>0.95</v>
      </c>
      <c r="AP289" s="134">
        <f t="shared" si="336"/>
        <v>0.95</v>
      </c>
      <c r="AQ289" s="134">
        <f t="shared" si="336"/>
        <v>0.95</v>
      </c>
      <c r="AR289" s="134">
        <f t="shared" si="336"/>
        <v>0.95</v>
      </c>
      <c r="AS289" s="134">
        <f t="shared" si="336"/>
        <v>0.95</v>
      </c>
      <c r="AT289" s="134">
        <f t="shared" si="336"/>
        <v>0.95</v>
      </c>
      <c r="AU289" s="134">
        <f t="shared" si="336"/>
        <v>0.95</v>
      </c>
      <c r="AV289" s="134">
        <f t="shared" si="336"/>
        <v>0.95</v>
      </c>
      <c r="AW289" s="134">
        <f t="shared" ca="1" si="336"/>
        <v>0.95</v>
      </c>
      <c r="BB289" s="135"/>
    </row>
    <row r="290" spans="1:54" s="21" customFormat="1" ht="18" customHeight="1">
      <c r="A290" s="783"/>
      <c r="B290" s="156"/>
      <c r="C290" s="792"/>
      <c r="D290" s="96" t="str">
        <f>D289</f>
        <v>STR</v>
      </c>
      <c r="E290" s="136" t="str">
        <f>E289</f>
        <v>RFQ-054</v>
      </c>
      <c r="F290" s="137" t="str">
        <f>F289</f>
        <v>N</v>
      </c>
      <c r="G290" s="159"/>
      <c r="H290" s="98" t="str">
        <f>H289</f>
        <v>Jacket Anode</v>
      </c>
      <c r="I290" s="136" t="str">
        <f>I289</f>
        <v>LD</v>
      </c>
      <c r="J290" s="137"/>
      <c r="K290" s="138"/>
      <c r="L290" s="138">
        <f>M291</f>
        <v>1E-3</v>
      </c>
      <c r="M290" s="138"/>
      <c r="N290" s="136"/>
      <c r="O290" s="136"/>
      <c r="P290" s="136"/>
      <c r="Q290" s="139" t="s">
        <v>5366</v>
      </c>
      <c r="R290" s="139"/>
      <c r="S290" s="140" t="e">
        <f>S289</f>
        <v>#REF!</v>
      </c>
      <c r="T290" s="141" t="e">
        <f>T289</f>
        <v>#REF!</v>
      </c>
      <c r="U290" s="141" t="e">
        <f>WORKDAY(IF(T291="",T290,T291),INDEX(U$2:U$5,MATCH($I289,$I$2:$I$5,0)),$BB$10:$BB$141)</f>
        <v>#REF!</v>
      </c>
      <c r="V290" s="141" t="e">
        <f>WORKDAY(IF(U291="",U290,U291),INDEX(V$2:V$5,MATCH($I289,$I$2:$I$5,0)),$BB$10:$BB$141)</f>
        <v>#REF!</v>
      </c>
      <c r="W290" s="141" t="e">
        <f>WORKDAY(IF(V291="",V290,V291),INDEX(W$2:W$5,MATCH($I289,$I$2:$I$5,0)),$BB$10:$BB$141)</f>
        <v>#REF!</v>
      </c>
      <c r="X290" s="141" t="e">
        <f>WORKDAY(IF(#REF!="",#REF!,#REF!),INDEX(X$2:X$5,MATCH($I289,$I$2:$I$5,0)),$BB$10:$BB$141)</f>
        <v>#REF!</v>
      </c>
      <c r="Y290" s="141" t="e">
        <f>WORKDAY(IF(X291="",X290,X291),INDEX(Y$2:Y$5,MATCH($I289,$I$2:$I$5,0)),$BB$10:$BB$141)</f>
        <v>#REF!</v>
      </c>
      <c r="Z290" s="141" t="e">
        <f>WORKDAY(IF(Y291="",Y290,Y291),INDEX(Z$2:Z$5,MATCH($I289,$I$2:$I$5,0)),$BB$10:$BB$141)</f>
        <v>#REF!</v>
      </c>
      <c r="AA290" s="141" t="e">
        <f>WORKDAY(IF(Z291="",Z290,Z291),INDEX(AA$2:AA$5,MATCH($I289,$I$2:$I$5,0)),$BB$10:$BB$141)</f>
        <v>#REF!</v>
      </c>
      <c r="AB290" s="142" t="e">
        <f>AE289+#REF!</f>
        <v>#REF!</v>
      </c>
      <c r="AC290" s="798"/>
      <c r="AD290" s="105"/>
      <c r="AE290" s="804"/>
      <c r="AF290" s="807"/>
      <c r="AG290" s="810"/>
      <c r="AH290" s="106"/>
      <c r="AI290" s="107"/>
      <c r="AJ290" s="813"/>
      <c r="AK290" s="143"/>
      <c r="AL290" s="144"/>
      <c r="AM290" s="133">
        <f t="shared" ref="AM290:AW290" si="337">IF(ISERROR(LOOKUP(AM$6,$S290:$AB290,$S$9:$AB$9)),0,(LOOKUP(AM$6,$S290:$AB290,$S$9:$AB$9)))</f>
        <v>0</v>
      </c>
      <c r="AN290" s="134">
        <f t="shared" si="337"/>
        <v>0</v>
      </c>
      <c r="AO290" s="134">
        <f t="shared" si="337"/>
        <v>0</v>
      </c>
      <c r="AP290" s="134">
        <f t="shared" si="337"/>
        <v>0</v>
      </c>
      <c r="AQ290" s="134">
        <f t="shared" si="337"/>
        <v>0</v>
      </c>
      <c r="AR290" s="134">
        <f t="shared" si="337"/>
        <v>0</v>
      </c>
      <c r="AS290" s="134">
        <f t="shared" si="337"/>
        <v>0</v>
      </c>
      <c r="AT290" s="134">
        <f t="shared" si="337"/>
        <v>0</v>
      </c>
      <c r="AU290" s="134">
        <f t="shared" si="337"/>
        <v>0</v>
      </c>
      <c r="AV290" s="134">
        <f t="shared" si="337"/>
        <v>0</v>
      </c>
      <c r="AW290" s="134">
        <f t="shared" ca="1" si="337"/>
        <v>0</v>
      </c>
      <c r="BB290" s="135"/>
    </row>
    <row r="291" spans="1:54" s="21" customFormat="1" ht="18" customHeight="1">
      <c r="A291" s="784"/>
      <c r="B291" s="157"/>
      <c r="C291" s="793"/>
      <c r="D291" s="111" t="str">
        <f>D289</f>
        <v>STR</v>
      </c>
      <c r="E291" s="145" t="str">
        <f>E289</f>
        <v>RFQ-054</v>
      </c>
      <c r="F291" s="146" t="str">
        <f>F289</f>
        <v>N</v>
      </c>
      <c r="G291" s="160"/>
      <c r="H291" s="113" t="str">
        <f>H289</f>
        <v>Jacket Anode</v>
      </c>
      <c r="I291" s="145" t="str">
        <f>I289</f>
        <v>LD</v>
      </c>
      <c r="J291" s="146"/>
      <c r="K291" s="147"/>
      <c r="L291" s="147"/>
      <c r="M291" s="147">
        <v>1E-3</v>
      </c>
      <c r="N291" s="145"/>
      <c r="O291" s="145"/>
      <c r="P291" s="145"/>
      <c r="Q291" s="148" t="s">
        <v>368</v>
      </c>
      <c r="R291" s="148"/>
      <c r="S291" s="149"/>
      <c r="T291" s="149"/>
      <c r="U291" s="149"/>
      <c r="V291" s="149"/>
      <c r="W291" s="149"/>
      <c r="X291" s="149"/>
      <c r="Y291" s="149"/>
      <c r="Z291" s="149"/>
      <c r="AA291" s="149"/>
      <c r="AB291" s="149"/>
      <c r="AC291" s="799"/>
      <c r="AD291" s="116"/>
      <c r="AE291" s="805"/>
      <c r="AF291" s="808"/>
      <c r="AG291" s="811"/>
      <c r="AH291" s="117"/>
      <c r="AI291" s="118"/>
      <c r="AJ291" s="814"/>
      <c r="AK291" s="150"/>
      <c r="AL291" s="151"/>
      <c r="AM291" s="152">
        <f t="shared" ref="AM291:AW291" si="338">IF(ISERROR(LOOKUP(AM$6,$S291:$AB291,$S$9:$AB$9)),0,(LOOKUP(AM$6,$S291:$AB291,$S$9:$AB$9)))</f>
        <v>0</v>
      </c>
      <c r="AN291" s="153">
        <f t="shared" si="338"/>
        <v>0</v>
      </c>
      <c r="AO291" s="153">
        <f t="shared" si="338"/>
        <v>0</v>
      </c>
      <c r="AP291" s="153">
        <f t="shared" si="338"/>
        <v>0</v>
      </c>
      <c r="AQ291" s="153">
        <f t="shared" si="338"/>
        <v>0</v>
      </c>
      <c r="AR291" s="153">
        <f t="shared" si="338"/>
        <v>0</v>
      </c>
      <c r="AS291" s="153">
        <f t="shared" si="338"/>
        <v>0</v>
      </c>
      <c r="AT291" s="153">
        <f t="shared" si="338"/>
        <v>0</v>
      </c>
      <c r="AU291" s="153">
        <f t="shared" si="338"/>
        <v>0</v>
      </c>
      <c r="AV291" s="153">
        <f t="shared" si="338"/>
        <v>0</v>
      </c>
      <c r="AW291" s="153">
        <f t="shared" ca="1" si="338"/>
        <v>0</v>
      </c>
      <c r="BB291" s="135"/>
    </row>
    <row r="292" spans="1:54" s="21" customFormat="1" ht="18" customHeight="1">
      <c r="A292" s="782">
        <f>A289+1</f>
        <v>95</v>
      </c>
      <c r="B292" s="154" t="s">
        <v>5425</v>
      </c>
      <c r="C292" s="791" t="s">
        <v>5361</v>
      </c>
      <c r="D292" s="80" t="s">
        <v>5421</v>
      </c>
      <c r="E292" s="127" t="s">
        <v>5422</v>
      </c>
      <c r="F292" s="128" t="s">
        <v>73</v>
      </c>
      <c r="G292" s="158"/>
      <c r="H292" s="82" t="s">
        <v>5460</v>
      </c>
      <c r="I292" s="127" t="s">
        <v>9</v>
      </c>
      <c r="J292" s="128"/>
      <c r="K292" s="129">
        <f>M294</f>
        <v>1E-3</v>
      </c>
      <c r="L292" s="129"/>
      <c r="M292" s="129"/>
      <c r="N292" s="127"/>
      <c r="O292" s="127"/>
      <c r="P292" s="127"/>
      <c r="Q292" s="130" t="s">
        <v>5364</v>
      </c>
      <c r="R292" s="130"/>
      <c r="S292" s="155" t="e">
        <f>WORKDAY(T292,-INDEX(T$2:T$5,MATCH($I292,$I$2:$I$5,0)),'[38]Equipment List and MR List (3)'!$A$2:$A$80)</f>
        <v>#REF!</v>
      </c>
      <c r="T292" s="155" t="e">
        <f>WORKDAY(U292,-INDEX(U$2:U$5,MATCH($I292,$I$2:$I$5,0)),$BB$10:$BB$141)</f>
        <v>#REF!</v>
      </c>
      <c r="U292" s="155" t="e">
        <f>WORKDAY(V292,-INDEX(V$2:V$5,MATCH($I292,$I$2:$I$5,0)),$BB$10:$BB$141)</f>
        <v>#REF!</v>
      </c>
      <c r="V292" s="155" t="e">
        <f>WORKDAY(W292,-INDEX(W$2:W$5,MATCH($I292,$I$2:$I$5,0)),$BB$10:$BB$141)</f>
        <v>#REF!</v>
      </c>
      <c r="W292" s="155" t="e">
        <f>WORKDAY(#REF!,-INDEX(#REF!,MATCH($I292,$I$2:$I$5,0)),$BB$10:$BB$141)</f>
        <v>#REF!</v>
      </c>
      <c r="X292" s="155" t="e">
        <f>WORKDAY(Y292,-INDEX(Y$2:Y$5,MATCH($I292,$I$2:$I$5,0)),$BB$10:$BB$141)</f>
        <v>#REF!</v>
      </c>
      <c r="Y292" s="155" t="e">
        <f>WORKDAY(Z292,-INDEX(Z$2:Z$5,MATCH($I292,$I$2:$I$5,0)),$BB$10:$BB$141)</f>
        <v>#REF!</v>
      </c>
      <c r="Z292" s="155" t="e">
        <f>WORKDAY(AA292,-INDEX(AA$2:AA$5,MATCH($I292,$I$2:$I$5,0)),$BB$10:$BB$141)</f>
        <v>#REF!</v>
      </c>
      <c r="AA292" s="155" t="e">
        <f>WORKDAY(#REF!,-INDEX(#REF!,MATCH($I292,$I$2:$I$5,0)),$BB$10:$BB$141)</f>
        <v>#REF!</v>
      </c>
      <c r="AB292" s="155">
        <f>WORKDAY(AG292,0,'[38]Equipment List and MR List (3)'!$A$2:$A$80)</f>
        <v>0</v>
      </c>
      <c r="AC292" s="797" t="s">
        <v>5365</v>
      </c>
      <c r="AD292" s="87">
        <v>7</v>
      </c>
      <c r="AE292" s="803"/>
      <c r="AF292" s="806" t="e">
        <f>AB293</f>
        <v>#REF!</v>
      </c>
      <c r="AG292" s="809"/>
      <c r="AH292" s="88"/>
      <c r="AI292" s="89"/>
      <c r="AJ292" s="812" t="e">
        <f>AG292-AF292</f>
        <v>#REF!</v>
      </c>
      <c r="AK292" s="131"/>
      <c r="AL292" s="132"/>
      <c r="AM292" s="133">
        <f t="shared" ref="AM292:AW292" si="339">IF(ISERROR(LOOKUP(AM$6,$S292:$AB292,$S$9:$AB$9)),0,(LOOKUP(AM$6,$S292:$AB292,$S$9:$AB$9)))</f>
        <v>0.95</v>
      </c>
      <c r="AN292" s="134">
        <f t="shared" si="339"/>
        <v>0.95</v>
      </c>
      <c r="AO292" s="134">
        <f t="shared" si="339"/>
        <v>0.95</v>
      </c>
      <c r="AP292" s="134">
        <f t="shared" si="339"/>
        <v>0.95</v>
      </c>
      <c r="AQ292" s="134">
        <f t="shared" si="339"/>
        <v>0.95</v>
      </c>
      <c r="AR292" s="134">
        <f t="shared" si="339"/>
        <v>0.95</v>
      </c>
      <c r="AS292" s="134">
        <f t="shared" si="339"/>
        <v>0.95</v>
      </c>
      <c r="AT292" s="134">
        <f t="shared" si="339"/>
        <v>0.95</v>
      </c>
      <c r="AU292" s="134">
        <f t="shared" si="339"/>
        <v>0.95</v>
      </c>
      <c r="AV292" s="134">
        <f t="shared" si="339"/>
        <v>0.95</v>
      </c>
      <c r="AW292" s="134">
        <f t="shared" ca="1" si="339"/>
        <v>0.95</v>
      </c>
      <c r="BB292" s="135"/>
    </row>
    <row r="293" spans="1:54" s="21" customFormat="1" ht="18" customHeight="1">
      <c r="A293" s="783"/>
      <c r="B293" s="156"/>
      <c r="C293" s="792"/>
      <c r="D293" s="96" t="str">
        <f>D292</f>
        <v>STR</v>
      </c>
      <c r="E293" s="136" t="str">
        <f>E292</f>
        <v>RFQ-054</v>
      </c>
      <c r="F293" s="137" t="str">
        <f>F292</f>
        <v>N</v>
      </c>
      <c r="G293" s="159"/>
      <c r="H293" s="98" t="str">
        <f>H292</f>
        <v>Steel Grating</v>
      </c>
      <c r="I293" s="136" t="str">
        <f>I292</f>
        <v>LD</v>
      </c>
      <c r="J293" s="137"/>
      <c r="K293" s="138"/>
      <c r="L293" s="138">
        <f>M294</f>
        <v>1E-3</v>
      </c>
      <c r="M293" s="138"/>
      <c r="N293" s="136"/>
      <c r="O293" s="136"/>
      <c r="P293" s="136"/>
      <c r="Q293" s="139" t="s">
        <v>5366</v>
      </c>
      <c r="R293" s="139"/>
      <c r="S293" s="140" t="e">
        <f>S292</f>
        <v>#REF!</v>
      </c>
      <c r="T293" s="141" t="e">
        <f>T292</f>
        <v>#REF!</v>
      </c>
      <c r="U293" s="141" t="e">
        <f>WORKDAY(IF(T294="",T293,T294),INDEX(U$2:U$5,MATCH($I292,$I$2:$I$5,0)),$BB$10:$BB$141)</f>
        <v>#REF!</v>
      </c>
      <c r="V293" s="141" t="e">
        <f>WORKDAY(IF(U294="",U293,U294),INDEX(V$2:V$5,MATCH($I292,$I$2:$I$5,0)),$BB$10:$BB$141)</f>
        <v>#REF!</v>
      </c>
      <c r="W293" s="141" t="e">
        <f>WORKDAY(IF(V294="",V293,V294),INDEX(W$2:W$5,MATCH($I292,$I$2:$I$5,0)),$BB$10:$BB$141)</f>
        <v>#REF!</v>
      </c>
      <c r="X293" s="141" t="e">
        <f>WORKDAY(IF(#REF!="",#REF!,#REF!),INDEX(X$2:X$5,MATCH($I292,$I$2:$I$5,0)),$BB$10:$BB$141)</f>
        <v>#REF!</v>
      </c>
      <c r="Y293" s="141" t="e">
        <f>WORKDAY(IF(X294="",X293,X294),INDEX(Y$2:Y$5,MATCH($I292,$I$2:$I$5,0)),$BB$10:$BB$141)</f>
        <v>#REF!</v>
      </c>
      <c r="Z293" s="141" t="e">
        <f>WORKDAY(IF(Y294="",Y293,Y294),INDEX(Z$2:Z$5,MATCH($I292,$I$2:$I$5,0)),$BB$10:$BB$141)</f>
        <v>#REF!</v>
      </c>
      <c r="AA293" s="141" t="e">
        <f>WORKDAY(IF(Z294="",Z293,Z294),INDEX(AA$2:AA$5,MATCH($I292,$I$2:$I$5,0)),$BB$10:$BB$141)</f>
        <v>#REF!</v>
      </c>
      <c r="AB293" s="142" t="e">
        <f>AE292+#REF!</f>
        <v>#REF!</v>
      </c>
      <c r="AC293" s="798"/>
      <c r="AD293" s="105"/>
      <c r="AE293" s="804"/>
      <c r="AF293" s="807"/>
      <c r="AG293" s="810"/>
      <c r="AH293" s="106"/>
      <c r="AI293" s="107"/>
      <c r="AJ293" s="813"/>
      <c r="AK293" s="143"/>
      <c r="AL293" s="144"/>
      <c r="AM293" s="133">
        <f t="shared" ref="AM293:AW293" si="340">IF(ISERROR(LOOKUP(AM$6,$S293:$AB293,$S$9:$AB$9)),0,(LOOKUP(AM$6,$S293:$AB293,$S$9:$AB$9)))</f>
        <v>0</v>
      </c>
      <c r="AN293" s="134">
        <f t="shared" si="340"/>
        <v>0</v>
      </c>
      <c r="AO293" s="134">
        <f t="shared" si="340"/>
        <v>0</v>
      </c>
      <c r="AP293" s="134">
        <f t="shared" si="340"/>
        <v>0</v>
      </c>
      <c r="AQ293" s="134">
        <f t="shared" si="340"/>
        <v>0</v>
      </c>
      <c r="AR293" s="134">
        <f t="shared" si="340"/>
        <v>0</v>
      </c>
      <c r="AS293" s="134">
        <f t="shared" si="340"/>
        <v>0</v>
      </c>
      <c r="AT293" s="134">
        <f t="shared" si="340"/>
        <v>0</v>
      </c>
      <c r="AU293" s="134">
        <f t="shared" si="340"/>
        <v>0</v>
      </c>
      <c r="AV293" s="134">
        <f t="shared" si="340"/>
        <v>0</v>
      </c>
      <c r="AW293" s="134">
        <f t="shared" ca="1" si="340"/>
        <v>0</v>
      </c>
      <c r="BB293" s="135"/>
    </row>
    <row r="294" spans="1:54" s="21" customFormat="1" ht="18" customHeight="1">
      <c r="A294" s="784"/>
      <c r="B294" s="157"/>
      <c r="C294" s="793"/>
      <c r="D294" s="111" t="str">
        <f>D292</f>
        <v>STR</v>
      </c>
      <c r="E294" s="145" t="str">
        <f>E292</f>
        <v>RFQ-054</v>
      </c>
      <c r="F294" s="146" t="str">
        <f>F292</f>
        <v>N</v>
      </c>
      <c r="G294" s="160"/>
      <c r="H294" s="113" t="str">
        <f>H292</f>
        <v>Steel Grating</v>
      </c>
      <c r="I294" s="145" t="str">
        <f>I292</f>
        <v>LD</v>
      </c>
      <c r="J294" s="146"/>
      <c r="K294" s="147"/>
      <c r="L294" s="147"/>
      <c r="M294" s="147">
        <v>1E-3</v>
      </c>
      <c r="N294" s="145"/>
      <c r="O294" s="145"/>
      <c r="P294" s="145"/>
      <c r="Q294" s="148" t="s">
        <v>368</v>
      </c>
      <c r="R294" s="148"/>
      <c r="S294" s="149"/>
      <c r="T294" s="149"/>
      <c r="U294" s="149"/>
      <c r="V294" s="149"/>
      <c r="W294" s="149"/>
      <c r="X294" s="149"/>
      <c r="Y294" s="149"/>
      <c r="Z294" s="149"/>
      <c r="AA294" s="149"/>
      <c r="AB294" s="149"/>
      <c r="AC294" s="799"/>
      <c r="AD294" s="116"/>
      <c r="AE294" s="805"/>
      <c r="AF294" s="808"/>
      <c r="AG294" s="811"/>
      <c r="AH294" s="117"/>
      <c r="AI294" s="118"/>
      <c r="AJ294" s="814"/>
      <c r="AK294" s="150"/>
      <c r="AL294" s="151"/>
      <c r="AM294" s="152">
        <f t="shared" ref="AM294:AW294" si="341">IF(ISERROR(LOOKUP(AM$6,$S294:$AB294,$S$9:$AB$9)),0,(LOOKUP(AM$6,$S294:$AB294,$S$9:$AB$9)))</f>
        <v>0</v>
      </c>
      <c r="AN294" s="153">
        <f t="shared" si="341"/>
        <v>0</v>
      </c>
      <c r="AO294" s="153">
        <f t="shared" si="341"/>
        <v>0</v>
      </c>
      <c r="AP294" s="153">
        <f t="shared" si="341"/>
        <v>0</v>
      </c>
      <c r="AQ294" s="153">
        <f t="shared" si="341"/>
        <v>0</v>
      </c>
      <c r="AR294" s="153">
        <f t="shared" si="341"/>
        <v>0</v>
      </c>
      <c r="AS294" s="153">
        <f t="shared" si="341"/>
        <v>0</v>
      </c>
      <c r="AT294" s="153">
        <f t="shared" si="341"/>
        <v>0</v>
      </c>
      <c r="AU294" s="153">
        <f t="shared" si="341"/>
        <v>0</v>
      </c>
      <c r="AV294" s="153">
        <f t="shared" si="341"/>
        <v>0</v>
      </c>
      <c r="AW294" s="153">
        <f t="shared" ca="1" si="341"/>
        <v>0</v>
      </c>
      <c r="BB294" s="135"/>
    </row>
    <row r="295" spans="1:54" s="21" customFormat="1" ht="18" customHeight="1">
      <c r="A295" s="782">
        <f>A292+1</f>
        <v>96</v>
      </c>
      <c r="B295" s="154" t="s">
        <v>5425</v>
      </c>
      <c r="C295" s="791" t="s">
        <v>5361</v>
      </c>
      <c r="D295" s="80" t="s">
        <v>5461</v>
      </c>
      <c r="E295" s="127" t="s">
        <v>5422</v>
      </c>
      <c r="F295" s="128" t="s">
        <v>73</v>
      </c>
      <c r="G295" s="158"/>
      <c r="H295" s="82" t="s">
        <v>5440</v>
      </c>
      <c r="I295" s="127" t="s">
        <v>9</v>
      </c>
      <c r="J295" s="128"/>
      <c r="K295" s="129">
        <f>M297</f>
        <v>1E-3</v>
      </c>
      <c r="L295" s="129"/>
      <c r="M295" s="129"/>
      <c r="N295" s="127"/>
      <c r="O295" s="127"/>
      <c r="P295" s="127"/>
      <c r="Q295" s="130" t="s">
        <v>5364</v>
      </c>
      <c r="R295" s="130"/>
      <c r="S295" s="155" t="e">
        <f>WORKDAY(T295,-INDEX(T$2:T$5,MATCH($I295,$I$2:$I$5,0)),'[38]Equipment List and MR List (3)'!$A$2:$A$80)</f>
        <v>#REF!</v>
      </c>
      <c r="T295" s="155" t="e">
        <f>WORKDAY(U295,-INDEX(U$2:U$5,MATCH($I295,$I$2:$I$5,0)),$BB$10:$BB$141)</f>
        <v>#REF!</v>
      </c>
      <c r="U295" s="155" t="e">
        <f>WORKDAY(V295,-INDEX(V$2:V$5,MATCH($I295,$I$2:$I$5,0)),$BB$10:$BB$141)</f>
        <v>#REF!</v>
      </c>
      <c r="V295" s="155" t="e">
        <f>WORKDAY(W295,-INDEX(W$2:W$5,MATCH($I295,$I$2:$I$5,0)),$BB$10:$BB$141)</f>
        <v>#REF!</v>
      </c>
      <c r="W295" s="155" t="e">
        <f>WORKDAY(#REF!,-INDEX(#REF!,MATCH($I295,$I$2:$I$5,0)),$BB$10:$BB$141)</f>
        <v>#REF!</v>
      </c>
      <c r="X295" s="155" t="e">
        <f>WORKDAY(Y295,-INDEX(Y$2:Y$5,MATCH($I295,$I$2:$I$5,0)),$BB$10:$BB$141)</f>
        <v>#REF!</v>
      </c>
      <c r="Y295" s="155" t="e">
        <f>WORKDAY(Z295,-INDEX(Z$2:Z$5,MATCH($I295,$I$2:$I$5,0)),$BB$10:$BB$141)</f>
        <v>#REF!</v>
      </c>
      <c r="Z295" s="155" t="e">
        <f>WORKDAY(AA295,-INDEX(AA$2:AA$5,MATCH($I295,$I$2:$I$5,0)),$BB$10:$BB$141)</f>
        <v>#REF!</v>
      </c>
      <c r="AA295" s="155" t="e">
        <f>WORKDAY(#REF!,-INDEX(#REF!,MATCH($I295,$I$2:$I$5,0)),$BB$10:$BB$141)</f>
        <v>#REF!</v>
      </c>
      <c r="AB295" s="155">
        <f>WORKDAY(AG295,0,'[38]Equipment List and MR List (3)'!$A$2:$A$80)</f>
        <v>0</v>
      </c>
      <c r="AC295" s="797" t="s">
        <v>5365</v>
      </c>
      <c r="AD295" s="87">
        <v>7</v>
      </c>
      <c r="AE295" s="803"/>
      <c r="AF295" s="806" t="e">
        <f>AB296</f>
        <v>#REF!</v>
      </c>
      <c r="AG295" s="809"/>
      <c r="AH295" s="88"/>
      <c r="AI295" s="89"/>
      <c r="AJ295" s="812" t="e">
        <f>AG295-AF295</f>
        <v>#REF!</v>
      </c>
      <c r="AK295" s="131"/>
      <c r="AL295" s="132"/>
      <c r="AM295" s="133">
        <f t="shared" ref="AM295:AW295" si="342">IF(ISERROR(LOOKUP(AM$6,$S295:$AB295,$S$9:$AB$9)),0,(LOOKUP(AM$6,$S295:$AB295,$S$9:$AB$9)))</f>
        <v>0.95</v>
      </c>
      <c r="AN295" s="134">
        <f t="shared" si="342"/>
        <v>0.95</v>
      </c>
      <c r="AO295" s="134">
        <f t="shared" si="342"/>
        <v>0.95</v>
      </c>
      <c r="AP295" s="134">
        <f t="shared" si="342"/>
        <v>0.95</v>
      </c>
      <c r="AQ295" s="134">
        <f t="shared" si="342"/>
        <v>0.95</v>
      </c>
      <c r="AR295" s="134">
        <f t="shared" si="342"/>
        <v>0.95</v>
      </c>
      <c r="AS295" s="134">
        <f t="shared" si="342"/>
        <v>0.95</v>
      </c>
      <c r="AT295" s="134">
        <f t="shared" si="342"/>
        <v>0.95</v>
      </c>
      <c r="AU295" s="134">
        <f t="shared" si="342"/>
        <v>0.95</v>
      </c>
      <c r="AV295" s="134">
        <f t="shared" si="342"/>
        <v>0.95</v>
      </c>
      <c r="AW295" s="134">
        <f t="shared" ca="1" si="342"/>
        <v>0.95</v>
      </c>
      <c r="BB295" s="135"/>
    </row>
    <row r="296" spans="1:54" s="21" customFormat="1" ht="18" customHeight="1">
      <c r="A296" s="783"/>
      <c r="B296" s="156"/>
      <c r="C296" s="792"/>
      <c r="D296" s="96" t="str">
        <f>D295</f>
        <v>MIS</v>
      </c>
      <c r="E296" s="136" t="str">
        <f>E295</f>
        <v>RFQ-054</v>
      </c>
      <c r="F296" s="137" t="str">
        <f>F295</f>
        <v>N</v>
      </c>
      <c r="G296" s="159"/>
      <c r="H296" s="98" t="str">
        <f>H295</f>
        <v>Welding Electrode</v>
      </c>
      <c r="I296" s="136" t="str">
        <f>I295</f>
        <v>LD</v>
      </c>
      <c r="J296" s="137"/>
      <c r="K296" s="138"/>
      <c r="L296" s="138">
        <f>M297</f>
        <v>1E-3</v>
      </c>
      <c r="M296" s="138"/>
      <c r="N296" s="136"/>
      <c r="O296" s="136"/>
      <c r="P296" s="136"/>
      <c r="Q296" s="139" t="s">
        <v>5366</v>
      </c>
      <c r="R296" s="139"/>
      <c r="S296" s="140" t="e">
        <f>S295</f>
        <v>#REF!</v>
      </c>
      <c r="T296" s="141" t="e">
        <f>T295</f>
        <v>#REF!</v>
      </c>
      <c r="U296" s="141" t="e">
        <f>WORKDAY(IF(T297="",T296,T297),INDEX(U$2:U$5,MATCH($I295,$I$2:$I$5,0)),$BB$10:$BB$141)</f>
        <v>#REF!</v>
      </c>
      <c r="V296" s="141" t="e">
        <f>WORKDAY(IF(U297="",U296,U297),INDEX(V$2:V$5,MATCH($I295,$I$2:$I$5,0)),$BB$10:$BB$141)</f>
        <v>#REF!</v>
      </c>
      <c r="W296" s="141" t="e">
        <f>WORKDAY(IF(V297="",V296,V297),INDEX(W$2:W$5,MATCH($I295,$I$2:$I$5,0)),$BB$10:$BB$141)</f>
        <v>#REF!</v>
      </c>
      <c r="X296" s="141" t="e">
        <f>WORKDAY(IF(#REF!="",#REF!,#REF!),INDEX(X$2:X$5,MATCH($I295,$I$2:$I$5,0)),$BB$10:$BB$141)</f>
        <v>#REF!</v>
      </c>
      <c r="Y296" s="141" t="e">
        <f>WORKDAY(IF(X297="",X296,X297),INDEX(Y$2:Y$5,MATCH($I295,$I$2:$I$5,0)),$BB$10:$BB$141)</f>
        <v>#REF!</v>
      </c>
      <c r="Z296" s="141" t="e">
        <f>WORKDAY(IF(Y297="",Y296,Y297),INDEX(Z$2:Z$5,MATCH($I295,$I$2:$I$5,0)),$BB$10:$BB$141)</f>
        <v>#REF!</v>
      </c>
      <c r="AA296" s="141" t="e">
        <f>WORKDAY(IF(Z297="",Z296,Z297),INDEX(AA$2:AA$5,MATCH($I295,$I$2:$I$5,0)),$BB$10:$BB$141)</f>
        <v>#REF!</v>
      </c>
      <c r="AB296" s="142" t="e">
        <f>AE295+#REF!</f>
        <v>#REF!</v>
      </c>
      <c r="AC296" s="798"/>
      <c r="AD296" s="105"/>
      <c r="AE296" s="804"/>
      <c r="AF296" s="807"/>
      <c r="AG296" s="810"/>
      <c r="AH296" s="106"/>
      <c r="AI296" s="107"/>
      <c r="AJ296" s="813"/>
      <c r="AK296" s="143"/>
      <c r="AL296" s="144"/>
      <c r="AM296" s="133">
        <f t="shared" ref="AM296:AW296" si="343">IF(ISERROR(LOOKUP(AM$6,$S296:$AB296,$S$9:$AB$9)),0,(LOOKUP(AM$6,$S296:$AB296,$S$9:$AB$9)))</f>
        <v>0</v>
      </c>
      <c r="AN296" s="134">
        <f t="shared" si="343"/>
        <v>0</v>
      </c>
      <c r="AO296" s="134">
        <f t="shared" si="343"/>
        <v>0</v>
      </c>
      <c r="AP296" s="134">
        <f t="shared" si="343"/>
        <v>0</v>
      </c>
      <c r="AQ296" s="134">
        <f t="shared" si="343"/>
        <v>0</v>
      </c>
      <c r="AR296" s="134">
        <f t="shared" si="343"/>
        <v>0</v>
      </c>
      <c r="AS296" s="134">
        <f t="shared" si="343"/>
        <v>0</v>
      </c>
      <c r="AT296" s="134">
        <f t="shared" si="343"/>
        <v>0</v>
      </c>
      <c r="AU296" s="134">
        <f t="shared" si="343"/>
        <v>0</v>
      </c>
      <c r="AV296" s="134">
        <f t="shared" si="343"/>
        <v>0</v>
      </c>
      <c r="AW296" s="134">
        <f t="shared" ca="1" si="343"/>
        <v>0</v>
      </c>
      <c r="BB296" s="135"/>
    </row>
    <row r="297" spans="1:54" s="21" customFormat="1" ht="18" customHeight="1">
      <c r="A297" s="784"/>
      <c r="B297" s="157"/>
      <c r="C297" s="793"/>
      <c r="D297" s="111" t="str">
        <f>D295</f>
        <v>MIS</v>
      </c>
      <c r="E297" s="145" t="str">
        <f>E295</f>
        <v>RFQ-054</v>
      </c>
      <c r="F297" s="146" t="str">
        <f>F295</f>
        <v>N</v>
      </c>
      <c r="G297" s="160"/>
      <c r="H297" s="113" t="str">
        <f>H295</f>
        <v>Welding Electrode</v>
      </c>
      <c r="I297" s="145" t="str">
        <f>I295</f>
        <v>LD</v>
      </c>
      <c r="J297" s="146"/>
      <c r="K297" s="147"/>
      <c r="L297" s="147"/>
      <c r="M297" s="147">
        <v>1E-3</v>
      </c>
      <c r="N297" s="145"/>
      <c r="O297" s="145"/>
      <c r="P297" s="145"/>
      <c r="Q297" s="148" t="s">
        <v>368</v>
      </c>
      <c r="R297" s="148"/>
      <c r="S297" s="149"/>
      <c r="T297" s="149"/>
      <c r="U297" s="149"/>
      <c r="V297" s="149"/>
      <c r="W297" s="149"/>
      <c r="X297" s="149"/>
      <c r="Y297" s="149"/>
      <c r="Z297" s="149"/>
      <c r="AA297" s="149"/>
      <c r="AB297" s="149"/>
      <c r="AC297" s="799"/>
      <c r="AD297" s="116"/>
      <c r="AE297" s="805"/>
      <c r="AF297" s="808"/>
      <c r="AG297" s="811"/>
      <c r="AH297" s="117"/>
      <c r="AI297" s="118"/>
      <c r="AJ297" s="814"/>
      <c r="AK297" s="150"/>
      <c r="AL297" s="151"/>
      <c r="AM297" s="152">
        <f t="shared" ref="AM297:AW297" si="344">IF(ISERROR(LOOKUP(AM$6,$S297:$AB297,$S$9:$AB$9)),0,(LOOKUP(AM$6,$S297:$AB297,$S$9:$AB$9)))</f>
        <v>0</v>
      </c>
      <c r="AN297" s="153">
        <f t="shared" si="344"/>
        <v>0</v>
      </c>
      <c r="AO297" s="153">
        <f t="shared" si="344"/>
        <v>0</v>
      </c>
      <c r="AP297" s="153">
        <f t="shared" si="344"/>
        <v>0</v>
      </c>
      <c r="AQ297" s="153">
        <f t="shared" si="344"/>
        <v>0</v>
      </c>
      <c r="AR297" s="153">
        <f t="shared" si="344"/>
        <v>0</v>
      </c>
      <c r="AS297" s="153">
        <f t="shared" si="344"/>
        <v>0</v>
      </c>
      <c r="AT297" s="153">
        <f t="shared" si="344"/>
        <v>0</v>
      </c>
      <c r="AU297" s="153">
        <f t="shared" si="344"/>
        <v>0</v>
      </c>
      <c r="AV297" s="153">
        <f t="shared" si="344"/>
        <v>0</v>
      </c>
      <c r="AW297" s="153">
        <f t="shared" ca="1" si="344"/>
        <v>0</v>
      </c>
      <c r="BB297" s="135"/>
    </row>
    <row r="298" spans="1:54" s="21" customFormat="1" ht="18" customHeight="1">
      <c r="A298" s="782">
        <f>A229+1</f>
        <v>75</v>
      </c>
      <c r="B298" s="154"/>
      <c r="C298" s="791" t="s">
        <v>5361</v>
      </c>
      <c r="D298" s="80"/>
      <c r="E298" s="127" t="s">
        <v>5422</v>
      </c>
      <c r="F298" s="128" t="s">
        <v>73</v>
      </c>
      <c r="G298" s="158"/>
      <c r="H298" s="82"/>
      <c r="I298" s="127" t="s">
        <v>9</v>
      </c>
      <c r="J298" s="128"/>
      <c r="K298" s="129">
        <f>M300</f>
        <v>1E-3</v>
      </c>
      <c r="L298" s="129"/>
      <c r="M298" s="129"/>
      <c r="N298" s="127"/>
      <c r="O298" s="127"/>
      <c r="P298" s="127"/>
      <c r="Q298" s="130" t="s">
        <v>5364</v>
      </c>
      <c r="R298" s="130"/>
      <c r="S298" s="155" t="e">
        <f>WORKDAY(T298,-INDEX(T$2:T$5,MATCH($I298,$I$2:$I$5,0)),'[38]Equipment List and MR List (3)'!$A$2:$A$80)</f>
        <v>#REF!</v>
      </c>
      <c r="T298" s="155" t="e">
        <f>WORKDAY(U298,-INDEX(U$2:U$5,MATCH($I298,$I$2:$I$5,0)),$BB$10:$BB$141)</f>
        <v>#REF!</v>
      </c>
      <c r="U298" s="155" t="e">
        <f>WORKDAY(V298,-INDEX(V$2:V$5,MATCH($I298,$I$2:$I$5,0)),$BB$10:$BB$141)</f>
        <v>#REF!</v>
      </c>
      <c r="V298" s="155" t="e">
        <f>WORKDAY(W298,-INDEX(W$2:W$5,MATCH($I298,$I$2:$I$5,0)),$BB$10:$BB$141)</f>
        <v>#REF!</v>
      </c>
      <c r="W298" s="155" t="e">
        <f>WORKDAY(#REF!,-INDEX(#REF!,MATCH($I298,$I$2:$I$5,0)),$BB$10:$BB$141)</f>
        <v>#REF!</v>
      </c>
      <c r="X298" s="155" t="e">
        <f>WORKDAY(Y298,-INDEX(Y$2:Y$5,MATCH($I298,$I$2:$I$5,0)),$BB$10:$BB$141)</f>
        <v>#REF!</v>
      </c>
      <c r="Y298" s="155" t="e">
        <f>WORKDAY(Z298,-INDEX(Z$2:Z$5,MATCH($I298,$I$2:$I$5,0)),$BB$10:$BB$141)</f>
        <v>#REF!</v>
      </c>
      <c r="Z298" s="155" t="e">
        <f>WORKDAY(AA298,-INDEX(AA$2:AA$5,MATCH($I298,$I$2:$I$5,0)),$BB$10:$BB$141)</f>
        <v>#REF!</v>
      </c>
      <c r="AA298" s="155" t="e">
        <f>WORKDAY(#REF!,-INDEX(#REF!,MATCH($I298,$I$2:$I$5,0)),$BB$10:$BB$141)</f>
        <v>#REF!</v>
      </c>
      <c r="AB298" s="155">
        <f>WORKDAY(AG298,0,'[38]Equipment List and MR List (3)'!$A$2:$A$80)</f>
        <v>0</v>
      </c>
      <c r="AC298" s="797" t="s">
        <v>5365</v>
      </c>
      <c r="AD298" s="87">
        <v>7</v>
      </c>
      <c r="AE298" s="803"/>
      <c r="AF298" s="806" t="e">
        <f>AB299</f>
        <v>#REF!</v>
      </c>
      <c r="AG298" s="809"/>
      <c r="AH298" s="88"/>
      <c r="AI298" s="89"/>
      <c r="AJ298" s="812" t="e">
        <f>AG298-AF298</f>
        <v>#REF!</v>
      </c>
      <c r="AK298" s="131"/>
      <c r="AL298" s="132"/>
      <c r="AM298" s="133">
        <f t="shared" ref="AM298:AW298" si="345">IF(ISERROR(LOOKUP(AM$6,$S298:$AB298,$S$9:$AB$9)),0,(LOOKUP(AM$6,$S298:$AB298,$S$9:$AB$9)))</f>
        <v>0.95</v>
      </c>
      <c r="AN298" s="134">
        <f t="shared" si="345"/>
        <v>0.95</v>
      </c>
      <c r="AO298" s="134">
        <f t="shared" si="345"/>
        <v>0.95</v>
      </c>
      <c r="AP298" s="134">
        <f t="shared" si="345"/>
        <v>0.95</v>
      </c>
      <c r="AQ298" s="134">
        <f t="shared" si="345"/>
        <v>0.95</v>
      </c>
      <c r="AR298" s="134">
        <f t="shared" si="345"/>
        <v>0.95</v>
      </c>
      <c r="AS298" s="134">
        <f t="shared" si="345"/>
        <v>0.95</v>
      </c>
      <c r="AT298" s="134">
        <f t="shared" si="345"/>
        <v>0.95</v>
      </c>
      <c r="AU298" s="134">
        <f t="shared" si="345"/>
        <v>0.95</v>
      </c>
      <c r="AV298" s="134">
        <f t="shared" si="345"/>
        <v>0.95</v>
      </c>
      <c r="AW298" s="134">
        <f t="shared" ca="1" si="345"/>
        <v>0.95</v>
      </c>
      <c r="BB298" s="135"/>
    </row>
    <row r="299" spans="1:54" s="21" customFormat="1" ht="18" customHeight="1">
      <c r="A299" s="783"/>
      <c r="B299" s="156"/>
      <c r="C299" s="792"/>
      <c r="D299" s="96"/>
      <c r="E299" s="136" t="str">
        <f>E298</f>
        <v>RFQ-054</v>
      </c>
      <c r="F299" s="137" t="str">
        <f>F298</f>
        <v>N</v>
      </c>
      <c r="G299" s="159"/>
      <c r="H299" s="98"/>
      <c r="I299" s="136" t="str">
        <f>I298</f>
        <v>LD</v>
      </c>
      <c r="J299" s="137"/>
      <c r="K299" s="138"/>
      <c r="L299" s="138">
        <f>M300</f>
        <v>1E-3</v>
      </c>
      <c r="M299" s="138"/>
      <c r="N299" s="136"/>
      <c r="O299" s="136"/>
      <c r="P299" s="136"/>
      <c r="Q299" s="139" t="s">
        <v>5366</v>
      </c>
      <c r="R299" s="139"/>
      <c r="S299" s="140" t="e">
        <f>S298</f>
        <v>#REF!</v>
      </c>
      <c r="T299" s="141" t="e">
        <f>T298</f>
        <v>#REF!</v>
      </c>
      <c r="U299" s="141" t="e">
        <f>WORKDAY(IF(T300="",T299,T300),INDEX(U$2:U$5,MATCH($I298,$I$2:$I$5,0)),$BB$10:$BB$141)</f>
        <v>#REF!</v>
      </c>
      <c r="V299" s="141" t="e">
        <f>WORKDAY(IF(U300="",U299,U300),INDEX(V$2:V$5,MATCH($I298,$I$2:$I$5,0)),$BB$10:$BB$141)</f>
        <v>#REF!</v>
      </c>
      <c r="W299" s="141" t="e">
        <f>WORKDAY(IF(V300="",V299,V300),INDEX(W$2:W$5,MATCH($I298,$I$2:$I$5,0)),$BB$10:$BB$141)</f>
        <v>#REF!</v>
      </c>
      <c r="X299" s="141" t="e">
        <f>WORKDAY(IF(#REF!="",#REF!,#REF!),INDEX(X$2:X$5,MATCH($I298,$I$2:$I$5,0)),$BB$10:$BB$141)</f>
        <v>#REF!</v>
      </c>
      <c r="Y299" s="141" t="e">
        <f>WORKDAY(IF(X300="",X299,X300),INDEX(Y$2:Y$5,MATCH($I298,$I$2:$I$5,0)),$BB$10:$BB$141)</f>
        <v>#REF!</v>
      </c>
      <c r="Z299" s="141" t="e">
        <f>WORKDAY(IF(Y300="",Y299,Y300),INDEX(Z$2:Z$5,MATCH($I298,$I$2:$I$5,0)),$BB$10:$BB$141)</f>
        <v>#REF!</v>
      </c>
      <c r="AA299" s="141" t="e">
        <f>WORKDAY(IF(Z300="",Z299,Z300),INDEX(AA$2:AA$5,MATCH($I298,$I$2:$I$5,0)),$BB$10:$BB$141)</f>
        <v>#REF!</v>
      </c>
      <c r="AB299" s="142" t="e">
        <f>AE298+#REF!</f>
        <v>#REF!</v>
      </c>
      <c r="AC299" s="798"/>
      <c r="AD299" s="105"/>
      <c r="AE299" s="804"/>
      <c r="AF299" s="807"/>
      <c r="AG299" s="810"/>
      <c r="AH299" s="106"/>
      <c r="AI299" s="107"/>
      <c r="AJ299" s="813"/>
      <c r="AK299" s="143"/>
      <c r="AL299" s="144"/>
      <c r="AM299" s="133">
        <f t="shared" ref="AM299:AW299" si="346">IF(ISERROR(LOOKUP(AM$6,$S299:$AB299,$S$9:$AB$9)),0,(LOOKUP(AM$6,$S299:$AB299,$S$9:$AB$9)))</f>
        <v>0</v>
      </c>
      <c r="AN299" s="134">
        <f t="shared" si="346"/>
        <v>0</v>
      </c>
      <c r="AO299" s="134">
        <f t="shared" si="346"/>
        <v>0</v>
      </c>
      <c r="AP299" s="134">
        <f t="shared" si="346"/>
        <v>0</v>
      </c>
      <c r="AQ299" s="134">
        <f t="shared" si="346"/>
        <v>0</v>
      </c>
      <c r="AR299" s="134">
        <f t="shared" si="346"/>
        <v>0</v>
      </c>
      <c r="AS299" s="134">
        <f t="shared" si="346"/>
        <v>0</v>
      </c>
      <c r="AT299" s="134">
        <f t="shared" si="346"/>
        <v>0</v>
      </c>
      <c r="AU299" s="134">
        <f t="shared" si="346"/>
        <v>0</v>
      </c>
      <c r="AV299" s="134">
        <f t="shared" si="346"/>
        <v>0</v>
      </c>
      <c r="AW299" s="134">
        <f t="shared" ca="1" si="346"/>
        <v>0</v>
      </c>
      <c r="BB299" s="135"/>
    </row>
    <row r="300" spans="1:54" s="21" customFormat="1" ht="18" customHeight="1">
      <c r="A300" s="784"/>
      <c r="B300" s="157"/>
      <c r="C300" s="793"/>
      <c r="D300" s="111"/>
      <c r="E300" s="145" t="str">
        <f>E298</f>
        <v>RFQ-054</v>
      </c>
      <c r="F300" s="146" t="str">
        <f>F298</f>
        <v>N</v>
      </c>
      <c r="G300" s="160"/>
      <c r="H300" s="113"/>
      <c r="I300" s="145" t="str">
        <f>I298</f>
        <v>LD</v>
      </c>
      <c r="J300" s="146"/>
      <c r="K300" s="147"/>
      <c r="L300" s="147"/>
      <c r="M300" s="147">
        <v>1E-3</v>
      </c>
      <c r="N300" s="145"/>
      <c r="O300" s="145"/>
      <c r="P300" s="145"/>
      <c r="Q300" s="148" t="s">
        <v>368</v>
      </c>
      <c r="R300" s="148"/>
      <c r="S300" s="149"/>
      <c r="T300" s="149"/>
      <c r="U300" s="149"/>
      <c r="V300" s="149"/>
      <c r="W300" s="149"/>
      <c r="X300" s="149"/>
      <c r="Y300" s="149"/>
      <c r="Z300" s="149"/>
      <c r="AA300" s="149"/>
      <c r="AB300" s="149"/>
      <c r="AC300" s="799"/>
      <c r="AD300" s="116"/>
      <c r="AE300" s="805"/>
      <c r="AF300" s="808"/>
      <c r="AG300" s="811"/>
      <c r="AH300" s="117"/>
      <c r="AI300" s="118"/>
      <c r="AJ300" s="814"/>
      <c r="AK300" s="150"/>
      <c r="AL300" s="151"/>
      <c r="AM300" s="152">
        <f t="shared" ref="AM300:AW300" si="347">IF(ISERROR(LOOKUP(AM$6,$S300:$AB300,$S$9:$AB$9)),0,(LOOKUP(AM$6,$S300:$AB300,$S$9:$AB$9)))</f>
        <v>0</v>
      </c>
      <c r="AN300" s="153">
        <f t="shared" si="347"/>
        <v>0</v>
      </c>
      <c r="AO300" s="153">
        <f t="shared" si="347"/>
        <v>0</v>
      </c>
      <c r="AP300" s="153">
        <f t="shared" si="347"/>
        <v>0</v>
      </c>
      <c r="AQ300" s="153">
        <f t="shared" si="347"/>
        <v>0</v>
      </c>
      <c r="AR300" s="153">
        <f t="shared" si="347"/>
        <v>0</v>
      </c>
      <c r="AS300" s="153">
        <f t="shared" si="347"/>
        <v>0</v>
      </c>
      <c r="AT300" s="153">
        <f t="shared" si="347"/>
        <v>0</v>
      </c>
      <c r="AU300" s="153">
        <f t="shared" si="347"/>
        <v>0</v>
      </c>
      <c r="AV300" s="153">
        <f t="shared" si="347"/>
        <v>0</v>
      </c>
      <c r="AW300" s="153">
        <f t="shared" ca="1" si="347"/>
        <v>0</v>
      </c>
      <c r="BB300" s="135"/>
    </row>
    <row r="301" spans="1:54" ht="20.100000000000001" customHeight="1">
      <c r="E301" s="29"/>
    </row>
    <row r="303" spans="1:54" ht="20.100000000000001" customHeight="1">
      <c r="AH303" s="32" t="s">
        <v>5462</v>
      </c>
    </row>
  </sheetData>
  <protectedRanges>
    <protectedRange password="C5A1" sqref="H5 AD5:AK5" name="区域1"/>
  </protectedRanges>
  <mergeCells count="794">
    <mergeCell ref="AK6:AK7"/>
    <mergeCell ref="AL6:AL7"/>
    <mergeCell ref="AJ274:AJ276"/>
    <mergeCell ref="AJ277:AJ279"/>
    <mergeCell ref="AJ280:AJ282"/>
    <mergeCell ref="AJ283:AJ285"/>
    <mergeCell ref="AJ286:AJ288"/>
    <mergeCell ref="AJ289:AJ291"/>
    <mergeCell ref="AJ292:AJ294"/>
    <mergeCell ref="AJ295:AJ297"/>
    <mergeCell ref="AJ298:AJ300"/>
    <mergeCell ref="AJ247:AJ249"/>
    <mergeCell ref="AJ250:AJ252"/>
    <mergeCell ref="AJ253:AJ255"/>
    <mergeCell ref="AJ256:AJ258"/>
    <mergeCell ref="AJ259:AJ261"/>
    <mergeCell ref="AJ262:AJ264"/>
    <mergeCell ref="AJ265:AJ267"/>
    <mergeCell ref="AJ268:AJ270"/>
    <mergeCell ref="AJ271:AJ273"/>
    <mergeCell ref="AJ220:AJ222"/>
    <mergeCell ref="AJ223:AJ225"/>
    <mergeCell ref="AJ226:AJ228"/>
    <mergeCell ref="AJ229:AJ231"/>
    <mergeCell ref="AJ232:AJ234"/>
    <mergeCell ref="AJ235:AJ237"/>
    <mergeCell ref="AJ238:AJ240"/>
    <mergeCell ref="AJ241:AJ243"/>
    <mergeCell ref="AJ244:AJ246"/>
    <mergeCell ref="AJ193:AJ195"/>
    <mergeCell ref="AJ196:AJ198"/>
    <mergeCell ref="AJ199:AJ201"/>
    <mergeCell ref="AJ202:AJ204"/>
    <mergeCell ref="AJ205:AJ207"/>
    <mergeCell ref="AJ208:AJ210"/>
    <mergeCell ref="AJ211:AJ213"/>
    <mergeCell ref="AJ214:AJ216"/>
    <mergeCell ref="AJ217:AJ219"/>
    <mergeCell ref="AJ166:AJ168"/>
    <mergeCell ref="AJ169:AJ171"/>
    <mergeCell ref="AJ172:AJ174"/>
    <mergeCell ref="AJ175:AJ177"/>
    <mergeCell ref="AJ178:AJ180"/>
    <mergeCell ref="AJ181:AJ183"/>
    <mergeCell ref="AJ184:AJ186"/>
    <mergeCell ref="AJ187:AJ189"/>
    <mergeCell ref="AJ190:AJ192"/>
    <mergeCell ref="AJ139:AJ141"/>
    <mergeCell ref="AJ142:AJ144"/>
    <mergeCell ref="AJ145:AJ147"/>
    <mergeCell ref="AJ148:AJ150"/>
    <mergeCell ref="AJ151:AJ153"/>
    <mergeCell ref="AJ154:AJ156"/>
    <mergeCell ref="AJ157:AJ159"/>
    <mergeCell ref="AJ160:AJ162"/>
    <mergeCell ref="AJ163:AJ165"/>
    <mergeCell ref="AJ112:AJ114"/>
    <mergeCell ref="AJ115:AJ117"/>
    <mergeCell ref="AJ118:AJ120"/>
    <mergeCell ref="AJ121:AJ123"/>
    <mergeCell ref="AJ124:AJ126"/>
    <mergeCell ref="AJ127:AJ129"/>
    <mergeCell ref="AJ130:AJ132"/>
    <mergeCell ref="AJ133:AJ135"/>
    <mergeCell ref="AJ136:AJ138"/>
    <mergeCell ref="AJ85:AJ87"/>
    <mergeCell ref="AJ88:AJ90"/>
    <mergeCell ref="AJ91:AJ93"/>
    <mergeCell ref="AJ94:AJ96"/>
    <mergeCell ref="AJ97:AJ99"/>
    <mergeCell ref="AJ100:AJ102"/>
    <mergeCell ref="AJ103:AJ105"/>
    <mergeCell ref="AJ106:AJ108"/>
    <mergeCell ref="AJ109:AJ111"/>
    <mergeCell ref="AJ58:AJ60"/>
    <mergeCell ref="AJ61:AJ63"/>
    <mergeCell ref="AJ64:AJ66"/>
    <mergeCell ref="AJ67:AJ69"/>
    <mergeCell ref="AJ70:AJ72"/>
    <mergeCell ref="AJ73:AJ75"/>
    <mergeCell ref="AJ76:AJ78"/>
    <mergeCell ref="AJ79:AJ81"/>
    <mergeCell ref="AJ82:AJ84"/>
    <mergeCell ref="AJ31:AJ33"/>
    <mergeCell ref="AJ34:AJ36"/>
    <mergeCell ref="AJ37:AJ39"/>
    <mergeCell ref="AJ40:AJ42"/>
    <mergeCell ref="AJ43:AJ45"/>
    <mergeCell ref="AJ46:AJ48"/>
    <mergeCell ref="AJ49:AJ51"/>
    <mergeCell ref="AJ52:AJ54"/>
    <mergeCell ref="AJ55:AJ57"/>
    <mergeCell ref="AI6:AI7"/>
    <mergeCell ref="AJ6:AJ7"/>
    <mergeCell ref="AJ10:AJ12"/>
    <mergeCell ref="AJ13:AJ15"/>
    <mergeCell ref="AJ16:AJ18"/>
    <mergeCell ref="AJ19:AJ21"/>
    <mergeCell ref="AJ22:AJ24"/>
    <mergeCell ref="AJ25:AJ27"/>
    <mergeCell ref="AJ28:AJ30"/>
    <mergeCell ref="AG277:AG279"/>
    <mergeCell ref="AG280:AG282"/>
    <mergeCell ref="AG283:AG285"/>
    <mergeCell ref="AG286:AG288"/>
    <mergeCell ref="AG289:AG291"/>
    <mergeCell ref="AG292:AG294"/>
    <mergeCell ref="AG295:AG297"/>
    <mergeCell ref="AG298:AG300"/>
    <mergeCell ref="AH6:AH7"/>
    <mergeCell ref="AG250:AG252"/>
    <mergeCell ref="AG253:AG255"/>
    <mergeCell ref="AG256:AG258"/>
    <mergeCell ref="AG259:AG261"/>
    <mergeCell ref="AG262:AG264"/>
    <mergeCell ref="AG265:AG267"/>
    <mergeCell ref="AG268:AG270"/>
    <mergeCell ref="AG271:AG273"/>
    <mergeCell ref="AG274:AG276"/>
    <mergeCell ref="AG223:AG225"/>
    <mergeCell ref="AG226:AG228"/>
    <mergeCell ref="AG229:AG231"/>
    <mergeCell ref="AG232:AG234"/>
    <mergeCell ref="AG235:AG237"/>
    <mergeCell ref="AG238:AG240"/>
    <mergeCell ref="AG241:AG243"/>
    <mergeCell ref="AG244:AG246"/>
    <mergeCell ref="AG247:AG249"/>
    <mergeCell ref="AG196:AG198"/>
    <mergeCell ref="AG199:AG201"/>
    <mergeCell ref="AG202:AG204"/>
    <mergeCell ref="AG205:AG207"/>
    <mergeCell ref="AG208:AG210"/>
    <mergeCell ref="AG211:AG213"/>
    <mergeCell ref="AG214:AG216"/>
    <mergeCell ref="AG217:AG219"/>
    <mergeCell ref="AG220:AG222"/>
    <mergeCell ref="AG169:AG171"/>
    <mergeCell ref="AG172:AG174"/>
    <mergeCell ref="AG175:AG177"/>
    <mergeCell ref="AG178:AG180"/>
    <mergeCell ref="AG181:AG183"/>
    <mergeCell ref="AG184:AG186"/>
    <mergeCell ref="AG187:AG189"/>
    <mergeCell ref="AG190:AG192"/>
    <mergeCell ref="AG193:AG195"/>
    <mergeCell ref="AG142:AG144"/>
    <mergeCell ref="AG145:AG147"/>
    <mergeCell ref="AG148:AG150"/>
    <mergeCell ref="AG151:AG153"/>
    <mergeCell ref="AG154:AG156"/>
    <mergeCell ref="AG157:AG159"/>
    <mergeCell ref="AG160:AG162"/>
    <mergeCell ref="AG163:AG165"/>
    <mergeCell ref="AG166:AG168"/>
    <mergeCell ref="AG115:AG117"/>
    <mergeCell ref="AG118:AG120"/>
    <mergeCell ref="AG121:AG123"/>
    <mergeCell ref="AG124:AG126"/>
    <mergeCell ref="AG127:AG129"/>
    <mergeCell ref="AG130:AG132"/>
    <mergeCell ref="AG133:AG135"/>
    <mergeCell ref="AG136:AG138"/>
    <mergeCell ref="AG139:AG141"/>
    <mergeCell ref="AG88:AG90"/>
    <mergeCell ref="AG91:AG93"/>
    <mergeCell ref="AG94:AG96"/>
    <mergeCell ref="AG97:AG99"/>
    <mergeCell ref="AG100:AG102"/>
    <mergeCell ref="AG103:AG105"/>
    <mergeCell ref="AG106:AG108"/>
    <mergeCell ref="AG109:AG111"/>
    <mergeCell ref="AG112:AG114"/>
    <mergeCell ref="AG61:AG63"/>
    <mergeCell ref="AG64:AG66"/>
    <mergeCell ref="AG67:AG69"/>
    <mergeCell ref="AG70:AG72"/>
    <mergeCell ref="AG73:AG75"/>
    <mergeCell ref="AG76:AG78"/>
    <mergeCell ref="AG79:AG81"/>
    <mergeCell ref="AG82:AG84"/>
    <mergeCell ref="AG85:AG87"/>
    <mergeCell ref="AF283:AF285"/>
    <mergeCell ref="AF286:AF288"/>
    <mergeCell ref="AF289:AF291"/>
    <mergeCell ref="AF292:AF294"/>
    <mergeCell ref="AF295:AF297"/>
    <mergeCell ref="AF298:AF300"/>
    <mergeCell ref="AG6:AG7"/>
    <mergeCell ref="AG10:AG12"/>
    <mergeCell ref="AG13:AG15"/>
    <mergeCell ref="AG16:AG18"/>
    <mergeCell ref="AG19:AG21"/>
    <mergeCell ref="AG22:AG24"/>
    <mergeCell ref="AG25:AG27"/>
    <mergeCell ref="AG28:AG30"/>
    <mergeCell ref="AG31:AG33"/>
    <mergeCell ref="AG34:AG36"/>
    <mergeCell ref="AG37:AG39"/>
    <mergeCell ref="AG40:AG42"/>
    <mergeCell ref="AG43:AG45"/>
    <mergeCell ref="AG46:AG48"/>
    <mergeCell ref="AG49:AG51"/>
    <mergeCell ref="AG52:AG54"/>
    <mergeCell ref="AG55:AG57"/>
    <mergeCell ref="AG58:AG60"/>
    <mergeCell ref="AF256:AF258"/>
    <mergeCell ref="AF259:AF261"/>
    <mergeCell ref="AF262:AF264"/>
    <mergeCell ref="AF265:AF267"/>
    <mergeCell ref="AF268:AF270"/>
    <mergeCell ref="AF271:AF273"/>
    <mergeCell ref="AF274:AF276"/>
    <mergeCell ref="AF277:AF279"/>
    <mergeCell ref="AF280:AF282"/>
    <mergeCell ref="AF229:AF231"/>
    <mergeCell ref="AF232:AF234"/>
    <mergeCell ref="AF235:AF237"/>
    <mergeCell ref="AF238:AF240"/>
    <mergeCell ref="AF241:AF243"/>
    <mergeCell ref="AF244:AF246"/>
    <mergeCell ref="AF247:AF249"/>
    <mergeCell ref="AF250:AF252"/>
    <mergeCell ref="AF253:AF255"/>
    <mergeCell ref="AF202:AF204"/>
    <mergeCell ref="AF205:AF207"/>
    <mergeCell ref="AF208:AF210"/>
    <mergeCell ref="AF211:AF213"/>
    <mergeCell ref="AF214:AF216"/>
    <mergeCell ref="AF217:AF219"/>
    <mergeCell ref="AF220:AF222"/>
    <mergeCell ref="AF223:AF225"/>
    <mergeCell ref="AF226:AF228"/>
    <mergeCell ref="AF175:AF177"/>
    <mergeCell ref="AF178:AF180"/>
    <mergeCell ref="AF181:AF183"/>
    <mergeCell ref="AF184:AF186"/>
    <mergeCell ref="AF187:AF189"/>
    <mergeCell ref="AF190:AF192"/>
    <mergeCell ref="AF193:AF195"/>
    <mergeCell ref="AF196:AF198"/>
    <mergeCell ref="AF199:AF201"/>
    <mergeCell ref="AF148:AF150"/>
    <mergeCell ref="AF151:AF153"/>
    <mergeCell ref="AF154:AF156"/>
    <mergeCell ref="AF157:AF159"/>
    <mergeCell ref="AF160:AF162"/>
    <mergeCell ref="AF163:AF165"/>
    <mergeCell ref="AF166:AF168"/>
    <mergeCell ref="AF169:AF171"/>
    <mergeCell ref="AF172:AF174"/>
    <mergeCell ref="AF121:AF123"/>
    <mergeCell ref="AF124:AF126"/>
    <mergeCell ref="AF127:AF129"/>
    <mergeCell ref="AF130:AF132"/>
    <mergeCell ref="AF133:AF135"/>
    <mergeCell ref="AF136:AF138"/>
    <mergeCell ref="AF139:AF141"/>
    <mergeCell ref="AF142:AF144"/>
    <mergeCell ref="AF145:AF147"/>
    <mergeCell ref="AF94:AF96"/>
    <mergeCell ref="AF97:AF99"/>
    <mergeCell ref="AF100:AF102"/>
    <mergeCell ref="AF103:AF105"/>
    <mergeCell ref="AF106:AF108"/>
    <mergeCell ref="AF109:AF111"/>
    <mergeCell ref="AF112:AF114"/>
    <mergeCell ref="AF115:AF117"/>
    <mergeCell ref="AF118:AF120"/>
    <mergeCell ref="AF67:AF69"/>
    <mergeCell ref="AF70:AF72"/>
    <mergeCell ref="AF73:AF75"/>
    <mergeCell ref="AF76:AF78"/>
    <mergeCell ref="AF79:AF81"/>
    <mergeCell ref="AF82:AF84"/>
    <mergeCell ref="AF85:AF87"/>
    <mergeCell ref="AF88:AF90"/>
    <mergeCell ref="AF91:AF93"/>
    <mergeCell ref="AE289:AE291"/>
    <mergeCell ref="AE292:AE294"/>
    <mergeCell ref="AE295:AE297"/>
    <mergeCell ref="AE298:AE300"/>
    <mergeCell ref="AF6:AF7"/>
    <mergeCell ref="AF10:AF12"/>
    <mergeCell ref="AF13:AF15"/>
    <mergeCell ref="AF16:AF18"/>
    <mergeCell ref="AF19:AF21"/>
    <mergeCell ref="AF22:AF24"/>
    <mergeCell ref="AF25:AF27"/>
    <mergeCell ref="AF28:AF30"/>
    <mergeCell ref="AF31:AF33"/>
    <mergeCell ref="AF34:AF36"/>
    <mergeCell ref="AF37:AF39"/>
    <mergeCell ref="AF40:AF42"/>
    <mergeCell ref="AF43:AF45"/>
    <mergeCell ref="AF46:AF48"/>
    <mergeCell ref="AF49:AF51"/>
    <mergeCell ref="AF52:AF54"/>
    <mergeCell ref="AF55:AF57"/>
    <mergeCell ref="AF58:AF60"/>
    <mergeCell ref="AF61:AF63"/>
    <mergeCell ref="AF64:AF66"/>
    <mergeCell ref="AE262:AE264"/>
    <mergeCell ref="AE265:AE267"/>
    <mergeCell ref="AE268:AE270"/>
    <mergeCell ref="AE271:AE273"/>
    <mergeCell ref="AE274:AE276"/>
    <mergeCell ref="AE277:AE279"/>
    <mergeCell ref="AE280:AE282"/>
    <mergeCell ref="AE283:AE285"/>
    <mergeCell ref="AE286:AE288"/>
    <mergeCell ref="AE235:AE237"/>
    <mergeCell ref="AE238:AE240"/>
    <mergeCell ref="AE241:AE243"/>
    <mergeCell ref="AE244:AE246"/>
    <mergeCell ref="AE247:AE249"/>
    <mergeCell ref="AE250:AE252"/>
    <mergeCell ref="AE253:AE255"/>
    <mergeCell ref="AE256:AE258"/>
    <mergeCell ref="AE259:AE261"/>
    <mergeCell ref="AE208:AE210"/>
    <mergeCell ref="AE211:AE213"/>
    <mergeCell ref="AE214:AE216"/>
    <mergeCell ref="AE217:AE219"/>
    <mergeCell ref="AE220:AE222"/>
    <mergeCell ref="AE223:AE225"/>
    <mergeCell ref="AE226:AE228"/>
    <mergeCell ref="AE229:AE231"/>
    <mergeCell ref="AE232:AE234"/>
    <mergeCell ref="AE181:AE183"/>
    <mergeCell ref="AE184:AE186"/>
    <mergeCell ref="AE187:AE189"/>
    <mergeCell ref="AE190:AE192"/>
    <mergeCell ref="AE193:AE195"/>
    <mergeCell ref="AE196:AE198"/>
    <mergeCell ref="AE199:AE201"/>
    <mergeCell ref="AE202:AE204"/>
    <mergeCell ref="AE205:AE207"/>
    <mergeCell ref="AE154:AE156"/>
    <mergeCell ref="AE157:AE159"/>
    <mergeCell ref="AE160:AE162"/>
    <mergeCell ref="AE163:AE165"/>
    <mergeCell ref="AE166:AE168"/>
    <mergeCell ref="AE169:AE171"/>
    <mergeCell ref="AE172:AE174"/>
    <mergeCell ref="AE175:AE177"/>
    <mergeCell ref="AE178:AE180"/>
    <mergeCell ref="AE127:AE129"/>
    <mergeCell ref="AE130:AE132"/>
    <mergeCell ref="AE133:AE135"/>
    <mergeCell ref="AE136:AE138"/>
    <mergeCell ref="AE139:AE141"/>
    <mergeCell ref="AE142:AE144"/>
    <mergeCell ref="AE145:AE147"/>
    <mergeCell ref="AE148:AE150"/>
    <mergeCell ref="AE151:AE153"/>
    <mergeCell ref="AE100:AE102"/>
    <mergeCell ref="AE103:AE105"/>
    <mergeCell ref="AE106:AE108"/>
    <mergeCell ref="AE109:AE111"/>
    <mergeCell ref="AE112:AE114"/>
    <mergeCell ref="AE115:AE117"/>
    <mergeCell ref="AE118:AE120"/>
    <mergeCell ref="AE121:AE123"/>
    <mergeCell ref="AE124:AE126"/>
    <mergeCell ref="AE73:AE75"/>
    <mergeCell ref="AE76:AE78"/>
    <mergeCell ref="AE79:AE81"/>
    <mergeCell ref="AE82:AE84"/>
    <mergeCell ref="AE85:AE87"/>
    <mergeCell ref="AE88:AE90"/>
    <mergeCell ref="AE91:AE93"/>
    <mergeCell ref="AE94:AE96"/>
    <mergeCell ref="AE97:AE99"/>
    <mergeCell ref="AC298:AC300"/>
    <mergeCell ref="AD6:AD7"/>
    <mergeCell ref="AE6:AE7"/>
    <mergeCell ref="AE10:AE12"/>
    <mergeCell ref="AE13:AE15"/>
    <mergeCell ref="AE16:AE18"/>
    <mergeCell ref="AE19:AE21"/>
    <mergeCell ref="AE22:AE24"/>
    <mergeCell ref="AE25:AE27"/>
    <mergeCell ref="AE28:AE30"/>
    <mergeCell ref="AE31:AE33"/>
    <mergeCell ref="AE34:AE36"/>
    <mergeCell ref="AE37:AE39"/>
    <mergeCell ref="AE40:AE42"/>
    <mergeCell ref="AE43:AE45"/>
    <mergeCell ref="AE46:AE48"/>
    <mergeCell ref="AE49:AE51"/>
    <mergeCell ref="AE52:AE54"/>
    <mergeCell ref="AE55:AE57"/>
    <mergeCell ref="AE58:AE60"/>
    <mergeCell ref="AE61:AE63"/>
    <mergeCell ref="AE64:AE66"/>
    <mergeCell ref="AE67:AE69"/>
    <mergeCell ref="AE70:AE72"/>
    <mergeCell ref="AC271:AC273"/>
    <mergeCell ref="AC274:AC276"/>
    <mergeCell ref="AC277:AC279"/>
    <mergeCell ref="AC280:AC282"/>
    <mergeCell ref="AC283:AC285"/>
    <mergeCell ref="AC286:AC288"/>
    <mergeCell ref="AC289:AC291"/>
    <mergeCell ref="AC292:AC294"/>
    <mergeCell ref="AC295:AC297"/>
    <mergeCell ref="AC244:AC246"/>
    <mergeCell ref="AC247:AC249"/>
    <mergeCell ref="AC250:AC252"/>
    <mergeCell ref="AC253:AC255"/>
    <mergeCell ref="AC256:AC258"/>
    <mergeCell ref="AC259:AC261"/>
    <mergeCell ref="AC262:AC264"/>
    <mergeCell ref="AC265:AC267"/>
    <mergeCell ref="AC268:AC270"/>
    <mergeCell ref="AC217:AC219"/>
    <mergeCell ref="AC220:AC222"/>
    <mergeCell ref="AC223:AC225"/>
    <mergeCell ref="AC226:AC228"/>
    <mergeCell ref="AC229:AC231"/>
    <mergeCell ref="AC232:AC234"/>
    <mergeCell ref="AC235:AC237"/>
    <mergeCell ref="AC238:AC240"/>
    <mergeCell ref="AC241:AC243"/>
    <mergeCell ref="AC190:AC192"/>
    <mergeCell ref="AC193:AC195"/>
    <mergeCell ref="AC196:AC198"/>
    <mergeCell ref="AC199:AC201"/>
    <mergeCell ref="AC202:AC204"/>
    <mergeCell ref="AC205:AC207"/>
    <mergeCell ref="AC208:AC210"/>
    <mergeCell ref="AC211:AC213"/>
    <mergeCell ref="AC214:AC216"/>
    <mergeCell ref="AC163:AC165"/>
    <mergeCell ref="AC166:AC168"/>
    <mergeCell ref="AC169:AC171"/>
    <mergeCell ref="AC172:AC174"/>
    <mergeCell ref="AC175:AC177"/>
    <mergeCell ref="AC178:AC180"/>
    <mergeCell ref="AC181:AC183"/>
    <mergeCell ref="AC184:AC186"/>
    <mergeCell ref="AC187:AC189"/>
    <mergeCell ref="AC136:AC138"/>
    <mergeCell ref="AC139:AC141"/>
    <mergeCell ref="AC142:AC144"/>
    <mergeCell ref="AC145:AC147"/>
    <mergeCell ref="AC148:AC150"/>
    <mergeCell ref="AC151:AC153"/>
    <mergeCell ref="AC154:AC156"/>
    <mergeCell ref="AC157:AC159"/>
    <mergeCell ref="AC160:AC162"/>
    <mergeCell ref="AC109:AC111"/>
    <mergeCell ref="AC112:AC114"/>
    <mergeCell ref="AC115:AC117"/>
    <mergeCell ref="AC118:AC120"/>
    <mergeCell ref="AC121:AC123"/>
    <mergeCell ref="AC124:AC126"/>
    <mergeCell ref="AC127:AC129"/>
    <mergeCell ref="AC130:AC132"/>
    <mergeCell ref="AC133:AC135"/>
    <mergeCell ref="AC82:AC84"/>
    <mergeCell ref="AC85:AC87"/>
    <mergeCell ref="AC88:AC90"/>
    <mergeCell ref="AC91:AC93"/>
    <mergeCell ref="AC94:AC96"/>
    <mergeCell ref="AC97:AC99"/>
    <mergeCell ref="AC100:AC102"/>
    <mergeCell ref="AC103:AC105"/>
    <mergeCell ref="AC106:AC108"/>
    <mergeCell ref="AC55:AC57"/>
    <mergeCell ref="AC58:AC60"/>
    <mergeCell ref="AC61:AC63"/>
    <mergeCell ref="AC64:AC66"/>
    <mergeCell ref="AC67:AC69"/>
    <mergeCell ref="AC70:AC72"/>
    <mergeCell ref="AC73:AC75"/>
    <mergeCell ref="AC76:AC78"/>
    <mergeCell ref="AC79:AC81"/>
    <mergeCell ref="AC28:AC30"/>
    <mergeCell ref="AC31:AC33"/>
    <mergeCell ref="AC34:AC36"/>
    <mergeCell ref="AC37:AC39"/>
    <mergeCell ref="AC40:AC42"/>
    <mergeCell ref="AC43:AC45"/>
    <mergeCell ref="AC46:AC48"/>
    <mergeCell ref="AC49:AC51"/>
    <mergeCell ref="AC52:AC54"/>
    <mergeCell ref="AA6:AA7"/>
    <mergeCell ref="AB6:AB7"/>
    <mergeCell ref="AC6:AC7"/>
    <mergeCell ref="AC10:AC12"/>
    <mergeCell ref="AC13:AC15"/>
    <mergeCell ref="AC16:AC18"/>
    <mergeCell ref="AC19:AC21"/>
    <mergeCell ref="AC22:AC24"/>
    <mergeCell ref="AC25:AC27"/>
    <mergeCell ref="R6:R7"/>
    <mergeCell ref="S6:S7"/>
    <mergeCell ref="T6:T7"/>
    <mergeCell ref="U6:U7"/>
    <mergeCell ref="V6:V7"/>
    <mergeCell ref="W6:W7"/>
    <mergeCell ref="X6:X7"/>
    <mergeCell ref="Y6:Y7"/>
    <mergeCell ref="Z6:Z7"/>
    <mergeCell ref="G193:G195"/>
    <mergeCell ref="G196:G198"/>
    <mergeCell ref="G199:G201"/>
    <mergeCell ref="G202:G204"/>
    <mergeCell ref="G205:G207"/>
    <mergeCell ref="H6:H7"/>
    <mergeCell ref="I6:I7"/>
    <mergeCell ref="J6:J7"/>
    <mergeCell ref="Q6:Q7"/>
    <mergeCell ref="G166:G168"/>
    <mergeCell ref="G169:G171"/>
    <mergeCell ref="G172:G174"/>
    <mergeCell ref="G175:G177"/>
    <mergeCell ref="G178:G180"/>
    <mergeCell ref="G181:G183"/>
    <mergeCell ref="G184:G186"/>
    <mergeCell ref="G187:G189"/>
    <mergeCell ref="G190:G192"/>
    <mergeCell ref="G139:G141"/>
    <mergeCell ref="G142:G144"/>
    <mergeCell ref="G145:G147"/>
    <mergeCell ref="G148:G150"/>
    <mergeCell ref="G151:G153"/>
    <mergeCell ref="G154:G156"/>
    <mergeCell ref="G157:G159"/>
    <mergeCell ref="G160:G162"/>
    <mergeCell ref="G163:G165"/>
    <mergeCell ref="G112:G114"/>
    <mergeCell ref="G115:G117"/>
    <mergeCell ref="G118:G120"/>
    <mergeCell ref="G121:G123"/>
    <mergeCell ref="G124:G126"/>
    <mergeCell ref="G127:G129"/>
    <mergeCell ref="G130:G132"/>
    <mergeCell ref="G133:G135"/>
    <mergeCell ref="G136:G138"/>
    <mergeCell ref="G85:G87"/>
    <mergeCell ref="G88:G90"/>
    <mergeCell ref="G91:G93"/>
    <mergeCell ref="G94:G96"/>
    <mergeCell ref="G97:G99"/>
    <mergeCell ref="G100:G102"/>
    <mergeCell ref="G103:G105"/>
    <mergeCell ref="G106:G108"/>
    <mergeCell ref="G109:G111"/>
    <mergeCell ref="G58:G60"/>
    <mergeCell ref="G61:G63"/>
    <mergeCell ref="G64:G66"/>
    <mergeCell ref="G67:G69"/>
    <mergeCell ref="G70:G72"/>
    <mergeCell ref="G73:G75"/>
    <mergeCell ref="G76:G78"/>
    <mergeCell ref="G79:G81"/>
    <mergeCell ref="G82:G84"/>
    <mergeCell ref="C286:C288"/>
    <mergeCell ref="C289:C291"/>
    <mergeCell ref="C292:C294"/>
    <mergeCell ref="C295:C297"/>
    <mergeCell ref="C298:C300"/>
    <mergeCell ref="D6:D7"/>
    <mergeCell ref="E6:E7"/>
    <mergeCell ref="G6:G7"/>
    <mergeCell ref="G10:G12"/>
    <mergeCell ref="G13:G15"/>
    <mergeCell ref="G16:G18"/>
    <mergeCell ref="G19:G21"/>
    <mergeCell ref="G22:G24"/>
    <mergeCell ref="G25:G27"/>
    <mergeCell ref="G28:G30"/>
    <mergeCell ref="G31:G33"/>
    <mergeCell ref="G34:G36"/>
    <mergeCell ref="G37:G39"/>
    <mergeCell ref="G40:G42"/>
    <mergeCell ref="G43:G45"/>
    <mergeCell ref="G46:G48"/>
    <mergeCell ref="G49:G51"/>
    <mergeCell ref="G52:G54"/>
    <mergeCell ref="G55:G57"/>
    <mergeCell ref="C259:C261"/>
    <mergeCell ref="C262:C264"/>
    <mergeCell ref="C265:C267"/>
    <mergeCell ref="C268:C270"/>
    <mergeCell ref="C271:C273"/>
    <mergeCell ref="C274:C276"/>
    <mergeCell ref="C277:C279"/>
    <mergeCell ref="C280:C282"/>
    <mergeCell ref="C283:C285"/>
    <mergeCell ref="C232:C234"/>
    <mergeCell ref="C235:C237"/>
    <mergeCell ref="C238:C240"/>
    <mergeCell ref="C241:C243"/>
    <mergeCell ref="C244:C246"/>
    <mergeCell ref="C247:C249"/>
    <mergeCell ref="C250:C252"/>
    <mergeCell ref="C253:C255"/>
    <mergeCell ref="C256:C258"/>
    <mergeCell ref="C205:C207"/>
    <mergeCell ref="C208:C210"/>
    <mergeCell ref="C211:C213"/>
    <mergeCell ref="C214:C216"/>
    <mergeCell ref="C217:C219"/>
    <mergeCell ref="C220:C222"/>
    <mergeCell ref="C223:C225"/>
    <mergeCell ref="C226:C228"/>
    <mergeCell ref="C229:C231"/>
    <mergeCell ref="C178:C180"/>
    <mergeCell ref="C181:C183"/>
    <mergeCell ref="C184:C186"/>
    <mergeCell ref="C187:C189"/>
    <mergeCell ref="C190:C192"/>
    <mergeCell ref="C193:C195"/>
    <mergeCell ref="C196:C198"/>
    <mergeCell ref="C199:C201"/>
    <mergeCell ref="C202:C204"/>
    <mergeCell ref="C151:C153"/>
    <mergeCell ref="C154:C156"/>
    <mergeCell ref="C157:C159"/>
    <mergeCell ref="C160:C162"/>
    <mergeCell ref="C163:C165"/>
    <mergeCell ref="C166:C168"/>
    <mergeCell ref="C169:C171"/>
    <mergeCell ref="C172:C174"/>
    <mergeCell ref="C175:C177"/>
    <mergeCell ref="C124:C126"/>
    <mergeCell ref="C127:C129"/>
    <mergeCell ref="C130:C132"/>
    <mergeCell ref="C133:C135"/>
    <mergeCell ref="C136:C138"/>
    <mergeCell ref="C139:C141"/>
    <mergeCell ref="C142:C144"/>
    <mergeCell ref="C145:C147"/>
    <mergeCell ref="C148:C150"/>
    <mergeCell ref="C97:C99"/>
    <mergeCell ref="C100:C102"/>
    <mergeCell ref="C103:C105"/>
    <mergeCell ref="C106:C108"/>
    <mergeCell ref="C109:C111"/>
    <mergeCell ref="C112:C114"/>
    <mergeCell ref="C115:C117"/>
    <mergeCell ref="C118:C120"/>
    <mergeCell ref="C121:C123"/>
    <mergeCell ref="C70:C72"/>
    <mergeCell ref="C73:C75"/>
    <mergeCell ref="C76:C78"/>
    <mergeCell ref="C79:C81"/>
    <mergeCell ref="C82:C84"/>
    <mergeCell ref="C85:C87"/>
    <mergeCell ref="C88:C90"/>
    <mergeCell ref="C91:C93"/>
    <mergeCell ref="C94:C96"/>
    <mergeCell ref="B172:B174"/>
    <mergeCell ref="B175:B177"/>
    <mergeCell ref="B178:B180"/>
    <mergeCell ref="C6:C7"/>
    <mergeCell ref="C10:C12"/>
    <mergeCell ref="C13:C15"/>
    <mergeCell ref="C16:C18"/>
    <mergeCell ref="C19:C21"/>
    <mergeCell ref="C22:C24"/>
    <mergeCell ref="C25:C27"/>
    <mergeCell ref="C28:C30"/>
    <mergeCell ref="C31:C33"/>
    <mergeCell ref="C34:C36"/>
    <mergeCell ref="C37:C39"/>
    <mergeCell ref="C40:C42"/>
    <mergeCell ref="C43:C45"/>
    <mergeCell ref="C46:C48"/>
    <mergeCell ref="C49:C51"/>
    <mergeCell ref="C52:C54"/>
    <mergeCell ref="C55:C57"/>
    <mergeCell ref="C58:C60"/>
    <mergeCell ref="C61:C63"/>
    <mergeCell ref="C64:C66"/>
    <mergeCell ref="C67:C69"/>
    <mergeCell ref="A277:A279"/>
    <mergeCell ref="A280:A282"/>
    <mergeCell ref="A283:A285"/>
    <mergeCell ref="A286:A288"/>
    <mergeCell ref="A289:A291"/>
    <mergeCell ref="A292:A294"/>
    <mergeCell ref="A295:A297"/>
    <mergeCell ref="A298:A300"/>
    <mergeCell ref="B6:B7"/>
    <mergeCell ref="B10:B12"/>
    <mergeCell ref="B16:B18"/>
    <mergeCell ref="B19:B21"/>
    <mergeCell ref="B22:B24"/>
    <mergeCell ref="B25:B27"/>
    <mergeCell ref="B31:B33"/>
    <mergeCell ref="B34:B36"/>
    <mergeCell ref="B37:B39"/>
    <mergeCell ref="B40:B42"/>
    <mergeCell ref="B43:B45"/>
    <mergeCell ref="B46:B48"/>
    <mergeCell ref="B49:B51"/>
    <mergeCell ref="B61:B63"/>
    <mergeCell ref="B91:B93"/>
    <mergeCell ref="B169:B171"/>
    <mergeCell ref="A250:A252"/>
    <mergeCell ref="A253:A255"/>
    <mergeCell ref="A256:A258"/>
    <mergeCell ref="A259:A261"/>
    <mergeCell ref="A262:A264"/>
    <mergeCell ref="A265:A267"/>
    <mergeCell ref="A268:A270"/>
    <mergeCell ref="A271:A273"/>
    <mergeCell ref="A274:A276"/>
    <mergeCell ref="A223:A225"/>
    <mergeCell ref="A226:A228"/>
    <mergeCell ref="A229:A231"/>
    <mergeCell ref="A232:A234"/>
    <mergeCell ref="A235:A237"/>
    <mergeCell ref="A238:A240"/>
    <mergeCell ref="A241:A243"/>
    <mergeCell ref="A244:A246"/>
    <mergeCell ref="A247:A249"/>
    <mergeCell ref="A196:A198"/>
    <mergeCell ref="A199:A201"/>
    <mergeCell ref="A202:A204"/>
    <mergeCell ref="A205:A207"/>
    <mergeCell ref="A208:A210"/>
    <mergeCell ref="A211:A213"/>
    <mergeCell ref="A214:A216"/>
    <mergeCell ref="A217:A219"/>
    <mergeCell ref="A220:A222"/>
    <mergeCell ref="A169:A171"/>
    <mergeCell ref="A172:A174"/>
    <mergeCell ref="A175:A177"/>
    <mergeCell ref="A178:A180"/>
    <mergeCell ref="A181:A183"/>
    <mergeCell ref="A184:A186"/>
    <mergeCell ref="A187:A189"/>
    <mergeCell ref="A190:A192"/>
    <mergeCell ref="A193:A195"/>
    <mergeCell ref="A142:A144"/>
    <mergeCell ref="A145:A147"/>
    <mergeCell ref="A148:A150"/>
    <mergeCell ref="A151:A153"/>
    <mergeCell ref="A154:A156"/>
    <mergeCell ref="A157:A159"/>
    <mergeCell ref="A160:A162"/>
    <mergeCell ref="A163:A165"/>
    <mergeCell ref="A166:A168"/>
    <mergeCell ref="A115:A117"/>
    <mergeCell ref="A118:A120"/>
    <mergeCell ref="A121:A123"/>
    <mergeCell ref="A124:A126"/>
    <mergeCell ref="A127:A129"/>
    <mergeCell ref="A130:A132"/>
    <mergeCell ref="A133:A135"/>
    <mergeCell ref="A136:A138"/>
    <mergeCell ref="A139:A141"/>
    <mergeCell ref="A88:A90"/>
    <mergeCell ref="A91:A93"/>
    <mergeCell ref="A94:A96"/>
    <mergeCell ref="A97:A99"/>
    <mergeCell ref="A100:A102"/>
    <mergeCell ref="A103:A105"/>
    <mergeCell ref="A106:A108"/>
    <mergeCell ref="A109:A111"/>
    <mergeCell ref="A112:A114"/>
    <mergeCell ref="A61:A63"/>
    <mergeCell ref="A64:A66"/>
    <mergeCell ref="A67:A69"/>
    <mergeCell ref="A70:A72"/>
    <mergeCell ref="A73:A75"/>
    <mergeCell ref="A76:A78"/>
    <mergeCell ref="A79:A81"/>
    <mergeCell ref="A82:A84"/>
    <mergeCell ref="A85:A87"/>
    <mergeCell ref="A34:A36"/>
    <mergeCell ref="A37:A39"/>
    <mergeCell ref="A40:A42"/>
    <mergeCell ref="A43:A45"/>
    <mergeCell ref="A46:A48"/>
    <mergeCell ref="A49:A51"/>
    <mergeCell ref="A52:A54"/>
    <mergeCell ref="A55:A57"/>
    <mergeCell ref="A58:A60"/>
    <mergeCell ref="A6:A7"/>
    <mergeCell ref="A10:A12"/>
    <mergeCell ref="A13:A15"/>
    <mergeCell ref="A16:A18"/>
    <mergeCell ref="A19:A21"/>
    <mergeCell ref="A22:A24"/>
    <mergeCell ref="A25:A27"/>
    <mergeCell ref="A28:A30"/>
    <mergeCell ref="A31:A33"/>
  </mergeCells>
  <conditionalFormatting sqref="R11 R14:S14 R17:S17 R23:S23 R26:S26 R29:S29 R32:S32 R35:S35 R38:S38 R41:S41 R44:S44 R47:S47 R50:S50 R53:S53 R56:S56 R59:S59 R62:S62 R65:S65 R68:S68 S71 S74 S77 S80 S83 S86 S89 S92 S95 S98 S101 S104 S107 S110 S113 S116 S119 S122 S125 S128 S131 S134 S137 S140 S143 S146 S149 S152 S155 S158 S161 S164 S167 S170 S173 S176 S179 S182 S185 S188 S191 S194 S197 S200 S203 S206 S209 S212 S215 S218 S221 S224 S227 S230 S233 S236 S239 S242 S245 S248 S251 S254 S257 S260 S263 S266 S269 S272 S275 S278 S281 S284 S287 S290 S293 S296 S299">
    <cfRule type="expression" dxfId="110" priority="2">
      <formula>IF(V11&gt;V10,V12="")</formula>
    </cfRule>
  </conditionalFormatting>
  <conditionalFormatting sqref="R20">
    <cfRule type="expression" dxfId="109" priority="1">
      <formula>IF(V20&gt;V19,V21="")</formula>
    </cfRule>
  </conditionalFormatting>
  <conditionalFormatting sqref="S11:U11 Y11:AB11 T14:U14 Y14:AB14 T17:U17 Y17:AB17 T20:U20 W20 Y20:AB20 T23:U23 Y23:AB23 T26:U26 Y26:AB26 T29:U29 Y29:AB29 T32:U32 Y32:AB32 T35:U35 W35 Y35:AB35 T38:U38 W38 Y38:AB38 T41:U41 W41 Y41:AB41 T44:U44 Y44:AB44 T47:U47 Y47:AB47 T50:U50 W50 Y50:AB50 T53:U53 Y53:AB53 T56:U56 Y56:AB56 T59:U59 Y59:AB59 T62:U62 W62 Y62:AB62 T65:U65 Y65:AB65 T68:U68 Y68:AB68 T71:U71 Y71:AB71 T74:U74 Y74:AB74 T77:U77 Y77:AB77 T80:U80 Y80:AB80 T83:U83 Y83:AB83 T86:U86 Y86:AB86 T89:U89 Y89:AB89 T92:U92 W92 Y92:AB92 T95:U95 Y95:AB95 T98:U98 Y98:AB98 T101:U101 Y101:AB101 T104:U104 Y104:AB104 T107:U107 Y107:AB107 T110:U110 Y110:AB110 T113:U113 Y113:AB113 T116:U116 Y116:AB116 T119:U119 Y119:AB119 T122:U122 Y122:AB122 T125:U125 Y125:AB125 T128:U128 Y128:AB128 T131:U131 Y131:AB131 T134:U134 Y134:AB134 T137:U137 Y137:AB137 T140:U140 Y140:AB140 T143:U143 Y143:AB143 T146:U146 Y146:AB146 T149:U149 Y149:AB149 T152:U152 Y152:AB152 T155:U155 Y155:AB155 T158:U158 Y158:AB158 T161:U161 Y161:AB161 T164:U164 Y164:AB164 T167:U167 Y167:AB167 T170:U170 W170 Y170:AB170 T173:U173 W173 Y173:AB173 T176:U176 W176 Y176:AB176 T179:U179 Y179:AB179 T182:U182 Y182:AB182 T185:U185 Y185:AB185 T188:U188 Y188:AB188 T191:U191 Y191:AB191 T194:U194 Y194:AB194 T197:U197 Y197:AB197 T200:U200 Y200:AB200 T203:U203 Y203:AB203 T206:U206 Y206:AB206 T209:U209 Y209:AB209 T212:U212 Y212:AB212 T215:U215 Y215:AB215 T218:U218 Y218:AB218 T221:U221 Y221:AB221 T224:U224 Y224:AB224 T227:U227 Y227:AB227 T230:U230 Y230:AB230 T233:U233 Y233:AB233 T236:U236 Y236:AB236 T239:U239 Y239:AB239 T242:U242 Y242:AB242 T245:U245 Y245:AB245 T248:U248 Y248:AB248 T251:U251 Y251:AB251 T254:U254 Y254:AB254 T257:U257 Y257:AB257 T260:U260 Y260:AB260 T263:U263 Y263:AB263 T266:U266 Y266:AB266 T269:U269 Y269:AB269 T272:U272 Y272:AB272 T275:U275 Y275:AB275 T278:U278 Y278:AB278 T281:U281 Y281:AB281 T284:U284 Y284:AB284 T287:U287 Y287:AB287 T290:U290 Y290:AB290 T293:U293 Y293:AB293 T296:U296 Y296:AB296 T299:U299 Y299:AB299">
    <cfRule type="expression" dxfId="108" priority="9">
      <formula>IF(#REF!&gt;#REF!,#REF!="")</formula>
    </cfRule>
  </conditionalFormatting>
  <conditionalFormatting sqref="S30:AB30 R33:AB33 R36:AB36 R39:AB39 R42:AB42 S45:AB45 S48:AB48 R51:AB51 S54:AB54 S57:AB57 S60:AB60 R63:AB63 S66:AB66 S69:AB69 S72:AB72 S75:AB75 S78:AB78 S81:AB81 S84:AB84 S87:AB87 S90:AB90 S93:AB93 S96:AB96 S99:AB99 S102:AB102 S105:AB105 S108:AB108 S111:AB111 S114:AB114 S117:AB117 S120:AB120 S123:AB123 S126:AB126 S129:AB129 S132:AB132 S135:AB135 S138:AB138 S141:AB141 S144:AB144 S147:AB147 S150:AB150 S153:AB153 S156:AB156 S159:AB159 S162:AB162 S165:AB165 S168:AB168 S171:AB171 S174:AB174 S177:AB177 S180:AB180 S183:AB183 S186:AB186 S189:AB189 S192:AB192 S195:AB195 S198:AB198 S201:AB201 S204:AB204 S207:AB207 S210:AB210 S213:AB213 S216:AB216 S219:AB219 S222:AB222 S225:AB225 S228:AB228 S231:AB231 S234:AB234 S237:AB237 S240:AB240 S243:AB243 S246:AB246 S249:AB249 S252:AB252 S255:AB255 S258:AB258 S261:AB261 S264:AB264 S267:AB267 S270:AB270 S273:AB273 S276:AB276 S279:AB279 S282:AB282 S285:AB285 S288:AB288 S291:AB291 S294:AB294 S297:AB297 S300:AB300">
    <cfRule type="expression" dxfId="107" priority="6" stopIfTrue="1">
      <formula>(R29&lt;&gt;"")*(R30="")*(R29&lt;TODAY())</formula>
    </cfRule>
    <cfRule type="expression" dxfId="106" priority="7" stopIfTrue="1">
      <formula>(R29&lt;&gt;"")*(R30="")*(R29&gt;=TODAY())*(R29&lt;=TODAY()+14)</formula>
    </cfRule>
    <cfRule type="expression" dxfId="105" priority="8">
      <formula>(R30&lt;&gt;"")*(R30&lt;=TODAY())</formula>
    </cfRule>
  </conditionalFormatting>
  <conditionalFormatting sqref="V11:W11 V14:W14 V17:W17 V20 V23 V26:W26 V29:W29 V32 V35 V38 V41 V44:W44 V47:W47 V50 V53:W53 V56:W56 V59:W59 V62 V65:W65 V68:W68 V71:W71 V74:W74 V77:W77 V80:W80 V83:W83 V86:W86 V89:W89 V92 V95:W95 V98:W98 V101:W101 V104:W104 V107:W107 V110:W110 V113:W113 V116:W116 V119:W119 V122:W122 V125:W125 V128:W128 V131:W131 V134:W134 V137:W137 V140:W140 V143:W143 V146:W146 V149:W149 V152:W152 V155:W155 V158:W158 V161:W161 V164:W164 V167:W167 V170 V173 V176 V179:W179 V182:W182 V185:W185 V188:W188 V191:W191 V194:W194 V197:W197 V200:W200 V203:W203 V206:W206 V209:W209 V212:W212 V215:W215 V218:W218 V221:W221 V224:W224 V227:W227 V230:W230 V233:W233 V236:W236 V239:W239 V242:W242 V245:W245 V248:W248 V251:W251 V254:W254 V257:W257 V260:W260 V263:W263 V266:W266 V269:W269 V272:W272 V275:W275 V278:W278 V281:W281 V284:W284 V287:W287 V290:W290 V293:W293 V296:W296 V299:W299">
    <cfRule type="expression" dxfId="104" priority="10">
      <formula>IF(X11&gt;X10,X12="")</formula>
    </cfRule>
  </conditionalFormatting>
  <conditionalFormatting sqref="X11 X14 X17 U20 X20 X23 X26 X29 X32 X35 X38 X41 X44 X47 X50 X53 X56 X59 X62 X65 X68 X71 X74 X77 X80 X83 X86 X89 X92 X95 X98 X101 X104 X107 X110 X113 X116 X119 X122 X125 X128 X131 X134 X137 X140 X143 X146 X149 X152 X155 X158 X161 X164 X167 X170 X173 X176 X179 X182 X185 X188 X191 X194 X197 X200 X203 X206 X209 X212 X215 X218 X221 X224 X227 X230 X233 X236 X239 X242 X245 X248 X251 X254 X257 X260 X263 X266 X269 X272 X275 X278 X281 X284 X287 X290 X293 X296 X299">
    <cfRule type="expression" dxfId="103" priority="3">
      <formula>IF(X11&gt;X10,X12="")</formula>
    </cfRule>
  </conditionalFormatting>
  <conditionalFormatting sqref="AJ10 AJ13 AJ16 AJ19 AJ22 AJ25 AJ28 AJ31 AJ34 AJ37 AJ40 AJ43 AJ46 AJ49 AJ52 AJ55 AJ58 AJ61 AJ64 AJ67 AJ70 AJ73 AJ76 AJ79 AJ82 AJ85 AJ88 AJ91 AJ94 AJ97 AJ100 AJ103 AJ106 AJ109 AJ112 AJ115 AJ118 AJ121 AJ124 AJ127 AJ130 AJ133 AJ136 AJ139 AJ142 AJ145 AJ148 AJ151 AJ154 AJ157 AJ160 AJ163 AJ166 AJ169 AJ172 AJ175 AJ178 AJ181 AJ184 AJ187 AJ190 AJ193 AJ196 AJ199 AJ202 AJ205 AJ208 AJ211 AJ214 AJ217 AJ220 AJ223 AJ226 AJ229 AJ232 AJ235 AJ238 AJ241 AJ244 AJ247 AJ250 AJ253 AJ256 AJ259 AJ262 AJ265 AJ268 AJ271 AJ274 AJ277 AJ280 AJ283 AJ286 AJ289 AJ292 AJ295 AJ298">
    <cfRule type="cellIs" dxfId="102" priority="4" operator="lessThan">
      <formula>45</formula>
    </cfRule>
    <cfRule type="cellIs" dxfId="101" priority="5" operator="lessThan">
      <formula>0</formula>
    </cfRule>
  </conditionalFormatting>
  <pageMargins left="0.7" right="0.7" top="0.75" bottom="0.75" header="0.3" footer="0.3"/>
  <pageSetup orientation="portrait" horizontalDpi="1200" verticalDpi="12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63"/>
  <sheetViews>
    <sheetView view="pageBreakPreview" topLeftCell="A11" zoomScale="130" zoomScaleNormal="190" workbookViewId="0">
      <selection activeCell="A20" sqref="A20:A21"/>
    </sheetView>
  </sheetViews>
  <sheetFormatPr defaultColWidth="6.86328125" defaultRowHeight="13.15"/>
  <cols>
    <col min="1" max="1" width="18.1328125" style="11" customWidth="1"/>
    <col min="2" max="2" width="61.19921875" style="1" customWidth="1"/>
    <col min="3" max="3" width="23.19921875" style="4" customWidth="1"/>
    <col min="4" max="16384" width="6.86328125" style="4"/>
  </cols>
  <sheetData>
    <row r="1" spans="1:9" s="1" customFormat="1" ht="21.6" customHeight="1">
      <c r="A1" s="12" t="s">
        <v>5463</v>
      </c>
      <c r="B1" s="13" t="s">
        <v>5464</v>
      </c>
      <c r="C1" s="6"/>
    </row>
    <row r="2" spans="1:9" s="2" customFormat="1" ht="15" customHeight="1">
      <c r="A2" s="14">
        <v>45996</v>
      </c>
      <c r="B2" s="15" t="s">
        <v>5465</v>
      </c>
      <c r="C2" s="16"/>
      <c r="D2" s="9"/>
      <c r="E2" s="9"/>
      <c r="F2" s="9"/>
      <c r="G2" s="9"/>
      <c r="H2" s="9"/>
      <c r="I2" s="9"/>
    </row>
    <row r="3" spans="1:9" s="2" customFormat="1" ht="15" customHeight="1">
      <c r="A3" s="14">
        <v>46001</v>
      </c>
      <c r="B3" s="15" t="s">
        <v>5466</v>
      </c>
      <c r="C3" s="16"/>
      <c r="D3" s="9"/>
      <c r="E3" s="9"/>
      <c r="F3" s="9"/>
      <c r="G3" s="9"/>
      <c r="H3" s="9"/>
      <c r="I3" s="9"/>
    </row>
    <row r="4" spans="1:9" s="2" customFormat="1" ht="15" customHeight="1">
      <c r="A4" s="14">
        <v>46020</v>
      </c>
      <c r="B4" s="15" t="s">
        <v>5467</v>
      </c>
      <c r="C4" s="16"/>
      <c r="D4" s="9"/>
      <c r="E4" s="9"/>
      <c r="F4" s="9"/>
      <c r="G4" s="9"/>
      <c r="H4" s="9"/>
      <c r="I4" s="9"/>
    </row>
    <row r="5" spans="1:9" s="2" customFormat="1" ht="15" customHeight="1">
      <c r="A5" s="14">
        <v>46021</v>
      </c>
      <c r="B5" s="15" t="s">
        <v>5467</v>
      </c>
      <c r="C5" s="16"/>
      <c r="D5" s="9"/>
      <c r="E5" s="9"/>
      <c r="F5" s="9"/>
      <c r="G5" s="9"/>
      <c r="H5" s="9"/>
      <c r="I5" s="9"/>
    </row>
    <row r="6" spans="1:9" s="2" customFormat="1" ht="15" customHeight="1">
      <c r="A6" s="14">
        <v>46022</v>
      </c>
      <c r="B6" s="15" t="s">
        <v>5467</v>
      </c>
      <c r="C6" s="16"/>
      <c r="D6" s="9"/>
      <c r="E6" s="9"/>
      <c r="F6" s="9"/>
      <c r="G6" s="9"/>
      <c r="H6" s="9"/>
      <c r="I6" s="9"/>
    </row>
    <row r="7" spans="1:9" s="2" customFormat="1" ht="15" customHeight="1">
      <c r="A7" s="14">
        <v>46023</v>
      </c>
      <c r="B7" s="15" t="s">
        <v>5467</v>
      </c>
      <c r="C7" s="16"/>
      <c r="D7" s="9"/>
      <c r="E7" s="9"/>
      <c r="F7" s="9"/>
      <c r="G7" s="9"/>
      <c r="H7" s="9"/>
      <c r="I7" s="9"/>
    </row>
    <row r="8" spans="1:9" s="2" customFormat="1" ht="15" customHeight="1">
      <c r="A8" s="14">
        <v>46024</v>
      </c>
      <c r="B8" s="15" t="s">
        <v>5467</v>
      </c>
      <c r="C8" s="16"/>
      <c r="D8" s="9"/>
      <c r="E8" s="9"/>
      <c r="F8" s="9"/>
      <c r="G8" s="9"/>
      <c r="H8" s="9"/>
      <c r="I8" s="9"/>
    </row>
    <row r="9" spans="1:9" s="2" customFormat="1" ht="15" customHeight="1">
      <c r="A9" s="14">
        <v>46065</v>
      </c>
      <c r="B9" s="15" t="s">
        <v>5468</v>
      </c>
      <c r="C9" s="16"/>
      <c r="D9" s="9"/>
      <c r="E9" s="9"/>
      <c r="F9" s="9"/>
      <c r="G9" s="9"/>
      <c r="H9" s="9"/>
      <c r="I9" s="9"/>
    </row>
    <row r="10" spans="1:9" s="2" customFormat="1" ht="15" customHeight="1">
      <c r="A10" s="14">
        <v>46118</v>
      </c>
      <c r="B10" s="15" t="s">
        <v>5469</v>
      </c>
      <c r="C10" s="16"/>
      <c r="D10" s="9"/>
      <c r="E10" s="9"/>
      <c r="F10" s="9"/>
      <c r="G10" s="9"/>
      <c r="H10" s="9"/>
      <c r="I10" s="9"/>
    </row>
    <row r="11" spans="1:9" s="2" customFormat="1" ht="15" customHeight="1">
      <c r="A11" s="14">
        <v>46125</v>
      </c>
      <c r="B11" s="15" t="s">
        <v>5470</v>
      </c>
      <c r="C11" s="16"/>
      <c r="D11" s="9"/>
      <c r="E11" s="9"/>
      <c r="F11" s="9"/>
      <c r="G11" s="9"/>
      <c r="H11" s="9"/>
      <c r="I11" s="9"/>
    </row>
    <row r="12" spans="1:9" s="2" customFormat="1" ht="15" customHeight="1">
      <c r="A12" s="14">
        <v>46126</v>
      </c>
      <c r="B12" s="15" t="s">
        <v>5470</v>
      </c>
      <c r="C12" s="16"/>
      <c r="D12" s="9"/>
      <c r="E12" s="9"/>
      <c r="F12" s="9"/>
      <c r="G12" s="9"/>
      <c r="H12" s="9"/>
      <c r="I12" s="9"/>
    </row>
    <row r="13" spans="1:9" s="2" customFormat="1" ht="15" customHeight="1">
      <c r="A13" s="14">
        <v>46127</v>
      </c>
      <c r="B13" s="15" t="s">
        <v>5470</v>
      </c>
      <c r="C13" s="16"/>
      <c r="D13" s="9"/>
      <c r="E13" s="9"/>
      <c r="F13" s="9"/>
      <c r="G13" s="9"/>
      <c r="H13" s="9"/>
      <c r="I13" s="9"/>
    </row>
    <row r="14" spans="1:9" s="2" customFormat="1" ht="15" customHeight="1">
      <c r="A14" s="14">
        <v>46128</v>
      </c>
      <c r="B14" s="15" t="s">
        <v>5470</v>
      </c>
      <c r="C14" s="16"/>
      <c r="D14" s="9"/>
      <c r="E14" s="9"/>
      <c r="F14" s="9"/>
      <c r="G14" s="9"/>
      <c r="H14" s="9"/>
      <c r="I14" s="9"/>
    </row>
    <row r="15" spans="1:9" s="2" customFormat="1" ht="15" customHeight="1">
      <c r="A15" s="14">
        <v>46129</v>
      </c>
      <c r="B15" s="15" t="s">
        <v>5470</v>
      </c>
      <c r="C15" s="16"/>
      <c r="D15" s="9"/>
      <c r="E15" s="9"/>
      <c r="F15" s="9"/>
      <c r="G15" s="9"/>
      <c r="H15" s="9"/>
      <c r="I15" s="9"/>
    </row>
    <row r="16" spans="1:9" s="2" customFormat="1" ht="15" customHeight="1">
      <c r="A16" s="14">
        <v>46143</v>
      </c>
      <c r="B16" s="15" t="s">
        <v>5471</v>
      </c>
      <c r="C16" s="16"/>
      <c r="D16" s="9"/>
      <c r="E16" s="9"/>
      <c r="F16" s="9"/>
      <c r="G16" s="9"/>
      <c r="H16" s="9"/>
      <c r="I16" s="9"/>
    </row>
    <row r="17" spans="1:9" s="2" customFormat="1" ht="15" customHeight="1">
      <c r="A17" s="14">
        <v>46146</v>
      </c>
      <c r="B17" s="15" t="s">
        <v>5472</v>
      </c>
      <c r="C17" s="16"/>
      <c r="D17" s="9"/>
      <c r="E17" s="9"/>
      <c r="F17" s="9"/>
      <c r="G17" s="9"/>
      <c r="H17" s="9"/>
      <c r="I17" s="9"/>
    </row>
    <row r="18" spans="1:9" s="2" customFormat="1" ht="15" customHeight="1">
      <c r="A18" s="14">
        <v>46174</v>
      </c>
      <c r="B18" s="15"/>
      <c r="C18" s="16"/>
      <c r="D18" s="9"/>
      <c r="E18" s="9"/>
      <c r="F18" s="9"/>
      <c r="G18" s="9"/>
      <c r="H18" s="9"/>
      <c r="I18" s="9"/>
    </row>
    <row r="19" spans="1:9" s="2" customFormat="1" ht="15" customHeight="1">
      <c r="A19" s="14">
        <v>46176</v>
      </c>
      <c r="B19" s="15"/>
      <c r="C19" s="16"/>
      <c r="D19" s="9"/>
      <c r="E19" s="9"/>
      <c r="F19" s="9"/>
      <c r="G19" s="9"/>
      <c r="H19" s="9"/>
      <c r="I19" s="9"/>
    </row>
    <row r="20" spans="1:9" s="2" customFormat="1" ht="15" customHeight="1">
      <c r="A20" s="14">
        <v>46231</v>
      </c>
      <c r="B20" s="15"/>
      <c r="C20" s="16"/>
      <c r="D20" s="9"/>
      <c r="E20" s="9"/>
      <c r="F20" s="9"/>
      <c r="G20" s="9"/>
      <c r="H20" s="9"/>
      <c r="I20" s="9"/>
    </row>
    <row r="21" spans="1:9" s="2" customFormat="1" ht="15" customHeight="1">
      <c r="A21" s="14">
        <v>46232</v>
      </c>
      <c r="B21" s="15"/>
      <c r="C21" s="16"/>
      <c r="D21" s="9"/>
      <c r="E21" s="9"/>
      <c r="F21" s="9"/>
      <c r="G21" s="9"/>
      <c r="H21" s="9"/>
      <c r="I21" s="9"/>
    </row>
    <row r="22" spans="1:9" s="2" customFormat="1" ht="15" customHeight="1">
      <c r="A22" s="14">
        <v>46246</v>
      </c>
      <c r="B22" s="15" t="s">
        <v>5473</v>
      </c>
      <c r="C22" s="16"/>
      <c r="D22" s="9"/>
      <c r="E22" s="9"/>
      <c r="F22" s="9"/>
      <c r="G22" s="9"/>
      <c r="H22" s="9"/>
      <c r="I22" s="9"/>
    </row>
    <row r="23" spans="1:9" s="2" customFormat="1" ht="15" customHeight="1">
      <c r="A23" s="14">
        <v>46308</v>
      </c>
      <c r="B23" s="15" t="s">
        <v>5474</v>
      </c>
      <c r="C23" s="16"/>
      <c r="D23" s="9"/>
      <c r="E23" s="9"/>
      <c r="F23" s="9"/>
      <c r="G23" s="9"/>
      <c r="H23" s="9"/>
      <c r="I23" s="9"/>
    </row>
    <row r="24" spans="1:9" s="2" customFormat="1" ht="15" customHeight="1">
      <c r="A24" s="14">
        <v>46318</v>
      </c>
      <c r="B24" s="15" t="s">
        <v>5475</v>
      </c>
      <c r="C24" s="16"/>
      <c r="D24" s="9"/>
      <c r="E24" s="9"/>
      <c r="F24" s="9"/>
      <c r="G24" s="9"/>
      <c r="H24" s="9"/>
      <c r="I24" s="9"/>
    </row>
    <row r="25" spans="1:9" s="2" customFormat="1" ht="15" customHeight="1">
      <c r="A25" s="14">
        <v>46363</v>
      </c>
      <c r="B25" s="15" t="s">
        <v>5465</v>
      </c>
      <c r="C25" s="16"/>
      <c r="D25" s="9"/>
      <c r="E25" s="9"/>
      <c r="F25" s="9"/>
      <c r="G25" s="9"/>
      <c r="H25" s="9"/>
      <c r="I25" s="9"/>
    </row>
    <row r="26" spans="1:9" s="2" customFormat="1" ht="15" customHeight="1">
      <c r="A26" s="14">
        <v>46387</v>
      </c>
      <c r="B26" s="15" t="s">
        <v>5467</v>
      </c>
      <c r="C26" s="16"/>
      <c r="D26" s="9"/>
      <c r="E26" s="9"/>
      <c r="F26" s="9"/>
      <c r="G26" s="9"/>
      <c r="H26" s="9"/>
      <c r="I26" s="9"/>
    </row>
    <row r="27" spans="1:9" s="2" customFormat="1" ht="15" customHeight="1">
      <c r="A27" s="14">
        <v>46388</v>
      </c>
      <c r="B27" s="15" t="s">
        <v>5467</v>
      </c>
      <c r="C27" s="16"/>
      <c r="D27" s="9"/>
      <c r="E27" s="9"/>
      <c r="F27" s="9"/>
      <c r="G27" s="9"/>
      <c r="H27" s="9"/>
      <c r="I27" s="9"/>
    </row>
    <row r="28" spans="1:9" s="2" customFormat="1" ht="15" customHeight="1">
      <c r="A28" s="14">
        <v>46389</v>
      </c>
      <c r="B28" s="15"/>
      <c r="C28" s="16"/>
      <c r="D28" s="9"/>
      <c r="E28" s="9"/>
      <c r="F28" s="9"/>
      <c r="G28" s="9"/>
      <c r="H28" s="9"/>
      <c r="I28" s="9"/>
    </row>
    <row r="29" spans="1:9" s="2" customFormat="1" ht="15" customHeight="1">
      <c r="A29" s="14">
        <v>46439</v>
      </c>
      <c r="B29" s="15" t="s">
        <v>5468</v>
      </c>
      <c r="C29" s="16" t="s">
        <v>5476</v>
      </c>
      <c r="D29" s="9"/>
      <c r="E29" s="9"/>
      <c r="F29" s="9"/>
      <c r="G29" s="9"/>
      <c r="H29" s="9"/>
      <c r="I29" s="9"/>
    </row>
    <row r="30" spans="1:9" s="2" customFormat="1" ht="15" customHeight="1">
      <c r="A30" s="14">
        <v>46440</v>
      </c>
      <c r="B30" s="15"/>
      <c r="C30" s="16"/>
      <c r="D30" s="9"/>
      <c r="E30" s="9"/>
      <c r="F30" s="9"/>
      <c r="G30" s="9"/>
      <c r="H30" s="9"/>
      <c r="I30" s="9"/>
    </row>
    <row r="31" spans="1:9" s="2" customFormat="1" ht="15" customHeight="1">
      <c r="A31" s="14">
        <v>46483</v>
      </c>
      <c r="B31" s="15" t="s">
        <v>5469</v>
      </c>
      <c r="C31" s="16"/>
      <c r="D31" s="9"/>
      <c r="E31" s="9"/>
      <c r="F31" s="9"/>
      <c r="G31" s="9"/>
      <c r="H31" s="9"/>
      <c r="I31" s="9"/>
    </row>
    <row r="32" spans="1:9" s="2" customFormat="1" ht="15" customHeight="1">
      <c r="A32" s="14">
        <v>46490</v>
      </c>
      <c r="B32" s="15" t="s">
        <v>5470</v>
      </c>
      <c r="C32" s="16"/>
      <c r="D32" s="9"/>
      <c r="E32" s="9"/>
      <c r="F32" s="9"/>
      <c r="G32" s="9"/>
      <c r="H32" s="9"/>
      <c r="I32" s="9"/>
    </row>
    <row r="33" spans="1:9" s="2" customFormat="1" ht="15" customHeight="1">
      <c r="A33" s="14">
        <v>46491</v>
      </c>
      <c r="B33" s="15" t="s">
        <v>5470</v>
      </c>
      <c r="C33" s="16"/>
      <c r="D33" s="9"/>
      <c r="E33" s="9"/>
      <c r="F33" s="9"/>
      <c r="G33" s="9"/>
      <c r="H33" s="9"/>
      <c r="I33" s="9"/>
    </row>
    <row r="34" spans="1:9" s="2" customFormat="1" ht="15" customHeight="1">
      <c r="A34" s="14">
        <v>46492</v>
      </c>
      <c r="B34" s="15" t="s">
        <v>5470</v>
      </c>
      <c r="C34" s="16"/>
      <c r="D34" s="9"/>
      <c r="E34" s="9"/>
      <c r="F34" s="9"/>
      <c r="G34" s="9"/>
      <c r="H34" s="9"/>
      <c r="I34" s="9"/>
    </row>
    <row r="35" spans="1:9" s="2" customFormat="1" ht="15" customHeight="1">
      <c r="A35" s="14">
        <v>46508</v>
      </c>
      <c r="B35" s="15" t="s">
        <v>5471</v>
      </c>
      <c r="C35" s="16"/>
      <c r="D35" s="9"/>
      <c r="E35" s="9"/>
      <c r="F35" s="9"/>
      <c r="G35" s="9"/>
      <c r="H35" s="9"/>
      <c r="I35" s="9"/>
    </row>
    <row r="36" spans="1:9" s="2" customFormat="1" ht="15" customHeight="1">
      <c r="A36" s="14">
        <v>46511</v>
      </c>
      <c r="B36" s="15" t="s">
        <v>5472</v>
      </c>
      <c r="C36" s="16"/>
      <c r="D36" s="9"/>
      <c r="E36" s="9"/>
      <c r="F36" s="9"/>
      <c r="G36" s="9"/>
      <c r="H36" s="9"/>
      <c r="I36" s="9"/>
    </row>
    <row r="37" spans="1:9" s="2" customFormat="1" ht="15" customHeight="1">
      <c r="A37" s="14">
        <v>46527</v>
      </c>
      <c r="B37" s="15" t="s">
        <v>5477</v>
      </c>
      <c r="C37" s="16" t="s">
        <v>5476</v>
      </c>
      <c r="D37" s="9"/>
      <c r="E37" s="9"/>
      <c r="F37" s="9"/>
      <c r="G37" s="9"/>
      <c r="H37" s="9"/>
      <c r="I37" s="9"/>
    </row>
    <row r="38" spans="1:9" s="2" customFormat="1" ht="15" customHeight="1">
      <c r="A38" s="14">
        <v>46541</v>
      </c>
      <c r="B38" s="15" t="s">
        <v>5478</v>
      </c>
      <c r="C38" s="16"/>
      <c r="D38" s="9"/>
      <c r="E38" s="9"/>
      <c r="F38" s="9"/>
      <c r="G38" s="9"/>
      <c r="H38" s="9"/>
      <c r="I38" s="9"/>
    </row>
    <row r="39" spans="1:9" s="2" customFormat="1" ht="15" customHeight="1">
      <c r="A39" s="14">
        <v>46611</v>
      </c>
      <c r="B39" s="15" t="s">
        <v>5479</v>
      </c>
      <c r="C39" s="16"/>
      <c r="D39" s="9"/>
      <c r="E39" s="9"/>
      <c r="F39" s="9"/>
      <c r="G39" s="9"/>
      <c r="H39" s="9"/>
      <c r="I39" s="9"/>
    </row>
    <row r="40" spans="1:9" s="2" customFormat="1" ht="15" customHeight="1">
      <c r="A40" s="14">
        <v>46673</v>
      </c>
      <c r="B40" s="15" t="s">
        <v>5480</v>
      </c>
      <c r="C40" s="16"/>
      <c r="D40" s="9"/>
      <c r="E40" s="9"/>
      <c r="F40" s="9"/>
      <c r="G40" s="9"/>
      <c r="H40" s="9"/>
      <c r="I40" s="9"/>
    </row>
    <row r="41" spans="1:9" s="2" customFormat="1" ht="15" customHeight="1">
      <c r="A41" s="14">
        <v>46683</v>
      </c>
      <c r="B41" s="15" t="s">
        <v>5481</v>
      </c>
      <c r="C41" s="16"/>
      <c r="D41" s="9"/>
      <c r="E41" s="9"/>
      <c r="F41" s="9"/>
      <c r="G41" s="9"/>
      <c r="H41" s="9"/>
      <c r="I41" s="9"/>
    </row>
    <row r="42" spans="1:9" s="2" customFormat="1" ht="15" customHeight="1">
      <c r="A42" s="14">
        <v>46685</v>
      </c>
      <c r="B42" s="15"/>
      <c r="C42" s="16"/>
      <c r="D42" s="9"/>
      <c r="E42" s="9"/>
      <c r="F42" s="9"/>
      <c r="G42" s="9"/>
      <c r="H42" s="9"/>
      <c r="I42" s="9"/>
    </row>
    <row r="43" spans="1:9" s="2" customFormat="1" ht="15" customHeight="1">
      <c r="A43" s="14">
        <v>46726</v>
      </c>
      <c r="B43" s="15" t="s">
        <v>5482</v>
      </c>
      <c r="C43" s="16"/>
      <c r="D43" s="9"/>
      <c r="E43" s="9"/>
      <c r="F43" s="9"/>
      <c r="G43" s="9"/>
      <c r="H43" s="9"/>
      <c r="I43" s="9"/>
    </row>
    <row r="44" spans="1:9" s="2" customFormat="1" ht="15" customHeight="1">
      <c r="A44" s="14">
        <v>46727</v>
      </c>
      <c r="B44" s="15"/>
      <c r="C44" s="16"/>
      <c r="D44" s="9"/>
      <c r="E44" s="9"/>
      <c r="F44" s="9"/>
      <c r="G44" s="9"/>
      <c r="H44" s="9"/>
      <c r="I44" s="9"/>
    </row>
    <row r="45" spans="1:9" s="2" customFormat="1" ht="15" customHeight="1">
      <c r="A45" s="14">
        <v>46731</v>
      </c>
      <c r="B45" s="15" t="s">
        <v>5483</v>
      </c>
      <c r="C45" s="16"/>
      <c r="D45" s="9"/>
      <c r="E45" s="9"/>
      <c r="F45" s="9"/>
      <c r="G45" s="9"/>
      <c r="H45" s="9"/>
      <c r="I45" s="9"/>
    </row>
    <row r="46" spans="1:9" s="2" customFormat="1" ht="15" customHeight="1">
      <c r="A46" s="14">
        <v>46752</v>
      </c>
      <c r="B46" s="15" t="s">
        <v>5484</v>
      </c>
      <c r="C46" s="16"/>
      <c r="D46" s="9"/>
      <c r="E46" s="9"/>
      <c r="F46" s="9"/>
      <c r="G46" s="9"/>
      <c r="H46" s="9"/>
      <c r="I46" s="9"/>
    </row>
    <row r="47" spans="1:9" s="2" customFormat="1" ht="15" customHeight="1">
      <c r="A47" s="14">
        <v>46753</v>
      </c>
      <c r="B47" s="15" t="s">
        <v>5485</v>
      </c>
      <c r="C47" s="16"/>
      <c r="D47" s="9"/>
      <c r="E47" s="9"/>
      <c r="F47" s="9"/>
      <c r="G47" s="9"/>
      <c r="H47" s="9"/>
      <c r="I47" s="9"/>
    </row>
    <row r="48" spans="1:9" s="2" customFormat="1" ht="15" customHeight="1">
      <c r="A48" s="14">
        <v>46791</v>
      </c>
      <c r="B48" s="15" t="s">
        <v>5486</v>
      </c>
      <c r="C48" s="16" t="s">
        <v>5476</v>
      </c>
      <c r="D48" s="9"/>
      <c r="E48" s="9"/>
      <c r="F48" s="9"/>
      <c r="G48" s="9"/>
      <c r="H48" s="9"/>
      <c r="I48" s="9"/>
    </row>
    <row r="49" spans="1:9" s="2" customFormat="1" ht="15" customHeight="1">
      <c r="A49" s="14">
        <v>46849</v>
      </c>
      <c r="B49" s="15" t="s">
        <v>5487</v>
      </c>
      <c r="C49" s="16"/>
      <c r="D49" s="9"/>
      <c r="E49" s="9"/>
      <c r="F49" s="9"/>
      <c r="G49" s="9"/>
      <c r="H49" s="9"/>
      <c r="I49" s="9"/>
    </row>
    <row r="50" spans="1:9" s="2" customFormat="1" ht="15" customHeight="1">
      <c r="A50" s="14">
        <v>46856</v>
      </c>
      <c r="B50" s="15" t="s">
        <v>5488</v>
      </c>
      <c r="C50" s="16"/>
      <c r="D50" s="9"/>
      <c r="E50" s="9"/>
      <c r="F50" s="9"/>
      <c r="G50" s="9"/>
      <c r="H50" s="9"/>
      <c r="I50" s="9"/>
    </row>
    <row r="51" spans="1:9" s="2" customFormat="1" ht="15" customHeight="1">
      <c r="A51" s="14">
        <v>46857</v>
      </c>
      <c r="B51" s="15" t="s">
        <v>5488</v>
      </c>
      <c r="C51" s="16"/>
      <c r="D51" s="9"/>
      <c r="E51" s="9"/>
      <c r="F51" s="9"/>
      <c r="G51" s="9"/>
      <c r="H51" s="9"/>
      <c r="I51" s="9"/>
    </row>
    <row r="52" spans="1:9" s="2" customFormat="1" ht="15" customHeight="1">
      <c r="A52" s="14">
        <v>46858</v>
      </c>
      <c r="B52" s="15" t="s">
        <v>5488</v>
      </c>
      <c r="C52" s="16"/>
      <c r="D52" s="9"/>
      <c r="E52" s="9"/>
      <c r="F52" s="9"/>
      <c r="G52" s="9"/>
      <c r="H52" s="9"/>
      <c r="I52" s="9"/>
    </row>
    <row r="53" spans="1:9" s="2" customFormat="1" ht="15" customHeight="1">
      <c r="A53" s="14">
        <v>46874</v>
      </c>
      <c r="B53" s="15" t="s">
        <v>5489</v>
      </c>
      <c r="C53" s="16"/>
      <c r="D53" s="9"/>
      <c r="E53" s="9"/>
      <c r="F53" s="9"/>
      <c r="G53" s="9"/>
      <c r="H53" s="9"/>
      <c r="I53" s="9"/>
    </row>
    <row r="54" spans="1:9" s="2" customFormat="1" ht="15" customHeight="1">
      <c r="A54" s="14">
        <v>46878</v>
      </c>
      <c r="B54" s="15" t="s">
        <v>5490</v>
      </c>
      <c r="C54" s="16"/>
      <c r="D54" s="9"/>
      <c r="E54" s="9"/>
      <c r="F54" s="9"/>
      <c r="G54" s="9"/>
      <c r="H54" s="9"/>
      <c r="I54" s="9"/>
    </row>
    <row r="55" spans="1:9" s="2" customFormat="1" ht="15" customHeight="1">
      <c r="A55" s="14">
        <v>46912</v>
      </c>
      <c r="B55" s="15" t="s">
        <v>5491</v>
      </c>
      <c r="C55" s="16" t="s">
        <v>5476</v>
      </c>
      <c r="D55" s="9"/>
      <c r="E55" s="9"/>
      <c r="F55" s="9"/>
      <c r="G55" s="9"/>
      <c r="H55" s="9"/>
      <c r="I55" s="9"/>
    </row>
    <row r="56" spans="1:9" s="2" customFormat="1" ht="15" customHeight="1">
      <c r="A56" s="14">
        <v>46907</v>
      </c>
      <c r="B56" s="15" t="s">
        <v>5492</v>
      </c>
      <c r="C56" s="16"/>
      <c r="D56" s="9"/>
      <c r="E56" s="9"/>
      <c r="F56" s="9"/>
      <c r="G56" s="9"/>
      <c r="H56" s="9"/>
      <c r="I56" s="9"/>
    </row>
    <row r="57" spans="1:9" s="2" customFormat="1" ht="15" customHeight="1">
      <c r="A57" s="14">
        <v>46958</v>
      </c>
      <c r="B57" s="15" t="s">
        <v>5493</v>
      </c>
      <c r="C57" s="16" t="s">
        <v>5476</v>
      </c>
      <c r="D57" s="9"/>
      <c r="E57" s="9"/>
      <c r="F57" s="9"/>
      <c r="G57" s="9"/>
      <c r="H57" s="9"/>
      <c r="I57" s="9"/>
    </row>
    <row r="58" spans="1:9" s="2" customFormat="1" ht="15" customHeight="1">
      <c r="A58" s="14">
        <v>46977</v>
      </c>
      <c r="B58" s="15" t="s">
        <v>5479</v>
      </c>
      <c r="C58" s="16"/>
      <c r="D58" s="9"/>
      <c r="E58" s="9"/>
      <c r="F58" s="9"/>
      <c r="G58" s="9"/>
      <c r="H58" s="9"/>
      <c r="I58" s="9"/>
    </row>
    <row r="59" spans="1:9" s="2" customFormat="1" ht="15" customHeight="1">
      <c r="A59" s="14">
        <v>47039</v>
      </c>
      <c r="B59" s="15" t="s">
        <v>5480</v>
      </c>
      <c r="C59" s="16"/>
      <c r="D59" s="9"/>
      <c r="E59" s="9"/>
      <c r="F59" s="9"/>
      <c r="G59" s="9"/>
      <c r="H59" s="9"/>
      <c r="I59" s="9"/>
    </row>
    <row r="60" spans="1:9" s="2" customFormat="1" ht="15" customHeight="1">
      <c r="A60" s="14">
        <v>47049</v>
      </c>
      <c r="B60" s="15" t="s">
        <v>5481</v>
      </c>
      <c r="C60" s="16"/>
      <c r="D60" s="9"/>
      <c r="E60" s="9"/>
      <c r="F60" s="9"/>
      <c r="G60" s="9"/>
      <c r="H60" s="9"/>
      <c r="I60" s="9"/>
    </row>
    <row r="61" spans="1:9" s="2" customFormat="1" ht="15" customHeight="1">
      <c r="A61" s="14">
        <v>47092</v>
      </c>
      <c r="B61" s="15" t="s">
        <v>5482</v>
      </c>
      <c r="C61" s="16"/>
      <c r="D61" s="9"/>
      <c r="E61" s="9"/>
      <c r="F61" s="9"/>
      <c r="G61" s="9"/>
      <c r="H61" s="9"/>
      <c r="I61" s="9"/>
    </row>
    <row r="62" spans="1:9" s="2" customFormat="1" ht="15" customHeight="1">
      <c r="A62" s="14">
        <v>47097</v>
      </c>
      <c r="B62" s="15" t="s">
        <v>5483</v>
      </c>
      <c r="C62" s="16"/>
      <c r="D62" s="9"/>
      <c r="E62" s="9"/>
      <c r="F62" s="9"/>
      <c r="G62" s="9"/>
      <c r="H62" s="9"/>
      <c r="I62" s="9"/>
    </row>
    <row r="63" spans="1:9" s="2" customFormat="1" ht="15" customHeight="1">
      <c r="A63" s="14">
        <v>47118</v>
      </c>
      <c r="B63" s="15" t="s">
        <v>5484</v>
      </c>
      <c r="C63" s="16"/>
      <c r="D63" s="9"/>
      <c r="E63" s="9"/>
      <c r="F63" s="9"/>
      <c r="G63" s="9"/>
      <c r="H63" s="9"/>
      <c r="I63" s="9"/>
    </row>
  </sheetData>
  <conditionalFormatting sqref="A1:A1048576">
    <cfRule type="duplicateValues" dxfId="100" priority="1"/>
    <cfRule type="duplicateValues" dxfId="99" priority="2"/>
  </conditionalFormatting>
  <pageMargins left="0.7" right="0.7" top="0.75" bottom="0.75" header="0.3" footer="0.3"/>
  <pageSetup paperSize="9" scale="35"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82"/>
  <sheetViews>
    <sheetView view="pageBreakPreview" topLeftCell="A7" zoomScaleNormal="190" workbookViewId="0">
      <selection activeCell="A22" sqref="A22"/>
    </sheetView>
  </sheetViews>
  <sheetFormatPr defaultColWidth="6.86328125" defaultRowHeight="13.15"/>
  <cols>
    <col min="1" max="1" width="19.796875" style="3" customWidth="1"/>
    <col min="2" max="2" width="43.86328125" style="4" customWidth="1"/>
    <col min="3" max="16384" width="6.86328125" style="4"/>
  </cols>
  <sheetData>
    <row r="1" spans="1:9" s="1" customFormat="1" ht="48" customHeight="1">
      <c r="A1" s="5" t="s">
        <v>5463</v>
      </c>
      <c r="B1" s="6" t="s">
        <v>5464</v>
      </c>
    </row>
    <row r="2" spans="1:9" s="2" customFormat="1" ht="15" customHeight="1">
      <c r="A2" s="7">
        <v>46023</v>
      </c>
      <c r="B2" s="8" t="s">
        <v>5467</v>
      </c>
      <c r="C2" s="9"/>
      <c r="D2" s="9"/>
      <c r="E2" s="9"/>
      <c r="F2" s="9"/>
      <c r="G2" s="9"/>
      <c r="H2" s="9"/>
      <c r="I2" s="9"/>
    </row>
    <row r="3" spans="1:9" s="2" customFormat="1" ht="15" customHeight="1">
      <c r="A3" s="7">
        <v>46024</v>
      </c>
      <c r="B3" s="8" t="s">
        <v>5467</v>
      </c>
      <c r="C3" s="9"/>
      <c r="D3" s="9"/>
      <c r="E3" s="9"/>
      <c r="F3" s="9"/>
      <c r="G3" s="9"/>
      <c r="H3" s="9"/>
      <c r="I3" s="9"/>
    </row>
    <row r="4" spans="1:9" s="2" customFormat="1" ht="15" customHeight="1">
      <c r="A4" s="7">
        <v>46025</v>
      </c>
      <c r="B4" s="8" t="s">
        <v>5467</v>
      </c>
      <c r="C4" s="9"/>
      <c r="D4" s="9"/>
      <c r="E4" s="9"/>
      <c r="F4" s="9"/>
      <c r="G4" s="9"/>
      <c r="H4" s="9"/>
      <c r="I4" s="9"/>
    </row>
    <row r="5" spans="1:9" s="2" customFormat="1" ht="15" customHeight="1">
      <c r="A5" s="7">
        <v>46068</v>
      </c>
      <c r="B5" s="8" t="s">
        <v>5494</v>
      </c>
      <c r="C5" s="9"/>
      <c r="D5" s="9"/>
      <c r="E5" s="9"/>
      <c r="F5" s="9"/>
      <c r="G5" s="9"/>
      <c r="H5" s="9"/>
      <c r="I5" s="9"/>
    </row>
    <row r="6" spans="1:9" s="2" customFormat="1" ht="15" customHeight="1">
      <c r="A6" s="7">
        <v>46069</v>
      </c>
      <c r="B6" s="8" t="s">
        <v>5494</v>
      </c>
      <c r="C6" s="9"/>
      <c r="D6" s="9"/>
      <c r="E6" s="9"/>
      <c r="F6" s="9"/>
      <c r="G6" s="9"/>
      <c r="H6" s="9"/>
      <c r="I6" s="9"/>
    </row>
    <row r="7" spans="1:9" s="2" customFormat="1" ht="15" customHeight="1">
      <c r="A7" s="7">
        <v>46070</v>
      </c>
      <c r="B7" s="8" t="s">
        <v>5494</v>
      </c>
      <c r="C7" s="9"/>
      <c r="D7" s="9"/>
      <c r="E7" s="9"/>
      <c r="F7" s="9"/>
      <c r="G7" s="9"/>
      <c r="H7" s="9"/>
      <c r="I7" s="9"/>
    </row>
    <row r="8" spans="1:9" s="2" customFormat="1" ht="15" customHeight="1">
      <c r="A8" s="7">
        <v>46071</v>
      </c>
      <c r="B8" s="8" t="s">
        <v>5494</v>
      </c>
      <c r="C8" s="9"/>
      <c r="D8" s="9"/>
      <c r="E8" s="9"/>
      <c r="F8" s="9"/>
      <c r="G8" s="9"/>
      <c r="H8" s="9"/>
      <c r="I8" s="9"/>
    </row>
    <row r="9" spans="1:9" s="2" customFormat="1" ht="15" customHeight="1">
      <c r="A9" s="7">
        <v>46072</v>
      </c>
      <c r="B9" s="8" t="s">
        <v>5494</v>
      </c>
      <c r="C9" s="9"/>
      <c r="D9" s="9"/>
      <c r="E9" s="9"/>
      <c r="F9" s="9"/>
      <c r="G9" s="9"/>
      <c r="H9" s="9"/>
      <c r="I9" s="9"/>
    </row>
    <row r="10" spans="1:9" s="2" customFormat="1" ht="15" customHeight="1">
      <c r="A10" s="7">
        <v>46073</v>
      </c>
      <c r="B10" s="8" t="s">
        <v>5494</v>
      </c>
      <c r="C10" s="9"/>
      <c r="D10" s="9"/>
      <c r="E10" s="9"/>
      <c r="F10" s="9"/>
      <c r="G10" s="9"/>
      <c r="H10" s="9"/>
      <c r="I10" s="9"/>
    </row>
    <row r="11" spans="1:9" s="2" customFormat="1" ht="15" customHeight="1">
      <c r="A11" s="7">
        <v>46074</v>
      </c>
      <c r="B11" s="8" t="s">
        <v>5494</v>
      </c>
      <c r="C11" s="9"/>
      <c r="D11" s="9"/>
      <c r="E11" s="9"/>
      <c r="F11" s="9"/>
      <c r="G11" s="9"/>
      <c r="H11" s="9"/>
      <c r="I11" s="9"/>
    </row>
    <row r="12" spans="1:9" s="2" customFormat="1" ht="15" customHeight="1">
      <c r="A12" s="7">
        <v>46116</v>
      </c>
      <c r="B12" s="8" t="s">
        <v>5495</v>
      </c>
      <c r="C12" s="9"/>
      <c r="D12" s="9"/>
      <c r="E12" s="9"/>
      <c r="F12" s="9"/>
      <c r="G12" s="9"/>
      <c r="H12" s="9"/>
      <c r="I12" s="9"/>
    </row>
    <row r="13" spans="1:9" s="2" customFormat="1" ht="15" customHeight="1">
      <c r="A13" s="7">
        <v>46117</v>
      </c>
      <c r="B13" s="8" t="s">
        <v>5495</v>
      </c>
      <c r="C13" s="9"/>
      <c r="D13" s="9"/>
      <c r="E13" s="9"/>
      <c r="F13" s="9"/>
      <c r="G13" s="9"/>
      <c r="H13" s="9"/>
      <c r="I13" s="9"/>
    </row>
    <row r="14" spans="1:9" s="2" customFormat="1" ht="15" customHeight="1">
      <c r="A14" s="7">
        <v>46118</v>
      </c>
      <c r="B14" s="8" t="s">
        <v>5495</v>
      </c>
      <c r="C14" s="9"/>
      <c r="D14" s="9"/>
      <c r="E14" s="9"/>
      <c r="F14" s="9"/>
      <c r="G14" s="9"/>
      <c r="H14" s="9"/>
      <c r="I14" s="9"/>
    </row>
    <row r="15" spans="1:9" s="2" customFormat="1" ht="15" customHeight="1">
      <c r="A15" s="7">
        <v>46143</v>
      </c>
      <c r="B15" s="10" t="s">
        <v>5471</v>
      </c>
      <c r="C15" s="9"/>
      <c r="D15" s="9"/>
      <c r="E15" s="9"/>
      <c r="F15" s="9"/>
      <c r="G15" s="9"/>
      <c r="H15" s="9"/>
      <c r="I15" s="9"/>
    </row>
    <row r="16" spans="1:9" s="2" customFormat="1" ht="15" customHeight="1">
      <c r="A16" s="7">
        <v>46144</v>
      </c>
      <c r="B16" s="10" t="s">
        <v>5471</v>
      </c>
      <c r="C16" s="9"/>
      <c r="D16" s="9"/>
      <c r="E16" s="9"/>
      <c r="F16" s="9"/>
      <c r="G16" s="9"/>
      <c r="H16" s="9"/>
      <c r="I16" s="9"/>
    </row>
    <row r="17" spans="1:9" s="2" customFormat="1" ht="15" customHeight="1">
      <c r="A17" s="7">
        <v>46145</v>
      </c>
      <c r="B17" s="10" t="s">
        <v>5471</v>
      </c>
      <c r="C17" s="9"/>
      <c r="D17" s="9"/>
      <c r="E17" s="9"/>
      <c r="F17" s="9"/>
      <c r="G17" s="9"/>
      <c r="H17" s="9"/>
      <c r="I17" s="9"/>
    </row>
    <row r="18" spans="1:9" s="2" customFormat="1" ht="15" customHeight="1">
      <c r="A18" s="7">
        <v>46192</v>
      </c>
      <c r="B18" s="8" t="s">
        <v>5496</v>
      </c>
      <c r="C18" s="9"/>
      <c r="D18" s="9"/>
      <c r="E18" s="9"/>
      <c r="F18" s="9"/>
      <c r="G18" s="9"/>
      <c r="H18" s="9"/>
      <c r="I18" s="9"/>
    </row>
    <row r="19" spans="1:9" s="2" customFormat="1" ht="15" customHeight="1">
      <c r="A19" s="7">
        <v>46193</v>
      </c>
      <c r="B19" s="8" t="s">
        <v>5496</v>
      </c>
      <c r="C19" s="9"/>
      <c r="D19" s="9"/>
      <c r="E19" s="9"/>
      <c r="F19" s="9"/>
      <c r="G19" s="9"/>
      <c r="H19" s="9"/>
      <c r="I19" s="9"/>
    </row>
    <row r="20" spans="1:9" s="2" customFormat="1" ht="15" customHeight="1">
      <c r="A20" s="7">
        <v>46194</v>
      </c>
      <c r="B20" s="8" t="s">
        <v>5496</v>
      </c>
      <c r="C20" s="9"/>
      <c r="D20" s="9"/>
      <c r="E20" s="9"/>
      <c r="F20" s="9"/>
      <c r="G20" s="9"/>
      <c r="H20" s="9"/>
      <c r="I20" s="9"/>
    </row>
    <row r="21" spans="1:9" s="2" customFormat="1" ht="15" customHeight="1">
      <c r="A21" s="7">
        <v>46290</v>
      </c>
      <c r="B21" s="8"/>
      <c r="C21" s="9"/>
      <c r="D21" s="9"/>
      <c r="E21" s="9"/>
      <c r="F21" s="9"/>
      <c r="G21" s="9"/>
      <c r="H21" s="9"/>
      <c r="I21" s="9"/>
    </row>
    <row r="22" spans="1:9" s="2" customFormat="1" ht="15" customHeight="1">
      <c r="A22" s="7">
        <v>46296</v>
      </c>
      <c r="B22" s="8" t="s">
        <v>5497</v>
      </c>
      <c r="C22" s="9"/>
      <c r="D22" s="9"/>
      <c r="E22" s="9"/>
      <c r="F22" s="9"/>
      <c r="G22" s="9"/>
      <c r="H22" s="9"/>
      <c r="I22" s="9"/>
    </row>
    <row r="23" spans="1:9" s="2" customFormat="1" ht="15" customHeight="1">
      <c r="A23" s="7">
        <v>46297</v>
      </c>
      <c r="B23" s="8" t="s">
        <v>5497</v>
      </c>
      <c r="C23" s="9"/>
      <c r="D23" s="9"/>
      <c r="E23" s="9"/>
      <c r="F23" s="9"/>
      <c r="G23" s="9"/>
      <c r="H23" s="9"/>
      <c r="I23" s="9"/>
    </row>
    <row r="24" spans="1:9" s="2" customFormat="1" ht="15" customHeight="1">
      <c r="A24" s="7">
        <v>46298</v>
      </c>
      <c r="B24" s="8" t="s">
        <v>5497</v>
      </c>
      <c r="C24" s="9"/>
      <c r="D24" s="9"/>
      <c r="E24" s="9"/>
      <c r="F24" s="9"/>
      <c r="G24" s="9"/>
      <c r="H24" s="9"/>
      <c r="I24" s="9"/>
    </row>
    <row r="25" spans="1:9" s="2" customFormat="1" ht="15" customHeight="1">
      <c r="A25" s="7">
        <v>46299</v>
      </c>
      <c r="B25" s="8" t="s">
        <v>5497</v>
      </c>
      <c r="C25" s="9"/>
      <c r="D25" s="9"/>
      <c r="E25" s="9"/>
      <c r="F25" s="9"/>
      <c r="G25" s="9"/>
      <c r="H25" s="9"/>
      <c r="I25" s="9"/>
    </row>
    <row r="26" spans="1:9" s="2" customFormat="1" ht="15" customHeight="1">
      <c r="A26" s="7">
        <v>46300</v>
      </c>
      <c r="B26" s="8" t="s">
        <v>5497</v>
      </c>
      <c r="C26" s="9"/>
      <c r="D26" s="9"/>
      <c r="E26" s="9"/>
      <c r="F26" s="9"/>
      <c r="G26" s="9"/>
      <c r="H26" s="9"/>
      <c r="I26" s="9"/>
    </row>
    <row r="27" spans="1:9" s="2" customFormat="1" ht="15" customHeight="1">
      <c r="A27" s="7">
        <v>46301</v>
      </c>
      <c r="B27" s="8" t="s">
        <v>5497</v>
      </c>
      <c r="C27" s="9"/>
      <c r="D27" s="9"/>
      <c r="E27" s="9"/>
      <c r="F27" s="9"/>
      <c r="G27" s="9"/>
      <c r="H27" s="9"/>
      <c r="I27" s="9"/>
    </row>
    <row r="28" spans="1:9" s="2" customFormat="1" ht="15" customHeight="1">
      <c r="A28" s="7">
        <v>46302</v>
      </c>
      <c r="B28" s="8" t="s">
        <v>5497</v>
      </c>
      <c r="C28" s="9"/>
      <c r="D28" s="9"/>
      <c r="E28" s="9"/>
      <c r="F28" s="9"/>
      <c r="G28" s="9"/>
      <c r="H28" s="9"/>
      <c r="I28" s="9"/>
    </row>
    <row r="29" spans="1:9" s="2" customFormat="1" ht="15" customHeight="1">
      <c r="A29" s="7">
        <v>46388</v>
      </c>
      <c r="B29" s="8" t="s">
        <v>5467</v>
      </c>
      <c r="C29" s="9"/>
      <c r="D29" s="9"/>
      <c r="E29" s="9"/>
      <c r="F29" s="9"/>
      <c r="G29" s="9"/>
      <c r="H29" s="9"/>
      <c r="I29" s="9"/>
    </row>
    <row r="30" spans="1:9" s="2" customFormat="1" ht="15" customHeight="1">
      <c r="A30" s="7">
        <v>46389</v>
      </c>
      <c r="B30" s="8" t="s">
        <v>5467</v>
      </c>
      <c r="C30" s="9"/>
      <c r="D30" s="9"/>
      <c r="E30" s="9"/>
      <c r="F30" s="9"/>
      <c r="G30" s="9"/>
      <c r="H30" s="9"/>
      <c r="I30" s="9"/>
    </row>
    <row r="31" spans="1:9" s="2" customFormat="1" ht="15" customHeight="1">
      <c r="A31" s="7">
        <v>46390</v>
      </c>
      <c r="B31" s="8" t="s">
        <v>5467</v>
      </c>
      <c r="C31" s="9"/>
      <c r="D31" s="9"/>
      <c r="E31" s="9"/>
      <c r="F31" s="9"/>
      <c r="G31" s="9"/>
      <c r="H31" s="9"/>
      <c r="I31" s="9"/>
    </row>
    <row r="32" spans="1:9" s="2" customFormat="1" ht="15" customHeight="1">
      <c r="A32" s="7">
        <v>46424</v>
      </c>
      <c r="B32" s="8" t="s">
        <v>5494</v>
      </c>
      <c r="C32" s="9"/>
      <c r="D32" s="9"/>
      <c r="E32" s="9"/>
      <c r="F32" s="9"/>
      <c r="G32" s="9"/>
      <c r="H32" s="9"/>
      <c r="I32" s="9"/>
    </row>
    <row r="33" spans="1:9" s="2" customFormat="1" ht="15" customHeight="1">
      <c r="A33" s="7">
        <v>46425</v>
      </c>
      <c r="B33" s="8" t="s">
        <v>5494</v>
      </c>
      <c r="C33" s="9"/>
      <c r="D33" s="9"/>
      <c r="E33" s="9"/>
      <c r="F33" s="9"/>
      <c r="G33" s="9"/>
      <c r="H33" s="9"/>
      <c r="I33" s="9"/>
    </row>
    <row r="34" spans="1:9" s="2" customFormat="1" ht="15" customHeight="1">
      <c r="A34" s="7">
        <v>46426</v>
      </c>
      <c r="B34" s="8" t="s">
        <v>5494</v>
      </c>
      <c r="C34" s="9"/>
      <c r="D34" s="9"/>
      <c r="E34" s="9"/>
      <c r="F34" s="9"/>
      <c r="G34" s="9"/>
      <c r="H34" s="9"/>
      <c r="I34" s="9"/>
    </row>
    <row r="35" spans="1:9" s="2" customFormat="1" ht="15" customHeight="1">
      <c r="A35" s="7">
        <v>46427</v>
      </c>
      <c r="B35" s="8" t="s">
        <v>5494</v>
      </c>
      <c r="C35" s="9"/>
      <c r="D35" s="9"/>
      <c r="E35" s="9"/>
      <c r="F35" s="9"/>
      <c r="G35" s="9"/>
      <c r="H35" s="9"/>
      <c r="I35" s="9"/>
    </row>
    <row r="36" spans="1:9" s="2" customFormat="1" ht="15" customHeight="1">
      <c r="A36" s="7">
        <v>46428</v>
      </c>
      <c r="B36" s="8" t="s">
        <v>5494</v>
      </c>
      <c r="C36" s="9"/>
      <c r="D36" s="9"/>
      <c r="E36" s="9"/>
      <c r="F36" s="9"/>
      <c r="G36" s="9"/>
      <c r="H36" s="9"/>
      <c r="I36" s="9"/>
    </row>
    <row r="37" spans="1:9" s="2" customFormat="1" ht="15" customHeight="1">
      <c r="A37" s="7">
        <v>46429</v>
      </c>
      <c r="B37" s="8" t="s">
        <v>5494</v>
      </c>
      <c r="C37" s="9"/>
      <c r="D37" s="9"/>
      <c r="E37" s="9"/>
      <c r="F37" s="9"/>
      <c r="G37" s="9"/>
      <c r="H37" s="9"/>
      <c r="I37" s="9"/>
    </row>
    <row r="38" spans="1:9" s="2" customFormat="1" ht="15" customHeight="1">
      <c r="A38" s="7">
        <v>46430</v>
      </c>
      <c r="B38" s="8" t="s">
        <v>5494</v>
      </c>
      <c r="C38" s="9"/>
      <c r="D38" s="9"/>
      <c r="E38" s="9"/>
      <c r="F38" s="9"/>
      <c r="G38" s="9"/>
      <c r="H38" s="9"/>
      <c r="I38" s="9"/>
    </row>
    <row r="39" spans="1:9" s="2" customFormat="1" ht="15" customHeight="1">
      <c r="A39" s="7">
        <v>46480</v>
      </c>
      <c r="B39" s="8" t="s">
        <v>5495</v>
      </c>
      <c r="C39" s="9"/>
      <c r="D39" s="9"/>
      <c r="E39" s="9"/>
      <c r="F39" s="9"/>
      <c r="G39" s="9"/>
      <c r="H39" s="9"/>
      <c r="I39" s="9"/>
    </row>
    <row r="40" spans="1:9" s="2" customFormat="1" ht="15" customHeight="1">
      <c r="A40" s="7">
        <v>46481</v>
      </c>
      <c r="B40" s="8" t="s">
        <v>5495</v>
      </c>
      <c r="C40" s="9"/>
      <c r="D40" s="9"/>
      <c r="E40" s="9"/>
      <c r="F40" s="9"/>
      <c r="G40" s="9"/>
      <c r="H40" s="9"/>
      <c r="I40" s="9"/>
    </row>
    <row r="41" spans="1:9" s="2" customFormat="1" ht="15" customHeight="1">
      <c r="A41" s="7">
        <v>46482</v>
      </c>
      <c r="B41" s="8" t="s">
        <v>5495</v>
      </c>
      <c r="C41" s="9"/>
      <c r="D41" s="9"/>
      <c r="E41" s="9"/>
      <c r="F41" s="9"/>
      <c r="G41" s="9"/>
      <c r="H41" s="9"/>
      <c r="I41" s="9"/>
    </row>
    <row r="42" spans="1:9" s="2" customFormat="1" ht="15" customHeight="1">
      <c r="A42" s="7">
        <v>46508</v>
      </c>
      <c r="B42" s="10" t="s">
        <v>5471</v>
      </c>
      <c r="C42" s="9"/>
      <c r="D42" s="9"/>
      <c r="E42" s="9"/>
      <c r="F42" s="9"/>
      <c r="G42" s="9"/>
      <c r="H42" s="9"/>
      <c r="I42" s="9"/>
    </row>
    <row r="43" spans="1:9" s="2" customFormat="1" ht="15" customHeight="1">
      <c r="A43" s="7">
        <v>46509</v>
      </c>
      <c r="B43" s="10" t="s">
        <v>5471</v>
      </c>
      <c r="C43" s="9"/>
      <c r="D43" s="9"/>
      <c r="E43" s="9"/>
      <c r="F43" s="9"/>
      <c r="G43" s="9"/>
      <c r="H43" s="9"/>
      <c r="I43" s="9"/>
    </row>
    <row r="44" spans="1:9" s="2" customFormat="1" ht="15" customHeight="1">
      <c r="A44" s="7">
        <v>46510</v>
      </c>
      <c r="B44" s="10" t="s">
        <v>5471</v>
      </c>
      <c r="C44" s="9"/>
      <c r="D44" s="9"/>
      <c r="E44" s="9"/>
      <c r="F44" s="9"/>
      <c r="G44" s="9"/>
      <c r="H44" s="9"/>
      <c r="I44" s="9"/>
    </row>
    <row r="45" spans="1:9" s="2" customFormat="1" ht="15" customHeight="1">
      <c r="A45" s="7">
        <v>46549</v>
      </c>
      <c r="B45" s="8" t="s">
        <v>5496</v>
      </c>
      <c r="C45" s="9"/>
      <c r="D45" s="9"/>
      <c r="E45" s="9"/>
      <c r="F45" s="9"/>
      <c r="G45" s="9"/>
      <c r="H45" s="9"/>
      <c r="I45" s="9"/>
    </row>
    <row r="46" spans="1:9" s="2" customFormat="1" ht="15" customHeight="1">
      <c r="A46" s="7">
        <v>46550</v>
      </c>
      <c r="B46" s="8" t="s">
        <v>5496</v>
      </c>
      <c r="C46" s="9"/>
      <c r="D46" s="9"/>
      <c r="E46" s="9"/>
      <c r="F46" s="9"/>
      <c r="G46" s="9"/>
      <c r="H46" s="9"/>
      <c r="I46" s="9"/>
    </row>
    <row r="47" spans="1:9" s="2" customFormat="1" ht="15" customHeight="1">
      <c r="A47" s="7">
        <v>46551</v>
      </c>
      <c r="B47" s="8" t="s">
        <v>5496</v>
      </c>
      <c r="C47" s="9"/>
      <c r="D47" s="9"/>
      <c r="E47" s="9"/>
      <c r="F47" s="9"/>
      <c r="G47" s="9"/>
      <c r="H47" s="9"/>
      <c r="I47" s="9"/>
    </row>
    <row r="48" spans="1:9" s="2" customFormat="1" ht="15" customHeight="1">
      <c r="A48" s="7">
        <v>46552</v>
      </c>
      <c r="B48" s="8" t="s">
        <v>5496</v>
      </c>
      <c r="C48" s="9"/>
      <c r="D48" s="9"/>
      <c r="E48" s="9"/>
      <c r="F48" s="9"/>
      <c r="G48" s="9"/>
      <c r="H48" s="9"/>
      <c r="I48" s="9"/>
    </row>
    <row r="49" spans="1:9" s="2" customFormat="1" ht="15" customHeight="1">
      <c r="A49" s="7">
        <v>46645</v>
      </c>
      <c r="B49" s="8"/>
      <c r="C49" s="9"/>
      <c r="D49" s="9"/>
      <c r="E49" s="9"/>
      <c r="F49" s="9"/>
      <c r="G49" s="9"/>
      <c r="H49" s="9"/>
      <c r="I49" s="9"/>
    </row>
    <row r="50" spans="1:9" s="2" customFormat="1" ht="15" customHeight="1">
      <c r="A50" s="7">
        <v>46661</v>
      </c>
      <c r="B50" s="8" t="s">
        <v>5497</v>
      </c>
      <c r="C50" s="9"/>
      <c r="D50" s="9"/>
      <c r="E50" s="9"/>
      <c r="F50" s="9"/>
      <c r="G50" s="9"/>
      <c r="H50" s="9"/>
      <c r="I50" s="9"/>
    </row>
    <row r="51" spans="1:9" s="2" customFormat="1" ht="15" customHeight="1">
      <c r="A51" s="7">
        <v>46662</v>
      </c>
      <c r="B51" s="8" t="s">
        <v>5497</v>
      </c>
      <c r="C51" s="9"/>
      <c r="D51" s="9"/>
      <c r="E51" s="9"/>
      <c r="F51" s="9"/>
      <c r="G51" s="9"/>
      <c r="H51" s="9"/>
      <c r="I51" s="9"/>
    </row>
    <row r="52" spans="1:9" s="2" customFormat="1" ht="15" customHeight="1">
      <c r="A52" s="7">
        <v>46663</v>
      </c>
      <c r="B52" s="8" t="s">
        <v>5497</v>
      </c>
      <c r="C52" s="9"/>
      <c r="D52" s="9"/>
      <c r="E52" s="9"/>
      <c r="F52" s="9"/>
      <c r="G52" s="9"/>
      <c r="H52" s="9"/>
      <c r="I52" s="9"/>
    </row>
    <row r="53" spans="1:9" s="2" customFormat="1" ht="15" customHeight="1">
      <c r="A53" s="7">
        <v>46664</v>
      </c>
      <c r="B53" s="8" t="s">
        <v>5497</v>
      </c>
      <c r="C53" s="9"/>
      <c r="D53" s="9"/>
      <c r="E53" s="9"/>
      <c r="F53" s="9"/>
      <c r="G53" s="9"/>
      <c r="H53" s="9"/>
      <c r="I53" s="9"/>
    </row>
    <row r="54" spans="1:9" s="2" customFormat="1" ht="15" customHeight="1">
      <c r="A54" s="7">
        <v>46665</v>
      </c>
      <c r="B54" s="8" t="s">
        <v>5497</v>
      </c>
      <c r="C54" s="9"/>
      <c r="D54" s="9"/>
      <c r="E54" s="9"/>
      <c r="F54" s="9"/>
      <c r="G54" s="9"/>
      <c r="H54" s="9"/>
      <c r="I54" s="9"/>
    </row>
    <row r="55" spans="1:9" s="2" customFormat="1" ht="15" customHeight="1">
      <c r="A55" s="7">
        <v>46666</v>
      </c>
      <c r="B55" s="8" t="s">
        <v>5497</v>
      </c>
      <c r="C55" s="9"/>
      <c r="D55" s="9"/>
      <c r="E55" s="9"/>
      <c r="F55" s="9"/>
      <c r="G55" s="9"/>
      <c r="H55" s="9"/>
      <c r="I55" s="9"/>
    </row>
    <row r="56" spans="1:9" s="2" customFormat="1" ht="15" customHeight="1">
      <c r="A56" s="7">
        <v>46667</v>
      </c>
      <c r="B56" s="8" t="s">
        <v>5497</v>
      </c>
      <c r="C56" s="9"/>
      <c r="D56" s="9"/>
      <c r="E56" s="9"/>
      <c r="F56" s="9"/>
      <c r="G56" s="9"/>
      <c r="H56" s="9"/>
      <c r="I56" s="9"/>
    </row>
    <row r="57" spans="1:9" s="2" customFormat="1" ht="15" customHeight="1">
      <c r="A57" s="7">
        <v>46753</v>
      </c>
      <c r="B57" s="8" t="s">
        <v>5467</v>
      </c>
      <c r="C57" s="9"/>
      <c r="D57" s="9"/>
      <c r="E57" s="9"/>
      <c r="F57" s="9"/>
      <c r="G57" s="9"/>
      <c r="H57" s="9"/>
      <c r="I57" s="9"/>
    </row>
    <row r="58" spans="1:9" s="2" customFormat="1" ht="15" customHeight="1">
      <c r="A58" s="7">
        <v>46754</v>
      </c>
      <c r="B58" s="8" t="s">
        <v>5467</v>
      </c>
      <c r="C58" s="9"/>
      <c r="D58" s="9"/>
      <c r="E58" s="9"/>
      <c r="F58" s="9"/>
      <c r="G58" s="9"/>
      <c r="H58" s="9"/>
      <c r="I58" s="9"/>
    </row>
    <row r="59" spans="1:9" s="2" customFormat="1" ht="15" customHeight="1">
      <c r="A59" s="7">
        <v>46755</v>
      </c>
      <c r="B59" s="8" t="s">
        <v>5467</v>
      </c>
      <c r="C59" s="9"/>
      <c r="D59" s="9"/>
      <c r="E59" s="9"/>
      <c r="F59" s="9"/>
      <c r="G59" s="9"/>
      <c r="H59" s="9"/>
      <c r="I59" s="9"/>
    </row>
    <row r="60" spans="1:9" s="2" customFormat="1" ht="15" customHeight="1">
      <c r="A60" s="7">
        <v>46777</v>
      </c>
      <c r="B60" s="8" t="s">
        <v>5494</v>
      </c>
      <c r="C60" s="9"/>
      <c r="D60" s="9"/>
      <c r="E60" s="9"/>
      <c r="F60" s="9"/>
      <c r="G60" s="9"/>
      <c r="H60" s="9"/>
      <c r="I60" s="9"/>
    </row>
    <row r="61" spans="1:9" s="2" customFormat="1" ht="15" customHeight="1">
      <c r="A61" s="7">
        <v>46778</v>
      </c>
      <c r="B61" s="8" t="s">
        <v>5494</v>
      </c>
      <c r="C61" s="9"/>
      <c r="D61" s="9"/>
      <c r="E61" s="9"/>
      <c r="F61" s="9"/>
      <c r="G61" s="9"/>
      <c r="H61" s="9"/>
      <c r="I61" s="9"/>
    </row>
    <row r="62" spans="1:9" s="2" customFormat="1" ht="15" customHeight="1">
      <c r="A62" s="7">
        <v>46779</v>
      </c>
      <c r="B62" s="8" t="s">
        <v>5494</v>
      </c>
      <c r="C62" s="9"/>
      <c r="D62" s="9"/>
      <c r="E62" s="9"/>
      <c r="F62" s="9"/>
      <c r="G62" s="9"/>
      <c r="H62" s="9"/>
      <c r="I62" s="9"/>
    </row>
    <row r="63" spans="1:9" s="2" customFormat="1" ht="15" customHeight="1">
      <c r="A63" s="7">
        <v>46780</v>
      </c>
      <c r="B63" s="8" t="s">
        <v>5494</v>
      </c>
      <c r="C63" s="9"/>
      <c r="D63" s="9"/>
      <c r="E63" s="9"/>
      <c r="F63" s="9"/>
      <c r="G63" s="9"/>
      <c r="H63" s="9"/>
      <c r="I63" s="9"/>
    </row>
    <row r="64" spans="1:9" s="2" customFormat="1" ht="15" customHeight="1">
      <c r="A64" s="7">
        <v>46781</v>
      </c>
      <c r="B64" s="8" t="s">
        <v>5494</v>
      </c>
      <c r="C64" s="9"/>
      <c r="D64" s="9"/>
      <c r="E64" s="9"/>
      <c r="F64" s="9"/>
      <c r="G64" s="9"/>
      <c r="H64" s="9"/>
      <c r="I64" s="9"/>
    </row>
    <row r="65" spans="1:9" s="2" customFormat="1" ht="15" customHeight="1">
      <c r="A65" s="7">
        <v>46782</v>
      </c>
      <c r="B65" s="8" t="s">
        <v>5494</v>
      </c>
      <c r="C65" s="9"/>
      <c r="D65" s="9"/>
      <c r="E65" s="9"/>
      <c r="F65" s="9"/>
      <c r="G65" s="9"/>
      <c r="H65" s="9"/>
      <c r="I65" s="9"/>
    </row>
    <row r="66" spans="1:9" s="2" customFormat="1" ht="15" customHeight="1">
      <c r="A66" s="7">
        <v>46783</v>
      </c>
      <c r="B66" s="8" t="s">
        <v>5494</v>
      </c>
      <c r="C66" s="9"/>
      <c r="D66" s="9"/>
      <c r="E66" s="9"/>
      <c r="F66" s="9"/>
      <c r="G66" s="9"/>
      <c r="H66" s="9"/>
      <c r="I66" s="9"/>
    </row>
    <row r="67" spans="1:9" s="2" customFormat="1" ht="15" customHeight="1">
      <c r="A67" s="7">
        <v>46847</v>
      </c>
      <c r="B67" s="8" t="s">
        <v>5495</v>
      </c>
      <c r="C67" s="9"/>
      <c r="D67" s="9"/>
      <c r="E67" s="9"/>
      <c r="F67" s="9"/>
      <c r="G67" s="9"/>
      <c r="H67" s="9"/>
      <c r="I67" s="9"/>
    </row>
    <row r="68" spans="1:9" s="2" customFormat="1" ht="15" customHeight="1">
      <c r="A68" s="7">
        <v>46848</v>
      </c>
      <c r="B68" s="8" t="s">
        <v>5495</v>
      </c>
      <c r="C68" s="9"/>
      <c r="D68" s="9"/>
      <c r="E68" s="9"/>
      <c r="F68" s="9"/>
      <c r="G68" s="9"/>
      <c r="H68" s="9"/>
      <c r="I68" s="9"/>
    </row>
    <row r="69" spans="1:9" s="2" customFormat="1" ht="15" customHeight="1">
      <c r="A69" s="7">
        <v>46849</v>
      </c>
      <c r="B69" s="8" t="s">
        <v>5495</v>
      </c>
      <c r="C69" s="9"/>
      <c r="D69" s="9"/>
      <c r="E69" s="9"/>
      <c r="F69" s="9"/>
      <c r="G69" s="9"/>
      <c r="H69" s="9"/>
      <c r="I69" s="9"/>
    </row>
    <row r="70" spans="1:9" s="2" customFormat="1" ht="15" customHeight="1">
      <c r="A70" s="7">
        <v>46874</v>
      </c>
      <c r="B70" s="10" t="s">
        <v>5471</v>
      </c>
      <c r="C70" s="9"/>
      <c r="D70" s="9"/>
      <c r="E70" s="9"/>
      <c r="F70" s="9"/>
      <c r="G70" s="9"/>
      <c r="H70" s="9"/>
      <c r="I70" s="9"/>
    </row>
    <row r="71" spans="1:9" s="2" customFormat="1" ht="15" customHeight="1">
      <c r="A71" s="7">
        <v>46875</v>
      </c>
      <c r="B71" s="10" t="s">
        <v>5471</v>
      </c>
      <c r="C71" s="9"/>
      <c r="D71" s="9"/>
      <c r="E71" s="9"/>
      <c r="F71" s="9"/>
      <c r="G71" s="9"/>
      <c r="H71" s="9"/>
      <c r="I71" s="9"/>
    </row>
    <row r="72" spans="1:9" s="2" customFormat="1" ht="15" customHeight="1">
      <c r="A72" s="7">
        <v>46876</v>
      </c>
      <c r="B72" s="10" t="s">
        <v>5471</v>
      </c>
      <c r="C72" s="9"/>
      <c r="D72" s="9"/>
      <c r="E72" s="9"/>
      <c r="F72" s="9"/>
      <c r="G72" s="9"/>
      <c r="H72" s="9"/>
      <c r="I72" s="9"/>
    </row>
    <row r="73" spans="1:9" s="2" customFormat="1" ht="15" customHeight="1">
      <c r="A73" s="7">
        <v>46904</v>
      </c>
      <c r="B73" s="8" t="s">
        <v>5496</v>
      </c>
      <c r="C73" s="9"/>
      <c r="D73" s="9"/>
      <c r="E73" s="9"/>
      <c r="F73" s="9"/>
      <c r="G73" s="9"/>
      <c r="H73" s="9"/>
      <c r="I73" s="9"/>
    </row>
    <row r="74" spans="1:9" s="2" customFormat="1" ht="15" customHeight="1">
      <c r="A74" s="7">
        <v>46905</v>
      </c>
      <c r="B74" s="8" t="s">
        <v>5496</v>
      </c>
      <c r="C74" s="9"/>
      <c r="D74" s="9"/>
      <c r="E74" s="9"/>
      <c r="F74" s="9"/>
      <c r="G74" s="9"/>
      <c r="H74" s="9"/>
      <c r="I74" s="9"/>
    </row>
    <row r="75" spans="1:9" s="2" customFormat="1" ht="15" customHeight="1">
      <c r="A75" s="7">
        <v>46906</v>
      </c>
      <c r="B75" s="8" t="s">
        <v>5496</v>
      </c>
      <c r="C75" s="9"/>
      <c r="D75" s="9"/>
      <c r="E75" s="9"/>
      <c r="F75" s="9"/>
      <c r="G75" s="9"/>
      <c r="H75" s="9"/>
      <c r="I75" s="9"/>
    </row>
    <row r="76" spans="1:9" s="2" customFormat="1" ht="15" customHeight="1">
      <c r="A76" s="7">
        <v>47027</v>
      </c>
      <c r="B76" s="8" t="s">
        <v>5497</v>
      </c>
      <c r="C76" s="9"/>
      <c r="D76" s="9"/>
      <c r="E76" s="9"/>
      <c r="F76" s="9"/>
      <c r="G76" s="9"/>
      <c r="H76" s="9"/>
      <c r="I76" s="9"/>
    </row>
    <row r="77" spans="1:9" s="2" customFormat="1" ht="15" customHeight="1">
      <c r="A77" s="7">
        <v>47028</v>
      </c>
      <c r="B77" s="8" t="s">
        <v>5497</v>
      </c>
      <c r="C77" s="9"/>
      <c r="D77" s="9"/>
      <c r="E77" s="9"/>
      <c r="F77" s="9"/>
      <c r="G77" s="9"/>
      <c r="H77" s="9"/>
      <c r="I77" s="9"/>
    </row>
    <row r="78" spans="1:9" s="2" customFormat="1" ht="15" customHeight="1">
      <c r="A78" s="7">
        <v>47029</v>
      </c>
      <c r="B78" s="8" t="s">
        <v>5497</v>
      </c>
      <c r="C78" s="9"/>
      <c r="D78" s="9"/>
      <c r="E78" s="9"/>
      <c r="F78" s="9"/>
      <c r="G78" s="9"/>
      <c r="H78" s="9"/>
      <c r="I78" s="9"/>
    </row>
    <row r="79" spans="1:9" s="2" customFormat="1" ht="15" customHeight="1">
      <c r="A79" s="7">
        <v>47030</v>
      </c>
      <c r="B79" s="8" t="s">
        <v>5497</v>
      </c>
      <c r="C79" s="9"/>
      <c r="D79" s="9"/>
      <c r="E79" s="9"/>
      <c r="F79" s="9"/>
      <c r="G79" s="9"/>
      <c r="H79" s="9"/>
      <c r="I79" s="9"/>
    </row>
    <row r="80" spans="1:9" s="2" customFormat="1" ht="15" customHeight="1">
      <c r="A80" s="7">
        <v>47031</v>
      </c>
      <c r="B80" s="8" t="s">
        <v>5497</v>
      </c>
      <c r="C80" s="9"/>
      <c r="D80" s="9"/>
      <c r="E80" s="9"/>
      <c r="F80" s="9"/>
      <c r="G80" s="9"/>
      <c r="H80" s="9"/>
      <c r="I80" s="9"/>
    </row>
    <row r="81" spans="1:9" s="2" customFormat="1" ht="15" customHeight="1">
      <c r="A81" s="7">
        <v>47032</v>
      </c>
      <c r="B81" s="8" t="s">
        <v>5497</v>
      </c>
      <c r="C81" s="9"/>
      <c r="D81" s="9"/>
      <c r="E81" s="9"/>
      <c r="F81" s="9"/>
      <c r="G81" s="9"/>
      <c r="H81" s="9"/>
      <c r="I81" s="9"/>
    </row>
    <row r="82" spans="1:9" s="2" customFormat="1" ht="15" customHeight="1">
      <c r="A82" s="7">
        <v>47033</v>
      </c>
      <c r="B82" s="8" t="s">
        <v>5497</v>
      </c>
      <c r="C82" s="9"/>
      <c r="D82" s="9"/>
      <c r="E82" s="9"/>
      <c r="F82" s="9"/>
      <c r="G82" s="9"/>
      <c r="H82" s="9"/>
      <c r="I82" s="9"/>
    </row>
  </sheetData>
  <conditionalFormatting sqref="A1:A1048576">
    <cfRule type="duplicateValues" dxfId="98" priority="1"/>
  </conditionalFormatting>
  <conditionalFormatting sqref="A2">
    <cfRule type="duplicateValues" dxfId="97" priority="78"/>
  </conditionalFormatting>
  <conditionalFormatting sqref="A3">
    <cfRule type="duplicateValues" dxfId="96" priority="77"/>
  </conditionalFormatting>
  <conditionalFormatting sqref="A4">
    <cfRule type="duplicateValues" dxfId="95" priority="76"/>
  </conditionalFormatting>
  <conditionalFormatting sqref="A5">
    <cfRule type="duplicateValues" dxfId="94" priority="75"/>
  </conditionalFormatting>
  <conditionalFormatting sqref="A6">
    <cfRule type="duplicateValues" dxfId="93" priority="74"/>
  </conditionalFormatting>
  <conditionalFormatting sqref="A7">
    <cfRule type="duplicateValues" dxfId="92" priority="73"/>
  </conditionalFormatting>
  <conditionalFormatting sqref="A8">
    <cfRule type="duplicateValues" dxfId="91" priority="72"/>
  </conditionalFormatting>
  <conditionalFormatting sqref="A9">
    <cfRule type="duplicateValues" dxfId="90" priority="71"/>
  </conditionalFormatting>
  <conditionalFormatting sqref="A10">
    <cfRule type="duplicateValues" dxfId="89" priority="70"/>
  </conditionalFormatting>
  <conditionalFormatting sqref="A11">
    <cfRule type="duplicateValues" dxfId="88" priority="69"/>
  </conditionalFormatting>
  <conditionalFormatting sqref="A12">
    <cfRule type="duplicateValues" dxfId="87" priority="68"/>
  </conditionalFormatting>
  <conditionalFormatting sqref="A13">
    <cfRule type="duplicateValues" dxfId="86" priority="67"/>
  </conditionalFormatting>
  <conditionalFormatting sqref="A14">
    <cfRule type="duplicateValues" dxfId="85" priority="66"/>
  </conditionalFormatting>
  <conditionalFormatting sqref="A15">
    <cfRule type="duplicateValues" dxfId="84" priority="65"/>
  </conditionalFormatting>
  <conditionalFormatting sqref="A16">
    <cfRule type="duplicateValues" dxfId="83" priority="64"/>
  </conditionalFormatting>
  <conditionalFormatting sqref="A17">
    <cfRule type="duplicateValues" dxfId="82" priority="63"/>
  </conditionalFormatting>
  <conditionalFormatting sqref="A18">
    <cfRule type="duplicateValues" dxfId="81" priority="62"/>
  </conditionalFormatting>
  <conditionalFormatting sqref="A19">
    <cfRule type="duplicateValues" dxfId="80" priority="61"/>
  </conditionalFormatting>
  <conditionalFormatting sqref="A20:A21">
    <cfRule type="duplicateValues" dxfId="79" priority="60"/>
  </conditionalFormatting>
  <conditionalFormatting sqref="A21:A22">
    <cfRule type="duplicateValues" dxfId="78" priority="59"/>
  </conditionalFormatting>
  <conditionalFormatting sqref="A23">
    <cfRule type="duplicateValues" dxfId="77" priority="58"/>
  </conditionalFormatting>
  <conditionalFormatting sqref="A24">
    <cfRule type="duplicateValues" dxfId="76" priority="57"/>
  </conditionalFormatting>
  <conditionalFormatting sqref="A25">
    <cfRule type="duplicateValues" dxfId="75" priority="56"/>
  </conditionalFormatting>
  <conditionalFormatting sqref="A26">
    <cfRule type="duplicateValues" dxfId="74" priority="55"/>
  </conditionalFormatting>
  <conditionalFormatting sqref="A27">
    <cfRule type="duplicateValues" dxfId="73" priority="54"/>
  </conditionalFormatting>
  <conditionalFormatting sqref="A28">
    <cfRule type="duplicateValues" dxfId="72" priority="53"/>
  </conditionalFormatting>
  <conditionalFormatting sqref="A29">
    <cfRule type="duplicateValues" dxfId="71" priority="52"/>
  </conditionalFormatting>
  <conditionalFormatting sqref="A30">
    <cfRule type="duplicateValues" dxfId="70" priority="51"/>
  </conditionalFormatting>
  <conditionalFormatting sqref="A31">
    <cfRule type="duplicateValues" dxfId="69" priority="50"/>
  </conditionalFormatting>
  <conditionalFormatting sqref="A32">
    <cfRule type="duplicateValues" dxfId="68" priority="49"/>
  </conditionalFormatting>
  <conditionalFormatting sqref="A33">
    <cfRule type="duplicateValues" dxfId="67" priority="48"/>
  </conditionalFormatting>
  <conditionalFormatting sqref="A34">
    <cfRule type="duplicateValues" dxfId="66" priority="47"/>
  </conditionalFormatting>
  <conditionalFormatting sqref="A35">
    <cfRule type="duplicateValues" dxfId="65" priority="46"/>
  </conditionalFormatting>
  <conditionalFormatting sqref="A36">
    <cfRule type="duplicateValues" dxfId="64" priority="45"/>
  </conditionalFormatting>
  <conditionalFormatting sqref="A37">
    <cfRule type="duplicateValues" dxfId="63" priority="44"/>
  </conditionalFormatting>
  <conditionalFormatting sqref="A38">
    <cfRule type="duplicateValues" dxfId="62" priority="43"/>
  </conditionalFormatting>
  <conditionalFormatting sqref="A39">
    <cfRule type="duplicateValues" dxfId="61" priority="42"/>
  </conditionalFormatting>
  <conditionalFormatting sqref="A40">
    <cfRule type="duplicateValues" dxfId="60" priority="41"/>
  </conditionalFormatting>
  <conditionalFormatting sqref="A41">
    <cfRule type="duplicateValues" dxfId="59" priority="40"/>
  </conditionalFormatting>
  <conditionalFormatting sqref="A42">
    <cfRule type="duplicateValues" dxfId="58" priority="39"/>
  </conditionalFormatting>
  <conditionalFormatting sqref="A43">
    <cfRule type="duplicateValues" dxfId="57" priority="38"/>
  </conditionalFormatting>
  <conditionalFormatting sqref="A44">
    <cfRule type="duplicateValues" dxfId="56" priority="37"/>
  </conditionalFormatting>
  <conditionalFormatting sqref="A45">
    <cfRule type="duplicateValues" dxfId="55" priority="36"/>
  </conditionalFormatting>
  <conditionalFormatting sqref="A46">
    <cfRule type="duplicateValues" dxfId="54" priority="35"/>
  </conditionalFormatting>
  <conditionalFormatting sqref="A47">
    <cfRule type="duplicateValues" dxfId="53" priority="34"/>
  </conditionalFormatting>
  <conditionalFormatting sqref="A48:A49">
    <cfRule type="duplicateValues" dxfId="52" priority="33"/>
  </conditionalFormatting>
  <conditionalFormatting sqref="A49:A50">
    <cfRule type="duplicateValues" dxfId="51" priority="32"/>
  </conditionalFormatting>
  <conditionalFormatting sqref="A51">
    <cfRule type="duplicateValues" dxfId="50" priority="31"/>
  </conditionalFormatting>
  <conditionalFormatting sqref="A52">
    <cfRule type="duplicateValues" dxfId="49" priority="30"/>
  </conditionalFormatting>
  <conditionalFormatting sqref="A53">
    <cfRule type="duplicateValues" dxfId="48" priority="29"/>
  </conditionalFormatting>
  <conditionalFormatting sqref="A54">
    <cfRule type="duplicateValues" dxfId="47" priority="28"/>
  </conditionalFormatting>
  <conditionalFormatting sqref="A55">
    <cfRule type="duplicateValues" dxfId="46" priority="27"/>
  </conditionalFormatting>
  <conditionalFormatting sqref="A56">
    <cfRule type="duplicateValues" dxfId="45" priority="26"/>
  </conditionalFormatting>
  <conditionalFormatting sqref="A57">
    <cfRule type="duplicateValues" dxfId="44" priority="25"/>
  </conditionalFormatting>
  <conditionalFormatting sqref="A58">
    <cfRule type="duplicateValues" dxfId="43" priority="24"/>
  </conditionalFormatting>
  <conditionalFormatting sqref="A59">
    <cfRule type="duplicateValues" dxfId="42" priority="23"/>
  </conditionalFormatting>
  <conditionalFormatting sqref="A60">
    <cfRule type="duplicateValues" dxfId="41" priority="22"/>
  </conditionalFormatting>
  <conditionalFormatting sqref="A61">
    <cfRule type="duplicateValues" dxfId="40" priority="21"/>
  </conditionalFormatting>
  <conditionalFormatting sqref="A62">
    <cfRule type="duplicateValues" dxfId="39" priority="20"/>
  </conditionalFormatting>
  <conditionalFormatting sqref="A63">
    <cfRule type="duplicateValues" dxfId="38" priority="19"/>
  </conditionalFormatting>
  <conditionalFormatting sqref="A64">
    <cfRule type="duplicateValues" dxfId="37" priority="18"/>
  </conditionalFormatting>
  <conditionalFormatting sqref="A65">
    <cfRule type="duplicateValues" dxfId="36" priority="17"/>
  </conditionalFormatting>
  <conditionalFormatting sqref="A66">
    <cfRule type="duplicateValues" dxfId="35" priority="16"/>
  </conditionalFormatting>
  <conditionalFormatting sqref="A67">
    <cfRule type="duplicateValues" dxfId="34" priority="15"/>
  </conditionalFormatting>
  <conditionalFormatting sqref="A68">
    <cfRule type="duplicateValues" dxfId="33" priority="14"/>
  </conditionalFormatting>
  <conditionalFormatting sqref="A69">
    <cfRule type="duplicateValues" dxfId="32" priority="13"/>
  </conditionalFormatting>
  <conditionalFormatting sqref="A70">
    <cfRule type="duplicateValues" dxfId="31" priority="12"/>
  </conditionalFormatting>
  <conditionalFormatting sqref="A71">
    <cfRule type="duplicateValues" dxfId="30" priority="11"/>
  </conditionalFormatting>
  <conditionalFormatting sqref="A72">
    <cfRule type="duplicateValues" dxfId="29" priority="10"/>
  </conditionalFormatting>
  <conditionalFormatting sqref="A73">
    <cfRule type="duplicateValues" dxfId="28" priority="9"/>
  </conditionalFormatting>
  <conditionalFormatting sqref="A74">
    <cfRule type="duplicateValues" dxfId="27" priority="8"/>
  </conditionalFormatting>
  <conditionalFormatting sqref="A75">
    <cfRule type="duplicateValues" dxfId="26" priority="7"/>
  </conditionalFormatting>
  <conditionalFormatting sqref="A76">
    <cfRule type="duplicateValues" dxfId="25" priority="6"/>
  </conditionalFormatting>
  <conditionalFormatting sqref="A77">
    <cfRule type="duplicateValues" dxfId="24" priority="5"/>
  </conditionalFormatting>
  <conditionalFormatting sqref="A78">
    <cfRule type="duplicateValues" dxfId="23" priority="4"/>
  </conditionalFormatting>
  <conditionalFormatting sqref="A79">
    <cfRule type="duplicateValues" dxfId="22" priority="3"/>
  </conditionalFormatting>
  <conditionalFormatting sqref="A80:A82">
    <cfRule type="duplicateValues" dxfId="21" priority="2"/>
  </conditionalFormatting>
  <conditionalFormatting sqref="A83:A1048576 A1">
    <cfRule type="duplicateValues" dxfId="20" priority="79"/>
  </conditionalFormatting>
  <pageMargins left="0.7" right="0.7" top="0.75" bottom="0.75" header="0.3" footer="0.3"/>
  <pageSetup paperSize="9" scale="3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election activeCell="M8" sqref="M8"/>
    </sheetView>
  </sheetViews>
  <sheetFormatPr defaultColWidth="8.6640625" defaultRowHeight="14.25"/>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 master="" otherUserPermission="visible"/>
  <rangeList sheetStid="10" master="" otherUserPermission="visible"/>
  <rangeList sheetStid="8" master="" otherUserPermission="visible"/>
  <rangeList sheetStid="7" master="" otherUserPermission="visible"/>
  <rangeList sheetStid="1" master="" otherUserPermission="visible"/>
  <rangeList sheetStid="2" master="" otherUserPermission="visible">
    <arrUserId title="区域1" rangeCreator="" othersAccessPermission="edit"/>
  </rangeList>
  <rangeList sheetStid="5" master="" otherUserPermission="visible"/>
  <rangeList sheetStid="6" master="" otherUserPermission="visible"/>
  <rangeList sheetStid="9"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PSR Overall Cycle</vt:lpstr>
      <vt:lpstr>frmASKCons_0820</vt:lpstr>
      <vt:lpstr>Sheet1</vt:lpstr>
      <vt:lpstr>P6</vt:lpstr>
      <vt:lpstr>Before Award</vt:lpstr>
      <vt:lpstr>After Award</vt:lpstr>
      <vt:lpstr>Thai Holidays</vt:lpstr>
      <vt:lpstr>China Holidays</vt:lpstr>
      <vt:lpstr>Sheet2</vt:lpstr>
      <vt:lpstr>'Before Award'!Print_Area</vt:lpstr>
      <vt:lpstr>'China Holidays'!Print_Area</vt:lpstr>
      <vt:lpstr>'PSR Overall Cycle'!Print_Area</vt:lpstr>
      <vt:lpstr>'Thai Holidays'!Print_Area</vt:lpstr>
      <vt:lpstr>'PSR Overall Cycle'!Print_Titles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tim.yu</cp:lastModifiedBy>
  <cp:lastPrinted>2026-03-19T03:18:00Z</cp:lastPrinted>
  <dcterms:created xsi:type="dcterms:W3CDTF">2015-06-05T18:17:00Z</dcterms:created>
  <dcterms:modified xsi:type="dcterms:W3CDTF">2026-09-22T10:46:22Z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2026-04-05T09:52:33Z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250cffe7-b58f-451a-bea2-dd0a148ca778</vt:lpwstr>
  </property>
  <property fmtid="{D5CDD505-2E9C-101B-9397-08002B2CF9AE}" pid="7" name="MSIP_Label_defa4170-0d19-0005-0004-bc88714345d2_ActionId">
    <vt:lpwstr>4d9c9d41-b7fc-46e5-8f6c-fd76e24265bf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ICV">
    <vt:lpwstr>3301C74D6EB94A7AA9047191BE9EFFA0_13</vt:lpwstr>
  </property>
  <property fmtid="{D5CDD505-2E9C-101B-9397-08002B2CF9AE}" pid="11" name="KSOProductBuildVer">
    <vt:lpwstr>2052-12.1.0.28505</vt:lpwstr>
  </property>
  <property fmtid="{D5CDD505-2E9C-101B-9397-08002B2CF9AE}" pid="12" name="CalculationRule">
    <vt:i4>0</vt:i4>
  </property>
  <property fmtid="{D5CDD505-2E9C-101B-9397-08002B2CF9AE}" pid="13" name="KSOReadingLayout">
    <vt:bool>true</vt:bool>
  </property>
</Properties>
</file>